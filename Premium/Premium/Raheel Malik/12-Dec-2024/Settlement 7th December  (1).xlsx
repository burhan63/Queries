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12-Dec-2024\"/>
    </mc:Choice>
  </mc:AlternateContent>
  <xr:revisionPtr revIDLastSave="0" documentId="13_ncr:1_{1B7D5E0A-042E-4ECF-88B6-10FFBBD86D06}" xr6:coauthVersionLast="47" xr6:coauthVersionMax="47" xr10:uidLastSave="{00000000-0000-0000-0000-000000000000}"/>
  <bookViews>
    <workbookView xWindow="-120" yWindow="-120" windowWidth="20730" windowHeight="11040" xr2:uid="{46A4E3FA-8CFA-4FF6-B688-A59768C3B927}"/>
  </bookViews>
  <sheets>
    <sheet name="Sheet1" sheetId="1" r:id="rId1"/>
    <sheet name="working-premium" sheetId="2" r:id="rId2"/>
    <sheet name="working-SC" sheetId="5" r:id="rId3"/>
    <sheet name="Sheet3" sheetId="3" r:id="rId4"/>
    <sheet name="polic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  <c r="C149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2" i="5"/>
  <c r="F2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D148" i="2"/>
  <c r="C14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" i="3"/>
  <c r="G2" i="5" l="1"/>
  <c r="H2" i="5"/>
  <c r="H2" i="2"/>
  <c r="D148" i="1"/>
  <c r="C148" i="1"/>
  <c r="E148" i="1" l="1"/>
</calcChain>
</file>

<file path=xl/sharedStrings.xml><?xml version="1.0" encoding="utf-8"?>
<sst xmlns="http://schemas.openxmlformats.org/spreadsheetml/2006/main" count="2570" uniqueCount="893">
  <si>
    <t>Name</t>
  </si>
  <si>
    <t>Net Contribution</t>
  </si>
  <si>
    <t>Service Charges</t>
  </si>
  <si>
    <t>LHR/LHR/D/MI/CRP/C/2457/02/2024</t>
  </si>
  <si>
    <t>Abdul Ghaffar &amp; Abdul Jabbar</t>
  </si>
  <si>
    <t>LHR/LHR/D/MI/CRP/C/2838/11/2024</t>
  </si>
  <si>
    <t>Abdul Hameed</t>
  </si>
  <si>
    <t>LHR/LHR/D/MI/CRP/C/2526/04/2024</t>
  </si>
  <si>
    <t>Abdul Malik</t>
  </si>
  <si>
    <t>LHR/LHR/D/MI/CRP/C/2458/02/2024</t>
  </si>
  <si>
    <t>Abdul Rauf</t>
  </si>
  <si>
    <t>LHR/LHR/D/MI/CRP/C/2795/10/2024</t>
  </si>
  <si>
    <t>Abdul Salam</t>
  </si>
  <si>
    <t>LHR/LHR/D/MI/CRP/C/2515/04/2024</t>
  </si>
  <si>
    <t>LHR/LHR/D/MI/CRP/C/2677/07/2024</t>
  </si>
  <si>
    <t>Abdul Sattar</t>
  </si>
  <si>
    <t>LHR/LHR/D/MI/CRP/C/2820/11/2024</t>
  </si>
  <si>
    <t>Abid Hussain</t>
  </si>
  <si>
    <t>LHR/LHR/D/MI/CRP/C/2837/11/2024</t>
  </si>
  <si>
    <t>Abrar Ul Hassan</t>
  </si>
  <si>
    <t>LHR/LHR/D/MI/CRP/C/2683/07/2024</t>
  </si>
  <si>
    <t>Abubakar</t>
  </si>
  <si>
    <t>LHR/LHR/D/MI/CRP/C/2653/07/2024</t>
  </si>
  <si>
    <t>Adil Sardar</t>
  </si>
  <si>
    <t>LHR/LHR/D/MI/CRP/C/2449/02/2024</t>
  </si>
  <si>
    <t>Ahmad Buksh</t>
  </si>
  <si>
    <t>LHR/LHR/D/MI/CRP/C/2785/10/2024</t>
  </si>
  <si>
    <t>Ahmed Mehmood</t>
  </si>
  <si>
    <t>LHR/LHR/D/MI/CRP/C/2395/01/2024</t>
  </si>
  <si>
    <t>Aijaz Ali Shah</t>
  </si>
  <si>
    <t>LHR/LHR/D/MI/CRP/C/2796/10/2024</t>
  </si>
  <si>
    <t>Ali Ahmad</t>
  </si>
  <si>
    <t>LHR/LHR/D/MI/CRP/C/2680/07/2024</t>
  </si>
  <si>
    <t>Ali Asghar &amp; Shakir Muhammad</t>
  </si>
  <si>
    <t>LHR/LHR/D/MI/CRP/C/2452/02/2024</t>
  </si>
  <si>
    <t>Ali Muhammad</t>
  </si>
  <si>
    <t>LHR/LHR/D/MI/CRP/C/2398/01/2024</t>
  </si>
  <si>
    <t>Ali Naqi</t>
  </si>
  <si>
    <t>LHR/LHR/D/MI/CRP/C/2665/07/2024</t>
  </si>
  <si>
    <t>Allah Buksh</t>
  </si>
  <si>
    <t>LHR/LHR/D/MI/CRP/C/2741/08/2024</t>
  </si>
  <si>
    <t>Allah Dad</t>
  </si>
  <si>
    <t>LHR/LHR/D/MI/CRP/C/2450/02/2024</t>
  </si>
  <si>
    <t>Ameer Muhammad</t>
  </si>
  <si>
    <t>LHR/LHR/D/MI/CRP/C/2520/04/2024</t>
  </si>
  <si>
    <t>Arif</t>
  </si>
  <si>
    <t>LHR/LHR/D/MI/CRP/C/2663/07/2024</t>
  </si>
  <si>
    <t>Arif Ali</t>
  </si>
  <si>
    <t>LHR/LHR/D/MI/CRP/C/2394/01/2024</t>
  </si>
  <si>
    <t>LHR/LHR/D/MI/CRP/C/2668/07/2024</t>
  </si>
  <si>
    <t>Asad Masood &amp; Arif Masood</t>
  </si>
  <si>
    <t>LHR/LHR/D/MI/CRP/C/2391/01/2024</t>
  </si>
  <si>
    <t>Ashiq Hussain</t>
  </si>
  <si>
    <t>LHR/LHR/D/MI/CRP/C/2647/07/2024</t>
  </si>
  <si>
    <t>Asif Hussain</t>
  </si>
  <si>
    <t>LHR/LHR/D/MI/CRP/C/2514/04/2024</t>
  </si>
  <si>
    <t>Atif</t>
  </si>
  <si>
    <t>LHR/LHR/D/MI/CRP/C/2455/02/2024</t>
  </si>
  <si>
    <t>Azam Khan</t>
  </si>
  <si>
    <t>LHR/LHR/D/MI/CRP/C/2845/11/2024</t>
  </si>
  <si>
    <t>Babar Hayat Baloch</t>
  </si>
  <si>
    <t>LHR/LHR/D/MI/CRP/C/2508/04/2024</t>
  </si>
  <si>
    <t>Bahawal Khan Zardari</t>
  </si>
  <si>
    <t>LHR/LHR/D/MI/CRP/C/2516/04/2024</t>
  </si>
  <si>
    <t>Bashir Ahmed Khan</t>
  </si>
  <si>
    <t>LHR/LHR/D/MI/CRP/C/2662/07/2024</t>
  </si>
  <si>
    <t>Danish Ahmed Naseem</t>
  </si>
  <si>
    <t>LHR/LHR/D/MI/CRP/C/2661/07/2024</t>
  </si>
  <si>
    <t>Farooq Hussain &amp; Muhammad Mohsin Hussain</t>
  </si>
  <si>
    <t>LHR/LHR/D/MI/CRP/C/2743/08/2024</t>
  </si>
  <si>
    <t>Fateh Muhammad</t>
  </si>
  <si>
    <t>LHR/LHR/D/MI/CRP/C/2393/01/2024</t>
  </si>
  <si>
    <t>Ghous Bux Sarki</t>
  </si>
  <si>
    <t>LHR/LHR/D/MI/CRP/C/2790/10/2024</t>
  </si>
  <si>
    <t>Ghulam Mujtaba</t>
  </si>
  <si>
    <t>LHR/LHR/D/MI/CRP/C/2736/08/2024</t>
  </si>
  <si>
    <t>Ghulam Yasin</t>
  </si>
  <si>
    <t>LHR/LHR/D/MI/CRP/C/2835/11/2024</t>
  </si>
  <si>
    <t>Hafiz Abdul Khaliq &amp; Javed Iqbal</t>
  </si>
  <si>
    <t>LHR/LHR/D/MI/CRP/C/2522/04/2024</t>
  </si>
  <si>
    <t>Haider Ali</t>
  </si>
  <si>
    <t>LHR/LHR/D/MI/CRP/C/2817/11/2024</t>
  </si>
  <si>
    <t>Haider Zaman Qureshi</t>
  </si>
  <si>
    <t>LHR/LHR/D/MI/CRP/C/2462/02/2024</t>
  </si>
  <si>
    <t>LHR/LHR/D/MI/CRP/C/2390/01/2024</t>
  </si>
  <si>
    <t>LHR/LHR/D/MI/CRP/C/2793/10/2024</t>
  </si>
  <si>
    <t>Hamid Shah</t>
  </si>
  <si>
    <t>LHR/LHR/D/MI/CRP/C/2525/04/2024</t>
  </si>
  <si>
    <t>LHR/LHR/D/MI/CRP/C/2513/04/2024</t>
  </si>
  <si>
    <t>Hassan Mahmood</t>
  </si>
  <si>
    <t>LHR/LHR/D/MI/CRP/C/2684/07/2024</t>
  </si>
  <si>
    <t>Humna Zahid</t>
  </si>
  <si>
    <t>LHR/LHR/D/MI/CRP/C/2787/10/2024</t>
  </si>
  <si>
    <t>Ibrar Hussain Shah</t>
  </si>
  <si>
    <t>LHR/LHR/D/MI/CRP/C/2512/04/2024</t>
  </si>
  <si>
    <t>LHR/LHR/D/MI/CRP/C/2688/07/2024</t>
  </si>
  <si>
    <t>Imran Ali</t>
  </si>
  <si>
    <t>LHR/LHR/D/MI/CRP/C/2658/07/2024</t>
  </si>
  <si>
    <t>Iqrar Hussain Shah</t>
  </si>
  <si>
    <t>LHR/LHR/D/MI/CRP/C/2388/01/2024</t>
  </si>
  <si>
    <t>LHR/LHR/D/MI/CRP/C/2815/11/2024</t>
  </si>
  <si>
    <t>Khizer Hayat Dhakoo</t>
  </si>
  <si>
    <t>LHR/LHR/D/MI/CRP/C/2686/07/2024</t>
  </si>
  <si>
    <t>Liaquat Ali Chaudhary</t>
  </si>
  <si>
    <t>LHR/LHR/D/MI/CRP/C/2396/01/2024</t>
  </si>
  <si>
    <t>LHR/LHR/D/MI/CRP/C/2821/11/2024</t>
  </si>
  <si>
    <t>Maher Allah Dittah</t>
  </si>
  <si>
    <t>LHR/LHR/D/MI/CRP/C/2836/11/2024</t>
  </si>
  <si>
    <t>Maliha Khan</t>
  </si>
  <si>
    <t>LHR/LHR/D/MI/CRP/C/2384/01/2024</t>
  </si>
  <si>
    <t>Malik Zahid Afzal</t>
  </si>
  <si>
    <t>LHR/LHR/D/MI/CRP/C/2816/11/2024</t>
  </si>
  <si>
    <t>Manzoor Ahmed</t>
  </si>
  <si>
    <t>LHR/LHR/D/MI/CRP/C/2454/02/2024</t>
  </si>
  <si>
    <t>LHR/LHR/D/MI/CRP/C/575/07/2023</t>
  </si>
  <si>
    <t>Masood Ahmad &amp; Mahmood Ali</t>
  </si>
  <si>
    <t>LHR/LHR/D/MI/CRP/C/2453/02/2024</t>
  </si>
  <si>
    <t>Mian Naseer Uddin</t>
  </si>
  <si>
    <t>LHR/LHR/D/MI/CRP/C/2448/02/2024</t>
  </si>
  <si>
    <t>Mir Azhar Ali Talpur</t>
  </si>
  <si>
    <t>LHR/LHR/D/MI/CRP/C/2519/04/2024</t>
  </si>
  <si>
    <t>Mohammad Mohsin</t>
  </si>
  <si>
    <t>LHR/LHR/D/MI/CRP/C/2655/07/2024</t>
  </si>
  <si>
    <t>Muhammad Abu Bakar</t>
  </si>
  <si>
    <t>LHR/LHR/D/MI/CRP/C/2788/10/2024</t>
  </si>
  <si>
    <t>Muhammad Anwar</t>
  </si>
  <si>
    <t>LHR/LHR/D/MI/CRP/C/2509/04/2024</t>
  </si>
  <si>
    <t>LHR/LHR/D/MI/CRP/C/2839/11/2024</t>
  </si>
  <si>
    <t>Muhammad Arif/Tariq Mehmood/Muhammad Shafi</t>
  </si>
  <si>
    <t>LHR/LHR/D/MI/CRP/C/2385/01/2024</t>
  </si>
  <si>
    <t>LHR/LHR/D/MI/CRP/C/2447/02/2024</t>
  </si>
  <si>
    <t>Muhammad Arshad</t>
  </si>
  <si>
    <t>LHR/LHR/D/MI/CRP/C/2834/11/2024</t>
  </si>
  <si>
    <t>Muhammad Awais</t>
  </si>
  <si>
    <t>LHR/LHR/D/MI/CRP/C/2672/07/2024</t>
  </si>
  <si>
    <t>Muhammad Humayun Afzal Khichi</t>
  </si>
  <si>
    <t>LHR/LHR/D/MI/CRP/C/2650/07/2024</t>
  </si>
  <si>
    <t>Muhammad Ihsaan</t>
  </si>
  <si>
    <t>LHR/LHR/D/MI/CRP/C/2789/10/2024</t>
  </si>
  <si>
    <t>Muhammad Ijaz Hussain</t>
  </si>
  <si>
    <t>LHR/LHR/D/MI/CRP/C/2823/11/2024</t>
  </si>
  <si>
    <t>Muhammad Jabir &amp; Muhammad Abdullah Khar</t>
  </si>
  <si>
    <t>LHR/LHR/D/MI/CRP/C/2794/10/2024</t>
  </si>
  <si>
    <t>Muhammad Jamil &amp; Muhammad Shafique</t>
  </si>
  <si>
    <t>LHR/LHR/D/MI/CRP/C/2679/07/2024</t>
  </si>
  <si>
    <t>Muhammad Javed</t>
  </si>
  <si>
    <t>LHR/LHR/D/MI/CRP/C/2783/10/2024</t>
  </si>
  <si>
    <t>Muhammad Latif</t>
  </si>
  <si>
    <t>LHR/LHR/D/MI/CRP/C/2742/08/2024</t>
  </si>
  <si>
    <t>Muhammad Mehfooz Akera</t>
  </si>
  <si>
    <t>LHR/LHR/D/MI/CRP/C/2656/07/2024</t>
  </si>
  <si>
    <t>Muhammad Mubashir Saleem</t>
  </si>
  <si>
    <t>LHR/LHR/D/MI/CRP/C/2681/07/2024</t>
  </si>
  <si>
    <t>Muhammad Nadeem/ Muhammad Javed Iqbal/ Muhammad Imran</t>
  </si>
  <si>
    <t>LHR/LHR/D/MI/CRP/C/2521/04/2024</t>
  </si>
  <si>
    <t>Muhammad Qasim</t>
  </si>
  <si>
    <t>LHR/LHR/D/MI/CRP/C/2660/07/2024</t>
  </si>
  <si>
    <t>Muhammad Rafiq</t>
  </si>
  <si>
    <t>LHR/LHR/D/MI/CRP/C/2739/08/2024</t>
  </si>
  <si>
    <t>Muhammad Ramzan</t>
  </si>
  <si>
    <t>LHR/LHR/D/MI/CRP/C/2463/02/2024</t>
  </si>
  <si>
    <t>LHR/LHR/D/MI/CRP/C/2517/04/2024</t>
  </si>
  <si>
    <t>Muhammad Raza Imran Mohal</t>
  </si>
  <si>
    <t>LHR/LHR/D/MI/CRP/C/2843/11/2024</t>
  </si>
  <si>
    <t>Muhammad Shoaib Ur Rehman &amp; Zia Ur Rehman</t>
  </si>
  <si>
    <t>LHR/LHR/D/MI/CRP/C/2676/07/2024</t>
  </si>
  <si>
    <t>Muhammad Shoaib Zahoor</t>
  </si>
  <si>
    <t>LHR/LHR/D/MI/CRP/C/2387/01/2024</t>
  </si>
  <si>
    <t>LHR/LHR/D/MI/CRP/C/2832/11/2024</t>
  </si>
  <si>
    <t>Muhammad Umer Dhakoo</t>
  </si>
  <si>
    <t>LHR/LHR/D/MI/CRP/C/2652/07/2024</t>
  </si>
  <si>
    <t>Muhammad Zaman</t>
  </si>
  <si>
    <t>LHR/LHR/D/MI/CRP/C/2399/01/2024</t>
  </si>
  <si>
    <t>Muhammad Zunair Khan Babar</t>
  </si>
  <si>
    <t>LHR/LHR/D/MI/CRP/C/2734/08/2024</t>
  </si>
  <si>
    <t>Mukhtar Hussain Shah</t>
  </si>
  <si>
    <t>LHR/LHR/D/MI/CRP/C/2456/02/2024</t>
  </si>
  <si>
    <t>LHR/LHR/D/MI/CRP/C/2791/10/2024</t>
  </si>
  <si>
    <t>Munir Ahmad &amp; Naseer Ahmad</t>
  </si>
  <si>
    <t>LHR/LHR/D/MI/CRP/C/2523/04/2024</t>
  </si>
  <si>
    <t>Munir Ahmad and Naseer Ahmad</t>
  </si>
  <si>
    <t>LHR/LHR/D/MI/CRP/C/2518/04/2024</t>
  </si>
  <si>
    <t>Nabil Akhtar/Tanveer Faqir/Parveen Akhtar</t>
  </si>
  <si>
    <t>LHR/LHR/D/MI/CRP/C/2744/08/2024</t>
  </si>
  <si>
    <t>Nadeem Akhtar</t>
  </si>
  <si>
    <t>LHR/LHR/D/MI/CRP/C/2461/02/2024</t>
  </si>
  <si>
    <t>LHR/LHR/D/MI/CRP/C/2673/07/2024</t>
  </si>
  <si>
    <t>Nadir Abbas</t>
  </si>
  <si>
    <t>LHR/LHR/D/MI/CRP/C/2819/11/2024</t>
  </si>
  <si>
    <t>Naveed Ahmad</t>
  </si>
  <si>
    <t>LHR/LHR/D/MI/CRP/C/2664/07/2024</t>
  </si>
  <si>
    <t>Niaz Ahmed/Riaz Ahmed/Irshad Ahmed</t>
  </si>
  <si>
    <t>LHR/LHR/D/MI/CRP/C/2735/08/2024</t>
  </si>
  <si>
    <t>Nisar Ahmed</t>
  </si>
  <si>
    <t>LHR/LHR/D/MI/CRP/C/2833/11/2024</t>
  </si>
  <si>
    <t>Pathani Bibi</t>
  </si>
  <si>
    <t>LHR/LHR/D/MI/CRP/C/2507/04/2024</t>
  </si>
  <si>
    <t>Qamar Din</t>
  </si>
  <si>
    <t>LHR/LHR/D/MI/CRP/C/2740/08/2024</t>
  </si>
  <si>
    <t>Rais Fida Hussain Rind</t>
  </si>
  <si>
    <t>LHR/LHR/D/MI/CRP/C/2451/02/2024</t>
  </si>
  <si>
    <t>Rana Sakhawat Ali Khan</t>
  </si>
  <si>
    <t>LHR/LHR/D/MI/CRP/C/2840/11/2024</t>
  </si>
  <si>
    <t>Rashid Aziz</t>
  </si>
  <si>
    <t>LHR/LHR/D/MI/CRP/C/2682/07/2024</t>
  </si>
  <si>
    <t>Rehmat Ullah</t>
  </si>
  <si>
    <t>LHR/LHR/D/MI/CRP/C/2397/01/2024</t>
  </si>
  <si>
    <t>Riaz Ahmed</t>
  </si>
  <si>
    <t>LHR/LHR/D/MI/CRP/C/2389/01/2024</t>
  </si>
  <si>
    <t>Saad Zahid Bhurgri</t>
  </si>
  <si>
    <t>LHR/LHR/D/MI/CRP/C/2654/07/2024</t>
  </si>
  <si>
    <t>Sadaf Khan &amp; Ghulam Ali</t>
  </si>
  <si>
    <t>LHR/LHR/D/MI/CRP/C/2671/07/2024</t>
  </si>
  <si>
    <t>Saddam Abbas</t>
  </si>
  <si>
    <t>LHR/LHR/D/MI/CRP/C/2392/01/2024</t>
  </si>
  <si>
    <t>LHR/LHR/D/MI/CRP/C/2841/11/2024</t>
  </si>
  <si>
    <t>Saddam Hussain</t>
  </si>
  <si>
    <t>LHR/LHR/D/MI/CRP/C/2669/07/2024</t>
  </si>
  <si>
    <t>Safwan Ullah</t>
  </si>
  <si>
    <t>LHR/LHR/D/MI/CRP/C/2459/02/2024</t>
  </si>
  <si>
    <t>Saif Ur Rahman Khan</t>
  </si>
  <si>
    <t>LHR/LHR/D/MI/CRP/C/2822/11/2024</t>
  </si>
  <si>
    <t>Sajid Ali</t>
  </si>
  <si>
    <t>LHR/LHR/D/MI/CRP/C/2689/07/2024</t>
  </si>
  <si>
    <t>Sehrish Mahmood</t>
  </si>
  <si>
    <t>LHR/LHR/D/MI/CRP/C/2690/07/2024</t>
  </si>
  <si>
    <t>Shafqat Rasool Khan Wattoo</t>
  </si>
  <si>
    <t>LHR/LHR/D/MI/CRP/C/2685/07/2024</t>
  </si>
  <si>
    <t>Shahid Altaf</t>
  </si>
  <si>
    <t>LHR/LHR/D/MI/CRP/C/2692/07/2024</t>
  </si>
  <si>
    <t>Shayan Hameed</t>
  </si>
  <si>
    <t>LHR/LHR/D/MI/CRP/C/2648/07/2024</t>
  </si>
  <si>
    <t>Sheraz Ahmed</t>
  </si>
  <si>
    <t>LHR/LHR/D/MI/CRP/C/2737/08/2024</t>
  </si>
  <si>
    <t>Shouqat Ali</t>
  </si>
  <si>
    <t>LHR/LHR/D/MI/CRP/C/2792/10/2024</t>
  </si>
  <si>
    <t>Sikander Shahzad</t>
  </si>
  <si>
    <t>LHR/LHR/D/MI/CRP/C/2510/04/2024</t>
  </si>
  <si>
    <t>LHR/LHR/D/MI/CRP/C/2511/04/2024</t>
  </si>
  <si>
    <t>Siraj Din</t>
  </si>
  <si>
    <t>LHR/LHR/D/MI/CRP/C/2675/07/2024</t>
  </si>
  <si>
    <t>Sohail Akhter</t>
  </si>
  <si>
    <t>LHR/LHR/D/MI/CRP/C/2687/07/2024</t>
  </si>
  <si>
    <t>Sultan Mahmood</t>
  </si>
  <si>
    <t>LHR/LHR/D/MI/CRP/C/2445/02/2024</t>
  </si>
  <si>
    <t>LHR/LHR/D/MI/CRP/C/2691/07/2024</t>
  </si>
  <si>
    <t>Suraiya Yousaf &amp; Chaudhary Muhammad Yousaf</t>
  </si>
  <si>
    <t>LHR/LHR/D/MI/CRP/C/2657/07/2024</t>
  </si>
  <si>
    <t>Syed Zeeshan Mubarik</t>
  </si>
  <si>
    <t>LHR/LHR/D/MI/CRP/C/2674/07/2024</t>
  </si>
  <si>
    <t>Tahir Shafi</t>
  </si>
  <si>
    <t>LHR/LHR/D/MI/CRP/C/2446/02/2024</t>
  </si>
  <si>
    <t>Ubaidullah Joiya</t>
  </si>
  <si>
    <t>LHR/LHR/D/MI/CRP/C/2842/11/2024</t>
  </si>
  <si>
    <t>Umair Munawar</t>
  </si>
  <si>
    <t>LHR/LHR/D/MI/CRP/C/2784/10/2024</t>
  </si>
  <si>
    <t>Umer Aslam</t>
  </si>
  <si>
    <t>LHR/LHR/D/MI/CRP/C/2465/02/2024</t>
  </si>
  <si>
    <t>LHR/LHR/D/MI/CRP/C/2659/07/2024</t>
  </si>
  <si>
    <t>Usman Akram</t>
  </si>
  <si>
    <t>LHR/LHR/D/MI/CRP/C/2464/02/2024</t>
  </si>
  <si>
    <t>Usman Shamas</t>
  </si>
  <si>
    <t>LHR/LHR/D/MI/CRP/C/2649/07/2024</t>
  </si>
  <si>
    <t>Pervaiz Mehmood &amp; Zahid Mehmood</t>
  </si>
  <si>
    <t>LHR/LHR/D/MI/CRP/C/2651/07/2024</t>
  </si>
  <si>
    <t>Wajahat Bashir</t>
  </si>
  <si>
    <t>LHR/LHR/D/MI/CRP/C/2738/08/2024</t>
  </si>
  <si>
    <t>Yaar Muhammad</t>
  </si>
  <si>
    <t>LHR/LHR/D/MI/CRP/C/2844/11/2024</t>
  </si>
  <si>
    <t>Zahid Murad</t>
  </si>
  <si>
    <t>LHR/LHR/D/MI/CRP/C/2666/07/2024</t>
  </si>
  <si>
    <t>LHR/LHR/D/MI/CRP/C/2386/01/2024</t>
  </si>
  <si>
    <t>LHR/LHR/D/MI/CRP/C/2818/11/2024</t>
  </si>
  <si>
    <t>Zahid Shuja &amp; Ahmad Shuja</t>
  </si>
  <si>
    <t>Certificate  Number</t>
  </si>
  <si>
    <t>Balance</t>
  </si>
  <si>
    <t>Column1</t>
  </si>
  <si>
    <t xml:space="preserve"> </t>
  </si>
  <si>
    <t>-125.025</t>
  </si>
  <si>
    <t>-99.875</t>
  </si>
  <si>
    <t>-399.975</t>
  </si>
  <si>
    <t>-100</t>
  </si>
  <si>
    <t>-49.9</t>
  </si>
  <si>
    <t>-49.95</t>
  </si>
  <si>
    <t>-89.9</t>
  </si>
  <si>
    <t>-699.925</t>
  </si>
  <si>
    <t>-749.9</t>
  </si>
  <si>
    <t>-399.925</t>
  </si>
  <si>
    <t>-499.925</t>
  </si>
  <si>
    <t>-300</t>
  </si>
  <si>
    <t>-400</t>
  </si>
  <si>
    <t>-299.9</t>
  </si>
  <si>
    <t>-349.9</t>
  </si>
  <si>
    <t>-200</t>
  </si>
  <si>
    <t>-280.025</t>
  </si>
  <si>
    <t>-24.9</t>
  </si>
  <si>
    <t>-79.9</t>
  </si>
  <si>
    <t>-119.95</t>
  </si>
  <si>
    <t>-299.875</t>
  </si>
  <si>
    <t>-374.925</t>
  </si>
  <si>
    <t>-49.975</t>
  </si>
  <si>
    <t>-29.9</t>
  </si>
  <si>
    <t>-249.925</t>
  </si>
  <si>
    <t>-450.025</t>
  </si>
  <si>
    <t>-259.9</t>
  </si>
  <si>
    <t>-899.925</t>
  </si>
  <si>
    <t>-499.95</t>
  </si>
  <si>
    <t>-599.875</t>
  </si>
  <si>
    <t>-749.85</t>
  </si>
  <si>
    <t>-799.925</t>
  </si>
  <si>
    <t>-600</t>
  </si>
  <si>
    <t>-199.875</t>
  </si>
  <si>
    <t>-149.9</t>
  </si>
  <si>
    <t>-212.6</t>
  </si>
  <si>
    <t>-195.025</t>
  </si>
  <si>
    <t>-500</t>
  </si>
  <si>
    <t>-34.9</t>
  </si>
  <si>
    <t>-34.95</t>
  </si>
  <si>
    <t>-25.025</t>
  </si>
  <si>
    <t>-90</t>
  </si>
  <si>
    <t>-295</t>
  </si>
  <si>
    <t>-249.9</t>
  </si>
  <si>
    <t>-99.95</t>
  </si>
  <si>
    <t>-449.925</t>
  </si>
  <si>
    <t>-70</t>
  </si>
  <si>
    <t>-39.9</t>
  </si>
  <si>
    <t>-41.875</t>
  </si>
  <si>
    <t>-37.425</t>
  </si>
  <si>
    <t>-479.9</t>
  </si>
  <si>
    <t>-229.925</t>
  </si>
  <si>
    <t>-123.925</t>
  </si>
  <si>
    <t>-23.9</t>
  </si>
  <si>
    <t>-24</t>
  </si>
  <si>
    <t>-250</t>
  </si>
  <si>
    <t>-650</t>
  </si>
  <si>
    <t>-199.925</t>
  </si>
  <si>
    <t>-24.95</t>
  </si>
  <si>
    <t>-279.9</t>
  </si>
  <si>
    <t>-171.5</t>
  </si>
  <si>
    <t>-19.925</t>
  </si>
  <si>
    <t>-1499.85</t>
  </si>
  <si>
    <t>-149.925</t>
  </si>
  <si>
    <t>-19.9</t>
  </si>
  <si>
    <t>-20</t>
  </si>
  <si>
    <t>-160</t>
  </si>
  <si>
    <t>-349.925</t>
  </si>
  <si>
    <t>-159.925</t>
  </si>
  <si>
    <t>-142.9</t>
  </si>
  <si>
    <t>-02-2024</t>
  </si>
  <si>
    <t>-11-2024</t>
  </si>
  <si>
    <t>-04-2024</t>
  </si>
  <si>
    <t>-10-2024</t>
  </si>
  <si>
    <t>-07-2024</t>
  </si>
  <si>
    <t>-01-2024</t>
  </si>
  <si>
    <t>-08-2024</t>
  </si>
  <si>
    <t>-07-2023</t>
  </si>
  <si>
    <t xml:space="preserve">   </t>
  </si>
  <si>
    <t>FUNC_ASSORTED_STRING(IA.ASSORTED_CODE)</t>
  </si>
  <si>
    <t>ASSORTED_CODE</t>
  </si>
  <si>
    <t>AGENCY_CODE</t>
  </si>
  <si>
    <t>KHI/HO/D/MO/PD COMP/R/13575/07/2023</t>
  </si>
  <si>
    <t>080000143652</t>
  </si>
  <si>
    <t>09000221</t>
  </si>
  <si>
    <t>KHI/HO/D/HLGRP HEALTH/E/20575/07/2023</t>
  </si>
  <si>
    <t>050000623381</t>
  </si>
  <si>
    <t>09000267</t>
  </si>
  <si>
    <t>KHI/HO/D/MI/CT/E/2575/07/2023</t>
  </si>
  <si>
    <t>050000626401</t>
  </si>
  <si>
    <t>09000045</t>
  </si>
  <si>
    <t>070000154318</t>
  </si>
  <si>
    <t>09000414</t>
  </si>
  <si>
    <t>KHI/HO/D/MR/IMPORTS/C/22515/04/2024</t>
  </si>
  <si>
    <t>020000042692</t>
  </si>
  <si>
    <t>09000212</t>
  </si>
  <si>
    <t>KHI/HO/D/MO/PC COMP/P/82392/01/2024</t>
  </si>
  <si>
    <t>040000164024</t>
  </si>
  <si>
    <t>09000210</t>
  </si>
  <si>
    <t>KHI/HO/D/MR/IMPORTS/C/22513/04/2024</t>
  </si>
  <si>
    <t>020000042676</t>
  </si>
  <si>
    <t>KHI/HO/D/MO/PC COMP/P/82389/01/2024</t>
  </si>
  <si>
    <t>040000164021</t>
  </si>
  <si>
    <t>09000214</t>
  </si>
  <si>
    <t>KHI/HO/D/MO/PC COMP/P/82391/01/2024</t>
  </si>
  <si>
    <t>040000164023</t>
  </si>
  <si>
    <t>KHI/HO/D/MO/PC COMP/P/82394/01/2024</t>
  </si>
  <si>
    <t>040000164026</t>
  </si>
  <si>
    <t>070000154300</t>
  </si>
  <si>
    <t>070000154304</t>
  </si>
  <si>
    <t>070000154308</t>
  </si>
  <si>
    <t>070000154311</t>
  </si>
  <si>
    <t>070000154315</t>
  </si>
  <si>
    <t>KHI/HO/D/MO/MC COMP/P/82397/01/2024</t>
  </si>
  <si>
    <t>040000164030</t>
  </si>
  <si>
    <t>KHI/HO/D/MO/PC COMP/P/82396/01/2024</t>
  </si>
  <si>
    <t>040000164029</t>
  </si>
  <si>
    <t>KHI/HO/D/MO/PC COMP/P/82395/01/2024</t>
  </si>
  <si>
    <t>040000164028</t>
  </si>
  <si>
    <t>09000427</t>
  </si>
  <si>
    <t>KHI/HO/D/MO/PC TPP/P/82386/01/2024</t>
  </si>
  <si>
    <t>040000164016</t>
  </si>
  <si>
    <t>09000417</t>
  </si>
  <si>
    <t>KHI/HO/D/MO/PC COMP/P/82393/01/2024</t>
  </si>
  <si>
    <t>040000164025</t>
  </si>
  <si>
    <t>KHI/HO/D/MO/PC COMP/P/82388/01/2024</t>
  </si>
  <si>
    <t>040000164019</t>
  </si>
  <si>
    <t>KHI/HO/D/MO/PC COMP/P/82384/01/2024</t>
  </si>
  <si>
    <t>040000164004</t>
  </si>
  <si>
    <t>KHI/HO/D/MO/MC TTT/P/72575/07/2023</t>
  </si>
  <si>
    <t>040000148089</t>
  </si>
  <si>
    <t>09000106</t>
  </si>
  <si>
    <t>KHI/HO/D/MO/PD COMP/C/13575/07/2023</t>
  </si>
  <si>
    <t>020000034926</t>
  </si>
  <si>
    <t>070000133488</t>
  </si>
  <si>
    <t>KHI/HO/D/MO/PC COMP/E/27575/07/2023</t>
  </si>
  <si>
    <t>050000624906</t>
  </si>
  <si>
    <t>KHI/HO/D/HLGRP HEALTH/P/2575/07/2023</t>
  </si>
  <si>
    <t>040000148806</t>
  </si>
  <si>
    <t>09000329</t>
  </si>
  <si>
    <t>KHI/HO/D/MO/PD COMP/P/82385/01/2024</t>
  </si>
  <si>
    <t>040000164012</t>
  </si>
  <si>
    <t>KHI/HO/D/MR/IMPORTS/C/22517/04/2024</t>
  </si>
  <si>
    <t>020000042716</t>
  </si>
  <si>
    <t>09000116</t>
  </si>
  <si>
    <t>KHI/HO/D/MR/IMPORTS/C/22511/04/2024</t>
  </si>
  <si>
    <t>020000042670</t>
  </si>
  <si>
    <t>KHI/AR/AR/D/MO/MC TTT/P/82390/01/2024</t>
  </si>
  <si>
    <t>040000164022</t>
  </si>
  <si>
    <t>09000687</t>
  </si>
  <si>
    <t>KHI/HO/D/MR/IMPORTS/C/22523/04/2024</t>
  </si>
  <si>
    <t>020000042745</t>
  </si>
  <si>
    <t>09000231</t>
  </si>
  <si>
    <t>KHI/HO/D/MR/IMPORTS/C/22507/04/2024</t>
  </si>
  <si>
    <t>020000042623</t>
  </si>
  <si>
    <t>KHI/HO/D/MR/IMPORTS/C/22519/04/2024</t>
  </si>
  <si>
    <t>020000042726</t>
  </si>
  <si>
    <t>070000152017</t>
  </si>
  <si>
    <t>070000152019</t>
  </si>
  <si>
    <t>070000152020</t>
  </si>
  <si>
    <t>070000152021</t>
  </si>
  <si>
    <t>070000152023</t>
  </si>
  <si>
    <t>070000152024</t>
  </si>
  <si>
    <t>070000152026</t>
  </si>
  <si>
    <t>070000152027</t>
  </si>
  <si>
    <t>070000152028</t>
  </si>
  <si>
    <t>070000152030</t>
  </si>
  <si>
    <t>070000152031</t>
  </si>
  <si>
    <t>070000152032</t>
  </si>
  <si>
    <t>KHI/HO/D/MR/IMPORTS/C/22508/04/2024</t>
  </si>
  <si>
    <t>020000042629</t>
  </si>
  <si>
    <t>070000152018</t>
  </si>
  <si>
    <t>070000152022</t>
  </si>
  <si>
    <t>070000152025</t>
  </si>
  <si>
    <t>070000152029</t>
  </si>
  <si>
    <t>SKT/SKT/D/MR/IMPORTS/C/22525/04/2024</t>
  </si>
  <si>
    <t>020000042766</t>
  </si>
  <si>
    <t>09000350</t>
  </si>
  <si>
    <t>KHI/HO/D/MR/IMPORTS/C/22509/04/2024</t>
  </si>
  <si>
    <t>020000042658</t>
  </si>
  <si>
    <t>09000130</t>
  </si>
  <si>
    <t>070000157165</t>
  </si>
  <si>
    <t>070000157169</t>
  </si>
  <si>
    <t>070000157173</t>
  </si>
  <si>
    <t>070000157177</t>
  </si>
  <si>
    <t>LHR/LHR/D/MR/IMPORTS/C/22522/04/2024</t>
  </si>
  <si>
    <t>020000042737</t>
  </si>
  <si>
    <t>09000128</t>
  </si>
  <si>
    <t>KHI/HO/D/MO/MC COMP/P/82398/01/2024</t>
  </si>
  <si>
    <t>040000164031</t>
  </si>
  <si>
    <t>KHI/HO/D/MO/MC COMP/P/82399/01/2024</t>
  </si>
  <si>
    <t>040000164032</t>
  </si>
  <si>
    <t>070000154298</t>
  </si>
  <si>
    <t>070000154299</t>
  </si>
  <si>
    <t>070000154301</t>
  </si>
  <si>
    <t>070000154302</t>
  </si>
  <si>
    <t>070000154303</t>
  </si>
  <si>
    <t>070000154305</t>
  </si>
  <si>
    <t>070000154306</t>
  </si>
  <si>
    <t>070000154307</t>
  </si>
  <si>
    <t>070000154309</t>
  </si>
  <si>
    <t>070000154310</t>
  </si>
  <si>
    <t>070000154312</t>
  </si>
  <si>
    <t>070000154314</t>
  </si>
  <si>
    <t>070000154316</t>
  </si>
  <si>
    <t>070000154317</t>
  </si>
  <si>
    <t>KHI/HO/D/MO/PC COMP/P/82387/01/2024</t>
  </si>
  <si>
    <t>040000164017</t>
  </si>
  <si>
    <t>KHI/HO/D/MR/IMPORTS/C/22514/04/2024</t>
  </si>
  <si>
    <t>020000042690</t>
  </si>
  <si>
    <t>SKT/SKT/D/MR/IMPORTS/C/22526/04/2024</t>
  </si>
  <si>
    <t>020000042767</t>
  </si>
  <si>
    <t>KHI/HO/D/MR/IMPORTS/C/22521/04/2024</t>
  </si>
  <si>
    <t>020000042731</t>
  </si>
  <si>
    <t>070000157170</t>
  </si>
  <si>
    <t>070000157172</t>
  </si>
  <si>
    <t>070000157174</t>
  </si>
  <si>
    <t>070000157175</t>
  </si>
  <si>
    <t>070000157176</t>
  </si>
  <si>
    <t>070000157178</t>
  </si>
  <si>
    <t>070000157179</t>
  </si>
  <si>
    <t>070000157180</t>
  </si>
  <si>
    <t>070000157182</t>
  </si>
  <si>
    <t>KHI/HO/D/MR/IMPORTS/C/22510/04/2024</t>
  </si>
  <si>
    <t>020000042659</t>
  </si>
  <si>
    <t>070000157164</t>
  </si>
  <si>
    <t>070000157166</t>
  </si>
  <si>
    <t>070000157167</t>
  </si>
  <si>
    <t>070000157168</t>
  </si>
  <si>
    <t>KHI/HO/D/MR/IMPORTS/C/22516/04/2024</t>
  </si>
  <si>
    <t>020000042699</t>
  </si>
  <si>
    <t>070000157183</t>
  </si>
  <si>
    <t>KHI/HO/D/MR/IMPORTS/C/22518/04/2024</t>
  </si>
  <si>
    <t>020000042724</t>
  </si>
  <si>
    <t>KHI/HO/D/MO/PC COMP/P/92673/07/2024</t>
  </si>
  <si>
    <t>040000178346</t>
  </si>
  <si>
    <t>09000271</t>
  </si>
  <si>
    <t>070000157171</t>
  </si>
  <si>
    <t>070000167581</t>
  </si>
  <si>
    <t>070000167582</t>
  </si>
  <si>
    <t>070000167583</t>
  </si>
  <si>
    <t>070000167585</t>
  </si>
  <si>
    <t>070000167586</t>
  </si>
  <si>
    <t>070000167587</t>
  </si>
  <si>
    <t>070000167588</t>
  </si>
  <si>
    <t>070000167589</t>
  </si>
  <si>
    <t>070000167590</t>
  </si>
  <si>
    <t>070000167591</t>
  </si>
  <si>
    <t>070000167593</t>
  </si>
  <si>
    <t>070000167594</t>
  </si>
  <si>
    <t>070000164176</t>
  </si>
  <si>
    <t>070000164181</t>
  </si>
  <si>
    <t>070000164177</t>
  </si>
  <si>
    <t>070000164182</t>
  </si>
  <si>
    <t>070000164178</t>
  </si>
  <si>
    <t>070000164183</t>
  </si>
  <si>
    <t>KHI/HO/D/MO/PC COMP/P/92664/07/2024</t>
  </si>
  <si>
    <t>040000178336</t>
  </si>
  <si>
    <t>LHR/LHR/F/FR/ND/P/22679/07/2024</t>
  </si>
  <si>
    <t>040000178816</t>
  </si>
  <si>
    <t>09000357</t>
  </si>
  <si>
    <t>LHR/LHR/D/FR/ND/P/22661/07/2024</t>
  </si>
  <si>
    <t>040000178501</t>
  </si>
  <si>
    <t>09000376</t>
  </si>
  <si>
    <t>LHR/LHR/D/FR/ND/P/22662/07/2024</t>
  </si>
  <si>
    <t>040000178503</t>
  </si>
  <si>
    <t>KHI/HO/D/MO/MC COMP/P/92692/07/2024</t>
  </si>
  <si>
    <t>040000178368</t>
  </si>
  <si>
    <t>09000462</t>
  </si>
  <si>
    <t>LHR/LHR/D/MO/PC TPP/P/92672/07/2024</t>
  </si>
  <si>
    <t>040000178345</t>
  </si>
  <si>
    <t>09000840</t>
  </si>
  <si>
    <t>KHI/HO/D/MO/PC COMP/P/92682/07/2024</t>
  </si>
  <si>
    <t>040000178357</t>
  </si>
  <si>
    <t>09000249</t>
  </si>
  <si>
    <t>FSD/FSD/D/MO/PC COMP/P/92684/07/2024</t>
  </si>
  <si>
    <t>040000178359</t>
  </si>
  <si>
    <t>09000902</t>
  </si>
  <si>
    <t>070000162374</t>
  </si>
  <si>
    <t>FSD/FSD/F/FR/ND/P/22659/07/2024</t>
  </si>
  <si>
    <t>040000178498</t>
  </si>
  <si>
    <t>09000892</t>
  </si>
  <si>
    <t>LHR/LHR/D/MO/PC COMP/P/92650/07/2024</t>
  </si>
  <si>
    <t>040000178314</t>
  </si>
  <si>
    <t>LHR/LHR/D/MO/PC COMP/P/92651/07/2024</t>
  </si>
  <si>
    <t>040000178315</t>
  </si>
  <si>
    <t>09000716</t>
  </si>
  <si>
    <t>LHR/LHR/D/MO/PC COMP/C/22744/08/2024</t>
  </si>
  <si>
    <t>020000046334</t>
  </si>
  <si>
    <t>KHI/HO/D/MO/MC COMP/P/92674/07/2024</t>
  </si>
  <si>
    <t>040000178347</t>
  </si>
  <si>
    <t>FSD/FSD/F/FR/ND/P/22686/07/2024</t>
  </si>
  <si>
    <t>040000178863</t>
  </si>
  <si>
    <t>KHI/HO/D/FR/ND/P/22690/07/2024</t>
  </si>
  <si>
    <t>040000178885</t>
  </si>
  <si>
    <t>FSD/FSD/F/FR/ND/P/22655/07/2024</t>
  </si>
  <si>
    <t>040000178494</t>
  </si>
  <si>
    <t>KHI/HO/D/MO/MC TTT/C/22735/08/2024</t>
  </si>
  <si>
    <t>020000046324</t>
  </si>
  <si>
    <t>KHI/HO/D/MO/PC COMP/P/92654/07/2024</t>
  </si>
  <si>
    <t>040000178319</t>
  </si>
  <si>
    <t>09000362</t>
  </si>
  <si>
    <t>KHI/HO/D/FR/CMFTP/22688/07/2024</t>
  </si>
  <si>
    <t>040000178876</t>
  </si>
  <si>
    <t>09000338</t>
  </si>
  <si>
    <t>FSD/FSD/F/FR/ND/P/22665/07/2024</t>
  </si>
  <si>
    <t>040000178573</t>
  </si>
  <si>
    <t>FSD/FSD/F/FR/ND/P/22647/07/2024</t>
  </si>
  <si>
    <t>040000178285</t>
  </si>
  <si>
    <t>LHR/LHR/D/FR/ND/P/22650/07/2024</t>
  </si>
  <si>
    <t>040000178320</t>
  </si>
  <si>
    <t>09000138</t>
  </si>
  <si>
    <t>FSD/FSD/F/FR/ND/P/22651/07/2024</t>
  </si>
  <si>
    <t>040000178324</t>
  </si>
  <si>
    <t>LHR/LHR/D/MO/PC COMP/P/92675/07/2024</t>
  </si>
  <si>
    <t>040000178348</t>
  </si>
  <si>
    <t>09000511</t>
  </si>
  <si>
    <t>KHI/HO/D/MO/PC COMP/P/92676/07/2024</t>
  </si>
  <si>
    <t>040000178349</t>
  </si>
  <si>
    <t>KHI/HO/D/MO/MC COMP/P/92687/07/2024</t>
  </si>
  <si>
    <t>040000178362</t>
  </si>
  <si>
    <t>KHI/HO/F/FR/ND/P/22674/07/2024</t>
  </si>
  <si>
    <t>040000178760</t>
  </si>
  <si>
    <t>070000162403</t>
  </si>
  <si>
    <t>KHI/HO/D/MO/MC COMP/P/92655/07/2024</t>
  </si>
  <si>
    <t>040000178321</t>
  </si>
  <si>
    <t>KHI/HO/D/MO/MC TTT/P/92665/07/2024</t>
  </si>
  <si>
    <t>040000178337</t>
  </si>
  <si>
    <t>KHI/HO/D/MO/PC COMP/P/92666/07/2024</t>
  </si>
  <si>
    <t>040000178338</t>
  </si>
  <si>
    <t>09000541</t>
  </si>
  <si>
    <t>KHI/HO/D/MO/PC COMP/P/92671/07/2024</t>
  </si>
  <si>
    <t>040000178344</t>
  </si>
  <si>
    <t>KHI/HO/D/MO/PC COMP/P/92691/07/2024</t>
  </si>
  <si>
    <t>040000178367</t>
  </si>
  <si>
    <t>KHI/HO/F/FR/ND/P/22675/07/2024</t>
  </si>
  <si>
    <t>040000178761</t>
  </si>
  <si>
    <t>FSD/FSD/F/FR/ND/P/22681/07/2024</t>
  </si>
  <si>
    <t>040000178829</t>
  </si>
  <si>
    <t>070000162399</t>
  </si>
  <si>
    <t>070000162406</t>
  </si>
  <si>
    <t>070000162407</t>
  </si>
  <si>
    <t>070000162408</t>
  </si>
  <si>
    <t>070000162409</t>
  </si>
  <si>
    <t>FSD/FSD/F/FR/ND/P/22680/07/2024</t>
  </si>
  <si>
    <t>040000178823</t>
  </si>
  <si>
    <t>FSD/FSD/F/FR/ND/P/22682/07/2024</t>
  </si>
  <si>
    <t>040000178834</t>
  </si>
  <si>
    <t>FSD/FSD/D/FR/ND/P/22671/07/2024</t>
  </si>
  <si>
    <t>040000178604</t>
  </si>
  <si>
    <t>KHI/HO/D/MR/IMPORTS/C/22520/04/2024</t>
  </si>
  <si>
    <t>020000042730</t>
  </si>
  <si>
    <t>FSD/FSD/F/FR/ND/P/22666/07/2024</t>
  </si>
  <si>
    <t>040000178575</t>
  </si>
  <si>
    <t>KHI/AR/AR/D/MO/MC TTT/C/22740/08/2024</t>
  </si>
  <si>
    <t>020000046330</t>
  </si>
  <si>
    <t>KHI/HO/D/MO/PC COMP/P/92669/07/2024</t>
  </si>
  <si>
    <t>040000178341</t>
  </si>
  <si>
    <t>KHI/HO/D/FR/ND/P/22691/07/2024</t>
  </si>
  <si>
    <t>040000178978</t>
  </si>
  <si>
    <t>09000308</t>
  </si>
  <si>
    <t>LHR/LHR/D/MO/PC COMP/C/22738/08/2024</t>
  </si>
  <si>
    <t>020000046328</t>
  </si>
  <si>
    <t>KHI/HO/F/FR/ND/P/22677/07/2024</t>
  </si>
  <si>
    <t>040000178811</t>
  </si>
  <si>
    <t>LHR/LHR/F/FR/ND/P/22676/07/2024</t>
  </si>
  <si>
    <t>040000178802</t>
  </si>
  <si>
    <t>FSD/FSD/F/FR/ND/P/22689/07/2024</t>
  </si>
  <si>
    <t>040000178883</t>
  </si>
  <si>
    <t>KHI/HO/D/MO/PC TPP/C/22742/08/2024</t>
  </si>
  <si>
    <t>020000046332</t>
  </si>
  <si>
    <t>LHR/LHR/D/FR/ND/P/22649/07/2024</t>
  </si>
  <si>
    <t>040000178317</t>
  </si>
  <si>
    <t>KHI/HO/D/MO/PC COMP/P/92668/07/2024</t>
  </si>
  <si>
    <t>040000178340</t>
  </si>
  <si>
    <t>KHI/HO/D/MO/MC TTT/P/92663/07/2024</t>
  </si>
  <si>
    <t>040000178334</t>
  </si>
  <si>
    <t>KHI/HO/D/MO/PC COMP/R/72648/07/2024</t>
  </si>
  <si>
    <t>080000164675</t>
  </si>
  <si>
    <t>FSD/FSD/F/FR/ND/P/22652/07/2024</t>
  </si>
  <si>
    <t>040000178326</t>
  </si>
  <si>
    <t>FSD/FSD/F/FR/ND/P/22653/07/2024</t>
  </si>
  <si>
    <t>040000178327</t>
  </si>
  <si>
    <t>KHI/HO/D/MO/PC COMP/P/92677/07/2024</t>
  </si>
  <si>
    <t>040000178351</t>
  </si>
  <si>
    <t>FSD/FSD/F/FR/ND/P/22672/07/2024</t>
  </si>
  <si>
    <t>040000178700</t>
  </si>
  <si>
    <t>FSD/FSD/F/FR/ND/P/22684/07/2024</t>
  </si>
  <si>
    <t>040000178855</t>
  </si>
  <si>
    <t>070000162391</t>
  </si>
  <si>
    <t>070000162393</t>
  </si>
  <si>
    <t>FSD/FSD/F/FR/ND/P/22673/07/2024</t>
  </si>
  <si>
    <t>040000178722</t>
  </si>
  <si>
    <t>070000162384</t>
  </si>
  <si>
    <t>070000162394</t>
  </si>
  <si>
    <t>070000162398</t>
  </si>
  <si>
    <t>KHI/HO/D/MO/MC COMP/P/92656/07/2024</t>
  </si>
  <si>
    <t>040000178322</t>
  </si>
  <si>
    <t>KHI/HO/D/MO/MC COMP/P/92683/07/2024</t>
  </si>
  <si>
    <t>040000178358</t>
  </si>
  <si>
    <t>KHI/HO/D/MO/PC TPP/P/92690/07/2024</t>
  </si>
  <si>
    <t>040000178366</t>
  </si>
  <si>
    <t>09000426</t>
  </si>
  <si>
    <t>KHI/HO/D/MO/MC COMP/P/92676/07/2024</t>
  </si>
  <si>
    <t>040000178350</t>
  </si>
  <si>
    <t>FSD/FSD/F/FR/ND/P/22683/07/2024</t>
  </si>
  <si>
    <t>040000178852</t>
  </si>
  <si>
    <t>KHI/HO/D/MO/MC COMP/P/92657/07/2024</t>
  </si>
  <si>
    <t>040000178323</t>
  </si>
  <si>
    <t>KHI/HO/D/MO/MC COMP/P/92658/07/2024</t>
  </si>
  <si>
    <t>040000178325</t>
  </si>
  <si>
    <t>040000178343</t>
  </si>
  <si>
    <t>FSD/FSD/D/FR/ND/P/22669/07/2024</t>
  </si>
  <si>
    <t>040000178602</t>
  </si>
  <si>
    <t>KHI/HO/D/MO/PC TPP/C/22734/08/2024</t>
  </si>
  <si>
    <t>020000046321</t>
  </si>
  <si>
    <t>KHI/HO/D/MO/PC COMP/R/72674/07/2024</t>
  </si>
  <si>
    <t>080000164635</t>
  </si>
  <si>
    <t>KHI/HO/D/MO/PC COMP/R/72671/07/2024</t>
  </si>
  <si>
    <t>080000164637</t>
  </si>
  <si>
    <t>070000162414</t>
  </si>
  <si>
    <t>KHI/HO/F/FR/ND/P/22692/07/2024</t>
  </si>
  <si>
    <t>040000179002</t>
  </si>
  <si>
    <t>09000383</t>
  </si>
  <si>
    <t>070000162395</t>
  </si>
  <si>
    <t>070000162396</t>
  </si>
  <si>
    <t>FSD/FSD/F/FR/ND/P/22663/07/2024</t>
  </si>
  <si>
    <t>040000178510</t>
  </si>
  <si>
    <t>LHR/LHR/F/FR/ND/P/22687/07/2024</t>
  </si>
  <si>
    <t>040000178874</t>
  </si>
  <si>
    <t>FSD/FSD/F/FR/ND/P/22660/07/2024</t>
  </si>
  <si>
    <t>040000178499</t>
  </si>
  <si>
    <t>LHR/LHR/D/MO/PC TPP/C/22736/08/2024</t>
  </si>
  <si>
    <t>020000046326</t>
  </si>
  <si>
    <t>KHI/AR/AR/D/MO/MC TTT/C/22737/08/2024</t>
  </si>
  <si>
    <t>020000046327</t>
  </si>
  <si>
    <t>KHI/HO/D/MO/PC COMP/P/92653/07/2024</t>
  </si>
  <si>
    <t>040000178318</t>
  </si>
  <si>
    <t>KHI/HO/D/MO/PC TPP/P/92662/07/2024</t>
  </si>
  <si>
    <t>040000178332</t>
  </si>
  <si>
    <t>09000451</t>
  </si>
  <si>
    <t>KHI/HO/D/MO/PC COMP/C/22743/08/2024</t>
  </si>
  <si>
    <t>020000046333</t>
  </si>
  <si>
    <t>09000588</t>
  </si>
  <si>
    <t>FSD/FSD/F/FR/ND/P/22648/07/2024</t>
  </si>
  <si>
    <t>040000178305</t>
  </si>
  <si>
    <t>KHI/HO/D/MO/MC COMP/P/92659/07/2024</t>
  </si>
  <si>
    <t>040000178328</t>
  </si>
  <si>
    <t>KHI/HO/D/MO/MC COMP/P/92660/07/2024</t>
  </si>
  <si>
    <t>040000178329</t>
  </si>
  <si>
    <t>KHI/HO/D/MO/MC COMP/P/92661/07/2024</t>
  </si>
  <si>
    <t>040000178330</t>
  </si>
  <si>
    <t>LHR/LHR/D/MO/PC COMP/C/22741/08/2024</t>
  </si>
  <si>
    <t>020000046331</t>
  </si>
  <si>
    <t>070000162371</t>
  </si>
  <si>
    <t>070000162373</t>
  </si>
  <si>
    <t>070000162375</t>
  </si>
  <si>
    <t>070000162377</t>
  </si>
  <si>
    <t>070000162378</t>
  </si>
  <si>
    <t>070000162379</t>
  </si>
  <si>
    <t>070000162381</t>
  </si>
  <si>
    <t>070000162382</t>
  </si>
  <si>
    <t>070000162383</t>
  </si>
  <si>
    <t>070000162386</t>
  </si>
  <si>
    <t>070000162387</t>
  </si>
  <si>
    <t>KHI/HO/D/MO/PC COMP/R/82796/10/2024</t>
  </si>
  <si>
    <t>080000169736</t>
  </si>
  <si>
    <t>KHI/HO/D/MO/CV/C/22739/08/2024</t>
  </si>
  <si>
    <t>020000046329</t>
  </si>
  <si>
    <t>KHI/HO/D/MO/PC COMP/R/72668/07/2024</t>
  </si>
  <si>
    <t>080000164692</t>
  </si>
  <si>
    <t>070000164179</t>
  </si>
  <si>
    <t>070000164184</t>
  </si>
  <si>
    <t>KHI/HO/D/MO/MC TTT/P/92679/07/2024</t>
  </si>
  <si>
    <t>040000178353</t>
  </si>
  <si>
    <t>09000254</t>
  </si>
  <si>
    <t>070000162390</t>
  </si>
  <si>
    <t>070000162401</t>
  </si>
  <si>
    <t>070000162369</t>
  </si>
  <si>
    <t>070000162370</t>
  </si>
  <si>
    <t>070000162372</t>
  </si>
  <si>
    <t>070000162376</t>
  </si>
  <si>
    <t>070000162380</t>
  </si>
  <si>
    <t>070000162385</t>
  </si>
  <si>
    <t>070000162388</t>
  </si>
  <si>
    <t>070000162402</t>
  </si>
  <si>
    <t>070000164175</t>
  </si>
  <si>
    <t>070000164180</t>
  </si>
  <si>
    <t>070000164185</t>
  </si>
  <si>
    <t>KHI/HO/D/HLGRP HEALTH/R/2784/10/2024</t>
  </si>
  <si>
    <t>080000170174</t>
  </si>
  <si>
    <t>09000311</t>
  </si>
  <si>
    <t>KHI/HO/D/HLGRP HEALTH/R/2785/10/2024</t>
  </si>
  <si>
    <t>080000170175</t>
  </si>
  <si>
    <t>KHI/HO/D/HLGRP HEALTH/R/2793/10/2024</t>
  </si>
  <si>
    <t>080000170176</t>
  </si>
  <si>
    <t>09000401</t>
  </si>
  <si>
    <t>KHI/HO/D/HLGRP HEALTH/R/2794/10/2024</t>
  </si>
  <si>
    <t>080000170177</t>
  </si>
  <si>
    <t>KHI/HO/D/HLGRP HEALTH/R/2795/10/2024</t>
  </si>
  <si>
    <t>080000170178</t>
  </si>
  <si>
    <t>KHI/HO/D/HLGRP HEALTH/R/2796/10/2024</t>
  </si>
  <si>
    <t>080000170179</t>
  </si>
  <si>
    <t>070000167592</t>
  </si>
  <si>
    <t>FSD/FSD/F/FR/ND/P/22668/07/2024</t>
  </si>
  <si>
    <t>040000178580</t>
  </si>
  <si>
    <t>FSD/FSD/F/FR/ND/P/22664/07/2024</t>
  </si>
  <si>
    <t>040000178525</t>
  </si>
  <si>
    <t>FSD/FSD/F/FR/ND/P/22657/07/2024</t>
  </si>
  <si>
    <t>040000178496</t>
  </si>
  <si>
    <t>FSD/FSD/F/FR/ND/P/22656/07/2024</t>
  </si>
  <si>
    <t>040000178495</t>
  </si>
  <si>
    <t>LHR/LHR/D/MO/PC COMP/P/92685/07/2024</t>
  </si>
  <si>
    <t>040000178360</t>
  </si>
  <si>
    <t>FSD/FSD/F/FR/ND/P/22658/07/2024</t>
  </si>
  <si>
    <t>040000178497</t>
  </si>
  <si>
    <t>KHI/HO/D/FR/ND/P/22654/07/2024</t>
  </si>
  <si>
    <t>040000178354</t>
  </si>
  <si>
    <t>09000213</t>
  </si>
  <si>
    <t>KHI/HO/D/MO/PC COMP/P/92681/07/2024</t>
  </si>
  <si>
    <t>040000178356</t>
  </si>
  <si>
    <t>09000236</t>
  </si>
  <si>
    <t>KHI/HO/D/MO/PC COMP/P/92680/07/2024</t>
  </si>
  <si>
    <t>040000178355</t>
  </si>
  <si>
    <t>FSD/FSD/F/FR/ND/P/22685/07/2024</t>
  </si>
  <si>
    <t>040000178858</t>
  </si>
  <si>
    <t>070000162405</t>
  </si>
  <si>
    <t>070000162410</t>
  </si>
  <si>
    <t>070000162411</t>
  </si>
  <si>
    <t>070000162412</t>
  </si>
  <si>
    <t>KHI/HO/D/MO/PC COMP/P/92647/07/2024</t>
  </si>
  <si>
    <t>040000178311</t>
  </si>
  <si>
    <t>09000208</t>
  </si>
  <si>
    <t>070000162413</t>
  </si>
  <si>
    <t>KHI/HO/D/MO/PC TPP/P/92686/07/2024</t>
  </si>
  <si>
    <t>040000178361</t>
  </si>
  <si>
    <t>070000162404</t>
  </si>
  <si>
    <t>070000162397</t>
  </si>
  <si>
    <t>KHI/HO/D/MO/PC TPP/P/102818/11/2024</t>
  </si>
  <si>
    <t>040000190337</t>
  </si>
  <si>
    <t>KHI/HO/D/MO/MC COMP/P/102832/11/2024</t>
  </si>
  <si>
    <t>040000190351</t>
  </si>
  <si>
    <t>KHI/HO/D/MO/MC COMP/P/102833/11/2024</t>
  </si>
  <si>
    <t>040000190352</t>
  </si>
  <si>
    <t>KHI/HO/D/MO/MC COMP/P/102815/11/2024</t>
  </si>
  <si>
    <t>040000190334</t>
  </si>
  <si>
    <t>KHI/HO/D/MO/PC COMP/P/102821/11/2024</t>
  </si>
  <si>
    <t>040000190340</t>
  </si>
  <si>
    <t>KHI/HO/D/MO/MC COMP/P/102823/11/2024</t>
  </si>
  <si>
    <t>040000190342</t>
  </si>
  <si>
    <t>KHI/HO/D/MO/MC COMP/P/102845/11/2024</t>
  </si>
  <si>
    <t>040000190366</t>
  </si>
  <si>
    <t>KHI/HO/D/MO/PC COMP/P/102840/11/2024</t>
  </si>
  <si>
    <t>040000190360</t>
  </si>
  <si>
    <t>KHI/HO/D/MO/MC COMP/P/102842/11/2024</t>
  </si>
  <si>
    <t>040000190362</t>
  </si>
  <si>
    <t>KHI/HO/D/MO/MC COMP/P/102843/11/2024</t>
  </si>
  <si>
    <t>040000190363</t>
  </si>
  <si>
    <t>KHI/HO/D/MO/MC COMP/P/102837/11/2024</t>
  </si>
  <si>
    <t>040000190357</t>
  </si>
  <si>
    <t>KHI/HO/D/MO/PC COMP/P/102839/11/2024</t>
  </si>
  <si>
    <t>040000190359</t>
  </si>
  <si>
    <t>09000593</t>
  </si>
  <si>
    <t>KHI/HO/D/MO/PC COMP/P/102844/11/2024</t>
  </si>
  <si>
    <t>040000190364</t>
  </si>
  <si>
    <t>09000264</t>
  </si>
  <si>
    <t>KHI/HO/D/MO/MC COMP/P/102822/11/2024</t>
  </si>
  <si>
    <t>040000190341</t>
  </si>
  <si>
    <t>KHI/HO/D/MO/PC COMP/P/102841/11/2024</t>
  </si>
  <si>
    <t>040000190361</t>
  </si>
  <si>
    <t>KHI/HO/D/MO/MC COMP/P/102816/11/2024</t>
  </si>
  <si>
    <t>040000190335</t>
  </si>
  <si>
    <t>KHI/HO/D/MO/MC COMP/P/102817/11/2024</t>
  </si>
  <si>
    <t>040000190336</t>
  </si>
  <si>
    <t>KHI/HO/D/MO/MC COMP/P/102819/11/2024</t>
  </si>
  <si>
    <t>040000190338</t>
  </si>
  <si>
    <t>KHI/HO/D/MO/MC COMP/P/102820/11/2024</t>
  </si>
  <si>
    <t>040000190339</t>
  </si>
  <si>
    <t>KHI/HO/D/MO/PC COMP/P/102838/11/2024</t>
  </si>
  <si>
    <t>040000190358</t>
  </si>
  <si>
    <t>070000169508</t>
  </si>
  <si>
    <t>070000169513</t>
  </si>
  <si>
    <t>070000169509</t>
  </si>
  <si>
    <t>070000169510</t>
  </si>
  <si>
    <t>070000169511</t>
  </si>
  <si>
    <t>070000169512</t>
  </si>
  <si>
    <t>070000169514</t>
  </si>
  <si>
    <t>070000169515</t>
  </si>
  <si>
    <t>070000169516</t>
  </si>
  <si>
    <t>KHI/HO/D/MO/PC COMP/P/102836/11/2024</t>
  </si>
  <si>
    <t>040000190355</t>
  </si>
  <si>
    <t>070000171446</t>
  </si>
  <si>
    <t>070000171452</t>
  </si>
  <si>
    <t>KHI/AR/AR/D/MO/MC TTT/P/102834/11/2024</t>
  </si>
  <si>
    <t>040000190353</t>
  </si>
  <si>
    <t>09000825</t>
  </si>
  <si>
    <t>KHI/HO/D/MO/PC COMP/P/102835/11/2024</t>
  </si>
  <si>
    <t>040000190354</t>
  </si>
  <si>
    <t>070000171439</t>
  </si>
  <si>
    <t>070000171440</t>
  </si>
  <si>
    <t>070000171441</t>
  </si>
  <si>
    <t>070000171442</t>
  </si>
  <si>
    <t>070000171443</t>
  </si>
  <si>
    <t>070000171444</t>
  </si>
  <si>
    <t>070000171445</t>
  </si>
  <si>
    <t>070000171447</t>
  </si>
  <si>
    <t>070000171448</t>
  </si>
  <si>
    <t>070000171449</t>
  </si>
  <si>
    <t>070000171450</t>
  </si>
  <si>
    <t>070000171451</t>
  </si>
  <si>
    <t>POLICY NO.</t>
  </si>
  <si>
    <t>Assorted_code</t>
  </si>
  <si>
    <t>Premium</t>
  </si>
  <si>
    <t>11Dec240052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</si>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</sst>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0"/>
      <color indexed="8"/>
      <name val="Arial"/>
      <family val="2"/>
    </font>
    <font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theme="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43" fontId="0" fillId="0" borderId="0" xfId="0" applyNumberFormat="1"/>
    <xf numFmtId="9" fontId="0" fillId="0" borderId="1" xfId="2" applyFont="1" applyFill="1" applyBorder="1" applyAlignment="1">
      <alignment vertical="top"/>
    </xf>
    <xf numFmtId="164" fontId="0" fillId="0" borderId="0" xfId="0" applyNumberFormat="1"/>
    <xf numFmtId="164" fontId="0" fillId="2" borderId="0" xfId="0" applyNumberFormat="1" applyFill="1"/>
    <xf numFmtId="0" fontId="0" fillId="0" borderId="2" xfId="0" applyFont="1" applyBorder="1" applyAlignment="1">
      <alignment vertical="top"/>
    </xf>
    <xf numFmtId="9" fontId="0" fillId="0" borderId="2" xfId="2" applyNumberFormat="1" applyFont="1" applyBorder="1" applyAlignment="1">
      <alignment vertical="top"/>
    </xf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0" fillId="0" borderId="0" xfId="0" applyAlignment="1">
      <alignment vertical="top"/>
    </xf>
    <xf numFmtId="165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6" fillId="0" borderId="0" xfId="0" applyFont="1"/>
    <xf numFmtId="0" fontId="7" fillId="0" borderId="0" xfId="0" applyFont="1" applyAlignment="1">
      <alignment vertical="top"/>
    </xf>
    <xf numFmtId="43" fontId="0" fillId="0" borderId="3" xfId="1" applyFont="1" applyBorder="1" applyAlignment="1">
      <alignment horizontal="center" vertical="top"/>
    </xf>
    <xf numFmtId="43" fontId="4" fillId="0" borderId="3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23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23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23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8187F-A620-48DC-B4BE-5300FFFA11CD}" name="Table1" displayName="Table1" ref="A1:F148" totalsRowShown="0">
  <autoFilter ref="A1:F148" xr:uid="{97F8187F-A620-48DC-B4BE-5300FFFA11CD}"/>
  <tableColumns count="6">
    <tableColumn id="1" xr3:uid="{420E4271-3F7A-4E58-AF8F-6D6743C25E12}" name="Certificate  Number" dataDxfId="12"/>
    <tableColumn id="2" xr3:uid="{2542021A-FBD0-46C4-BD32-53E2E92E9E27}" name="Name" dataDxfId="11"/>
    <tableColumn id="3" xr3:uid="{D60DEED5-6C62-4434-97C1-7EEAEC42A6C9}" name="Net Contribution" dataDxfId="10" dataCellStyle="Comma"/>
    <tableColumn id="4" xr3:uid="{C88B9AD1-2854-48EB-A852-AB93ECAB7205}" name="Service Charges" dataDxfId="9"/>
    <tableColumn id="5" xr3:uid="{6618E9F5-C56A-42A6-BD2E-E66950262652}" name="Balance"/>
    <tableColumn id="6" xr3:uid="{A62EC817-A8E6-4DB1-A2F1-3F87790B347E}" name="Column1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9FE-5E4E-4FE9-A5A8-C7890617DC35}">
  <dimension ref="A1:G148"/>
  <sheetViews>
    <sheetView tabSelected="1" topLeftCell="A129" workbookViewId="0">
      <selection activeCell="F149" sqref="F149"/>
    </sheetView>
  </sheetViews>
  <sheetFormatPr defaultRowHeight="15" x14ac:dyDescent="0.25"/>
  <cols>
    <col min="1" max="1" width="31.28515625" bestFit="1" customWidth="1"/>
    <col min="2" max="2" width="29.7109375" customWidth="1"/>
    <col min="3" max="3" width="16" customWidth="1"/>
    <col min="4" max="4" width="15.7109375" customWidth="1"/>
    <col min="5" max="5" width="10.42578125" bestFit="1" customWidth="1"/>
    <col min="6" max="6" width="10.5703125" bestFit="1" customWidth="1"/>
  </cols>
  <sheetData>
    <row r="1" spans="1:7" x14ac:dyDescent="0.25">
      <c r="A1" t="s">
        <v>274</v>
      </c>
      <c r="B1" t="s">
        <v>0</v>
      </c>
      <c r="C1" t="s">
        <v>1</v>
      </c>
      <c r="D1" t="s">
        <v>2</v>
      </c>
      <c r="E1" t="s">
        <v>275</v>
      </c>
      <c r="F1" t="s">
        <v>276</v>
      </c>
    </row>
    <row r="2" spans="1:7" x14ac:dyDescent="0.25">
      <c r="A2" s="1" t="s">
        <v>3</v>
      </c>
      <c r="B2" s="1" t="s">
        <v>4</v>
      </c>
      <c r="C2" s="2">
        <v>5001</v>
      </c>
      <c r="D2" t="s">
        <v>278</v>
      </c>
      <c r="F2" s="3">
        <v>125.02500000000001</v>
      </c>
      <c r="G2" t="s">
        <v>278</v>
      </c>
    </row>
    <row r="3" spans="1:7" x14ac:dyDescent="0.25">
      <c r="A3" s="1" t="s">
        <v>5</v>
      </c>
      <c r="B3" s="1" t="s">
        <v>6</v>
      </c>
      <c r="C3" s="2">
        <v>3995</v>
      </c>
      <c r="D3" t="s">
        <v>279</v>
      </c>
      <c r="F3" s="3">
        <v>99.875</v>
      </c>
      <c r="G3" t="s">
        <v>279</v>
      </c>
    </row>
    <row r="4" spans="1:7" x14ac:dyDescent="0.25">
      <c r="A4" s="1" t="s">
        <v>7</v>
      </c>
      <c r="B4" s="1" t="s">
        <v>8</v>
      </c>
      <c r="C4" s="2">
        <v>15999</v>
      </c>
      <c r="D4" t="s">
        <v>280</v>
      </c>
      <c r="F4" s="3">
        <v>399.97500000000002</v>
      </c>
      <c r="G4" t="s">
        <v>280</v>
      </c>
    </row>
    <row r="5" spans="1:7" x14ac:dyDescent="0.25">
      <c r="A5" s="1" t="s">
        <v>9</v>
      </c>
      <c r="B5" s="1" t="s">
        <v>10</v>
      </c>
      <c r="C5" s="2">
        <v>4000</v>
      </c>
      <c r="D5" t="s">
        <v>281</v>
      </c>
      <c r="F5" s="3">
        <v>100</v>
      </c>
      <c r="G5" t="s">
        <v>281</v>
      </c>
    </row>
    <row r="6" spans="1:7" x14ac:dyDescent="0.25">
      <c r="A6" s="1" t="s">
        <v>11</v>
      </c>
      <c r="B6" s="1" t="s">
        <v>12</v>
      </c>
      <c r="C6" s="2">
        <v>1996</v>
      </c>
      <c r="D6" t="s">
        <v>282</v>
      </c>
      <c r="F6" s="3">
        <v>49.900000000000006</v>
      </c>
      <c r="G6" t="s">
        <v>282</v>
      </c>
    </row>
    <row r="7" spans="1:7" x14ac:dyDescent="0.25">
      <c r="A7" s="1" t="s">
        <v>13</v>
      </c>
      <c r="B7" s="1" t="s">
        <v>12</v>
      </c>
      <c r="C7" s="2">
        <v>1998</v>
      </c>
      <c r="D7" t="s">
        <v>283</v>
      </c>
      <c r="F7" s="3">
        <v>49.95</v>
      </c>
      <c r="G7" t="s">
        <v>283</v>
      </c>
    </row>
    <row r="8" spans="1:7" x14ac:dyDescent="0.25">
      <c r="A8" s="1" t="s">
        <v>14</v>
      </c>
      <c r="B8" s="1" t="s">
        <v>15</v>
      </c>
      <c r="C8" s="2">
        <v>3596</v>
      </c>
      <c r="D8" t="s">
        <v>284</v>
      </c>
      <c r="F8" s="3">
        <v>89.9</v>
      </c>
      <c r="G8" t="s">
        <v>284</v>
      </c>
    </row>
    <row r="9" spans="1:7" x14ac:dyDescent="0.25">
      <c r="A9" s="1" t="s">
        <v>16</v>
      </c>
      <c r="B9" s="1" t="s">
        <v>17</v>
      </c>
      <c r="C9" s="2">
        <v>27997</v>
      </c>
      <c r="D9" t="s">
        <v>285</v>
      </c>
      <c r="F9" s="3">
        <v>699.92500000000007</v>
      </c>
      <c r="G9" t="s">
        <v>285</v>
      </c>
    </row>
    <row r="10" spans="1:7" x14ac:dyDescent="0.25">
      <c r="A10" s="1" t="s">
        <v>18</v>
      </c>
      <c r="B10" s="1" t="s">
        <v>19</v>
      </c>
      <c r="C10" s="2">
        <v>29996</v>
      </c>
      <c r="D10" t="s">
        <v>286</v>
      </c>
      <c r="F10" s="3">
        <v>749.90000000000009</v>
      </c>
      <c r="G10" t="s">
        <v>286</v>
      </c>
    </row>
    <row r="11" spans="1:7" x14ac:dyDescent="0.25">
      <c r="A11" s="1" t="s">
        <v>20</v>
      </c>
      <c r="B11" s="1" t="s">
        <v>21</v>
      </c>
      <c r="C11" s="2">
        <v>15997</v>
      </c>
      <c r="D11" t="s">
        <v>287</v>
      </c>
      <c r="F11" s="3">
        <v>399.92500000000001</v>
      </c>
      <c r="G11" t="s">
        <v>287</v>
      </c>
    </row>
    <row r="12" spans="1:7" x14ac:dyDescent="0.25">
      <c r="A12" s="1" t="s">
        <v>22</v>
      </c>
      <c r="B12" s="1" t="s">
        <v>23</v>
      </c>
      <c r="C12" s="2">
        <v>19997</v>
      </c>
      <c r="D12" t="s">
        <v>288</v>
      </c>
      <c r="F12" s="3">
        <v>499.92500000000001</v>
      </c>
      <c r="G12" t="s">
        <v>288</v>
      </c>
    </row>
    <row r="13" spans="1:7" x14ac:dyDescent="0.25">
      <c r="A13" s="1" t="s">
        <v>24</v>
      </c>
      <c r="B13" s="1" t="s">
        <v>25</v>
      </c>
      <c r="C13" s="2">
        <v>12000</v>
      </c>
      <c r="D13" t="s">
        <v>289</v>
      </c>
      <c r="F13" s="3">
        <v>300</v>
      </c>
      <c r="G13" t="s">
        <v>289</v>
      </c>
    </row>
    <row r="14" spans="1:7" x14ac:dyDescent="0.25">
      <c r="A14" s="1" t="s">
        <v>26</v>
      </c>
      <c r="B14" s="1" t="s">
        <v>27</v>
      </c>
      <c r="C14" s="2">
        <v>3995</v>
      </c>
      <c r="D14" t="s">
        <v>279</v>
      </c>
      <c r="F14" s="3">
        <v>99.875</v>
      </c>
      <c r="G14" t="s">
        <v>279</v>
      </c>
    </row>
    <row r="15" spans="1:7" x14ac:dyDescent="0.25">
      <c r="A15" s="1" t="s">
        <v>28</v>
      </c>
      <c r="B15" s="1" t="s">
        <v>29</v>
      </c>
      <c r="C15" s="2">
        <v>16000</v>
      </c>
      <c r="D15" t="s">
        <v>290</v>
      </c>
      <c r="F15" s="3">
        <v>400</v>
      </c>
      <c r="G15" t="s">
        <v>290</v>
      </c>
    </row>
    <row r="16" spans="1:7" x14ac:dyDescent="0.25">
      <c r="A16" s="1" t="s">
        <v>30</v>
      </c>
      <c r="B16" s="1" t="s">
        <v>31</v>
      </c>
      <c r="C16" s="2">
        <v>11996</v>
      </c>
      <c r="D16" t="s">
        <v>291</v>
      </c>
      <c r="F16" s="3">
        <v>299.90000000000003</v>
      </c>
      <c r="G16" t="s">
        <v>291</v>
      </c>
    </row>
    <row r="17" spans="1:7" x14ac:dyDescent="0.25">
      <c r="A17" s="1" t="s">
        <v>32</v>
      </c>
      <c r="B17" s="1" t="s">
        <v>33</v>
      </c>
      <c r="C17" s="2">
        <v>13996</v>
      </c>
      <c r="D17" t="s">
        <v>292</v>
      </c>
      <c r="F17" s="3">
        <v>349.90000000000003</v>
      </c>
      <c r="G17" t="s">
        <v>292</v>
      </c>
    </row>
    <row r="18" spans="1:7" x14ac:dyDescent="0.25">
      <c r="A18" s="1" t="s">
        <v>34</v>
      </c>
      <c r="B18" s="1" t="s">
        <v>35</v>
      </c>
      <c r="C18" s="2">
        <v>8000</v>
      </c>
      <c r="D18" t="s">
        <v>293</v>
      </c>
      <c r="F18" s="3">
        <v>200</v>
      </c>
      <c r="G18" t="s">
        <v>293</v>
      </c>
    </row>
    <row r="19" spans="1:7" x14ac:dyDescent="0.25">
      <c r="A19" s="1" t="s">
        <v>36</v>
      </c>
      <c r="B19" s="1" t="s">
        <v>37</v>
      </c>
      <c r="C19" s="2">
        <v>11201</v>
      </c>
      <c r="D19" t="s">
        <v>294</v>
      </c>
      <c r="F19" s="3">
        <v>280.02500000000003</v>
      </c>
      <c r="G19" t="s">
        <v>294</v>
      </c>
    </row>
    <row r="20" spans="1:7" x14ac:dyDescent="0.25">
      <c r="A20" s="1" t="s">
        <v>38</v>
      </c>
      <c r="B20" s="1" t="s">
        <v>39</v>
      </c>
      <c r="C20" s="2">
        <v>996</v>
      </c>
      <c r="D20" t="s">
        <v>295</v>
      </c>
      <c r="F20" s="3">
        <v>24.900000000000002</v>
      </c>
      <c r="G20" t="s">
        <v>295</v>
      </c>
    </row>
    <row r="21" spans="1:7" x14ac:dyDescent="0.25">
      <c r="A21" s="1" t="s">
        <v>40</v>
      </c>
      <c r="B21" s="1" t="s">
        <v>41</v>
      </c>
      <c r="C21" s="2">
        <v>3196</v>
      </c>
      <c r="D21" t="s">
        <v>296</v>
      </c>
      <c r="F21" s="3">
        <v>79.900000000000006</v>
      </c>
      <c r="G21" t="s">
        <v>296</v>
      </c>
    </row>
    <row r="22" spans="1:7" x14ac:dyDescent="0.25">
      <c r="A22" s="1" t="s">
        <v>42</v>
      </c>
      <c r="B22" s="1" t="s">
        <v>43</v>
      </c>
      <c r="C22" s="2">
        <v>16000</v>
      </c>
      <c r="D22" t="s">
        <v>290</v>
      </c>
      <c r="F22" s="3">
        <v>400</v>
      </c>
      <c r="G22" t="s">
        <v>290</v>
      </c>
    </row>
    <row r="23" spans="1:7" x14ac:dyDescent="0.25">
      <c r="A23" s="1" t="s">
        <v>44</v>
      </c>
      <c r="B23" s="1" t="s">
        <v>45</v>
      </c>
      <c r="C23" s="2">
        <v>4798</v>
      </c>
      <c r="D23" t="s">
        <v>297</v>
      </c>
      <c r="F23" s="3">
        <v>119.95</v>
      </c>
      <c r="G23" t="s">
        <v>297</v>
      </c>
    </row>
    <row r="24" spans="1:7" x14ac:dyDescent="0.25">
      <c r="A24" s="1" t="s">
        <v>46</v>
      </c>
      <c r="B24" s="1" t="s">
        <v>47</v>
      </c>
      <c r="C24" s="2">
        <v>11995</v>
      </c>
      <c r="D24" t="s">
        <v>298</v>
      </c>
      <c r="F24" s="3">
        <v>299.875</v>
      </c>
      <c r="G24" t="s">
        <v>298</v>
      </c>
    </row>
    <row r="25" spans="1:7" x14ac:dyDescent="0.25">
      <c r="A25" s="1" t="s">
        <v>48</v>
      </c>
      <c r="B25" s="1" t="s">
        <v>47</v>
      </c>
      <c r="C25" s="2">
        <v>12000</v>
      </c>
      <c r="D25" t="s">
        <v>289</v>
      </c>
      <c r="F25" s="3">
        <v>300</v>
      </c>
      <c r="G25" t="s">
        <v>289</v>
      </c>
    </row>
    <row r="26" spans="1:7" x14ac:dyDescent="0.25">
      <c r="A26" s="1" t="s">
        <v>49</v>
      </c>
      <c r="B26" s="1" t="s">
        <v>50</v>
      </c>
      <c r="C26" s="2">
        <v>14997</v>
      </c>
      <c r="D26" t="s">
        <v>299</v>
      </c>
      <c r="F26" s="3">
        <v>374.92500000000001</v>
      </c>
      <c r="G26" t="s">
        <v>299</v>
      </c>
    </row>
    <row r="27" spans="1:7" x14ac:dyDescent="0.25">
      <c r="A27" s="1" t="s">
        <v>51</v>
      </c>
      <c r="B27" s="1" t="s">
        <v>52</v>
      </c>
      <c r="C27" s="2">
        <v>1999</v>
      </c>
      <c r="D27" t="s">
        <v>300</v>
      </c>
      <c r="F27" s="3">
        <v>49.975000000000001</v>
      </c>
      <c r="G27" t="s">
        <v>300</v>
      </c>
    </row>
    <row r="28" spans="1:7" x14ac:dyDescent="0.25">
      <c r="A28" s="1" t="s">
        <v>53</v>
      </c>
      <c r="B28" s="1" t="s">
        <v>54</v>
      </c>
      <c r="C28" s="2">
        <v>1196</v>
      </c>
      <c r="D28" t="s">
        <v>301</v>
      </c>
      <c r="F28" s="3">
        <v>29.900000000000002</v>
      </c>
      <c r="G28" t="s">
        <v>301</v>
      </c>
    </row>
    <row r="29" spans="1:7" x14ac:dyDescent="0.25">
      <c r="A29" s="1" t="s">
        <v>55</v>
      </c>
      <c r="B29" s="1" t="s">
        <v>56</v>
      </c>
      <c r="C29" s="2">
        <v>9997</v>
      </c>
      <c r="D29" t="s">
        <v>302</v>
      </c>
      <c r="F29" s="3">
        <v>249.92500000000001</v>
      </c>
      <c r="G29" t="s">
        <v>302</v>
      </c>
    </row>
    <row r="30" spans="1:7" x14ac:dyDescent="0.25">
      <c r="A30" s="1" t="s">
        <v>57</v>
      </c>
      <c r="B30" s="1" t="s">
        <v>58</v>
      </c>
      <c r="C30" s="2">
        <v>18001</v>
      </c>
      <c r="D30" t="s">
        <v>303</v>
      </c>
      <c r="F30" s="3">
        <v>450.02500000000003</v>
      </c>
      <c r="G30" t="s">
        <v>303</v>
      </c>
    </row>
    <row r="31" spans="1:7" x14ac:dyDescent="0.25">
      <c r="A31" s="1" t="s">
        <v>59</v>
      </c>
      <c r="B31" s="1" t="s">
        <v>60</v>
      </c>
      <c r="C31" s="2">
        <v>10396</v>
      </c>
      <c r="D31" t="s">
        <v>304</v>
      </c>
      <c r="F31" s="3">
        <v>259.90000000000003</v>
      </c>
      <c r="G31" t="s">
        <v>304</v>
      </c>
    </row>
    <row r="32" spans="1:7" x14ac:dyDescent="0.25">
      <c r="A32" s="1" t="s">
        <v>61</v>
      </c>
      <c r="B32" s="1" t="s">
        <v>62</v>
      </c>
      <c r="C32" s="2">
        <v>35997</v>
      </c>
      <c r="D32" t="s">
        <v>305</v>
      </c>
      <c r="F32" s="3">
        <v>899.92500000000007</v>
      </c>
      <c r="G32" t="s">
        <v>305</v>
      </c>
    </row>
    <row r="33" spans="1:7" x14ac:dyDescent="0.25">
      <c r="A33" s="1" t="s">
        <v>63</v>
      </c>
      <c r="B33" s="1" t="s">
        <v>64</v>
      </c>
      <c r="C33" s="2">
        <v>19998</v>
      </c>
      <c r="D33" t="s">
        <v>306</v>
      </c>
      <c r="F33" s="3">
        <v>499.95000000000005</v>
      </c>
      <c r="G33" t="s">
        <v>306</v>
      </c>
    </row>
    <row r="34" spans="1:7" x14ac:dyDescent="0.25">
      <c r="A34" s="1" t="s">
        <v>65</v>
      </c>
      <c r="B34" s="1" t="s">
        <v>66</v>
      </c>
      <c r="C34" s="2">
        <v>23995</v>
      </c>
      <c r="D34" t="s">
        <v>307</v>
      </c>
      <c r="F34" s="3">
        <v>599.875</v>
      </c>
      <c r="G34" t="s">
        <v>307</v>
      </c>
    </row>
    <row r="35" spans="1:7" x14ac:dyDescent="0.25">
      <c r="A35" s="1" t="s">
        <v>67</v>
      </c>
      <c r="B35" s="1" t="s">
        <v>68</v>
      </c>
      <c r="C35" s="2">
        <v>29994</v>
      </c>
      <c r="D35" t="s">
        <v>308</v>
      </c>
      <c r="F35" s="3">
        <v>749.85</v>
      </c>
      <c r="G35" t="s">
        <v>308</v>
      </c>
    </row>
    <row r="36" spans="1:7" x14ac:dyDescent="0.25">
      <c r="A36" s="1" t="s">
        <v>69</v>
      </c>
      <c r="B36" s="1" t="s">
        <v>70</v>
      </c>
      <c r="C36" s="2">
        <v>31997</v>
      </c>
      <c r="D36" t="s">
        <v>309</v>
      </c>
      <c r="F36" s="3">
        <v>799.92500000000007</v>
      </c>
      <c r="G36" t="s">
        <v>309</v>
      </c>
    </row>
    <row r="37" spans="1:7" x14ac:dyDescent="0.25">
      <c r="A37" s="1" t="s">
        <v>71</v>
      </c>
      <c r="B37" s="1" t="s">
        <v>72</v>
      </c>
      <c r="C37" s="2">
        <v>24000</v>
      </c>
      <c r="D37" t="s">
        <v>310</v>
      </c>
      <c r="F37" s="3">
        <v>600</v>
      </c>
      <c r="G37" t="s">
        <v>310</v>
      </c>
    </row>
    <row r="38" spans="1:7" x14ac:dyDescent="0.25">
      <c r="A38" s="1" t="s">
        <v>73</v>
      </c>
      <c r="B38" s="1" t="s">
        <v>74</v>
      </c>
      <c r="C38" s="2">
        <v>7995</v>
      </c>
      <c r="D38" t="s">
        <v>311</v>
      </c>
      <c r="F38" s="3">
        <v>199.875</v>
      </c>
      <c r="G38" t="s">
        <v>311</v>
      </c>
    </row>
    <row r="39" spans="1:7" x14ac:dyDescent="0.25">
      <c r="A39" s="1" t="s">
        <v>75</v>
      </c>
      <c r="B39" s="1" t="s">
        <v>76</v>
      </c>
      <c r="C39" s="2">
        <v>5996</v>
      </c>
      <c r="D39" t="s">
        <v>312</v>
      </c>
      <c r="F39" s="3">
        <v>149.9</v>
      </c>
      <c r="G39" t="s">
        <v>312</v>
      </c>
    </row>
    <row r="40" spans="1:7" x14ac:dyDescent="0.25">
      <c r="A40" s="1" t="s">
        <v>77</v>
      </c>
      <c r="B40" s="1" t="s">
        <v>78</v>
      </c>
      <c r="C40" s="2">
        <v>3995</v>
      </c>
      <c r="D40" t="s">
        <v>279</v>
      </c>
      <c r="F40" s="3">
        <v>99.875</v>
      </c>
      <c r="G40" t="s">
        <v>279</v>
      </c>
    </row>
    <row r="41" spans="1:7" x14ac:dyDescent="0.25">
      <c r="A41" s="1" t="s">
        <v>79</v>
      </c>
      <c r="B41" s="1" t="s">
        <v>80</v>
      </c>
      <c r="C41" s="2">
        <v>19998</v>
      </c>
      <c r="D41" t="s">
        <v>306</v>
      </c>
      <c r="F41" s="3">
        <v>499.95000000000005</v>
      </c>
      <c r="G41" t="s">
        <v>306</v>
      </c>
    </row>
    <row r="42" spans="1:7" x14ac:dyDescent="0.25">
      <c r="A42" s="1" t="s">
        <v>81</v>
      </c>
      <c r="B42" s="1" t="s">
        <v>82</v>
      </c>
      <c r="C42" s="2">
        <v>8504</v>
      </c>
      <c r="D42" t="s">
        <v>313</v>
      </c>
      <c r="F42" s="3">
        <v>212.60000000000002</v>
      </c>
      <c r="G42" t="s">
        <v>313</v>
      </c>
    </row>
    <row r="43" spans="1:7" x14ac:dyDescent="0.25">
      <c r="A43" s="1" t="s">
        <v>83</v>
      </c>
      <c r="B43" s="1" t="s">
        <v>82</v>
      </c>
      <c r="C43" s="2">
        <v>7801</v>
      </c>
      <c r="D43" t="s">
        <v>314</v>
      </c>
      <c r="F43" s="3">
        <v>195.02500000000001</v>
      </c>
      <c r="G43" t="s">
        <v>314</v>
      </c>
    </row>
    <row r="44" spans="1:7" x14ac:dyDescent="0.25">
      <c r="A44" s="1" t="s">
        <v>84</v>
      </c>
      <c r="B44" s="1" t="s">
        <v>82</v>
      </c>
      <c r="C44" s="2">
        <v>7801</v>
      </c>
      <c r="D44" t="s">
        <v>314</v>
      </c>
      <c r="F44" s="3">
        <v>195.02500000000001</v>
      </c>
      <c r="G44" t="s">
        <v>314</v>
      </c>
    </row>
    <row r="45" spans="1:7" x14ac:dyDescent="0.25">
      <c r="A45" s="1" t="s">
        <v>85</v>
      </c>
      <c r="B45" s="1" t="s">
        <v>86</v>
      </c>
      <c r="C45" s="2">
        <v>19997</v>
      </c>
      <c r="D45" t="s">
        <v>288</v>
      </c>
      <c r="F45" s="3">
        <v>499.92500000000001</v>
      </c>
      <c r="G45" t="s">
        <v>288</v>
      </c>
    </row>
    <row r="46" spans="1:7" x14ac:dyDescent="0.25">
      <c r="A46" s="1" t="s">
        <v>87</v>
      </c>
      <c r="B46" s="1" t="s">
        <v>86</v>
      </c>
      <c r="C46" s="2">
        <v>20000</v>
      </c>
      <c r="D46" t="s">
        <v>315</v>
      </c>
      <c r="F46" s="3">
        <v>500</v>
      </c>
      <c r="G46" t="s">
        <v>315</v>
      </c>
    </row>
    <row r="47" spans="1:7" x14ac:dyDescent="0.25">
      <c r="A47" s="1" t="s">
        <v>88</v>
      </c>
      <c r="B47" s="1" t="s">
        <v>89</v>
      </c>
      <c r="C47" s="2">
        <v>19998</v>
      </c>
      <c r="D47" t="s">
        <v>306</v>
      </c>
      <c r="F47" s="3">
        <v>499.95000000000005</v>
      </c>
      <c r="G47" t="s">
        <v>306</v>
      </c>
    </row>
    <row r="48" spans="1:7" x14ac:dyDescent="0.25">
      <c r="A48" s="1" t="s">
        <v>90</v>
      </c>
      <c r="B48" s="1" t="s">
        <v>91</v>
      </c>
      <c r="C48" s="2">
        <v>19997</v>
      </c>
      <c r="D48" t="s">
        <v>288</v>
      </c>
      <c r="F48" s="3">
        <v>499.92500000000001</v>
      </c>
      <c r="G48" t="s">
        <v>288</v>
      </c>
    </row>
    <row r="49" spans="1:7" x14ac:dyDescent="0.25">
      <c r="A49" s="1" t="s">
        <v>92</v>
      </c>
      <c r="B49" s="1" t="s">
        <v>93</v>
      </c>
      <c r="C49" s="2">
        <v>1396</v>
      </c>
      <c r="D49" t="s">
        <v>316</v>
      </c>
      <c r="F49" s="3">
        <v>34.9</v>
      </c>
      <c r="G49" t="s">
        <v>316</v>
      </c>
    </row>
    <row r="50" spans="1:7" x14ac:dyDescent="0.25">
      <c r="A50" s="1" t="s">
        <v>94</v>
      </c>
      <c r="B50" s="1" t="s">
        <v>93</v>
      </c>
      <c r="C50" s="2">
        <v>1398</v>
      </c>
      <c r="D50" t="s">
        <v>317</v>
      </c>
      <c r="F50" s="3">
        <v>34.950000000000003</v>
      </c>
      <c r="G50" t="s">
        <v>317</v>
      </c>
    </row>
    <row r="51" spans="1:7" x14ac:dyDescent="0.25">
      <c r="A51" s="1" t="s">
        <v>95</v>
      </c>
      <c r="B51" s="1" t="s">
        <v>96</v>
      </c>
      <c r="C51" s="2">
        <v>19997</v>
      </c>
      <c r="D51" t="s">
        <v>288</v>
      </c>
      <c r="F51" s="3">
        <v>499.92500000000001</v>
      </c>
      <c r="G51" t="s">
        <v>288</v>
      </c>
    </row>
    <row r="52" spans="1:7" x14ac:dyDescent="0.25">
      <c r="A52" s="1" t="s">
        <v>97</v>
      </c>
      <c r="B52" s="1" t="s">
        <v>98</v>
      </c>
      <c r="C52" s="2">
        <v>996</v>
      </c>
      <c r="D52" t="s">
        <v>295</v>
      </c>
      <c r="F52" s="3">
        <v>24.900000000000002</v>
      </c>
      <c r="G52" t="s">
        <v>295</v>
      </c>
    </row>
    <row r="53" spans="1:7" x14ac:dyDescent="0.25">
      <c r="A53" s="1" t="s">
        <v>99</v>
      </c>
      <c r="B53" s="1" t="s">
        <v>98</v>
      </c>
      <c r="C53" s="2">
        <v>1001</v>
      </c>
      <c r="D53" t="s">
        <v>318</v>
      </c>
      <c r="F53" s="3">
        <v>25.025000000000002</v>
      </c>
      <c r="G53" t="s">
        <v>318</v>
      </c>
    </row>
    <row r="54" spans="1:7" x14ac:dyDescent="0.25">
      <c r="A54" s="1" t="s">
        <v>100</v>
      </c>
      <c r="B54" s="1" t="s">
        <v>101</v>
      </c>
      <c r="C54" s="2">
        <v>3995</v>
      </c>
      <c r="D54" t="s">
        <v>279</v>
      </c>
      <c r="F54" s="3">
        <v>99.875</v>
      </c>
      <c r="G54" t="s">
        <v>279</v>
      </c>
    </row>
    <row r="55" spans="1:7" x14ac:dyDescent="0.25">
      <c r="A55" s="1" t="s">
        <v>102</v>
      </c>
      <c r="B55" s="1" t="s">
        <v>103</v>
      </c>
      <c r="C55" s="2">
        <v>1996</v>
      </c>
      <c r="D55" t="s">
        <v>282</v>
      </c>
      <c r="F55" s="3">
        <v>49.900000000000006</v>
      </c>
      <c r="G55" t="s">
        <v>282</v>
      </c>
    </row>
    <row r="56" spans="1:7" x14ac:dyDescent="0.25">
      <c r="A56" s="1" t="s">
        <v>104</v>
      </c>
      <c r="B56" s="1" t="s">
        <v>103</v>
      </c>
      <c r="C56" s="2">
        <v>1999</v>
      </c>
      <c r="D56" t="s">
        <v>300</v>
      </c>
      <c r="F56" s="3">
        <v>49.975000000000001</v>
      </c>
      <c r="G56" t="s">
        <v>300</v>
      </c>
    </row>
    <row r="57" spans="1:7" x14ac:dyDescent="0.25">
      <c r="A57" s="1" t="s">
        <v>105</v>
      </c>
      <c r="B57" s="1" t="s">
        <v>106</v>
      </c>
      <c r="C57" s="2">
        <v>19997</v>
      </c>
      <c r="D57" t="s">
        <v>288</v>
      </c>
      <c r="F57" s="3">
        <v>499.92500000000001</v>
      </c>
      <c r="G57" t="s">
        <v>288</v>
      </c>
    </row>
    <row r="58" spans="1:7" x14ac:dyDescent="0.25">
      <c r="A58" s="1" t="s">
        <v>107</v>
      </c>
      <c r="B58" s="1" t="s">
        <v>108</v>
      </c>
      <c r="C58" s="2">
        <v>19997</v>
      </c>
      <c r="D58" t="s">
        <v>288</v>
      </c>
      <c r="F58" s="3">
        <v>499.92500000000001</v>
      </c>
      <c r="G58" t="s">
        <v>288</v>
      </c>
    </row>
    <row r="59" spans="1:7" x14ac:dyDescent="0.25">
      <c r="A59" s="1" t="s">
        <v>109</v>
      </c>
      <c r="B59" s="1" t="s">
        <v>110</v>
      </c>
      <c r="C59" s="2">
        <v>18001</v>
      </c>
      <c r="D59" t="s">
        <v>303</v>
      </c>
      <c r="F59" s="3">
        <v>450.02500000000003</v>
      </c>
      <c r="G59" t="s">
        <v>303</v>
      </c>
    </row>
    <row r="60" spans="1:7" x14ac:dyDescent="0.25">
      <c r="A60" s="1" t="s">
        <v>111</v>
      </c>
      <c r="B60" s="1" t="s">
        <v>112</v>
      </c>
      <c r="C60" s="2">
        <v>3596</v>
      </c>
      <c r="D60" t="s">
        <v>284</v>
      </c>
      <c r="F60" s="3">
        <v>89.9</v>
      </c>
      <c r="G60" t="s">
        <v>284</v>
      </c>
    </row>
    <row r="61" spans="1:7" x14ac:dyDescent="0.25">
      <c r="A61" s="1" t="s">
        <v>113</v>
      </c>
      <c r="B61" s="1" t="s">
        <v>112</v>
      </c>
      <c r="C61" s="2">
        <v>3600</v>
      </c>
      <c r="D61" t="s">
        <v>319</v>
      </c>
      <c r="F61" s="3">
        <v>90</v>
      </c>
      <c r="G61" t="s">
        <v>319</v>
      </c>
    </row>
    <row r="62" spans="1:7" x14ac:dyDescent="0.25">
      <c r="A62" s="1" t="s">
        <v>114</v>
      </c>
      <c r="B62" s="1" t="s">
        <v>115</v>
      </c>
      <c r="C62" s="2">
        <v>20000</v>
      </c>
      <c r="D62" t="s">
        <v>315</v>
      </c>
      <c r="F62" s="3">
        <v>500</v>
      </c>
      <c r="G62" t="s">
        <v>315</v>
      </c>
    </row>
    <row r="63" spans="1:7" x14ac:dyDescent="0.25">
      <c r="A63" s="1" t="s">
        <v>116</v>
      </c>
      <c r="B63" s="1" t="s">
        <v>117</v>
      </c>
      <c r="C63" s="2">
        <v>11800</v>
      </c>
      <c r="D63" t="s">
        <v>320</v>
      </c>
      <c r="F63" s="3">
        <v>295</v>
      </c>
      <c r="G63" t="s">
        <v>320</v>
      </c>
    </row>
    <row r="64" spans="1:7" x14ac:dyDescent="0.25">
      <c r="A64" s="1" t="s">
        <v>118</v>
      </c>
      <c r="B64" s="1" t="s">
        <v>119</v>
      </c>
      <c r="C64" s="2">
        <v>12000</v>
      </c>
      <c r="D64" t="s">
        <v>289</v>
      </c>
      <c r="F64" s="3">
        <v>300</v>
      </c>
      <c r="G64" t="s">
        <v>289</v>
      </c>
    </row>
    <row r="65" spans="1:7" x14ac:dyDescent="0.25">
      <c r="A65" s="1" t="s">
        <v>120</v>
      </c>
      <c r="B65" s="1" t="s">
        <v>121</v>
      </c>
      <c r="C65" s="2">
        <v>9997</v>
      </c>
      <c r="D65" t="s">
        <v>302</v>
      </c>
      <c r="F65" s="3">
        <v>249.92500000000001</v>
      </c>
      <c r="G65" t="s">
        <v>302</v>
      </c>
    </row>
    <row r="66" spans="1:7" x14ac:dyDescent="0.25">
      <c r="A66" s="1" t="s">
        <v>122</v>
      </c>
      <c r="B66" s="1" t="s">
        <v>123</v>
      </c>
      <c r="C66" s="2">
        <v>9996</v>
      </c>
      <c r="D66" t="s">
        <v>321</v>
      </c>
      <c r="F66" s="3">
        <v>249.9</v>
      </c>
      <c r="G66" t="s">
        <v>321</v>
      </c>
    </row>
    <row r="67" spans="1:7" x14ac:dyDescent="0.25">
      <c r="A67" s="1" t="s">
        <v>124</v>
      </c>
      <c r="B67" s="1" t="s">
        <v>125</v>
      </c>
      <c r="C67" s="2">
        <v>3995</v>
      </c>
      <c r="D67" t="s">
        <v>279</v>
      </c>
      <c r="F67" s="3">
        <v>99.875</v>
      </c>
      <c r="G67" t="s">
        <v>279</v>
      </c>
    </row>
    <row r="68" spans="1:7" x14ac:dyDescent="0.25">
      <c r="A68" s="1" t="s">
        <v>126</v>
      </c>
      <c r="B68" s="1" t="s">
        <v>125</v>
      </c>
      <c r="C68" s="2">
        <v>3998</v>
      </c>
      <c r="D68" t="s">
        <v>322</v>
      </c>
      <c r="F68" s="3">
        <v>99.95</v>
      </c>
      <c r="G68" t="s">
        <v>322</v>
      </c>
    </row>
    <row r="69" spans="1:7" x14ac:dyDescent="0.25">
      <c r="A69" s="1" t="s">
        <v>127</v>
      </c>
      <c r="B69" s="1" t="s">
        <v>128</v>
      </c>
      <c r="C69" s="2">
        <v>17997</v>
      </c>
      <c r="D69" t="s">
        <v>323</v>
      </c>
      <c r="F69" s="3">
        <v>449.92500000000001</v>
      </c>
      <c r="G69" t="s">
        <v>323</v>
      </c>
    </row>
    <row r="70" spans="1:7" x14ac:dyDescent="0.25">
      <c r="A70" s="1" t="s">
        <v>129</v>
      </c>
      <c r="B70" s="1" t="s">
        <v>128</v>
      </c>
      <c r="C70" s="2">
        <v>18001</v>
      </c>
      <c r="D70" t="s">
        <v>303</v>
      </c>
      <c r="F70" s="3">
        <v>450.02500000000003</v>
      </c>
      <c r="G70" t="s">
        <v>303</v>
      </c>
    </row>
    <row r="71" spans="1:7" x14ac:dyDescent="0.25">
      <c r="A71" s="1" t="s">
        <v>130</v>
      </c>
      <c r="B71" s="1" t="s">
        <v>131</v>
      </c>
      <c r="C71" s="2">
        <v>2800</v>
      </c>
      <c r="D71" t="s">
        <v>324</v>
      </c>
      <c r="F71" s="3">
        <v>70</v>
      </c>
      <c r="G71" t="s">
        <v>324</v>
      </c>
    </row>
    <row r="72" spans="1:7" x14ac:dyDescent="0.25">
      <c r="A72" s="1" t="s">
        <v>132</v>
      </c>
      <c r="B72" s="1" t="s">
        <v>133</v>
      </c>
      <c r="C72" s="2">
        <v>19997</v>
      </c>
      <c r="D72" t="s">
        <v>288</v>
      </c>
      <c r="F72" s="3">
        <v>499.92500000000001</v>
      </c>
      <c r="G72" t="s">
        <v>288</v>
      </c>
    </row>
    <row r="73" spans="1:7" x14ac:dyDescent="0.25">
      <c r="A73" s="1" t="s">
        <v>134</v>
      </c>
      <c r="B73" s="1" t="s">
        <v>135</v>
      </c>
      <c r="C73" s="2">
        <v>23995</v>
      </c>
      <c r="D73" t="s">
        <v>307</v>
      </c>
      <c r="F73" s="3">
        <v>599.875</v>
      </c>
      <c r="G73" t="s">
        <v>307</v>
      </c>
    </row>
    <row r="74" spans="1:7" x14ac:dyDescent="0.25">
      <c r="A74" s="1" t="s">
        <v>136</v>
      </c>
      <c r="B74" s="1" t="s">
        <v>137</v>
      </c>
      <c r="C74" s="2">
        <v>1596</v>
      </c>
      <c r="D74" t="s">
        <v>325</v>
      </c>
      <c r="F74" s="3">
        <v>39.900000000000006</v>
      </c>
      <c r="G74" t="s">
        <v>325</v>
      </c>
    </row>
    <row r="75" spans="1:7" x14ac:dyDescent="0.25">
      <c r="A75" s="1" t="s">
        <v>138</v>
      </c>
      <c r="B75" s="1" t="s">
        <v>139</v>
      </c>
      <c r="C75" s="2">
        <v>1675</v>
      </c>
      <c r="D75" t="s">
        <v>326</v>
      </c>
      <c r="F75" s="3">
        <v>41.875</v>
      </c>
      <c r="G75" t="s">
        <v>326</v>
      </c>
    </row>
    <row r="76" spans="1:7" x14ac:dyDescent="0.25">
      <c r="A76" s="1" t="s">
        <v>140</v>
      </c>
      <c r="B76" s="1" t="s">
        <v>141</v>
      </c>
      <c r="C76" s="2">
        <v>17997</v>
      </c>
      <c r="D76" t="s">
        <v>323</v>
      </c>
      <c r="F76" s="3">
        <v>449.92500000000001</v>
      </c>
      <c r="G76" t="s">
        <v>323</v>
      </c>
    </row>
    <row r="77" spans="1:7" x14ac:dyDescent="0.25">
      <c r="A77" s="1" t="s">
        <v>142</v>
      </c>
      <c r="B77" s="1" t="s">
        <v>143</v>
      </c>
      <c r="C77" s="2">
        <v>1497</v>
      </c>
      <c r="D77" t="s">
        <v>327</v>
      </c>
      <c r="F77" s="3">
        <v>37.425000000000004</v>
      </c>
      <c r="G77" t="s">
        <v>327</v>
      </c>
    </row>
    <row r="78" spans="1:7" x14ac:dyDescent="0.25">
      <c r="A78" s="1" t="s">
        <v>144</v>
      </c>
      <c r="B78" s="1" t="s">
        <v>145</v>
      </c>
      <c r="C78" s="2">
        <v>9996</v>
      </c>
      <c r="D78" t="s">
        <v>321</v>
      </c>
      <c r="F78" s="3">
        <v>249.9</v>
      </c>
      <c r="G78" t="s">
        <v>321</v>
      </c>
    </row>
    <row r="79" spans="1:7" x14ac:dyDescent="0.25">
      <c r="A79" s="1" t="s">
        <v>146</v>
      </c>
      <c r="B79" s="1" t="s">
        <v>147</v>
      </c>
      <c r="C79" s="2">
        <v>3995</v>
      </c>
      <c r="D79" t="s">
        <v>279</v>
      </c>
      <c r="F79" s="3">
        <v>99.875</v>
      </c>
      <c r="G79" t="s">
        <v>279</v>
      </c>
    </row>
    <row r="80" spans="1:7" x14ac:dyDescent="0.25">
      <c r="A80" s="1" t="s">
        <v>148</v>
      </c>
      <c r="B80" s="1" t="s">
        <v>149</v>
      </c>
      <c r="C80" s="2">
        <v>7995</v>
      </c>
      <c r="D80" t="s">
        <v>311</v>
      </c>
      <c r="F80" s="3">
        <v>199.875</v>
      </c>
      <c r="G80" t="s">
        <v>311</v>
      </c>
    </row>
    <row r="81" spans="1:7" x14ac:dyDescent="0.25">
      <c r="A81" s="1" t="s">
        <v>150</v>
      </c>
      <c r="B81" s="1" t="s">
        <v>151</v>
      </c>
      <c r="C81" s="2">
        <v>19196</v>
      </c>
      <c r="D81" t="s">
        <v>328</v>
      </c>
      <c r="F81" s="3">
        <v>479.90000000000003</v>
      </c>
      <c r="G81" t="s">
        <v>328</v>
      </c>
    </row>
    <row r="82" spans="1:7" x14ac:dyDescent="0.25">
      <c r="A82" s="1" t="s">
        <v>152</v>
      </c>
      <c r="B82" s="1" t="s">
        <v>153</v>
      </c>
      <c r="C82" s="2">
        <v>9197</v>
      </c>
      <c r="D82" t="s">
        <v>329</v>
      </c>
      <c r="F82" s="3">
        <v>229.92500000000001</v>
      </c>
      <c r="G82" t="s">
        <v>329</v>
      </c>
    </row>
    <row r="83" spans="1:7" x14ac:dyDescent="0.25">
      <c r="A83" s="1" t="s">
        <v>154</v>
      </c>
      <c r="B83" s="1" t="s">
        <v>155</v>
      </c>
      <c r="C83" s="2">
        <v>29996</v>
      </c>
      <c r="D83" t="s">
        <v>286</v>
      </c>
      <c r="F83" s="3">
        <v>749.90000000000009</v>
      </c>
      <c r="G83" t="s">
        <v>286</v>
      </c>
    </row>
    <row r="84" spans="1:7" x14ac:dyDescent="0.25">
      <c r="A84" s="1" t="s">
        <v>156</v>
      </c>
      <c r="B84" s="1" t="s">
        <v>157</v>
      </c>
      <c r="C84" s="2">
        <v>4957</v>
      </c>
      <c r="D84" t="s">
        <v>330</v>
      </c>
      <c r="F84" s="3">
        <v>123.92500000000001</v>
      </c>
      <c r="G84" t="s">
        <v>330</v>
      </c>
    </row>
    <row r="85" spans="1:7" x14ac:dyDescent="0.25">
      <c r="A85" s="1" t="s">
        <v>158</v>
      </c>
      <c r="B85" s="1" t="s">
        <v>159</v>
      </c>
      <c r="C85" s="2">
        <v>956</v>
      </c>
      <c r="D85" t="s">
        <v>331</v>
      </c>
      <c r="F85" s="3">
        <v>23.900000000000002</v>
      </c>
      <c r="G85" t="s">
        <v>331</v>
      </c>
    </row>
    <row r="86" spans="1:7" x14ac:dyDescent="0.25">
      <c r="A86" s="1" t="s">
        <v>160</v>
      </c>
      <c r="B86" s="1" t="s">
        <v>159</v>
      </c>
      <c r="C86" s="2">
        <v>960</v>
      </c>
      <c r="D86" t="s">
        <v>332</v>
      </c>
      <c r="F86" s="3">
        <v>24</v>
      </c>
      <c r="G86" t="s">
        <v>332</v>
      </c>
    </row>
    <row r="87" spans="1:7" x14ac:dyDescent="0.25">
      <c r="A87" s="1" t="s">
        <v>161</v>
      </c>
      <c r="B87" s="1" t="s">
        <v>162</v>
      </c>
      <c r="C87" s="2">
        <v>27997</v>
      </c>
      <c r="D87" t="s">
        <v>285</v>
      </c>
      <c r="F87" s="3">
        <v>699.92500000000007</v>
      </c>
      <c r="G87" t="s">
        <v>285</v>
      </c>
    </row>
    <row r="88" spans="1:7" x14ac:dyDescent="0.25">
      <c r="A88" s="1" t="s">
        <v>163</v>
      </c>
      <c r="B88" s="1" t="s">
        <v>164</v>
      </c>
      <c r="C88" s="2">
        <v>17997</v>
      </c>
      <c r="D88" t="s">
        <v>323</v>
      </c>
      <c r="F88" s="3">
        <v>449.92500000000001</v>
      </c>
      <c r="G88" t="s">
        <v>323</v>
      </c>
    </row>
    <row r="89" spans="1:7" x14ac:dyDescent="0.25">
      <c r="A89" s="1" t="s">
        <v>165</v>
      </c>
      <c r="B89" s="1" t="s">
        <v>166</v>
      </c>
      <c r="C89" s="2">
        <v>9996</v>
      </c>
      <c r="D89" t="s">
        <v>321</v>
      </c>
      <c r="F89" s="3">
        <v>249.9</v>
      </c>
      <c r="G89" t="s">
        <v>321</v>
      </c>
    </row>
    <row r="90" spans="1:7" x14ac:dyDescent="0.25">
      <c r="A90" s="1" t="s">
        <v>167</v>
      </c>
      <c r="B90" s="1" t="s">
        <v>166</v>
      </c>
      <c r="C90" s="2">
        <v>10000</v>
      </c>
      <c r="D90" t="s">
        <v>333</v>
      </c>
      <c r="F90" s="3">
        <v>250</v>
      </c>
      <c r="G90" t="s">
        <v>333</v>
      </c>
    </row>
    <row r="91" spans="1:7" x14ac:dyDescent="0.25">
      <c r="A91" s="1" t="s">
        <v>168</v>
      </c>
      <c r="B91" s="1" t="s">
        <v>169</v>
      </c>
      <c r="C91" s="2">
        <v>3995</v>
      </c>
      <c r="D91" t="s">
        <v>279</v>
      </c>
      <c r="F91" s="3">
        <v>99.875</v>
      </c>
      <c r="G91" t="s">
        <v>279</v>
      </c>
    </row>
    <row r="92" spans="1:7" x14ac:dyDescent="0.25">
      <c r="A92" s="1" t="s">
        <v>170</v>
      </c>
      <c r="B92" s="1" t="s">
        <v>171</v>
      </c>
      <c r="C92" s="2">
        <v>15997</v>
      </c>
      <c r="D92" t="s">
        <v>287</v>
      </c>
      <c r="F92" s="3">
        <v>399.92500000000001</v>
      </c>
      <c r="G92" t="s">
        <v>287</v>
      </c>
    </row>
    <row r="93" spans="1:7" x14ac:dyDescent="0.25">
      <c r="A93" s="1" t="s">
        <v>172</v>
      </c>
      <c r="B93" s="1" t="s">
        <v>173</v>
      </c>
      <c r="C93" s="2">
        <v>26000</v>
      </c>
      <c r="D93" t="s">
        <v>334</v>
      </c>
      <c r="F93" s="3">
        <v>650</v>
      </c>
      <c r="G93" t="s">
        <v>334</v>
      </c>
    </row>
    <row r="94" spans="1:7" x14ac:dyDescent="0.25">
      <c r="A94" s="1" t="s">
        <v>174</v>
      </c>
      <c r="B94" s="1" t="s">
        <v>175</v>
      </c>
      <c r="C94" s="2">
        <v>7997</v>
      </c>
      <c r="D94" t="s">
        <v>335</v>
      </c>
      <c r="F94" s="3">
        <v>199.92500000000001</v>
      </c>
      <c r="G94" t="s">
        <v>335</v>
      </c>
    </row>
    <row r="95" spans="1:7" x14ac:dyDescent="0.25">
      <c r="A95" s="1" t="s">
        <v>176</v>
      </c>
      <c r="B95" s="1" t="s">
        <v>175</v>
      </c>
      <c r="C95" s="2">
        <v>8000</v>
      </c>
      <c r="D95" t="s">
        <v>293</v>
      </c>
      <c r="F95" s="3">
        <v>200</v>
      </c>
      <c r="G95" t="s">
        <v>293</v>
      </c>
    </row>
    <row r="96" spans="1:7" x14ac:dyDescent="0.25">
      <c r="A96" s="1" t="s">
        <v>177</v>
      </c>
      <c r="B96" s="1" t="s">
        <v>178</v>
      </c>
      <c r="C96" s="2">
        <v>996</v>
      </c>
      <c r="D96" t="s">
        <v>295</v>
      </c>
      <c r="F96" s="3">
        <v>24.900000000000002</v>
      </c>
      <c r="G96" t="s">
        <v>295</v>
      </c>
    </row>
    <row r="97" spans="1:7" x14ac:dyDescent="0.25">
      <c r="A97" s="1" t="s">
        <v>179</v>
      </c>
      <c r="B97" s="1" t="s">
        <v>180</v>
      </c>
      <c r="C97" s="2">
        <v>998</v>
      </c>
      <c r="D97" t="s">
        <v>336</v>
      </c>
      <c r="F97" s="3">
        <v>24.950000000000003</v>
      </c>
      <c r="G97" t="s">
        <v>336</v>
      </c>
    </row>
    <row r="98" spans="1:7" x14ac:dyDescent="0.25">
      <c r="A98" s="1" t="s">
        <v>181</v>
      </c>
      <c r="B98" s="1" t="s">
        <v>182</v>
      </c>
      <c r="C98" s="2">
        <v>15999</v>
      </c>
      <c r="D98" t="s">
        <v>280</v>
      </c>
      <c r="F98" s="3">
        <v>399.97500000000002</v>
      </c>
      <c r="G98" t="s">
        <v>280</v>
      </c>
    </row>
    <row r="99" spans="1:7" x14ac:dyDescent="0.25">
      <c r="A99" s="1" t="s">
        <v>183</v>
      </c>
      <c r="B99" s="1" t="s">
        <v>184</v>
      </c>
      <c r="C99" s="2">
        <v>7997</v>
      </c>
      <c r="D99" t="s">
        <v>335</v>
      </c>
      <c r="F99" s="3">
        <v>199.92500000000001</v>
      </c>
      <c r="G99" t="s">
        <v>335</v>
      </c>
    </row>
    <row r="100" spans="1:7" x14ac:dyDescent="0.25">
      <c r="A100" s="1" t="s">
        <v>185</v>
      </c>
      <c r="B100" s="1" t="s">
        <v>184</v>
      </c>
      <c r="C100" s="2">
        <v>8000</v>
      </c>
      <c r="D100" t="s">
        <v>293</v>
      </c>
      <c r="F100" s="3">
        <v>200</v>
      </c>
      <c r="G100" t="s">
        <v>293</v>
      </c>
    </row>
    <row r="101" spans="1:7" x14ac:dyDescent="0.25">
      <c r="A101" s="1" t="s">
        <v>186</v>
      </c>
      <c r="B101" s="1" t="s">
        <v>187</v>
      </c>
      <c r="C101" s="2">
        <v>11196</v>
      </c>
      <c r="D101" t="s">
        <v>337</v>
      </c>
      <c r="F101" s="3">
        <v>279.90000000000003</v>
      </c>
      <c r="G101" t="s">
        <v>337</v>
      </c>
    </row>
    <row r="102" spans="1:7" x14ac:dyDescent="0.25">
      <c r="A102" s="1" t="s">
        <v>188</v>
      </c>
      <c r="B102" s="1" t="s">
        <v>189</v>
      </c>
      <c r="C102" s="2">
        <v>13996</v>
      </c>
      <c r="D102" t="s">
        <v>292</v>
      </c>
      <c r="F102" s="3">
        <v>349.90000000000003</v>
      </c>
      <c r="G102" t="s">
        <v>292</v>
      </c>
    </row>
    <row r="103" spans="1:7" x14ac:dyDescent="0.25">
      <c r="A103" s="4" t="s">
        <v>190</v>
      </c>
      <c r="B103" s="1" t="s">
        <v>191</v>
      </c>
      <c r="C103" s="2">
        <v>13996</v>
      </c>
      <c r="D103" t="s">
        <v>292</v>
      </c>
      <c r="F103" s="3">
        <v>349.90000000000003</v>
      </c>
      <c r="G103" t="s">
        <v>292</v>
      </c>
    </row>
    <row r="104" spans="1:7" x14ac:dyDescent="0.25">
      <c r="A104" s="1" t="s">
        <v>192</v>
      </c>
      <c r="B104" s="1" t="s">
        <v>193</v>
      </c>
      <c r="C104" s="2">
        <v>6860</v>
      </c>
      <c r="D104" t="s">
        <v>338</v>
      </c>
      <c r="F104" s="3">
        <v>171.5</v>
      </c>
      <c r="G104" t="s">
        <v>338</v>
      </c>
    </row>
    <row r="105" spans="1:7" x14ac:dyDescent="0.25">
      <c r="A105" s="1" t="s">
        <v>194</v>
      </c>
      <c r="B105" s="1" t="s">
        <v>195</v>
      </c>
      <c r="C105" s="2">
        <v>11996</v>
      </c>
      <c r="D105" t="s">
        <v>291</v>
      </c>
      <c r="F105" s="3">
        <v>299.90000000000003</v>
      </c>
      <c r="G105" t="s">
        <v>291</v>
      </c>
    </row>
    <row r="106" spans="1:7" x14ac:dyDescent="0.25">
      <c r="A106" s="1" t="s">
        <v>196</v>
      </c>
      <c r="B106" s="1" t="s">
        <v>197</v>
      </c>
      <c r="C106" s="2">
        <v>19998</v>
      </c>
      <c r="D106" t="s">
        <v>306</v>
      </c>
      <c r="F106" s="3">
        <v>499.95000000000005</v>
      </c>
      <c r="G106" t="s">
        <v>306</v>
      </c>
    </row>
    <row r="107" spans="1:7" x14ac:dyDescent="0.25">
      <c r="A107" s="1" t="s">
        <v>198</v>
      </c>
      <c r="B107" s="1" t="s">
        <v>199</v>
      </c>
      <c r="C107" s="2">
        <v>27997</v>
      </c>
      <c r="D107" t="s">
        <v>285</v>
      </c>
      <c r="F107" s="3">
        <v>699.92500000000007</v>
      </c>
      <c r="G107" t="s">
        <v>285</v>
      </c>
    </row>
    <row r="108" spans="1:7" x14ac:dyDescent="0.25">
      <c r="A108" s="1" t="s">
        <v>200</v>
      </c>
      <c r="B108" s="1" t="s">
        <v>201</v>
      </c>
      <c r="C108" s="2">
        <v>10000</v>
      </c>
      <c r="D108" t="s">
        <v>333</v>
      </c>
      <c r="F108" s="3">
        <v>250</v>
      </c>
      <c r="G108" t="s">
        <v>333</v>
      </c>
    </row>
    <row r="109" spans="1:7" x14ac:dyDescent="0.25">
      <c r="A109" s="1" t="s">
        <v>202</v>
      </c>
      <c r="B109" s="1" t="s">
        <v>203</v>
      </c>
      <c r="C109" s="2">
        <v>19997</v>
      </c>
      <c r="D109" t="s">
        <v>288</v>
      </c>
      <c r="F109" s="3">
        <v>499.92500000000001</v>
      </c>
      <c r="G109" t="s">
        <v>288</v>
      </c>
    </row>
    <row r="110" spans="1:7" x14ac:dyDescent="0.25">
      <c r="A110" s="1" t="s">
        <v>204</v>
      </c>
      <c r="B110" s="1" t="s">
        <v>205</v>
      </c>
      <c r="C110" s="2">
        <v>11996</v>
      </c>
      <c r="D110" t="s">
        <v>291</v>
      </c>
      <c r="F110" s="3">
        <v>299.90000000000003</v>
      </c>
      <c r="G110" t="s">
        <v>291</v>
      </c>
    </row>
    <row r="111" spans="1:7" x14ac:dyDescent="0.25">
      <c r="A111" s="1" t="s">
        <v>206</v>
      </c>
      <c r="B111" s="1" t="s">
        <v>207</v>
      </c>
      <c r="C111" s="2">
        <v>16000</v>
      </c>
      <c r="D111" t="s">
        <v>290</v>
      </c>
      <c r="F111" s="3">
        <v>400</v>
      </c>
      <c r="G111" t="s">
        <v>290</v>
      </c>
    </row>
    <row r="112" spans="1:7" x14ac:dyDescent="0.25">
      <c r="A112" s="1" t="s">
        <v>208</v>
      </c>
      <c r="B112" s="1" t="s">
        <v>209</v>
      </c>
      <c r="C112" s="2">
        <v>12000</v>
      </c>
      <c r="D112" t="s">
        <v>289</v>
      </c>
      <c r="F112" s="3">
        <v>300</v>
      </c>
      <c r="G112" t="s">
        <v>289</v>
      </c>
    </row>
    <row r="113" spans="1:7" x14ac:dyDescent="0.25">
      <c r="A113" s="1" t="s">
        <v>210</v>
      </c>
      <c r="B113" s="1" t="s">
        <v>211</v>
      </c>
      <c r="C113" s="2">
        <v>15997</v>
      </c>
      <c r="D113" t="s">
        <v>287</v>
      </c>
      <c r="F113" s="3">
        <v>399.92500000000001</v>
      </c>
      <c r="G113" t="s">
        <v>287</v>
      </c>
    </row>
    <row r="114" spans="1:7" x14ac:dyDescent="0.25">
      <c r="A114" s="1" t="s">
        <v>212</v>
      </c>
      <c r="B114" s="1" t="s">
        <v>213</v>
      </c>
      <c r="C114" s="2">
        <v>15997</v>
      </c>
      <c r="D114" t="s">
        <v>287</v>
      </c>
      <c r="F114" s="3">
        <v>399.92500000000001</v>
      </c>
      <c r="G114" t="s">
        <v>287</v>
      </c>
    </row>
    <row r="115" spans="1:7" x14ac:dyDescent="0.25">
      <c r="A115" s="1" t="s">
        <v>214</v>
      </c>
      <c r="B115" s="1" t="s">
        <v>213</v>
      </c>
      <c r="C115" s="2">
        <v>8000</v>
      </c>
      <c r="D115" t="s">
        <v>293</v>
      </c>
      <c r="F115" s="3">
        <v>200</v>
      </c>
      <c r="G115" t="s">
        <v>293</v>
      </c>
    </row>
    <row r="116" spans="1:7" x14ac:dyDescent="0.25">
      <c r="A116" s="1" t="s">
        <v>215</v>
      </c>
      <c r="B116" s="1" t="s">
        <v>216</v>
      </c>
      <c r="C116" s="2">
        <v>19997</v>
      </c>
      <c r="D116" t="s">
        <v>288</v>
      </c>
      <c r="F116" s="3">
        <v>499.92500000000001</v>
      </c>
      <c r="G116" t="s">
        <v>288</v>
      </c>
    </row>
    <row r="117" spans="1:7" x14ac:dyDescent="0.25">
      <c r="A117" s="1" t="s">
        <v>217</v>
      </c>
      <c r="B117" s="1" t="s">
        <v>218</v>
      </c>
      <c r="C117" s="2">
        <v>7997</v>
      </c>
      <c r="D117" t="s">
        <v>335</v>
      </c>
      <c r="F117" s="3">
        <v>199.92500000000001</v>
      </c>
      <c r="G117" t="s">
        <v>335</v>
      </c>
    </row>
    <row r="118" spans="1:7" x14ac:dyDescent="0.25">
      <c r="A118" s="1" t="s">
        <v>219</v>
      </c>
      <c r="B118" s="1" t="s">
        <v>220</v>
      </c>
      <c r="C118" s="2">
        <v>8000</v>
      </c>
      <c r="D118" t="s">
        <v>293</v>
      </c>
      <c r="F118" s="3">
        <v>200</v>
      </c>
      <c r="G118" t="s">
        <v>293</v>
      </c>
    </row>
    <row r="119" spans="1:7" x14ac:dyDescent="0.25">
      <c r="A119" s="1" t="s">
        <v>221</v>
      </c>
      <c r="B119" s="1" t="s">
        <v>222</v>
      </c>
      <c r="C119" s="2">
        <v>27997</v>
      </c>
      <c r="D119" t="s">
        <v>285</v>
      </c>
      <c r="F119" s="3">
        <v>699.92500000000007</v>
      </c>
      <c r="G119" t="s">
        <v>285</v>
      </c>
    </row>
    <row r="120" spans="1:7" x14ac:dyDescent="0.25">
      <c r="A120" s="1" t="s">
        <v>223</v>
      </c>
      <c r="B120" s="1" t="s">
        <v>224</v>
      </c>
      <c r="C120" s="2">
        <v>19997</v>
      </c>
      <c r="D120" t="s">
        <v>288</v>
      </c>
      <c r="F120" s="3">
        <v>499.92500000000001</v>
      </c>
      <c r="G120" t="s">
        <v>288</v>
      </c>
    </row>
    <row r="121" spans="1:7" x14ac:dyDescent="0.25">
      <c r="A121" s="1" t="s">
        <v>225</v>
      </c>
      <c r="B121" s="1" t="s">
        <v>226</v>
      </c>
      <c r="C121" s="2">
        <v>797</v>
      </c>
      <c r="D121" t="s">
        <v>339</v>
      </c>
      <c r="F121" s="3">
        <v>19.925000000000001</v>
      </c>
      <c r="G121" t="s">
        <v>339</v>
      </c>
    </row>
    <row r="122" spans="1:7" x14ac:dyDescent="0.25">
      <c r="A122" s="1" t="s">
        <v>227</v>
      </c>
      <c r="B122" s="1" t="s">
        <v>228</v>
      </c>
      <c r="C122" s="2">
        <v>7995</v>
      </c>
      <c r="D122" t="s">
        <v>311</v>
      </c>
      <c r="F122" s="3">
        <v>199.875</v>
      </c>
      <c r="G122" t="s">
        <v>311</v>
      </c>
    </row>
    <row r="123" spans="1:7" x14ac:dyDescent="0.25">
      <c r="A123" s="1" t="s">
        <v>229</v>
      </c>
      <c r="B123" s="1" t="s">
        <v>230</v>
      </c>
      <c r="C123" s="2">
        <v>59994</v>
      </c>
      <c r="D123" t="s">
        <v>340</v>
      </c>
      <c r="F123" s="3">
        <v>1499.8500000000001</v>
      </c>
      <c r="G123" t="s">
        <v>340</v>
      </c>
    </row>
    <row r="124" spans="1:7" x14ac:dyDescent="0.25">
      <c r="A124" s="1" t="s">
        <v>231</v>
      </c>
      <c r="B124" s="1" t="s">
        <v>232</v>
      </c>
      <c r="C124" s="2">
        <v>1996</v>
      </c>
      <c r="D124" t="s">
        <v>282</v>
      </c>
      <c r="F124" s="3">
        <v>49.900000000000006</v>
      </c>
      <c r="G124" t="s">
        <v>282</v>
      </c>
    </row>
    <row r="125" spans="1:7" x14ac:dyDescent="0.25">
      <c r="A125" s="1" t="s">
        <v>233</v>
      </c>
      <c r="B125" s="1" t="s">
        <v>234</v>
      </c>
      <c r="C125" s="2">
        <v>31997</v>
      </c>
      <c r="D125" t="s">
        <v>309</v>
      </c>
      <c r="F125" s="3">
        <v>799.92500000000007</v>
      </c>
      <c r="G125" t="s">
        <v>309</v>
      </c>
    </row>
    <row r="126" spans="1:7" x14ac:dyDescent="0.25">
      <c r="A126" s="1" t="s">
        <v>235</v>
      </c>
      <c r="B126" s="1" t="s">
        <v>236</v>
      </c>
      <c r="C126" s="2">
        <v>5996</v>
      </c>
      <c r="D126" t="s">
        <v>312</v>
      </c>
      <c r="F126" s="3">
        <v>149.9</v>
      </c>
      <c r="G126" t="s">
        <v>312</v>
      </c>
    </row>
    <row r="127" spans="1:7" x14ac:dyDescent="0.25">
      <c r="A127" s="1" t="s">
        <v>237</v>
      </c>
      <c r="B127" s="1" t="s">
        <v>236</v>
      </c>
      <c r="C127" s="2">
        <v>5997</v>
      </c>
      <c r="D127" t="s">
        <v>341</v>
      </c>
      <c r="F127" s="3">
        <v>149.92500000000001</v>
      </c>
      <c r="G127" t="s">
        <v>341</v>
      </c>
    </row>
    <row r="128" spans="1:7" x14ac:dyDescent="0.25">
      <c r="A128" s="1" t="s">
        <v>238</v>
      </c>
      <c r="B128" s="1" t="s">
        <v>239</v>
      </c>
      <c r="C128" s="2">
        <v>19998</v>
      </c>
      <c r="D128" t="s">
        <v>306</v>
      </c>
      <c r="F128" s="3">
        <v>499.95000000000005</v>
      </c>
      <c r="G128" t="s">
        <v>306</v>
      </c>
    </row>
    <row r="129" spans="1:7" x14ac:dyDescent="0.25">
      <c r="A129" s="1" t="s">
        <v>240</v>
      </c>
      <c r="B129" s="1" t="s">
        <v>241</v>
      </c>
      <c r="C129" s="2">
        <v>3995</v>
      </c>
      <c r="D129" t="s">
        <v>279</v>
      </c>
      <c r="F129" s="3">
        <v>99.875</v>
      </c>
      <c r="G129" t="s">
        <v>279</v>
      </c>
    </row>
    <row r="130" spans="1:7" x14ac:dyDescent="0.25">
      <c r="A130" s="1" t="s">
        <v>242</v>
      </c>
      <c r="B130" s="1" t="s">
        <v>243</v>
      </c>
      <c r="C130" s="2">
        <v>796</v>
      </c>
      <c r="D130" t="s">
        <v>342</v>
      </c>
      <c r="F130" s="3">
        <v>19.900000000000002</v>
      </c>
      <c r="G130" t="s">
        <v>342</v>
      </c>
    </row>
    <row r="131" spans="1:7" x14ac:dyDescent="0.25">
      <c r="A131" s="1" t="s">
        <v>244</v>
      </c>
      <c r="B131" s="1" t="s">
        <v>243</v>
      </c>
      <c r="C131" s="2">
        <v>800</v>
      </c>
      <c r="D131" t="s">
        <v>343</v>
      </c>
      <c r="F131" s="3">
        <v>20</v>
      </c>
      <c r="G131" t="s">
        <v>343</v>
      </c>
    </row>
    <row r="132" spans="1:7" x14ac:dyDescent="0.25">
      <c r="A132" s="1" t="s">
        <v>245</v>
      </c>
      <c r="B132" s="1" t="s">
        <v>246</v>
      </c>
      <c r="C132" s="2">
        <v>19997</v>
      </c>
      <c r="D132" t="s">
        <v>288</v>
      </c>
      <c r="F132" s="3">
        <v>499.92500000000001</v>
      </c>
      <c r="G132" t="s">
        <v>288</v>
      </c>
    </row>
    <row r="133" spans="1:7" x14ac:dyDescent="0.25">
      <c r="A133" s="1" t="s">
        <v>247</v>
      </c>
      <c r="B133" s="1" t="s">
        <v>248</v>
      </c>
      <c r="C133" s="2">
        <v>19997</v>
      </c>
      <c r="D133" t="s">
        <v>288</v>
      </c>
      <c r="F133" s="3">
        <v>499.92500000000001</v>
      </c>
      <c r="G133" t="s">
        <v>288</v>
      </c>
    </row>
    <row r="134" spans="1:7" x14ac:dyDescent="0.25">
      <c r="A134" s="1" t="s">
        <v>249</v>
      </c>
      <c r="B134" s="1" t="s">
        <v>250</v>
      </c>
      <c r="C134" s="2">
        <v>19997</v>
      </c>
      <c r="D134" t="s">
        <v>288</v>
      </c>
      <c r="F134" s="3">
        <v>499.92500000000001</v>
      </c>
      <c r="G134" t="s">
        <v>288</v>
      </c>
    </row>
    <row r="135" spans="1:7" x14ac:dyDescent="0.25">
      <c r="A135" s="1" t="s">
        <v>251</v>
      </c>
      <c r="B135" s="1" t="s">
        <v>252</v>
      </c>
      <c r="C135" s="2">
        <v>16000</v>
      </c>
      <c r="D135" t="s">
        <v>290</v>
      </c>
      <c r="F135" s="3">
        <v>400</v>
      </c>
      <c r="G135" t="s">
        <v>290</v>
      </c>
    </row>
    <row r="136" spans="1:7" x14ac:dyDescent="0.25">
      <c r="A136" s="1" t="s">
        <v>253</v>
      </c>
      <c r="B136" s="1" t="s">
        <v>254</v>
      </c>
      <c r="C136" s="2">
        <v>29996</v>
      </c>
      <c r="D136" t="s">
        <v>286</v>
      </c>
      <c r="F136" s="3">
        <v>749.90000000000009</v>
      </c>
      <c r="G136" t="s">
        <v>286</v>
      </c>
    </row>
    <row r="137" spans="1:7" x14ac:dyDescent="0.25">
      <c r="A137" s="1" t="s">
        <v>255</v>
      </c>
      <c r="B137" s="1" t="s">
        <v>256</v>
      </c>
      <c r="C137" s="2">
        <v>1996</v>
      </c>
      <c r="D137" t="s">
        <v>282</v>
      </c>
      <c r="F137" s="3">
        <v>49.900000000000006</v>
      </c>
      <c r="G137" t="s">
        <v>282</v>
      </c>
    </row>
    <row r="138" spans="1:7" x14ac:dyDescent="0.25">
      <c r="A138" s="1" t="s">
        <v>257</v>
      </c>
      <c r="B138" s="1" t="s">
        <v>256</v>
      </c>
      <c r="C138" s="2">
        <v>1999</v>
      </c>
      <c r="D138" t="s">
        <v>300</v>
      </c>
      <c r="F138" s="3">
        <v>49.975000000000001</v>
      </c>
      <c r="G138" t="s">
        <v>300</v>
      </c>
    </row>
    <row r="139" spans="1:7" x14ac:dyDescent="0.25">
      <c r="A139" s="1" t="s">
        <v>258</v>
      </c>
      <c r="B139" s="1" t="s">
        <v>259</v>
      </c>
      <c r="C139" s="2">
        <v>29996</v>
      </c>
      <c r="D139" t="s">
        <v>286</v>
      </c>
      <c r="F139" s="3">
        <v>749.90000000000009</v>
      </c>
      <c r="G139" t="s">
        <v>286</v>
      </c>
    </row>
    <row r="140" spans="1:7" x14ac:dyDescent="0.25">
      <c r="A140" s="1" t="s">
        <v>260</v>
      </c>
      <c r="B140" s="1" t="s">
        <v>261</v>
      </c>
      <c r="C140" s="2">
        <v>6400</v>
      </c>
      <c r="D140" t="s">
        <v>344</v>
      </c>
      <c r="F140" s="3">
        <v>160</v>
      </c>
      <c r="G140" t="s">
        <v>344</v>
      </c>
    </row>
    <row r="141" spans="1:7" x14ac:dyDescent="0.25">
      <c r="A141" s="1" t="s">
        <v>262</v>
      </c>
      <c r="B141" s="1" t="s">
        <v>263</v>
      </c>
      <c r="C141" s="2">
        <v>13997</v>
      </c>
      <c r="D141" t="s">
        <v>345</v>
      </c>
      <c r="F141" s="3">
        <v>349.92500000000001</v>
      </c>
      <c r="G141" t="s">
        <v>345</v>
      </c>
    </row>
    <row r="142" spans="1:7" x14ac:dyDescent="0.25">
      <c r="A142" s="1" t="s">
        <v>264</v>
      </c>
      <c r="B142" s="1" t="s">
        <v>265</v>
      </c>
      <c r="C142" s="2">
        <v>17997</v>
      </c>
      <c r="D142" t="s">
        <v>323</v>
      </c>
      <c r="F142" s="3">
        <v>449.92500000000001</v>
      </c>
      <c r="G142" t="s">
        <v>323</v>
      </c>
    </row>
    <row r="143" spans="1:7" x14ac:dyDescent="0.25">
      <c r="A143" s="1" t="s">
        <v>266</v>
      </c>
      <c r="B143" s="1" t="s">
        <v>267</v>
      </c>
      <c r="C143" s="2">
        <v>15997</v>
      </c>
      <c r="D143" t="s">
        <v>287</v>
      </c>
      <c r="F143" s="3">
        <v>399.92500000000001</v>
      </c>
      <c r="G143" t="s">
        <v>287</v>
      </c>
    </row>
    <row r="144" spans="1:7" x14ac:dyDescent="0.25">
      <c r="A144" s="1" t="s">
        <v>268</v>
      </c>
      <c r="B144" s="1" t="s">
        <v>269</v>
      </c>
      <c r="C144" s="2">
        <v>6397</v>
      </c>
      <c r="D144" t="s">
        <v>346</v>
      </c>
      <c r="F144" s="3">
        <v>159.92500000000001</v>
      </c>
      <c r="G144" t="s">
        <v>346</v>
      </c>
    </row>
    <row r="145" spans="1:7" x14ac:dyDescent="0.25">
      <c r="A145" s="1" t="s">
        <v>270</v>
      </c>
      <c r="B145" s="1" t="s">
        <v>269</v>
      </c>
      <c r="C145" s="2">
        <v>1996</v>
      </c>
      <c r="D145" t="s">
        <v>282</v>
      </c>
      <c r="F145" s="3">
        <v>49.900000000000006</v>
      </c>
      <c r="G145" t="s">
        <v>282</v>
      </c>
    </row>
    <row r="146" spans="1:7" x14ac:dyDescent="0.25">
      <c r="A146" s="1" t="s">
        <v>271</v>
      </c>
      <c r="B146" s="1" t="s">
        <v>269</v>
      </c>
      <c r="C146" s="2">
        <v>1999</v>
      </c>
      <c r="D146" t="s">
        <v>300</v>
      </c>
      <c r="F146" s="3">
        <v>49.975000000000001</v>
      </c>
      <c r="G146" t="s">
        <v>300</v>
      </c>
    </row>
    <row r="147" spans="1:7" x14ac:dyDescent="0.25">
      <c r="A147" s="1" t="s">
        <v>272</v>
      </c>
      <c r="B147" s="1" t="s">
        <v>273</v>
      </c>
      <c r="C147" s="2">
        <v>5716</v>
      </c>
      <c r="D147" t="s">
        <v>347</v>
      </c>
      <c r="F147" s="3">
        <v>142.9</v>
      </c>
      <c r="G147" t="s">
        <v>347</v>
      </c>
    </row>
    <row r="148" spans="1:7" x14ac:dyDescent="0.25">
      <c r="C148" s="5">
        <f>SUM(C2:C147)</f>
        <v>1796773</v>
      </c>
      <c r="D148" s="5">
        <f>SUM(D2:D147)</f>
        <v>0</v>
      </c>
      <c r="E148" s="6">
        <f>C148-D148</f>
        <v>1796773</v>
      </c>
      <c r="F148" s="3">
        <f>SUM(F2:F147)</f>
        <v>44919.325000000063</v>
      </c>
      <c r="G148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2C38-F6A6-45ED-B4C3-1B5733B05B59}">
  <dimension ref="A1:H148"/>
  <sheetViews>
    <sheetView topLeftCell="F137" workbookViewId="0">
      <selection activeCell="G137" sqref="G137"/>
    </sheetView>
  </sheetViews>
  <sheetFormatPr defaultRowHeight="15" x14ac:dyDescent="0.25"/>
  <cols>
    <col min="1" max="1" width="32" bestFit="1" customWidth="1"/>
    <col min="2" max="2" width="14" bestFit="1" customWidth="1"/>
    <col min="3" max="4" width="10.5703125" bestFit="1" customWidth="1"/>
    <col min="5" max="5" width="14" bestFit="1" customWidth="1"/>
    <col min="6" max="6" width="118.85546875" customWidth="1"/>
    <col min="7" max="7" width="109.7109375" customWidth="1"/>
    <col min="8" max="8" width="100" customWidth="1"/>
  </cols>
  <sheetData>
    <row r="1" spans="1:8" x14ac:dyDescent="0.25">
      <c r="A1" s="10" t="s">
        <v>888</v>
      </c>
      <c r="B1" t="s">
        <v>889</v>
      </c>
      <c r="D1" s="11" t="s">
        <v>890</v>
      </c>
      <c r="E1" s="17" t="s">
        <v>891</v>
      </c>
    </row>
    <row r="2" spans="1:8" ht="66" customHeight="1" x14ac:dyDescent="0.25">
      <c r="A2" s="7" t="s">
        <v>3</v>
      </c>
      <c r="B2" s="12" t="str">
        <f>VLOOKUP(A2,policy!B:D,2,0)</f>
        <v>070000154310</v>
      </c>
      <c r="C2" s="2">
        <v>5001</v>
      </c>
      <c r="D2" s="13">
        <f>ROUND(C2,0)</f>
        <v>5001</v>
      </c>
      <c r="E2" s="17" t="s">
        <v>891</v>
      </c>
      <c r="F2" s="14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5" t="str">
        <f>"('"&amp;E2&amp;"','"&amp;B2&amp;"','"&amp;D2&amp;"',(select max(to_number(i.premium_rcv_detail_code))+1
from ins_premium_det i),'"&amp;D2&amp;"','"&amp;D2&amp;"','02', '11000003','00','Request by Mr.Raheel Malik 12-Dec-2024 add premium allocation no Premium');"</f>
        <v>('11Dec240052','070000154310','5001',(select max(to_number(i.premium_rcv_detail_code))+1
from ins_premium_det i),'5001','5001','02', '11000003','00','Request by Mr.Raheel Malik 12-Dec-2024 add premium allocation no Premium');</v>
      </c>
      <c r="H2" s="16" t="str">
        <f>F2&amp;G2</f>
        <v>insert into ins_premium_det (premium_rcv_code,assorted_code, rec_amount,premium_rcv_detail_code,remaining_amt, payrec, mode_code,coinsurance_code,class_cd,it_remarks) values('11Dec240052','070000154310','5001',(select max(to_number(i.premium_rcv_detail_code))+1
from ins_premium_det i),'5001','5001','02', '11000003','00','Request by Mr.Raheel Malik 12-Dec-2024 add premium allocation no Premium');</v>
      </c>
    </row>
    <row r="3" spans="1:8" ht="90" x14ac:dyDescent="0.25">
      <c r="A3" s="7" t="s">
        <v>5</v>
      </c>
      <c r="B3" s="12" t="str">
        <f>VLOOKUP(A3,policy!B:D,2,0)</f>
        <v>070000171445</v>
      </c>
      <c r="C3" s="2">
        <v>3995</v>
      </c>
      <c r="D3" s="13">
        <f t="shared" ref="D3:D66" si="1">ROUND(C3,0)</f>
        <v>3995</v>
      </c>
      <c r="E3" s="17" t="s">
        <v>891</v>
      </c>
      <c r="F3" s="14" t="str">
        <f t="shared" si="0"/>
        <v>insert into ins_premium_det (premium_rcv_code,assorted_code, rec_amount,premium_rcv_detail_code,remaining_amt, payrec, mode_code,coinsurance_code,class_cd,it_remarks) values</v>
      </c>
      <c r="G3" s="15" t="str">
        <f t="shared" ref="G3:G66" si="2">"('"&amp;E3&amp;"','"&amp;B3&amp;"','"&amp;D3&amp;"',(select max(to_number(i.premium_rcv_detail_code))+1
from ins_premium_det i),'"&amp;D3&amp;"','"&amp;D3&amp;"','02', '11000003','00','Request by Mr.Raheel Malik 12-Dec-2024 add premium allocation no Premium');"</f>
        <v>('11Dec240052','070000171445','3995',(select max(to_number(i.premium_rcv_detail_code))+1
from ins_premium_det i),'3995','3995','02', '11000003','00','Request by Mr.Raheel Malik 12-Dec-2024 add premium allocation no Premium');</v>
      </c>
      <c r="H3" s="16" t="str">
        <f t="shared" ref="H3:H66" si="3">F3&amp;G3</f>
        <v>insert into ins_premium_det (premium_rcv_code,assorted_code, rec_amount,premium_rcv_detail_code,remaining_amt, payrec, mode_code,coinsurance_code,class_cd,it_remarks) values('11Dec240052','070000171445','3995',(select max(to_number(i.premium_rcv_detail_code))+1
from ins_premium_det i),'3995','3995','02', '11000003','00','Request by Mr.Raheel Malik 12-Dec-2024 add premium allocation no Premium');</v>
      </c>
    </row>
    <row r="4" spans="1:8" ht="90" x14ac:dyDescent="0.25">
      <c r="A4" s="7" t="s">
        <v>7</v>
      </c>
      <c r="B4" s="12" t="str">
        <f>VLOOKUP(A4,policy!B:D,2,0)</f>
        <v>070000157183</v>
      </c>
      <c r="C4" s="2">
        <v>15999</v>
      </c>
      <c r="D4" s="13">
        <f t="shared" si="1"/>
        <v>15999</v>
      </c>
      <c r="E4" s="17" t="s">
        <v>891</v>
      </c>
      <c r="F4" s="14" t="str">
        <f t="shared" si="0"/>
        <v>insert into ins_premium_det (premium_rcv_code,assorted_code, rec_amount,premium_rcv_detail_code,remaining_amt, payrec, mode_code,coinsurance_code,class_cd,it_remarks) values</v>
      </c>
      <c r="G4" s="15" t="str">
        <f t="shared" si="2"/>
        <v>('11Dec240052','070000157183','15999',(select max(to_number(i.premium_rcv_detail_code))+1
from ins_premium_det i),'15999','15999','02', '11000003','00','Request by Mr.Raheel Malik 12-Dec-2024 add premium allocation no Premium');</v>
      </c>
      <c r="H4" s="16" t="str">
        <f t="shared" si="3"/>
        <v>insert into ins_premium_det (premium_rcv_code,assorted_code, rec_amount,premium_rcv_detail_code,remaining_amt, payrec, mode_code,coinsurance_code,class_cd,it_remarks) values('11Dec240052','070000157183','15999',(select max(to_number(i.premium_rcv_detail_code))+1
from ins_premium_det i),'15999','15999','02', '11000003','00','Request by Mr.Raheel Malik 12-Dec-2024 add premium allocation no Premium');</v>
      </c>
    </row>
    <row r="5" spans="1:8" ht="90" x14ac:dyDescent="0.25">
      <c r="A5" s="7" t="s">
        <v>9</v>
      </c>
      <c r="B5" s="12" t="str">
        <f>VLOOKUP(A5,policy!B:D,2,0)</f>
        <v>070000154311</v>
      </c>
      <c r="C5" s="2">
        <v>4000</v>
      </c>
      <c r="D5" s="13">
        <f t="shared" si="1"/>
        <v>4000</v>
      </c>
      <c r="E5" s="17" t="s">
        <v>891</v>
      </c>
      <c r="F5" s="14" t="str">
        <f t="shared" si="0"/>
        <v>insert into ins_premium_det (premium_rcv_code,assorted_code, rec_amount,premium_rcv_detail_code,remaining_amt, payrec, mode_code,coinsurance_code,class_cd,it_remarks) values</v>
      </c>
      <c r="G5" s="15" t="str">
        <f t="shared" si="2"/>
        <v>('11Dec240052','070000154311','4000',(select max(to_number(i.premium_rcv_detail_code))+1
from ins_premium_det i),'4000','4000','02', '11000003','00','Request by Mr.Raheel Malik 12-Dec-2024 add premium allocation no Premium');</v>
      </c>
      <c r="H5" s="16" t="str">
        <f t="shared" si="3"/>
        <v>insert into ins_premium_det (premium_rcv_code,assorted_code, rec_amount,premium_rcv_detail_code,remaining_amt, payrec, mode_code,coinsurance_code,class_cd,it_remarks) values('11Dec240052','070000154311','4000',(select max(to_number(i.premium_rcv_detail_code))+1
from ins_premium_det i),'4000','4000','02', '11000003','00','Request by Mr.Raheel Malik 12-Dec-2024 add premium allocation no Premium');</v>
      </c>
    </row>
    <row r="6" spans="1:8" ht="90" x14ac:dyDescent="0.25">
      <c r="A6" s="7" t="s">
        <v>11</v>
      </c>
      <c r="B6" s="12" t="str">
        <f>VLOOKUP(A6,policy!B:D,2,0)</f>
        <v>070000167593</v>
      </c>
      <c r="C6" s="2">
        <v>1996</v>
      </c>
      <c r="D6" s="13">
        <f t="shared" si="1"/>
        <v>1996</v>
      </c>
      <c r="E6" s="17" t="s">
        <v>891</v>
      </c>
      <c r="F6" s="14" t="str">
        <f t="shared" si="0"/>
        <v>insert into ins_premium_det (premium_rcv_code,assorted_code, rec_amount,premium_rcv_detail_code,remaining_amt, payrec, mode_code,coinsurance_code,class_cd,it_remarks) values</v>
      </c>
      <c r="G6" s="15" t="str">
        <f t="shared" si="2"/>
        <v>('11Dec240052','070000167593','1996',(select max(to_number(i.premium_rcv_detail_code))+1
from ins_premium_det i),'1996','1996','02', '11000003','00','Request by Mr.Raheel Malik 12-Dec-2024 add premium allocation no Premium');</v>
      </c>
      <c r="H6" s="16" t="str">
        <f t="shared" si="3"/>
        <v>insert into ins_premium_det (premium_rcv_code,assorted_code, rec_amount,premium_rcv_detail_code,remaining_amt, payrec, mode_code,coinsurance_code,class_cd,it_remarks) values('11Dec240052','070000167593','1996',(select max(to_number(i.premium_rcv_detail_code))+1
from ins_premium_det i),'1996','1996','02', '11000003','00','Request by Mr.Raheel Malik 12-Dec-2024 add premium allocation no Premium');</v>
      </c>
    </row>
    <row r="7" spans="1:8" ht="90" x14ac:dyDescent="0.25">
      <c r="A7" s="7" t="s">
        <v>13</v>
      </c>
      <c r="B7" s="12" t="str">
        <f>VLOOKUP(A7,policy!B:D,2,0)</f>
        <v>070000157172</v>
      </c>
      <c r="C7" s="2">
        <v>1998</v>
      </c>
      <c r="D7" s="13">
        <f t="shared" si="1"/>
        <v>1998</v>
      </c>
      <c r="E7" s="17" t="s">
        <v>891</v>
      </c>
      <c r="F7" s="14" t="str">
        <f t="shared" si="0"/>
        <v>insert into ins_premium_det (premium_rcv_code,assorted_code, rec_amount,premium_rcv_detail_code,remaining_amt, payrec, mode_code,coinsurance_code,class_cd,it_remarks) values</v>
      </c>
      <c r="G7" s="15" t="str">
        <f t="shared" si="2"/>
        <v>('11Dec240052','070000157172','1998',(select max(to_number(i.premium_rcv_detail_code))+1
from ins_premium_det i),'1998','1998','02', '11000003','00','Request by Mr.Raheel Malik 12-Dec-2024 add premium allocation no Premium');</v>
      </c>
      <c r="H7" s="16" t="str">
        <f t="shared" si="3"/>
        <v>insert into ins_premium_det (premium_rcv_code,assorted_code, rec_amount,premium_rcv_detail_code,remaining_amt, payrec, mode_code,coinsurance_code,class_cd,it_remarks) values('11Dec240052','070000157172','1998',(select max(to_number(i.premium_rcv_detail_code))+1
from ins_premium_det i),'1998','1998','02', '11000003','00','Request by Mr.Raheel Malik 12-Dec-2024 add premium allocation no Premium');</v>
      </c>
    </row>
    <row r="8" spans="1:8" ht="90" x14ac:dyDescent="0.25">
      <c r="A8" s="7" t="s">
        <v>14</v>
      </c>
      <c r="B8" s="12" t="str">
        <f>VLOOKUP(A8,policy!B:D,2,0)</f>
        <v>070000162399</v>
      </c>
      <c r="C8" s="2">
        <v>3596</v>
      </c>
      <c r="D8" s="13">
        <f t="shared" si="1"/>
        <v>3596</v>
      </c>
      <c r="E8" s="17" t="s">
        <v>891</v>
      </c>
      <c r="F8" s="14" t="str">
        <f t="shared" si="0"/>
        <v>insert into ins_premium_det (premium_rcv_code,assorted_code, rec_amount,premium_rcv_detail_code,remaining_amt, payrec, mode_code,coinsurance_code,class_cd,it_remarks) values</v>
      </c>
      <c r="G8" s="15" t="str">
        <f t="shared" si="2"/>
        <v>('11Dec240052','070000162399','3596',(select max(to_number(i.premium_rcv_detail_code))+1
from ins_premium_det i),'3596','3596','02', '11000003','00','Request by Mr.Raheel Malik 12-Dec-2024 add premium allocation no Premium');</v>
      </c>
      <c r="H8" s="16" t="str">
        <f t="shared" si="3"/>
        <v>insert into ins_premium_det (premium_rcv_code,assorted_code, rec_amount,premium_rcv_detail_code,remaining_amt, payrec, mode_code,coinsurance_code,class_cd,it_remarks) values('11Dec240052','070000162399','3596',(select max(to_number(i.premium_rcv_detail_code))+1
from ins_premium_det i),'3596','3596','02', '11000003','00','Request by Mr.Raheel Malik 12-Dec-2024 add premium allocation no Premium');</v>
      </c>
    </row>
    <row r="9" spans="1:8" ht="90" x14ac:dyDescent="0.25">
      <c r="A9" s="7" t="s">
        <v>16</v>
      </c>
      <c r="B9" s="12" t="str">
        <f>VLOOKUP(A9,policy!B:D,2,0)</f>
        <v>070000169513</v>
      </c>
      <c r="C9" s="2">
        <v>27997</v>
      </c>
      <c r="D9" s="13">
        <f t="shared" si="1"/>
        <v>27997</v>
      </c>
      <c r="E9" s="17" t="s">
        <v>891</v>
      </c>
      <c r="F9" s="14" t="str">
        <f t="shared" si="0"/>
        <v>insert into ins_premium_det (premium_rcv_code,assorted_code, rec_amount,premium_rcv_detail_code,remaining_amt, payrec, mode_code,coinsurance_code,class_cd,it_remarks) values</v>
      </c>
      <c r="G9" s="15" t="str">
        <f t="shared" si="2"/>
        <v>('11Dec240052','070000169513','27997',(select max(to_number(i.premium_rcv_detail_code))+1
from ins_premium_det i),'27997','27997','02', '11000003','00','Request by Mr.Raheel Malik 12-Dec-2024 add premium allocation no Premium');</v>
      </c>
      <c r="H9" s="16" t="str">
        <f t="shared" si="3"/>
        <v>insert into ins_premium_det (premium_rcv_code,assorted_code, rec_amount,premium_rcv_detail_code,remaining_amt, payrec, mode_code,coinsurance_code,class_cd,it_remarks) values('11Dec240052','070000169513','27997',(select max(to_number(i.premium_rcv_detail_code))+1
from ins_premium_det i),'27997','27997','02', '11000003','00','Request by Mr.Raheel Malik 12-Dec-2024 add premium allocation no Premium');</v>
      </c>
    </row>
    <row r="10" spans="1:8" ht="90" x14ac:dyDescent="0.25">
      <c r="A10" s="7" t="s">
        <v>18</v>
      </c>
      <c r="B10" s="12" t="str">
        <f>VLOOKUP(A10,policy!B:D,2,0)</f>
        <v>070000171444</v>
      </c>
      <c r="C10" s="2">
        <v>29996</v>
      </c>
      <c r="D10" s="13">
        <f t="shared" si="1"/>
        <v>29996</v>
      </c>
      <c r="E10" s="17" t="s">
        <v>891</v>
      </c>
      <c r="F10" s="14" t="str">
        <f t="shared" si="0"/>
        <v>insert into ins_premium_det (premium_rcv_code,assorted_code, rec_amount,premium_rcv_detail_code,remaining_amt, payrec, mode_code,coinsurance_code,class_cd,it_remarks) values</v>
      </c>
      <c r="G10" s="15" t="str">
        <f t="shared" si="2"/>
        <v>('11Dec240052','070000171444','29996',(select max(to_number(i.premium_rcv_detail_code))+1
from ins_premium_det i),'29996','29996','02', '11000003','00','Request by Mr.Raheel Malik 12-Dec-2024 add premium allocation no Premium');</v>
      </c>
      <c r="H10" s="16" t="str">
        <f t="shared" si="3"/>
        <v>insert into ins_premium_det (premium_rcv_code,assorted_code, rec_amount,premium_rcv_detail_code,remaining_amt, payrec, mode_code,coinsurance_code,class_cd,it_remarks) values('11Dec240052','070000171444','29996',(select max(to_number(i.premium_rcv_detail_code))+1
from ins_premium_det i),'29996','29996','02', '11000003','00','Request by Mr.Raheel Malik 12-Dec-2024 add premium allocation no Premium');</v>
      </c>
    </row>
    <row r="11" spans="1:8" ht="90" x14ac:dyDescent="0.25">
      <c r="A11" s="7" t="s">
        <v>20</v>
      </c>
      <c r="B11" s="12" t="str">
        <f>VLOOKUP(A11,policy!B:D,2,0)</f>
        <v>070000162405</v>
      </c>
      <c r="C11" s="2">
        <v>15997</v>
      </c>
      <c r="D11" s="13">
        <f t="shared" si="1"/>
        <v>15997</v>
      </c>
      <c r="E11" s="17" t="s">
        <v>891</v>
      </c>
      <c r="F11" s="14" t="str">
        <f t="shared" si="0"/>
        <v>insert into ins_premium_det (premium_rcv_code,assorted_code, rec_amount,premium_rcv_detail_code,remaining_amt, payrec, mode_code,coinsurance_code,class_cd,it_remarks) values</v>
      </c>
      <c r="G11" s="15" t="str">
        <f t="shared" si="2"/>
        <v>('11Dec240052','070000162405','15997',(select max(to_number(i.premium_rcv_detail_code))+1
from ins_premium_det i),'15997','15997','02', '11000003','00','Request by Mr.Raheel Malik 12-Dec-2024 add premium allocation no Premium');</v>
      </c>
      <c r="H11" s="16" t="str">
        <f t="shared" si="3"/>
        <v>insert into ins_premium_det (premium_rcv_code,assorted_code, rec_amount,premium_rcv_detail_code,remaining_amt, payrec, mode_code,coinsurance_code,class_cd,it_remarks) values('11Dec240052','070000162405','15997',(select max(to_number(i.premium_rcv_detail_code))+1
from ins_premium_det i),'15997','15997','02', '11000003','00','Request by Mr.Raheel Malik 12-Dec-2024 add premium allocation no Premium');</v>
      </c>
    </row>
    <row r="12" spans="1:8" ht="90" x14ac:dyDescent="0.25">
      <c r="A12" s="7" t="s">
        <v>22</v>
      </c>
      <c r="B12" s="12" t="str">
        <f>VLOOKUP(A12,policy!B:D,2,0)</f>
        <v>070000162375</v>
      </c>
      <c r="C12" s="2">
        <v>19997</v>
      </c>
      <c r="D12" s="13">
        <f t="shared" si="1"/>
        <v>19997</v>
      </c>
      <c r="E12" s="17" t="s">
        <v>891</v>
      </c>
      <c r="F12" s="14" t="str">
        <f t="shared" si="0"/>
        <v>insert into ins_premium_det (premium_rcv_code,assorted_code, rec_amount,premium_rcv_detail_code,remaining_amt, payrec, mode_code,coinsurance_code,class_cd,it_remarks) values</v>
      </c>
      <c r="G12" s="15" t="str">
        <f t="shared" si="2"/>
        <v>('11Dec240052','070000162375','19997',(select max(to_number(i.premium_rcv_detail_code))+1
from ins_premium_det i),'19997','19997','02', '11000003','00','Request by Mr.Raheel Malik 12-Dec-2024 add premium allocation no Premium');</v>
      </c>
      <c r="H12" s="16" t="str">
        <f t="shared" si="3"/>
        <v>insert into ins_premium_det (premium_rcv_code,assorted_code, rec_amount,premium_rcv_detail_code,remaining_amt, payrec, mode_code,coinsurance_code,class_cd,it_remarks) values('11Dec240052','070000162375','19997',(select max(to_number(i.premium_rcv_detail_code))+1
from ins_premium_det i),'19997','19997','02', '11000003','00','Request by Mr.Raheel Malik 12-Dec-2024 add premium allocation no Premium');</v>
      </c>
    </row>
    <row r="13" spans="1:8" ht="90" x14ac:dyDescent="0.25">
      <c r="A13" s="7" t="s">
        <v>24</v>
      </c>
      <c r="B13" s="12" t="str">
        <f>VLOOKUP(A13,policy!B:D,2,0)</f>
        <v>070000154302</v>
      </c>
      <c r="C13" s="2">
        <v>12000</v>
      </c>
      <c r="D13" s="13">
        <f t="shared" si="1"/>
        <v>12000</v>
      </c>
      <c r="E13" s="17" t="s">
        <v>891</v>
      </c>
      <c r="F13" s="14" t="str">
        <f t="shared" si="0"/>
        <v>insert into ins_premium_det (premium_rcv_code,assorted_code, rec_amount,premium_rcv_detail_code,remaining_amt, payrec, mode_code,coinsurance_code,class_cd,it_remarks) values</v>
      </c>
      <c r="G13" s="15" t="str">
        <f t="shared" si="2"/>
        <v>('11Dec240052','070000154302','12000',(select max(to_number(i.premium_rcv_detail_code))+1
from ins_premium_det i),'12000','12000','02', '11000003','00','Request by Mr.Raheel Malik 12-Dec-2024 add premium allocation no Premium');</v>
      </c>
      <c r="H13" s="16" t="str">
        <f t="shared" si="3"/>
        <v>insert into ins_premium_det (premium_rcv_code,assorted_code, rec_amount,premium_rcv_detail_code,remaining_amt, payrec, mode_code,coinsurance_code,class_cd,it_remarks) values('11Dec240052','070000154302','12000',(select max(to_number(i.premium_rcv_detail_code))+1
from ins_premium_det i),'12000','12000','02', '11000003','00','Request by Mr.Raheel Malik 12-Dec-2024 add premium allocation no Premium');</v>
      </c>
    </row>
    <row r="14" spans="1:8" ht="90" x14ac:dyDescent="0.25">
      <c r="A14" s="7" t="s">
        <v>26</v>
      </c>
      <c r="B14" s="12" t="str">
        <f>VLOOKUP(A14,policy!B:D,2,0)</f>
        <v>070000167583</v>
      </c>
      <c r="C14" s="2">
        <v>3995</v>
      </c>
      <c r="D14" s="13">
        <f t="shared" si="1"/>
        <v>3995</v>
      </c>
      <c r="E14" s="17" t="s">
        <v>891</v>
      </c>
      <c r="F14" s="14" t="str">
        <f t="shared" si="0"/>
        <v>insert into ins_premium_det (premium_rcv_code,assorted_code, rec_amount,premium_rcv_detail_code,remaining_amt, payrec, mode_code,coinsurance_code,class_cd,it_remarks) values</v>
      </c>
      <c r="G14" s="15" t="str">
        <f t="shared" si="2"/>
        <v>('11Dec240052','070000167583','3995',(select max(to_number(i.premium_rcv_detail_code))+1
from ins_premium_det i),'3995','3995','02', '11000003','00','Request by Mr.Raheel Malik 12-Dec-2024 add premium allocation no Premium');</v>
      </c>
      <c r="H14" s="16" t="str">
        <f t="shared" si="3"/>
        <v>insert into ins_premium_det (premium_rcv_code,assorted_code, rec_amount,premium_rcv_detail_code,remaining_amt, payrec, mode_code,coinsurance_code,class_cd,it_remarks) values('11Dec240052','070000167583','3995',(select max(to_number(i.premium_rcv_detail_code))+1
from ins_premium_det i),'3995','3995','02', '11000003','00','Request by Mr.Raheel Malik 12-Dec-2024 add premium allocation no Premium');</v>
      </c>
    </row>
    <row r="15" spans="1:8" ht="90" x14ac:dyDescent="0.25">
      <c r="A15" s="7" t="s">
        <v>28</v>
      </c>
      <c r="B15" s="12" t="str">
        <f>VLOOKUP(A15,policy!B:D,2,0)</f>
        <v>070000152028</v>
      </c>
      <c r="C15" s="2">
        <v>16000</v>
      </c>
      <c r="D15" s="13">
        <f t="shared" si="1"/>
        <v>16000</v>
      </c>
      <c r="E15" s="17" t="s">
        <v>891</v>
      </c>
      <c r="F15" s="14" t="str">
        <f t="shared" si="0"/>
        <v>insert into ins_premium_det (premium_rcv_code,assorted_code, rec_amount,premium_rcv_detail_code,remaining_amt, payrec, mode_code,coinsurance_code,class_cd,it_remarks) values</v>
      </c>
      <c r="G15" s="15" t="str">
        <f t="shared" si="2"/>
        <v>('11Dec240052','070000152028','16000',(select max(to_number(i.premium_rcv_detail_code))+1
from ins_premium_det i),'16000','16000','02', '11000003','00','Request by Mr.Raheel Malik 12-Dec-2024 add premium allocation no Premium');</v>
      </c>
      <c r="H15" s="16" t="str">
        <f t="shared" si="3"/>
        <v>insert into ins_premium_det (premium_rcv_code,assorted_code, rec_amount,premium_rcv_detail_code,remaining_amt, payrec, mode_code,coinsurance_code,class_cd,it_remarks) values('11Dec240052','070000152028','16000',(select max(to_number(i.premium_rcv_detail_code))+1
from ins_premium_det i),'16000','16000','02', '11000003','00','Request by Mr.Raheel Malik 12-Dec-2024 add premium allocation no Premium');</v>
      </c>
    </row>
    <row r="16" spans="1:8" ht="90" x14ac:dyDescent="0.25">
      <c r="A16" s="7" t="s">
        <v>30</v>
      </c>
      <c r="B16" s="12" t="str">
        <f>VLOOKUP(A16,policy!B:D,2,0)</f>
        <v>070000167594</v>
      </c>
      <c r="C16" s="2">
        <v>11996</v>
      </c>
      <c r="D16" s="13">
        <f t="shared" si="1"/>
        <v>11996</v>
      </c>
      <c r="E16" s="17" t="s">
        <v>891</v>
      </c>
      <c r="F16" s="14" t="str">
        <f t="shared" si="0"/>
        <v>insert into ins_premium_det (premium_rcv_code,assorted_code, rec_amount,premium_rcv_detail_code,remaining_amt, payrec, mode_code,coinsurance_code,class_cd,it_remarks) values</v>
      </c>
      <c r="G16" s="15" t="str">
        <f t="shared" si="2"/>
        <v>('11Dec240052','070000167594','11996',(select max(to_number(i.premium_rcv_detail_code))+1
from ins_premium_det i),'11996','11996','02', '11000003','00','Request by Mr.Raheel Malik 12-Dec-2024 add premium allocation no Premium');</v>
      </c>
      <c r="H16" s="16" t="str">
        <f t="shared" si="3"/>
        <v>insert into ins_premium_det (premium_rcv_code,assorted_code, rec_amount,premium_rcv_detail_code,remaining_amt, payrec, mode_code,coinsurance_code,class_cd,it_remarks) values('11Dec240052','070000167594','11996',(select max(to_number(i.premium_rcv_detail_code))+1
from ins_premium_det i),'11996','11996','02', '11000003','00','Request by Mr.Raheel Malik 12-Dec-2024 add premium allocation no Premium');</v>
      </c>
    </row>
    <row r="17" spans="1:8" ht="90" x14ac:dyDescent="0.25">
      <c r="A17" s="7" t="s">
        <v>32</v>
      </c>
      <c r="B17" s="12" t="str">
        <f>VLOOKUP(A17,policy!B:D,2,0)</f>
        <v>070000162402</v>
      </c>
      <c r="C17" s="2">
        <v>13996</v>
      </c>
      <c r="D17" s="13">
        <f t="shared" si="1"/>
        <v>13996</v>
      </c>
      <c r="E17" s="17" t="s">
        <v>891</v>
      </c>
      <c r="F17" s="14" t="str">
        <f t="shared" si="0"/>
        <v>insert into ins_premium_det (premium_rcv_code,assorted_code, rec_amount,premium_rcv_detail_code,remaining_amt, payrec, mode_code,coinsurance_code,class_cd,it_remarks) values</v>
      </c>
      <c r="G17" s="15" t="str">
        <f t="shared" si="2"/>
        <v>('11Dec240052','070000162402','13996',(select max(to_number(i.premium_rcv_detail_code))+1
from ins_premium_det i),'13996','13996','02', '11000003','00','Request by Mr.Raheel Malik 12-Dec-2024 add premium allocation no Premium');</v>
      </c>
      <c r="H17" s="16" t="str">
        <f t="shared" si="3"/>
        <v>insert into ins_premium_det (premium_rcv_code,assorted_code, rec_amount,premium_rcv_detail_code,remaining_amt, payrec, mode_code,coinsurance_code,class_cd,it_remarks) values('11Dec240052','070000162402','13996',(select max(to_number(i.premium_rcv_detail_code))+1
from ins_premium_det i),'13996','13996','02', '11000003','00','Request by Mr.Raheel Malik 12-Dec-2024 add premium allocation no Premium');</v>
      </c>
    </row>
    <row r="18" spans="1:8" ht="90" x14ac:dyDescent="0.25">
      <c r="A18" s="7" t="s">
        <v>34</v>
      </c>
      <c r="B18" s="12" t="str">
        <f>VLOOKUP(A18,policy!B:D,2,0)</f>
        <v>070000154305</v>
      </c>
      <c r="C18" s="2">
        <v>8000</v>
      </c>
      <c r="D18" s="13">
        <f t="shared" si="1"/>
        <v>8000</v>
      </c>
      <c r="E18" s="17" t="s">
        <v>891</v>
      </c>
      <c r="F18" s="14" t="str">
        <f t="shared" si="0"/>
        <v>insert into ins_premium_det (premium_rcv_code,assorted_code, rec_amount,premium_rcv_detail_code,remaining_amt, payrec, mode_code,coinsurance_code,class_cd,it_remarks) values</v>
      </c>
      <c r="G18" s="15" t="str">
        <f t="shared" si="2"/>
        <v>('11Dec240052','070000154305','8000',(select max(to_number(i.premium_rcv_detail_code))+1
from ins_premium_det i),'8000','8000','02', '11000003','00','Request by Mr.Raheel Malik 12-Dec-2024 add premium allocation no Premium');</v>
      </c>
      <c r="H18" s="16" t="str">
        <f t="shared" si="3"/>
        <v>insert into ins_premium_det (premium_rcv_code,assorted_code, rec_amount,premium_rcv_detail_code,remaining_amt, payrec, mode_code,coinsurance_code,class_cd,it_remarks) values('11Dec240052','070000154305','8000',(select max(to_number(i.premium_rcv_detail_code))+1
from ins_premium_det i),'8000','8000','02', '11000003','00','Request by Mr.Raheel Malik 12-Dec-2024 add premium allocation no Premium');</v>
      </c>
    </row>
    <row r="19" spans="1:8" ht="90" x14ac:dyDescent="0.25">
      <c r="A19" s="7" t="s">
        <v>36</v>
      </c>
      <c r="B19" s="12" t="str">
        <f>VLOOKUP(A19,policy!B:D,2,0)</f>
        <v>070000152031</v>
      </c>
      <c r="C19" s="2">
        <v>11201</v>
      </c>
      <c r="D19" s="13">
        <f t="shared" si="1"/>
        <v>11201</v>
      </c>
      <c r="E19" s="17" t="s">
        <v>891</v>
      </c>
      <c r="F19" s="14" t="str">
        <f t="shared" si="0"/>
        <v>insert into ins_premium_det (premium_rcv_code,assorted_code, rec_amount,premium_rcv_detail_code,remaining_amt, payrec, mode_code,coinsurance_code,class_cd,it_remarks) values</v>
      </c>
      <c r="G19" s="15" t="str">
        <f t="shared" si="2"/>
        <v>('11Dec240052','070000152031','11201',(select max(to_number(i.premium_rcv_detail_code))+1
from ins_premium_det i),'11201','11201','02', '11000003','00','Request by Mr.Raheel Malik 12-Dec-2024 add premium allocation no Premium');</v>
      </c>
      <c r="H19" s="16" t="str">
        <f t="shared" si="3"/>
        <v>insert into ins_premium_det (premium_rcv_code,assorted_code, rec_amount,premium_rcv_detail_code,remaining_amt, payrec, mode_code,coinsurance_code,class_cd,it_remarks) values('11Dec240052','070000152031','11201',(select max(to_number(i.premium_rcv_detail_code))+1
from ins_premium_det i),'11201','11201','02', '11000003','00','Request by Mr.Raheel Malik 12-Dec-2024 add premium allocation no Premium');</v>
      </c>
    </row>
    <row r="20" spans="1:8" ht="90" x14ac:dyDescent="0.25">
      <c r="A20" s="7" t="s">
        <v>38</v>
      </c>
      <c r="B20" s="12" t="str">
        <f>VLOOKUP(A20,policy!B:D,2,0)</f>
        <v>070000162387</v>
      </c>
      <c r="C20" s="2">
        <v>996</v>
      </c>
      <c r="D20" s="13">
        <f t="shared" si="1"/>
        <v>996</v>
      </c>
      <c r="E20" s="17" t="s">
        <v>891</v>
      </c>
      <c r="F20" s="14" t="str">
        <f t="shared" si="0"/>
        <v>insert into ins_premium_det (premium_rcv_code,assorted_code, rec_amount,premium_rcv_detail_code,remaining_amt, payrec, mode_code,coinsurance_code,class_cd,it_remarks) values</v>
      </c>
      <c r="G20" s="15" t="str">
        <f t="shared" si="2"/>
        <v>('11Dec240052','070000162387','996',(select max(to_number(i.premium_rcv_detail_code))+1
from ins_premium_det i),'996','996','02', '11000003','00','Request by Mr.Raheel Malik 12-Dec-2024 add premium allocation no Premium');</v>
      </c>
      <c r="H20" s="16" t="str">
        <f t="shared" si="3"/>
        <v>insert into ins_premium_det (premium_rcv_code,assorted_code, rec_amount,premium_rcv_detail_code,remaining_amt, payrec, mode_code,coinsurance_code,class_cd,it_remarks) values('11Dec240052','070000162387','996',(select max(to_number(i.premium_rcv_detail_code))+1
from ins_premium_det i),'996','996','02', '11000003','00','Request by Mr.Raheel Malik 12-Dec-2024 add premium allocation no Premium');</v>
      </c>
    </row>
    <row r="21" spans="1:8" ht="90" x14ac:dyDescent="0.25">
      <c r="A21" s="7" t="s">
        <v>40</v>
      </c>
      <c r="B21" s="12" t="str">
        <f>VLOOKUP(A21,policy!B:D,2,0)</f>
        <v>070000164182</v>
      </c>
      <c r="C21" s="2">
        <v>3196</v>
      </c>
      <c r="D21" s="13">
        <f t="shared" si="1"/>
        <v>3196</v>
      </c>
      <c r="E21" s="17" t="s">
        <v>891</v>
      </c>
      <c r="F21" s="14" t="str">
        <f t="shared" si="0"/>
        <v>insert into ins_premium_det (premium_rcv_code,assorted_code, rec_amount,premium_rcv_detail_code,remaining_amt, payrec, mode_code,coinsurance_code,class_cd,it_remarks) values</v>
      </c>
      <c r="G21" s="15" t="str">
        <f t="shared" si="2"/>
        <v>('11Dec240052','070000164182','3196',(select max(to_number(i.premium_rcv_detail_code))+1
from ins_premium_det i),'3196','3196','02', '11000003','00','Request by Mr.Raheel Malik 12-Dec-2024 add premium allocation no Premium');</v>
      </c>
      <c r="H21" s="16" t="str">
        <f t="shared" si="3"/>
        <v>insert into ins_premium_det (premium_rcv_code,assorted_code, rec_amount,premium_rcv_detail_code,remaining_amt, payrec, mode_code,coinsurance_code,class_cd,it_remarks) values('11Dec240052','070000164182','3196',(select max(to_number(i.premium_rcv_detail_code))+1
from ins_premium_det i),'3196','3196','02', '11000003','00','Request by Mr.Raheel Malik 12-Dec-2024 add premium allocation no Premium');</v>
      </c>
    </row>
    <row r="22" spans="1:8" ht="90" x14ac:dyDescent="0.25">
      <c r="A22" s="7" t="s">
        <v>42</v>
      </c>
      <c r="B22" s="12" t="str">
        <f>VLOOKUP(A22,policy!B:D,2,0)</f>
        <v>070000154303</v>
      </c>
      <c r="C22" s="2">
        <v>16000</v>
      </c>
      <c r="D22" s="13">
        <f t="shared" si="1"/>
        <v>16000</v>
      </c>
      <c r="E22" s="17" t="s">
        <v>891</v>
      </c>
      <c r="F22" s="14" t="str">
        <f t="shared" si="0"/>
        <v>insert into ins_premium_det (premium_rcv_code,assorted_code, rec_amount,premium_rcv_detail_code,remaining_amt, payrec, mode_code,coinsurance_code,class_cd,it_remarks) values</v>
      </c>
      <c r="G22" s="15" t="str">
        <f t="shared" si="2"/>
        <v>('11Dec240052','070000154303','16000',(select max(to_number(i.premium_rcv_detail_code))+1
from ins_premium_det i),'16000','16000','02', '11000003','00','Request by Mr.Raheel Malik 12-Dec-2024 add premium allocation no Premium');</v>
      </c>
      <c r="H22" s="16" t="str">
        <f t="shared" si="3"/>
        <v>insert into ins_premium_det (premium_rcv_code,assorted_code, rec_amount,premium_rcv_detail_code,remaining_amt, payrec, mode_code,coinsurance_code,class_cd,it_remarks) values('11Dec240052','070000154303','16000',(select max(to_number(i.premium_rcv_detail_code))+1
from ins_premium_det i),'16000','16000','02', '11000003','00','Request by Mr.Raheel Malik 12-Dec-2024 add premium allocation no Premium');</v>
      </c>
    </row>
    <row r="23" spans="1:8" ht="90" x14ac:dyDescent="0.25">
      <c r="A23" s="7" t="s">
        <v>44</v>
      </c>
      <c r="B23" s="12" t="str">
        <f>VLOOKUP(A23,policy!B:D,2,0)</f>
        <v>070000157177</v>
      </c>
      <c r="C23" s="2">
        <v>4798</v>
      </c>
      <c r="D23" s="13">
        <f t="shared" si="1"/>
        <v>4798</v>
      </c>
      <c r="E23" s="17" t="s">
        <v>891</v>
      </c>
      <c r="F23" s="14" t="str">
        <f t="shared" si="0"/>
        <v>insert into ins_premium_det (premium_rcv_code,assorted_code, rec_amount,premium_rcv_detail_code,remaining_amt, payrec, mode_code,coinsurance_code,class_cd,it_remarks) values</v>
      </c>
      <c r="G23" s="15" t="str">
        <f t="shared" si="2"/>
        <v>('11Dec240052','070000157177','4798',(select max(to_number(i.premium_rcv_detail_code))+1
from ins_premium_det i),'4798','4798','02', '11000003','00','Request by Mr.Raheel Malik 12-Dec-2024 add premium allocation no Premium');</v>
      </c>
      <c r="H23" s="16" t="str">
        <f t="shared" si="3"/>
        <v>insert into ins_premium_det (premium_rcv_code,assorted_code, rec_amount,premium_rcv_detail_code,remaining_amt, payrec, mode_code,coinsurance_code,class_cd,it_remarks) values('11Dec240052','070000157177','4798',(select max(to_number(i.premium_rcv_detail_code))+1
from ins_premium_det i),'4798','4798','02', '11000003','00','Request by Mr.Raheel Malik 12-Dec-2024 add premium allocation no Premium');</v>
      </c>
    </row>
    <row r="24" spans="1:8" ht="90" x14ac:dyDescent="0.25">
      <c r="A24" s="7" t="s">
        <v>46</v>
      </c>
      <c r="B24" s="12" t="str">
        <f>VLOOKUP(A24,policy!B:D,2,0)</f>
        <v>070000162385</v>
      </c>
      <c r="C24" s="2">
        <v>11995</v>
      </c>
      <c r="D24" s="13">
        <f t="shared" si="1"/>
        <v>11995</v>
      </c>
      <c r="E24" s="17" t="s">
        <v>891</v>
      </c>
      <c r="F24" s="14" t="str">
        <f t="shared" si="0"/>
        <v>insert into ins_premium_det (premium_rcv_code,assorted_code, rec_amount,premium_rcv_detail_code,remaining_amt, payrec, mode_code,coinsurance_code,class_cd,it_remarks) values</v>
      </c>
      <c r="G24" s="15" t="str">
        <f t="shared" si="2"/>
        <v>('11Dec240052','070000162385','11995',(select max(to_number(i.premium_rcv_detail_code))+1
from ins_premium_det i),'11995','11995','02', '11000003','00','Request by Mr.Raheel Malik 12-Dec-2024 add premium allocation no Premium');</v>
      </c>
      <c r="H24" s="16" t="str">
        <f t="shared" si="3"/>
        <v>insert into ins_premium_det (premium_rcv_code,assorted_code, rec_amount,premium_rcv_detail_code,remaining_amt, payrec, mode_code,coinsurance_code,class_cd,it_remarks) values('11Dec240052','070000162385','11995',(select max(to_number(i.premium_rcv_detail_code))+1
from ins_premium_det i),'11995','11995','02', '11000003','00','Request by Mr.Raheel Malik 12-Dec-2024 add premium allocation no Premium');</v>
      </c>
    </row>
    <row r="25" spans="1:8" ht="90" x14ac:dyDescent="0.25">
      <c r="A25" s="7" t="s">
        <v>48</v>
      </c>
      <c r="B25" s="12" t="str">
        <f>VLOOKUP(A25,policy!B:D,2,0)</f>
        <v>070000152027</v>
      </c>
      <c r="C25" s="2">
        <v>12000</v>
      </c>
      <c r="D25" s="13">
        <f t="shared" si="1"/>
        <v>12000</v>
      </c>
      <c r="E25" s="17" t="s">
        <v>891</v>
      </c>
      <c r="F25" s="14" t="str">
        <f t="shared" si="0"/>
        <v>insert into ins_premium_det (premium_rcv_code,assorted_code, rec_amount,premium_rcv_detail_code,remaining_amt, payrec, mode_code,coinsurance_code,class_cd,it_remarks) values</v>
      </c>
      <c r="G25" s="15" t="str">
        <f t="shared" si="2"/>
        <v>('11Dec240052','070000152027','12000',(select max(to_number(i.premium_rcv_detail_code))+1
from ins_premium_det i),'12000','12000','02', '11000003','00','Request by Mr.Raheel Malik 12-Dec-2024 add premium allocation no Premium');</v>
      </c>
      <c r="H25" s="16" t="str">
        <f t="shared" si="3"/>
        <v>insert into ins_premium_det (premium_rcv_code,assorted_code, rec_amount,premium_rcv_detail_code,remaining_amt, payrec, mode_code,coinsurance_code,class_cd,it_remarks) values('11Dec240052','070000152027','12000',(select max(to_number(i.premium_rcv_detail_code))+1
from ins_premium_det i),'12000','12000','02', '11000003','00','Request by Mr.Raheel Malik 12-Dec-2024 add premium allocation no Premium');</v>
      </c>
    </row>
    <row r="26" spans="1:8" ht="90" x14ac:dyDescent="0.25">
      <c r="A26" s="7" t="s">
        <v>49</v>
      </c>
      <c r="B26" s="12" t="str">
        <f>VLOOKUP(A26,policy!B:D,2,0)</f>
        <v>070000162390</v>
      </c>
      <c r="C26" s="2">
        <v>14997</v>
      </c>
      <c r="D26" s="13">
        <f t="shared" si="1"/>
        <v>14997</v>
      </c>
      <c r="E26" s="17" t="s">
        <v>891</v>
      </c>
      <c r="F26" s="14" t="str">
        <f t="shared" si="0"/>
        <v>insert into ins_premium_det (premium_rcv_code,assorted_code, rec_amount,premium_rcv_detail_code,remaining_amt, payrec, mode_code,coinsurance_code,class_cd,it_remarks) values</v>
      </c>
      <c r="G26" s="15" t="str">
        <f t="shared" si="2"/>
        <v>('11Dec240052','070000162390','14997',(select max(to_number(i.premium_rcv_detail_code))+1
from ins_premium_det i),'14997','14997','02', '11000003','00','Request by Mr.Raheel Malik 12-Dec-2024 add premium allocation no Premium');</v>
      </c>
      <c r="H26" s="16" t="str">
        <f t="shared" si="3"/>
        <v>insert into ins_premium_det (premium_rcv_code,assorted_code, rec_amount,premium_rcv_detail_code,remaining_amt, payrec, mode_code,coinsurance_code,class_cd,it_remarks) values('11Dec240052','070000162390','14997',(select max(to_number(i.premium_rcv_detail_code))+1
from ins_premium_det i),'14997','14997','02', '11000003','00','Request by Mr.Raheel Malik 12-Dec-2024 add premium allocation no Premium');</v>
      </c>
    </row>
    <row r="27" spans="1:8" ht="90" x14ac:dyDescent="0.25">
      <c r="A27" s="7" t="s">
        <v>51</v>
      </c>
      <c r="B27" s="12" t="str">
        <f>VLOOKUP(A27,policy!B:D,2,0)</f>
        <v>070000152024</v>
      </c>
      <c r="C27" s="2">
        <v>1999</v>
      </c>
      <c r="D27" s="13">
        <f t="shared" si="1"/>
        <v>1999</v>
      </c>
      <c r="E27" s="17" t="s">
        <v>891</v>
      </c>
      <c r="F27" s="14" t="str">
        <f t="shared" si="0"/>
        <v>insert into ins_premium_det (premium_rcv_code,assorted_code, rec_amount,premium_rcv_detail_code,remaining_amt, payrec, mode_code,coinsurance_code,class_cd,it_remarks) values</v>
      </c>
      <c r="G27" s="15" t="str">
        <f t="shared" si="2"/>
        <v>('11Dec240052','070000152024','1999',(select max(to_number(i.premium_rcv_detail_code))+1
from ins_premium_det i),'1999','1999','02', '11000003','00','Request by Mr.Raheel Malik 12-Dec-2024 add premium allocation no Premium');</v>
      </c>
      <c r="H27" s="16" t="str">
        <f t="shared" si="3"/>
        <v>insert into ins_premium_det (premium_rcv_code,assorted_code, rec_amount,premium_rcv_detail_code,remaining_amt, payrec, mode_code,coinsurance_code,class_cd,it_remarks) values('11Dec240052','070000152024','1999',(select max(to_number(i.premium_rcv_detail_code))+1
from ins_premium_det i),'1999','1999','02', '11000003','00','Request by Mr.Raheel Malik 12-Dec-2024 add premium allocation no Premium');</v>
      </c>
    </row>
    <row r="28" spans="1:8" ht="90" x14ac:dyDescent="0.25">
      <c r="A28" s="7" t="s">
        <v>53</v>
      </c>
      <c r="B28" s="12" t="str">
        <f>VLOOKUP(A28,policy!B:D,2,0)</f>
        <v>070000162369</v>
      </c>
      <c r="C28" s="2">
        <v>1196</v>
      </c>
      <c r="D28" s="13">
        <f t="shared" si="1"/>
        <v>1196</v>
      </c>
      <c r="E28" s="17" t="s">
        <v>891</v>
      </c>
      <c r="F28" s="14" t="str">
        <f t="shared" si="0"/>
        <v>insert into ins_premium_det (premium_rcv_code,assorted_code, rec_amount,premium_rcv_detail_code,remaining_amt, payrec, mode_code,coinsurance_code,class_cd,it_remarks) values</v>
      </c>
      <c r="G28" s="15" t="str">
        <f t="shared" si="2"/>
        <v>('11Dec240052','070000162369','1196',(select max(to_number(i.premium_rcv_detail_code))+1
from ins_premium_det i),'1196','1196','02', '11000003','00','Request by Mr.Raheel Malik 12-Dec-2024 add premium allocation no Premium');</v>
      </c>
      <c r="H28" s="16" t="str">
        <f t="shared" si="3"/>
        <v>insert into ins_premium_det (premium_rcv_code,assorted_code, rec_amount,premium_rcv_detail_code,remaining_amt, payrec, mode_code,coinsurance_code,class_cd,it_remarks) values('11Dec240052','070000162369','1196',(select max(to_number(i.premium_rcv_detail_code))+1
from ins_premium_det i),'1196','1196','02', '11000003','00','Request by Mr.Raheel Malik 12-Dec-2024 add premium allocation no Premium');</v>
      </c>
    </row>
    <row r="29" spans="1:8" ht="90" x14ac:dyDescent="0.25">
      <c r="A29" s="7" t="s">
        <v>55</v>
      </c>
      <c r="B29" s="12" t="str">
        <f>VLOOKUP(A29,policy!B:D,2,0)</f>
        <v>070000157171</v>
      </c>
      <c r="C29" s="2">
        <v>9997</v>
      </c>
      <c r="D29" s="13">
        <f t="shared" si="1"/>
        <v>9997</v>
      </c>
      <c r="E29" s="17" t="s">
        <v>891</v>
      </c>
      <c r="F29" s="14" t="str">
        <f t="shared" si="0"/>
        <v>insert into ins_premium_det (premium_rcv_code,assorted_code, rec_amount,premium_rcv_detail_code,remaining_amt, payrec, mode_code,coinsurance_code,class_cd,it_remarks) values</v>
      </c>
      <c r="G29" s="15" t="str">
        <f t="shared" si="2"/>
        <v>('11Dec240052','070000157171','9997',(select max(to_number(i.premium_rcv_detail_code))+1
from ins_premium_det i),'9997','9997','02', '11000003','00','Request by Mr.Raheel Malik 12-Dec-2024 add premium allocation no Premium');</v>
      </c>
      <c r="H29" s="16" t="str">
        <f t="shared" si="3"/>
        <v>insert into ins_premium_det (premium_rcv_code,assorted_code, rec_amount,premium_rcv_detail_code,remaining_amt, payrec, mode_code,coinsurance_code,class_cd,it_remarks) values('11Dec240052','070000157171','9997',(select max(to_number(i.premium_rcv_detail_code))+1
from ins_premium_det i),'9997','9997','02', '11000003','00','Request by Mr.Raheel Malik 12-Dec-2024 add premium allocation no Premium');</v>
      </c>
    </row>
    <row r="30" spans="1:8" ht="90" x14ac:dyDescent="0.25">
      <c r="A30" s="7" t="s">
        <v>57</v>
      </c>
      <c r="B30" s="12" t="str">
        <f>VLOOKUP(A30,policy!B:D,2,0)</f>
        <v>070000154308</v>
      </c>
      <c r="C30" s="2">
        <v>18001</v>
      </c>
      <c r="D30" s="13">
        <f t="shared" si="1"/>
        <v>18001</v>
      </c>
      <c r="E30" s="17" t="s">
        <v>891</v>
      </c>
      <c r="F30" s="14" t="str">
        <f t="shared" si="0"/>
        <v>insert into ins_premium_det (premium_rcv_code,assorted_code, rec_amount,premium_rcv_detail_code,remaining_amt, payrec, mode_code,coinsurance_code,class_cd,it_remarks) values</v>
      </c>
      <c r="G30" s="15" t="str">
        <f t="shared" si="2"/>
        <v>('11Dec240052','070000154308','18001',(select max(to_number(i.premium_rcv_detail_code))+1
from ins_premium_det i),'18001','18001','02', '11000003','00','Request by Mr.Raheel Malik 12-Dec-2024 add premium allocation no Premium');</v>
      </c>
      <c r="H30" s="16" t="str">
        <f t="shared" si="3"/>
        <v>insert into ins_premium_det (premium_rcv_code,assorted_code, rec_amount,premium_rcv_detail_code,remaining_amt, payrec, mode_code,coinsurance_code,class_cd,it_remarks) values('11Dec240052','070000154308','18001',(select max(to_number(i.premium_rcv_detail_code))+1
from ins_premium_det i),'18001','18001','02', '11000003','00','Request by Mr.Raheel Malik 12-Dec-2024 add premium allocation no Premium');</v>
      </c>
    </row>
    <row r="31" spans="1:8" ht="90" x14ac:dyDescent="0.25">
      <c r="A31" s="7" t="s">
        <v>59</v>
      </c>
      <c r="B31" s="12" t="str">
        <f>VLOOKUP(A31,policy!B:D,2,0)</f>
        <v>070000171452</v>
      </c>
      <c r="C31" s="2">
        <v>10396</v>
      </c>
      <c r="D31" s="13">
        <f t="shared" si="1"/>
        <v>10396</v>
      </c>
      <c r="E31" s="17" t="s">
        <v>891</v>
      </c>
      <c r="F31" s="14" t="str">
        <f t="shared" si="0"/>
        <v>insert into ins_premium_det (premium_rcv_code,assorted_code, rec_amount,premium_rcv_detail_code,remaining_amt, payrec, mode_code,coinsurance_code,class_cd,it_remarks) values</v>
      </c>
      <c r="G31" s="15" t="str">
        <f t="shared" si="2"/>
        <v>('11Dec240052','070000171452','10396',(select max(to_number(i.premium_rcv_detail_code))+1
from ins_premium_det i),'10396','10396','02', '11000003','00','Request by Mr.Raheel Malik 12-Dec-2024 add premium allocation no Premium');</v>
      </c>
      <c r="H31" s="16" t="str">
        <f t="shared" si="3"/>
        <v>insert into ins_premium_det (premium_rcv_code,assorted_code, rec_amount,premium_rcv_detail_code,remaining_amt, payrec, mode_code,coinsurance_code,class_cd,it_remarks) values('11Dec240052','070000171452','10396',(select max(to_number(i.premium_rcv_detail_code))+1
from ins_premium_det i),'10396','10396','02', '11000003','00','Request by Mr.Raheel Malik 12-Dec-2024 add premium allocation no Premium');</v>
      </c>
    </row>
    <row r="32" spans="1:8" ht="90" x14ac:dyDescent="0.25">
      <c r="A32" s="7" t="s">
        <v>61</v>
      </c>
      <c r="B32" s="12" t="str">
        <f>VLOOKUP(A32,policy!B:D,2,0)</f>
        <v>070000157165</v>
      </c>
      <c r="C32" s="2">
        <v>35997</v>
      </c>
      <c r="D32" s="13">
        <f t="shared" si="1"/>
        <v>35997</v>
      </c>
      <c r="E32" s="17" t="s">
        <v>891</v>
      </c>
      <c r="F32" s="14" t="str">
        <f t="shared" si="0"/>
        <v>insert into ins_premium_det (premium_rcv_code,assorted_code, rec_amount,premium_rcv_detail_code,remaining_amt, payrec, mode_code,coinsurance_code,class_cd,it_remarks) values</v>
      </c>
      <c r="G32" s="15" t="str">
        <f t="shared" si="2"/>
        <v>('11Dec240052','070000157165','35997',(select max(to_number(i.premium_rcv_detail_code))+1
from ins_premium_det i),'35997','35997','02', '11000003','00','Request by Mr.Raheel Malik 12-Dec-2024 add premium allocation no Premium');</v>
      </c>
      <c r="H32" s="16" t="str">
        <f t="shared" si="3"/>
        <v>insert into ins_premium_det (premium_rcv_code,assorted_code, rec_amount,premium_rcv_detail_code,remaining_amt, payrec, mode_code,coinsurance_code,class_cd,it_remarks) values('11Dec240052','070000157165','35997',(select max(to_number(i.premium_rcv_detail_code))+1
from ins_premium_det i),'35997','35997','02', '11000003','00','Request by Mr.Raheel Malik 12-Dec-2024 add premium allocation no Premium');</v>
      </c>
    </row>
    <row r="33" spans="1:8" ht="90" x14ac:dyDescent="0.25">
      <c r="A33" s="7" t="s">
        <v>63</v>
      </c>
      <c r="B33" s="12" t="str">
        <f>VLOOKUP(A33,policy!B:D,2,0)</f>
        <v>070000157173</v>
      </c>
      <c r="C33" s="2">
        <v>19998</v>
      </c>
      <c r="D33" s="13">
        <f t="shared" si="1"/>
        <v>19998</v>
      </c>
      <c r="E33" s="17" t="s">
        <v>891</v>
      </c>
      <c r="F33" s="14" t="str">
        <f t="shared" si="0"/>
        <v>insert into ins_premium_det (premium_rcv_code,assorted_code, rec_amount,premium_rcv_detail_code,remaining_amt, payrec, mode_code,coinsurance_code,class_cd,it_remarks) values</v>
      </c>
      <c r="G33" s="15" t="str">
        <f t="shared" si="2"/>
        <v>('11Dec240052','070000157173','19998',(select max(to_number(i.premium_rcv_detail_code))+1
from ins_premium_det i),'19998','19998','02', '11000003','00','Request by Mr.Raheel Malik 12-Dec-2024 add premium allocation no Premium');</v>
      </c>
      <c r="H33" s="16" t="str">
        <f t="shared" si="3"/>
        <v>insert into ins_premium_det (premium_rcv_code,assorted_code, rec_amount,premium_rcv_detail_code,remaining_amt, payrec, mode_code,coinsurance_code,class_cd,it_remarks) values('11Dec240052','070000157173','19998',(select max(to_number(i.premium_rcv_detail_code))+1
from ins_premium_det i),'19998','19998','02', '11000003','00','Request by Mr.Raheel Malik 12-Dec-2024 add premium allocation no Premium');</v>
      </c>
    </row>
    <row r="34" spans="1:8" ht="90" x14ac:dyDescent="0.25">
      <c r="A34" s="7" t="s">
        <v>65</v>
      </c>
      <c r="B34" s="12" t="str">
        <f>VLOOKUP(A34,policy!B:D,2,0)</f>
        <v>070000162384</v>
      </c>
      <c r="C34" s="2">
        <v>23995</v>
      </c>
      <c r="D34" s="13">
        <f t="shared" si="1"/>
        <v>23995</v>
      </c>
      <c r="E34" s="17" t="s">
        <v>891</v>
      </c>
      <c r="F34" s="14" t="str">
        <f t="shared" si="0"/>
        <v>insert into ins_premium_det (premium_rcv_code,assorted_code, rec_amount,premium_rcv_detail_code,remaining_amt, payrec, mode_code,coinsurance_code,class_cd,it_remarks) values</v>
      </c>
      <c r="G34" s="15" t="str">
        <f t="shared" si="2"/>
        <v>('11Dec240052','070000162384','23995',(select max(to_number(i.premium_rcv_detail_code))+1
from ins_premium_det i),'23995','23995','02', '11000003','00','Request by Mr.Raheel Malik 12-Dec-2024 add premium allocation no Premium');</v>
      </c>
      <c r="H34" s="16" t="str">
        <f t="shared" si="3"/>
        <v>insert into ins_premium_det (premium_rcv_code,assorted_code, rec_amount,premium_rcv_detail_code,remaining_amt, payrec, mode_code,coinsurance_code,class_cd,it_remarks) values('11Dec240052','070000162384','23995',(select max(to_number(i.premium_rcv_detail_code))+1
from ins_premium_det i),'23995','23995','02', '11000003','00','Request by Mr.Raheel Malik 12-Dec-2024 add premium allocation no Premium');</v>
      </c>
    </row>
    <row r="35" spans="1:8" ht="90" x14ac:dyDescent="0.25">
      <c r="A35" s="7" t="s">
        <v>67</v>
      </c>
      <c r="B35" s="12" t="str">
        <f>VLOOKUP(A35,policy!B:D,2,0)</f>
        <v>070000162383</v>
      </c>
      <c r="C35" s="2">
        <v>29994</v>
      </c>
      <c r="D35" s="13">
        <f t="shared" si="1"/>
        <v>29994</v>
      </c>
      <c r="E35" s="17" t="s">
        <v>891</v>
      </c>
      <c r="F35" s="14" t="str">
        <f t="shared" si="0"/>
        <v>insert into ins_premium_det (premium_rcv_code,assorted_code, rec_amount,premium_rcv_detail_code,remaining_amt, payrec, mode_code,coinsurance_code,class_cd,it_remarks) values</v>
      </c>
      <c r="G35" s="15" t="str">
        <f t="shared" si="2"/>
        <v>('11Dec240052','070000162383','29994',(select max(to_number(i.premium_rcv_detail_code))+1
from ins_premium_det i),'29994','29994','02', '11000003','00','Request by Mr.Raheel Malik 12-Dec-2024 add premium allocation no Premium');</v>
      </c>
      <c r="H35" s="16" t="str">
        <f t="shared" si="3"/>
        <v>insert into ins_premium_det (premium_rcv_code,assorted_code, rec_amount,premium_rcv_detail_code,remaining_amt, payrec, mode_code,coinsurance_code,class_cd,it_remarks) values('11Dec240052','070000162383','29994',(select max(to_number(i.premium_rcv_detail_code))+1
from ins_premium_det i),'29994','29994','02', '11000003','00','Request by Mr.Raheel Malik 12-Dec-2024 add premium allocation no Premium');</v>
      </c>
    </row>
    <row r="36" spans="1:8" ht="90" x14ac:dyDescent="0.25">
      <c r="A36" s="7" t="s">
        <v>69</v>
      </c>
      <c r="B36" s="12" t="str">
        <f>VLOOKUP(A36,policy!B:D,2,0)</f>
        <v>070000164184</v>
      </c>
      <c r="C36" s="2">
        <v>31997</v>
      </c>
      <c r="D36" s="13">
        <f t="shared" si="1"/>
        <v>31997</v>
      </c>
      <c r="E36" s="17" t="s">
        <v>891</v>
      </c>
      <c r="F36" s="14" t="str">
        <f t="shared" si="0"/>
        <v>insert into ins_premium_det (premium_rcv_code,assorted_code, rec_amount,premium_rcv_detail_code,remaining_amt, payrec, mode_code,coinsurance_code,class_cd,it_remarks) values</v>
      </c>
      <c r="G36" s="15" t="str">
        <f t="shared" si="2"/>
        <v>('11Dec240052','070000164184','31997',(select max(to_number(i.premium_rcv_detail_code))+1
from ins_premium_det i),'31997','31997','02', '11000003','00','Request by Mr.Raheel Malik 12-Dec-2024 add premium allocation no Premium');</v>
      </c>
      <c r="H36" s="16" t="str">
        <f t="shared" si="3"/>
        <v>insert into ins_premium_det (premium_rcv_code,assorted_code, rec_amount,premium_rcv_detail_code,remaining_amt, payrec, mode_code,coinsurance_code,class_cd,it_remarks) values('11Dec240052','070000164184','31997',(select max(to_number(i.premium_rcv_detail_code))+1
from ins_premium_det i),'31997','31997','02', '11000003','00','Request by Mr.Raheel Malik 12-Dec-2024 add premium allocation no Premium');</v>
      </c>
    </row>
    <row r="37" spans="1:8" ht="90" x14ac:dyDescent="0.25">
      <c r="A37" s="7" t="s">
        <v>71</v>
      </c>
      <c r="B37" s="12" t="str">
        <f>VLOOKUP(A37,policy!B:D,2,0)</f>
        <v>070000152026</v>
      </c>
      <c r="C37" s="2">
        <v>24000</v>
      </c>
      <c r="D37" s="13">
        <f t="shared" si="1"/>
        <v>24000</v>
      </c>
      <c r="E37" s="17" t="s">
        <v>891</v>
      </c>
      <c r="F37" s="14" t="str">
        <f t="shared" si="0"/>
        <v>insert into ins_premium_det (premium_rcv_code,assorted_code, rec_amount,premium_rcv_detail_code,remaining_amt, payrec, mode_code,coinsurance_code,class_cd,it_remarks) values</v>
      </c>
      <c r="G37" s="15" t="str">
        <f t="shared" si="2"/>
        <v>('11Dec240052','070000152026','24000',(select max(to_number(i.premium_rcv_detail_code))+1
from ins_premium_det i),'24000','24000','02', '11000003','00','Request by Mr.Raheel Malik 12-Dec-2024 add premium allocation no Premium');</v>
      </c>
      <c r="H37" s="16" t="str">
        <f t="shared" si="3"/>
        <v>insert into ins_premium_det (premium_rcv_code,assorted_code, rec_amount,premium_rcv_detail_code,remaining_amt, payrec, mode_code,coinsurance_code,class_cd,it_remarks) values('11Dec240052','070000152026','24000',(select max(to_number(i.premium_rcv_detail_code))+1
from ins_premium_det i),'24000','24000','02', '11000003','00','Request by Mr.Raheel Malik 12-Dec-2024 add premium allocation no Premium');</v>
      </c>
    </row>
    <row r="38" spans="1:8" ht="90" x14ac:dyDescent="0.25">
      <c r="A38" s="7" t="s">
        <v>73</v>
      </c>
      <c r="B38" s="12" t="str">
        <f>VLOOKUP(A38,policy!B:D,2,0)</f>
        <v>070000167588</v>
      </c>
      <c r="C38" s="2">
        <v>7995</v>
      </c>
      <c r="D38" s="13">
        <f t="shared" si="1"/>
        <v>7995</v>
      </c>
      <c r="E38" s="17" t="s">
        <v>891</v>
      </c>
      <c r="F38" s="14" t="str">
        <f t="shared" si="0"/>
        <v>insert into ins_premium_det (premium_rcv_code,assorted_code, rec_amount,premium_rcv_detail_code,remaining_amt, payrec, mode_code,coinsurance_code,class_cd,it_remarks) values</v>
      </c>
      <c r="G38" s="15" t="str">
        <f t="shared" si="2"/>
        <v>('11Dec240052','070000167588','7995',(select max(to_number(i.premium_rcv_detail_code))+1
from ins_premium_det i),'7995','7995','02', '11000003','00','Request by Mr.Raheel Malik 12-Dec-2024 add premium allocation no Premium');</v>
      </c>
      <c r="H38" s="16" t="str">
        <f t="shared" si="3"/>
        <v>insert into ins_premium_det (premium_rcv_code,assorted_code, rec_amount,premium_rcv_detail_code,remaining_amt, payrec, mode_code,coinsurance_code,class_cd,it_remarks) values('11Dec240052','070000167588','7995',(select max(to_number(i.premium_rcv_detail_code))+1
from ins_premium_det i),'7995','7995','02', '11000003','00','Request by Mr.Raheel Malik 12-Dec-2024 add premium allocation no Premium');</v>
      </c>
    </row>
    <row r="39" spans="1:8" ht="90" x14ac:dyDescent="0.25">
      <c r="A39" s="7" t="s">
        <v>75</v>
      </c>
      <c r="B39" s="12" t="str">
        <f>VLOOKUP(A39,policy!B:D,2,0)</f>
        <v>070000164177</v>
      </c>
      <c r="C39" s="2">
        <v>5996</v>
      </c>
      <c r="D39" s="13">
        <f t="shared" si="1"/>
        <v>5996</v>
      </c>
      <c r="E39" s="17" t="s">
        <v>891</v>
      </c>
      <c r="F39" s="14" t="str">
        <f t="shared" si="0"/>
        <v>insert into ins_premium_det (premium_rcv_code,assorted_code, rec_amount,premium_rcv_detail_code,remaining_amt, payrec, mode_code,coinsurance_code,class_cd,it_remarks) values</v>
      </c>
      <c r="G39" s="15" t="str">
        <f t="shared" si="2"/>
        <v>('11Dec240052','070000164177','5996',(select max(to_number(i.premium_rcv_detail_code))+1
from ins_premium_det i),'5996','5996','02', '11000003','00','Request by Mr.Raheel Malik 12-Dec-2024 add premium allocation no Premium');</v>
      </c>
      <c r="H39" s="16" t="str">
        <f t="shared" si="3"/>
        <v>insert into ins_premium_det (premium_rcv_code,assorted_code, rec_amount,premium_rcv_detail_code,remaining_amt, payrec, mode_code,coinsurance_code,class_cd,it_remarks) values('11Dec240052','070000164177','5996',(select max(to_number(i.premium_rcv_detail_code))+1
from ins_premium_det i),'5996','5996','02', '11000003','00','Request by Mr.Raheel Malik 12-Dec-2024 add premium allocation no Premium');</v>
      </c>
    </row>
    <row r="40" spans="1:8" ht="90" x14ac:dyDescent="0.25">
      <c r="A40" s="7" t="s">
        <v>77</v>
      </c>
      <c r="B40" s="12" t="str">
        <f>VLOOKUP(A40,policy!B:D,2,0)</f>
        <v>070000171442</v>
      </c>
      <c r="C40" s="2">
        <v>3995</v>
      </c>
      <c r="D40" s="13">
        <f t="shared" si="1"/>
        <v>3995</v>
      </c>
      <c r="E40" s="17" t="s">
        <v>891</v>
      </c>
      <c r="F40" s="14" t="str">
        <f t="shared" si="0"/>
        <v>insert into ins_premium_det (premium_rcv_code,assorted_code, rec_amount,premium_rcv_detail_code,remaining_amt, payrec, mode_code,coinsurance_code,class_cd,it_remarks) values</v>
      </c>
      <c r="G40" s="15" t="str">
        <f t="shared" si="2"/>
        <v>('11Dec240052','070000171442','3995',(select max(to_number(i.premium_rcv_detail_code))+1
from ins_premium_det i),'3995','3995','02', '11000003','00','Request by Mr.Raheel Malik 12-Dec-2024 add premium allocation no Premium');</v>
      </c>
      <c r="H40" s="16" t="str">
        <f t="shared" si="3"/>
        <v>insert into ins_premium_det (premium_rcv_code,assorted_code, rec_amount,premium_rcv_detail_code,remaining_amt, payrec, mode_code,coinsurance_code,class_cd,it_remarks) values('11Dec240052','070000171442','3995',(select max(to_number(i.premium_rcv_detail_code))+1
from ins_premium_det i),'3995','3995','02', '11000003','00','Request by Mr.Raheel Malik 12-Dec-2024 add premium allocation no Premium');</v>
      </c>
    </row>
    <row r="41" spans="1:8" ht="90" x14ac:dyDescent="0.25">
      <c r="A41" s="7" t="s">
        <v>79</v>
      </c>
      <c r="B41" s="12" t="str">
        <f>VLOOKUP(A41,policy!B:D,2,0)</f>
        <v>070000157179</v>
      </c>
      <c r="C41" s="2">
        <v>19998</v>
      </c>
      <c r="D41" s="13">
        <f t="shared" si="1"/>
        <v>19998</v>
      </c>
      <c r="E41" s="17" t="s">
        <v>891</v>
      </c>
      <c r="F41" s="14" t="str">
        <f t="shared" si="0"/>
        <v>insert into ins_premium_det (premium_rcv_code,assorted_code, rec_amount,premium_rcv_detail_code,remaining_amt, payrec, mode_code,coinsurance_code,class_cd,it_remarks) values</v>
      </c>
      <c r="G41" s="15" t="str">
        <f t="shared" si="2"/>
        <v>('11Dec240052','070000157179','19998',(select max(to_number(i.premium_rcv_detail_code))+1
from ins_premium_det i),'19998','19998','02', '11000003','00','Request by Mr.Raheel Malik 12-Dec-2024 add premium allocation no Premium');</v>
      </c>
      <c r="H41" s="16" t="str">
        <f t="shared" si="3"/>
        <v>insert into ins_premium_det (premium_rcv_code,assorted_code, rec_amount,premium_rcv_detail_code,remaining_amt, payrec, mode_code,coinsurance_code,class_cd,it_remarks) values('11Dec240052','070000157179','19998',(select max(to_number(i.premium_rcv_detail_code))+1
from ins_premium_det i),'19998','19998','02', '11000003','00','Request by Mr.Raheel Malik 12-Dec-2024 add premium allocation no Premium');</v>
      </c>
    </row>
    <row r="42" spans="1:8" ht="90" x14ac:dyDescent="0.25">
      <c r="A42" s="7" t="s">
        <v>81</v>
      </c>
      <c r="B42" s="12" t="str">
        <f>VLOOKUP(A42,policy!B:D,2,0)</f>
        <v>070000169510</v>
      </c>
      <c r="C42" s="2">
        <v>8504</v>
      </c>
      <c r="D42" s="13">
        <f t="shared" si="1"/>
        <v>8504</v>
      </c>
      <c r="E42" s="17" t="s">
        <v>891</v>
      </c>
      <c r="F42" s="14" t="str">
        <f t="shared" si="0"/>
        <v>insert into ins_premium_det (premium_rcv_code,assorted_code, rec_amount,premium_rcv_detail_code,remaining_amt, payrec, mode_code,coinsurance_code,class_cd,it_remarks) values</v>
      </c>
      <c r="G42" s="15" t="str">
        <f t="shared" si="2"/>
        <v>('11Dec240052','070000169510','8504',(select max(to_number(i.premium_rcv_detail_code))+1
from ins_premium_det i),'8504','8504','02', '11000003','00','Request by Mr.Raheel Malik 12-Dec-2024 add premium allocation no Premium');</v>
      </c>
      <c r="H42" s="16" t="str">
        <f t="shared" si="3"/>
        <v>insert into ins_premium_det (premium_rcv_code,assorted_code, rec_amount,premium_rcv_detail_code,remaining_amt, payrec, mode_code,coinsurance_code,class_cd,it_remarks) values('11Dec240052','070000169510','8504',(select max(to_number(i.premium_rcv_detail_code))+1
from ins_premium_det i),'8504','8504','02', '11000003','00','Request by Mr.Raheel Malik 12-Dec-2024 add premium allocation no Premium');</v>
      </c>
    </row>
    <row r="43" spans="1:8" ht="90" x14ac:dyDescent="0.25">
      <c r="A43" s="7" t="s">
        <v>83</v>
      </c>
      <c r="B43" s="12" t="str">
        <f>VLOOKUP(A43,policy!B:D,2,0)</f>
        <v>070000154315</v>
      </c>
      <c r="C43" s="2">
        <v>7801</v>
      </c>
      <c r="D43" s="13">
        <f t="shared" si="1"/>
        <v>7801</v>
      </c>
      <c r="E43" s="17" t="s">
        <v>891</v>
      </c>
      <c r="F43" s="14" t="str">
        <f t="shared" si="0"/>
        <v>insert into ins_premium_det (premium_rcv_code,assorted_code, rec_amount,premium_rcv_detail_code,remaining_amt, payrec, mode_code,coinsurance_code,class_cd,it_remarks) values</v>
      </c>
      <c r="G43" s="15" t="str">
        <f t="shared" si="2"/>
        <v>('11Dec240052','070000154315','7801',(select max(to_number(i.premium_rcv_detail_code))+1
from ins_premium_det i),'7801','7801','02', '11000003','00','Request by Mr.Raheel Malik 12-Dec-2024 add premium allocation no Premium');</v>
      </c>
      <c r="H43" s="16" t="str">
        <f t="shared" si="3"/>
        <v>insert into ins_premium_det (premium_rcv_code,assorted_code, rec_amount,premium_rcv_detail_code,remaining_amt, payrec, mode_code,coinsurance_code,class_cd,it_remarks) values('11Dec240052','070000154315','7801',(select max(to_number(i.premium_rcv_detail_code))+1
from ins_premium_det i),'7801','7801','02', '11000003','00','Request by Mr.Raheel Malik 12-Dec-2024 add premium allocation no Premium');</v>
      </c>
    </row>
    <row r="44" spans="1:8" ht="90" x14ac:dyDescent="0.25">
      <c r="A44" s="7" t="s">
        <v>84</v>
      </c>
      <c r="B44" s="12" t="str">
        <f>VLOOKUP(A44,policy!B:D,2,0)</f>
        <v>070000152023</v>
      </c>
      <c r="C44" s="2">
        <v>7801</v>
      </c>
      <c r="D44" s="13">
        <f t="shared" si="1"/>
        <v>7801</v>
      </c>
      <c r="E44" s="17" t="s">
        <v>891</v>
      </c>
      <c r="F44" s="14" t="str">
        <f t="shared" si="0"/>
        <v>insert into ins_premium_det (premium_rcv_code,assorted_code, rec_amount,premium_rcv_detail_code,remaining_amt, payrec, mode_code,coinsurance_code,class_cd,it_remarks) values</v>
      </c>
      <c r="G44" s="15" t="str">
        <f t="shared" si="2"/>
        <v>('11Dec240052','070000152023','7801',(select max(to_number(i.premium_rcv_detail_code))+1
from ins_premium_det i),'7801','7801','02', '11000003','00','Request by Mr.Raheel Malik 12-Dec-2024 add premium allocation no Premium');</v>
      </c>
      <c r="H44" s="16" t="str">
        <f t="shared" si="3"/>
        <v>insert into ins_premium_det (premium_rcv_code,assorted_code, rec_amount,premium_rcv_detail_code,remaining_amt, payrec, mode_code,coinsurance_code,class_cd,it_remarks) values('11Dec240052','070000152023','7801',(select max(to_number(i.premium_rcv_detail_code))+1
from ins_premium_det i),'7801','7801','02', '11000003','00','Request by Mr.Raheel Malik 12-Dec-2024 add premium allocation no Premium');</v>
      </c>
    </row>
    <row r="45" spans="1:8" ht="90" x14ac:dyDescent="0.25">
      <c r="A45" s="7" t="s">
        <v>85</v>
      </c>
      <c r="B45" s="12" t="str">
        <f>VLOOKUP(A45,policy!B:D,2,0)</f>
        <v>070000167591</v>
      </c>
      <c r="C45" s="2">
        <v>19997</v>
      </c>
      <c r="D45" s="13">
        <f t="shared" si="1"/>
        <v>19997</v>
      </c>
      <c r="E45" s="17" t="s">
        <v>891</v>
      </c>
      <c r="F45" s="14" t="str">
        <f t="shared" si="0"/>
        <v>insert into ins_premium_det (premium_rcv_code,assorted_code, rec_amount,premium_rcv_detail_code,remaining_amt, payrec, mode_code,coinsurance_code,class_cd,it_remarks) values</v>
      </c>
      <c r="G45" s="15" t="str">
        <f t="shared" si="2"/>
        <v>('11Dec240052','070000167591','19997',(select max(to_number(i.premium_rcv_detail_code))+1
from ins_premium_det i),'19997','19997','02', '11000003','00','Request by Mr.Raheel Malik 12-Dec-2024 add premium allocation no Premium');</v>
      </c>
      <c r="H45" s="16" t="str">
        <f t="shared" si="3"/>
        <v>insert into ins_premium_det (premium_rcv_code,assorted_code, rec_amount,premium_rcv_detail_code,remaining_amt, payrec, mode_code,coinsurance_code,class_cd,it_remarks) values('11Dec240052','070000167591','19997',(select max(to_number(i.premium_rcv_detail_code))+1
from ins_premium_det i),'19997','19997','02', '11000003','00','Request by Mr.Raheel Malik 12-Dec-2024 add premium allocation no Premium');</v>
      </c>
    </row>
    <row r="46" spans="1:8" ht="90" x14ac:dyDescent="0.25">
      <c r="A46" s="7" t="s">
        <v>87</v>
      </c>
      <c r="B46" s="12" t="str">
        <f>VLOOKUP(A46,policy!B:D,2,0)</f>
        <v>070000157182</v>
      </c>
      <c r="C46" s="2">
        <v>20000</v>
      </c>
      <c r="D46" s="13">
        <f t="shared" si="1"/>
        <v>20000</v>
      </c>
      <c r="E46" s="17" t="s">
        <v>891</v>
      </c>
      <c r="F46" s="14" t="str">
        <f t="shared" si="0"/>
        <v>insert into ins_premium_det (premium_rcv_code,assorted_code, rec_amount,premium_rcv_detail_code,remaining_amt, payrec, mode_code,coinsurance_code,class_cd,it_remarks) values</v>
      </c>
      <c r="G46" s="15" t="str">
        <f t="shared" si="2"/>
        <v>('11Dec240052','070000157182','20000',(select max(to_number(i.premium_rcv_detail_code))+1
from ins_premium_det i),'20000','20000','02', '11000003','00','Request by Mr.Raheel Malik 12-Dec-2024 add premium allocation no Premium');</v>
      </c>
      <c r="H46" s="16" t="str">
        <f t="shared" si="3"/>
        <v>insert into ins_premium_det (premium_rcv_code,assorted_code, rec_amount,premium_rcv_detail_code,remaining_amt, payrec, mode_code,coinsurance_code,class_cd,it_remarks) values('11Dec240052','070000157182','20000',(select max(to_number(i.premium_rcv_detail_code))+1
from ins_premium_det i),'20000','20000','02', '11000003','00','Request by Mr.Raheel Malik 12-Dec-2024 add premium allocation no Premium');</v>
      </c>
    </row>
    <row r="47" spans="1:8" ht="90" x14ac:dyDescent="0.25">
      <c r="A47" s="7" t="s">
        <v>88</v>
      </c>
      <c r="B47" s="12" t="str">
        <f>VLOOKUP(A47,policy!B:D,2,0)</f>
        <v>070000157170</v>
      </c>
      <c r="C47" s="2">
        <v>19998</v>
      </c>
      <c r="D47" s="13">
        <f t="shared" si="1"/>
        <v>19998</v>
      </c>
      <c r="E47" s="17" t="s">
        <v>891</v>
      </c>
      <c r="F47" s="14" t="str">
        <f t="shared" si="0"/>
        <v>insert into ins_premium_det (premium_rcv_code,assorted_code, rec_amount,premium_rcv_detail_code,remaining_amt, payrec, mode_code,coinsurance_code,class_cd,it_remarks) values</v>
      </c>
      <c r="G47" s="15" t="str">
        <f t="shared" si="2"/>
        <v>('11Dec240052','070000157170','19998',(select max(to_number(i.premium_rcv_detail_code))+1
from ins_premium_det i),'19998','19998','02', '11000003','00','Request by Mr.Raheel Malik 12-Dec-2024 add premium allocation no Premium');</v>
      </c>
      <c r="H47" s="16" t="str">
        <f t="shared" si="3"/>
        <v>insert into ins_premium_det (premium_rcv_code,assorted_code, rec_amount,premium_rcv_detail_code,remaining_amt, payrec, mode_code,coinsurance_code,class_cd,it_remarks) values('11Dec240052','070000157170','19998',(select max(to_number(i.premium_rcv_detail_code))+1
from ins_premium_det i),'19998','19998','02', '11000003','00','Request by Mr.Raheel Malik 12-Dec-2024 add premium allocation no Premium');</v>
      </c>
    </row>
    <row r="48" spans="1:8" ht="90" x14ac:dyDescent="0.25">
      <c r="A48" s="7" t="s">
        <v>90</v>
      </c>
      <c r="B48" s="12" t="str">
        <f>VLOOKUP(A48,policy!B:D,2,0)</f>
        <v>070000162406</v>
      </c>
      <c r="C48" s="2">
        <v>19997</v>
      </c>
      <c r="D48" s="13">
        <f t="shared" si="1"/>
        <v>19997</v>
      </c>
      <c r="E48" s="17" t="s">
        <v>891</v>
      </c>
      <c r="F48" s="14" t="str">
        <f t="shared" si="0"/>
        <v>insert into ins_premium_det (premium_rcv_code,assorted_code, rec_amount,premium_rcv_detail_code,remaining_amt, payrec, mode_code,coinsurance_code,class_cd,it_remarks) values</v>
      </c>
      <c r="G48" s="15" t="str">
        <f t="shared" si="2"/>
        <v>('11Dec240052','070000162406','19997',(select max(to_number(i.premium_rcv_detail_code))+1
from ins_premium_det i),'19997','19997','02', '11000003','00','Request by Mr.Raheel Malik 12-Dec-2024 add premium allocation no Premium');</v>
      </c>
      <c r="H48" s="16" t="str">
        <f t="shared" si="3"/>
        <v>insert into ins_premium_det (premium_rcv_code,assorted_code, rec_amount,premium_rcv_detail_code,remaining_amt, payrec, mode_code,coinsurance_code,class_cd,it_remarks) values('11Dec240052','070000162406','19997',(select max(to_number(i.premium_rcv_detail_code))+1
from ins_premium_det i),'19997','19997','02', '11000003','00','Request by Mr.Raheel Malik 12-Dec-2024 add premium allocation no Premium');</v>
      </c>
    </row>
    <row r="49" spans="1:8" ht="90" x14ac:dyDescent="0.25">
      <c r="A49" s="7" t="s">
        <v>92</v>
      </c>
      <c r="B49" s="12" t="str">
        <f>VLOOKUP(A49,policy!B:D,2,0)</f>
        <v>070000167585</v>
      </c>
      <c r="C49" s="2">
        <v>1396</v>
      </c>
      <c r="D49" s="13">
        <f t="shared" si="1"/>
        <v>1396</v>
      </c>
      <c r="E49" s="17" t="s">
        <v>891</v>
      </c>
      <c r="F49" s="14" t="str">
        <f t="shared" si="0"/>
        <v>insert into ins_premium_det (premium_rcv_code,assorted_code, rec_amount,premium_rcv_detail_code,remaining_amt, payrec, mode_code,coinsurance_code,class_cd,it_remarks) values</v>
      </c>
      <c r="G49" s="15" t="str">
        <f t="shared" si="2"/>
        <v>('11Dec240052','070000167585','1396',(select max(to_number(i.premium_rcv_detail_code))+1
from ins_premium_det i),'1396','1396','02', '11000003','00','Request by Mr.Raheel Malik 12-Dec-2024 add premium allocation no Premium');</v>
      </c>
      <c r="H49" s="16" t="str">
        <f t="shared" si="3"/>
        <v>insert into ins_premium_det (premium_rcv_code,assorted_code, rec_amount,premium_rcv_detail_code,remaining_amt, payrec, mode_code,coinsurance_code,class_cd,it_remarks) values('11Dec240052','070000167585','1396',(select max(to_number(i.premium_rcv_detail_code))+1
from ins_premium_det i),'1396','1396','02', '11000003','00','Request by Mr.Raheel Malik 12-Dec-2024 add premium allocation no Premium');</v>
      </c>
    </row>
    <row r="50" spans="1:8" ht="90" x14ac:dyDescent="0.25">
      <c r="A50" s="7" t="s">
        <v>94</v>
      </c>
      <c r="B50" s="12" t="str">
        <f>VLOOKUP(A50,policy!B:D,2,0)</f>
        <v>070000157169</v>
      </c>
      <c r="C50" s="2">
        <v>1398</v>
      </c>
      <c r="D50" s="13">
        <f t="shared" si="1"/>
        <v>1398</v>
      </c>
      <c r="E50" s="17" t="s">
        <v>891</v>
      </c>
      <c r="F50" s="14" t="str">
        <f t="shared" si="0"/>
        <v>insert into ins_premium_det (premium_rcv_code,assorted_code, rec_amount,premium_rcv_detail_code,remaining_amt, payrec, mode_code,coinsurance_code,class_cd,it_remarks) values</v>
      </c>
      <c r="G50" s="15" t="str">
        <f t="shared" si="2"/>
        <v>('11Dec240052','070000157169','1398',(select max(to_number(i.premium_rcv_detail_code))+1
from ins_premium_det i),'1398','1398','02', '11000003','00','Request by Mr.Raheel Malik 12-Dec-2024 add premium allocation no Premium');</v>
      </c>
      <c r="H50" s="16" t="str">
        <f t="shared" si="3"/>
        <v>insert into ins_premium_det (premium_rcv_code,assorted_code, rec_amount,premium_rcv_detail_code,remaining_amt, payrec, mode_code,coinsurance_code,class_cd,it_remarks) values('11Dec240052','070000157169','1398',(select max(to_number(i.premium_rcv_detail_code))+1
from ins_premium_det i),'1398','1398','02', '11000003','00','Request by Mr.Raheel Malik 12-Dec-2024 add premium allocation no Premium');</v>
      </c>
    </row>
    <row r="51" spans="1:8" ht="90" x14ac:dyDescent="0.25">
      <c r="A51" s="7" t="s">
        <v>95</v>
      </c>
      <c r="B51" s="12" t="str">
        <f>VLOOKUP(A51,policy!B:D,2,0)</f>
        <v>070000162410</v>
      </c>
      <c r="C51" s="2">
        <v>19997</v>
      </c>
      <c r="D51" s="13">
        <f t="shared" si="1"/>
        <v>19997</v>
      </c>
      <c r="E51" s="17" t="s">
        <v>891</v>
      </c>
      <c r="F51" s="14" t="str">
        <f t="shared" si="0"/>
        <v>insert into ins_premium_det (premium_rcv_code,assorted_code, rec_amount,premium_rcv_detail_code,remaining_amt, payrec, mode_code,coinsurance_code,class_cd,it_remarks) values</v>
      </c>
      <c r="G51" s="15" t="str">
        <f t="shared" si="2"/>
        <v>('11Dec240052','070000162410','19997',(select max(to_number(i.premium_rcv_detail_code))+1
from ins_premium_det i),'19997','19997','02', '11000003','00','Request by Mr.Raheel Malik 12-Dec-2024 add premium allocation no Premium');</v>
      </c>
      <c r="H51" s="16" t="str">
        <f t="shared" si="3"/>
        <v>insert into ins_premium_det (premium_rcv_code,assorted_code, rec_amount,premium_rcv_detail_code,remaining_amt, payrec, mode_code,coinsurance_code,class_cd,it_remarks) values('11Dec240052','070000162410','19997',(select max(to_number(i.premium_rcv_detail_code))+1
from ins_premium_det i),'19997','19997','02', '11000003','00','Request by Mr.Raheel Malik 12-Dec-2024 add premium allocation no Premium');</v>
      </c>
    </row>
    <row r="52" spans="1:8" ht="90" x14ac:dyDescent="0.25">
      <c r="A52" s="7" t="s">
        <v>97</v>
      </c>
      <c r="B52" s="12" t="str">
        <f>VLOOKUP(A52,policy!B:D,2,0)</f>
        <v>070000162380</v>
      </c>
      <c r="C52" s="2">
        <v>996</v>
      </c>
      <c r="D52" s="13">
        <f t="shared" si="1"/>
        <v>996</v>
      </c>
      <c r="E52" s="17" t="s">
        <v>891</v>
      </c>
      <c r="F52" s="14" t="str">
        <f t="shared" si="0"/>
        <v>insert into ins_premium_det (premium_rcv_code,assorted_code, rec_amount,premium_rcv_detail_code,remaining_amt, payrec, mode_code,coinsurance_code,class_cd,it_remarks) values</v>
      </c>
      <c r="G52" s="15" t="str">
        <f t="shared" si="2"/>
        <v>('11Dec240052','070000162380','996',(select max(to_number(i.premium_rcv_detail_code))+1
from ins_premium_det i),'996','996','02', '11000003','00','Request by Mr.Raheel Malik 12-Dec-2024 add premium allocation no Premium');</v>
      </c>
      <c r="H52" s="16" t="str">
        <f t="shared" si="3"/>
        <v>insert into ins_premium_det (premium_rcv_code,assorted_code, rec_amount,premium_rcv_detail_code,remaining_amt, payrec, mode_code,coinsurance_code,class_cd,it_remarks) values('11Dec240052','070000162380','996',(select max(to_number(i.premium_rcv_detail_code))+1
from ins_premium_det i),'996','996','02', '11000003','00','Request by Mr.Raheel Malik 12-Dec-2024 add premium allocation no Premium');</v>
      </c>
    </row>
    <row r="53" spans="1:8" ht="90" x14ac:dyDescent="0.25">
      <c r="A53" s="7" t="s">
        <v>99</v>
      </c>
      <c r="B53" s="12" t="str">
        <f>VLOOKUP(A53,policy!B:D,2,0)</f>
        <v>070000152021</v>
      </c>
      <c r="C53" s="2">
        <v>1001</v>
      </c>
      <c r="D53" s="13">
        <f t="shared" si="1"/>
        <v>1001</v>
      </c>
      <c r="E53" s="17" t="s">
        <v>891</v>
      </c>
      <c r="F53" s="14" t="str">
        <f t="shared" si="0"/>
        <v>insert into ins_premium_det (premium_rcv_code,assorted_code, rec_amount,premium_rcv_detail_code,remaining_amt, payrec, mode_code,coinsurance_code,class_cd,it_remarks) values</v>
      </c>
      <c r="G53" s="15" t="str">
        <f t="shared" si="2"/>
        <v>('11Dec240052','070000152021','1001',(select max(to_number(i.premium_rcv_detail_code))+1
from ins_premium_det i),'1001','1001','02', '11000003','00','Request by Mr.Raheel Malik 12-Dec-2024 add premium allocation no Premium');</v>
      </c>
      <c r="H53" s="16" t="str">
        <f t="shared" si="3"/>
        <v>insert into ins_premium_det (premium_rcv_code,assorted_code, rec_amount,premium_rcv_detail_code,remaining_amt, payrec, mode_code,coinsurance_code,class_cd,it_remarks) values('11Dec240052','070000152021','1001',(select max(to_number(i.premium_rcv_detail_code))+1
from ins_premium_det i),'1001','1001','02', '11000003','00','Request by Mr.Raheel Malik 12-Dec-2024 add premium allocation no Premium');</v>
      </c>
    </row>
    <row r="54" spans="1:8" ht="90" x14ac:dyDescent="0.25">
      <c r="A54" s="7" t="s">
        <v>100</v>
      </c>
      <c r="B54" s="12" t="str">
        <f>VLOOKUP(A54,policy!B:D,2,0)</f>
        <v>070000169508</v>
      </c>
      <c r="C54" s="2">
        <v>3995</v>
      </c>
      <c r="D54" s="13">
        <f t="shared" si="1"/>
        <v>3995</v>
      </c>
      <c r="E54" s="17" t="s">
        <v>891</v>
      </c>
      <c r="F54" s="14" t="str">
        <f t="shared" si="0"/>
        <v>insert into ins_premium_det (premium_rcv_code,assorted_code, rec_amount,premium_rcv_detail_code,remaining_amt, payrec, mode_code,coinsurance_code,class_cd,it_remarks) values</v>
      </c>
      <c r="G54" s="15" t="str">
        <f t="shared" si="2"/>
        <v>('11Dec240052','070000169508','3995',(select max(to_number(i.premium_rcv_detail_code))+1
from ins_premium_det i),'3995','3995','02', '11000003','00','Request by Mr.Raheel Malik 12-Dec-2024 add premium allocation no Premium');</v>
      </c>
      <c r="H54" s="16" t="str">
        <f t="shared" si="3"/>
        <v>insert into ins_premium_det (premium_rcv_code,assorted_code, rec_amount,premium_rcv_detail_code,remaining_amt, payrec, mode_code,coinsurance_code,class_cd,it_remarks) values('11Dec240052','070000169508','3995',(select max(to_number(i.premium_rcv_detail_code))+1
from ins_premium_det i),'3995','3995','02', '11000003','00','Request by Mr.Raheel Malik 12-Dec-2024 add premium allocation no Premium');</v>
      </c>
    </row>
    <row r="55" spans="1:8" ht="90" x14ac:dyDescent="0.25">
      <c r="A55" s="7" t="s">
        <v>102</v>
      </c>
      <c r="B55" s="12" t="str">
        <f>VLOOKUP(A55,policy!B:D,2,0)</f>
        <v>070000162408</v>
      </c>
      <c r="C55" s="2">
        <v>1996</v>
      </c>
      <c r="D55" s="13">
        <f t="shared" si="1"/>
        <v>1996</v>
      </c>
      <c r="E55" s="17" t="s">
        <v>891</v>
      </c>
      <c r="F55" s="14" t="str">
        <f t="shared" si="0"/>
        <v>insert into ins_premium_det (premium_rcv_code,assorted_code, rec_amount,premium_rcv_detail_code,remaining_amt, payrec, mode_code,coinsurance_code,class_cd,it_remarks) values</v>
      </c>
      <c r="G55" s="15" t="str">
        <f t="shared" si="2"/>
        <v>('11Dec240052','070000162408','1996',(select max(to_number(i.premium_rcv_detail_code))+1
from ins_premium_det i),'1996','1996','02', '11000003','00','Request by Mr.Raheel Malik 12-Dec-2024 add premium allocation no Premium');</v>
      </c>
      <c r="H55" s="16" t="str">
        <f t="shared" si="3"/>
        <v>insert into ins_premium_det (premium_rcv_code,assorted_code, rec_amount,premium_rcv_detail_code,remaining_amt, payrec, mode_code,coinsurance_code,class_cd,it_remarks) values('11Dec240052','070000162408','1996',(select max(to_number(i.premium_rcv_detail_code))+1
from ins_premium_det i),'1996','1996','02', '11000003','00','Request by Mr.Raheel Malik 12-Dec-2024 add premium allocation no Premium');</v>
      </c>
    </row>
    <row r="56" spans="1:8" ht="90" x14ac:dyDescent="0.25">
      <c r="A56" s="7" t="s">
        <v>104</v>
      </c>
      <c r="B56" s="12" t="str">
        <f>VLOOKUP(A56,policy!B:D,2,0)</f>
        <v>070000152029</v>
      </c>
      <c r="C56" s="2">
        <v>1999</v>
      </c>
      <c r="D56" s="13">
        <f t="shared" si="1"/>
        <v>1999</v>
      </c>
      <c r="E56" s="17" t="s">
        <v>891</v>
      </c>
      <c r="F56" s="14" t="str">
        <f t="shared" si="0"/>
        <v>insert into ins_premium_det (premium_rcv_code,assorted_code, rec_amount,premium_rcv_detail_code,remaining_amt, payrec, mode_code,coinsurance_code,class_cd,it_remarks) values</v>
      </c>
      <c r="G56" s="15" t="str">
        <f t="shared" si="2"/>
        <v>('11Dec240052','070000152029','1999',(select max(to_number(i.premium_rcv_detail_code))+1
from ins_premium_det i),'1999','1999','02', '11000003','00','Request by Mr.Raheel Malik 12-Dec-2024 add premium allocation no Premium');</v>
      </c>
      <c r="H56" s="16" t="str">
        <f t="shared" si="3"/>
        <v>insert into ins_premium_det (premium_rcv_code,assorted_code, rec_amount,premium_rcv_detail_code,remaining_amt, payrec, mode_code,coinsurance_code,class_cd,it_remarks) values('11Dec240052','070000152029','1999',(select max(to_number(i.premium_rcv_detail_code))+1
from ins_premium_det i),'1999','1999','02', '11000003','00','Request by Mr.Raheel Malik 12-Dec-2024 add premium allocation no Premium');</v>
      </c>
    </row>
    <row r="57" spans="1:8" ht="90" x14ac:dyDescent="0.25">
      <c r="A57" s="7" t="s">
        <v>105</v>
      </c>
      <c r="B57" s="12" t="str">
        <f>VLOOKUP(A57,policy!B:D,2,0)</f>
        <v>070000169514</v>
      </c>
      <c r="C57" s="2">
        <v>19997</v>
      </c>
      <c r="D57" s="13">
        <f t="shared" si="1"/>
        <v>19997</v>
      </c>
      <c r="E57" s="17" t="s">
        <v>891</v>
      </c>
      <c r="F57" s="14" t="str">
        <f t="shared" si="0"/>
        <v>insert into ins_premium_det (premium_rcv_code,assorted_code, rec_amount,premium_rcv_detail_code,remaining_amt, payrec, mode_code,coinsurance_code,class_cd,it_remarks) values</v>
      </c>
      <c r="G57" s="15" t="str">
        <f t="shared" si="2"/>
        <v>('11Dec240052','070000169514','19997',(select max(to_number(i.premium_rcv_detail_code))+1
from ins_premium_det i),'19997','19997','02', '11000003','00','Request by Mr.Raheel Malik 12-Dec-2024 add premium allocation no Premium');</v>
      </c>
      <c r="H57" s="16" t="str">
        <f t="shared" si="3"/>
        <v>insert into ins_premium_det (premium_rcv_code,assorted_code, rec_amount,premium_rcv_detail_code,remaining_amt, payrec, mode_code,coinsurance_code,class_cd,it_remarks) values('11Dec240052','070000169514','19997',(select max(to_number(i.premium_rcv_detail_code))+1
from ins_premium_det i),'19997','19997','02', '11000003','00','Request by Mr.Raheel Malik 12-Dec-2024 add premium allocation no Premium');</v>
      </c>
    </row>
    <row r="58" spans="1:8" ht="90" x14ac:dyDescent="0.25">
      <c r="A58" s="7" t="s">
        <v>107</v>
      </c>
      <c r="B58" s="12" t="str">
        <f>VLOOKUP(A58,policy!B:D,2,0)</f>
        <v>070000171443</v>
      </c>
      <c r="C58" s="2">
        <v>19997</v>
      </c>
      <c r="D58" s="13">
        <f t="shared" si="1"/>
        <v>19997</v>
      </c>
      <c r="E58" s="17" t="s">
        <v>891</v>
      </c>
      <c r="F58" s="14" t="str">
        <f t="shared" si="0"/>
        <v>insert into ins_premium_det (premium_rcv_code,assorted_code, rec_amount,premium_rcv_detail_code,remaining_amt, payrec, mode_code,coinsurance_code,class_cd,it_remarks) values</v>
      </c>
      <c r="G58" s="15" t="str">
        <f t="shared" si="2"/>
        <v>('11Dec240052','070000171443','19997',(select max(to_number(i.premium_rcv_detail_code))+1
from ins_premium_det i),'19997','19997','02', '11000003','00','Request by Mr.Raheel Malik 12-Dec-2024 add premium allocation no Premium');</v>
      </c>
      <c r="H58" s="16" t="str">
        <f t="shared" si="3"/>
        <v>insert into ins_premium_det (premium_rcv_code,assorted_code, rec_amount,premium_rcv_detail_code,remaining_amt, payrec, mode_code,coinsurance_code,class_cd,it_remarks) values('11Dec240052','070000171443','19997',(select max(to_number(i.premium_rcv_detail_code))+1
from ins_premium_det i),'19997','19997','02', '11000003','00','Request by Mr.Raheel Malik 12-Dec-2024 add premium allocation no Premium');</v>
      </c>
    </row>
    <row r="59" spans="1:8" ht="90" x14ac:dyDescent="0.25">
      <c r="A59" s="7" t="s">
        <v>109</v>
      </c>
      <c r="B59" s="12" t="str">
        <f>VLOOKUP(A59,policy!B:D,2,0)</f>
        <v>070000152017</v>
      </c>
      <c r="C59" s="2">
        <v>18001</v>
      </c>
      <c r="D59" s="13">
        <f t="shared" si="1"/>
        <v>18001</v>
      </c>
      <c r="E59" s="17" t="s">
        <v>891</v>
      </c>
      <c r="F59" s="14" t="str">
        <f t="shared" si="0"/>
        <v>insert into ins_premium_det (premium_rcv_code,assorted_code, rec_amount,premium_rcv_detail_code,remaining_amt, payrec, mode_code,coinsurance_code,class_cd,it_remarks) values</v>
      </c>
      <c r="G59" s="15" t="str">
        <f t="shared" si="2"/>
        <v>('11Dec240052','070000152017','18001',(select max(to_number(i.premium_rcv_detail_code))+1
from ins_premium_det i),'18001','18001','02', '11000003','00','Request by Mr.Raheel Malik 12-Dec-2024 add premium allocation no Premium');</v>
      </c>
      <c r="H59" s="16" t="str">
        <f t="shared" si="3"/>
        <v>insert into ins_premium_det (premium_rcv_code,assorted_code, rec_amount,premium_rcv_detail_code,remaining_amt, payrec, mode_code,coinsurance_code,class_cd,it_remarks) values('11Dec240052','070000152017','18001',(select max(to_number(i.premium_rcv_detail_code))+1
from ins_premium_det i),'18001','18001','02', '11000003','00','Request by Mr.Raheel Malik 12-Dec-2024 add premium allocation no Premium');</v>
      </c>
    </row>
    <row r="60" spans="1:8" ht="90" x14ac:dyDescent="0.25">
      <c r="A60" s="7" t="s">
        <v>111</v>
      </c>
      <c r="B60" s="12" t="str">
        <f>VLOOKUP(A60,policy!B:D,2,0)</f>
        <v>070000169509</v>
      </c>
      <c r="C60" s="2">
        <v>3596</v>
      </c>
      <c r="D60" s="13">
        <f t="shared" si="1"/>
        <v>3596</v>
      </c>
      <c r="E60" s="17" t="s">
        <v>891</v>
      </c>
      <c r="F60" s="14" t="str">
        <f t="shared" si="0"/>
        <v>insert into ins_premium_det (premium_rcv_code,assorted_code, rec_amount,premium_rcv_detail_code,remaining_amt, payrec, mode_code,coinsurance_code,class_cd,it_remarks) values</v>
      </c>
      <c r="G60" s="15" t="str">
        <f t="shared" si="2"/>
        <v>('11Dec240052','070000169509','3596',(select max(to_number(i.premium_rcv_detail_code))+1
from ins_premium_det i),'3596','3596','02', '11000003','00','Request by Mr.Raheel Malik 12-Dec-2024 add premium allocation no Premium');</v>
      </c>
      <c r="H60" s="16" t="str">
        <f t="shared" si="3"/>
        <v>insert into ins_premium_det (premium_rcv_code,assorted_code, rec_amount,premium_rcv_detail_code,remaining_amt, payrec, mode_code,coinsurance_code,class_cd,it_remarks) values('11Dec240052','070000169509','3596',(select max(to_number(i.premium_rcv_detail_code))+1
from ins_premium_det i),'3596','3596','02', '11000003','00','Request by Mr.Raheel Malik 12-Dec-2024 add premium allocation no Premium');</v>
      </c>
    </row>
    <row r="61" spans="1:8" ht="90" x14ac:dyDescent="0.25">
      <c r="A61" s="7" t="s">
        <v>113</v>
      </c>
      <c r="B61" s="12" t="str">
        <f>VLOOKUP(A61,policy!B:D,2,0)</f>
        <v>070000154307</v>
      </c>
      <c r="C61" s="2">
        <v>3600</v>
      </c>
      <c r="D61" s="13">
        <f t="shared" si="1"/>
        <v>3600</v>
      </c>
      <c r="E61" s="17" t="s">
        <v>891</v>
      </c>
      <c r="F61" s="14" t="str">
        <f t="shared" si="0"/>
        <v>insert into ins_premium_det (premium_rcv_code,assorted_code, rec_amount,premium_rcv_detail_code,remaining_amt, payrec, mode_code,coinsurance_code,class_cd,it_remarks) values</v>
      </c>
      <c r="G61" s="15" t="str">
        <f t="shared" si="2"/>
        <v>('11Dec240052','070000154307','3600',(select max(to_number(i.premium_rcv_detail_code))+1
from ins_premium_det i),'3600','3600','02', '11000003','00','Request by Mr.Raheel Malik 12-Dec-2024 add premium allocation no Premium');</v>
      </c>
      <c r="H61" s="16" t="str">
        <f t="shared" si="3"/>
        <v>insert into ins_premium_det (premium_rcv_code,assorted_code, rec_amount,premium_rcv_detail_code,remaining_amt, payrec, mode_code,coinsurance_code,class_cd,it_remarks) values('11Dec240052','070000154307','3600',(select max(to_number(i.premium_rcv_detail_code))+1
from ins_premium_det i),'3600','3600','02', '11000003','00','Request by Mr.Raheel Malik 12-Dec-2024 add premium allocation no Premium');</v>
      </c>
    </row>
    <row r="62" spans="1:8" ht="90" x14ac:dyDescent="0.25">
      <c r="A62" s="7" t="s">
        <v>114</v>
      </c>
      <c r="B62" s="12" t="str">
        <f>VLOOKUP(A62,policy!B:D,2,0)</f>
        <v>070000133488</v>
      </c>
      <c r="C62" s="2">
        <v>20000</v>
      </c>
      <c r="D62" s="13">
        <f t="shared" si="1"/>
        <v>20000</v>
      </c>
      <c r="E62" s="17" t="s">
        <v>891</v>
      </c>
      <c r="F62" s="14" t="str">
        <f t="shared" si="0"/>
        <v>insert into ins_premium_det (premium_rcv_code,assorted_code, rec_amount,premium_rcv_detail_code,remaining_amt, payrec, mode_code,coinsurance_code,class_cd,it_remarks) values</v>
      </c>
      <c r="G62" s="15" t="str">
        <f t="shared" si="2"/>
        <v>('11Dec240052','070000133488','20000',(select max(to_number(i.premium_rcv_detail_code))+1
from ins_premium_det i),'20000','20000','02', '11000003','00','Request by Mr.Raheel Malik 12-Dec-2024 add premium allocation no Premium');</v>
      </c>
      <c r="H62" s="16" t="str">
        <f t="shared" si="3"/>
        <v>insert into ins_premium_det (premium_rcv_code,assorted_code, rec_amount,premium_rcv_detail_code,remaining_amt, payrec, mode_code,coinsurance_code,class_cd,it_remarks) values('11Dec240052','070000133488','20000',(select max(to_number(i.premium_rcv_detail_code))+1
from ins_premium_det i),'20000','20000','02', '11000003','00','Request by Mr.Raheel Malik 12-Dec-2024 add premium allocation no Premium');</v>
      </c>
    </row>
    <row r="63" spans="1:8" ht="90" x14ac:dyDescent="0.25">
      <c r="A63" s="7" t="s">
        <v>116</v>
      </c>
      <c r="B63" s="12" t="str">
        <f>VLOOKUP(A63,policy!B:D,2,0)</f>
        <v>070000154306</v>
      </c>
      <c r="C63" s="2">
        <v>11800</v>
      </c>
      <c r="D63" s="13">
        <f t="shared" si="1"/>
        <v>11800</v>
      </c>
      <c r="E63" s="17" t="s">
        <v>891</v>
      </c>
      <c r="F63" s="14" t="str">
        <f t="shared" si="0"/>
        <v>insert into ins_premium_det (premium_rcv_code,assorted_code, rec_amount,premium_rcv_detail_code,remaining_amt, payrec, mode_code,coinsurance_code,class_cd,it_remarks) values</v>
      </c>
      <c r="G63" s="15" t="str">
        <f t="shared" si="2"/>
        <v>('11Dec240052','070000154306','11800',(select max(to_number(i.premium_rcv_detail_code))+1
from ins_premium_det i),'11800','11800','02', '11000003','00','Request by Mr.Raheel Malik 12-Dec-2024 add premium allocation no Premium');</v>
      </c>
      <c r="H63" s="16" t="str">
        <f t="shared" si="3"/>
        <v>insert into ins_premium_det (premium_rcv_code,assorted_code, rec_amount,premium_rcv_detail_code,remaining_amt, payrec, mode_code,coinsurance_code,class_cd,it_remarks) values('11Dec240052','070000154306','11800',(select max(to_number(i.premium_rcv_detail_code))+1
from ins_premium_det i),'11800','11800','02', '11000003','00','Request by Mr.Raheel Malik 12-Dec-2024 add premium allocation no Premium');</v>
      </c>
    </row>
    <row r="64" spans="1:8" ht="90" x14ac:dyDescent="0.25">
      <c r="A64" s="7" t="s">
        <v>118</v>
      </c>
      <c r="B64" s="12" t="str">
        <f>VLOOKUP(A64,policy!B:D,2,0)</f>
        <v>070000154301</v>
      </c>
      <c r="C64" s="2">
        <v>12000</v>
      </c>
      <c r="D64" s="13">
        <f t="shared" si="1"/>
        <v>12000</v>
      </c>
      <c r="E64" s="17" t="s">
        <v>891</v>
      </c>
      <c r="F64" s="14" t="str">
        <f t="shared" si="0"/>
        <v>insert into ins_premium_det (premium_rcv_code,assorted_code, rec_amount,premium_rcv_detail_code,remaining_amt, payrec, mode_code,coinsurance_code,class_cd,it_remarks) values</v>
      </c>
      <c r="G64" s="15" t="str">
        <f t="shared" si="2"/>
        <v>('11Dec240052','070000154301','12000',(select max(to_number(i.premium_rcv_detail_code))+1
from ins_premium_det i),'12000','12000','02', '11000003','00','Request by Mr.Raheel Malik 12-Dec-2024 add premium allocation no Premium');</v>
      </c>
      <c r="H64" s="16" t="str">
        <f t="shared" si="3"/>
        <v>insert into ins_premium_det (premium_rcv_code,assorted_code, rec_amount,premium_rcv_detail_code,remaining_amt, payrec, mode_code,coinsurance_code,class_cd,it_remarks) values('11Dec240052','070000154301','12000',(select max(to_number(i.premium_rcv_detail_code))+1
from ins_premium_det i),'12000','12000','02', '11000003','00','Request by Mr.Raheel Malik 12-Dec-2024 add premium allocation no Premium');</v>
      </c>
    </row>
    <row r="65" spans="1:8" ht="90" x14ac:dyDescent="0.25">
      <c r="A65" s="7" t="s">
        <v>120</v>
      </c>
      <c r="B65" s="12" t="str">
        <f>VLOOKUP(A65,policy!B:D,2,0)</f>
        <v>070000157176</v>
      </c>
      <c r="C65" s="2">
        <v>9997</v>
      </c>
      <c r="D65" s="13">
        <f t="shared" si="1"/>
        <v>9997</v>
      </c>
      <c r="E65" s="17" t="s">
        <v>891</v>
      </c>
      <c r="F65" s="14" t="str">
        <f t="shared" si="0"/>
        <v>insert into ins_premium_det (premium_rcv_code,assorted_code, rec_amount,premium_rcv_detail_code,remaining_amt, payrec, mode_code,coinsurance_code,class_cd,it_remarks) values</v>
      </c>
      <c r="G65" s="15" t="str">
        <f t="shared" si="2"/>
        <v>('11Dec240052','070000157176','9997',(select max(to_number(i.premium_rcv_detail_code))+1
from ins_premium_det i),'9997','9997','02', '11000003','00','Request by Mr.Raheel Malik 12-Dec-2024 add premium allocation no Premium');</v>
      </c>
      <c r="H65" s="16" t="str">
        <f t="shared" si="3"/>
        <v>insert into ins_premium_det (premium_rcv_code,assorted_code, rec_amount,premium_rcv_detail_code,remaining_amt, payrec, mode_code,coinsurance_code,class_cd,it_remarks) values('11Dec240052','070000157176','9997',(select max(to_number(i.premium_rcv_detail_code))+1
from ins_premium_det i),'9997','9997','02', '11000003','00','Request by Mr.Raheel Malik 12-Dec-2024 add premium allocation no Premium');</v>
      </c>
    </row>
    <row r="66" spans="1:8" ht="90" x14ac:dyDescent="0.25">
      <c r="A66" s="7" t="s">
        <v>122</v>
      </c>
      <c r="B66" s="12" t="str">
        <f>VLOOKUP(A66,policy!B:D,2,0)</f>
        <v>070000162377</v>
      </c>
      <c r="C66" s="2">
        <v>9996</v>
      </c>
      <c r="D66" s="13">
        <f t="shared" si="1"/>
        <v>9996</v>
      </c>
      <c r="E66" s="17" t="s">
        <v>891</v>
      </c>
      <c r="F66" s="14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5" t="str">
        <f t="shared" si="2"/>
        <v>('11Dec240052','070000162377','9996',(select max(to_number(i.premium_rcv_detail_code))+1
from ins_premium_det i),'9996','9996','02', '11000003','00','Request by Mr.Raheel Malik 12-Dec-2024 add premium allocation no Premium');</v>
      </c>
      <c r="H66" s="16" t="str">
        <f t="shared" si="3"/>
        <v>insert into ins_premium_det (premium_rcv_code,assorted_code, rec_amount,premium_rcv_detail_code,remaining_amt, payrec, mode_code,coinsurance_code,class_cd,it_remarks) values('11Dec240052','070000162377','9996',(select max(to_number(i.premium_rcv_detail_code))+1
from ins_premium_det i),'9996','9996','02', '11000003','00','Request by Mr.Raheel Malik 12-Dec-2024 add premium allocation no Premium');</v>
      </c>
    </row>
    <row r="67" spans="1:8" ht="90" x14ac:dyDescent="0.25">
      <c r="A67" s="7" t="s">
        <v>124</v>
      </c>
      <c r="B67" s="12" t="str">
        <f>VLOOKUP(A67,policy!B:D,2,0)</f>
        <v>070000167586</v>
      </c>
      <c r="C67" s="2">
        <v>3995</v>
      </c>
      <c r="D67" s="13">
        <f t="shared" ref="D67:D130" si="5">ROUND(C67,0)</f>
        <v>3995</v>
      </c>
      <c r="E67" s="17" t="s">
        <v>891</v>
      </c>
      <c r="F67" s="14" t="str">
        <f t="shared" si="4"/>
        <v>insert into ins_premium_det (premium_rcv_code,assorted_code, rec_amount,premium_rcv_detail_code,remaining_amt, payrec, mode_code,coinsurance_code,class_cd,it_remarks) values</v>
      </c>
      <c r="G67" s="15" t="str">
        <f t="shared" ref="G67:G130" si="6">"('"&amp;E67&amp;"','"&amp;B67&amp;"','"&amp;D67&amp;"',(select max(to_number(i.premium_rcv_detail_code))+1
from ins_premium_det i),'"&amp;D67&amp;"','"&amp;D67&amp;"','02', '11000003','00','Request by Mr.Raheel Malik 12-Dec-2024 add premium allocation no Premium');"</f>
        <v>('11Dec240052','070000167586','3995',(select max(to_number(i.premium_rcv_detail_code))+1
from ins_premium_det i),'3995','3995','02', '11000003','00','Request by Mr.Raheel Malik 12-Dec-2024 add premium allocation no Premium');</v>
      </c>
      <c r="H67" s="16" t="str">
        <f t="shared" ref="H67:H130" si="7">F67&amp;G67</f>
        <v>insert into ins_premium_det (premium_rcv_code,assorted_code, rec_amount,premium_rcv_detail_code,remaining_amt, payrec, mode_code,coinsurance_code,class_cd,it_remarks) values('11Dec240052','070000167586','3995',(select max(to_number(i.premium_rcv_detail_code))+1
from ins_premium_det i),'3995','3995','02', '11000003','00','Request by Mr.Raheel Malik 12-Dec-2024 add premium allocation no Premium');</v>
      </c>
    </row>
    <row r="68" spans="1:8" ht="90" x14ac:dyDescent="0.25">
      <c r="A68" s="7" t="s">
        <v>126</v>
      </c>
      <c r="B68" s="12" t="str">
        <f>VLOOKUP(A68,policy!B:D,2,0)</f>
        <v>070000157166</v>
      </c>
      <c r="C68" s="2">
        <v>3998</v>
      </c>
      <c r="D68" s="13">
        <f t="shared" si="5"/>
        <v>3998</v>
      </c>
      <c r="E68" s="17" t="s">
        <v>891</v>
      </c>
      <c r="F68" s="14" t="str">
        <f t="shared" si="4"/>
        <v>insert into ins_premium_det (premium_rcv_code,assorted_code, rec_amount,premium_rcv_detail_code,remaining_amt, payrec, mode_code,coinsurance_code,class_cd,it_remarks) values</v>
      </c>
      <c r="G68" s="15" t="str">
        <f t="shared" si="6"/>
        <v>('11Dec240052','070000157166','3998',(select max(to_number(i.premium_rcv_detail_code))+1
from ins_premium_det i),'3998','3998','02', '11000003','00','Request by Mr.Raheel Malik 12-Dec-2024 add premium allocation no Premium');</v>
      </c>
      <c r="H68" s="16" t="str">
        <f t="shared" si="7"/>
        <v>insert into ins_premium_det (premium_rcv_code,assorted_code, rec_amount,premium_rcv_detail_code,remaining_amt, payrec, mode_code,coinsurance_code,class_cd,it_remarks) values('11Dec240052','070000157166','3998',(select max(to_number(i.premium_rcv_detail_code))+1
from ins_premium_det i),'3998','3998','02', '11000003','00','Request by Mr.Raheel Malik 12-Dec-2024 add premium allocation no Premium');</v>
      </c>
    </row>
    <row r="69" spans="1:8" ht="90" x14ac:dyDescent="0.25">
      <c r="A69" s="7" t="s">
        <v>127</v>
      </c>
      <c r="B69" s="12" t="str">
        <f>VLOOKUP(A69,policy!B:D,2,0)</f>
        <v>070000171446</v>
      </c>
      <c r="C69" s="2">
        <v>17997</v>
      </c>
      <c r="D69" s="13">
        <f t="shared" si="5"/>
        <v>17997</v>
      </c>
      <c r="E69" s="17" t="s">
        <v>891</v>
      </c>
      <c r="F69" s="14" t="str">
        <f t="shared" si="4"/>
        <v>insert into ins_premium_det (premium_rcv_code,assorted_code, rec_amount,premium_rcv_detail_code,remaining_amt, payrec, mode_code,coinsurance_code,class_cd,it_remarks) values</v>
      </c>
      <c r="G69" s="15" t="str">
        <f t="shared" si="6"/>
        <v>('11Dec240052','070000171446','17997',(select max(to_number(i.premium_rcv_detail_code))+1
from ins_premium_det i),'17997','17997','02', '11000003','00','Request by Mr.Raheel Malik 12-Dec-2024 add premium allocation no Premium');</v>
      </c>
      <c r="H69" s="16" t="str">
        <f t="shared" si="7"/>
        <v>insert into ins_premium_det (premium_rcv_code,assorted_code, rec_amount,premium_rcv_detail_code,remaining_amt, payrec, mode_code,coinsurance_code,class_cd,it_remarks) values('11Dec240052','070000171446','17997',(select max(to_number(i.premium_rcv_detail_code))+1
from ins_premium_det i),'17997','17997','02', '11000003','00','Request by Mr.Raheel Malik 12-Dec-2024 add premium allocation no Premium');</v>
      </c>
    </row>
    <row r="70" spans="1:8" ht="90" x14ac:dyDescent="0.25">
      <c r="A70" s="7" t="s">
        <v>129</v>
      </c>
      <c r="B70" s="12" t="str">
        <f>VLOOKUP(A70,policy!B:D,2,0)</f>
        <v>070000152018</v>
      </c>
      <c r="C70" s="2">
        <v>18001</v>
      </c>
      <c r="D70" s="13">
        <f t="shared" si="5"/>
        <v>18001</v>
      </c>
      <c r="E70" s="17" t="s">
        <v>891</v>
      </c>
      <c r="F70" s="14" t="str">
        <f t="shared" si="4"/>
        <v>insert into ins_premium_det (premium_rcv_code,assorted_code, rec_amount,premium_rcv_detail_code,remaining_amt, payrec, mode_code,coinsurance_code,class_cd,it_remarks) values</v>
      </c>
      <c r="G70" s="15" t="str">
        <f t="shared" si="6"/>
        <v>('11Dec240052','070000152018','18001',(select max(to_number(i.premium_rcv_detail_code))+1
from ins_premium_det i),'18001','18001','02', '11000003','00','Request by Mr.Raheel Malik 12-Dec-2024 add premium allocation no Premium');</v>
      </c>
      <c r="H70" s="16" t="str">
        <f t="shared" si="7"/>
        <v>insert into ins_premium_det (premium_rcv_code,assorted_code, rec_amount,premium_rcv_detail_code,remaining_amt, payrec, mode_code,coinsurance_code,class_cd,it_remarks) values('11Dec240052','070000152018','18001',(select max(to_number(i.premium_rcv_detail_code))+1
from ins_premium_det i),'18001','18001','02', '11000003','00','Request by Mr.Raheel Malik 12-Dec-2024 add premium allocation no Premium');</v>
      </c>
    </row>
    <row r="71" spans="1:8" ht="90" x14ac:dyDescent="0.25">
      <c r="A71" s="7" t="s">
        <v>130</v>
      </c>
      <c r="B71" s="12" t="str">
        <f>VLOOKUP(A71,policy!B:D,2,0)</f>
        <v>070000154300</v>
      </c>
      <c r="C71" s="2">
        <v>2800</v>
      </c>
      <c r="D71" s="13">
        <f t="shared" si="5"/>
        <v>2800</v>
      </c>
      <c r="E71" s="17" t="s">
        <v>891</v>
      </c>
      <c r="F71" s="14" t="str">
        <f t="shared" si="4"/>
        <v>insert into ins_premium_det (premium_rcv_code,assorted_code, rec_amount,premium_rcv_detail_code,remaining_amt, payrec, mode_code,coinsurance_code,class_cd,it_remarks) values</v>
      </c>
      <c r="G71" s="15" t="str">
        <f t="shared" si="6"/>
        <v>('11Dec240052','070000154300','2800',(select max(to_number(i.premium_rcv_detail_code))+1
from ins_premium_det i),'2800','2800','02', '11000003','00','Request by Mr.Raheel Malik 12-Dec-2024 add premium allocation no Premium');</v>
      </c>
      <c r="H71" s="16" t="str">
        <f t="shared" si="7"/>
        <v>insert into ins_premium_det (premium_rcv_code,assorted_code, rec_amount,premium_rcv_detail_code,remaining_amt, payrec, mode_code,coinsurance_code,class_cd,it_remarks) values('11Dec240052','070000154300','2800',(select max(to_number(i.premium_rcv_detail_code))+1
from ins_premium_det i),'2800','2800','02', '11000003','00','Request by Mr.Raheel Malik 12-Dec-2024 add premium allocation no Premium');</v>
      </c>
    </row>
    <row r="72" spans="1:8" ht="90" x14ac:dyDescent="0.25">
      <c r="A72" s="7" t="s">
        <v>132</v>
      </c>
      <c r="B72" s="12" t="str">
        <f>VLOOKUP(A72,policy!B:D,2,0)</f>
        <v>070000171441</v>
      </c>
      <c r="C72" s="2">
        <v>19997</v>
      </c>
      <c r="D72" s="13">
        <f t="shared" si="5"/>
        <v>19997</v>
      </c>
      <c r="E72" s="17" t="s">
        <v>891</v>
      </c>
      <c r="F72" s="14" t="str">
        <f t="shared" si="4"/>
        <v>insert into ins_premium_det (premium_rcv_code,assorted_code, rec_amount,premium_rcv_detail_code,remaining_amt, payrec, mode_code,coinsurance_code,class_cd,it_remarks) values</v>
      </c>
      <c r="G72" s="15" t="str">
        <f t="shared" si="6"/>
        <v>('11Dec240052','070000171441','19997',(select max(to_number(i.premium_rcv_detail_code))+1
from ins_premium_det i),'19997','19997','02', '11000003','00','Request by Mr.Raheel Malik 12-Dec-2024 add premium allocation no Premium');</v>
      </c>
      <c r="H72" s="16" t="str">
        <f t="shared" si="7"/>
        <v>insert into ins_premium_det (premium_rcv_code,assorted_code, rec_amount,premium_rcv_detail_code,remaining_amt, payrec, mode_code,coinsurance_code,class_cd,it_remarks) values('11Dec240052','070000171441','19997',(select max(to_number(i.premium_rcv_detail_code))+1
from ins_premium_det i),'19997','19997','02', '11000003','00','Request by Mr.Raheel Malik 12-Dec-2024 add premium allocation no Premium');</v>
      </c>
    </row>
    <row r="73" spans="1:8" ht="90" x14ac:dyDescent="0.25">
      <c r="A73" s="7" t="s">
        <v>134</v>
      </c>
      <c r="B73" s="12" t="str">
        <f>VLOOKUP(A73,policy!B:D,2,0)</f>
        <v>070000162394</v>
      </c>
      <c r="C73" s="2">
        <v>23995</v>
      </c>
      <c r="D73" s="13">
        <f t="shared" si="5"/>
        <v>23995</v>
      </c>
      <c r="E73" s="17" t="s">
        <v>891</v>
      </c>
      <c r="F73" s="14" t="str">
        <f t="shared" si="4"/>
        <v>insert into ins_premium_det (premium_rcv_code,assorted_code, rec_amount,premium_rcv_detail_code,remaining_amt, payrec, mode_code,coinsurance_code,class_cd,it_remarks) values</v>
      </c>
      <c r="G73" s="15" t="str">
        <f t="shared" si="6"/>
        <v>('11Dec240052','070000162394','23995',(select max(to_number(i.premium_rcv_detail_code))+1
from ins_premium_det i),'23995','23995','02', '11000003','00','Request by Mr.Raheel Malik 12-Dec-2024 add premium allocation no Premium');</v>
      </c>
      <c r="H73" s="16" t="str">
        <f t="shared" si="7"/>
        <v>insert into ins_premium_det (premium_rcv_code,assorted_code, rec_amount,premium_rcv_detail_code,remaining_amt, payrec, mode_code,coinsurance_code,class_cd,it_remarks) values('11Dec240052','070000162394','23995',(select max(to_number(i.premium_rcv_detail_code))+1
from ins_premium_det i),'23995','23995','02', '11000003','00','Request by Mr.Raheel Malik 12-Dec-2024 add premium allocation no Premium');</v>
      </c>
    </row>
    <row r="74" spans="1:8" ht="90" x14ac:dyDescent="0.25">
      <c r="A74" s="7" t="s">
        <v>136</v>
      </c>
      <c r="B74" s="12" t="str">
        <f>VLOOKUP(A74,policy!B:D,2,0)</f>
        <v>070000162372</v>
      </c>
      <c r="C74" s="2">
        <v>1596</v>
      </c>
      <c r="D74" s="13">
        <f t="shared" si="5"/>
        <v>1596</v>
      </c>
      <c r="E74" s="17" t="s">
        <v>891</v>
      </c>
      <c r="F74" s="14" t="str">
        <f t="shared" si="4"/>
        <v>insert into ins_premium_det (premium_rcv_code,assorted_code, rec_amount,premium_rcv_detail_code,remaining_amt, payrec, mode_code,coinsurance_code,class_cd,it_remarks) values</v>
      </c>
      <c r="G74" s="15" t="str">
        <f t="shared" si="6"/>
        <v>('11Dec240052','070000162372','1596',(select max(to_number(i.premium_rcv_detail_code))+1
from ins_premium_det i),'1596','1596','02', '11000003','00','Request by Mr.Raheel Malik 12-Dec-2024 add premium allocation no Premium');</v>
      </c>
      <c r="H74" s="16" t="str">
        <f t="shared" si="7"/>
        <v>insert into ins_premium_det (premium_rcv_code,assorted_code, rec_amount,premium_rcv_detail_code,remaining_amt, payrec, mode_code,coinsurance_code,class_cd,it_remarks) values('11Dec240052','070000162372','1596',(select max(to_number(i.premium_rcv_detail_code))+1
from ins_premium_det i),'1596','1596','02', '11000003','00','Request by Mr.Raheel Malik 12-Dec-2024 add premium allocation no Premium');</v>
      </c>
    </row>
    <row r="75" spans="1:8" ht="90" x14ac:dyDescent="0.25">
      <c r="A75" s="7" t="s">
        <v>138</v>
      </c>
      <c r="B75" s="12" t="str">
        <f>VLOOKUP(A75,policy!B:D,2,0)</f>
        <v>070000167587</v>
      </c>
      <c r="C75" s="2">
        <v>1675</v>
      </c>
      <c r="D75" s="13">
        <f t="shared" si="5"/>
        <v>1675</v>
      </c>
      <c r="E75" s="17" t="s">
        <v>891</v>
      </c>
      <c r="F75" s="14" t="str">
        <f t="shared" si="4"/>
        <v>insert into ins_premium_det (premium_rcv_code,assorted_code, rec_amount,premium_rcv_detail_code,remaining_amt, payrec, mode_code,coinsurance_code,class_cd,it_remarks) values</v>
      </c>
      <c r="G75" s="15" t="str">
        <f t="shared" si="6"/>
        <v>('11Dec240052','070000167587','1675',(select max(to_number(i.premium_rcv_detail_code))+1
from ins_premium_det i),'1675','1675','02', '11000003','00','Request by Mr.Raheel Malik 12-Dec-2024 add premium allocation no Premium');</v>
      </c>
      <c r="H75" s="16" t="str">
        <f t="shared" si="7"/>
        <v>insert into ins_premium_det (premium_rcv_code,assorted_code, rec_amount,premium_rcv_detail_code,remaining_amt, payrec, mode_code,coinsurance_code,class_cd,it_remarks) values('11Dec240052','070000167587','1675',(select max(to_number(i.premium_rcv_detail_code))+1
from ins_premium_det i),'1675','1675','02', '11000003','00','Request by Mr.Raheel Malik 12-Dec-2024 add premium allocation no Premium');</v>
      </c>
    </row>
    <row r="76" spans="1:8" ht="90" x14ac:dyDescent="0.25">
      <c r="A76" s="7" t="s">
        <v>140</v>
      </c>
      <c r="B76" s="12" t="str">
        <f>VLOOKUP(A76,policy!B:D,2,0)</f>
        <v>070000169516</v>
      </c>
      <c r="C76" s="2">
        <v>17997</v>
      </c>
      <c r="D76" s="13">
        <f t="shared" si="5"/>
        <v>17997</v>
      </c>
      <c r="E76" s="17" t="s">
        <v>891</v>
      </c>
      <c r="F76" s="14" t="str">
        <f t="shared" si="4"/>
        <v>insert into ins_premium_det (premium_rcv_code,assorted_code, rec_amount,premium_rcv_detail_code,remaining_amt, payrec, mode_code,coinsurance_code,class_cd,it_remarks) values</v>
      </c>
      <c r="G76" s="15" t="str">
        <f t="shared" si="6"/>
        <v>('11Dec240052','070000169516','17997',(select max(to_number(i.premium_rcv_detail_code))+1
from ins_premium_det i),'17997','17997','02', '11000003','00','Request by Mr.Raheel Malik 12-Dec-2024 add premium allocation no Premium');</v>
      </c>
      <c r="H76" s="16" t="str">
        <f t="shared" si="7"/>
        <v>insert into ins_premium_det (premium_rcv_code,assorted_code, rec_amount,premium_rcv_detail_code,remaining_amt, payrec, mode_code,coinsurance_code,class_cd,it_remarks) values('11Dec240052','070000169516','17997',(select max(to_number(i.premium_rcv_detail_code))+1
from ins_premium_det i),'17997','17997','02', '11000003','00','Request by Mr.Raheel Malik 12-Dec-2024 add premium allocation no Premium');</v>
      </c>
    </row>
    <row r="77" spans="1:8" ht="90" x14ac:dyDescent="0.25">
      <c r="A77" s="7" t="s">
        <v>142</v>
      </c>
      <c r="B77" s="12" t="str">
        <f>VLOOKUP(A77,policy!B:D,2,0)</f>
        <v>070000167592</v>
      </c>
      <c r="C77" s="2">
        <v>1497</v>
      </c>
      <c r="D77" s="13">
        <f t="shared" si="5"/>
        <v>1497</v>
      </c>
      <c r="E77" s="17" t="s">
        <v>891</v>
      </c>
      <c r="F77" s="14" t="str">
        <f t="shared" si="4"/>
        <v>insert into ins_premium_det (premium_rcv_code,assorted_code, rec_amount,premium_rcv_detail_code,remaining_amt, payrec, mode_code,coinsurance_code,class_cd,it_remarks) values</v>
      </c>
      <c r="G77" s="15" t="str">
        <f t="shared" si="6"/>
        <v>('11Dec240052','070000167592','1497',(select max(to_number(i.premium_rcv_detail_code))+1
from ins_premium_det i),'1497','1497','02', '11000003','00','Request by Mr.Raheel Malik 12-Dec-2024 add premium allocation no Premium');</v>
      </c>
      <c r="H77" s="16" t="str">
        <f t="shared" si="7"/>
        <v>insert into ins_premium_det (premium_rcv_code,assorted_code, rec_amount,premium_rcv_detail_code,remaining_amt, payrec, mode_code,coinsurance_code,class_cd,it_remarks) values('11Dec240052','070000167592','1497',(select max(to_number(i.premium_rcv_detail_code))+1
from ins_premium_det i),'1497','1497','02', '11000003','00','Request by Mr.Raheel Malik 12-Dec-2024 add premium allocation no Premium');</v>
      </c>
    </row>
    <row r="78" spans="1:8" ht="90" x14ac:dyDescent="0.25">
      <c r="A78" s="7" t="s">
        <v>144</v>
      </c>
      <c r="B78" s="12" t="str">
        <f>VLOOKUP(A78,policy!B:D,2,0)</f>
        <v>070000162401</v>
      </c>
      <c r="C78" s="2">
        <v>9996</v>
      </c>
      <c r="D78" s="13">
        <f t="shared" si="5"/>
        <v>9996</v>
      </c>
      <c r="E78" s="17" t="s">
        <v>891</v>
      </c>
      <c r="F78" s="14" t="str">
        <f t="shared" si="4"/>
        <v>insert into ins_premium_det (premium_rcv_code,assorted_code, rec_amount,premium_rcv_detail_code,remaining_amt, payrec, mode_code,coinsurance_code,class_cd,it_remarks) values</v>
      </c>
      <c r="G78" s="15" t="str">
        <f t="shared" si="6"/>
        <v>('11Dec240052','070000162401','9996',(select max(to_number(i.premium_rcv_detail_code))+1
from ins_premium_det i),'9996','9996','02', '11000003','00','Request by Mr.Raheel Malik 12-Dec-2024 add premium allocation no Premium');</v>
      </c>
      <c r="H78" s="16" t="str">
        <f t="shared" si="7"/>
        <v>insert into ins_premium_det (premium_rcv_code,assorted_code, rec_amount,premium_rcv_detail_code,remaining_amt, payrec, mode_code,coinsurance_code,class_cd,it_remarks) values('11Dec240052','070000162401','9996',(select max(to_number(i.premium_rcv_detail_code))+1
from ins_premium_det i),'9996','9996','02', '11000003','00','Request by Mr.Raheel Malik 12-Dec-2024 add premium allocation no Premium');</v>
      </c>
    </row>
    <row r="79" spans="1:8" ht="90" x14ac:dyDescent="0.25">
      <c r="A79" s="7" t="s">
        <v>146</v>
      </c>
      <c r="B79" s="12" t="str">
        <f>VLOOKUP(A79,policy!B:D,2,0)</f>
        <v>070000167581</v>
      </c>
      <c r="C79" s="2">
        <v>3995</v>
      </c>
      <c r="D79" s="13">
        <f t="shared" si="5"/>
        <v>3995</v>
      </c>
      <c r="E79" s="17" t="s">
        <v>891</v>
      </c>
      <c r="F79" s="14" t="str">
        <f t="shared" si="4"/>
        <v>insert into ins_premium_det (premium_rcv_code,assorted_code, rec_amount,premium_rcv_detail_code,remaining_amt, payrec, mode_code,coinsurance_code,class_cd,it_remarks) values</v>
      </c>
      <c r="G79" s="15" t="str">
        <f t="shared" si="6"/>
        <v>('11Dec240052','070000167581','3995',(select max(to_number(i.premium_rcv_detail_code))+1
from ins_premium_det i),'3995','3995','02', '11000003','00','Request by Mr.Raheel Malik 12-Dec-2024 add premium allocation no Premium');</v>
      </c>
      <c r="H79" s="16" t="str">
        <f t="shared" si="7"/>
        <v>insert into ins_premium_det (premium_rcv_code,assorted_code, rec_amount,premium_rcv_detail_code,remaining_amt, payrec, mode_code,coinsurance_code,class_cd,it_remarks) values('11Dec240052','070000167581','3995',(select max(to_number(i.premium_rcv_detail_code))+1
from ins_premium_det i),'3995','3995','02', '11000003','00','Request by Mr.Raheel Malik 12-Dec-2024 add premium allocation no Premium');</v>
      </c>
    </row>
    <row r="80" spans="1:8" ht="90" x14ac:dyDescent="0.25">
      <c r="A80" s="7" t="s">
        <v>148</v>
      </c>
      <c r="B80" s="12" t="str">
        <f>VLOOKUP(A80,policy!B:D,2,0)</f>
        <v>070000164183</v>
      </c>
      <c r="C80" s="2">
        <v>7995</v>
      </c>
      <c r="D80" s="13">
        <f t="shared" si="5"/>
        <v>7995</v>
      </c>
      <c r="E80" s="17" t="s">
        <v>891</v>
      </c>
      <c r="F80" s="14" t="str">
        <f t="shared" si="4"/>
        <v>insert into ins_premium_det (premium_rcv_code,assorted_code, rec_amount,premium_rcv_detail_code,remaining_amt, payrec, mode_code,coinsurance_code,class_cd,it_remarks) values</v>
      </c>
      <c r="G80" s="15" t="str">
        <f t="shared" si="6"/>
        <v>('11Dec240052','070000164183','7995',(select max(to_number(i.premium_rcv_detail_code))+1
from ins_premium_det i),'7995','7995','02', '11000003','00','Request by Mr.Raheel Malik 12-Dec-2024 add premium allocation no Premium');</v>
      </c>
      <c r="H80" s="16" t="str">
        <f t="shared" si="7"/>
        <v>insert into ins_premium_det (premium_rcv_code,assorted_code, rec_amount,premium_rcv_detail_code,remaining_amt, payrec, mode_code,coinsurance_code,class_cd,it_remarks) values('11Dec240052','070000164183','7995',(select max(to_number(i.premium_rcv_detail_code))+1
from ins_premium_det i),'7995','7995','02', '11000003','00','Request by Mr.Raheel Malik 12-Dec-2024 add premium allocation no Premium');</v>
      </c>
    </row>
    <row r="81" spans="1:8" ht="90" x14ac:dyDescent="0.25">
      <c r="A81" s="7" t="s">
        <v>150</v>
      </c>
      <c r="B81" s="12" t="str">
        <f>VLOOKUP(A81,policy!B:D,2,0)</f>
        <v>070000162378</v>
      </c>
      <c r="C81" s="2">
        <v>19196</v>
      </c>
      <c r="D81" s="13">
        <f t="shared" si="5"/>
        <v>19196</v>
      </c>
      <c r="E81" s="17" t="s">
        <v>891</v>
      </c>
      <c r="F81" s="14" t="str">
        <f t="shared" si="4"/>
        <v>insert into ins_premium_det (premium_rcv_code,assorted_code, rec_amount,premium_rcv_detail_code,remaining_amt, payrec, mode_code,coinsurance_code,class_cd,it_remarks) values</v>
      </c>
      <c r="G81" s="15" t="str">
        <f t="shared" si="6"/>
        <v>('11Dec240052','070000162378','19196',(select max(to_number(i.premium_rcv_detail_code))+1
from ins_premium_det i),'19196','19196','02', '11000003','00','Request by Mr.Raheel Malik 12-Dec-2024 add premium allocation no Premium');</v>
      </c>
      <c r="H81" s="16" t="str">
        <f t="shared" si="7"/>
        <v>insert into ins_premium_det (premium_rcv_code,assorted_code, rec_amount,premium_rcv_detail_code,remaining_amt, payrec, mode_code,coinsurance_code,class_cd,it_remarks) values('11Dec240052','070000162378','19196',(select max(to_number(i.premium_rcv_detail_code))+1
from ins_premium_det i),'19196','19196','02', '11000003','00','Request by Mr.Raheel Malik 12-Dec-2024 add premium allocation no Premium');</v>
      </c>
    </row>
    <row r="82" spans="1:8" ht="90" x14ac:dyDescent="0.25">
      <c r="A82" s="7" t="s">
        <v>152</v>
      </c>
      <c r="B82" s="12" t="str">
        <f>VLOOKUP(A82,policy!B:D,2,0)</f>
        <v>070000162403</v>
      </c>
      <c r="C82" s="2">
        <v>9197</v>
      </c>
      <c r="D82" s="13">
        <f t="shared" si="5"/>
        <v>9197</v>
      </c>
      <c r="E82" s="17" t="s">
        <v>891</v>
      </c>
      <c r="F82" s="14" t="str">
        <f t="shared" si="4"/>
        <v>insert into ins_premium_det (premium_rcv_code,assorted_code, rec_amount,premium_rcv_detail_code,remaining_amt, payrec, mode_code,coinsurance_code,class_cd,it_remarks) values</v>
      </c>
      <c r="G82" s="15" t="str">
        <f t="shared" si="6"/>
        <v>('11Dec240052','070000162403','9197',(select max(to_number(i.premium_rcv_detail_code))+1
from ins_premium_det i),'9197','9197','02', '11000003','00','Request by Mr.Raheel Malik 12-Dec-2024 add premium allocation no Premium');</v>
      </c>
      <c r="H82" s="16" t="str">
        <f t="shared" si="7"/>
        <v>insert into ins_premium_det (premium_rcv_code,assorted_code, rec_amount,premium_rcv_detail_code,remaining_amt, payrec, mode_code,coinsurance_code,class_cd,it_remarks) values('11Dec240052','070000162403','9197',(select max(to_number(i.premium_rcv_detail_code))+1
from ins_premium_det i),'9197','9197','02', '11000003','00','Request by Mr.Raheel Malik 12-Dec-2024 add premium allocation no Premium');</v>
      </c>
    </row>
    <row r="83" spans="1:8" ht="90" x14ac:dyDescent="0.25">
      <c r="A83" s="7" t="s">
        <v>154</v>
      </c>
      <c r="B83" s="12" t="str">
        <f>VLOOKUP(A83,policy!B:D,2,0)</f>
        <v>070000157178</v>
      </c>
      <c r="C83" s="2">
        <v>29996</v>
      </c>
      <c r="D83" s="13">
        <f t="shared" si="5"/>
        <v>29996</v>
      </c>
      <c r="E83" s="17" t="s">
        <v>891</v>
      </c>
      <c r="F83" s="14" t="str">
        <f t="shared" si="4"/>
        <v>insert into ins_premium_det (premium_rcv_code,assorted_code, rec_amount,premium_rcv_detail_code,remaining_amt, payrec, mode_code,coinsurance_code,class_cd,it_remarks) values</v>
      </c>
      <c r="G83" s="15" t="str">
        <f t="shared" si="6"/>
        <v>('11Dec240052','070000157178','29996',(select max(to_number(i.premium_rcv_detail_code))+1
from ins_premium_det i),'29996','29996','02', '11000003','00','Request by Mr.Raheel Malik 12-Dec-2024 add premium allocation no Premium');</v>
      </c>
      <c r="H83" s="16" t="str">
        <f t="shared" si="7"/>
        <v>insert into ins_premium_det (premium_rcv_code,assorted_code, rec_amount,premium_rcv_detail_code,remaining_amt, payrec, mode_code,coinsurance_code,class_cd,it_remarks) values('11Dec240052','070000157178','29996',(select max(to_number(i.premium_rcv_detail_code))+1
from ins_premium_det i),'29996','29996','02', '11000003','00','Request by Mr.Raheel Malik 12-Dec-2024 add premium allocation no Premium');</v>
      </c>
    </row>
    <row r="84" spans="1:8" ht="90" x14ac:dyDescent="0.25">
      <c r="A84" s="7" t="s">
        <v>156</v>
      </c>
      <c r="B84" s="12" t="str">
        <f>VLOOKUP(A84,policy!B:D,2,0)</f>
        <v>070000162382</v>
      </c>
      <c r="C84" s="2">
        <v>4957</v>
      </c>
      <c r="D84" s="13">
        <f t="shared" si="5"/>
        <v>4957</v>
      </c>
      <c r="E84" s="17" t="s">
        <v>891</v>
      </c>
      <c r="F84" s="14" t="str">
        <f t="shared" si="4"/>
        <v>insert into ins_premium_det (premium_rcv_code,assorted_code, rec_amount,premium_rcv_detail_code,remaining_amt, payrec, mode_code,coinsurance_code,class_cd,it_remarks) values</v>
      </c>
      <c r="G84" s="15" t="str">
        <f t="shared" si="6"/>
        <v>('11Dec240052','070000162382','4957',(select max(to_number(i.premium_rcv_detail_code))+1
from ins_premium_det i),'4957','4957','02', '11000003','00','Request by Mr.Raheel Malik 12-Dec-2024 add premium allocation no Premium');</v>
      </c>
      <c r="H84" s="16" t="str">
        <f t="shared" si="7"/>
        <v>insert into ins_premium_det (premium_rcv_code,assorted_code, rec_amount,premium_rcv_detail_code,remaining_amt, payrec, mode_code,coinsurance_code,class_cd,it_remarks) values('11Dec240052','070000162382','4957',(select max(to_number(i.premium_rcv_detail_code))+1
from ins_premium_det i),'4957','4957','02', '11000003','00','Request by Mr.Raheel Malik 12-Dec-2024 add premium allocation no Premium');</v>
      </c>
    </row>
    <row r="85" spans="1:8" ht="90" x14ac:dyDescent="0.25">
      <c r="A85" s="7" t="s">
        <v>158</v>
      </c>
      <c r="B85" s="12" t="str">
        <f>VLOOKUP(A85,policy!B:D,2,0)</f>
        <v>070000164180</v>
      </c>
      <c r="C85" s="2">
        <v>956</v>
      </c>
      <c r="D85" s="13">
        <f t="shared" si="5"/>
        <v>956</v>
      </c>
      <c r="E85" s="17" t="s">
        <v>891</v>
      </c>
      <c r="F85" s="14" t="str">
        <f t="shared" si="4"/>
        <v>insert into ins_premium_det (premium_rcv_code,assorted_code, rec_amount,premium_rcv_detail_code,remaining_amt, payrec, mode_code,coinsurance_code,class_cd,it_remarks) values</v>
      </c>
      <c r="G85" s="15" t="str">
        <f t="shared" si="6"/>
        <v>('11Dec240052','070000164180','956',(select max(to_number(i.premium_rcv_detail_code))+1
from ins_premium_det i),'956','956','02', '11000003','00','Request by Mr.Raheel Malik 12-Dec-2024 add premium allocation no Premium');</v>
      </c>
      <c r="H85" s="16" t="str">
        <f t="shared" si="7"/>
        <v>insert into ins_premium_det (premium_rcv_code,assorted_code, rec_amount,premium_rcv_detail_code,remaining_amt, payrec, mode_code,coinsurance_code,class_cd,it_remarks) values('11Dec240052','070000164180','956',(select max(to_number(i.premium_rcv_detail_code))+1
from ins_premium_det i),'956','956','02', '11000003','00','Request by Mr.Raheel Malik 12-Dec-2024 add premium allocation no Premium');</v>
      </c>
    </row>
    <row r="86" spans="1:8" ht="90" x14ac:dyDescent="0.25">
      <c r="A86" s="7" t="s">
        <v>160</v>
      </c>
      <c r="B86" s="12" t="str">
        <f>VLOOKUP(A86,policy!B:D,2,0)</f>
        <v>070000154316</v>
      </c>
      <c r="C86" s="2">
        <v>960</v>
      </c>
      <c r="D86" s="13">
        <f t="shared" si="5"/>
        <v>960</v>
      </c>
      <c r="E86" s="17" t="s">
        <v>891</v>
      </c>
      <c r="F86" s="14" t="str">
        <f t="shared" si="4"/>
        <v>insert into ins_premium_det (premium_rcv_code,assorted_code, rec_amount,premium_rcv_detail_code,remaining_amt, payrec, mode_code,coinsurance_code,class_cd,it_remarks) values</v>
      </c>
      <c r="G86" s="15" t="str">
        <f t="shared" si="6"/>
        <v>('11Dec240052','070000154316','960',(select max(to_number(i.premium_rcv_detail_code))+1
from ins_premium_det i),'960','960','02', '11000003','00','Request by Mr.Raheel Malik 12-Dec-2024 add premium allocation no Premium');</v>
      </c>
      <c r="H86" s="16" t="str">
        <f t="shared" si="7"/>
        <v>insert into ins_premium_det (premium_rcv_code,assorted_code, rec_amount,premium_rcv_detail_code,remaining_amt, payrec, mode_code,coinsurance_code,class_cd,it_remarks) values('11Dec240052','070000154316','960',(select max(to_number(i.premium_rcv_detail_code))+1
from ins_premium_det i),'960','960','02', '11000003','00','Request by Mr.Raheel Malik 12-Dec-2024 add premium allocation no Premium');</v>
      </c>
    </row>
    <row r="87" spans="1:8" ht="90" x14ac:dyDescent="0.25">
      <c r="A87" s="7" t="s">
        <v>161</v>
      </c>
      <c r="B87" s="12" t="str">
        <f>VLOOKUP(A87,policy!B:D,2,0)</f>
        <v>070000157174</v>
      </c>
      <c r="C87" s="2">
        <v>27997</v>
      </c>
      <c r="D87" s="13">
        <f t="shared" si="5"/>
        <v>27997</v>
      </c>
      <c r="E87" s="17" t="s">
        <v>891</v>
      </c>
      <c r="F87" s="14" t="str">
        <f t="shared" si="4"/>
        <v>insert into ins_premium_det (premium_rcv_code,assorted_code, rec_amount,premium_rcv_detail_code,remaining_amt, payrec, mode_code,coinsurance_code,class_cd,it_remarks) values</v>
      </c>
      <c r="G87" s="15" t="str">
        <f t="shared" si="6"/>
        <v>('11Dec240052','070000157174','27997',(select max(to_number(i.premium_rcv_detail_code))+1
from ins_premium_det i),'27997','27997','02', '11000003','00','Request by Mr.Raheel Malik 12-Dec-2024 add premium allocation no Premium');</v>
      </c>
      <c r="H87" s="16" t="str">
        <f t="shared" si="7"/>
        <v>insert into ins_premium_det (premium_rcv_code,assorted_code, rec_amount,premium_rcv_detail_code,remaining_amt, payrec, mode_code,coinsurance_code,class_cd,it_remarks) values('11Dec240052','070000157174','27997',(select max(to_number(i.premium_rcv_detail_code))+1
from ins_premium_det i),'27997','27997','02', '11000003','00','Request by Mr.Raheel Malik 12-Dec-2024 add premium allocation no Premium');</v>
      </c>
    </row>
    <row r="88" spans="1:8" ht="90" x14ac:dyDescent="0.25">
      <c r="A88" s="7" t="s">
        <v>163</v>
      </c>
      <c r="B88" s="12" t="str">
        <f>VLOOKUP(A88,policy!B:D,2,0)</f>
        <v>070000171450</v>
      </c>
      <c r="C88" s="2">
        <v>17997</v>
      </c>
      <c r="D88" s="13">
        <f t="shared" si="5"/>
        <v>17997</v>
      </c>
      <c r="E88" s="17" t="s">
        <v>891</v>
      </c>
      <c r="F88" s="14" t="str">
        <f t="shared" si="4"/>
        <v>insert into ins_premium_det (premium_rcv_code,assorted_code, rec_amount,premium_rcv_detail_code,remaining_amt, payrec, mode_code,coinsurance_code,class_cd,it_remarks) values</v>
      </c>
      <c r="G88" s="15" t="str">
        <f t="shared" si="6"/>
        <v>('11Dec240052','070000171450','17997',(select max(to_number(i.premium_rcv_detail_code))+1
from ins_premium_det i),'17997','17997','02', '11000003','00','Request by Mr.Raheel Malik 12-Dec-2024 add premium allocation no Premium');</v>
      </c>
      <c r="H88" s="16" t="str">
        <f t="shared" si="7"/>
        <v>insert into ins_premium_det (premium_rcv_code,assorted_code, rec_amount,premium_rcv_detail_code,remaining_amt, payrec, mode_code,coinsurance_code,class_cd,it_remarks) values('11Dec240052','070000171450','17997',(select max(to_number(i.premium_rcv_detail_code))+1
from ins_premium_det i),'17997','17997','02', '11000003','00','Request by Mr.Raheel Malik 12-Dec-2024 add premium allocation no Premium');</v>
      </c>
    </row>
    <row r="89" spans="1:8" ht="90" x14ac:dyDescent="0.25">
      <c r="A89" s="7" t="s">
        <v>165</v>
      </c>
      <c r="B89" s="12" t="str">
        <f>VLOOKUP(A89,policy!B:D,2,0)</f>
        <v>070000162398</v>
      </c>
      <c r="C89" s="2">
        <v>9996</v>
      </c>
      <c r="D89" s="13">
        <f t="shared" si="5"/>
        <v>9996</v>
      </c>
      <c r="E89" s="17" t="s">
        <v>891</v>
      </c>
      <c r="F89" s="14" t="str">
        <f t="shared" si="4"/>
        <v>insert into ins_premium_det (premium_rcv_code,assorted_code, rec_amount,premium_rcv_detail_code,remaining_amt, payrec, mode_code,coinsurance_code,class_cd,it_remarks) values</v>
      </c>
      <c r="G89" s="15" t="str">
        <f t="shared" si="6"/>
        <v>('11Dec240052','070000162398','9996',(select max(to_number(i.premium_rcv_detail_code))+1
from ins_premium_det i),'9996','9996','02', '11000003','00','Request by Mr.Raheel Malik 12-Dec-2024 add premium allocation no Premium');</v>
      </c>
      <c r="H89" s="16" t="str">
        <f t="shared" si="7"/>
        <v>insert into ins_premium_det (premium_rcv_code,assorted_code, rec_amount,premium_rcv_detail_code,remaining_amt, payrec, mode_code,coinsurance_code,class_cd,it_remarks) values('11Dec240052','070000162398','9996',(select max(to_number(i.premium_rcv_detail_code))+1
from ins_premium_det i),'9996','9996','02', '11000003','00','Request by Mr.Raheel Malik 12-Dec-2024 add premium allocation no Premium');</v>
      </c>
    </row>
    <row r="90" spans="1:8" ht="90" x14ac:dyDescent="0.25">
      <c r="A90" s="7" t="s">
        <v>167</v>
      </c>
      <c r="B90" s="12" t="str">
        <f>VLOOKUP(A90,policy!B:D,2,0)</f>
        <v>070000152020</v>
      </c>
      <c r="C90" s="2">
        <v>10000</v>
      </c>
      <c r="D90" s="13">
        <f t="shared" si="5"/>
        <v>10000</v>
      </c>
      <c r="E90" s="17" t="s">
        <v>891</v>
      </c>
      <c r="F90" s="14" t="str">
        <f t="shared" si="4"/>
        <v>insert into ins_premium_det (premium_rcv_code,assorted_code, rec_amount,premium_rcv_detail_code,remaining_amt, payrec, mode_code,coinsurance_code,class_cd,it_remarks) values</v>
      </c>
      <c r="G90" s="15" t="str">
        <f t="shared" si="6"/>
        <v>('11Dec240052','070000152020','10000',(select max(to_number(i.premium_rcv_detail_code))+1
from ins_premium_det i),'10000','10000','02', '11000003','00','Request by Mr.Raheel Malik 12-Dec-2024 add premium allocation no Premium');</v>
      </c>
      <c r="H90" s="16" t="str">
        <f t="shared" si="7"/>
        <v>insert into ins_premium_det (premium_rcv_code,assorted_code, rec_amount,premium_rcv_detail_code,remaining_amt, payrec, mode_code,coinsurance_code,class_cd,it_remarks) values('11Dec240052','070000152020','10000',(select max(to_number(i.premium_rcv_detail_code))+1
from ins_premium_det i),'10000','10000','02', '11000003','00','Request by Mr.Raheel Malik 12-Dec-2024 add premium allocation no Premium');</v>
      </c>
    </row>
    <row r="91" spans="1:8" ht="90" x14ac:dyDescent="0.25">
      <c r="A91" s="7" t="s">
        <v>168</v>
      </c>
      <c r="B91" s="12" t="str">
        <f>VLOOKUP(A91,policy!B:D,2,0)</f>
        <v>070000171439</v>
      </c>
      <c r="C91" s="2">
        <v>3995</v>
      </c>
      <c r="D91" s="13">
        <f t="shared" si="5"/>
        <v>3995</v>
      </c>
      <c r="E91" s="17" t="s">
        <v>891</v>
      </c>
      <c r="F91" s="14" t="str">
        <f t="shared" si="4"/>
        <v>insert into ins_premium_det (premium_rcv_code,assorted_code, rec_amount,premium_rcv_detail_code,remaining_amt, payrec, mode_code,coinsurance_code,class_cd,it_remarks) values</v>
      </c>
      <c r="G91" s="15" t="str">
        <f t="shared" si="6"/>
        <v>('11Dec240052','070000171439','3995',(select max(to_number(i.premium_rcv_detail_code))+1
from ins_premium_det i),'3995','3995','02', '11000003','00','Request by Mr.Raheel Malik 12-Dec-2024 add premium allocation no Premium');</v>
      </c>
      <c r="H91" s="16" t="str">
        <f t="shared" si="7"/>
        <v>insert into ins_premium_det (premium_rcv_code,assorted_code, rec_amount,premium_rcv_detail_code,remaining_amt, payrec, mode_code,coinsurance_code,class_cd,it_remarks) values('11Dec240052','070000171439','3995',(select max(to_number(i.premium_rcv_detail_code))+1
from ins_premium_det i),'3995','3995','02', '11000003','00','Request by Mr.Raheel Malik 12-Dec-2024 add premium allocation no Premium');</v>
      </c>
    </row>
    <row r="92" spans="1:8" ht="90" x14ac:dyDescent="0.25">
      <c r="A92" s="7" t="s">
        <v>170</v>
      </c>
      <c r="B92" s="12" t="str">
        <f>VLOOKUP(A92,policy!B:D,2,0)</f>
        <v>070000162374</v>
      </c>
      <c r="C92" s="2">
        <v>15997</v>
      </c>
      <c r="D92" s="13">
        <f t="shared" si="5"/>
        <v>15997</v>
      </c>
      <c r="E92" s="17" t="s">
        <v>891</v>
      </c>
      <c r="F92" s="14" t="str">
        <f t="shared" si="4"/>
        <v>insert into ins_premium_det (premium_rcv_code,assorted_code, rec_amount,premium_rcv_detail_code,remaining_amt, payrec, mode_code,coinsurance_code,class_cd,it_remarks) values</v>
      </c>
      <c r="G92" s="15" t="str">
        <f t="shared" si="6"/>
        <v>('11Dec240052','070000162374','15997',(select max(to_number(i.premium_rcv_detail_code))+1
from ins_premium_det i),'15997','15997','02', '11000003','00','Request by Mr.Raheel Malik 12-Dec-2024 add premium allocation no Premium');</v>
      </c>
      <c r="H92" s="16" t="str">
        <f t="shared" si="7"/>
        <v>insert into ins_premium_det (premium_rcv_code,assorted_code, rec_amount,premium_rcv_detail_code,remaining_amt, payrec, mode_code,coinsurance_code,class_cd,it_remarks) values('11Dec240052','070000162374','15997',(select max(to_number(i.premium_rcv_detail_code))+1
from ins_premium_det i),'15997','15997','02', '11000003','00','Request by Mr.Raheel Malik 12-Dec-2024 add premium allocation no Premium');</v>
      </c>
    </row>
    <row r="93" spans="1:8" ht="90" x14ac:dyDescent="0.25">
      <c r="A93" s="7" t="s">
        <v>172</v>
      </c>
      <c r="B93" s="12" t="str">
        <f>VLOOKUP(A93,policy!B:D,2,0)</f>
        <v>070000152032</v>
      </c>
      <c r="C93" s="2">
        <v>26000</v>
      </c>
      <c r="D93" s="13">
        <f t="shared" si="5"/>
        <v>26000</v>
      </c>
      <c r="E93" s="17" t="s">
        <v>891</v>
      </c>
      <c r="F93" s="14" t="str">
        <f t="shared" si="4"/>
        <v>insert into ins_premium_det (premium_rcv_code,assorted_code, rec_amount,premium_rcv_detail_code,remaining_amt, payrec, mode_code,coinsurance_code,class_cd,it_remarks) values</v>
      </c>
      <c r="G93" s="15" t="str">
        <f t="shared" si="6"/>
        <v>('11Dec240052','070000152032','26000',(select max(to_number(i.premium_rcv_detail_code))+1
from ins_premium_det i),'26000','26000','02', '11000003','00','Request by Mr.Raheel Malik 12-Dec-2024 add premium allocation no Premium');</v>
      </c>
      <c r="H93" s="16" t="str">
        <f t="shared" si="7"/>
        <v>insert into ins_premium_det (premium_rcv_code,assorted_code, rec_amount,premium_rcv_detail_code,remaining_amt, payrec, mode_code,coinsurance_code,class_cd,it_remarks) values('11Dec240052','070000152032','26000',(select max(to_number(i.premium_rcv_detail_code))+1
from ins_premium_det i),'26000','26000','02', '11000003','00','Request by Mr.Raheel Malik 12-Dec-2024 add premium allocation no Premium');</v>
      </c>
    </row>
    <row r="94" spans="1:8" ht="90" x14ac:dyDescent="0.25">
      <c r="A94" s="7" t="s">
        <v>174</v>
      </c>
      <c r="B94" s="12" t="str">
        <f>VLOOKUP(A94,policy!B:D,2,0)</f>
        <v>070000164175</v>
      </c>
      <c r="C94" s="2">
        <v>7997</v>
      </c>
      <c r="D94" s="13">
        <f t="shared" si="5"/>
        <v>7997</v>
      </c>
      <c r="E94" s="17" t="s">
        <v>891</v>
      </c>
      <c r="F94" s="14" t="str">
        <f t="shared" si="4"/>
        <v>insert into ins_premium_det (premium_rcv_code,assorted_code, rec_amount,premium_rcv_detail_code,remaining_amt, payrec, mode_code,coinsurance_code,class_cd,it_remarks) values</v>
      </c>
      <c r="G94" s="15" t="str">
        <f t="shared" si="6"/>
        <v>('11Dec240052','070000164175','7997',(select max(to_number(i.premium_rcv_detail_code))+1
from ins_premium_det i),'7997','7997','02', '11000003','00','Request by Mr.Raheel Malik 12-Dec-2024 add premium allocation no Premium');</v>
      </c>
      <c r="H94" s="16" t="str">
        <f t="shared" si="7"/>
        <v>insert into ins_premium_det (premium_rcv_code,assorted_code, rec_amount,premium_rcv_detail_code,remaining_amt, payrec, mode_code,coinsurance_code,class_cd,it_remarks) values('11Dec240052','070000164175','7997',(select max(to_number(i.premium_rcv_detail_code))+1
from ins_premium_det i),'7997','7997','02', '11000003','00','Request by Mr.Raheel Malik 12-Dec-2024 add premium allocation no Premium');</v>
      </c>
    </row>
    <row r="95" spans="1:8" ht="90" x14ac:dyDescent="0.25">
      <c r="A95" s="7" t="s">
        <v>176</v>
      </c>
      <c r="B95" s="12" t="str">
        <f>VLOOKUP(A95,policy!B:D,2,0)</f>
        <v>070000154309</v>
      </c>
      <c r="C95" s="2">
        <v>8000</v>
      </c>
      <c r="D95" s="13">
        <f t="shared" si="5"/>
        <v>8000</v>
      </c>
      <c r="E95" s="17" t="s">
        <v>891</v>
      </c>
      <c r="F95" s="14" t="str">
        <f t="shared" si="4"/>
        <v>insert into ins_premium_det (premium_rcv_code,assorted_code, rec_amount,premium_rcv_detail_code,remaining_amt, payrec, mode_code,coinsurance_code,class_cd,it_remarks) values</v>
      </c>
      <c r="G95" s="15" t="str">
        <f t="shared" si="6"/>
        <v>('11Dec240052','070000154309','8000',(select max(to_number(i.premium_rcv_detail_code))+1
from ins_premium_det i),'8000','8000','02', '11000003','00','Request by Mr.Raheel Malik 12-Dec-2024 add premium allocation no Premium');</v>
      </c>
      <c r="H95" s="16" t="str">
        <f t="shared" si="7"/>
        <v>insert into ins_premium_det (premium_rcv_code,assorted_code, rec_amount,premium_rcv_detail_code,remaining_amt, payrec, mode_code,coinsurance_code,class_cd,it_remarks) values('11Dec240052','070000154309','8000',(select max(to_number(i.premium_rcv_detail_code))+1
from ins_premium_det i),'8000','8000','02', '11000003','00','Request by Mr.Raheel Malik 12-Dec-2024 add premium allocation no Premium');</v>
      </c>
    </row>
    <row r="96" spans="1:8" ht="90" x14ac:dyDescent="0.25">
      <c r="A96" s="7" t="s">
        <v>177</v>
      </c>
      <c r="B96" s="12" t="str">
        <f>VLOOKUP(A96,policy!B:D,2,0)</f>
        <v>070000167589</v>
      </c>
      <c r="C96" s="2">
        <v>996</v>
      </c>
      <c r="D96" s="13">
        <f t="shared" si="5"/>
        <v>996</v>
      </c>
      <c r="E96" s="17" t="s">
        <v>891</v>
      </c>
      <c r="F96" s="14" t="str">
        <f t="shared" si="4"/>
        <v>insert into ins_premium_det (premium_rcv_code,assorted_code, rec_amount,premium_rcv_detail_code,remaining_amt, payrec, mode_code,coinsurance_code,class_cd,it_remarks) values</v>
      </c>
      <c r="G96" s="15" t="str">
        <f t="shared" si="6"/>
        <v>('11Dec240052','070000167589','996',(select max(to_number(i.premium_rcv_detail_code))+1
from ins_premium_det i),'996','996','02', '11000003','00','Request by Mr.Raheel Malik 12-Dec-2024 add premium allocation no Premium');</v>
      </c>
      <c r="H96" s="16" t="str">
        <f t="shared" si="7"/>
        <v>insert into ins_premium_det (premium_rcv_code,assorted_code, rec_amount,premium_rcv_detail_code,remaining_amt, payrec, mode_code,coinsurance_code,class_cd,it_remarks) values('11Dec240052','070000167589','996',(select max(to_number(i.premium_rcv_detail_code))+1
from ins_premium_det i),'996','996','02', '11000003','00','Request by Mr.Raheel Malik 12-Dec-2024 add premium allocation no Premium');</v>
      </c>
    </row>
    <row r="97" spans="1:8" ht="90" x14ac:dyDescent="0.25">
      <c r="A97" s="7" t="s">
        <v>179</v>
      </c>
      <c r="B97" s="12" t="str">
        <f>VLOOKUP(A97,policy!B:D,2,0)</f>
        <v>070000157180</v>
      </c>
      <c r="C97" s="2">
        <v>998</v>
      </c>
      <c r="D97" s="13">
        <f t="shared" si="5"/>
        <v>998</v>
      </c>
      <c r="E97" s="17" t="s">
        <v>891</v>
      </c>
      <c r="F97" s="14" t="str">
        <f t="shared" si="4"/>
        <v>insert into ins_premium_det (premium_rcv_code,assorted_code, rec_amount,premium_rcv_detail_code,remaining_amt, payrec, mode_code,coinsurance_code,class_cd,it_remarks) values</v>
      </c>
      <c r="G97" s="15" t="str">
        <f t="shared" si="6"/>
        <v>('11Dec240052','070000157180','998',(select max(to_number(i.premium_rcv_detail_code))+1
from ins_premium_det i),'998','998','02', '11000003','00','Request by Mr.Raheel Malik 12-Dec-2024 add premium allocation no Premium');</v>
      </c>
      <c r="H97" s="16" t="str">
        <f t="shared" si="7"/>
        <v>insert into ins_premium_det (premium_rcv_code,assorted_code, rec_amount,premium_rcv_detail_code,remaining_amt, payrec, mode_code,coinsurance_code,class_cd,it_remarks) values('11Dec240052','070000157180','998',(select max(to_number(i.premium_rcv_detail_code))+1
from ins_premium_det i),'998','998','02', '11000003','00','Request by Mr.Raheel Malik 12-Dec-2024 add premium allocation no Premium');</v>
      </c>
    </row>
    <row r="98" spans="1:8" ht="90" x14ac:dyDescent="0.25">
      <c r="A98" s="7" t="s">
        <v>181</v>
      </c>
      <c r="B98" s="12" t="str">
        <f>VLOOKUP(A98,policy!B:D,2,0)</f>
        <v>070000157175</v>
      </c>
      <c r="C98" s="2">
        <v>15999</v>
      </c>
      <c r="D98" s="13">
        <f t="shared" si="5"/>
        <v>15999</v>
      </c>
      <c r="E98" s="17" t="s">
        <v>891</v>
      </c>
      <c r="F98" s="14" t="str">
        <f t="shared" si="4"/>
        <v>insert into ins_premium_det (premium_rcv_code,assorted_code, rec_amount,premium_rcv_detail_code,remaining_amt, payrec, mode_code,coinsurance_code,class_cd,it_remarks) values</v>
      </c>
      <c r="G98" s="15" t="str">
        <f t="shared" si="6"/>
        <v>('11Dec240052','070000157175','15999',(select max(to_number(i.premium_rcv_detail_code))+1
from ins_premium_det i),'15999','15999','02', '11000003','00','Request by Mr.Raheel Malik 12-Dec-2024 add premium allocation no Premium');</v>
      </c>
      <c r="H98" s="16" t="str">
        <f t="shared" si="7"/>
        <v>insert into ins_premium_det (premium_rcv_code,assorted_code, rec_amount,premium_rcv_detail_code,remaining_amt, payrec, mode_code,coinsurance_code,class_cd,it_remarks) values('11Dec240052','070000157175','15999',(select max(to_number(i.premium_rcv_detail_code))+1
from ins_premium_det i),'15999','15999','02', '11000003','00','Request by Mr.Raheel Malik 12-Dec-2024 add premium allocation no Premium');</v>
      </c>
    </row>
    <row r="99" spans="1:8" ht="90" x14ac:dyDescent="0.25">
      <c r="A99" s="7" t="s">
        <v>183</v>
      </c>
      <c r="B99" s="12" t="str">
        <f>VLOOKUP(A99,policy!B:D,2,0)</f>
        <v>070000164185</v>
      </c>
      <c r="C99" s="2">
        <v>7997</v>
      </c>
      <c r="D99" s="13">
        <f t="shared" si="5"/>
        <v>7997</v>
      </c>
      <c r="E99" s="17" t="s">
        <v>891</v>
      </c>
      <c r="F99" s="14" t="str">
        <f t="shared" si="4"/>
        <v>insert into ins_premium_det (premium_rcv_code,assorted_code, rec_amount,premium_rcv_detail_code,remaining_amt, payrec, mode_code,coinsurance_code,class_cd,it_remarks) values</v>
      </c>
      <c r="G99" s="15" t="str">
        <f t="shared" si="6"/>
        <v>('11Dec240052','070000164185','7997',(select max(to_number(i.premium_rcv_detail_code))+1
from ins_premium_det i),'7997','7997','02', '11000003','00','Request by Mr.Raheel Malik 12-Dec-2024 add premium allocation no Premium');</v>
      </c>
      <c r="H99" s="16" t="str">
        <f t="shared" si="7"/>
        <v>insert into ins_premium_det (premium_rcv_code,assorted_code, rec_amount,premium_rcv_detail_code,remaining_amt, payrec, mode_code,coinsurance_code,class_cd,it_remarks) values('11Dec240052','070000164185','7997',(select max(to_number(i.premium_rcv_detail_code))+1
from ins_premium_det i),'7997','7997','02', '11000003','00','Request by Mr.Raheel Malik 12-Dec-2024 add premium allocation no Premium');</v>
      </c>
    </row>
    <row r="100" spans="1:8" ht="90" x14ac:dyDescent="0.25">
      <c r="A100" s="7" t="s">
        <v>185</v>
      </c>
      <c r="B100" s="12" t="str">
        <f>VLOOKUP(A100,policy!B:D,2,0)</f>
        <v>070000154314</v>
      </c>
      <c r="C100" s="2">
        <v>8000</v>
      </c>
      <c r="D100" s="13">
        <f t="shared" si="5"/>
        <v>8000</v>
      </c>
      <c r="E100" s="17" t="s">
        <v>891</v>
      </c>
      <c r="F100" s="14" t="str">
        <f t="shared" si="4"/>
        <v>insert into ins_premium_det (premium_rcv_code,assorted_code, rec_amount,premium_rcv_detail_code,remaining_amt, payrec, mode_code,coinsurance_code,class_cd,it_remarks) values</v>
      </c>
      <c r="G100" s="15" t="str">
        <f t="shared" si="6"/>
        <v>('11Dec240052','070000154314','8000',(select max(to_number(i.premium_rcv_detail_code))+1
from ins_premium_det i),'8000','8000','02', '11000003','00','Request by Mr.Raheel Malik 12-Dec-2024 add premium allocation no Premium');</v>
      </c>
      <c r="H100" s="16" t="str">
        <f t="shared" si="7"/>
        <v>insert into ins_premium_det (premium_rcv_code,assorted_code, rec_amount,premium_rcv_detail_code,remaining_amt, payrec, mode_code,coinsurance_code,class_cd,it_remarks) values('11Dec240052','070000154314','8000',(select max(to_number(i.premium_rcv_detail_code))+1
from ins_premium_det i),'8000','8000','02', '11000003','00','Request by Mr.Raheel Malik 12-Dec-2024 add premium allocation no Premium');</v>
      </c>
    </row>
    <row r="101" spans="1:8" ht="90" x14ac:dyDescent="0.25">
      <c r="A101" s="7" t="s">
        <v>186</v>
      </c>
      <c r="B101" s="12" t="str">
        <f>VLOOKUP(A101,policy!B:D,2,0)</f>
        <v>070000162395</v>
      </c>
      <c r="C101" s="2">
        <v>11196</v>
      </c>
      <c r="D101" s="13">
        <f t="shared" si="5"/>
        <v>11196</v>
      </c>
      <c r="E101" s="17" t="s">
        <v>891</v>
      </c>
      <c r="F101" s="14" t="str">
        <f t="shared" si="4"/>
        <v>insert into ins_premium_det (premium_rcv_code,assorted_code, rec_amount,premium_rcv_detail_code,remaining_amt, payrec, mode_code,coinsurance_code,class_cd,it_remarks) values</v>
      </c>
      <c r="G101" s="15" t="str">
        <f t="shared" si="6"/>
        <v>('11Dec240052','070000162395','11196',(select max(to_number(i.premium_rcv_detail_code))+1
from ins_premium_det i),'11196','11196','02', '11000003','00','Request by Mr.Raheel Malik 12-Dec-2024 add premium allocation no Premium');</v>
      </c>
      <c r="H101" s="16" t="str">
        <f t="shared" si="7"/>
        <v>insert into ins_premium_det (premium_rcv_code,assorted_code, rec_amount,premium_rcv_detail_code,remaining_amt, payrec, mode_code,coinsurance_code,class_cd,it_remarks) values('11Dec240052','070000162395','11196',(select max(to_number(i.premium_rcv_detail_code))+1
from ins_premium_det i),'11196','11196','02', '11000003','00','Request by Mr.Raheel Malik 12-Dec-2024 add premium allocation no Premium');</v>
      </c>
    </row>
    <row r="102" spans="1:8" ht="90" x14ac:dyDescent="0.25">
      <c r="A102" s="7" t="s">
        <v>188</v>
      </c>
      <c r="B102" s="12" t="str">
        <f>VLOOKUP(A102,policy!B:D,2,0)</f>
        <v>070000169512</v>
      </c>
      <c r="C102" s="2">
        <v>13996</v>
      </c>
      <c r="D102" s="13">
        <f t="shared" si="5"/>
        <v>13996</v>
      </c>
      <c r="E102" s="17" t="s">
        <v>891</v>
      </c>
      <c r="F102" s="14" t="str">
        <f t="shared" si="4"/>
        <v>insert into ins_premium_det (premium_rcv_code,assorted_code, rec_amount,premium_rcv_detail_code,remaining_amt, payrec, mode_code,coinsurance_code,class_cd,it_remarks) values</v>
      </c>
      <c r="G102" s="15" t="str">
        <f t="shared" si="6"/>
        <v>('11Dec240052','070000169512','13996',(select max(to_number(i.premium_rcv_detail_code))+1
from ins_premium_det i),'13996','13996','02', '11000003','00','Request by Mr.Raheel Malik 12-Dec-2024 add premium allocation no Premium');</v>
      </c>
      <c r="H102" s="16" t="str">
        <f t="shared" si="7"/>
        <v>insert into ins_premium_det (premium_rcv_code,assorted_code, rec_amount,premium_rcv_detail_code,remaining_amt, payrec, mode_code,coinsurance_code,class_cd,it_remarks) values('11Dec240052','070000169512','13996',(select max(to_number(i.premium_rcv_detail_code))+1
from ins_premium_det i),'13996','13996','02', '11000003','00','Request by Mr.Raheel Malik 12-Dec-2024 add premium allocation no Premium');</v>
      </c>
    </row>
    <row r="103" spans="1:8" ht="90" x14ac:dyDescent="0.25">
      <c r="A103" s="8" t="s">
        <v>190</v>
      </c>
      <c r="B103" s="12" t="str">
        <f>VLOOKUP(A103,policy!B:D,2,0)</f>
        <v>070000162386</v>
      </c>
      <c r="C103" s="2">
        <v>13996</v>
      </c>
      <c r="D103" s="13">
        <f t="shared" si="5"/>
        <v>13996</v>
      </c>
      <c r="E103" s="17" t="s">
        <v>891</v>
      </c>
      <c r="F103" s="14" t="str">
        <f t="shared" si="4"/>
        <v>insert into ins_premium_det (premium_rcv_code,assorted_code, rec_amount,premium_rcv_detail_code,remaining_amt, payrec, mode_code,coinsurance_code,class_cd,it_remarks) values</v>
      </c>
      <c r="G103" s="15" t="str">
        <f t="shared" si="6"/>
        <v>('11Dec240052','070000162386','13996',(select max(to_number(i.premium_rcv_detail_code))+1
from ins_premium_det i),'13996','13996','02', '11000003','00','Request by Mr.Raheel Malik 12-Dec-2024 add premium allocation no Premium');</v>
      </c>
      <c r="H103" s="16" t="str">
        <f t="shared" si="7"/>
        <v>insert into ins_premium_det (premium_rcv_code,assorted_code, rec_amount,premium_rcv_detail_code,remaining_amt, payrec, mode_code,coinsurance_code,class_cd,it_remarks) values('11Dec240052','070000162386','13996',(select max(to_number(i.premium_rcv_detail_code))+1
from ins_premium_det i),'13996','13996','02', '11000003','00','Request by Mr.Raheel Malik 12-Dec-2024 add premium allocation no Premium');</v>
      </c>
    </row>
    <row r="104" spans="1:8" ht="90" x14ac:dyDescent="0.25">
      <c r="A104" s="7" t="s">
        <v>192</v>
      </c>
      <c r="B104" s="12" t="str">
        <f>VLOOKUP(A104,policy!B:D,2,0)</f>
        <v>070000164176</v>
      </c>
      <c r="C104" s="2">
        <v>6860</v>
      </c>
      <c r="D104" s="13">
        <f t="shared" si="5"/>
        <v>6860</v>
      </c>
      <c r="E104" s="17" t="s">
        <v>891</v>
      </c>
      <c r="F104" s="14" t="str">
        <f t="shared" si="4"/>
        <v>insert into ins_premium_det (premium_rcv_code,assorted_code, rec_amount,premium_rcv_detail_code,remaining_amt, payrec, mode_code,coinsurance_code,class_cd,it_remarks) values</v>
      </c>
      <c r="G104" s="15" t="str">
        <f t="shared" si="6"/>
        <v>('11Dec240052','070000164176','6860',(select max(to_number(i.premium_rcv_detail_code))+1
from ins_premium_det i),'6860','6860','02', '11000003','00','Request by Mr.Raheel Malik 12-Dec-2024 add premium allocation no Premium');</v>
      </c>
      <c r="H104" s="16" t="str">
        <f t="shared" si="7"/>
        <v>insert into ins_premium_det (premium_rcv_code,assorted_code, rec_amount,premium_rcv_detail_code,remaining_amt, payrec, mode_code,coinsurance_code,class_cd,it_remarks) values('11Dec240052','070000164176','6860',(select max(to_number(i.premium_rcv_detail_code))+1
from ins_premium_det i),'6860','6860','02', '11000003','00','Request by Mr.Raheel Malik 12-Dec-2024 add premium allocation no Premium');</v>
      </c>
    </row>
    <row r="105" spans="1:8" ht="90" x14ac:dyDescent="0.25">
      <c r="A105" s="7" t="s">
        <v>194</v>
      </c>
      <c r="B105" s="12" t="str">
        <f>VLOOKUP(A105,policy!B:D,2,0)</f>
        <v>070000171440</v>
      </c>
      <c r="C105" s="2">
        <v>11996</v>
      </c>
      <c r="D105" s="13">
        <f t="shared" si="5"/>
        <v>11996</v>
      </c>
      <c r="E105" s="17" t="s">
        <v>891</v>
      </c>
      <c r="F105" s="14" t="str">
        <f t="shared" si="4"/>
        <v>insert into ins_premium_det (premium_rcv_code,assorted_code, rec_amount,premium_rcv_detail_code,remaining_amt, payrec, mode_code,coinsurance_code,class_cd,it_remarks) values</v>
      </c>
      <c r="G105" s="15" t="str">
        <f t="shared" si="6"/>
        <v>('11Dec240052','070000171440','11996',(select max(to_number(i.premium_rcv_detail_code))+1
from ins_premium_det i),'11996','11996','02', '11000003','00','Request by Mr.Raheel Malik 12-Dec-2024 add premium allocation no Premium');</v>
      </c>
      <c r="H105" s="16" t="str">
        <f t="shared" si="7"/>
        <v>insert into ins_premium_det (premium_rcv_code,assorted_code, rec_amount,premium_rcv_detail_code,remaining_amt, payrec, mode_code,coinsurance_code,class_cd,it_remarks) values('11Dec240052','070000171440','11996',(select max(to_number(i.premium_rcv_detail_code))+1
from ins_premium_det i),'11996','11996','02', '11000003','00','Request by Mr.Raheel Malik 12-Dec-2024 add premium allocation no Premium');</v>
      </c>
    </row>
    <row r="106" spans="1:8" ht="90" x14ac:dyDescent="0.25">
      <c r="A106" s="7" t="s">
        <v>196</v>
      </c>
      <c r="B106" s="12" t="str">
        <f>VLOOKUP(A106,policy!B:D,2,0)</f>
        <v>070000157164</v>
      </c>
      <c r="C106" s="2">
        <v>19998</v>
      </c>
      <c r="D106" s="13">
        <f t="shared" si="5"/>
        <v>19998</v>
      </c>
      <c r="E106" s="17" t="s">
        <v>891</v>
      </c>
      <c r="F106" s="14" t="str">
        <f t="shared" si="4"/>
        <v>insert into ins_premium_det (premium_rcv_code,assorted_code, rec_amount,premium_rcv_detail_code,remaining_amt, payrec, mode_code,coinsurance_code,class_cd,it_remarks) values</v>
      </c>
      <c r="G106" s="15" t="str">
        <f t="shared" si="6"/>
        <v>('11Dec240052','070000157164','19998',(select max(to_number(i.premium_rcv_detail_code))+1
from ins_premium_det i),'19998','19998','02', '11000003','00','Request by Mr.Raheel Malik 12-Dec-2024 add premium allocation no Premium');</v>
      </c>
      <c r="H106" s="16" t="str">
        <f t="shared" si="7"/>
        <v>insert into ins_premium_det (premium_rcv_code,assorted_code, rec_amount,premium_rcv_detail_code,remaining_amt, payrec, mode_code,coinsurance_code,class_cd,it_remarks) values('11Dec240052','070000157164','19998',(select max(to_number(i.premium_rcv_detail_code))+1
from ins_premium_det i),'19998','19998','02', '11000003','00','Request by Mr.Raheel Malik 12-Dec-2024 add premium allocation no Premium');</v>
      </c>
    </row>
    <row r="107" spans="1:8" ht="90" x14ac:dyDescent="0.25">
      <c r="A107" s="7" t="s">
        <v>198</v>
      </c>
      <c r="B107" s="12" t="str">
        <f>VLOOKUP(A107,policy!B:D,2,0)</f>
        <v>070000164181</v>
      </c>
      <c r="C107" s="2">
        <v>27997</v>
      </c>
      <c r="D107" s="13">
        <f t="shared" si="5"/>
        <v>27997</v>
      </c>
      <c r="E107" s="17" t="s">
        <v>891</v>
      </c>
      <c r="F107" s="14" t="str">
        <f t="shared" si="4"/>
        <v>insert into ins_premium_det (premium_rcv_code,assorted_code, rec_amount,premium_rcv_detail_code,remaining_amt, payrec, mode_code,coinsurance_code,class_cd,it_remarks) values</v>
      </c>
      <c r="G107" s="15" t="str">
        <f t="shared" si="6"/>
        <v>('11Dec240052','070000164181','27997',(select max(to_number(i.premium_rcv_detail_code))+1
from ins_premium_det i),'27997','27997','02', '11000003','00','Request by Mr.Raheel Malik 12-Dec-2024 add premium allocation no Premium');</v>
      </c>
      <c r="H107" s="16" t="str">
        <f t="shared" si="7"/>
        <v>insert into ins_premium_det (premium_rcv_code,assorted_code, rec_amount,premium_rcv_detail_code,remaining_amt, payrec, mode_code,coinsurance_code,class_cd,it_remarks) values('11Dec240052','070000164181','27997',(select max(to_number(i.premium_rcv_detail_code))+1
from ins_premium_det i),'27997','27997','02', '11000003','00','Request by Mr.Raheel Malik 12-Dec-2024 add premium allocation no Premium');</v>
      </c>
    </row>
    <row r="108" spans="1:8" ht="90" x14ac:dyDescent="0.25">
      <c r="A108" s="7" t="s">
        <v>200</v>
      </c>
      <c r="B108" s="12" t="str">
        <f>VLOOKUP(A108,policy!B:D,2,0)</f>
        <v>070000154304</v>
      </c>
      <c r="C108" s="2">
        <v>10000</v>
      </c>
      <c r="D108" s="13">
        <f t="shared" si="5"/>
        <v>10000</v>
      </c>
      <c r="E108" s="17" t="s">
        <v>891</v>
      </c>
      <c r="F108" s="14" t="str">
        <f t="shared" si="4"/>
        <v>insert into ins_premium_det (premium_rcv_code,assorted_code, rec_amount,premium_rcv_detail_code,remaining_amt, payrec, mode_code,coinsurance_code,class_cd,it_remarks) values</v>
      </c>
      <c r="G108" s="15" t="str">
        <f t="shared" si="6"/>
        <v>('11Dec240052','070000154304','10000',(select max(to_number(i.premium_rcv_detail_code))+1
from ins_premium_det i),'10000','10000','02', '11000003','00','Request by Mr.Raheel Malik 12-Dec-2024 add premium allocation no Premium');</v>
      </c>
      <c r="H108" s="16" t="str">
        <f t="shared" si="7"/>
        <v>insert into ins_premium_det (premium_rcv_code,assorted_code, rec_amount,premium_rcv_detail_code,remaining_amt, payrec, mode_code,coinsurance_code,class_cd,it_remarks) values('11Dec240052','070000154304','10000',(select max(to_number(i.premium_rcv_detail_code))+1
from ins_premium_det i),'10000','10000','02', '11000003','00','Request by Mr.Raheel Malik 12-Dec-2024 add premium allocation no Premium');</v>
      </c>
    </row>
    <row r="109" spans="1:8" ht="90" x14ac:dyDescent="0.25">
      <c r="A109" s="7" t="s">
        <v>202</v>
      </c>
      <c r="B109" s="12" t="str">
        <f>VLOOKUP(A109,policy!B:D,2,0)</f>
        <v>070000171447</v>
      </c>
      <c r="C109" s="2">
        <v>19997</v>
      </c>
      <c r="D109" s="13">
        <f t="shared" si="5"/>
        <v>19997</v>
      </c>
      <c r="E109" s="17" t="s">
        <v>891</v>
      </c>
      <c r="F109" s="14" t="str">
        <f t="shared" si="4"/>
        <v>insert into ins_premium_det (premium_rcv_code,assorted_code, rec_amount,premium_rcv_detail_code,remaining_amt, payrec, mode_code,coinsurance_code,class_cd,it_remarks) values</v>
      </c>
      <c r="G109" s="15" t="str">
        <f t="shared" si="6"/>
        <v>('11Dec240052','070000171447','19997',(select max(to_number(i.premium_rcv_detail_code))+1
from ins_premium_det i),'19997','19997','02', '11000003','00','Request by Mr.Raheel Malik 12-Dec-2024 add premium allocation no Premium');</v>
      </c>
      <c r="H109" s="16" t="str">
        <f t="shared" si="7"/>
        <v>insert into ins_premium_det (premium_rcv_code,assorted_code, rec_amount,premium_rcv_detail_code,remaining_amt, payrec, mode_code,coinsurance_code,class_cd,it_remarks) values('11Dec240052','070000171447','19997',(select max(to_number(i.premium_rcv_detail_code))+1
from ins_premium_det i),'19997','19997','02', '11000003','00','Request by Mr.Raheel Malik 12-Dec-2024 add premium allocation no Premium');</v>
      </c>
    </row>
    <row r="110" spans="1:8" ht="90" x14ac:dyDescent="0.25">
      <c r="A110" s="7" t="s">
        <v>204</v>
      </c>
      <c r="B110" s="12" t="str">
        <f>VLOOKUP(A110,policy!B:D,2,0)</f>
        <v>070000162404</v>
      </c>
      <c r="C110" s="2">
        <v>11996</v>
      </c>
      <c r="D110" s="13">
        <f t="shared" si="5"/>
        <v>11996</v>
      </c>
      <c r="E110" s="17" t="s">
        <v>891</v>
      </c>
      <c r="F110" s="14" t="str">
        <f t="shared" si="4"/>
        <v>insert into ins_premium_det (premium_rcv_code,assorted_code, rec_amount,premium_rcv_detail_code,remaining_amt, payrec, mode_code,coinsurance_code,class_cd,it_remarks) values</v>
      </c>
      <c r="G110" s="15" t="str">
        <f t="shared" si="6"/>
        <v>('11Dec240052','070000162404','11996',(select max(to_number(i.premium_rcv_detail_code))+1
from ins_premium_det i),'11996','11996','02', '11000003','00','Request by Mr.Raheel Malik 12-Dec-2024 add premium allocation no Premium');</v>
      </c>
      <c r="H110" s="16" t="str">
        <f t="shared" si="7"/>
        <v>insert into ins_premium_det (premium_rcv_code,assorted_code, rec_amount,premium_rcv_detail_code,remaining_amt, payrec, mode_code,coinsurance_code,class_cd,it_remarks) values('11Dec240052','070000162404','11996',(select max(to_number(i.premium_rcv_detail_code))+1
from ins_premium_det i),'11996','11996','02', '11000003','00','Request by Mr.Raheel Malik 12-Dec-2024 add premium allocation no Premium');</v>
      </c>
    </row>
    <row r="111" spans="1:8" ht="90" x14ac:dyDescent="0.25">
      <c r="A111" s="7" t="s">
        <v>206</v>
      </c>
      <c r="B111" s="12" t="str">
        <f>VLOOKUP(A111,policy!B:D,2,0)</f>
        <v>070000152030</v>
      </c>
      <c r="C111" s="2">
        <v>16000</v>
      </c>
      <c r="D111" s="13">
        <f t="shared" si="5"/>
        <v>16000</v>
      </c>
      <c r="E111" s="17" t="s">
        <v>891</v>
      </c>
      <c r="F111" s="14" t="str">
        <f t="shared" si="4"/>
        <v>insert into ins_premium_det (premium_rcv_code,assorted_code, rec_amount,premium_rcv_detail_code,remaining_amt, payrec, mode_code,coinsurance_code,class_cd,it_remarks) values</v>
      </c>
      <c r="G111" s="15" t="str">
        <f t="shared" si="6"/>
        <v>('11Dec240052','070000152030','16000',(select max(to_number(i.premium_rcv_detail_code))+1
from ins_premium_det i),'16000','16000','02', '11000003','00','Request by Mr.Raheel Malik 12-Dec-2024 add premium allocation no Premium');</v>
      </c>
      <c r="H111" s="16" t="str">
        <f t="shared" si="7"/>
        <v>insert into ins_premium_det (premium_rcv_code,assorted_code, rec_amount,premium_rcv_detail_code,remaining_amt, payrec, mode_code,coinsurance_code,class_cd,it_remarks) values('11Dec240052','070000152030','16000',(select max(to_number(i.premium_rcv_detail_code))+1
from ins_premium_det i),'16000','16000','02', '11000003','00','Request by Mr.Raheel Malik 12-Dec-2024 add premium allocation no Premium');</v>
      </c>
    </row>
    <row r="112" spans="1:8" ht="90" x14ac:dyDescent="0.25">
      <c r="A112" s="7" t="s">
        <v>208</v>
      </c>
      <c r="B112" s="12" t="str">
        <f>VLOOKUP(A112,policy!B:D,2,0)</f>
        <v>070000152022</v>
      </c>
      <c r="C112" s="2">
        <v>12000</v>
      </c>
      <c r="D112" s="13">
        <f t="shared" si="5"/>
        <v>12000</v>
      </c>
      <c r="E112" s="17" t="s">
        <v>891</v>
      </c>
      <c r="F112" s="14" t="str">
        <f t="shared" si="4"/>
        <v>insert into ins_premium_det (premium_rcv_code,assorted_code, rec_amount,premium_rcv_detail_code,remaining_amt, payrec, mode_code,coinsurance_code,class_cd,it_remarks) values</v>
      </c>
      <c r="G112" s="15" t="str">
        <f t="shared" si="6"/>
        <v>('11Dec240052','070000152022','12000',(select max(to_number(i.premium_rcv_detail_code))+1
from ins_premium_det i),'12000','12000','02', '11000003','00','Request by Mr.Raheel Malik 12-Dec-2024 add premium allocation no Premium');</v>
      </c>
      <c r="H112" s="16" t="str">
        <f t="shared" si="7"/>
        <v>insert into ins_premium_det (premium_rcv_code,assorted_code, rec_amount,premium_rcv_detail_code,remaining_amt, payrec, mode_code,coinsurance_code,class_cd,it_remarks) values('11Dec240052','070000152022','12000',(select max(to_number(i.premium_rcv_detail_code))+1
from ins_premium_det i),'12000','12000','02', '11000003','00','Request by Mr.Raheel Malik 12-Dec-2024 add premium allocation no Premium');</v>
      </c>
    </row>
    <row r="113" spans="1:8" ht="90" x14ac:dyDescent="0.25">
      <c r="A113" s="7" t="s">
        <v>210</v>
      </c>
      <c r="B113" s="12" t="str">
        <f>VLOOKUP(A113,policy!B:D,2,0)</f>
        <v>070000162376</v>
      </c>
      <c r="C113" s="2">
        <v>15997</v>
      </c>
      <c r="D113" s="13">
        <f t="shared" si="5"/>
        <v>15997</v>
      </c>
      <c r="E113" s="17" t="s">
        <v>891</v>
      </c>
      <c r="F113" s="14" t="str">
        <f t="shared" si="4"/>
        <v>insert into ins_premium_det (premium_rcv_code,assorted_code, rec_amount,premium_rcv_detail_code,remaining_amt, payrec, mode_code,coinsurance_code,class_cd,it_remarks) values</v>
      </c>
      <c r="G113" s="15" t="str">
        <f t="shared" si="6"/>
        <v>('11Dec240052','070000162376','15997',(select max(to_number(i.premium_rcv_detail_code))+1
from ins_premium_det i),'15997','15997','02', '11000003','00','Request by Mr.Raheel Malik 12-Dec-2024 add premium allocation no Premium');</v>
      </c>
      <c r="H113" s="16" t="str">
        <f t="shared" si="7"/>
        <v>insert into ins_premium_det (premium_rcv_code,assorted_code, rec_amount,premium_rcv_detail_code,remaining_amt, payrec, mode_code,coinsurance_code,class_cd,it_remarks) values('11Dec240052','070000162376','15997',(select max(to_number(i.premium_rcv_detail_code))+1
from ins_premium_det i),'15997','15997','02', '11000003','00','Request by Mr.Raheel Malik 12-Dec-2024 add premium allocation no Premium');</v>
      </c>
    </row>
    <row r="114" spans="1:8" ht="90" x14ac:dyDescent="0.25">
      <c r="A114" s="7" t="s">
        <v>212</v>
      </c>
      <c r="B114" s="12" t="str">
        <f>VLOOKUP(A114,policy!B:D,2,0)</f>
        <v>070000162393</v>
      </c>
      <c r="C114" s="2">
        <v>15997</v>
      </c>
      <c r="D114" s="13">
        <f t="shared" si="5"/>
        <v>15997</v>
      </c>
      <c r="E114" s="17" t="s">
        <v>891</v>
      </c>
      <c r="F114" s="14" t="str">
        <f t="shared" si="4"/>
        <v>insert into ins_premium_det (premium_rcv_code,assorted_code, rec_amount,premium_rcv_detail_code,remaining_amt, payrec, mode_code,coinsurance_code,class_cd,it_remarks) values</v>
      </c>
      <c r="G114" s="15" t="str">
        <f t="shared" si="6"/>
        <v>('11Dec240052','070000162393','15997',(select max(to_number(i.premium_rcv_detail_code))+1
from ins_premium_det i),'15997','15997','02', '11000003','00','Request by Mr.Raheel Malik 12-Dec-2024 add premium allocation no Premium');</v>
      </c>
      <c r="H114" s="16" t="str">
        <f t="shared" si="7"/>
        <v>insert into ins_premium_det (premium_rcv_code,assorted_code, rec_amount,premium_rcv_detail_code,remaining_amt, payrec, mode_code,coinsurance_code,class_cd,it_remarks) values('11Dec240052','070000162393','15997',(select max(to_number(i.premium_rcv_detail_code))+1
from ins_premium_det i),'15997','15997','02', '11000003','00','Request by Mr.Raheel Malik 12-Dec-2024 add premium allocation no Premium');</v>
      </c>
    </row>
    <row r="115" spans="1:8" ht="90" x14ac:dyDescent="0.25">
      <c r="A115" s="7" t="s">
        <v>214</v>
      </c>
      <c r="B115" s="12" t="str">
        <f>VLOOKUP(A115,policy!B:D,2,0)</f>
        <v>070000152025</v>
      </c>
      <c r="C115" s="2">
        <v>8000</v>
      </c>
      <c r="D115" s="13">
        <f t="shared" si="5"/>
        <v>8000</v>
      </c>
      <c r="E115" s="17" t="s">
        <v>891</v>
      </c>
      <c r="F115" s="14" t="str">
        <f t="shared" si="4"/>
        <v>insert into ins_premium_det (premium_rcv_code,assorted_code, rec_amount,premium_rcv_detail_code,remaining_amt, payrec, mode_code,coinsurance_code,class_cd,it_remarks) values</v>
      </c>
      <c r="G115" s="15" t="str">
        <f t="shared" si="6"/>
        <v>('11Dec240052','070000152025','8000',(select max(to_number(i.premium_rcv_detail_code))+1
from ins_premium_det i),'8000','8000','02', '11000003','00','Request by Mr.Raheel Malik 12-Dec-2024 add premium allocation no Premium');</v>
      </c>
      <c r="H115" s="16" t="str">
        <f t="shared" si="7"/>
        <v>insert into ins_premium_det (premium_rcv_code,assorted_code, rec_amount,premium_rcv_detail_code,remaining_amt, payrec, mode_code,coinsurance_code,class_cd,it_remarks) values('11Dec240052','070000152025','8000',(select max(to_number(i.premium_rcv_detail_code))+1
from ins_premium_det i),'8000','8000','02', '11000003','00','Request by Mr.Raheel Malik 12-Dec-2024 add premium allocation no Premium');</v>
      </c>
    </row>
    <row r="116" spans="1:8" ht="90" x14ac:dyDescent="0.25">
      <c r="A116" s="7" t="s">
        <v>215</v>
      </c>
      <c r="B116" s="12" t="str">
        <f>VLOOKUP(A116,policy!B:D,2,0)</f>
        <v>070000171448</v>
      </c>
      <c r="C116" s="2">
        <v>19997</v>
      </c>
      <c r="D116" s="13">
        <f t="shared" si="5"/>
        <v>19997</v>
      </c>
      <c r="E116" s="17" t="s">
        <v>891</v>
      </c>
      <c r="F116" s="14" t="str">
        <f t="shared" si="4"/>
        <v>insert into ins_premium_det (premium_rcv_code,assorted_code, rec_amount,premium_rcv_detail_code,remaining_amt, payrec, mode_code,coinsurance_code,class_cd,it_remarks) values</v>
      </c>
      <c r="G116" s="15" t="str">
        <f t="shared" si="6"/>
        <v>('11Dec240052','070000171448','19997',(select max(to_number(i.premium_rcv_detail_code))+1
from ins_premium_det i),'19997','19997','02', '11000003','00','Request by Mr.Raheel Malik 12-Dec-2024 add premium allocation no Premium');</v>
      </c>
      <c r="H116" s="16" t="str">
        <f t="shared" si="7"/>
        <v>insert into ins_premium_det (premium_rcv_code,assorted_code, rec_amount,premium_rcv_detail_code,remaining_amt, payrec, mode_code,coinsurance_code,class_cd,it_remarks) values('11Dec240052','070000171448','19997',(select max(to_number(i.premium_rcv_detail_code))+1
from ins_premium_det i),'19997','19997','02', '11000003','00','Request by Mr.Raheel Malik 12-Dec-2024 add premium allocation no Premium');</v>
      </c>
    </row>
    <row r="117" spans="1:8" ht="90" x14ac:dyDescent="0.25">
      <c r="A117" s="7" t="s">
        <v>217</v>
      </c>
      <c r="B117" s="12" t="str">
        <f>VLOOKUP(A117,policy!B:D,2,0)</f>
        <v>070000162391</v>
      </c>
      <c r="C117" s="2">
        <v>7997</v>
      </c>
      <c r="D117" s="13">
        <f t="shared" si="5"/>
        <v>7997</v>
      </c>
      <c r="E117" s="17" t="s">
        <v>891</v>
      </c>
      <c r="F117" s="14" t="str">
        <f t="shared" si="4"/>
        <v>insert into ins_premium_det (premium_rcv_code,assorted_code, rec_amount,premium_rcv_detail_code,remaining_amt, payrec, mode_code,coinsurance_code,class_cd,it_remarks) values</v>
      </c>
      <c r="G117" s="15" t="str">
        <f t="shared" si="6"/>
        <v>('11Dec240052','070000162391','7997',(select max(to_number(i.premium_rcv_detail_code))+1
from ins_premium_det i),'7997','7997','02', '11000003','00','Request by Mr.Raheel Malik 12-Dec-2024 add premium allocation no Premium');</v>
      </c>
      <c r="H117" s="16" t="str">
        <f t="shared" si="7"/>
        <v>insert into ins_premium_det (premium_rcv_code,assorted_code, rec_amount,premium_rcv_detail_code,remaining_amt, payrec, mode_code,coinsurance_code,class_cd,it_remarks) values('11Dec240052','070000162391','7997',(select max(to_number(i.premium_rcv_detail_code))+1
from ins_premium_det i),'7997','7997','02', '11000003','00','Request by Mr.Raheel Malik 12-Dec-2024 add premium allocation no Premium');</v>
      </c>
    </row>
    <row r="118" spans="1:8" ht="90" x14ac:dyDescent="0.25">
      <c r="A118" s="7" t="s">
        <v>219</v>
      </c>
      <c r="B118" s="12" t="str">
        <f>VLOOKUP(A118,policy!B:D,2,0)</f>
        <v>070000154312</v>
      </c>
      <c r="C118" s="2">
        <v>8000</v>
      </c>
      <c r="D118" s="13">
        <f t="shared" si="5"/>
        <v>8000</v>
      </c>
      <c r="E118" s="17" t="s">
        <v>891</v>
      </c>
      <c r="F118" s="14" t="str">
        <f t="shared" si="4"/>
        <v>insert into ins_premium_det (premium_rcv_code,assorted_code, rec_amount,premium_rcv_detail_code,remaining_amt, payrec, mode_code,coinsurance_code,class_cd,it_remarks) values</v>
      </c>
      <c r="G118" s="15" t="str">
        <f t="shared" si="6"/>
        <v>('11Dec240052','070000154312','8000',(select max(to_number(i.premium_rcv_detail_code))+1
from ins_premium_det i),'8000','8000','02', '11000003','00','Request by Mr.Raheel Malik 12-Dec-2024 add premium allocation no Premium');</v>
      </c>
      <c r="H118" s="16" t="str">
        <f t="shared" si="7"/>
        <v>insert into ins_premium_det (premium_rcv_code,assorted_code, rec_amount,premium_rcv_detail_code,remaining_amt, payrec, mode_code,coinsurance_code,class_cd,it_remarks) values('11Dec240052','070000154312','8000',(select max(to_number(i.premium_rcv_detail_code))+1
from ins_premium_det i),'8000','8000','02', '11000003','00','Request by Mr.Raheel Malik 12-Dec-2024 add premium allocation no Premium');</v>
      </c>
    </row>
    <row r="119" spans="1:8" ht="90" x14ac:dyDescent="0.25">
      <c r="A119" s="7" t="s">
        <v>221</v>
      </c>
      <c r="B119" s="12" t="str">
        <f>VLOOKUP(A119,policy!B:D,2,0)</f>
        <v>070000169515</v>
      </c>
      <c r="C119" s="2">
        <v>27997</v>
      </c>
      <c r="D119" s="13">
        <f t="shared" si="5"/>
        <v>27997</v>
      </c>
      <c r="E119" s="17" t="s">
        <v>891</v>
      </c>
      <c r="F119" s="14" t="str">
        <f t="shared" si="4"/>
        <v>insert into ins_premium_det (premium_rcv_code,assorted_code, rec_amount,premium_rcv_detail_code,remaining_amt, payrec, mode_code,coinsurance_code,class_cd,it_remarks) values</v>
      </c>
      <c r="G119" s="15" t="str">
        <f t="shared" si="6"/>
        <v>('11Dec240052','070000169515','27997',(select max(to_number(i.premium_rcv_detail_code))+1
from ins_premium_det i),'27997','27997','02', '11000003','00','Request by Mr.Raheel Malik 12-Dec-2024 add premium allocation no Premium');</v>
      </c>
      <c r="H119" s="16" t="str">
        <f t="shared" si="7"/>
        <v>insert into ins_premium_det (premium_rcv_code,assorted_code, rec_amount,premium_rcv_detail_code,remaining_amt, payrec, mode_code,coinsurance_code,class_cd,it_remarks) values('11Dec240052','070000169515','27997',(select max(to_number(i.premium_rcv_detail_code))+1
from ins_premium_det i),'27997','27997','02', '11000003','00','Request by Mr.Raheel Malik 12-Dec-2024 add premium allocation no Premium');</v>
      </c>
    </row>
    <row r="120" spans="1:8" ht="90" x14ac:dyDescent="0.25">
      <c r="A120" s="7" t="s">
        <v>223</v>
      </c>
      <c r="B120" s="12" t="str">
        <f>VLOOKUP(A120,policy!B:D,2,0)</f>
        <v>070000162411</v>
      </c>
      <c r="C120" s="2">
        <v>19997</v>
      </c>
      <c r="D120" s="13">
        <f t="shared" si="5"/>
        <v>19997</v>
      </c>
      <c r="E120" s="17" t="s">
        <v>891</v>
      </c>
      <c r="F120" s="14" t="str">
        <f t="shared" si="4"/>
        <v>insert into ins_premium_det (premium_rcv_code,assorted_code, rec_amount,premium_rcv_detail_code,remaining_amt, payrec, mode_code,coinsurance_code,class_cd,it_remarks) values</v>
      </c>
      <c r="G120" s="15" t="str">
        <f t="shared" si="6"/>
        <v>('11Dec240052','070000162411','19997',(select max(to_number(i.premium_rcv_detail_code))+1
from ins_premium_det i),'19997','19997','02', '11000003','00','Request by Mr.Raheel Malik 12-Dec-2024 add premium allocation no Premium');</v>
      </c>
      <c r="H120" s="16" t="str">
        <f t="shared" si="7"/>
        <v>insert into ins_premium_det (premium_rcv_code,assorted_code, rec_amount,premium_rcv_detail_code,remaining_amt, payrec, mode_code,coinsurance_code,class_cd,it_remarks) values('11Dec240052','070000162411','19997',(select max(to_number(i.premium_rcv_detail_code))+1
from ins_premium_det i),'19997','19997','02', '11000003','00','Request by Mr.Raheel Malik 12-Dec-2024 add premium allocation no Premium');</v>
      </c>
    </row>
    <row r="121" spans="1:8" ht="90" x14ac:dyDescent="0.25">
      <c r="A121" s="7" t="s">
        <v>225</v>
      </c>
      <c r="B121" s="12" t="str">
        <f>VLOOKUP(A121,policy!B:D,2,0)</f>
        <v>070000162412</v>
      </c>
      <c r="C121" s="2">
        <v>797</v>
      </c>
      <c r="D121" s="13">
        <f t="shared" si="5"/>
        <v>797</v>
      </c>
      <c r="E121" s="17" t="s">
        <v>891</v>
      </c>
      <c r="F121" s="14" t="str">
        <f t="shared" si="4"/>
        <v>insert into ins_premium_det (premium_rcv_code,assorted_code, rec_amount,premium_rcv_detail_code,remaining_amt, payrec, mode_code,coinsurance_code,class_cd,it_remarks) values</v>
      </c>
      <c r="G121" s="15" t="str">
        <f t="shared" si="6"/>
        <v>('11Dec240052','070000162412','797',(select max(to_number(i.premium_rcv_detail_code))+1
from ins_premium_det i),'797','797','02', '11000003','00','Request by Mr.Raheel Malik 12-Dec-2024 add premium allocation no Premium');</v>
      </c>
      <c r="H121" s="16" t="str">
        <f t="shared" si="7"/>
        <v>insert into ins_premium_det (premium_rcv_code,assorted_code, rec_amount,premium_rcv_detail_code,remaining_amt, payrec, mode_code,coinsurance_code,class_cd,it_remarks) values('11Dec240052','070000162412','797',(select max(to_number(i.premium_rcv_detail_code))+1
from ins_premium_det i),'797','797','02', '11000003','00','Request by Mr.Raheel Malik 12-Dec-2024 add premium allocation no Premium');</v>
      </c>
    </row>
    <row r="122" spans="1:8" ht="90" x14ac:dyDescent="0.25">
      <c r="A122" s="7" t="s">
        <v>227</v>
      </c>
      <c r="B122" s="12" t="str">
        <f>VLOOKUP(A122,policy!B:D,2,0)</f>
        <v>070000162407</v>
      </c>
      <c r="C122" s="2">
        <v>7995</v>
      </c>
      <c r="D122" s="13">
        <f t="shared" si="5"/>
        <v>7995</v>
      </c>
      <c r="E122" s="17" t="s">
        <v>891</v>
      </c>
      <c r="F122" s="14" t="str">
        <f t="shared" si="4"/>
        <v>insert into ins_premium_det (premium_rcv_code,assorted_code, rec_amount,premium_rcv_detail_code,remaining_amt, payrec, mode_code,coinsurance_code,class_cd,it_remarks) values</v>
      </c>
      <c r="G122" s="15" t="str">
        <f t="shared" si="6"/>
        <v>('11Dec240052','070000162407','7995',(select max(to_number(i.premium_rcv_detail_code))+1
from ins_premium_det i),'7995','7995','02', '11000003','00','Request by Mr.Raheel Malik 12-Dec-2024 add premium allocation no Premium');</v>
      </c>
      <c r="H122" s="16" t="str">
        <f t="shared" si="7"/>
        <v>insert into ins_premium_det (premium_rcv_code,assorted_code, rec_amount,premium_rcv_detail_code,remaining_amt, payrec, mode_code,coinsurance_code,class_cd,it_remarks) values('11Dec240052','070000162407','7995',(select max(to_number(i.premium_rcv_detail_code))+1
from ins_premium_det i),'7995','7995','02', '11000003','00','Request by Mr.Raheel Malik 12-Dec-2024 add premium allocation no Premium');</v>
      </c>
    </row>
    <row r="123" spans="1:8" ht="90" x14ac:dyDescent="0.25">
      <c r="A123" s="7" t="s">
        <v>229</v>
      </c>
      <c r="B123" s="12" t="str">
        <f>VLOOKUP(A123,policy!B:D,2,0)</f>
        <v>070000162414</v>
      </c>
      <c r="C123" s="2">
        <v>59994</v>
      </c>
      <c r="D123" s="13">
        <f t="shared" si="5"/>
        <v>59994</v>
      </c>
      <c r="E123" s="17" t="s">
        <v>891</v>
      </c>
      <c r="F123" s="14" t="str">
        <f t="shared" si="4"/>
        <v>insert into ins_premium_det (premium_rcv_code,assorted_code, rec_amount,premium_rcv_detail_code,remaining_amt, payrec, mode_code,coinsurance_code,class_cd,it_remarks) values</v>
      </c>
      <c r="G123" s="15" t="str">
        <f t="shared" si="6"/>
        <v>('11Dec240052','070000162414','59994',(select max(to_number(i.premium_rcv_detail_code))+1
from ins_premium_det i),'59994','59994','02', '11000003','00','Request by Mr.Raheel Malik 12-Dec-2024 add premium allocation no Premium');</v>
      </c>
      <c r="H123" s="16" t="str">
        <f t="shared" si="7"/>
        <v>insert into ins_premium_det (premium_rcv_code,assorted_code, rec_amount,premium_rcv_detail_code,remaining_amt, payrec, mode_code,coinsurance_code,class_cd,it_remarks) values('11Dec240052','070000162414','59994',(select max(to_number(i.premium_rcv_detail_code))+1
from ins_premium_det i),'59994','59994','02', '11000003','00','Request by Mr.Raheel Malik 12-Dec-2024 add premium allocation no Premium');</v>
      </c>
    </row>
    <row r="124" spans="1:8" ht="90" x14ac:dyDescent="0.25">
      <c r="A124" s="7" t="s">
        <v>231</v>
      </c>
      <c r="B124" s="12" t="str">
        <f>VLOOKUP(A124,policy!B:D,2,0)</f>
        <v>070000162370</v>
      </c>
      <c r="C124" s="2">
        <v>1996</v>
      </c>
      <c r="D124" s="13">
        <f t="shared" si="5"/>
        <v>1996</v>
      </c>
      <c r="E124" s="17" t="s">
        <v>891</v>
      </c>
      <c r="F124" s="14" t="str">
        <f t="shared" si="4"/>
        <v>insert into ins_premium_det (premium_rcv_code,assorted_code, rec_amount,premium_rcv_detail_code,remaining_amt, payrec, mode_code,coinsurance_code,class_cd,it_remarks) values</v>
      </c>
      <c r="G124" s="15" t="str">
        <f t="shared" si="6"/>
        <v>('11Dec240052','070000162370','1996',(select max(to_number(i.premium_rcv_detail_code))+1
from ins_premium_det i),'1996','1996','02', '11000003','00','Request by Mr.Raheel Malik 12-Dec-2024 add premium allocation no Premium');</v>
      </c>
      <c r="H124" s="16" t="str">
        <f t="shared" si="7"/>
        <v>insert into ins_premium_det (premium_rcv_code,assorted_code, rec_amount,premium_rcv_detail_code,remaining_amt, payrec, mode_code,coinsurance_code,class_cd,it_remarks) values('11Dec240052','070000162370','1996',(select max(to_number(i.premium_rcv_detail_code))+1
from ins_premium_det i),'1996','1996','02', '11000003','00','Request by Mr.Raheel Malik 12-Dec-2024 add premium allocation no Premium');</v>
      </c>
    </row>
    <row r="125" spans="1:8" ht="90" x14ac:dyDescent="0.25">
      <c r="A125" s="7" t="s">
        <v>233</v>
      </c>
      <c r="B125" s="12" t="str">
        <f>VLOOKUP(A125,policy!B:D,2,0)</f>
        <v>070000164178</v>
      </c>
      <c r="C125" s="2">
        <v>31997</v>
      </c>
      <c r="D125" s="13">
        <f t="shared" si="5"/>
        <v>31997</v>
      </c>
      <c r="E125" s="17" t="s">
        <v>891</v>
      </c>
      <c r="F125" s="14" t="str">
        <f t="shared" si="4"/>
        <v>insert into ins_premium_det (premium_rcv_code,assorted_code, rec_amount,premium_rcv_detail_code,remaining_amt, payrec, mode_code,coinsurance_code,class_cd,it_remarks) values</v>
      </c>
      <c r="G125" s="15" t="str">
        <f t="shared" si="6"/>
        <v>('11Dec240052','070000164178','31997',(select max(to_number(i.premium_rcv_detail_code))+1
from ins_premium_det i),'31997','31997','02', '11000003','00','Request by Mr.Raheel Malik 12-Dec-2024 add premium allocation no Premium');</v>
      </c>
      <c r="H125" s="16" t="str">
        <f t="shared" si="7"/>
        <v>insert into ins_premium_det (premium_rcv_code,assorted_code, rec_amount,premium_rcv_detail_code,remaining_amt, payrec, mode_code,coinsurance_code,class_cd,it_remarks) values('11Dec240052','070000164178','31997',(select max(to_number(i.premium_rcv_detail_code))+1
from ins_premium_det i),'31997','31997','02', '11000003','00','Request by Mr.Raheel Malik 12-Dec-2024 add premium allocation no Premium');</v>
      </c>
    </row>
    <row r="126" spans="1:8" ht="90" x14ac:dyDescent="0.25">
      <c r="A126" s="7" t="s">
        <v>235</v>
      </c>
      <c r="B126" s="12" t="str">
        <f>VLOOKUP(A126,policy!B:D,2,0)</f>
        <v>070000167590</v>
      </c>
      <c r="C126" s="2">
        <v>5996</v>
      </c>
      <c r="D126" s="13">
        <f t="shared" si="5"/>
        <v>5996</v>
      </c>
      <c r="E126" s="17" t="s">
        <v>891</v>
      </c>
      <c r="F126" s="14" t="str">
        <f t="shared" si="4"/>
        <v>insert into ins_premium_det (premium_rcv_code,assorted_code, rec_amount,premium_rcv_detail_code,remaining_amt, payrec, mode_code,coinsurance_code,class_cd,it_remarks) values</v>
      </c>
      <c r="G126" s="15" t="str">
        <f t="shared" si="6"/>
        <v>('11Dec240052','070000167590','5996',(select max(to_number(i.premium_rcv_detail_code))+1
from ins_premium_det i),'5996','5996','02', '11000003','00','Request by Mr.Raheel Malik 12-Dec-2024 add premium allocation no Premium');</v>
      </c>
      <c r="H126" s="16" t="str">
        <f t="shared" si="7"/>
        <v>insert into ins_premium_det (premium_rcv_code,assorted_code, rec_amount,premium_rcv_detail_code,remaining_amt, payrec, mode_code,coinsurance_code,class_cd,it_remarks) values('11Dec240052','070000167590','5996',(select max(to_number(i.premium_rcv_detail_code))+1
from ins_premium_det i),'5996','5996','02', '11000003','00','Request by Mr.Raheel Malik 12-Dec-2024 add premium allocation no Premium');</v>
      </c>
    </row>
    <row r="127" spans="1:8" ht="90" x14ac:dyDescent="0.25">
      <c r="A127" s="7" t="s">
        <v>237</v>
      </c>
      <c r="B127" s="12" t="str">
        <f>VLOOKUP(A127,policy!B:D,2,0)</f>
        <v>070000157167</v>
      </c>
      <c r="C127" s="2">
        <v>5997</v>
      </c>
      <c r="D127" s="13">
        <f t="shared" si="5"/>
        <v>5997</v>
      </c>
      <c r="E127" s="17" t="s">
        <v>891</v>
      </c>
      <c r="F127" s="14" t="str">
        <f t="shared" si="4"/>
        <v>insert into ins_premium_det (premium_rcv_code,assorted_code, rec_amount,premium_rcv_detail_code,remaining_amt, payrec, mode_code,coinsurance_code,class_cd,it_remarks) values</v>
      </c>
      <c r="G127" s="15" t="str">
        <f t="shared" si="6"/>
        <v>('11Dec240052','070000157167','5997',(select max(to_number(i.premium_rcv_detail_code))+1
from ins_premium_det i),'5997','5997','02', '11000003','00','Request by Mr.Raheel Malik 12-Dec-2024 add premium allocation no Premium');</v>
      </c>
      <c r="H127" s="16" t="str">
        <f t="shared" si="7"/>
        <v>insert into ins_premium_det (premium_rcv_code,assorted_code, rec_amount,premium_rcv_detail_code,remaining_amt, payrec, mode_code,coinsurance_code,class_cd,it_remarks) values('11Dec240052','070000157167','5997',(select max(to_number(i.premium_rcv_detail_code))+1
from ins_premium_det i),'5997','5997','02', '11000003','00','Request by Mr.Raheel Malik 12-Dec-2024 add premium allocation no Premium');</v>
      </c>
    </row>
    <row r="128" spans="1:8" ht="90" x14ac:dyDescent="0.25">
      <c r="A128" s="7" t="s">
        <v>238</v>
      </c>
      <c r="B128" s="12" t="str">
        <f>VLOOKUP(A128,policy!B:D,2,0)</f>
        <v>070000157168</v>
      </c>
      <c r="C128" s="2">
        <v>19998</v>
      </c>
      <c r="D128" s="13">
        <f t="shared" si="5"/>
        <v>19998</v>
      </c>
      <c r="E128" s="17" t="s">
        <v>891</v>
      </c>
      <c r="F128" s="14" t="str">
        <f t="shared" si="4"/>
        <v>insert into ins_premium_det (premium_rcv_code,assorted_code, rec_amount,premium_rcv_detail_code,remaining_amt, payrec, mode_code,coinsurance_code,class_cd,it_remarks) values</v>
      </c>
      <c r="G128" s="15" t="str">
        <f t="shared" si="6"/>
        <v>('11Dec240052','070000157168','19998',(select max(to_number(i.premium_rcv_detail_code))+1
from ins_premium_det i),'19998','19998','02', '11000003','00','Request by Mr.Raheel Malik 12-Dec-2024 add premium allocation no Premium');</v>
      </c>
      <c r="H128" s="16" t="str">
        <f t="shared" si="7"/>
        <v>insert into ins_premium_det (premium_rcv_code,assorted_code, rec_amount,premium_rcv_detail_code,remaining_amt, payrec, mode_code,coinsurance_code,class_cd,it_remarks) values('11Dec240052','070000157168','19998',(select max(to_number(i.premium_rcv_detail_code))+1
from ins_premium_det i),'19998','19998','02', '11000003','00','Request by Mr.Raheel Malik 12-Dec-2024 add premium allocation no Premium');</v>
      </c>
    </row>
    <row r="129" spans="1:8" ht="90" x14ac:dyDescent="0.25">
      <c r="A129" s="7" t="s">
        <v>240</v>
      </c>
      <c r="B129" s="12" t="str">
        <f>VLOOKUP(A129,policy!B:D,2,0)</f>
        <v>070000162397</v>
      </c>
      <c r="C129" s="2">
        <v>3995</v>
      </c>
      <c r="D129" s="13">
        <f t="shared" si="5"/>
        <v>3995</v>
      </c>
      <c r="E129" s="17" t="s">
        <v>891</v>
      </c>
      <c r="F129" s="14" t="str">
        <f t="shared" si="4"/>
        <v>insert into ins_premium_det (premium_rcv_code,assorted_code, rec_amount,premium_rcv_detail_code,remaining_amt, payrec, mode_code,coinsurance_code,class_cd,it_remarks) values</v>
      </c>
      <c r="G129" s="15" t="str">
        <f t="shared" si="6"/>
        <v>('11Dec240052','070000162397','3995',(select max(to_number(i.premium_rcv_detail_code))+1
from ins_premium_det i),'3995','3995','02', '11000003','00','Request by Mr.Raheel Malik 12-Dec-2024 add premium allocation no Premium');</v>
      </c>
      <c r="H129" s="16" t="str">
        <f t="shared" si="7"/>
        <v>insert into ins_premium_det (premium_rcv_code,assorted_code, rec_amount,premium_rcv_detail_code,remaining_amt, payrec, mode_code,coinsurance_code,class_cd,it_remarks) values('11Dec240052','070000162397','3995',(select max(to_number(i.premium_rcv_detail_code))+1
from ins_premium_det i),'3995','3995','02', '11000003','00','Request by Mr.Raheel Malik 12-Dec-2024 add premium allocation no Premium');</v>
      </c>
    </row>
    <row r="130" spans="1:8" ht="90" x14ac:dyDescent="0.25">
      <c r="A130" s="7" t="s">
        <v>242</v>
      </c>
      <c r="B130" s="12" t="str">
        <f>VLOOKUP(A130,policy!B:D,2,0)</f>
        <v>070000162409</v>
      </c>
      <c r="C130" s="2">
        <v>796</v>
      </c>
      <c r="D130" s="13">
        <f t="shared" si="5"/>
        <v>796</v>
      </c>
      <c r="E130" s="17" t="s">
        <v>891</v>
      </c>
      <c r="F130" s="14" t="str">
        <f t="shared" ref="F130:F147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5" t="str">
        <f t="shared" si="6"/>
        <v>('11Dec240052','070000162409','796',(select max(to_number(i.premium_rcv_detail_code))+1
from ins_premium_det i),'796','796','02', '11000003','00','Request by Mr.Raheel Malik 12-Dec-2024 add premium allocation no Premium');</v>
      </c>
      <c r="H130" s="16" t="str">
        <f t="shared" si="7"/>
        <v>insert into ins_premium_det (premium_rcv_code,assorted_code, rec_amount,premium_rcv_detail_code,remaining_amt, payrec, mode_code,coinsurance_code,class_cd,it_remarks) values('11Dec240052','070000162409','796',(select max(to_number(i.premium_rcv_detail_code))+1
from ins_premium_det i),'796','796','02', '11000003','00','Request by Mr.Raheel Malik 12-Dec-2024 add premium allocation no Premium');</v>
      </c>
    </row>
    <row r="131" spans="1:8" ht="90" x14ac:dyDescent="0.25">
      <c r="A131" s="7" t="s">
        <v>244</v>
      </c>
      <c r="B131" s="12" t="str">
        <f>VLOOKUP(A131,policy!B:D,2,0)</f>
        <v>070000154298</v>
      </c>
      <c r="C131" s="2">
        <v>800</v>
      </c>
      <c r="D131" s="13">
        <f t="shared" ref="D131:D147" si="9">ROUND(C131,0)</f>
        <v>800</v>
      </c>
      <c r="E131" s="17" t="s">
        <v>891</v>
      </c>
      <c r="F131" s="14" t="str">
        <f t="shared" si="8"/>
        <v>insert into ins_premium_det (premium_rcv_code,assorted_code, rec_amount,premium_rcv_detail_code,remaining_amt, payrec, mode_code,coinsurance_code,class_cd,it_remarks) values</v>
      </c>
      <c r="G131" s="15" t="str">
        <f t="shared" ref="G131:G147" si="10">"('"&amp;E131&amp;"','"&amp;B131&amp;"','"&amp;D131&amp;"',(select max(to_number(i.premium_rcv_detail_code))+1
from ins_premium_det i),'"&amp;D131&amp;"','"&amp;D131&amp;"','02', '11000003','00','Request by Mr.Raheel Malik 12-Dec-2024 add premium allocation no Premium');"</f>
        <v>('11Dec240052','070000154298','800',(select max(to_number(i.premium_rcv_detail_code))+1
from ins_premium_det i),'800','800','02', '11000003','00','Request by Mr.Raheel Malik 12-Dec-2024 add premium allocation no Premium');</v>
      </c>
      <c r="H131" s="16" t="str">
        <f t="shared" ref="H131:H147" si="11">F131&amp;G131</f>
        <v>insert into ins_premium_det (premium_rcv_code,assorted_code, rec_amount,premium_rcv_detail_code,remaining_amt, payrec, mode_code,coinsurance_code,class_cd,it_remarks) values('11Dec240052','070000154298','800',(select max(to_number(i.premium_rcv_detail_code))+1
from ins_premium_det i),'800','800','02', '11000003','00','Request by Mr.Raheel Malik 12-Dec-2024 add premium allocation no Premium');</v>
      </c>
    </row>
    <row r="132" spans="1:8" ht="90" x14ac:dyDescent="0.25">
      <c r="A132" s="7" t="s">
        <v>245</v>
      </c>
      <c r="B132" s="12" t="str">
        <f>VLOOKUP(A132,policy!B:D,2,0)</f>
        <v>070000162413</v>
      </c>
      <c r="C132" s="2">
        <v>19997</v>
      </c>
      <c r="D132" s="13">
        <f t="shared" si="9"/>
        <v>19997</v>
      </c>
      <c r="E132" s="17" t="s">
        <v>891</v>
      </c>
      <c r="F132" s="14" t="str">
        <f t="shared" si="8"/>
        <v>insert into ins_premium_det (premium_rcv_code,assorted_code, rec_amount,premium_rcv_detail_code,remaining_amt, payrec, mode_code,coinsurance_code,class_cd,it_remarks) values</v>
      </c>
      <c r="G132" s="15" t="str">
        <f t="shared" si="10"/>
        <v>('11Dec240052','070000162413','19997',(select max(to_number(i.premium_rcv_detail_code))+1
from ins_premium_det i),'19997','19997','02', '11000003','00','Request by Mr.Raheel Malik 12-Dec-2024 add premium allocation no Premium');</v>
      </c>
      <c r="H132" s="16" t="str">
        <f t="shared" si="11"/>
        <v>insert into ins_premium_det (premium_rcv_code,assorted_code, rec_amount,premium_rcv_detail_code,remaining_amt, payrec, mode_code,coinsurance_code,class_cd,it_remarks) values('11Dec240052','070000162413','19997',(select max(to_number(i.premium_rcv_detail_code))+1
from ins_premium_det i),'19997','19997','02', '11000003','00','Request by Mr.Raheel Malik 12-Dec-2024 add premium allocation no Premium');</v>
      </c>
    </row>
    <row r="133" spans="1:8" ht="90" x14ac:dyDescent="0.25">
      <c r="A133" s="7" t="s">
        <v>247</v>
      </c>
      <c r="B133" s="12" t="str">
        <f>VLOOKUP(A133,policy!B:D,2,0)</f>
        <v>070000162379</v>
      </c>
      <c r="C133" s="2">
        <v>19997</v>
      </c>
      <c r="D133" s="13">
        <f t="shared" si="9"/>
        <v>19997</v>
      </c>
      <c r="E133" s="17" t="s">
        <v>891</v>
      </c>
      <c r="F133" s="14" t="str">
        <f t="shared" si="8"/>
        <v>insert into ins_premium_det (premium_rcv_code,assorted_code, rec_amount,premium_rcv_detail_code,remaining_amt, payrec, mode_code,coinsurance_code,class_cd,it_remarks) values</v>
      </c>
      <c r="G133" s="15" t="str">
        <f t="shared" si="10"/>
        <v>('11Dec240052','070000162379','19997',(select max(to_number(i.premium_rcv_detail_code))+1
from ins_premium_det i),'19997','19997','02', '11000003','00','Request by Mr.Raheel Malik 12-Dec-2024 add premium allocation no Premium');</v>
      </c>
      <c r="H133" s="16" t="str">
        <f t="shared" si="11"/>
        <v>insert into ins_premium_det (premium_rcv_code,assorted_code, rec_amount,premium_rcv_detail_code,remaining_amt, payrec, mode_code,coinsurance_code,class_cd,it_remarks) values('11Dec240052','070000162379','19997',(select max(to_number(i.premium_rcv_detail_code))+1
from ins_premium_det i),'19997','19997','02', '11000003','00','Request by Mr.Raheel Malik 12-Dec-2024 add premium allocation no Premium');</v>
      </c>
    </row>
    <row r="134" spans="1:8" ht="90" x14ac:dyDescent="0.25">
      <c r="A134" s="7" t="s">
        <v>249</v>
      </c>
      <c r="B134" s="12" t="str">
        <f>VLOOKUP(A134,policy!B:D,2,0)</f>
        <v>070000162396</v>
      </c>
      <c r="C134" s="2">
        <v>19997</v>
      </c>
      <c r="D134" s="13">
        <f t="shared" si="9"/>
        <v>19997</v>
      </c>
      <c r="E134" s="17" t="s">
        <v>891</v>
      </c>
      <c r="F134" s="14" t="str">
        <f t="shared" si="8"/>
        <v>insert into ins_premium_det (premium_rcv_code,assorted_code, rec_amount,premium_rcv_detail_code,remaining_amt, payrec, mode_code,coinsurance_code,class_cd,it_remarks) values</v>
      </c>
      <c r="G134" s="15" t="str">
        <f t="shared" si="10"/>
        <v>('11Dec240052','070000162396','19997',(select max(to_number(i.premium_rcv_detail_code))+1
from ins_premium_det i),'19997','19997','02', '11000003','00','Request by Mr.Raheel Malik 12-Dec-2024 add premium allocation no Premium');</v>
      </c>
      <c r="H134" s="16" t="str">
        <f t="shared" si="11"/>
        <v>insert into ins_premium_det (premium_rcv_code,assorted_code, rec_amount,premium_rcv_detail_code,remaining_amt, payrec, mode_code,coinsurance_code,class_cd,it_remarks) values('11Dec240052','070000162396','19997',(select max(to_number(i.premium_rcv_detail_code))+1
from ins_premium_det i),'19997','19997','02', '11000003','00','Request by Mr.Raheel Malik 12-Dec-2024 add premium allocation no Premium');</v>
      </c>
    </row>
    <row r="135" spans="1:8" ht="90" x14ac:dyDescent="0.25">
      <c r="A135" s="7" t="s">
        <v>251</v>
      </c>
      <c r="B135" s="12" t="str">
        <f>VLOOKUP(A135,policy!B:D,2,0)</f>
        <v>070000154299</v>
      </c>
      <c r="C135" s="2">
        <v>16000</v>
      </c>
      <c r="D135" s="13">
        <f t="shared" si="9"/>
        <v>16000</v>
      </c>
      <c r="E135" s="17" t="s">
        <v>891</v>
      </c>
      <c r="F135" s="14" t="str">
        <f t="shared" si="8"/>
        <v>insert into ins_premium_det (premium_rcv_code,assorted_code, rec_amount,premium_rcv_detail_code,remaining_amt, payrec, mode_code,coinsurance_code,class_cd,it_remarks) values</v>
      </c>
      <c r="G135" s="15" t="str">
        <f t="shared" si="10"/>
        <v>('11Dec240052','070000154299','16000',(select max(to_number(i.premium_rcv_detail_code))+1
from ins_premium_det i),'16000','16000','02', '11000003','00','Request by Mr.Raheel Malik 12-Dec-2024 add premium allocation no Premium');</v>
      </c>
      <c r="H135" s="16" t="str">
        <f t="shared" si="11"/>
        <v>insert into ins_premium_det (premium_rcv_code,assorted_code, rec_amount,premium_rcv_detail_code,remaining_amt, payrec, mode_code,coinsurance_code,class_cd,it_remarks) values('11Dec240052','070000154299','16000',(select max(to_number(i.premium_rcv_detail_code))+1
from ins_premium_det i),'16000','16000','02', '11000003','00','Request by Mr.Raheel Malik 12-Dec-2024 add premium allocation no Premium');</v>
      </c>
    </row>
    <row r="136" spans="1:8" ht="90" x14ac:dyDescent="0.25">
      <c r="A136" s="7" t="s">
        <v>253</v>
      </c>
      <c r="B136" s="12" t="str">
        <f>VLOOKUP(A136,policy!B:D,2,0)</f>
        <v>070000171449</v>
      </c>
      <c r="C136" s="2">
        <v>29996</v>
      </c>
      <c r="D136" s="13">
        <f t="shared" si="9"/>
        <v>29996</v>
      </c>
      <c r="E136" s="17" t="s">
        <v>891</v>
      </c>
      <c r="F136" s="14" t="str">
        <f t="shared" si="8"/>
        <v>insert into ins_premium_det (premium_rcv_code,assorted_code, rec_amount,premium_rcv_detail_code,remaining_amt, payrec, mode_code,coinsurance_code,class_cd,it_remarks) values</v>
      </c>
      <c r="G136" s="15" t="str">
        <f t="shared" si="10"/>
        <v>('11Dec240052','070000171449','29996',(select max(to_number(i.premium_rcv_detail_code))+1
from ins_premium_det i),'29996','29996','02', '11000003','00','Request by Mr.Raheel Malik 12-Dec-2024 add premium allocation no Premium');</v>
      </c>
      <c r="H136" s="16" t="str">
        <f t="shared" si="11"/>
        <v>insert into ins_premium_det (premium_rcv_code,assorted_code, rec_amount,premium_rcv_detail_code,remaining_amt, payrec, mode_code,coinsurance_code,class_cd,it_remarks) values('11Dec240052','070000171449','29996',(select max(to_number(i.premium_rcv_detail_code))+1
from ins_premium_det i),'29996','29996','02', '11000003','00','Request by Mr.Raheel Malik 12-Dec-2024 add premium allocation no Premium');</v>
      </c>
    </row>
    <row r="137" spans="1:8" ht="90" x14ac:dyDescent="0.25">
      <c r="A137" s="7" t="s">
        <v>255</v>
      </c>
      <c r="B137" s="12" t="str">
        <f>VLOOKUP(A137,policy!B:D,2,0)</f>
        <v>070000167582</v>
      </c>
      <c r="C137" s="2">
        <v>1996</v>
      </c>
      <c r="D137" s="13">
        <f t="shared" si="9"/>
        <v>1996</v>
      </c>
      <c r="E137" s="17" t="s">
        <v>891</v>
      </c>
      <c r="F137" s="14" t="str">
        <f t="shared" si="8"/>
        <v>insert into ins_premium_det (premium_rcv_code,assorted_code, rec_amount,premium_rcv_detail_code,remaining_amt, payrec, mode_code,coinsurance_code,class_cd,it_remarks) values</v>
      </c>
      <c r="G137" s="15" t="str">
        <f t="shared" si="10"/>
        <v>('11Dec240052','070000167582','1996',(select max(to_number(i.premium_rcv_detail_code))+1
from ins_premium_det i),'1996','1996','02', '11000003','00','Request by Mr.Raheel Malik 12-Dec-2024 add premium allocation no Premium');</v>
      </c>
      <c r="H137" s="16" t="str">
        <f t="shared" si="11"/>
        <v>insert into ins_premium_det (premium_rcv_code,assorted_code, rec_amount,premium_rcv_detail_code,remaining_amt, payrec, mode_code,coinsurance_code,class_cd,it_remarks) values('11Dec240052','070000167582','1996',(select max(to_number(i.premium_rcv_detail_code))+1
from ins_premium_det i),'1996','1996','02', '11000003','00','Request by Mr.Raheel Malik 12-Dec-2024 add premium allocation no Premium');</v>
      </c>
    </row>
    <row r="138" spans="1:8" ht="90" x14ac:dyDescent="0.25">
      <c r="A138" s="7" t="s">
        <v>257</v>
      </c>
      <c r="B138" s="12" t="str">
        <f>VLOOKUP(A138,policy!B:D,2,0)</f>
        <v>070000154318</v>
      </c>
      <c r="C138" s="2">
        <v>1999</v>
      </c>
      <c r="D138" s="13">
        <f t="shared" si="9"/>
        <v>1999</v>
      </c>
      <c r="E138" s="17" t="s">
        <v>891</v>
      </c>
      <c r="F138" s="14" t="str">
        <f t="shared" si="8"/>
        <v>insert into ins_premium_det (premium_rcv_code,assorted_code, rec_amount,premium_rcv_detail_code,remaining_amt, payrec, mode_code,coinsurance_code,class_cd,it_remarks) values</v>
      </c>
      <c r="G138" s="15" t="str">
        <f t="shared" si="10"/>
        <v>('11Dec240052','070000154318','1999',(select max(to_number(i.premium_rcv_detail_code))+1
from ins_premium_det i),'1999','1999','02', '11000003','00','Request by Mr.Raheel Malik 12-Dec-2024 add premium allocation no Premium');</v>
      </c>
      <c r="H138" s="16" t="str">
        <f t="shared" si="11"/>
        <v>insert into ins_premium_det (premium_rcv_code,assorted_code, rec_amount,premium_rcv_detail_code,remaining_amt, payrec, mode_code,coinsurance_code,class_cd,it_remarks) values('11Dec240052','070000154318','1999',(select max(to_number(i.premium_rcv_detail_code))+1
from ins_premium_det i),'1999','1999','02', '11000003','00','Request by Mr.Raheel Malik 12-Dec-2024 add premium allocation no Premium');</v>
      </c>
    </row>
    <row r="139" spans="1:8" ht="90" x14ac:dyDescent="0.25">
      <c r="A139" s="7" t="s">
        <v>258</v>
      </c>
      <c r="B139" s="12" t="str">
        <f>VLOOKUP(A139,policy!B:D,2,0)</f>
        <v>070000162381</v>
      </c>
      <c r="C139" s="2">
        <v>29996</v>
      </c>
      <c r="D139" s="13">
        <f t="shared" si="9"/>
        <v>29996</v>
      </c>
      <c r="E139" s="17" t="s">
        <v>891</v>
      </c>
      <c r="F139" s="14" t="str">
        <f t="shared" si="8"/>
        <v>insert into ins_premium_det (premium_rcv_code,assorted_code, rec_amount,premium_rcv_detail_code,remaining_amt, payrec, mode_code,coinsurance_code,class_cd,it_remarks) values</v>
      </c>
      <c r="G139" s="15" t="str">
        <f t="shared" si="10"/>
        <v>('11Dec240052','070000162381','29996',(select max(to_number(i.premium_rcv_detail_code))+1
from ins_premium_det i),'29996','29996','02', '11000003','00','Request by Mr.Raheel Malik 12-Dec-2024 add premium allocation no Premium');</v>
      </c>
      <c r="H139" s="16" t="str">
        <f t="shared" si="11"/>
        <v>insert into ins_premium_det (premium_rcv_code,assorted_code, rec_amount,premium_rcv_detail_code,remaining_amt, payrec, mode_code,coinsurance_code,class_cd,it_remarks) values('11Dec240052','070000162381','29996',(select max(to_number(i.premium_rcv_detail_code))+1
from ins_premium_det i),'29996','29996','02', '11000003','00','Request by Mr.Raheel Malik 12-Dec-2024 add premium allocation no Premium');</v>
      </c>
    </row>
    <row r="140" spans="1:8" ht="90" x14ac:dyDescent="0.25">
      <c r="A140" s="7" t="s">
        <v>260</v>
      </c>
      <c r="B140" s="12" t="str">
        <f>VLOOKUP(A140,policy!B:D,2,0)</f>
        <v>070000154317</v>
      </c>
      <c r="C140" s="2">
        <v>6400</v>
      </c>
      <c r="D140" s="13">
        <f t="shared" si="9"/>
        <v>6400</v>
      </c>
      <c r="E140" s="17" t="s">
        <v>891</v>
      </c>
      <c r="F140" s="14" t="str">
        <f t="shared" si="8"/>
        <v>insert into ins_premium_det (premium_rcv_code,assorted_code, rec_amount,premium_rcv_detail_code,remaining_amt, payrec, mode_code,coinsurance_code,class_cd,it_remarks) values</v>
      </c>
      <c r="G140" s="15" t="str">
        <f t="shared" si="10"/>
        <v>('11Dec240052','070000154317','6400',(select max(to_number(i.premium_rcv_detail_code))+1
from ins_premium_det i),'6400','6400','02', '11000003','00','Request by Mr.Raheel Malik 12-Dec-2024 add premium allocation no Premium');</v>
      </c>
      <c r="H140" s="16" t="str">
        <f t="shared" si="11"/>
        <v>insert into ins_premium_det (premium_rcv_code,assorted_code, rec_amount,premium_rcv_detail_code,remaining_amt, payrec, mode_code,coinsurance_code,class_cd,it_remarks) values('11Dec240052','070000154317','6400',(select max(to_number(i.premium_rcv_detail_code))+1
from ins_premium_det i),'6400','6400','02', '11000003','00','Request by Mr.Raheel Malik 12-Dec-2024 add premium allocation no Premium');</v>
      </c>
    </row>
    <row r="141" spans="1:8" ht="90" x14ac:dyDescent="0.25">
      <c r="A141" s="7" t="s">
        <v>262</v>
      </c>
      <c r="B141" s="12" t="str">
        <f>VLOOKUP(A141,policy!B:D,2,0)</f>
        <v>070000162371</v>
      </c>
      <c r="C141" s="2">
        <v>13997</v>
      </c>
      <c r="D141" s="13">
        <f t="shared" si="9"/>
        <v>13997</v>
      </c>
      <c r="E141" s="17" t="s">
        <v>891</v>
      </c>
      <c r="F141" s="14" t="str">
        <f t="shared" si="8"/>
        <v>insert into ins_premium_det (premium_rcv_code,assorted_code, rec_amount,premium_rcv_detail_code,remaining_amt, payrec, mode_code,coinsurance_code,class_cd,it_remarks) values</v>
      </c>
      <c r="G141" s="15" t="str">
        <f t="shared" si="10"/>
        <v>('11Dec240052','070000162371','13997',(select max(to_number(i.premium_rcv_detail_code))+1
from ins_premium_det i),'13997','13997','02', '11000003','00','Request by Mr.Raheel Malik 12-Dec-2024 add premium allocation no Premium');</v>
      </c>
      <c r="H141" s="16" t="str">
        <f t="shared" si="11"/>
        <v>insert into ins_premium_det (premium_rcv_code,assorted_code, rec_amount,premium_rcv_detail_code,remaining_amt, payrec, mode_code,coinsurance_code,class_cd,it_remarks) values('11Dec240052','070000162371','13997',(select max(to_number(i.premium_rcv_detail_code))+1
from ins_premium_det i),'13997','13997','02', '11000003','00','Request by Mr.Raheel Malik 12-Dec-2024 add premium allocation no Premium');</v>
      </c>
    </row>
    <row r="142" spans="1:8" ht="90" x14ac:dyDescent="0.25">
      <c r="A142" s="7" t="s">
        <v>264</v>
      </c>
      <c r="B142" s="12" t="str">
        <f>VLOOKUP(A142,policy!B:D,2,0)</f>
        <v>070000162373</v>
      </c>
      <c r="C142" s="2">
        <v>17997</v>
      </c>
      <c r="D142" s="13">
        <f t="shared" si="9"/>
        <v>17997</v>
      </c>
      <c r="E142" s="17" t="s">
        <v>891</v>
      </c>
      <c r="F142" s="14" t="str">
        <f t="shared" si="8"/>
        <v>insert into ins_premium_det (premium_rcv_code,assorted_code, rec_amount,premium_rcv_detail_code,remaining_amt, payrec, mode_code,coinsurance_code,class_cd,it_remarks) values</v>
      </c>
      <c r="G142" s="15" t="str">
        <f t="shared" si="10"/>
        <v>('11Dec240052','070000162373','17997',(select max(to_number(i.premium_rcv_detail_code))+1
from ins_premium_det i),'17997','17997','02', '11000003','00','Request by Mr.Raheel Malik 12-Dec-2024 add premium allocation no Premium');</v>
      </c>
      <c r="H142" s="16" t="str">
        <f t="shared" si="11"/>
        <v>insert into ins_premium_det (premium_rcv_code,assorted_code, rec_amount,premium_rcv_detail_code,remaining_amt, payrec, mode_code,coinsurance_code,class_cd,it_remarks) values('11Dec240052','070000162373','17997',(select max(to_number(i.premium_rcv_detail_code))+1
from ins_premium_det i),'17997','17997','02', '11000003','00','Request by Mr.Raheel Malik 12-Dec-2024 add premium allocation no Premium');</v>
      </c>
    </row>
    <row r="143" spans="1:8" ht="90" x14ac:dyDescent="0.25">
      <c r="A143" s="7" t="s">
        <v>266</v>
      </c>
      <c r="B143" s="12" t="str">
        <f>VLOOKUP(A143,policy!B:D,2,0)</f>
        <v>070000164179</v>
      </c>
      <c r="C143" s="2">
        <v>15997</v>
      </c>
      <c r="D143" s="13">
        <f t="shared" si="9"/>
        <v>15997</v>
      </c>
      <c r="E143" s="17" t="s">
        <v>891</v>
      </c>
      <c r="F143" s="14" t="str">
        <f t="shared" si="8"/>
        <v>insert into ins_premium_det (premium_rcv_code,assorted_code, rec_amount,premium_rcv_detail_code,remaining_amt, payrec, mode_code,coinsurance_code,class_cd,it_remarks) values</v>
      </c>
      <c r="G143" s="15" t="str">
        <f t="shared" si="10"/>
        <v>('11Dec240052','070000164179','15997',(select max(to_number(i.premium_rcv_detail_code))+1
from ins_premium_det i),'15997','15997','02', '11000003','00','Request by Mr.Raheel Malik 12-Dec-2024 add premium allocation no Premium');</v>
      </c>
      <c r="H143" s="16" t="str">
        <f t="shared" si="11"/>
        <v>insert into ins_premium_det (premium_rcv_code,assorted_code, rec_amount,premium_rcv_detail_code,remaining_amt, payrec, mode_code,coinsurance_code,class_cd,it_remarks) values('11Dec240052','070000164179','15997',(select max(to_number(i.premium_rcv_detail_code))+1
from ins_premium_det i),'15997','15997','02', '11000003','00','Request by Mr.Raheel Malik 12-Dec-2024 add premium allocation no Premium');</v>
      </c>
    </row>
    <row r="144" spans="1:8" ht="90" x14ac:dyDescent="0.25">
      <c r="A144" s="7" t="s">
        <v>268</v>
      </c>
      <c r="B144" s="12" t="str">
        <f>VLOOKUP(A144,policy!B:D,2,0)</f>
        <v>070000171451</v>
      </c>
      <c r="C144" s="2">
        <v>6397</v>
      </c>
      <c r="D144" s="13">
        <f t="shared" si="9"/>
        <v>6397</v>
      </c>
      <c r="E144" s="17" t="s">
        <v>891</v>
      </c>
      <c r="F144" s="14" t="str">
        <f t="shared" si="8"/>
        <v>insert into ins_premium_det (premium_rcv_code,assorted_code, rec_amount,premium_rcv_detail_code,remaining_amt, payrec, mode_code,coinsurance_code,class_cd,it_remarks) values</v>
      </c>
      <c r="G144" s="15" t="str">
        <f t="shared" si="10"/>
        <v>('11Dec240052','070000171451','6397',(select max(to_number(i.premium_rcv_detail_code))+1
from ins_premium_det i),'6397','6397','02', '11000003','00','Request by Mr.Raheel Malik 12-Dec-2024 add premium allocation no Premium');</v>
      </c>
      <c r="H144" s="16" t="str">
        <f t="shared" si="11"/>
        <v>insert into ins_premium_det (premium_rcv_code,assorted_code, rec_amount,premium_rcv_detail_code,remaining_amt, payrec, mode_code,coinsurance_code,class_cd,it_remarks) values('11Dec240052','070000171451','6397',(select max(to_number(i.premium_rcv_detail_code))+1
from ins_premium_det i),'6397','6397','02', '11000003','00','Request by Mr.Raheel Malik 12-Dec-2024 add premium allocation no Premium');</v>
      </c>
    </row>
    <row r="145" spans="1:8" ht="90" x14ac:dyDescent="0.25">
      <c r="A145" s="7" t="s">
        <v>270</v>
      </c>
      <c r="B145" s="12" t="str">
        <f>VLOOKUP(A145,policy!B:D,2,0)</f>
        <v>070000162388</v>
      </c>
      <c r="C145" s="2">
        <v>1996</v>
      </c>
      <c r="D145" s="13">
        <f t="shared" si="9"/>
        <v>1996</v>
      </c>
      <c r="E145" s="17" t="s">
        <v>891</v>
      </c>
      <c r="F145" s="14" t="str">
        <f t="shared" si="8"/>
        <v>insert into ins_premium_det (premium_rcv_code,assorted_code, rec_amount,premium_rcv_detail_code,remaining_amt, payrec, mode_code,coinsurance_code,class_cd,it_remarks) values</v>
      </c>
      <c r="G145" s="15" t="str">
        <f t="shared" si="10"/>
        <v>('11Dec240052','070000162388','1996',(select max(to_number(i.premium_rcv_detail_code))+1
from ins_premium_det i),'1996','1996','02', '11000003','00','Request by Mr.Raheel Malik 12-Dec-2024 add premium allocation no Premium');</v>
      </c>
      <c r="H145" s="16" t="str">
        <f t="shared" si="11"/>
        <v>insert into ins_premium_det (premium_rcv_code,assorted_code, rec_amount,premium_rcv_detail_code,remaining_amt, payrec, mode_code,coinsurance_code,class_cd,it_remarks) values('11Dec240052','070000162388','1996',(select max(to_number(i.premium_rcv_detail_code))+1
from ins_premium_det i),'1996','1996','02', '11000003','00','Request by Mr.Raheel Malik 12-Dec-2024 add premium allocation no Premium');</v>
      </c>
    </row>
    <row r="146" spans="1:8" ht="90" x14ac:dyDescent="0.25">
      <c r="A146" s="7" t="s">
        <v>271</v>
      </c>
      <c r="B146" s="12" t="str">
        <f>VLOOKUP(A146,policy!B:D,2,0)</f>
        <v>070000152019</v>
      </c>
      <c r="C146" s="2">
        <v>1999</v>
      </c>
      <c r="D146" s="13">
        <f t="shared" si="9"/>
        <v>1999</v>
      </c>
      <c r="E146" s="17" t="s">
        <v>891</v>
      </c>
      <c r="F146" s="14" t="str">
        <f t="shared" si="8"/>
        <v>insert into ins_premium_det (premium_rcv_code,assorted_code, rec_amount,premium_rcv_detail_code,remaining_amt, payrec, mode_code,coinsurance_code,class_cd,it_remarks) values</v>
      </c>
      <c r="G146" s="15" t="str">
        <f t="shared" si="10"/>
        <v>('11Dec240052','070000152019','1999',(select max(to_number(i.premium_rcv_detail_code))+1
from ins_premium_det i),'1999','1999','02', '11000003','00','Request by Mr.Raheel Malik 12-Dec-2024 add premium allocation no Premium');</v>
      </c>
      <c r="H146" s="16" t="str">
        <f t="shared" si="11"/>
        <v>insert into ins_premium_det (premium_rcv_code,assorted_code, rec_amount,premium_rcv_detail_code,remaining_amt, payrec, mode_code,coinsurance_code,class_cd,it_remarks) values('11Dec240052','070000152019','1999',(select max(to_number(i.premium_rcv_detail_code))+1
from ins_premium_det i),'1999','1999','02', '11000003','00','Request by Mr.Raheel Malik 12-Dec-2024 add premium allocation no Premium');</v>
      </c>
    </row>
    <row r="147" spans="1:8" ht="90" x14ac:dyDescent="0.25">
      <c r="A147" s="7" t="s">
        <v>272</v>
      </c>
      <c r="B147" s="12" t="str">
        <f>VLOOKUP(A147,policy!B:D,2,0)</f>
        <v>070000169511</v>
      </c>
      <c r="C147" s="2">
        <v>5716</v>
      </c>
      <c r="D147" s="13">
        <f t="shared" si="9"/>
        <v>5716</v>
      </c>
      <c r="E147" s="17" t="s">
        <v>891</v>
      </c>
      <c r="F147" s="14" t="str">
        <f t="shared" si="8"/>
        <v>insert into ins_premium_det (premium_rcv_code,assorted_code, rec_amount,premium_rcv_detail_code,remaining_amt, payrec, mode_code,coinsurance_code,class_cd,it_remarks) values</v>
      </c>
      <c r="G147" s="15" t="str">
        <f t="shared" si="10"/>
        <v>('11Dec240052','070000169511','5716',(select max(to_number(i.premium_rcv_detail_code))+1
from ins_premium_det i),'5716','5716','02', '11000003','00','Request by Mr.Raheel Malik 12-Dec-2024 add premium allocation no Premium');</v>
      </c>
      <c r="H147" s="16" t="str">
        <f t="shared" si="11"/>
        <v>insert into ins_premium_det (premium_rcv_code,assorted_code, rec_amount,premium_rcv_detail_code,remaining_amt, payrec, mode_code,coinsurance_code,class_cd,it_remarks) values('11Dec240052','070000169511','5716',(select max(to_number(i.premium_rcv_detail_code))+1
from ins_premium_det i),'5716','5716','02', '11000003','00','Request by Mr.Raheel Malik 12-Dec-2024 add premium allocation no Premium');</v>
      </c>
    </row>
    <row r="148" spans="1:8" x14ac:dyDescent="0.25">
      <c r="C148" s="5">
        <f>SUM(C2:C147)</f>
        <v>1796773</v>
      </c>
      <c r="D148" s="5">
        <f>SUM(D2:D147)</f>
        <v>1796773</v>
      </c>
    </row>
  </sheetData>
  <conditionalFormatting sqref="A1">
    <cfRule type="duplicateValues" dxfId="7" priority="1"/>
  </conditionalFormatting>
  <conditionalFormatting sqref="A2:B2 B3:B147">
    <cfRule type="expression" dxfId="6" priority="2" stopIfTrue="1">
      <formula>AND(COUNTIF($A$2:$B$2, A2)+COUNTIF($B$3:$B$186, A2)&gt;1,NOT(ISBLANK(A2)))</formula>
    </cfRule>
    <cfRule type="expression" dxfId="5" priority="3" stopIfTrue="1">
      <formula>AND(COUNTIF($A$2:$B$2, A2)+COUNTIF($B$3:$B$186, A2)&gt;1,NOT(ISBLANK(A2)))</formula>
    </cfRule>
    <cfRule type="expression" dxfId="4" priority="4" stopIfTrue="1">
      <formula>AND(COUNTIF($A$2:$B$2, A2)+COUNTIF($B$3:$B$186, A2)&gt;1,NOT(ISBLANK(A2)))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0356-32B6-4885-AFCB-ED81F2DD4A81}">
  <dimension ref="A1:H149"/>
  <sheetViews>
    <sheetView topLeftCell="A145" workbookViewId="0">
      <selection activeCell="C149" sqref="C149"/>
    </sheetView>
  </sheetViews>
  <sheetFormatPr defaultRowHeight="15" x14ac:dyDescent="0.25"/>
  <cols>
    <col min="1" max="1" width="32" bestFit="1" customWidth="1"/>
    <col min="2" max="2" width="14.5703125" bestFit="1" customWidth="1"/>
    <col min="3" max="3" width="12.42578125" bestFit="1" customWidth="1"/>
    <col min="4" max="4" width="14" bestFit="1" customWidth="1"/>
    <col min="5" max="5" width="10.140625" bestFit="1" customWidth="1"/>
    <col min="6" max="6" width="106" customWidth="1"/>
    <col min="7" max="7" width="99.42578125" customWidth="1"/>
    <col min="8" max="8" width="90.7109375" customWidth="1"/>
  </cols>
  <sheetData>
    <row r="1" spans="1:8" x14ac:dyDescent="0.25">
      <c r="A1" s="10" t="s">
        <v>888</v>
      </c>
      <c r="B1" t="s">
        <v>889</v>
      </c>
      <c r="C1" s="11" t="s">
        <v>892</v>
      </c>
      <c r="D1" s="17" t="s">
        <v>891</v>
      </c>
      <c r="E1" s="18"/>
    </row>
    <row r="2" spans="1:8" ht="66" customHeight="1" x14ac:dyDescent="0.25">
      <c r="A2" s="7" t="s">
        <v>3</v>
      </c>
      <c r="B2" s="19" t="str">
        <f>VLOOKUP(A2,policy!B:D,2,)</f>
        <v>070000154310</v>
      </c>
      <c r="C2" t="s">
        <v>278</v>
      </c>
      <c r="D2" s="17" t="s">
        <v>891</v>
      </c>
      <c r="E2" s="20" t="str">
        <f>VLOOKUP(A2,policy!B:D,3,0)</f>
        <v>09000414</v>
      </c>
      <c r="F2" s="21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22" t="str">
        <f>"('"&amp;D1&amp;"','"&amp;B2&amp;"','"&amp;C2&amp;"',(select max(to_number(i.premium_rcv_detail_code))+1 from ins_premium_det i),'"&amp;C2&amp;"','"&amp;C2&amp;"','05', '"&amp;E2&amp;"','00');"</f>
        <v>('11Dec240052','070000154310','-125.025',(select max(to_number(i.premium_rcv_detail_code))+1 from ins_premium_det i),'-125.025','-125.025','05', '09000414','00');</v>
      </c>
      <c r="H2" s="23" t="str">
        <f t="shared" ref="H2:H65" si="0">F2&amp;G2</f>
        <v>insert into ins_premium_det (premium_rcv_code,assorted_code, rec_amount,premium_rcv_detail_code,remaining_amt, payrec, mode_code,paid_to_code,class_cd) values('11Dec240052','070000154310','-125.025',(select max(to_number(i.premium_rcv_detail_code))+1 from ins_premium_det i),'-125.025','-125.025','05', '09000414','00');</v>
      </c>
    </row>
    <row r="3" spans="1:8" ht="75" x14ac:dyDescent="0.25">
      <c r="A3" s="7" t="s">
        <v>5</v>
      </c>
      <c r="B3" s="19" t="str">
        <f>VLOOKUP(A3,policy!B:D,2,)</f>
        <v>070000171445</v>
      </c>
      <c r="C3" t="s">
        <v>279</v>
      </c>
      <c r="D3" s="17" t="s">
        <v>891</v>
      </c>
      <c r="E3" s="20" t="str">
        <f>VLOOKUP(A3,policy!B:D,3,0)</f>
        <v>09000414</v>
      </c>
      <c r="F3" s="21" t="str">
        <f t="shared" ref="F3:F66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22" t="str">
        <f t="shared" ref="G3:G66" si="2">"('"&amp;D2&amp;"','"&amp;B3&amp;"','"&amp;C3&amp;"',(select max(to_number(i.premium_rcv_detail_code))+1 from ins_premium_det i),'"&amp;C3&amp;"','"&amp;C3&amp;"','05', '"&amp;E3&amp;"','00');"</f>
        <v>('11Dec240052','070000171445','-99.875',(select max(to_number(i.premium_rcv_detail_code))+1 from ins_premium_det i),'-99.875','-99.875','05', '09000414','00');</v>
      </c>
      <c r="H3" s="23" t="str">
        <f t="shared" si="0"/>
        <v>insert into ins_premium_det (premium_rcv_code,assorted_code, rec_amount,premium_rcv_detail_code,remaining_amt, payrec, mode_code,paid_to_code,class_cd) values('11Dec240052','070000171445','-99.875',(select max(to_number(i.premium_rcv_detail_code))+1 from ins_premium_det i),'-99.875','-99.875','05', '09000414','00');</v>
      </c>
    </row>
    <row r="4" spans="1:8" ht="75" x14ac:dyDescent="0.25">
      <c r="A4" s="7" t="s">
        <v>7</v>
      </c>
      <c r="B4" s="19" t="str">
        <f>VLOOKUP(A4,policy!B:D,2,)</f>
        <v>070000157183</v>
      </c>
      <c r="C4" t="s">
        <v>280</v>
      </c>
      <c r="D4" s="17" t="s">
        <v>891</v>
      </c>
      <c r="E4" s="20" t="str">
        <f>VLOOKUP(A4,policy!B:D,3,0)</f>
        <v>09000414</v>
      </c>
      <c r="F4" s="21" t="str">
        <f t="shared" si="1"/>
        <v>insert into ins_premium_det (premium_rcv_code,assorted_code, rec_amount,premium_rcv_detail_code,remaining_amt, payrec, mode_code,paid_to_code,class_cd) values</v>
      </c>
      <c r="G4" s="22" t="str">
        <f t="shared" si="2"/>
        <v>('11Dec240052','070000157183','-399.975',(select max(to_number(i.premium_rcv_detail_code))+1 from ins_premium_det i),'-399.975','-399.975','05', '09000414','00');</v>
      </c>
      <c r="H4" s="23" t="str">
        <f t="shared" si="0"/>
        <v>insert into ins_premium_det (premium_rcv_code,assorted_code, rec_amount,premium_rcv_detail_code,remaining_amt, payrec, mode_code,paid_to_code,class_cd) values('11Dec240052','070000157183','-399.975',(select max(to_number(i.premium_rcv_detail_code))+1 from ins_premium_det i),'-399.975','-399.975','05', '09000414','00');</v>
      </c>
    </row>
    <row r="5" spans="1:8" ht="75" x14ac:dyDescent="0.25">
      <c r="A5" s="7" t="s">
        <v>9</v>
      </c>
      <c r="B5" s="19" t="str">
        <f>VLOOKUP(A5,policy!B:D,2,)</f>
        <v>070000154311</v>
      </c>
      <c r="C5" t="s">
        <v>281</v>
      </c>
      <c r="D5" s="17" t="s">
        <v>891</v>
      </c>
      <c r="E5" s="20" t="str">
        <f>VLOOKUP(A5,policy!B:D,3,0)</f>
        <v>09000414</v>
      </c>
      <c r="F5" s="21" t="str">
        <f t="shared" si="1"/>
        <v>insert into ins_premium_det (premium_rcv_code,assorted_code, rec_amount,premium_rcv_detail_code,remaining_amt, payrec, mode_code,paid_to_code,class_cd) values</v>
      </c>
      <c r="G5" s="22" t="str">
        <f t="shared" si="2"/>
        <v>('11Dec240052','070000154311','-100',(select max(to_number(i.premium_rcv_detail_code))+1 from ins_premium_det i),'-100','-100','05', '09000414','00');</v>
      </c>
      <c r="H5" s="23" t="str">
        <f t="shared" si="0"/>
        <v>insert into ins_premium_det (premium_rcv_code,assorted_code, rec_amount,premium_rcv_detail_code,remaining_amt, payrec, mode_code,paid_to_code,class_cd) values('11Dec240052','070000154311','-100',(select max(to_number(i.premium_rcv_detail_code))+1 from ins_premium_det i),'-100','-100','05', '09000414','00');</v>
      </c>
    </row>
    <row r="6" spans="1:8" ht="75" x14ac:dyDescent="0.25">
      <c r="A6" s="7" t="s">
        <v>11</v>
      </c>
      <c r="B6" s="19" t="str">
        <f>VLOOKUP(A6,policy!B:D,2,)</f>
        <v>070000167593</v>
      </c>
      <c r="C6" t="s">
        <v>282</v>
      </c>
      <c r="D6" s="17" t="s">
        <v>891</v>
      </c>
      <c r="E6" s="20" t="str">
        <f>VLOOKUP(A6,policy!B:D,3,0)</f>
        <v>09000414</v>
      </c>
      <c r="F6" s="21" t="str">
        <f t="shared" si="1"/>
        <v>insert into ins_premium_det (premium_rcv_code,assorted_code, rec_amount,premium_rcv_detail_code,remaining_amt, payrec, mode_code,paid_to_code,class_cd) values</v>
      </c>
      <c r="G6" s="22" t="str">
        <f t="shared" si="2"/>
        <v>('11Dec240052','070000167593','-49.9',(select max(to_number(i.premium_rcv_detail_code))+1 from ins_premium_det i),'-49.9','-49.9','05', '09000414','00');</v>
      </c>
      <c r="H6" s="23" t="str">
        <f t="shared" si="0"/>
        <v>insert into ins_premium_det (premium_rcv_code,assorted_code, rec_amount,premium_rcv_detail_code,remaining_amt, payrec, mode_code,paid_to_code,class_cd) values('11Dec240052','070000167593','-49.9',(select max(to_number(i.premium_rcv_detail_code))+1 from ins_premium_det i),'-49.9','-49.9','05', '09000414','00');</v>
      </c>
    </row>
    <row r="7" spans="1:8" ht="75" x14ac:dyDescent="0.25">
      <c r="A7" s="7" t="s">
        <v>13</v>
      </c>
      <c r="B7" s="19" t="str">
        <f>VLOOKUP(A7,policy!B:D,2,)</f>
        <v>070000157172</v>
      </c>
      <c r="C7" t="s">
        <v>283</v>
      </c>
      <c r="D7" s="17" t="s">
        <v>891</v>
      </c>
      <c r="E7" s="20" t="str">
        <f>VLOOKUP(A7,policy!B:D,3,0)</f>
        <v>09000414</v>
      </c>
      <c r="F7" s="21" t="str">
        <f t="shared" si="1"/>
        <v>insert into ins_premium_det (premium_rcv_code,assorted_code, rec_amount,premium_rcv_detail_code,remaining_amt, payrec, mode_code,paid_to_code,class_cd) values</v>
      </c>
      <c r="G7" s="22" t="str">
        <f t="shared" si="2"/>
        <v>('11Dec240052','070000157172','-49.95',(select max(to_number(i.premium_rcv_detail_code))+1 from ins_premium_det i),'-49.95','-49.95','05', '09000414','00');</v>
      </c>
      <c r="H7" s="23" t="str">
        <f t="shared" si="0"/>
        <v>insert into ins_premium_det (premium_rcv_code,assorted_code, rec_amount,premium_rcv_detail_code,remaining_amt, payrec, mode_code,paid_to_code,class_cd) values('11Dec240052','070000157172','-49.95',(select max(to_number(i.premium_rcv_detail_code))+1 from ins_premium_det i),'-49.95','-49.95','05', '09000414','00');</v>
      </c>
    </row>
    <row r="8" spans="1:8" ht="75" x14ac:dyDescent="0.25">
      <c r="A8" s="7" t="s">
        <v>14</v>
      </c>
      <c r="B8" s="19" t="str">
        <f>VLOOKUP(A8,policy!B:D,2,)</f>
        <v>070000162399</v>
      </c>
      <c r="C8" t="s">
        <v>284</v>
      </c>
      <c r="D8" s="17" t="s">
        <v>891</v>
      </c>
      <c r="E8" s="20" t="str">
        <f>VLOOKUP(A8,policy!B:D,3,0)</f>
        <v>09000414</v>
      </c>
      <c r="F8" s="21" t="str">
        <f t="shared" si="1"/>
        <v>insert into ins_premium_det (premium_rcv_code,assorted_code, rec_amount,premium_rcv_detail_code,remaining_amt, payrec, mode_code,paid_to_code,class_cd) values</v>
      </c>
      <c r="G8" s="22" t="str">
        <f t="shared" si="2"/>
        <v>('11Dec240052','070000162399','-89.9',(select max(to_number(i.premium_rcv_detail_code))+1 from ins_premium_det i),'-89.9','-89.9','05', '09000414','00');</v>
      </c>
      <c r="H8" s="23" t="str">
        <f t="shared" si="0"/>
        <v>insert into ins_premium_det (premium_rcv_code,assorted_code, rec_amount,premium_rcv_detail_code,remaining_amt, payrec, mode_code,paid_to_code,class_cd) values('11Dec240052','070000162399','-89.9',(select max(to_number(i.premium_rcv_detail_code))+1 from ins_premium_det i),'-89.9','-89.9','05', '09000414','00');</v>
      </c>
    </row>
    <row r="9" spans="1:8" ht="75" x14ac:dyDescent="0.25">
      <c r="A9" s="7" t="s">
        <v>16</v>
      </c>
      <c r="B9" s="19" t="str">
        <f>VLOOKUP(A9,policy!B:D,2,)</f>
        <v>070000169513</v>
      </c>
      <c r="C9" t="s">
        <v>285</v>
      </c>
      <c r="D9" s="17" t="s">
        <v>891</v>
      </c>
      <c r="E9" s="20" t="str">
        <f>VLOOKUP(A9,policy!B:D,3,0)</f>
        <v>09000414</v>
      </c>
      <c r="F9" s="21" t="str">
        <f t="shared" si="1"/>
        <v>insert into ins_premium_det (premium_rcv_code,assorted_code, rec_amount,premium_rcv_detail_code,remaining_amt, payrec, mode_code,paid_to_code,class_cd) values</v>
      </c>
      <c r="G9" s="22" t="str">
        <f t="shared" si="2"/>
        <v>('11Dec240052','070000169513','-699.925',(select max(to_number(i.premium_rcv_detail_code))+1 from ins_premium_det i),'-699.925','-699.925','05', '09000414','00');</v>
      </c>
      <c r="H9" s="23" t="str">
        <f t="shared" si="0"/>
        <v>insert into ins_premium_det (premium_rcv_code,assorted_code, rec_amount,premium_rcv_detail_code,remaining_amt, payrec, mode_code,paid_to_code,class_cd) values('11Dec240052','070000169513','-699.925',(select max(to_number(i.premium_rcv_detail_code))+1 from ins_premium_det i),'-699.925','-699.925','05', '09000414','00');</v>
      </c>
    </row>
    <row r="10" spans="1:8" ht="75" x14ac:dyDescent="0.25">
      <c r="A10" s="7" t="s">
        <v>18</v>
      </c>
      <c r="B10" s="19" t="str">
        <f>VLOOKUP(A10,policy!B:D,2,)</f>
        <v>070000171444</v>
      </c>
      <c r="C10" t="s">
        <v>286</v>
      </c>
      <c r="D10" s="17" t="s">
        <v>891</v>
      </c>
      <c r="E10" s="20" t="str">
        <f>VLOOKUP(A10,policy!B:D,3,0)</f>
        <v>09000414</v>
      </c>
      <c r="F10" s="21" t="str">
        <f t="shared" si="1"/>
        <v>insert into ins_premium_det (premium_rcv_code,assorted_code, rec_amount,premium_rcv_detail_code,remaining_amt, payrec, mode_code,paid_to_code,class_cd) values</v>
      </c>
      <c r="G10" s="22" t="str">
        <f t="shared" si="2"/>
        <v>('11Dec240052','070000171444','-749.9',(select max(to_number(i.premium_rcv_detail_code))+1 from ins_premium_det i),'-749.9','-749.9','05', '09000414','00');</v>
      </c>
      <c r="H10" s="23" t="str">
        <f t="shared" si="0"/>
        <v>insert into ins_premium_det (premium_rcv_code,assorted_code, rec_amount,premium_rcv_detail_code,remaining_amt, payrec, mode_code,paid_to_code,class_cd) values('11Dec240052','070000171444','-749.9',(select max(to_number(i.premium_rcv_detail_code))+1 from ins_premium_det i),'-749.9','-749.9','05', '09000414','00');</v>
      </c>
    </row>
    <row r="11" spans="1:8" ht="75" x14ac:dyDescent="0.25">
      <c r="A11" s="7" t="s">
        <v>20</v>
      </c>
      <c r="B11" s="19" t="str">
        <f>VLOOKUP(A11,policy!B:D,2,)</f>
        <v>070000162405</v>
      </c>
      <c r="C11" t="s">
        <v>287</v>
      </c>
      <c r="D11" s="17" t="s">
        <v>891</v>
      </c>
      <c r="E11" s="20" t="str">
        <f>VLOOKUP(A11,policy!B:D,3,0)</f>
        <v>09000414</v>
      </c>
      <c r="F11" s="21" t="str">
        <f t="shared" si="1"/>
        <v>insert into ins_premium_det (premium_rcv_code,assorted_code, rec_amount,premium_rcv_detail_code,remaining_amt, payrec, mode_code,paid_to_code,class_cd) values</v>
      </c>
      <c r="G11" s="22" t="str">
        <f t="shared" si="2"/>
        <v>('11Dec240052','070000162405','-399.925',(select max(to_number(i.premium_rcv_detail_code))+1 from ins_premium_det i),'-399.925','-399.925','05', '09000414','00');</v>
      </c>
      <c r="H11" s="23" t="str">
        <f t="shared" si="0"/>
        <v>insert into ins_premium_det (premium_rcv_code,assorted_code, rec_amount,premium_rcv_detail_code,remaining_amt, payrec, mode_code,paid_to_code,class_cd) values('11Dec240052','070000162405','-399.925',(select max(to_number(i.premium_rcv_detail_code))+1 from ins_premium_det i),'-399.925','-399.925','05', '09000414','00');</v>
      </c>
    </row>
    <row r="12" spans="1:8" ht="75" x14ac:dyDescent="0.25">
      <c r="A12" s="7" t="s">
        <v>22</v>
      </c>
      <c r="B12" s="19" t="str">
        <f>VLOOKUP(A12,policy!B:D,2,)</f>
        <v>070000162375</v>
      </c>
      <c r="C12" t="s">
        <v>288</v>
      </c>
      <c r="D12" s="17" t="s">
        <v>891</v>
      </c>
      <c r="E12" s="20" t="str">
        <f>VLOOKUP(A12,policy!B:D,3,0)</f>
        <v>09000414</v>
      </c>
      <c r="F12" s="21" t="str">
        <f t="shared" si="1"/>
        <v>insert into ins_premium_det (premium_rcv_code,assorted_code, rec_amount,premium_rcv_detail_code,remaining_amt, payrec, mode_code,paid_to_code,class_cd) values</v>
      </c>
      <c r="G12" s="22" t="str">
        <f t="shared" si="2"/>
        <v>('11Dec240052','070000162375','-499.925',(select max(to_number(i.premium_rcv_detail_code))+1 from ins_premium_det i),'-499.925','-499.925','05', '09000414','00');</v>
      </c>
      <c r="H12" s="23" t="str">
        <f t="shared" si="0"/>
        <v>insert into ins_premium_det (premium_rcv_code,assorted_code, rec_amount,premium_rcv_detail_code,remaining_amt, payrec, mode_code,paid_to_code,class_cd) values('11Dec240052','070000162375','-499.925',(select max(to_number(i.premium_rcv_detail_code))+1 from ins_premium_det i),'-499.925','-499.925','05', '09000414','00');</v>
      </c>
    </row>
    <row r="13" spans="1:8" ht="75" x14ac:dyDescent="0.25">
      <c r="A13" s="7" t="s">
        <v>24</v>
      </c>
      <c r="B13" s="19" t="str">
        <f>VLOOKUP(A13,policy!B:D,2,)</f>
        <v>070000154302</v>
      </c>
      <c r="C13" t="s">
        <v>289</v>
      </c>
      <c r="D13" s="17" t="s">
        <v>891</v>
      </c>
      <c r="E13" s="20" t="str">
        <f>VLOOKUP(A13,policy!B:D,3,0)</f>
        <v>09000414</v>
      </c>
      <c r="F13" s="21" t="str">
        <f t="shared" si="1"/>
        <v>insert into ins_premium_det (premium_rcv_code,assorted_code, rec_amount,premium_rcv_detail_code,remaining_amt, payrec, mode_code,paid_to_code,class_cd) values</v>
      </c>
      <c r="G13" s="22" t="str">
        <f t="shared" si="2"/>
        <v>('11Dec240052','070000154302','-300',(select max(to_number(i.premium_rcv_detail_code))+1 from ins_premium_det i),'-300','-300','05', '09000414','00');</v>
      </c>
      <c r="H13" s="23" t="str">
        <f t="shared" si="0"/>
        <v>insert into ins_premium_det (premium_rcv_code,assorted_code, rec_amount,premium_rcv_detail_code,remaining_amt, payrec, mode_code,paid_to_code,class_cd) values('11Dec240052','070000154302','-300',(select max(to_number(i.premium_rcv_detail_code))+1 from ins_premium_det i),'-300','-300','05', '09000414','00');</v>
      </c>
    </row>
    <row r="14" spans="1:8" ht="75" x14ac:dyDescent="0.25">
      <c r="A14" s="7" t="s">
        <v>26</v>
      </c>
      <c r="B14" s="19" t="str">
        <f>VLOOKUP(A14,policy!B:D,2,)</f>
        <v>070000167583</v>
      </c>
      <c r="C14" t="s">
        <v>279</v>
      </c>
      <c r="D14" s="17" t="s">
        <v>891</v>
      </c>
      <c r="E14" s="20" t="str">
        <f>VLOOKUP(A14,policy!B:D,3,0)</f>
        <v>09000414</v>
      </c>
      <c r="F14" s="21" t="str">
        <f t="shared" si="1"/>
        <v>insert into ins_premium_det (premium_rcv_code,assorted_code, rec_amount,premium_rcv_detail_code,remaining_amt, payrec, mode_code,paid_to_code,class_cd) values</v>
      </c>
      <c r="G14" s="22" t="str">
        <f t="shared" si="2"/>
        <v>('11Dec240052','070000167583','-99.875',(select max(to_number(i.premium_rcv_detail_code))+1 from ins_premium_det i),'-99.875','-99.875','05', '09000414','00');</v>
      </c>
      <c r="H14" s="23" t="str">
        <f t="shared" si="0"/>
        <v>insert into ins_premium_det (premium_rcv_code,assorted_code, rec_amount,premium_rcv_detail_code,remaining_amt, payrec, mode_code,paid_to_code,class_cd) values('11Dec240052','070000167583','-99.875',(select max(to_number(i.premium_rcv_detail_code))+1 from ins_premium_det i),'-99.875','-99.875','05', '09000414','00');</v>
      </c>
    </row>
    <row r="15" spans="1:8" ht="75" x14ac:dyDescent="0.25">
      <c r="A15" s="7" t="s">
        <v>28</v>
      </c>
      <c r="B15" s="19" t="str">
        <f>VLOOKUP(A15,policy!B:D,2,)</f>
        <v>070000152028</v>
      </c>
      <c r="C15" t="s">
        <v>290</v>
      </c>
      <c r="D15" s="17" t="s">
        <v>891</v>
      </c>
      <c r="E15" s="20" t="str">
        <f>VLOOKUP(A15,policy!B:D,3,0)</f>
        <v>09000414</v>
      </c>
      <c r="F15" s="21" t="str">
        <f t="shared" si="1"/>
        <v>insert into ins_premium_det (premium_rcv_code,assorted_code, rec_amount,premium_rcv_detail_code,remaining_amt, payrec, mode_code,paid_to_code,class_cd) values</v>
      </c>
      <c r="G15" s="22" t="str">
        <f t="shared" si="2"/>
        <v>('11Dec240052','070000152028','-400',(select max(to_number(i.premium_rcv_detail_code))+1 from ins_premium_det i),'-400','-400','05', '09000414','00');</v>
      </c>
      <c r="H15" s="23" t="str">
        <f t="shared" si="0"/>
        <v>insert into ins_premium_det (premium_rcv_code,assorted_code, rec_amount,premium_rcv_detail_code,remaining_amt, payrec, mode_code,paid_to_code,class_cd) values('11Dec240052','070000152028','-400',(select max(to_number(i.premium_rcv_detail_code))+1 from ins_premium_det i),'-400','-400','05', '09000414','00');</v>
      </c>
    </row>
    <row r="16" spans="1:8" ht="75" x14ac:dyDescent="0.25">
      <c r="A16" s="7" t="s">
        <v>30</v>
      </c>
      <c r="B16" s="19" t="str">
        <f>VLOOKUP(A16,policy!B:D,2,)</f>
        <v>070000167594</v>
      </c>
      <c r="C16" t="s">
        <v>291</v>
      </c>
      <c r="D16" s="17" t="s">
        <v>891</v>
      </c>
      <c r="E16" s="20" t="str">
        <f>VLOOKUP(A16,policy!B:D,3,0)</f>
        <v>09000414</v>
      </c>
      <c r="F16" s="21" t="str">
        <f t="shared" si="1"/>
        <v>insert into ins_premium_det (premium_rcv_code,assorted_code, rec_amount,premium_rcv_detail_code,remaining_amt, payrec, mode_code,paid_to_code,class_cd) values</v>
      </c>
      <c r="G16" s="22" t="str">
        <f t="shared" si="2"/>
        <v>('11Dec240052','070000167594','-299.9',(select max(to_number(i.premium_rcv_detail_code))+1 from ins_premium_det i),'-299.9','-299.9','05', '09000414','00');</v>
      </c>
      <c r="H16" s="23" t="str">
        <f t="shared" si="0"/>
        <v>insert into ins_premium_det (premium_rcv_code,assorted_code, rec_amount,premium_rcv_detail_code,remaining_amt, payrec, mode_code,paid_to_code,class_cd) values('11Dec240052','070000167594','-299.9',(select max(to_number(i.premium_rcv_detail_code))+1 from ins_premium_det i),'-299.9','-299.9','05', '09000414','00');</v>
      </c>
    </row>
    <row r="17" spans="1:8" ht="75" x14ac:dyDescent="0.25">
      <c r="A17" s="7" t="s">
        <v>32</v>
      </c>
      <c r="B17" s="19" t="str">
        <f>VLOOKUP(A17,policy!B:D,2,)</f>
        <v>070000162402</v>
      </c>
      <c r="C17" t="s">
        <v>292</v>
      </c>
      <c r="D17" s="17" t="s">
        <v>891</v>
      </c>
      <c r="E17" s="20" t="str">
        <f>VLOOKUP(A17,policy!B:D,3,0)</f>
        <v>09000414</v>
      </c>
      <c r="F17" s="21" t="str">
        <f t="shared" si="1"/>
        <v>insert into ins_premium_det (premium_rcv_code,assorted_code, rec_amount,premium_rcv_detail_code,remaining_amt, payrec, mode_code,paid_to_code,class_cd) values</v>
      </c>
      <c r="G17" s="22" t="str">
        <f t="shared" si="2"/>
        <v>('11Dec240052','070000162402','-349.9',(select max(to_number(i.premium_rcv_detail_code))+1 from ins_premium_det i),'-349.9','-349.9','05', '09000414','00');</v>
      </c>
      <c r="H17" s="23" t="str">
        <f t="shared" si="0"/>
        <v>insert into ins_premium_det (premium_rcv_code,assorted_code, rec_amount,premium_rcv_detail_code,remaining_amt, payrec, mode_code,paid_to_code,class_cd) values('11Dec240052','070000162402','-349.9',(select max(to_number(i.premium_rcv_detail_code))+1 from ins_premium_det i),'-349.9','-349.9','05', '09000414','00');</v>
      </c>
    </row>
    <row r="18" spans="1:8" ht="75" x14ac:dyDescent="0.25">
      <c r="A18" s="7" t="s">
        <v>34</v>
      </c>
      <c r="B18" s="19" t="str">
        <f>VLOOKUP(A18,policy!B:D,2,)</f>
        <v>070000154305</v>
      </c>
      <c r="C18" t="s">
        <v>293</v>
      </c>
      <c r="D18" s="17" t="s">
        <v>891</v>
      </c>
      <c r="E18" s="20" t="str">
        <f>VLOOKUP(A18,policy!B:D,3,0)</f>
        <v>09000414</v>
      </c>
      <c r="F18" s="21" t="str">
        <f t="shared" si="1"/>
        <v>insert into ins_premium_det (premium_rcv_code,assorted_code, rec_amount,premium_rcv_detail_code,remaining_amt, payrec, mode_code,paid_to_code,class_cd) values</v>
      </c>
      <c r="G18" s="22" t="str">
        <f t="shared" si="2"/>
        <v>('11Dec240052','070000154305','-200',(select max(to_number(i.premium_rcv_detail_code))+1 from ins_premium_det i),'-200','-200','05', '09000414','00');</v>
      </c>
      <c r="H18" s="23" t="str">
        <f t="shared" si="0"/>
        <v>insert into ins_premium_det (premium_rcv_code,assorted_code, rec_amount,premium_rcv_detail_code,remaining_amt, payrec, mode_code,paid_to_code,class_cd) values('11Dec240052','070000154305','-200',(select max(to_number(i.premium_rcv_detail_code))+1 from ins_premium_det i),'-200','-200','05', '09000414','00');</v>
      </c>
    </row>
    <row r="19" spans="1:8" ht="75" x14ac:dyDescent="0.25">
      <c r="A19" s="7" t="s">
        <v>36</v>
      </c>
      <c r="B19" s="19" t="str">
        <f>VLOOKUP(A19,policy!B:D,2,)</f>
        <v>070000152031</v>
      </c>
      <c r="C19" t="s">
        <v>294</v>
      </c>
      <c r="D19" s="17" t="s">
        <v>891</v>
      </c>
      <c r="E19" s="20" t="str">
        <f>VLOOKUP(A19,policy!B:D,3,0)</f>
        <v>09000414</v>
      </c>
      <c r="F19" s="21" t="str">
        <f t="shared" si="1"/>
        <v>insert into ins_premium_det (premium_rcv_code,assorted_code, rec_amount,premium_rcv_detail_code,remaining_amt, payrec, mode_code,paid_to_code,class_cd) values</v>
      </c>
      <c r="G19" s="22" t="str">
        <f t="shared" si="2"/>
        <v>('11Dec240052','070000152031','-280.025',(select max(to_number(i.premium_rcv_detail_code))+1 from ins_premium_det i),'-280.025','-280.025','05', '09000414','00');</v>
      </c>
      <c r="H19" s="23" t="str">
        <f t="shared" si="0"/>
        <v>insert into ins_premium_det (premium_rcv_code,assorted_code, rec_amount,premium_rcv_detail_code,remaining_amt, payrec, mode_code,paid_to_code,class_cd) values('11Dec240052','070000152031','-280.025',(select max(to_number(i.premium_rcv_detail_code))+1 from ins_premium_det i),'-280.025','-280.025','05', '09000414','00');</v>
      </c>
    </row>
    <row r="20" spans="1:8" ht="75" x14ac:dyDescent="0.25">
      <c r="A20" s="7" t="s">
        <v>38</v>
      </c>
      <c r="B20" s="19" t="str">
        <f>VLOOKUP(A20,policy!B:D,2,)</f>
        <v>070000162387</v>
      </c>
      <c r="C20" t="s">
        <v>295</v>
      </c>
      <c r="D20" s="17" t="s">
        <v>891</v>
      </c>
      <c r="E20" s="20" t="str">
        <f>VLOOKUP(A20,policy!B:D,3,0)</f>
        <v>09000414</v>
      </c>
      <c r="F20" s="21" t="str">
        <f t="shared" si="1"/>
        <v>insert into ins_premium_det (premium_rcv_code,assorted_code, rec_amount,premium_rcv_detail_code,remaining_amt, payrec, mode_code,paid_to_code,class_cd) values</v>
      </c>
      <c r="G20" s="22" t="str">
        <f t="shared" si="2"/>
        <v>('11Dec240052','070000162387','-24.9',(select max(to_number(i.premium_rcv_detail_code))+1 from ins_premium_det i),'-24.9','-24.9','05', '09000414','00');</v>
      </c>
      <c r="H20" s="23" t="str">
        <f t="shared" si="0"/>
        <v>insert into ins_premium_det (premium_rcv_code,assorted_code, rec_amount,premium_rcv_detail_code,remaining_amt, payrec, mode_code,paid_to_code,class_cd) values('11Dec240052','070000162387','-24.9',(select max(to_number(i.premium_rcv_detail_code))+1 from ins_premium_det i),'-24.9','-24.9','05', '09000414','00');</v>
      </c>
    </row>
    <row r="21" spans="1:8" ht="75" x14ac:dyDescent="0.25">
      <c r="A21" s="7" t="s">
        <v>40</v>
      </c>
      <c r="B21" s="19" t="str">
        <f>VLOOKUP(A21,policy!B:D,2,)</f>
        <v>070000164182</v>
      </c>
      <c r="C21" t="s">
        <v>296</v>
      </c>
      <c r="D21" s="17" t="s">
        <v>891</v>
      </c>
      <c r="E21" s="20" t="str">
        <f>VLOOKUP(A21,policy!B:D,3,0)</f>
        <v>09000414</v>
      </c>
      <c r="F21" s="21" t="str">
        <f t="shared" si="1"/>
        <v>insert into ins_premium_det (premium_rcv_code,assorted_code, rec_amount,premium_rcv_detail_code,remaining_amt, payrec, mode_code,paid_to_code,class_cd) values</v>
      </c>
      <c r="G21" s="22" t="str">
        <f t="shared" si="2"/>
        <v>('11Dec240052','070000164182','-79.9',(select max(to_number(i.premium_rcv_detail_code))+1 from ins_premium_det i),'-79.9','-79.9','05', '09000414','00');</v>
      </c>
      <c r="H21" s="23" t="str">
        <f t="shared" si="0"/>
        <v>insert into ins_premium_det (premium_rcv_code,assorted_code, rec_amount,premium_rcv_detail_code,remaining_amt, payrec, mode_code,paid_to_code,class_cd) values('11Dec240052','070000164182','-79.9',(select max(to_number(i.premium_rcv_detail_code))+1 from ins_premium_det i),'-79.9','-79.9','05', '09000414','00');</v>
      </c>
    </row>
    <row r="22" spans="1:8" ht="75" x14ac:dyDescent="0.25">
      <c r="A22" s="7" t="s">
        <v>42</v>
      </c>
      <c r="B22" s="19" t="str">
        <f>VLOOKUP(A22,policy!B:D,2,)</f>
        <v>070000154303</v>
      </c>
      <c r="C22" t="s">
        <v>290</v>
      </c>
      <c r="D22" s="17" t="s">
        <v>891</v>
      </c>
      <c r="E22" s="20" t="str">
        <f>VLOOKUP(A22,policy!B:D,3,0)</f>
        <v>09000414</v>
      </c>
      <c r="F22" s="21" t="str">
        <f t="shared" si="1"/>
        <v>insert into ins_premium_det (premium_rcv_code,assorted_code, rec_amount,premium_rcv_detail_code,remaining_amt, payrec, mode_code,paid_to_code,class_cd) values</v>
      </c>
      <c r="G22" s="22" t="str">
        <f t="shared" si="2"/>
        <v>('11Dec240052','070000154303','-400',(select max(to_number(i.premium_rcv_detail_code))+1 from ins_premium_det i),'-400','-400','05', '09000414','00');</v>
      </c>
      <c r="H22" s="23" t="str">
        <f t="shared" si="0"/>
        <v>insert into ins_premium_det (premium_rcv_code,assorted_code, rec_amount,premium_rcv_detail_code,remaining_amt, payrec, mode_code,paid_to_code,class_cd) values('11Dec240052','070000154303','-400',(select max(to_number(i.premium_rcv_detail_code))+1 from ins_premium_det i),'-400','-400','05', '09000414','00');</v>
      </c>
    </row>
    <row r="23" spans="1:8" ht="75" x14ac:dyDescent="0.25">
      <c r="A23" s="7" t="s">
        <v>44</v>
      </c>
      <c r="B23" s="19" t="str">
        <f>VLOOKUP(A23,policy!B:D,2,)</f>
        <v>070000157177</v>
      </c>
      <c r="C23" t="s">
        <v>297</v>
      </c>
      <c r="D23" s="17" t="s">
        <v>891</v>
      </c>
      <c r="E23" s="20" t="str">
        <f>VLOOKUP(A23,policy!B:D,3,0)</f>
        <v>09000414</v>
      </c>
      <c r="F23" s="21" t="str">
        <f t="shared" si="1"/>
        <v>insert into ins_premium_det (premium_rcv_code,assorted_code, rec_amount,premium_rcv_detail_code,remaining_amt, payrec, mode_code,paid_to_code,class_cd) values</v>
      </c>
      <c r="G23" s="22" t="str">
        <f t="shared" si="2"/>
        <v>('11Dec240052','070000157177','-119.95',(select max(to_number(i.premium_rcv_detail_code))+1 from ins_premium_det i),'-119.95','-119.95','05', '09000414','00');</v>
      </c>
      <c r="H23" s="23" t="str">
        <f t="shared" si="0"/>
        <v>insert into ins_premium_det (premium_rcv_code,assorted_code, rec_amount,premium_rcv_detail_code,remaining_amt, payrec, mode_code,paid_to_code,class_cd) values('11Dec240052','070000157177','-119.95',(select max(to_number(i.premium_rcv_detail_code))+1 from ins_premium_det i),'-119.95','-119.95','05', '09000414','00');</v>
      </c>
    </row>
    <row r="24" spans="1:8" ht="75" x14ac:dyDescent="0.25">
      <c r="A24" s="7" t="s">
        <v>46</v>
      </c>
      <c r="B24" s="19" t="str">
        <f>VLOOKUP(A24,policy!B:D,2,)</f>
        <v>070000162385</v>
      </c>
      <c r="C24" t="s">
        <v>298</v>
      </c>
      <c r="D24" s="17" t="s">
        <v>891</v>
      </c>
      <c r="E24" s="20" t="str">
        <f>VLOOKUP(A24,policy!B:D,3,0)</f>
        <v>09000414</v>
      </c>
      <c r="F24" s="21" t="str">
        <f t="shared" si="1"/>
        <v>insert into ins_premium_det (premium_rcv_code,assorted_code, rec_amount,premium_rcv_detail_code,remaining_amt, payrec, mode_code,paid_to_code,class_cd) values</v>
      </c>
      <c r="G24" s="22" t="str">
        <f t="shared" si="2"/>
        <v>('11Dec240052','070000162385','-299.875',(select max(to_number(i.premium_rcv_detail_code))+1 from ins_premium_det i),'-299.875','-299.875','05', '09000414','00');</v>
      </c>
      <c r="H24" s="23" t="str">
        <f t="shared" si="0"/>
        <v>insert into ins_premium_det (premium_rcv_code,assorted_code, rec_amount,premium_rcv_detail_code,remaining_amt, payrec, mode_code,paid_to_code,class_cd) values('11Dec240052','070000162385','-299.875',(select max(to_number(i.premium_rcv_detail_code))+1 from ins_premium_det i),'-299.875','-299.875','05', '09000414','00');</v>
      </c>
    </row>
    <row r="25" spans="1:8" ht="75" x14ac:dyDescent="0.25">
      <c r="A25" s="7" t="s">
        <v>48</v>
      </c>
      <c r="B25" s="19" t="str">
        <f>VLOOKUP(A25,policy!B:D,2,)</f>
        <v>070000152027</v>
      </c>
      <c r="C25" t="s">
        <v>289</v>
      </c>
      <c r="D25" s="17" t="s">
        <v>891</v>
      </c>
      <c r="E25" s="20" t="str">
        <f>VLOOKUP(A25,policy!B:D,3,0)</f>
        <v>09000414</v>
      </c>
      <c r="F25" s="21" t="str">
        <f t="shared" si="1"/>
        <v>insert into ins_premium_det (premium_rcv_code,assorted_code, rec_amount,premium_rcv_detail_code,remaining_amt, payrec, mode_code,paid_to_code,class_cd) values</v>
      </c>
      <c r="G25" s="22" t="str">
        <f t="shared" si="2"/>
        <v>('11Dec240052','070000152027','-300',(select max(to_number(i.premium_rcv_detail_code))+1 from ins_premium_det i),'-300','-300','05', '09000414','00');</v>
      </c>
      <c r="H25" s="23" t="str">
        <f t="shared" si="0"/>
        <v>insert into ins_premium_det (premium_rcv_code,assorted_code, rec_amount,premium_rcv_detail_code,remaining_amt, payrec, mode_code,paid_to_code,class_cd) values('11Dec240052','070000152027','-300',(select max(to_number(i.premium_rcv_detail_code))+1 from ins_premium_det i),'-300','-300','05', '09000414','00');</v>
      </c>
    </row>
    <row r="26" spans="1:8" ht="75" x14ac:dyDescent="0.25">
      <c r="A26" s="7" t="s">
        <v>49</v>
      </c>
      <c r="B26" s="19" t="str">
        <f>VLOOKUP(A26,policy!B:D,2,)</f>
        <v>070000162390</v>
      </c>
      <c r="C26" t="s">
        <v>299</v>
      </c>
      <c r="D26" s="17" t="s">
        <v>891</v>
      </c>
      <c r="E26" s="20" t="str">
        <f>VLOOKUP(A26,policy!B:D,3,0)</f>
        <v>09000414</v>
      </c>
      <c r="F26" s="21" t="str">
        <f t="shared" si="1"/>
        <v>insert into ins_premium_det (premium_rcv_code,assorted_code, rec_amount,premium_rcv_detail_code,remaining_amt, payrec, mode_code,paid_to_code,class_cd) values</v>
      </c>
      <c r="G26" s="22" t="str">
        <f t="shared" si="2"/>
        <v>('11Dec240052','070000162390','-374.925',(select max(to_number(i.premium_rcv_detail_code))+1 from ins_premium_det i),'-374.925','-374.925','05', '09000414','00');</v>
      </c>
      <c r="H26" s="23" t="str">
        <f t="shared" si="0"/>
        <v>insert into ins_premium_det (premium_rcv_code,assorted_code, rec_amount,premium_rcv_detail_code,remaining_amt, payrec, mode_code,paid_to_code,class_cd) values('11Dec240052','070000162390','-374.925',(select max(to_number(i.premium_rcv_detail_code))+1 from ins_premium_det i),'-374.925','-374.925','05', '09000414','00');</v>
      </c>
    </row>
    <row r="27" spans="1:8" ht="75" x14ac:dyDescent="0.25">
      <c r="A27" s="7" t="s">
        <v>51</v>
      </c>
      <c r="B27" s="19" t="str">
        <f>VLOOKUP(A27,policy!B:D,2,)</f>
        <v>070000152024</v>
      </c>
      <c r="C27" t="s">
        <v>300</v>
      </c>
      <c r="D27" s="17" t="s">
        <v>891</v>
      </c>
      <c r="E27" s="20" t="str">
        <f>VLOOKUP(A27,policy!B:D,3,0)</f>
        <v>09000414</v>
      </c>
      <c r="F27" s="21" t="str">
        <f t="shared" si="1"/>
        <v>insert into ins_premium_det (premium_rcv_code,assorted_code, rec_amount,premium_rcv_detail_code,remaining_amt, payrec, mode_code,paid_to_code,class_cd) values</v>
      </c>
      <c r="G27" s="22" t="str">
        <f t="shared" si="2"/>
        <v>('11Dec240052','070000152024','-49.975',(select max(to_number(i.premium_rcv_detail_code))+1 from ins_premium_det i),'-49.975','-49.975','05', '09000414','00');</v>
      </c>
      <c r="H27" s="23" t="str">
        <f t="shared" si="0"/>
        <v>insert into ins_premium_det (premium_rcv_code,assorted_code, rec_amount,premium_rcv_detail_code,remaining_amt, payrec, mode_code,paid_to_code,class_cd) values('11Dec240052','070000152024','-49.975',(select max(to_number(i.premium_rcv_detail_code))+1 from ins_premium_det i),'-49.975','-49.975','05', '09000414','00');</v>
      </c>
    </row>
    <row r="28" spans="1:8" ht="75" x14ac:dyDescent="0.25">
      <c r="A28" s="7" t="s">
        <v>53</v>
      </c>
      <c r="B28" s="19" t="str">
        <f>VLOOKUP(A28,policy!B:D,2,)</f>
        <v>070000162369</v>
      </c>
      <c r="C28" t="s">
        <v>301</v>
      </c>
      <c r="D28" s="17" t="s">
        <v>891</v>
      </c>
      <c r="E28" s="20" t="str">
        <f>VLOOKUP(A28,policy!B:D,3,0)</f>
        <v>09000414</v>
      </c>
      <c r="F28" s="21" t="str">
        <f t="shared" si="1"/>
        <v>insert into ins_premium_det (premium_rcv_code,assorted_code, rec_amount,premium_rcv_detail_code,remaining_amt, payrec, mode_code,paid_to_code,class_cd) values</v>
      </c>
      <c r="G28" s="22" t="str">
        <f t="shared" si="2"/>
        <v>('11Dec240052','070000162369','-29.9',(select max(to_number(i.premium_rcv_detail_code))+1 from ins_premium_det i),'-29.9','-29.9','05', '09000414','00');</v>
      </c>
      <c r="H28" s="23" t="str">
        <f t="shared" si="0"/>
        <v>insert into ins_premium_det (premium_rcv_code,assorted_code, rec_amount,premium_rcv_detail_code,remaining_amt, payrec, mode_code,paid_to_code,class_cd) values('11Dec240052','070000162369','-29.9',(select max(to_number(i.premium_rcv_detail_code))+1 from ins_premium_det i),'-29.9','-29.9','05', '09000414','00');</v>
      </c>
    </row>
    <row r="29" spans="1:8" ht="75" x14ac:dyDescent="0.25">
      <c r="A29" s="7" t="s">
        <v>55</v>
      </c>
      <c r="B29" s="19" t="str">
        <f>VLOOKUP(A29,policy!B:D,2,)</f>
        <v>070000157171</v>
      </c>
      <c r="C29" t="s">
        <v>302</v>
      </c>
      <c r="D29" s="17" t="s">
        <v>891</v>
      </c>
      <c r="E29" s="20" t="str">
        <f>VLOOKUP(A29,policy!B:D,3,0)</f>
        <v>09000414</v>
      </c>
      <c r="F29" s="21" t="str">
        <f t="shared" si="1"/>
        <v>insert into ins_premium_det (premium_rcv_code,assorted_code, rec_amount,premium_rcv_detail_code,remaining_amt, payrec, mode_code,paid_to_code,class_cd) values</v>
      </c>
      <c r="G29" s="22" t="str">
        <f t="shared" si="2"/>
        <v>('11Dec240052','070000157171','-249.925',(select max(to_number(i.premium_rcv_detail_code))+1 from ins_premium_det i),'-249.925','-249.925','05', '09000414','00');</v>
      </c>
      <c r="H29" s="23" t="str">
        <f t="shared" si="0"/>
        <v>insert into ins_premium_det (premium_rcv_code,assorted_code, rec_amount,premium_rcv_detail_code,remaining_amt, payrec, mode_code,paid_to_code,class_cd) values('11Dec240052','070000157171','-249.925',(select max(to_number(i.premium_rcv_detail_code))+1 from ins_premium_det i),'-249.925','-249.925','05', '09000414','00');</v>
      </c>
    </row>
    <row r="30" spans="1:8" ht="75" x14ac:dyDescent="0.25">
      <c r="A30" s="7" t="s">
        <v>57</v>
      </c>
      <c r="B30" s="19" t="str">
        <f>VLOOKUP(A30,policy!B:D,2,)</f>
        <v>070000154308</v>
      </c>
      <c r="C30" t="s">
        <v>303</v>
      </c>
      <c r="D30" s="17" t="s">
        <v>891</v>
      </c>
      <c r="E30" s="20" t="str">
        <f>VLOOKUP(A30,policy!B:D,3,0)</f>
        <v>09000414</v>
      </c>
      <c r="F30" s="21" t="str">
        <f t="shared" si="1"/>
        <v>insert into ins_premium_det (premium_rcv_code,assorted_code, rec_amount,premium_rcv_detail_code,remaining_amt, payrec, mode_code,paid_to_code,class_cd) values</v>
      </c>
      <c r="G30" s="22" t="str">
        <f t="shared" si="2"/>
        <v>('11Dec240052','070000154308','-450.025',(select max(to_number(i.premium_rcv_detail_code))+1 from ins_premium_det i),'-450.025','-450.025','05', '09000414','00');</v>
      </c>
      <c r="H30" s="23" t="str">
        <f t="shared" si="0"/>
        <v>insert into ins_premium_det (premium_rcv_code,assorted_code, rec_amount,premium_rcv_detail_code,remaining_amt, payrec, mode_code,paid_to_code,class_cd) values('11Dec240052','070000154308','-450.025',(select max(to_number(i.premium_rcv_detail_code))+1 from ins_premium_det i),'-450.025','-450.025','05', '09000414','00');</v>
      </c>
    </row>
    <row r="31" spans="1:8" ht="75" x14ac:dyDescent="0.25">
      <c r="A31" s="7" t="s">
        <v>59</v>
      </c>
      <c r="B31" s="19" t="str">
        <f>VLOOKUP(A31,policy!B:D,2,)</f>
        <v>070000171452</v>
      </c>
      <c r="C31" t="s">
        <v>304</v>
      </c>
      <c r="D31" s="17" t="s">
        <v>891</v>
      </c>
      <c r="E31" s="20" t="str">
        <f>VLOOKUP(A31,policy!B:D,3,0)</f>
        <v>09000414</v>
      </c>
      <c r="F31" s="21" t="str">
        <f t="shared" si="1"/>
        <v>insert into ins_premium_det (premium_rcv_code,assorted_code, rec_amount,premium_rcv_detail_code,remaining_amt, payrec, mode_code,paid_to_code,class_cd) values</v>
      </c>
      <c r="G31" s="22" t="str">
        <f t="shared" si="2"/>
        <v>('11Dec240052','070000171452','-259.9',(select max(to_number(i.premium_rcv_detail_code))+1 from ins_premium_det i),'-259.9','-259.9','05', '09000414','00');</v>
      </c>
      <c r="H31" s="23" t="str">
        <f t="shared" si="0"/>
        <v>insert into ins_premium_det (premium_rcv_code,assorted_code, rec_amount,premium_rcv_detail_code,remaining_amt, payrec, mode_code,paid_to_code,class_cd) values('11Dec240052','070000171452','-259.9',(select max(to_number(i.premium_rcv_detail_code))+1 from ins_premium_det i),'-259.9','-259.9','05', '09000414','00');</v>
      </c>
    </row>
    <row r="32" spans="1:8" ht="75" x14ac:dyDescent="0.25">
      <c r="A32" s="7" t="s">
        <v>61</v>
      </c>
      <c r="B32" s="19" t="str">
        <f>VLOOKUP(A32,policy!B:D,2,)</f>
        <v>070000157165</v>
      </c>
      <c r="C32" t="s">
        <v>305</v>
      </c>
      <c r="D32" s="17" t="s">
        <v>891</v>
      </c>
      <c r="E32" s="20" t="str">
        <f>VLOOKUP(A32,policy!B:D,3,0)</f>
        <v>09000414</v>
      </c>
      <c r="F32" s="21" t="str">
        <f t="shared" si="1"/>
        <v>insert into ins_premium_det (premium_rcv_code,assorted_code, rec_amount,premium_rcv_detail_code,remaining_amt, payrec, mode_code,paid_to_code,class_cd) values</v>
      </c>
      <c r="G32" s="22" t="str">
        <f t="shared" si="2"/>
        <v>('11Dec240052','070000157165','-899.925',(select max(to_number(i.premium_rcv_detail_code))+1 from ins_premium_det i),'-899.925','-899.925','05', '09000414','00');</v>
      </c>
      <c r="H32" s="23" t="str">
        <f t="shared" si="0"/>
        <v>insert into ins_premium_det (premium_rcv_code,assorted_code, rec_amount,premium_rcv_detail_code,remaining_amt, payrec, mode_code,paid_to_code,class_cd) values('11Dec240052','070000157165','-899.925',(select max(to_number(i.premium_rcv_detail_code))+1 from ins_premium_det i),'-899.925','-899.925','05', '09000414','00');</v>
      </c>
    </row>
    <row r="33" spans="1:8" ht="75" x14ac:dyDescent="0.25">
      <c r="A33" s="7" t="s">
        <v>63</v>
      </c>
      <c r="B33" s="19" t="str">
        <f>VLOOKUP(A33,policy!B:D,2,)</f>
        <v>070000157173</v>
      </c>
      <c r="C33" t="s">
        <v>306</v>
      </c>
      <c r="D33" s="17" t="s">
        <v>891</v>
      </c>
      <c r="E33" s="20" t="str">
        <f>VLOOKUP(A33,policy!B:D,3,0)</f>
        <v>09000414</v>
      </c>
      <c r="F33" s="21" t="str">
        <f t="shared" si="1"/>
        <v>insert into ins_premium_det (premium_rcv_code,assorted_code, rec_amount,premium_rcv_detail_code,remaining_amt, payrec, mode_code,paid_to_code,class_cd) values</v>
      </c>
      <c r="G33" s="22" t="str">
        <f t="shared" si="2"/>
        <v>('11Dec240052','070000157173','-499.95',(select max(to_number(i.premium_rcv_detail_code))+1 from ins_premium_det i),'-499.95','-499.95','05', '09000414','00');</v>
      </c>
      <c r="H33" s="23" t="str">
        <f t="shared" si="0"/>
        <v>insert into ins_premium_det (premium_rcv_code,assorted_code, rec_amount,premium_rcv_detail_code,remaining_amt, payrec, mode_code,paid_to_code,class_cd) values('11Dec240052','070000157173','-499.95',(select max(to_number(i.premium_rcv_detail_code))+1 from ins_premium_det i),'-499.95','-499.95','05', '09000414','00');</v>
      </c>
    </row>
    <row r="34" spans="1:8" ht="75" x14ac:dyDescent="0.25">
      <c r="A34" s="7" t="s">
        <v>65</v>
      </c>
      <c r="B34" s="19" t="str">
        <f>VLOOKUP(A34,policy!B:D,2,)</f>
        <v>070000162384</v>
      </c>
      <c r="C34" t="s">
        <v>307</v>
      </c>
      <c r="D34" s="17" t="s">
        <v>891</v>
      </c>
      <c r="E34" s="20" t="str">
        <f>VLOOKUP(A34,policy!B:D,3,0)</f>
        <v>09000414</v>
      </c>
      <c r="F34" s="21" t="str">
        <f t="shared" si="1"/>
        <v>insert into ins_premium_det (premium_rcv_code,assorted_code, rec_amount,premium_rcv_detail_code,remaining_amt, payrec, mode_code,paid_to_code,class_cd) values</v>
      </c>
      <c r="G34" s="22" t="str">
        <f t="shared" si="2"/>
        <v>('11Dec240052','070000162384','-599.875',(select max(to_number(i.premium_rcv_detail_code))+1 from ins_premium_det i),'-599.875','-599.875','05', '09000414','00');</v>
      </c>
      <c r="H34" s="23" t="str">
        <f t="shared" si="0"/>
        <v>insert into ins_premium_det (premium_rcv_code,assorted_code, rec_amount,premium_rcv_detail_code,remaining_amt, payrec, mode_code,paid_to_code,class_cd) values('11Dec240052','070000162384','-599.875',(select max(to_number(i.premium_rcv_detail_code))+1 from ins_premium_det i),'-599.875','-599.875','05', '09000414','00');</v>
      </c>
    </row>
    <row r="35" spans="1:8" ht="75" x14ac:dyDescent="0.25">
      <c r="A35" s="7" t="s">
        <v>67</v>
      </c>
      <c r="B35" s="19" t="str">
        <f>VLOOKUP(A35,policy!B:D,2,)</f>
        <v>070000162383</v>
      </c>
      <c r="C35" t="s">
        <v>308</v>
      </c>
      <c r="D35" s="17" t="s">
        <v>891</v>
      </c>
      <c r="E35" s="20" t="str">
        <f>VLOOKUP(A35,policy!B:D,3,0)</f>
        <v>09000414</v>
      </c>
      <c r="F35" s="21" t="str">
        <f t="shared" si="1"/>
        <v>insert into ins_premium_det (premium_rcv_code,assorted_code, rec_amount,premium_rcv_detail_code,remaining_amt, payrec, mode_code,paid_to_code,class_cd) values</v>
      </c>
      <c r="G35" s="22" t="str">
        <f t="shared" si="2"/>
        <v>('11Dec240052','070000162383','-749.85',(select max(to_number(i.premium_rcv_detail_code))+1 from ins_premium_det i),'-749.85','-749.85','05', '09000414','00');</v>
      </c>
      <c r="H35" s="23" t="str">
        <f t="shared" si="0"/>
        <v>insert into ins_premium_det (premium_rcv_code,assorted_code, rec_amount,premium_rcv_detail_code,remaining_amt, payrec, mode_code,paid_to_code,class_cd) values('11Dec240052','070000162383','-749.85',(select max(to_number(i.premium_rcv_detail_code))+1 from ins_premium_det i),'-749.85','-749.85','05', '09000414','00');</v>
      </c>
    </row>
    <row r="36" spans="1:8" ht="75" x14ac:dyDescent="0.25">
      <c r="A36" s="7" t="s">
        <v>69</v>
      </c>
      <c r="B36" s="19" t="str">
        <f>VLOOKUP(A36,policy!B:D,2,)</f>
        <v>070000164184</v>
      </c>
      <c r="C36" t="s">
        <v>309</v>
      </c>
      <c r="D36" s="17" t="s">
        <v>891</v>
      </c>
      <c r="E36" s="20" t="str">
        <f>VLOOKUP(A36,policy!B:D,3,0)</f>
        <v>09000414</v>
      </c>
      <c r="F36" s="21" t="str">
        <f t="shared" si="1"/>
        <v>insert into ins_premium_det (premium_rcv_code,assorted_code, rec_amount,premium_rcv_detail_code,remaining_amt, payrec, mode_code,paid_to_code,class_cd) values</v>
      </c>
      <c r="G36" s="22" t="str">
        <f t="shared" si="2"/>
        <v>('11Dec240052','070000164184','-799.925',(select max(to_number(i.premium_rcv_detail_code))+1 from ins_premium_det i),'-799.925','-799.925','05', '09000414','00');</v>
      </c>
      <c r="H36" s="23" t="str">
        <f t="shared" si="0"/>
        <v>insert into ins_premium_det (premium_rcv_code,assorted_code, rec_amount,premium_rcv_detail_code,remaining_amt, payrec, mode_code,paid_to_code,class_cd) values('11Dec240052','070000164184','-799.925',(select max(to_number(i.premium_rcv_detail_code))+1 from ins_premium_det i),'-799.925','-799.925','05', '09000414','00');</v>
      </c>
    </row>
    <row r="37" spans="1:8" ht="75" x14ac:dyDescent="0.25">
      <c r="A37" s="7" t="s">
        <v>71</v>
      </c>
      <c r="B37" s="19" t="str">
        <f>VLOOKUP(A37,policy!B:D,2,)</f>
        <v>070000152026</v>
      </c>
      <c r="C37" t="s">
        <v>310</v>
      </c>
      <c r="D37" s="17" t="s">
        <v>891</v>
      </c>
      <c r="E37" s="20" t="str">
        <f>VLOOKUP(A37,policy!B:D,3,0)</f>
        <v>09000414</v>
      </c>
      <c r="F37" s="21" t="str">
        <f t="shared" si="1"/>
        <v>insert into ins_premium_det (premium_rcv_code,assorted_code, rec_amount,premium_rcv_detail_code,remaining_amt, payrec, mode_code,paid_to_code,class_cd) values</v>
      </c>
      <c r="G37" s="22" t="str">
        <f t="shared" si="2"/>
        <v>('11Dec240052','070000152026','-600',(select max(to_number(i.premium_rcv_detail_code))+1 from ins_premium_det i),'-600','-600','05', '09000414','00');</v>
      </c>
      <c r="H37" s="23" t="str">
        <f t="shared" si="0"/>
        <v>insert into ins_premium_det (premium_rcv_code,assorted_code, rec_amount,premium_rcv_detail_code,remaining_amt, payrec, mode_code,paid_to_code,class_cd) values('11Dec240052','070000152026','-600',(select max(to_number(i.premium_rcv_detail_code))+1 from ins_premium_det i),'-600','-600','05', '09000414','00');</v>
      </c>
    </row>
    <row r="38" spans="1:8" ht="75" x14ac:dyDescent="0.25">
      <c r="A38" s="7" t="s">
        <v>73</v>
      </c>
      <c r="B38" s="19" t="str">
        <f>VLOOKUP(A38,policy!B:D,2,)</f>
        <v>070000167588</v>
      </c>
      <c r="C38" t="s">
        <v>311</v>
      </c>
      <c r="D38" s="17" t="s">
        <v>891</v>
      </c>
      <c r="E38" s="20" t="str">
        <f>VLOOKUP(A38,policy!B:D,3,0)</f>
        <v>09000414</v>
      </c>
      <c r="F38" s="21" t="str">
        <f t="shared" si="1"/>
        <v>insert into ins_premium_det (premium_rcv_code,assorted_code, rec_amount,premium_rcv_detail_code,remaining_amt, payrec, mode_code,paid_to_code,class_cd) values</v>
      </c>
      <c r="G38" s="22" t="str">
        <f t="shared" si="2"/>
        <v>('11Dec240052','070000167588','-199.875',(select max(to_number(i.premium_rcv_detail_code))+1 from ins_premium_det i),'-199.875','-199.875','05', '09000414','00');</v>
      </c>
      <c r="H38" s="23" t="str">
        <f t="shared" si="0"/>
        <v>insert into ins_premium_det (premium_rcv_code,assorted_code, rec_amount,premium_rcv_detail_code,remaining_amt, payrec, mode_code,paid_to_code,class_cd) values('11Dec240052','070000167588','-199.875',(select max(to_number(i.premium_rcv_detail_code))+1 from ins_premium_det i),'-199.875','-199.875','05', '09000414','00');</v>
      </c>
    </row>
    <row r="39" spans="1:8" ht="75" x14ac:dyDescent="0.25">
      <c r="A39" s="7" t="s">
        <v>75</v>
      </c>
      <c r="B39" s="19" t="str">
        <f>VLOOKUP(A39,policy!B:D,2,)</f>
        <v>070000164177</v>
      </c>
      <c r="C39" t="s">
        <v>312</v>
      </c>
      <c r="D39" s="17" t="s">
        <v>891</v>
      </c>
      <c r="E39" s="20" t="str">
        <f>VLOOKUP(A39,policy!B:D,3,0)</f>
        <v>09000414</v>
      </c>
      <c r="F39" s="21" t="str">
        <f t="shared" si="1"/>
        <v>insert into ins_premium_det (premium_rcv_code,assorted_code, rec_amount,premium_rcv_detail_code,remaining_amt, payrec, mode_code,paid_to_code,class_cd) values</v>
      </c>
      <c r="G39" s="22" t="str">
        <f t="shared" si="2"/>
        <v>('11Dec240052','070000164177','-149.9',(select max(to_number(i.premium_rcv_detail_code))+1 from ins_premium_det i),'-149.9','-149.9','05', '09000414','00');</v>
      </c>
      <c r="H39" s="23" t="str">
        <f t="shared" si="0"/>
        <v>insert into ins_premium_det (premium_rcv_code,assorted_code, rec_amount,premium_rcv_detail_code,remaining_amt, payrec, mode_code,paid_to_code,class_cd) values('11Dec240052','070000164177','-149.9',(select max(to_number(i.premium_rcv_detail_code))+1 from ins_premium_det i),'-149.9','-149.9','05', '09000414','00');</v>
      </c>
    </row>
    <row r="40" spans="1:8" ht="75" x14ac:dyDescent="0.25">
      <c r="A40" s="7" t="s">
        <v>77</v>
      </c>
      <c r="B40" s="19" t="str">
        <f>VLOOKUP(A40,policy!B:D,2,)</f>
        <v>070000171442</v>
      </c>
      <c r="C40" t="s">
        <v>279</v>
      </c>
      <c r="D40" s="17" t="s">
        <v>891</v>
      </c>
      <c r="E40" s="20" t="str">
        <f>VLOOKUP(A40,policy!B:D,3,0)</f>
        <v>09000414</v>
      </c>
      <c r="F40" s="21" t="str">
        <f t="shared" si="1"/>
        <v>insert into ins_premium_det (premium_rcv_code,assorted_code, rec_amount,premium_rcv_detail_code,remaining_amt, payrec, mode_code,paid_to_code,class_cd) values</v>
      </c>
      <c r="G40" s="22" t="str">
        <f t="shared" si="2"/>
        <v>('11Dec240052','070000171442','-99.875',(select max(to_number(i.premium_rcv_detail_code))+1 from ins_premium_det i),'-99.875','-99.875','05', '09000414','00');</v>
      </c>
      <c r="H40" s="23" t="str">
        <f t="shared" si="0"/>
        <v>insert into ins_premium_det (premium_rcv_code,assorted_code, rec_amount,premium_rcv_detail_code,remaining_amt, payrec, mode_code,paid_to_code,class_cd) values('11Dec240052','070000171442','-99.875',(select max(to_number(i.premium_rcv_detail_code))+1 from ins_premium_det i),'-99.875','-99.875','05', '09000414','00');</v>
      </c>
    </row>
    <row r="41" spans="1:8" ht="75" x14ac:dyDescent="0.25">
      <c r="A41" s="7" t="s">
        <v>79</v>
      </c>
      <c r="B41" s="19" t="str">
        <f>VLOOKUP(A41,policy!B:D,2,)</f>
        <v>070000157179</v>
      </c>
      <c r="C41" t="s">
        <v>306</v>
      </c>
      <c r="D41" s="17" t="s">
        <v>891</v>
      </c>
      <c r="E41" s="20" t="str">
        <f>VLOOKUP(A41,policy!B:D,3,0)</f>
        <v>09000414</v>
      </c>
      <c r="F41" s="21" t="str">
        <f t="shared" si="1"/>
        <v>insert into ins_premium_det (premium_rcv_code,assorted_code, rec_amount,premium_rcv_detail_code,remaining_amt, payrec, mode_code,paid_to_code,class_cd) values</v>
      </c>
      <c r="G41" s="22" t="str">
        <f t="shared" si="2"/>
        <v>('11Dec240052','070000157179','-499.95',(select max(to_number(i.premium_rcv_detail_code))+1 from ins_premium_det i),'-499.95','-499.95','05', '09000414','00');</v>
      </c>
      <c r="H41" s="23" t="str">
        <f t="shared" si="0"/>
        <v>insert into ins_premium_det (premium_rcv_code,assorted_code, rec_amount,premium_rcv_detail_code,remaining_amt, payrec, mode_code,paid_to_code,class_cd) values('11Dec240052','070000157179','-499.95',(select max(to_number(i.premium_rcv_detail_code))+1 from ins_premium_det i),'-499.95','-499.95','05', '09000414','00');</v>
      </c>
    </row>
    <row r="42" spans="1:8" ht="75" x14ac:dyDescent="0.25">
      <c r="A42" s="7" t="s">
        <v>81</v>
      </c>
      <c r="B42" s="19" t="str">
        <f>VLOOKUP(A42,policy!B:D,2,)</f>
        <v>070000169510</v>
      </c>
      <c r="C42" t="s">
        <v>313</v>
      </c>
      <c r="D42" s="17" t="s">
        <v>891</v>
      </c>
      <c r="E42" s="20" t="str">
        <f>VLOOKUP(A42,policy!B:D,3,0)</f>
        <v>09000414</v>
      </c>
      <c r="F42" s="21" t="str">
        <f t="shared" si="1"/>
        <v>insert into ins_premium_det (premium_rcv_code,assorted_code, rec_amount,premium_rcv_detail_code,remaining_amt, payrec, mode_code,paid_to_code,class_cd) values</v>
      </c>
      <c r="G42" s="22" t="str">
        <f t="shared" si="2"/>
        <v>('11Dec240052','070000169510','-212.6',(select max(to_number(i.premium_rcv_detail_code))+1 from ins_premium_det i),'-212.6','-212.6','05', '09000414','00');</v>
      </c>
      <c r="H42" s="23" t="str">
        <f t="shared" si="0"/>
        <v>insert into ins_premium_det (premium_rcv_code,assorted_code, rec_amount,premium_rcv_detail_code,remaining_amt, payrec, mode_code,paid_to_code,class_cd) values('11Dec240052','070000169510','-212.6',(select max(to_number(i.premium_rcv_detail_code))+1 from ins_premium_det i),'-212.6','-212.6','05', '09000414','00');</v>
      </c>
    </row>
    <row r="43" spans="1:8" ht="75" x14ac:dyDescent="0.25">
      <c r="A43" s="7" t="s">
        <v>83</v>
      </c>
      <c r="B43" s="19" t="str">
        <f>VLOOKUP(A43,policy!B:D,2,)</f>
        <v>070000154315</v>
      </c>
      <c r="C43" t="s">
        <v>314</v>
      </c>
      <c r="D43" s="17" t="s">
        <v>891</v>
      </c>
      <c r="E43" s="20" t="str">
        <f>VLOOKUP(A43,policy!B:D,3,0)</f>
        <v>09000414</v>
      </c>
      <c r="F43" s="21" t="str">
        <f t="shared" si="1"/>
        <v>insert into ins_premium_det (premium_rcv_code,assorted_code, rec_amount,premium_rcv_detail_code,remaining_amt, payrec, mode_code,paid_to_code,class_cd) values</v>
      </c>
      <c r="G43" s="22" t="str">
        <f t="shared" si="2"/>
        <v>('11Dec240052','070000154315','-195.025',(select max(to_number(i.premium_rcv_detail_code))+1 from ins_premium_det i),'-195.025','-195.025','05', '09000414','00');</v>
      </c>
      <c r="H43" s="23" t="str">
        <f t="shared" si="0"/>
        <v>insert into ins_premium_det (premium_rcv_code,assorted_code, rec_amount,premium_rcv_detail_code,remaining_amt, payrec, mode_code,paid_to_code,class_cd) values('11Dec240052','070000154315','-195.025',(select max(to_number(i.premium_rcv_detail_code))+1 from ins_premium_det i),'-195.025','-195.025','05', '09000414','00');</v>
      </c>
    </row>
    <row r="44" spans="1:8" ht="75" x14ac:dyDescent="0.25">
      <c r="A44" s="7" t="s">
        <v>84</v>
      </c>
      <c r="B44" s="19" t="str">
        <f>VLOOKUP(A44,policy!B:D,2,)</f>
        <v>070000152023</v>
      </c>
      <c r="C44" t="s">
        <v>314</v>
      </c>
      <c r="D44" s="17" t="s">
        <v>891</v>
      </c>
      <c r="E44" s="20" t="str">
        <f>VLOOKUP(A44,policy!B:D,3,0)</f>
        <v>09000414</v>
      </c>
      <c r="F44" s="21" t="str">
        <f t="shared" si="1"/>
        <v>insert into ins_premium_det (premium_rcv_code,assorted_code, rec_amount,premium_rcv_detail_code,remaining_amt, payrec, mode_code,paid_to_code,class_cd) values</v>
      </c>
      <c r="G44" s="22" t="str">
        <f t="shared" si="2"/>
        <v>('11Dec240052','070000152023','-195.025',(select max(to_number(i.premium_rcv_detail_code))+1 from ins_premium_det i),'-195.025','-195.025','05', '09000414','00');</v>
      </c>
      <c r="H44" s="23" t="str">
        <f t="shared" si="0"/>
        <v>insert into ins_premium_det (premium_rcv_code,assorted_code, rec_amount,premium_rcv_detail_code,remaining_amt, payrec, mode_code,paid_to_code,class_cd) values('11Dec240052','070000152023','-195.025',(select max(to_number(i.premium_rcv_detail_code))+1 from ins_premium_det i),'-195.025','-195.025','05', '09000414','00');</v>
      </c>
    </row>
    <row r="45" spans="1:8" ht="75" x14ac:dyDescent="0.25">
      <c r="A45" s="7" t="s">
        <v>85</v>
      </c>
      <c r="B45" s="19" t="str">
        <f>VLOOKUP(A45,policy!B:D,2,)</f>
        <v>070000167591</v>
      </c>
      <c r="C45" t="s">
        <v>288</v>
      </c>
      <c r="D45" s="17" t="s">
        <v>891</v>
      </c>
      <c r="E45" s="20" t="str">
        <f>VLOOKUP(A45,policy!B:D,3,0)</f>
        <v>09000414</v>
      </c>
      <c r="F45" s="21" t="str">
        <f t="shared" si="1"/>
        <v>insert into ins_premium_det (premium_rcv_code,assorted_code, rec_amount,premium_rcv_detail_code,remaining_amt, payrec, mode_code,paid_to_code,class_cd) values</v>
      </c>
      <c r="G45" s="22" t="str">
        <f t="shared" si="2"/>
        <v>('11Dec240052','070000167591','-499.925',(select max(to_number(i.premium_rcv_detail_code))+1 from ins_premium_det i),'-499.925','-499.925','05', '09000414','00');</v>
      </c>
      <c r="H45" s="23" t="str">
        <f t="shared" si="0"/>
        <v>insert into ins_premium_det (premium_rcv_code,assorted_code, rec_amount,premium_rcv_detail_code,remaining_amt, payrec, mode_code,paid_to_code,class_cd) values('11Dec240052','070000167591','-499.925',(select max(to_number(i.premium_rcv_detail_code))+1 from ins_premium_det i),'-499.925','-499.925','05', '09000414','00');</v>
      </c>
    </row>
    <row r="46" spans="1:8" ht="75" x14ac:dyDescent="0.25">
      <c r="A46" s="7" t="s">
        <v>87</v>
      </c>
      <c r="B46" s="19" t="str">
        <f>VLOOKUP(A46,policy!B:D,2,)</f>
        <v>070000157182</v>
      </c>
      <c r="C46" t="s">
        <v>315</v>
      </c>
      <c r="D46" s="17" t="s">
        <v>891</v>
      </c>
      <c r="E46" s="20" t="str">
        <f>VLOOKUP(A46,policy!B:D,3,0)</f>
        <v>09000414</v>
      </c>
      <c r="F46" s="21" t="str">
        <f t="shared" si="1"/>
        <v>insert into ins_premium_det (premium_rcv_code,assorted_code, rec_amount,premium_rcv_detail_code,remaining_amt, payrec, mode_code,paid_to_code,class_cd) values</v>
      </c>
      <c r="G46" s="22" t="str">
        <f t="shared" si="2"/>
        <v>('11Dec240052','070000157182','-500',(select max(to_number(i.premium_rcv_detail_code))+1 from ins_premium_det i),'-500','-500','05', '09000414','00');</v>
      </c>
      <c r="H46" s="23" t="str">
        <f t="shared" si="0"/>
        <v>insert into ins_premium_det (premium_rcv_code,assorted_code, rec_amount,premium_rcv_detail_code,remaining_amt, payrec, mode_code,paid_to_code,class_cd) values('11Dec240052','070000157182','-500',(select max(to_number(i.premium_rcv_detail_code))+1 from ins_premium_det i),'-500','-500','05', '09000414','00');</v>
      </c>
    </row>
    <row r="47" spans="1:8" ht="75" x14ac:dyDescent="0.25">
      <c r="A47" s="7" t="s">
        <v>88</v>
      </c>
      <c r="B47" s="19" t="str">
        <f>VLOOKUP(A47,policy!B:D,2,)</f>
        <v>070000157170</v>
      </c>
      <c r="C47" t="s">
        <v>306</v>
      </c>
      <c r="D47" s="17" t="s">
        <v>891</v>
      </c>
      <c r="E47" s="20" t="str">
        <f>VLOOKUP(A47,policy!B:D,3,0)</f>
        <v>09000414</v>
      </c>
      <c r="F47" s="21" t="str">
        <f t="shared" si="1"/>
        <v>insert into ins_premium_det (premium_rcv_code,assorted_code, rec_amount,premium_rcv_detail_code,remaining_amt, payrec, mode_code,paid_to_code,class_cd) values</v>
      </c>
      <c r="G47" s="22" t="str">
        <f t="shared" si="2"/>
        <v>('11Dec240052','070000157170','-499.95',(select max(to_number(i.premium_rcv_detail_code))+1 from ins_premium_det i),'-499.95','-499.95','05', '09000414','00');</v>
      </c>
      <c r="H47" s="23" t="str">
        <f t="shared" si="0"/>
        <v>insert into ins_premium_det (premium_rcv_code,assorted_code, rec_amount,premium_rcv_detail_code,remaining_amt, payrec, mode_code,paid_to_code,class_cd) values('11Dec240052','070000157170','-499.95',(select max(to_number(i.premium_rcv_detail_code))+1 from ins_premium_det i),'-499.95','-499.95','05', '09000414','00');</v>
      </c>
    </row>
    <row r="48" spans="1:8" ht="75" x14ac:dyDescent="0.25">
      <c r="A48" s="7" t="s">
        <v>90</v>
      </c>
      <c r="B48" s="19" t="str">
        <f>VLOOKUP(A48,policy!B:D,2,)</f>
        <v>070000162406</v>
      </c>
      <c r="C48" t="s">
        <v>288</v>
      </c>
      <c r="D48" s="17" t="s">
        <v>891</v>
      </c>
      <c r="E48" s="20" t="str">
        <f>VLOOKUP(A48,policy!B:D,3,0)</f>
        <v>09000414</v>
      </c>
      <c r="F48" s="21" t="str">
        <f t="shared" si="1"/>
        <v>insert into ins_premium_det (premium_rcv_code,assorted_code, rec_amount,premium_rcv_detail_code,remaining_amt, payrec, mode_code,paid_to_code,class_cd) values</v>
      </c>
      <c r="G48" s="22" t="str">
        <f t="shared" si="2"/>
        <v>('11Dec240052','070000162406','-499.925',(select max(to_number(i.premium_rcv_detail_code))+1 from ins_premium_det i),'-499.925','-499.925','05', '09000414','00');</v>
      </c>
      <c r="H48" s="23" t="str">
        <f t="shared" si="0"/>
        <v>insert into ins_premium_det (premium_rcv_code,assorted_code, rec_amount,premium_rcv_detail_code,remaining_amt, payrec, mode_code,paid_to_code,class_cd) values('11Dec240052','070000162406','-499.925',(select max(to_number(i.premium_rcv_detail_code))+1 from ins_premium_det i),'-499.925','-499.925','05', '09000414','00');</v>
      </c>
    </row>
    <row r="49" spans="1:8" ht="75" x14ac:dyDescent="0.25">
      <c r="A49" s="7" t="s">
        <v>92</v>
      </c>
      <c r="B49" s="19" t="str">
        <f>VLOOKUP(A49,policy!B:D,2,)</f>
        <v>070000167585</v>
      </c>
      <c r="C49" t="s">
        <v>316</v>
      </c>
      <c r="D49" s="17" t="s">
        <v>891</v>
      </c>
      <c r="E49" s="20" t="str">
        <f>VLOOKUP(A49,policy!B:D,3,0)</f>
        <v>09000414</v>
      </c>
      <c r="F49" s="21" t="str">
        <f t="shared" si="1"/>
        <v>insert into ins_premium_det (premium_rcv_code,assorted_code, rec_amount,premium_rcv_detail_code,remaining_amt, payrec, mode_code,paid_to_code,class_cd) values</v>
      </c>
      <c r="G49" s="22" t="str">
        <f t="shared" si="2"/>
        <v>('11Dec240052','070000167585','-34.9',(select max(to_number(i.premium_rcv_detail_code))+1 from ins_premium_det i),'-34.9','-34.9','05', '09000414','00');</v>
      </c>
      <c r="H49" s="23" t="str">
        <f t="shared" si="0"/>
        <v>insert into ins_premium_det (premium_rcv_code,assorted_code, rec_amount,premium_rcv_detail_code,remaining_amt, payrec, mode_code,paid_to_code,class_cd) values('11Dec240052','070000167585','-34.9',(select max(to_number(i.premium_rcv_detail_code))+1 from ins_premium_det i),'-34.9','-34.9','05', '09000414','00');</v>
      </c>
    </row>
    <row r="50" spans="1:8" ht="75" x14ac:dyDescent="0.25">
      <c r="A50" s="7" t="s">
        <v>94</v>
      </c>
      <c r="B50" s="19" t="str">
        <f>VLOOKUP(A50,policy!B:D,2,)</f>
        <v>070000157169</v>
      </c>
      <c r="C50" t="s">
        <v>317</v>
      </c>
      <c r="D50" s="17" t="s">
        <v>891</v>
      </c>
      <c r="E50" s="20" t="str">
        <f>VLOOKUP(A50,policy!B:D,3,0)</f>
        <v>09000414</v>
      </c>
      <c r="F50" s="21" t="str">
        <f t="shared" si="1"/>
        <v>insert into ins_premium_det (premium_rcv_code,assorted_code, rec_amount,premium_rcv_detail_code,remaining_amt, payrec, mode_code,paid_to_code,class_cd) values</v>
      </c>
      <c r="G50" s="22" t="str">
        <f t="shared" si="2"/>
        <v>('11Dec240052','070000157169','-34.95',(select max(to_number(i.premium_rcv_detail_code))+1 from ins_premium_det i),'-34.95','-34.95','05', '09000414','00');</v>
      </c>
      <c r="H50" s="23" t="str">
        <f t="shared" si="0"/>
        <v>insert into ins_premium_det (premium_rcv_code,assorted_code, rec_amount,premium_rcv_detail_code,remaining_amt, payrec, mode_code,paid_to_code,class_cd) values('11Dec240052','070000157169','-34.95',(select max(to_number(i.premium_rcv_detail_code))+1 from ins_premium_det i),'-34.95','-34.95','05', '09000414','00');</v>
      </c>
    </row>
    <row r="51" spans="1:8" ht="75" x14ac:dyDescent="0.25">
      <c r="A51" s="7" t="s">
        <v>95</v>
      </c>
      <c r="B51" s="19" t="str">
        <f>VLOOKUP(A51,policy!B:D,2,)</f>
        <v>070000162410</v>
      </c>
      <c r="C51" t="s">
        <v>288</v>
      </c>
      <c r="D51" s="17" t="s">
        <v>891</v>
      </c>
      <c r="E51" s="20" t="str">
        <f>VLOOKUP(A51,policy!B:D,3,0)</f>
        <v>09000414</v>
      </c>
      <c r="F51" s="21" t="str">
        <f t="shared" si="1"/>
        <v>insert into ins_premium_det (premium_rcv_code,assorted_code, rec_amount,premium_rcv_detail_code,remaining_amt, payrec, mode_code,paid_to_code,class_cd) values</v>
      </c>
      <c r="G51" s="22" t="str">
        <f t="shared" si="2"/>
        <v>('11Dec240052','070000162410','-499.925',(select max(to_number(i.premium_rcv_detail_code))+1 from ins_premium_det i),'-499.925','-499.925','05', '09000414','00');</v>
      </c>
      <c r="H51" s="23" t="str">
        <f t="shared" si="0"/>
        <v>insert into ins_premium_det (premium_rcv_code,assorted_code, rec_amount,premium_rcv_detail_code,remaining_amt, payrec, mode_code,paid_to_code,class_cd) values('11Dec240052','070000162410','-499.925',(select max(to_number(i.premium_rcv_detail_code))+1 from ins_premium_det i),'-499.925','-499.925','05', '09000414','00');</v>
      </c>
    </row>
    <row r="52" spans="1:8" ht="75" x14ac:dyDescent="0.25">
      <c r="A52" s="7" t="s">
        <v>97</v>
      </c>
      <c r="B52" s="19" t="str">
        <f>VLOOKUP(A52,policy!B:D,2,)</f>
        <v>070000162380</v>
      </c>
      <c r="C52" t="s">
        <v>295</v>
      </c>
      <c r="D52" s="17" t="s">
        <v>891</v>
      </c>
      <c r="E52" s="20" t="str">
        <f>VLOOKUP(A52,policy!B:D,3,0)</f>
        <v>09000414</v>
      </c>
      <c r="F52" s="21" t="str">
        <f t="shared" si="1"/>
        <v>insert into ins_premium_det (premium_rcv_code,assorted_code, rec_amount,premium_rcv_detail_code,remaining_amt, payrec, mode_code,paid_to_code,class_cd) values</v>
      </c>
      <c r="G52" s="22" t="str">
        <f t="shared" si="2"/>
        <v>('11Dec240052','070000162380','-24.9',(select max(to_number(i.premium_rcv_detail_code))+1 from ins_premium_det i),'-24.9','-24.9','05', '09000414','00');</v>
      </c>
      <c r="H52" s="23" t="str">
        <f t="shared" si="0"/>
        <v>insert into ins_premium_det (premium_rcv_code,assorted_code, rec_amount,premium_rcv_detail_code,remaining_amt, payrec, mode_code,paid_to_code,class_cd) values('11Dec240052','070000162380','-24.9',(select max(to_number(i.premium_rcv_detail_code))+1 from ins_premium_det i),'-24.9','-24.9','05', '09000414','00');</v>
      </c>
    </row>
    <row r="53" spans="1:8" ht="75" x14ac:dyDescent="0.25">
      <c r="A53" s="7" t="s">
        <v>99</v>
      </c>
      <c r="B53" s="19" t="str">
        <f>VLOOKUP(A53,policy!B:D,2,)</f>
        <v>070000152021</v>
      </c>
      <c r="C53" t="s">
        <v>318</v>
      </c>
      <c r="D53" s="17" t="s">
        <v>891</v>
      </c>
      <c r="E53" s="20" t="str">
        <f>VLOOKUP(A53,policy!B:D,3,0)</f>
        <v>09000414</v>
      </c>
      <c r="F53" s="21" t="str">
        <f t="shared" si="1"/>
        <v>insert into ins_premium_det (premium_rcv_code,assorted_code, rec_amount,premium_rcv_detail_code,remaining_amt, payrec, mode_code,paid_to_code,class_cd) values</v>
      </c>
      <c r="G53" s="22" t="str">
        <f t="shared" si="2"/>
        <v>('11Dec240052','070000152021','-25.025',(select max(to_number(i.premium_rcv_detail_code))+1 from ins_premium_det i),'-25.025','-25.025','05', '09000414','00');</v>
      </c>
      <c r="H53" s="23" t="str">
        <f t="shared" si="0"/>
        <v>insert into ins_premium_det (premium_rcv_code,assorted_code, rec_amount,premium_rcv_detail_code,remaining_amt, payrec, mode_code,paid_to_code,class_cd) values('11Dec240052','070000152021','-25.025',(select max(to_number(i.premium_rcv_detail_code))+1 from ins_premium_det i),'-25.025','-25.025','05', '09000414','00');</v>
      </c>
    </row>
    <row r="54" spans="1:8" ht="75" x14ac:dyDescent="0.25">
      <c r="A54" s="7" t="s">
        <v>100</v>
      </c>
      <c r="B54" s="19" t="str">
        <f>VLOOKUP(A54,policy!B:D,2,)</f>
        <v>070000169508</v>
      </c>
      <c r="C54" t="s">
        <v>279</v>
      </c>
      <c r="D54" s="17" t="s">
        <v>891</v>
      </c>
      <c r="E54" s="20" t="str">
        <f>VLOOKUP(A54,policy!B:D,3,0)</f>
        <v>09000414</v>
      </c>
      <c r="F54" s="21" t="str">
        <f t="shared" si="1"/>
        <v>insert into ins_premium_det (premium_rcv_code,assorted_code, rec_amount,premium_rcv_detail_code,remaining_amt, payrec, mode_code,paid_to_code,class_cd) values</v>
      </c>
      <c r="G54" s="22" t="str">
        <f t="shared" si="2"/>
        <v>('11Dec240052','070000169508','-99.875',(select max(to_number(i.premium_rcv_detail_code))+1 from ins_premium_det i),'-99.875','-99.875','05', '09000414','00');</v>
      </c>
      <c r="H54" s="23" t="str">
        <f t="shared" si="0"/>
        <v>insert into ins_premium_det (premium_rcv_code,assorted_code, rec_amount,premium_rcv_detail_code,remaining_amt, payrec, mode_code,paid_to_code,class_cd) values('11Dec240052','070000169508','-99.875',(select max(to_number(i.premium_rcv_detail_code))+1 from ins_premium_det i),'-99.875','-99.875','05', '09000414','00');</v>
      </c>
    </row>
    <row r="55" spans="1:8" ht="75" x14ac:dyDescent="0.25">
      <c r="A55" s="7" t="s">
        <v>102</v>
      </c>
      <c r="B55" s="19" t="str">
        <f>VLOOKUP(A55,policy!B:D,2,)</f>
        <v>070000162408</v>
      </c>
      <c r="C55" t="s">
        <v>282</v>
      </c>
      <c r="D55" s="17" t="s">
        <v>891</v>
      </c>
      <c r="E55" s="20" t="str">
        <f>VLOOKUP(A55,policy!B:D,3,0)</f>
        <v>09000414</v>
      </c>
      <c r="F55" s="21" t="str">
        <f t="shared" si="1"/>
        <v>insert into ins_premium_det (premium_rcv_code,assorted_code, rec_amount,premium_rcv_detail_code,remaining_amt, payrec, mode_code,paid_to_code,class_cd) values</v>
      </c>
      <c r="G55" s="22" t="str">
        <f t="shared" si="2"/>
        <v>('11Dec240052','070000162408','-49.9',(select max(to_number(i.premium_rcv_detail_code))+1 from ins_premium_det i),'-49.9','-49.9','05', '09000414','00');</v>
      </c>
      <c r="H55" s="23" t="str">
        <f t="shared" si="0"/>
        <v>insert into ins_premium_det (premium_rcv_code,assorted_code, rec_amount,premium_rcv_detail_code,remaining_amt, payrec, mode_code,paid_to_code,class_cd) values('11Dec240052','070000162408','-49.9',(select max(to_number(i.premium_rcv_detail_code))+1 from ins_premium_det i),'-49.9','-49.9','05', '09000414','00');</v>
      </c>
    </row>
    <row r="56" spans="1:8" ht="75" x14ac:dyDescent="0.25">
      <c r="A56" s="7" t="s">
        <v>104</v>
      </c>
      <c r="B56" s="19" t="str">
        <f>VLOOKUP(A56,policy!B:D,2,)</f>
        <v>070000152029</v>
      </c>
      <c r="C56" t="s">
        <v>300</v>
      </c>
      <c r="D56" s="17" t="s">
        <v>891</v>
      </c>
      <c r="E56" s="20" t="str">
        <f>VLOOKUP(A56,policy!B:D,3,0)</f>
        <v>09000414</v>
      </c>
      <c r="F56" s="21" t="str">
        <f t="shared" si="1"/>
        <v>insert into ins_premium_det (premium_rcv_code,assorted_code, rec_amount,premium_rcv_detail_code,remaining_amt, payrec, mode_code,paid_to_code,class_cd) values</v>
      </c>
      <c r="G56" s="22" t="str">
        <f t="shared" si="2"/>
        <v>('11Dec240052','070000152029','-49.975',(select max(to_number(i.premium_rcv_detail_code))+1 from ins_premium_det i),'-49.975','-49.975','05', '09000414','00');</v>
      </c>
      <c r="H56" s="23" t="str">
        <f t="shared" si="0"/>
        <v>insert into ins_premium_det (premium_rcv_code,assorted_code, rec_amount,premium_rcv_detail_code,remaining_amt, payrec, mode_code,paid_to_code,class_cd) values('11Dec240052','070000152029','-49.975',(select max(to_number(i.premium_rcv_detail_code))+1 from ins_premium_det i),'-49.975','-49.975','05', '09000414','00');</v>
      </c>
    </row>
    <row r="57" spans="1:8" ht="75" x14ac:dyDescent="0.25">
      <c r="A57" s="7" t="s">
        <v>105</v>
      </c>
      <c r="B57" s="19" t="str">
        <f>VLOOKUP(A57,policy!B:D,2,)</f>
        <v>070000169514</v>
      </c>
      <c r="C57" t="s">
        <v>288</v>
      </c>
      <c r="D57" s="17" t="s">
        <v>891</v>
      </c>
      <c r="E57" s="20" t="str">
        <f>VLOOKUP(A57,policy!B:D,3,0)</f>
        <v>09000414</v>
      </c>
      <c r="F57" s="21" t="str">
        <f t="shared" si="1"/>
        <v>insert into ins_premium_det (premium_rcv_code,assorted_code, rec_amount,premium_rcv_detail_code,remaining_amt, payrec, mode_code,paid_to_code,class_cd) values</v>
      </c>
      <c r="G57" s="22" t="str">
        <f t="shared" si="2"/>
        <v>('11Dec240052','070000169514','-499.925',(select max(to_number(i.premium_rcv_detail_code))+1 from ins_premium_det i),'-499.925','-499.925','05', '09000414','00');</v>
      </c>
      <c r="H57" s="23" t="str">
        <f t="shared" si="0"/>
        <v>insert into ins_premium_det (premium_rcv_code,assorted_code, rec_amount,premium_rcv_detail_code,remaining_amt, payrec, mode_code,paid_to_code,class_cd) values('11Dec240052','070000169514','-499.925',(select max(to_number(i.premium_rcv_detail_code))+1 from ins_premium_det i),'-499.925','-499.925','05', '09000414','00');</v>
      </c>
    </row>
    <row r="58" spans="1:8" ht="75" x14ac:dyDescent="0.25">
      <c r="A58" s="7" t="s">
        <v>107</v>
      </c>
      <c r="B58" s="19" t="str">
        <f>VLOOKUP(A58,policy!B:D,2,)</f>
        <v>070000171443</v>
      </c>
      <c r="C58" t="s">
        <v>288</v>
      </c>
      <c r="D58" s="17" t="s">
        <v>891</v>
      </c>
      <c r="E58" s="20" t="str">
        <f>VLOOKUP(A58,policy!B:D,3,0)</f>
        <v>09000414</v>
      </c>
      <c r="F58" s="21" t="str">
        <f t="shared" si="1"/>
        <v>insert into ins_premium_det (premium_rcv_code,assorted_code, rec_amount,premium_rcv_detail_code,remaining_amt, payrec, mode_code,paid_to_code,class_cd) values</v>
      </c>
      <c r="G58" s="22" t="str">
        <f t="shared" si="2"/>
        <v>('11Dec240052','070000171443','-499.925',(select max(to_number(i.premium_rcv_detail_code))+1 from ins_premium_det i),'-499.925','-499.925','05', '09000414','00');</v>
      </c>
      <c r="H58" s="23" t="str">
        <f t="shared" si="0"/>
        <v>insert into ins_premium_det (premium_rcv_code,assorted_code, rec_amount,premium_rcv_detail_code,remaining_amt, payrec, mode_code,paid_to_code,class_cd) values('11Dec240052','070000171443','-499.925',(select max(to_number(i.premium_rcv_detail_code))+1 from ins_premium_det i),'-499.925','-499.925','05', '09000414','00');</v>
      </c>
    </row>
    <row r="59" spans="1:8" ht="75" x14ac:dyDescent="0.25">
      <c r="A59" s="7" t="s">
        <v>109</v>
      </c>
      <c r="B59" s="19" t="str">
        <f>VLOOKUP(A59,policy!B:D,2,)</f>
        <v>070000152017</v>
      </c>
      <c r="C59" t="s">
        <v>303</v>
      </c>
      <c r="D59" s="17" t="s">
        <v>891</v>
      </c>
      <c r="E59" s="20" t="str">
        <f>VLOOKUP(A59,policy!B:D,3,0)</f>
        <v>09000414</v>
      </c>
      <c r="F59" s="21" t="str">
        <f t="shared" si="1"/>
        <v>insert into ins_premium_det (premium_rcv_code,assorted_code, rec_amount,premium_rcv_detail_code,remaining_amt, payrec, mode_code,paid_to_code,class_cd) values</v>
      </c>
      <c r="G59" s="22" t="str">
        <f t="shared" si="2"/>
        <v>('11Dec240052','070000152017','-450.025',(select max(to_number(i.premium_rcv_detail_code))+1 from ins_premium_det i),'-450.025','-450.025','05', '09000414','00');</v>
      </c>
      <c r="H59" s="23" t="str">
        <f t="shared" si="0"/>
        <v>insert into ins_premium_det (premium_rcv_code,assorted_code, rec_amount,premium_rcv_detail_code,remaining_amt, payrec, mode_code,paid_to_code,class_cd) values('11Dec240052','070000152017','-450.025',(select max(to_number(i.premium_rcv_detail_code))+1 from ins_premium_det i),'-450.025','-450.025','05', '09000414','00');</v>
      </c>
    </row>
    <row r="60" spans="1:8" ht="75" x14ac:dyDescent="0.25">
      <c r="A60" s="7" t="s">
        <v>111</v>
      </c>
      <c r="B60" s="19" t="str">
        <f>VLOOKUP(A60,policy!B:D,2,)</f>
        <v>070000169509</v>
      </c>
      <c r="C60" t="s">
        <v>284</v>
      </c>
      <c r="D60" s="17" t="s">
        <v>891</v>
      </c>
      <c r="E60" s="20" t="str">
        <f>VLOOKUP(A60,policy!B:D,3,0)</f>
        <v>09000414</v>
      </c>
      <c r="F60" s="21" t="str">
        <f t="shared" si="1"/>
        <v>insert into ins_premium_det (premium_rcv_code,assorted_code, rec_amount,premium_rcv_detail_code,remaining_amt, payrec, mode_code,paid_to_code,class_cd) values</v>
      </c>
      <c r="G60" s="22" t="str">
        <f t="shared" si="2"/>
        <v>('11Dec240052','070000169509','-89.9',(select max(to_number(i.premium_rcv_detail_code))+1 from ins_premium_det i),'-89.9','-89.9','05', '09000414','00');</v>
      </c>
      <c r="H60" s="23" t="str">
        <f t="shared" si="0"/>
        <v>insert into ins_premium_det (premium_rcv_code,assorted_code, rec_amount,premium_rcv_detail_code,remaining_amt, payrec, mode_code,paid_to_code,class_cd) values('11Dec240052','070000169509','-89.9',(select max(to_number(i.premium_rcv_detail_code))+1 from ins_premium_det i),'-89.9','-89.9','05', '09000414','00');</v>
      </c>
    </row>
    <row r="61" spans="1:8" ht="75" x14ac:dyDescent="0.25">
      <c r="A61" s="7" t="s">
        <v>113</v>
      </c>
      <c r="B61" s="19" t="str">
        <f>VLOOKUP(A61,policy!B:D,2,)</f>
        <v>070000154307</v>
      </c>
      <c r="C61" t="s">
        <v>319</v>
      </c>
      <c r="D61" s="17" t="s">
        <v>891</v>
      </c>
      <c r="E61" s="20" t="str">
        <f>VLOOKUP(A61,policy!B:D,3,0)</f>
        <v>09000414</v>
      </c>
      <c r="F61" s="21" t="str">
        <f t="shared" si="1"/>
        <v>insert into ins_premium_det (premium_rcv_code,assorted_code, rec_amount,premium_rcv_detail_code,remaining_amt, payrec, mode_code,paid_to_code,class_cd) values</v>
      </c>
      <c r="G61" s="22" t="str">
        <f t="shared" si="2"/>
        <v>('11Dec240052','070000154307','-90',(select max(to_number(i.premium_rcv_detail_code))+1 from ins_premium_det i),'-90','-90','05', '09000414','00');</v>
      </c>
      <c r="H61" s="23" t="str">
        <f t="shared" si="0"/>
        <v>insert into ins_premium_det (premium_rcv_code,assorted_code, rec_amount,premium_rcv_detail_code,remaining_amt, payrec, mode_code,paid_to_code,class_cd) values('11Dec240052','070000154307','-90',(select max(to_number(i.premium_rcv_detail_code))+1 from ins_premium_det i),'-90','-90','05', '09000414','00');</v>
      </c>
    </row>
    <row r="62" spans="1:8" ht="75" x14ac:dyDescent="0.25">
      <c r="A62" s="7" t="s">
        <v>114</v>
      </c>
      <c r="B62" s="19" t="str">
        <f>VLOOKUP(A62,policy!B:D,2,)</f>
        <v>070000133488</v>
      </c>
      <c r="C62" t="s">
        <v>315</v>
      </c>
      <c r="D62" s="17" t="s">
        <v>891</v>
      </c>
      <c r="E62" s="20" t="str">
        <f>VLOOKUP(A62,policy!B:D,3,0)</f>
        <v>09000414</v>
      </c>
      <c r="F62" s="21" t="str">
        <f t="shared" si="1"/>
        <v>insert into ins_premium_det (premium_rcv_code,assorted_code, rec_amount,premium_rcv_detail_code,remaining_amt, payrec, mode_code,paid_to_code,class_cd) values</v>
      </c>
      <c r="G62" s="22" t="str">
        <f t="shared" si="2"/>
        <v>('11Dec240052','070000133488','-500',(select max(to_number(i.premium_rcv_detail_code))+1 from ins_premium_det i),'-500','-500','05', '09000414','00');</v>
      </c>
      <c r="H62" s="23" t="str">
        <f t="shared" si="0"/>
        <v>insert into ins_premium_det (premium_rcv_code,assorted_code, rec_amount,premium_rcv_detail_code,remaining_amt, payrec, mode_code,paid_to_code,class_cd) values('11Dec240052','070000133488','-500',(select max(to_number(i.premium_rcv_detail_code))+1 from ins_premium_det i),'-500','-500','05', '09000414','00');</v>
      </c>
    </row>
    <row r="63" spans="1:8" ht="75" x14ac:dyDescent="0.25">
      <c r="A63" s="7" t="s">
        <v>116</v>
      </c>
      <c r="B63" s="19" t="str">
        <f>VLOOKUP(A63,policy!B:D,2,)</f>
        <v>070000154306</v>
      </c>
      <c r="C63" t="s">
        <v>320</v>
      </c>
      <c r="D63" s="17" t="s">
        <v>891</v>
      </c>
      <c r="E63" s="20" t="str">
        <f>VLOOKUP(A63,policy!B:D,3,0)</f>
        <v>09000414</v>
      </c>
      <c r="F63" s="21" t="str">
        <f t="shared" si="1"/>
        <v>insert into ins_premium_det (premium_rcv_code,assorted_code, rec_amount,premium_rcv_detail_code,remaining_amt, payrec, mode_code,paid_to_code,class_cd) values</v>
      </c>
      <c r="G63" s="22" t="str">
        <f t="shared" si="2"/>
        <v>('11Dec240052','070000154306','-295',(select max(to_number(i.premium_rcv_detail_code))+1 from ins_premium_det i),'-295','-295','05', '09000414','00');</v>
      </c>
      <c r="H63" s="23" t="str">
        <f t="shared" si="0"/>
        <v>insert into ins_premium_det (premium_rcv_code,assorted_code, rec_amount,premium_rcv_detail_code,remaining_amt, payrec, mode_code,paid_to_code,class_cd) values('11Dec240052','070000154306','-295',(select max(to_number(i.premium_rcv_detail_code))+1 from ins_premium_det i),'-295','-295','05', '09000414','00');</v>
      </c>
    </row>
    <row r="64" spans="1:8" ht="75" x14ac:dyDescent="0.25">
      <c r="A64" s="7" t="s">
        <v>118</v>
      </c>
      <c r="B64" s="19" t="str">
        <f>VLOOKUP(A64,policy!B:D,2,)</f>
        <v>070000154301</v>
      </c>
      <c r="C64" t="s">
        <v>289</v>
      </c>
      <c r="D64" s="17" t="s">
        <v>891</v>
      </c>
      <c r="E64" s="20" t="str">
        <f>VLOOKUP(A64,policy!B:D,3,0)</f>
        <v>09000414</v>
      </c>
      <c r="F64" s="21" t="str">
        <f t="shared" si="1"/>
        <v>insert into ins_premium_det (premium_rcv_code,assorted_code, rec_amount,premium_rcv_detail_code,remaining_amt, payrec, mode_code,paid_to_code,class_cd) values</v>
      </c>
      <c r="G64" s="22" t="str">
        <f t="shared" si="2"/>
        <v>('11Dec240052','070000154301','-300',(select max(to_number(i.premium_rcv_detail_code))+1 from ins_premium_det i),'-300','-300','05', '09000414','00');</v>
      </c>
      <c r="H64" s="23" t="str">
        <f t="shared" si="0"/>
        <v>insert into ins_premium_det (premium_rcv_code,assorted_code, rec_amount,premium_rcv_detail_code,remaining_amt, payrec, mode_code,paid_to_code,class_cd) values('11Dec240052','070000154301','-300',(select max(to_number(i.premium_rcv_detail_code))+1 from ins_premium_det i),'-300','-300','05', '09000414','00');</v>
      </c>
    </row>
    <row r="65" spans="1:8" ht="75" x14ac:dyDescent="0.25">
      <c r="A65" s="7" t="s">
        <v>120</v>
      </c>
      <c r="B65" s="19" t="str">
        <f>VLOOKUP(A65,policy!B:D,2,)</f>
        <v>070000157176</v>
      </c>
      <c r="C65" t="s">
        <v>302</v>
      </c>
      <c r="D65" s="17" t="s">
        <v>891</v>
      </c>
      <c r="E65" s="20" t="str">
        <f>VLOOKUP(A65,policy!B:D,3,0)</f>
        <v>09000414</v>
      </c>
      <c r="F65" s="21" t="str">
        <f t="shared" si="1"/>
        <v>insert into ins_premium_det (premium_rcv_code,assorted_code, rec_amount,premium_rcv_detail_code,remaining_amt, payrec, mode_code,paid_to_code,class_cd) values</v>
      </c>
      <c r="G65" s="22" t="str">
        <f t="shared" si="2"/>
        <v>('11Dec240052','070000157176','-249.925',(select max(to_number(i.premium_rcv_detail_code))+1 from ins_premium_det i),'-249.925','-249.925','05', '09000414','00');</v>
      </c>
      <c r="H65" s="23" t="str">
        <f t="shared" si="0"/>
        <v>insert into ins_premium_det (premium_rcv_code,assorted_code, rec_amount,premium_rcv_detail_code,remaining_amt, payrec, mode_code,paid_to_code,class_cd) values('11Dec240052','070000157176','-249.925',(select max(to_number(i.premium_rcv_detail_code))+1 from ins_premium_det i),'-249.925','-249.925','05', '09000414','00');</v>
      </c>
    </row>
    <row r="66" spans="1:8" ht="75" x14ac:dyDescent="0.25">
      <c r="A66" s="7" t="s">
        <v>122</v>
      </c>
      <c r="B66" s="19" t="str">
        <f>VLOOKUP(A66,policy!B:D,2,)</f>
        <v>070000162377</v>
      </c>
      <c r="C66" t="s">
        <v>321</v>
      </c>
      <c r="D66" s="17" t="s">
        <v>891</v>
      </c>
      <c r="E66" s="20" t="str">
        <f>VLOOKUP(A66,policy!B:D,3,0)</f>
        <v>09000414</v>
      </c>
      <c r="F66" s="21" t="str">
        <f t="shared" si="1"/>
        <v>insert into ins_premium_det (premium_rcv_code,assorted_code, rec_amount,premium_rcv_detail_code,remaining_amt, payrec, mode_code,paid_to_code,class_cd) values</v>
      </c>
      <c r="G66" s="22" t="str">
        <f t="shared" si="2"/>
        <v>('11Dec240052','070000162377','-249.9',(select max(to_number(i.premium_rcv_detail_code))+1 from ins_premium_det i),'-249.9','-249.9','05', '09000414','00');</v>
      </c>
      <c r="H66" s="23" t="str">
        <f t="shared" ref="H66:H129" si="3">F66&amp;G66</f>
        <v>insert into ins_premium_det (premium_rcv_code,assorted_code, rec_amount,premium_rcv_detail_code,remaining_amt, payrec, mode_code,paid_to_code,class_cd) values('11Dec240052','070000162377','-249.9',(select max(to_number(i.premium_rcv_detail_code))+1 from ins_premium_det i),'-249.9','-249.9','05', '09000414','00');</v>
      </c>
    </row>
    <row r="67" spans="1:8" ht="75" x14ac:dyDescent="0.25">
      <c r="A67" s="7" t="s">
        <v>124</v>
      </c>
      <c r="B67" s="19" t="str">
        <f>VLOOKUP(A67,policy!B:D,2,)</f>
        <v>070000167586</v>
      </c>
      <c r="C67" t="s">
        <v>279</v>
      </c>
      <c r="D67" s="17" t="s">
        <v>891</v>
      </c>
      <c r="E67" s="20" t="str">
        <f>VLOOKUP(A67,policy!B:D,3,0)</f>
        <v>09000414</v>
      </c>
      <c r="F67" s="21" t="str">
        <f t="shared" ref="F67:F130" si="4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67" s="22" t="str">
        <f t="shared" ref="G67:G130" si="5">"('"&amp;D66&amp;"','"&amp;B67&amp;"','"&amp;C67&amp;"',(select max(to_number(i.premium_rcv_detail_code))+1 from ins_premium_det i),'"&amp;C67&amp;"','"&amp;C67&amp;"','05', '"&amp;E67&amp;"','00');"</f>
        <v>('11Dec240052','070000167586','-99.875',(select max(to_number(i.premium_rcv_detail_code))+1 from ins_premium_det i),'-99.875','-99.875','05', '09000414','00');</v>
      </c>
      <c r="H67" s="23" t="str">
        <f t="shared" si="3"/>
        <v>insert into ins_premium_det (premium_rcv_code,assorted_code, rec_amount,premium_rcv_detail_code,remaining_amt, payrec, mode_code,paid_to_code,class_cd) values('11Dec240052','070000167586','-99.875',(select max(to_number(i.premium_rcv_detail_code))+1 from ins_premium_det i),'-99.875','-99.875','05', '09000414','00');</v>
      </c>
    </row>
    <row r="68" spans="1:8" ht="75" x14ac:dyDescent="0.25">
      <c r="A68" s="7" t="s">
        <v>126</v>
      </c>
      <c r="B68" s="19" t="str">
        <f>VLOOKUP(A68,policy!B:D,2,)</f>
        <v>070000157166</v>
      </c>
      <c r="C68" t="s">
        <v>322</v>
      </c>
      <c r="D68" s="17" t="s">
        <v>891</v>
      </c>
      <c r="E68" s="20" t="str">
        <f>VLOOKUP(A68,policy!B:D,3,0)</f>
        <v>09000414</v>
      </c>
      <c r="F68" s="21" t="str">
        <f t="shared" si="4"/>
        <v>insert into ins_premium_det (premium_rcv_code,assorted_code, rec_amount,premium_rcv_detail_code,remaining_amt, payrec, mode_code,paid_to_code,class_cd) values</v>
      </c>
      <c r="G68" s="22" t="str">
        <f t="shared" si="5"/>
        <v>('11Dec240052','070000157166','-99.95',(select max(to_number(i.premium_rcv_detail_code))+1 from ins_premium_det i),'-99.95','-99.95','05', '09000414','00');</v>
      </c>
      <c r="H68" s="23" t="str">
        <f t="shared" si="3"/>
        <v>insert into ins_premium_det (premium_rcv_code,assorted_code, rec_amount,premium_rcv_detail_code,remaining_amt, payrec, mode_code,paid_to_code,class_cd) values('11Dec240052','070000157166','-99.95',(select max(to_number(i.premium_rcv_detail_code))+1 from ins_premium_det i),'-99.95','-99.95','05', '09000414','00');</v>
      </c>
    </row>
    <row r="69" spans="1:8" ht="75" x14ac:dyDescent="0.25">
      <c r="A69" s="7" t="s">
        <v>127</v>
      </c>
      <c r="B69" s="19" t="str">
        <f>VLOOKUP(A69,policy!B:D,2,)</f>
        <v>070000171446</v>
      </c>
      <c r="C69" t="s">
        <v>323</v>
      </c>
      <c r="D69" s="17" t="s">
        <v>891</v>
      </c>
      <c r="E69" s="20" t="str">
        <f>VLOOKUP(A69,policy!B:D,3,0)</f>
        <v>09000414</v>
      </c>
      <c r="F69" s="21" t="str">
        <f t="shared" si="4"/>
        <v>insert into ins_premium_det (premium_rcv_code,assorted_code, rec_amount,premium_rcv_detail_code,remaining_amt, payrec, mode_code,paid_to_code,class_cd) values</v>
      </c>
      <c r="G69" s="22" t="str">
        <f t="shared" si="5"/>
        <v>('11Dec240052','070000171446','-449.925',(select max(to_number(i.premium_rcv_detail_code))+1 from ins_premium_det i),'-449.925','-449.925','05', '09000414','00');</v>
      </c>
      <c r="H69" s="23" t="str">
        <f t="shared" si="3"/>
        <v>insert into ins_premium_det (premium_rcv_code,assorted_code, rec_amount,premium_rcv_detail_code,remaining_amt, payrec, mode_code,paid_to_code,class_cd) values('11Dec240052','070000171446','-449.925',(select max(to_number(i.premium_rcv_detail_code))+1 from ins_premium_det i),'-449.925','-449.925','05', '09000414','00');</v>
      </c>
    </row>
    <row r="70" spans="1:8" ht="75" x14ac:dyDescent="0.25">
      <c r="A70" s="7" t="s">
        <v>129</v>
      </c>
      <c r="B70" s="19" t="str">
        <f>VLOOKUP(A70,policy!B:D,2,)</f>
        <v>070000152018</v>
      </c>
      <c r="C70" t="s">
        <v>303</v>
      </c>
      <c r="D70" s="17" t="s">
        <v>891</v>
      </c>
      <c r="E70" s="20" t="str">
        <f>VLOOKUP(A70,policy!B:D,3,0)</f>
        <v>09000414</v>
      </c>
      <c r="F70" s="21" t="str">
        <f t="shared" si="4"/>
        <v>insert into ins_premium_det (premium_rcv_code,assorted_code, rec_amount,premium_rcv_detail_code,remaining_amt, payrec, mode_code,paid_to_code,class_cd) values</v>
      </c>
      <c r="G70" s="22" t="str">
        <f t="shared" si="5"/>
        <v>('11Dec240052','070000152018','-450.025',(select max(to_number(i.premium_rcv_detail_code))+1 from ins_premium_det i),'-450.025','-450.025','05', '09000414','00');</v>
      </c>
      <c r="H70" s="23" t="str">
        <f t="shared" si="3"/>
        <v>insert into ins_premium_det (premium_rcv_code,assorted_code, rec_amount,premium_rcv_detail_code,remaining_amt, payrec, mode_code,paid_to_code,class_cd) values('11Dec240052','070000152018','-450.025',(select max(to_number(i.premium_rcv_detail_code))+1 from ins_premium_det i),'-450.025','-450.025','05', '09000414','00');</v>
      </c>
    </row>
    <row r="71" spans="1:8" ht="75" x14ac:dyDescent="0.25">
      <c r="A71" s="7" t="s">
        <v>130</v>
      </c>
      <c r="B71" s="19" t="str">
        <f>VLOOKUP(A71,policy!B:D,2,)</f>
        <v>070000154300</v>
      </c>
      <c r="C71" t="s">
        <v>324</v>
      </c>
      <c r="D71" s="17" t="s">
        <v>891</v>
      </c>
      <c r="E71" s="20" t="str">
        <f>VLOOKUP(A71,policy!B:D,3,0)</f>
        <v>09000414</v>
      </c>
      <c r="F71" s="21" t="str">
        <f t="shared" si="4"/>
        <v>insert into ins_premium_det (premium_rcv_code,assorted_code, rec_amount,premium_rcv_detail_code,remaining_amt, payrec, mode_code,paid_to_code,class_cd) values</v>
      </c>
      <c r="G71" s="22" t="str">
        <f t="shared" si="5"/>
        <v>('11Dec240052','070000154300','-70',(select max(to_number(i.premium_rcv_detail_code))+1 from ins_premium_det i),'-70','-70','05', '09000414','00');</v>
      </c>
      <c r="H71" s="23" t="str">
        <f t="shared" si="3"/>
        <v>insert into ins_premium_det (premium_rcv_code,assorted_code, rec_amount,premium_rcv_detail_code,remaining_amt, payrec, mode_code,paid_to_code,class_cd) values('11Dec240052','070000154300','-70',(select max(to_number(i.premium_rcv_detail_code))+1 from ins_premium_det i),'-70','-70','05', '09000414','00');</v>
      </c>
    </row>
    <row r="72" spans="1:8" ht="75" x14ac:dyDescent="0.25">
      <c r="A72" s="7" t="s">
        <v>132</v>
      </c>
      <c r="B72" s="19" t="str">
        <f>VLOOKUP(A72,policy!B:D,2,)</f>
        <v>070000171441</v>
      </c>
      <c r="C72" t="s">
        <v>288</v>
      </c>
      <c r="D72" s="17" t="s">
        <v>891</v>
      </c>
      <c r="E72" s="20" t="str">
        <f>VLOOKUP(A72,policy!B:D,3,0)</f>
        <v>09000414</v>
      </c>
      <c r="F72" s="21" t="str">
        <f t="shared" si="4"/>
        <v>insert into ins_premium_det (premium_rcv_code,assorted_code, rec_amount,premium_rcv_detail_code,remaining_amt, payrec, mode_code,paid_to_code,class_cd) values</v>
      </c>
      <c r="G72" s="22" t="str">
        <f t="shared" si="5"/>
        <v>('11Dec240052','070000171441','-499.925',(select max(to_number(i.premium_rcv_detail_code))+1 from ins_premium_det i),'-499.925','-499.925','05', '09000414','00');</v>
      </c>
      <c r="H72" s="23" t="str">
        <f t="shared" si="3"/>
        <v>insert into ins_premium_det (premium_rcv_code,assorted_code, rec_amount,premium_rcv_detail_code,remaining_amt, payrec, mode_code,paid_to_code,class_cd) values('11Dec240052','070000171441','-499.925',(select max(to_number(i.premium_rcv_detail_code))+1 from ins_premium_det i),'-499.925','-499.925','05', '09000414','00');</v>
      </c>
    </row>
    <row r="73" spans="1:8" ht="75" x14ac:dyDescent="0.25">
      <c r="A73" s="7" t="s">
        <v>134</v>
      </c>
      <c r="B73" s="19" t="str">
        <f>VLOOKUP(A73,policy!B:D,2,)</f>
        <v>070000162394</v>
      </c>
      <c r="C73" t="s">
        <v>307</v>
      </c>
      <c r="D73" s="17" t="s">
        <v>891</v>
      </c>
      <c r="E73" s="20" t="str">
        <f>VLOOKUP(A73,policy!B:D,3,0)</f>
        <v>09000414</v>
      </c>
      <c r="F73" s="21" t="str">
        <f t="shared" si="4"/>
        <v>insert into ins_premium_det (premium_rcv_code,assorted_code, rec_amount,premium_rcv_detail_code,remaining_amt, payrec, mode_code,paid_to_code,class_cd) values</v>
      </c>
      <c r="G73" s="22" t="str">
        <f t="shared" si="5"/>
        <v>('11Dec240052','070000162394','-599.875',(select max(to_number(i.premium_rcv_detail_code))+1 from ins_premium_det i),'-599.875','-599.875','05', '09000414','00');</v>
      </c>
      <c r="H73" s="23" t="str">
        <f t="shared" si="3"/>
        <v>insert into ins_premium_det (premium_rcv_code,assorted_code, rec_amount,premium_rcv_detail_code,remaining_amt, payrec, mode_code,paid_to_code,class_cd) values('11Dec240052','070000162394','-599.875',(select max(to_number(i.premium_rcv_detail_code))+1 from ins_premium_det i),'-599.875','-599.875','05', '09000414','00');</v>
      </c>
    </row>
    <row r="74" spans="1:8" ht="75" x14ac:dyDescent="0.25">
      <c r="A74" s="7" t="s">
        <v>136</v>
      </c>
      <c r="B74" s="19" t="str">
        <f>VLOOKUP(A74,policy!B:D,2,)</f>
        <v>070000162372</v>
      </c>
      <c r="C74" t="s">
        <v>325</v>
      </c>
      <c r="D74" s="17" t="s">
        <v>891</v>
      </c>
      <c r="E74" s="20" t="str">
        <f>VLOOKUP(A74,policy!B:D,3,0)</f>
        <v>09000414</v>
      </c>
      <c r="F74" s="21" t="str">
        <f t="shared" si="4"/>
        <v>insert into ins_premium_det (premium_rcv_code,assorted_code, rec_amount,premium_rcv_detail_code,remaining_amt, payrec, mode_code,paid_to_code,class_cd) values</v>
      </c>
      <c r="G74" s="22" t="str">
        <f t="shared" si="5"/>
        <v>('11Dec240052','070000162372','-39.9',(select max(to_number(i.premium_rcv_detail_code))+1 from ins_premium_det i),'-39.9','-39.9','05', '09000414','00');</v>
      </c>
      <c r="H74" s="23" t="str">
        <f t="shared" si="3"/>
        <v>insert into ins_premium_det (premium_rcv_code,assorted_code, rec_amount,premium_rcv_detail_code,remaining_amt, payrec, mode_code,paid_to_code,class_cd) values('11Dec240052','070000162372','-39.9',(select max(to_number(i.premium_rcv_detail_code))+1 from ins_premium_det i),'-39.9','-39.9','05', '09000414','00');</v>
      </c>
    </row>
    <row r="75" spans="1:8" ht="75" x14ac:dyDescent="0.25">
      <c r="A75" s="7" t="s">
        <v>138</v>
      </c>
      <c r="B75" s="19" t="str">
        <f>VLOOKUP(A75,policy!B:D,2,)</f>
        <v>070000167587</v>
      </c>
      <c r="C75" t="s">
        <v>326</v>
      </c>
      <c r="D75" s="17" t="s">
        <v>891</v>
      </c>
      <c r="E75" s="20" t="str">
        <f>VLOOKUP(A75,policy!B:D,3,0)</f>
        <v>09000414</v>
      </c>
      <c r="F75" s="21" t="str">
        <f t="shared" si="4"/>
        <v>insert into ins_premium_det (premium_rcv_code,assorted_code, rec_amount,premium_rcv_detail_code,remaining_amt, payrec, mode_code,paid_to_code,class_cd) values</v>
      </c>
      <c r="G75" s="22" t="str">
        <f t="shared" si="5"/>
        <v>('11Dec240052','070000167587','-41.875',(select max(to_number(i.premium_rcv_detail_code))+1 from ins_premium_det i),'-41.875','-41.875','05', '09000414','00');</v>
      </c>
      <c r="H75" s="23" t="str">
        <f t="shared" si="3"/>
        <v>insert into ins_premium_det (premium_rcv_code,assorted_code, rec_amount,premium_rcv_detail_code,remaining_amt, payrec, mode_code,paid_to_code,class_cd) values('11Dec240052','070000167587','-41.875',(select max(to_number(i.premium_rcv_detail_code))+1 from ins_premium_det i),'-41.875','-41.875','05', '09000414','00');</v>
      </c>
    </row>
    <row r="76" spans="1:8" ht="75" x14ac:dyDescent="0.25">
      <c r="A76" s="7" t="s">
        <v>140</v>
      </c>
      <c r="B76" s="19" t="str">
        <f>VLOOKUP(A76,policy!B:D,2,)</f>
        <v>070000169516</v>
      </c>
      <c r="C76" t="s">
        <v>323</v>
      </c>
      <c r="D76" s="17" t="s">
        <v>891</v>
      </c>
      <c r="E76" s="20" t="str">
        <f>VLOOKUP(A76,policy!B:D,3,0)</f>
        <v>09000414</v>
      </c>
      <c r="F76" s="21" t="str">
        <f t="shared" si="4"/>
        <v>insert into ins_premium_det (premium_rcv_code,assorted_code, rec_amount,premium_rcv_detail_code,remaining_amt, payrec, mode_code,paid_to_code,class_cd) values</v>
      </c>
      <c r="G76" s="22" t="str">
        <f t="shared" si="5"/>
        <v>('11Dec240052','070000169516','-449.925',(select max(to_number(i.premium_rcv_detail_code))+1 from ins_premium_det i),'-449.925','-449.925','05', '09000414','00');</v>
      </c>
      <c r="H76" s="23" t="str">
        <f t="shared" si="3"/>
        <v>insert into ins_premium_det (premium_rcv_code,assorted_code, rec_amount,premium_rcv_detail_code,remaining_amt, payrec, mode_code,paid_to_code,class_cd) values('11Dec240052','070000169516','-449.925',(select max(to_number(i.premium_rcv_detail_code))+1 from ins_premium_det i),'-449.925','-449.925','05', '09000414','00');</v>
      </c>
    </row>
    <row r="77" spans="1:8" ht="75" x14ac:dyDescent="0.25">
      <c r="A77" s="7" t="s">
        <v>142</v>
      </c>
      <c r="B77" s="19" t="str">
        <f>VLOOKUP(A77,policy!B:D,2,)</f>
        <v>070000167592</v>
      </c>
      <c r="C77" t="s">
        <v>327</v>
      </c>
      <c r="D77" s="17" t="s">
        <v>891</v>
      </c>
      <c r="E77" s="20" t="str">
        <f>VLOOKUP(A77,policy!B:D,3,0)</f>
        <v>09000414</v>
      </c>
      <c r="F77" s="21" t="str">
        <f t="shared" si="4"/>
        <v>insert into ins_premium_det (premium_rcv_code,assorted_code, rec_amount,premium_rcv_detail_code,remaining_amt, payrec, mode_code,paid_to_code,class_cd) values</v>
      </c>
      <c r="G77" s="22" t="str">
        <f t="shared" si="5"/>
        <v>('11Dec240052','070000167592','-37.425',(select max(to_number(i.premium_rcv_detail_code))+1 from ins_premium_det i),'-37.425','-37.425','05', '09000414','00');</v>
      </c>
      <c r="H77" s="23" t="str">
        <f t="shared" si="3"/>
        <v>insert into ins_premium_det (premium_rcv_code,assorted_code, rec_amount,premium_rcv_detail_code,remaining_amt, payrec, mode_code,paid_to_code,class_cd) values('11Dec240052','070000167592','-37.425',(select max(to_number(i.premium_rcv_detail_code))+1 from ins_premium_det i),'-37.425','-37.425','05', '09000414','00');</v>
      </c>
    </row>
    <row r="78" spans="1:8" ht="75" x14ac:dyDescent="0.25">
      <c r="A78" s="7" t="s">
        <v>144</v>
      </c>
      <c r="B78" s="19" t="str">
        <f>VLOOKUP(A78,policy!B:D,2,)</f>
        <v>070000162401</v>
      </c>
      <c r="C78" t="s">
        <v>321</v>
      </c>
      <c r="D78" s="17" t="s">
        <v>891</v>
      </c>
      <c r="E78" s="20" t="str">
        <f>VLOOKUP(A78,policy!B:D,3,0)</f>
        <v>09000414</v>
      </c>
      <c r="F78" s="21" t="str">
        <f t="shared" si="4"/>
        <v>insert into ins_premium_det (premium_rcv_code,assorted_code, rec_amount,premium_rcv_detail_code,remaining_amt, payrec, mode_code,paid_to_code,class_cd) values</v>
      </c>
      <c r="G78" s="22" t="str">
        <f t="shared" si="5"/>
        <v>('11Dec240052','070000162401','-249.9',(select max(to_number(i.premium_rcv_detail_code))+1 from ins_premium_det i),'-249.9','-249.9','05', '09000414','00');</v>
      </c>
      <c r="H78" s="23" t="str">
        <f t="shared" si="3"/>
        <v>insert into ins_premium_det (premium_rcv_code,assorted_code, rec_amount,premium_rcv_detail_code,remaining_amt, payrec, mode_code,paid_to_code,class_cd) values('11Dec240052','070000162401','-249.9',(select max(to_number(i.premium_rcv_detail_code))+1 from ins_premium_det i),'-249.9','-249.9','05', '09000414','00');</v>
      </c>
    </row>
    <row r="79" spans="1:8" ht="75" x14ac:dyDescent="0.25">
      <c r="A79" s="7" t="s">
        <v>146</v>
      </c>
      <c r="B79" s="19" t="str">
        <f>VLOOKUP(A79,policy!B:D,2,)</f>
        <v>070000167581</v>
      </c>
      <c r="C79" t="s">
        <v>279</v>
      </c>
      <c r="D79" s="17" t="s">
        <v>891</v>
      </c>
      <c r="E79" s="20" t="str">
        <f>VLOOKUP(A79,policy!B:D,3,0)</f>
        <v>09000414</v>
      </c>
      <c r="F79" s="21" t="str">
        <f t="shared" si="4"/>
        <v>insert into ins_premium_det (premium_rcv_code,assorted_code, rec_amount,premium_rcv_detail_code,remaining_amt, payrec, mode_code,paid_to_code,class_cd) values</v>
      </c>
      <c r="G79" s="22" t="str">
        <f t="shared" si="5"/>
        <v>('11Dec240052','070000167581','-99.875',(select max(to_number(i.premium_rcv_detail_code))+1 from ins_premium_det i),'-99.875','-99.875','05', '09000414','00');</v>
      </c>
      <c r="H79" s="23" t="str">
        <f t="shared" si="3"/>
        <v>insert into ins_premium_det (premium_rcv_code,assorted_code, rec_amount,premium_rcv_detail_code,remaining_amt, payrec, mode_code,paid_to_code,class_cd) values('11Dec240052','070000167581','-99.875',(select max(to_number(i.premium_rcv_detail_code))+1 from ins_premium_det i),'-99.875','-99.875','05', '09000414','00');</v>
      </c>
    </row>
    <row r="80" spans="1:8" ht="75" x14ac:dyDescent="0.25">
      <c r="A80" s="7" t="s">
        <v>148</v>
      </c>
      <c r="B80" s="19" t="str">
        <f>VLOOKUP(A80,policy!B:D,2,)</f>
        <v>070000164183</v>
      </c>
      <c r="C80" t="s">
        <v>311</v>
      </c>
      <c r="D80" s="17" t="s">
        <v>891</v>
      </c>
      <c r="E80" s="20" t="str">
        <f>VLOOKUP(A80,policy!B:D,3,0)</f>
        <v>09000414</v>
      </c>
      <c r="F80" s="21" t="str">
        <f t="shared" si="4"/>
        <v>insert into ins_premium_det (premium_rcv_code,assorted_code, rec_amount,premium_rcv_detail_code,remaining_amt, payrec, mode_code,paid_to_code,class_cd) values</v>
      </c>
      <c r="G80" s="22" t="str">
        <f t="shared" si="5"/>
        <v>('11Dec240052','070000164183','-199.875',(select max(to_number(i.premium_rcv_detail_code))+1 from ins_premium_det i),'-199.875','-199.875','05', '09000414','00');</v>
      </c>
      <c r="H80" s="23" t="str">
        <f t="shared" si="3"/>
        <v>insert into ins_premium_det (premium_rcv_code,assorted_code, rec_amount,premium_rcv_detail_code,remaining_amt, payrec, mode_code,paid_to_code,class_cd) values('11Dec240052','070000164183','-199.875',(select max(to_number(i.premium_rcv_detail_code))+1 from ins_premium_det i),'-199.875','-199.875','05', '09000414','00');</v>
      </c>
    </row>
    <row r="81" spans="1:8" ht="75" x14ac:dyDescent="0.25">
      <c r="A81" s="7" t="s">
        <v>150</v>
      </c>
      <c r="B81" s="19" t="str">
        <f>VLOOKUP(A81,policy!B:D,2,)</f>
        <v>070000162378</v>
      </c>
      <c r="C81" t="s">
        <v>328</v>
      </c>
      <c r="D81" s="17" t="s">
        <v>891</v>
      </c>
      <c r="E81" s="20" t="str">
        <f>VLOOKUP(A81,policy!B:D,3,0)</f>
        <v>09000414</v>
      </c>
      <c r="F81" s="21" t="str">
        <f t="shared" si="4"/>
        <v>insert into ins_premium_det (premium_rcv_code,assorted_code, rec_amount,premium_rcv_detail_code,remaining_amt, payrec, mode_code,paid_to_code,class_cd) values</v>
      </c>
      <c r="G81" s="22" t="str">
        <f t="shared" si="5"/>
        <v>('11Dec240052','070000162378','-479.9',(select max(to_number(i.premium_rcv_detail_code))+1 from ins_premium_det i),'-479.9','-479.9','05', '09000414','00');</v>
      </c>
      <c r="H81" s="23" t="str">
        <f t="shared" si="3"/>
        <v>insert into ins_premium_det (premium_rcv_code,assorted_code, rec_amount,premium_rcv_detail_code,remaining_amt, payrec, mode_code,paid_to_code,class_cd) values('11Dec240052','070000162378','-479.9',(select max(to_number(i.premium_rcv_detail_code))+1 from ins_premium_det i),'-479.9','-479.9','05', '09000414','00');</v>
      </c>
    </row>
    <row r="82" spans="1:8" ht="75" x14ac:dyDescent="0.25">
      <c r="A82" s="7" t="s">
        <v>152</v>
      </c>
      <c r="B82" s="19" t="str">
        <f>VLOOKUP(A82,policy!B:D,2,)</f>
        <v>070000162403</v>
      </c>
      <c r="C82" t="s">
        <v>329</v>
      </c>
      <c r="D82" s="17" t="s">
        <v>891</v>
      </c>
      <c r="E82" s="20" t="str">
        <f>VLOOKUP(A82,policy!B:D,3,0)</f>
        <v>09000414</v>
      </c>
      <c r="F82" s="21" t="str">
        <f t="shared" si="4"/>
        <v>insert into ins_premium_det (premium_rcv_code,assorted_code, rec_amount,premium_rcv_detail_code,remaining_amt, payrec, mode_code,paid_to_code,class_cd) values</v>
      </c>
      <c r="G82" s="22" t="str">
        <f t="shared" si="5"/>
        <v>('11Dec240052','070000162403','-229.925',(select max(to_number(i.premium_rcv_detail_code))+1 from ins_premium_det i),'-229.925','-229.925','05', '09000414','00');</v>
      </c>
      <c r="H82" s="23" t="str">
        <f t="shared" si="3"/>
        <v>insert into ins_premium_det (premium_rcv_code,assorted_code, rec_amount,premium_rcv_detail_code,remaining_amt, payrec, mode_code,paid_to_code,class_cd) values('11Dec240052','070000162403','-229.925',(select max(to_number(i.premium_rcv_detail_code))+1 from ins_premium_det i),'-229.925','-229.925','05', '09000414','00');</v>
      </c>
    </row>
    <row r="83" spans="1:8" ht="75" x14ac:dyDescent="0.25">
      <c r="A83" s="7" t="s">
        <v>154</v>
      </c>
      <c r="B83" s="19" t="str">
        <f>VLOOKUP(A83,policy!B:D,2,)</f>
        <v>070000157178</v>
      </c>
      <c r="C83" t="s">
        <v>286</v>
      </c>
      <c r="D83" s="17" t="s">
        <v>891</v>
      </c>
      <c r="E83" s="20" t="str">
        <f>VLOOKUP(A83,policy!B:D,3,0)</f>
        <v>09000414</v>
      </c>
      <c r="F83" s="21" t="str">
        <f t="shared" si="4"/>
        <v>insert into ins_premium_det (premium_rcv_code,assorted_code, rec_amount,premium_rcv_detail_code,remaining_amt, payrec, mode_code,paid_to_code,class_cd) values</v>
      </c>
      <c r="G83" s="22" t="str">
        <f t="shared" si="5"/>
        <v>('11Dec240052','070000157178','-749.9',(select max(to_number(i.premium_rcv_detail_code))+1 from ins_premium_det i),'-749.9','-749.9','05', '09000414','00');</v>
      </c>
      <c r="H83" s="23" t="str">
        <f t="shared" si="3"/>
        <v>insert into ins_premium_det (premium_rcv_code,assorted_code, rec_amount,premium_rcv_detail_code,remaining_amt, payrec, mode_code,paid_to_code,class_cd) values('11Dec240052','070000157178','-749.9',(select max(to_number(i.premium_rcv_detail_code))+1 from ins_premium_det i),'-749.9','-749.9','05', '09000414','00');</v>
      </c>
    </row>
    <row r="84" spans="1:8" ht="75" x14ac:dyDescent="0.25">
      <c r="A84" s="7" t="s">
        <v>156</v>
      </c>
      <c r="B84" s="19" t="str">
        <f>VLOOKUP(A84,policy!B:D,2,)</f>
        <v>070000162382</v>
      </c>
      <c r="C84" t="s">
        <v>330</v>
      </c>
      <c r="D84" s="17" t="s">
        <v>891</v>
      </c>
      <c r="E84" s="20" t="str">
        <f>VLOOKUP(A84,policy!B:D,3,0)</f>
        <v>09000414</v>
      </c>
      <c r="F84" s="21" t="str">
        <f t="shared" si="4"/>
        <v>insert into ins_premium_det (premium_rcv_code,assorted_code, rec_amount,premium_rcv_detail_code,remaining_amt, payrec, mode_code,paid_to_code,class_cd) values</v>
      </c>
      <c r="G84" s="22" t="str">
        <f t="shared" si="5"/>
        <v>('11Dec240052','070000162382','-123.925',(select max(to_number(i.premium_rcv_detail_code))+1 from ins_premium_det i),'-123.925','-123.925','05', '09000414','00');</v>
      </c>
      <c r="H84" s="23" t="str">
        <f t="shared" si="3"/>
        <v>insert into ins_premium_det (premium_rcv_code,assorted_code, rec_amount,premium_rcv_detail_code,remaining_amt, payrec, mode_code,paid_to_code,class_cd) values('11Dec240052','070000162382','-123.925',(select max(to_number(i.premium_rcv_detail_code))+1 from ins_premium_det i),'-123.925','-123.925','05', '09000414','00');</v>
      </c>
    </row>
    <row r="85" spans="1:8" ht="75" x14ac:dyDescent="0.25">
      <c r="A85" s="7" t="s">
        <v>158</v>
      </c>
      <c r="B85" s="19" t="str">
        <f>VLOOKUP(A85,policy!B:D,2,)</f>
        <v>070000164180</v>
      </c>
      <c r="C85" t="s">
        <v>331</v>
      </c>
      <c r="D85" s="17" t="s">
        <v>891</v>
      </c>
      <c r="E85" s="20" t="str">
        <f>VLOOKUP(A85,policy!B:D,3,0)</f>
        <v>09000414</v>
      </c>
      <c r="F85" s="21" t="str">
        <f t="shared" si="4"/>
        <v>insert into ins_premium_det (premium_rcv_code,assorted_code, rec_amount,premium_rcv_detail_code,remaining_amt, payrec, mode_code,paid_to_code,class_cd) values</v>
      </c>
      <c r="G85" s="22" t="str">
        <f t="shared" si="5"/>
        <v>('11Dec240052','070000164180','-23.9',(select max(to_number(i.premium_rcv_detail_code))+1 from ins_premium_det i),'-23.9','-23.9','05', '09000414','00');</v>
      </c>
      <c r="H85" s="23" t="str">
        <f t="shared" si="3"/>
        <v>insert into ins_premium_det (premium_rcv_code,assorted_code, rec_amount,premium_rcv_detail_code,remaining_amt, payrec, mode_code,paid_to_code,class_cd) values('11Dec240052','070000164180','-23.9',(select max(to_number(i.premium_rcv_detail_code))+1 from ins_premium_det i),'-23.9','-23.9','05', '09000414','00');</v>
      </c>
    </row>
    <row r="86" spans="1:8" ht="75" x14ac:dyDescent="0.25">
      <c r="A86" s="7" t="s">
        <v>160</v>
      </c>
      <c r="B86" s="19" t="str">
        <f>VLOOKUP(A86,policy!B:D,2,)</f>
        <v>070000154316</v>
      </c>
      <c r="C86" t="s">
        <v>332</v>
      </c>
      <c r="D86" s="17" t="s">
        <v>891</v>
      </c>
      <c r="E86" s="20" t="str">
        <f>VLOOKUP(A86,policy!B:D,3,0)</f>
        <v>09000414</v>
      </c>
      <c r="F86" s="21" t="str">
        <f t="shared" si="4"/>
        <v>insert into ins_premium_det (premium_rcv_code,assorted_code, rec_amount,premium_rcv_detail_code,remaining_amt, payrec, mode_code,paid_to_code,class_cd) values</v>
      </c>
      <c r="G86" s="22" t="str">
        <f t="shared" si="5"/>
        <v>('11Dec240052','070000154316','-24',(select max(to_number(i.premium_rcv_detail_code))+1 from ins_premium_det i),'-24','-24','05', '09000414','00');</v>
      </c>
      <c r="H86" s="23" t="str">
        <f t="shared" si="3"/>
        <v>insert into ins_premium_det (premium_rcv_code,assorted_code, rec_amount,premium_rcv_detail_code,remaining_amt, payrec, mode_code,paid_to_code,class_cd) values('11Dec240052','070000154316','-24',(select max(to_number(i.premium_rcv_detail_code))+1 from ins_premium_det i),'-24','-24','05', '09000414','00');</v>
      </c>
    </row>
    <row r="87" spans="1:8" ht="75" x14ac:dyDescent="0.25">
      <c r="A87" s="7" t="s">
        <v>161</v>
      </c>
      <c r="B87" s="19" t="str">
        <f>VLOOKUP(A87,policy!B:D,2,)</f>
        <v>070000157174</v>
      </c>
      <c r="C87" t="s">
        <v>285</v>
      </c>
      <c r="D87" s="17" t="s">
        <v>891</v>
      </c>
      <c r="E87" s="20" t="str">
        <f>VLOOKUP(A87,policy!B:D,3,0)</f>
        <v>09000414</v>
      </c>
      <c r="F87" s="21" t="str">
        <f t="shared" si="4"/>
        <v>insert into ins_premium_det (premium_rcv_code,assorted_code, rec_amount,premium_rcv_detail_code,remaining_amt, payrec, mode_code,paid_to_code,class_cd) values</v>
      </c>
      <c r="G87" s="22" t="str">
        <f t="shared" si="5"/>
        <v>('11Dec240052','070000157174','-699.925',(select max(to_number(i.premium_rcv_detail_code))+1 from ins_premium_det i),'-699.925','-699.925','05', '09000414','00');</v>
      </c>
      <c r="H87" s="23" t="str">
        <f t="shared" si="3"/>
        <v>insert into ins_premium_det (premium_rcv_code,assorted_code, rec_amount,premium_rcv_detail_code,remaining_amt, payrec, mode_code,paid_to_code,class_cd) values('11Dec240052','070000157174','-699.925',(select max(to_number(i.premium_rcv_detail_code))+1 from ins_premium_det i),'-699.925','-699.925','05', '09000414','00');</v>
      </c>
    </row>
    <row r="88" spans="1:8" ht="75" x14ac:dyDescent="0.25">
      <c r="A88" s="7" t="s">
        <v>163</v>
      </c>
      <c r="B88" s="19" t="str">
        <f>VLOOKUP(A88,policy!B:D,2,)</f>
        <v>070000171450</v>
      </c>
      <c r="C88" t="s">
        <v>323</v>
      </c>
      <c r="D88" s="17" t="s">
        <v>891</v>
      </c>
      <c r="E88" s="20" t="str">
        <f>VLOOKUP(A88,policy!B:D,3,0)</f>
        <v>09000414</v>
      </c>
      <c r="F88" s="21" t="str">
        <f t="shared" si="4"/>
        <v>insert into ins_premium_det (premium_rcv_code,assorted_code, rec_amount,premium_rcv_detail_code,remaining_amt, payrec, mode_code,paid_to_code,class_cd) values</v>
      </c>
      <c r="G88" s="22" t="str">
        <f t="shared" si="5"/>
        <v>('11Dec240052','070000171450','-449.925',(select max(to_number(i.premium_rcv_detail_code))+1 from ins_premium_det i),'-449.925','-449.925','05', '09000414','00');</v>
      </c>
      <c r="H88" s="23" t="str">
        <f t="shared" si="3"/>
        <v>insert into ins_premium_det (premium_rcv_code,assorted_code, rec_amount,premium_rcv_detail_code,remaining_amt, payrec, mode_code,paid_to_code,class_cd) values('11Dec240052','070000171450','-449.925',(select max(to_number(i.premium_rcv_detail_code))+1 from ins_premium_det i),'-449.925','-449.925','05', '09000414','00');</v>
      </c>
    </row>
    <row r="89" spans="1:8" ht="75" x14ac:dyDescent="0.25">
      <c r="A89" s="7" t="s">
        <v>165</v>
      </c>
      <c r="B89" s="19" t="str">
        <f>VLOOKUP(A89,policy!B:D,2,)</f>
        <v>070000162398</v>
      </c>
      <c r="C89" t="s">
        <v>321</v>
      </c>
      <c r="D89" s="17" t="s">
        <v>891</v>
      </c>
      <c r="E89" s="20" t="str">
        <f>VLOOKUP(A89,policy!B:D,3,0)</f>
        <v>09000414</v>
      </c>
      <c r="F89" s="21" t="str">
        <f t="shared" si="4"/>
        <v>insert into ins_premium_det (premium_rcv_code,assorted_code, rec_amount,premium_rcv_detail_code,remaining_amt, payrec, mode_code,paid_to_code,class_cd) values</v>
      </c>
      <c r="G89" s="22" t="str">
        <f t="shared" si="5"/>
        <v>('11Dec240052','070000162398','-249.9',(select max(to_number(i.premium_rcv_detail_code))+1 from ins_premium_det i),'-249.9','-249.9','05', '09000414','00');</v>
      </c>
      <c r="H89" s="23" t="str">
        <f t="shared" si="3"/>
        <v>insert into ins_premium_det (premium_rcv_code,assorted_code, rec_amount,premium_rcv_detail_code,remaining_amt, payrec, mode_code,paid_to_code,class_cd) values('11Dec240052','070000162398','-249.9',(select max(to_number(i.premium_rcv_detail_code))+1 from ins_premium_det i),'-249.9','-249.9','05', '09000414','00');</v>
      </c>
    </row>
    <row r="90" spans="1:8" ht="75" x14ac:dyDescent="0.25">
      <c r="A90" s="7" t="s">
        <v>167</v>
      </c>
      <c r="B90" s="19" t="str">
        <f>VLOOKUP(A90,policy!B:D,2,)</f>
        <v>070000152020</v>
      </c>
      <c r="C90" t="s">
        <v>333</v>
      </c>
      <c r="D90" s="17" t="s">
        <v>891</v>
      </c>
      <c r="E90" s="20" t="str">
        <f>VLOOKUP(A90,policy!B:D,3,0)</f>
        <v>09000414</v>
      </c>
      <c r="F90" s="21" t="str">
        <f t="shared" si="4"/>
        <v>insert into ins_premium_det (premium_rcv_code,assorted_code, rec_amount,premium_rcv_detail_code,remaining_amt, payrec, mode_code,paid_to_code,class_cd) values</v>
      </c>
      <c r="G90" s="22" t="str">
        <f t="shared" si="5"/>
        <v>('11Dec240052','070000152020','-250',(select max(to_number(i.premium_rcv_detail_code))+1 from ins_premium_det i),'-250','-250','05', '09000414','00');</v>
      </c>
      <c r="H90" s="23" t="str">
        <f t="shared" si="3"/>
        <v>insert into ins_premium_det (premium_rcv_code,assorted_code, rec_amount,premium_rcv_detail_code,remaining_amt, payrec, mode_code,paid_to_code,class_cd) values('11Dec240052','070000152020','-250',(select max(to_number(i.premium_rcv_detail_code))+1 from ins_premium_det i),'-250','-250','05', '09000414','00');</v>
      </c>
    </row>
    <row r="91" spans="1:8" ht="75" x14ac:dyDescent="0.25">
      <c r="A91" s="7" t="s">
        <v>168</v>
      </c>
      <c r="B91" s="19" t="str">
        <f>VLOOKUP(A91,policy!B:D,2,)</f>
        <v>070000171439</v>
      </c>
      <c r="C91" t="s">
        <v>279</v>
      </c>
      <c r="D91" s="17" t="s">
        <v>891</v>
      </c>
      <c r="E91" s="20" t="str">
        <f>VLOOKUP(A91,policy!B:D,3,0)</f>
        <v>09000414</v>
      </c>
      <c r="F91" s="21" t="str">
        <f t="shared" si="4"/>
        <v>insert into ins_premium_det (premium_rcv_code,assorted_code, rec_amount,premium_rcv_detail_code,remaining_amt, payrec, mode_code,paid_to_code,class_cd) values</v>
      </c>
      <c r="G91" s="22" t="str">
        <f t="shared" si="5"/>
        <v>('11Dec240052','070000171439','-99.875',(select max(to_number(i.premium_rcv_detail_code))+1 from ins_premium_det i),'-99.875','-99.875','05', '09000414','00');</v>
      </c>
      <c r="H91" s="23" t="str">
        <f t="shared" si="3"/>
        <v>insert into ins_premium_det (premium_rcv_code,assorted_code, rec_amount,premium_rcv_detail_code,remaining_amt, payrec, mode_code,paid_to_code,class_cd) values('11Dec240052','070000171439','-99.875',(select max(to_number(i.premium_rcv_detail_code))+1 from ins_premium_det i),'-99.875','-99.875','05', '09000414','00');</v>
      </c>
    </row>
    <row r="92" spans="1:8" ht="75" x14ac:dyDescent="0.25">
      <c r="A92" s="7" t="s">
        <v>170</v>
      </c>
      <c r="B92" s="19" t="str">
        <f>VLOOKUP(A92,policy!B:D,2,)</f>
        <v>070000162374</v>
      </c>
      <c r="C92" t="s">
        <v>287</v>
      </c>
      <c r="D92" s="17" t="s">
        <v>891</v>
      </c>
      <c r="E92" s="20" t="str">
        <f>VLOOKUP(A92,policy!B:D,3,0)</f>
        <v>09000414</v>
      </c>
      <c r="F92" s="21" t="str">
        <f t="shared" si="4"/>
        <v>insert into ins_premium_det (premium_rcv_code,assorted_code, rec_amount,premium_rcv_detail_code,remaining_amt, payrec, mode_code,paid_to_code,class_cd) values</v>
      </c>
      <c r="G92" s="22" t="str">
        <f t="shared" si="5"/>
        <v>('11Dec240052','070000162374','-399.925',(select max(to_number(i.premium_rcv_detail_code))+1 from ins_premium_det i),'-399.925','-399.925','05', '09000414','00');</v>
      </c>
      <c r="H92" s="23" t="str">
        <f t="shared" si="3"/>
        <v>insert into ins_premium_det (premium_rcv_code,assorted_code, rec_amount,premium_rcv_detail_code,remaining_amt, payrec, mode_code,paid_to_code,class_cd) values('11Dec240052','070000162374','-399.925',(select max(to_number(i.premium_rcv_detail_code))+1 from ins_premium_det i),'-399.925','-399.925','05', '09000414','00');</v>
      </c>
    </row>
    <row r="93" spans="1:8" ht="75" x14ac:dyDescent="0.25">
      <c r="A93" s="7" t="s">
        <v>172</v>
      </c>
      <c r="B93" s="19" t="str">
        <f>VLOOKUP(A93,policy!B:D,2,)</f>
        <v>070000152032</v>
      </c>
      <c r="C93" t="s">
        <v>334</v>
      </c>
      <c r="D93" s="17" t="s">
        <v>891</v>
      </c>
      <c r="E93" s="20" t="str">
        <f>VLOOKUP(A93,policy!B:D,3,0)</f>
        <v>09000414</v>
      </c>
      <c r="F93" s="21" t="str">
        <f t="shared" si="4"/>
        <v>insert into ins_premium_det (premium_rcv_code,assorted_code, rec_amount,premium_rcv_detail_code,remaining_amt, payrec, mode_code,paid_to_code,class_cd) values</v>
      </c>
      <c r="G93" s="22" t="str">
        <f t="shared" si="5"/>
        <v>('11Dec240052','070000152032','-650',(select max(to_number(i.premium_rcv_detail_code))+1 from ins_premium_det i),'-650','-650','05', '09000414','00');</v>
      </c>
      <c r="H93" s="23" t="str">
        <f t="shared" si="3"/>
        <v>insert into ins_premium_det (premium_rcv_code,assorted_code, rec_amount,premium_rcv_detail_code,remaining_amt, payrec, mode_code,paid_to_code,class_cd) values('11Dec240052','070000152032','-650',(select max(to_number(i.premium_rcv_detail_code))+1 from ins_premium_det i),'-650','-650','05', '09000414','00');</v>
      </c>
    </row>
    <row r="94" spans="1:8" ht="75" x14ac:dyDescent="0.25">
      <c r="A94" s="7" t="s">
        <v>174</v>
      </c>
      <c r="B94" s="19" t="str">
        <f>VLOOKUP(A94,policy!B:D,2,)</f>
        <v>070000164175</v>
      </c>
      <c r="C94" t="s">
        <v>335</v>
      </c>
      <c r="D94" s="17" t="s">
        <v>891</v>
      </c>
      <c r="E94" s="20" t="str">
        <f>VLOOKUP(A94,policy!B:D,3,0)</f>
        <v>09000414</v>
      </c>
      <c r="F94" s="21" t="str">
        <f t="shared" si="4"/>
        <v>insert into ins_premium_det (premium_rcv_code,assorted_code, rec_amount,premium_rcv_detail_code,remaining_amt, payrec, mode_code,paid_to_code,class_cd) values</v>
      </c>
      <c r="G94" s="22" t="str">
        <f t="shared" si="5"/>
        <v>('11Dec240052','070000164175','-199.925',(select max(to_number(i.premium_rcv_detail_code))+1 from ins_premium_det i),'-199.925','-199.925','05', '09000414','00');</v>
      </c>
      <c r="H94" s="23" t="str">
        <f t="shared" si="3"/>
        <v>insert into ins_premium_det (premium_rcv_code,assorted_code, rec_amount,premium_rcv_detail_code,remaining_amt, payrec, mode_code,paid_to_code,class_cd) values('11Dec240052','070000164175','-199.925',(select max(to_number(i.premium_rcv_detail_code))+1 from ins_premium_det i),'-199.925','-199.925','05', '09000414','00');</v>
      </c>
    </row>
    <row r="95" spans="1:8" ht="75" x14ac:dyDescent="0.25">
      <c r="A95" s="7" t="s">
        <v>176</v>
      </c>
      <c r="B95" s="19" t="str">
        <f>VLOOKUP(A95,policy!B:D,2,)</f>
        <v>070000154309</v>
      </c>
      <c r="C95" t="s">
        <v>293</v>
      </c>
      <c r="D95" s="17" t="s">
        <v>891</v>
      </c>
      <c r="E95" s="20" t="str">
        <f>VLOOKUP(A95,policy!B:D,3,0)</f>
        <v>09000414</v>
      </c>
      <c r="F95" s="21" t="str">
        <f t="shared" si="4"/>
        <v>insert into ins_premium_det (premium_rcv_code,assorted_code, rec_amount,premium_rcv_detail_code,remaining_amt, payrec, mode_code,paid_to_code,class_cd) values</v>
      </c>
      <c r="G95" s="22" t="str">
        <f t="shared" si="5"/>
        <v>('11Dec240052','070000154309','-200',(select max(to_number(i.premium_rcv_detail_code))+1 from ins_premium_det i),'-200','-200','05', '09000414','00');</v>
      </c>
      <c r="H95" s="23" t="str">
        <f t="shared" si="3"/>
        <v>insert into ins_premium_det (premium_rcv_code,assorted_code, rec_amount,premium_rcv_detail_code,remaining_amt, payrec, mode_code,paid_to_code,class_cd) values('11Dec240052','070000154309','-200',(select max(to_number(i.premium_rcv_detail_code))+1 from ins_premium_det i),'-200','-200','05', '09000414','00');</v>
      </c>
    </row>
    <row r="96" spans="1:8" ht="75" x14ac:dyDescent="0.25">
      <c r="A96" s="7" t="s">
        <v>177</v>
      </c>
      <c r="B96" s="19" t="str">
        <f>VLOOKUP(A96,policy!B:D,2,)</f>
        <v>070000167589</v>
      </c>
      <c r="C96" t="s">
        <v>295</v>
      </c>
      <c r="D96" s="17" t="s">
        <v>891</v>
      </c>
      <c r="E96" s="20" t="str">
        <f>VLOOKUP(A96,policy!B:D,3,0)</f>
        <v>09000414</v>
      </c>
      <c r="F96" s="21" t="str">
        <f t="shared" si="4"/>
        <v>insert into ins_premium_det (premium_rcv_code,assorted_code, rec_amount,premium_rcv_detail_code,remaining_amt, payrec, mode_code,paid_to_code,class_cd) values</v>
      </c>
      <c r="G96" s="22" t="str">
        <f t="shared" si="5"/>
        <v>('11Dec240052','070000167589','-24.9',(select max(to_number(i.premium_rcv_detail_code))+1 from ins_premium_det i),'-24.9','-24.9','05', '09000414','00');</v>
      </c>
      <c r="H96" s="23" t="str">
        <f t="shared" si="3"/>
        <v>insert into ins_premium_det (premium_rcv_code,assorted_code, rec_amount,premium_rcv_detail_code,remaining_amt, payrec, mode_code,paid_to_code,class_cd) values('11Dec240052','070000167589','-24.9',(select max(to_number(i.premium_rcv_detail_code))+1 from ins_premium_det i),'-24.9','-24.9','05', '09000414','00');</v>
      </c>
    </row>
    <row r="97" spans="1:8" ht="75" x14ac:dyDescent="0.25">
      <c r="A97" s="7" t="s">
        <v>179</v>
      </c>
      <c r="B97" s="19" t="str">
        <f>VLOOKUP(A97,policy!B:D,2,)</f>
        <v>070000157180</v>
      </c>
      <c r="C97" t="s">
        <v>336</v>
      </c>
      <c r="D97" s="17" t="s">
        <v>891</v>
      </c>
      <c r="E97" s="20" t="str">
        <f>VLOOKUP(A97,policy!B:D,3,0)</f>
        <v>09000414</v>
      </c>
      <c r="F97" s="21" t="str">
        <f t="shared" si="4"/>
        <v>insert into ins_premium_det (premium_rcv_code,assorted_code, rec_amount,premium_rcv_detail_code,remaining_amt, payrec, mode_code,paid_to_code,class_cd) values</v>
      </c>
      <c r="G97" s="22" t="str">
        <f t="shared" si="5"/>
        <v>('11Dec240052','070000157180','-24.95',(select max(to_number(i.premium_rcv_detail_code))+1 from ins_premium_det i),'-24.95','-24.95','05', '09000414','00');</v>
      </c>
      <c r="H97" s="23" t="str">
        <f t="shared" si="3"/>
        <v>insert into ins_premium_det (premium_rcv_code,assorted_code, rec_amount,premium_rcv_detail_code,remaining_amt, payrec, mode_code,paid_to_code,class_cd) values('11Dec240052','070000157180','-24.95',(select max(to_number(i.premium_rcv_detail_code))+1 from ins_premium_det i),'-24.95','-24.95','05', '09000414','00');</v>
      </c>
    </row>
    <row r="98" spans="1:8" ht="75" x14ac:dyDescent="0.25">
      <c r="A98" s="7" t="s">
        <v>181</v>
      </c>
      <c r="B98" s="19" t="str">
        <f>VLOOKUP(A98,policy!B:D,2,)</f>
        <v>070000157175</v>
      </c>
      <c r="C98" t="s">
        <v>280</v>
      </c>
      <c r="D98" s="17" t="s">
        <v>891</v>
      </c>
      <c r="E98" s="20" t="str">
        <f>VLOOKUP(A98,policy!B:D,3,0)</f>
        <v>09000414</v>
      </c>
      <c r="F98" s="21" t="str">
        <f t="shared" si="4"/>
        <v>insert into ins_premium_det (premium_rcv_code,assorted_code, rec_amount,premium_rcv_detail_code,remaining_amt, payrec, mode_code,paid_to_code,class_cd) values</v>
      </c>
      <c r="G98" s="22" t="str">
        <f t="shared" si="5"/>
        <v>('11Dec240052','070000157175','-399.975',(select max(to_number(i.premium_rcv_detail_code))+1 from ins_premium_det i),'-399.975','-399.975','05', '09000414','00');</v>
      </c>
      <c r="H98" s="23" t="str">
        <f t="shared" si="3"/>
        <v>insert into ins_premium_det (premium_rcv_code,assorted_code, rec_amount,premium_rcv_detail_code,remaining_amt, payrec, mode_code,paid_to_code,class_cd) values('11Dec240052','070000157175','-399.975',(select max(to_number(i.premium_rcv_detail_code))+1 from ins_premium_det i),'-399.975','-399.975','05', '09000414','00');</v>
      </c>
    </row>
    <row r="99" spans="1:8" ht="75" x14ac:dyDescent="0.25">
      <c r="A99" s="7" t="s">
        <v>183</v>
      </c>
      <c r="B99" s="19" t="str">
        <f>VLOOKUP(A99,policy!B:D,2,)</f>
        <v>070000164185</v>
      </c>
      <c r="C99" t="s">
        <v>335</v>
      </c>
      <c r="D99" s="17" t="s">
        <v>891</v>
      </c>
      <c r="E99" s="20" t="str">
        <f>VLOOKUP(A99,policy!B:D,3,0)</f>
        <v>09000414</v>
      </c>
      <c r="F99" s="21" t="str">
        <f t="shared" si="4"/>
        <v>insert into ins_premium_det (premium_rcv_code,assorted_code, rec_amount,premium_rcv_detail_code,remaining_amt, payrec, mode_code,paid_to_code,class_cd) values</v>
      </c>
      <c r="G99" s="22" t="str">
        <f t="shared" si="5"/>
        <v>('11Dec240052','070000164185','-199.925',(select max(to_number(i.premium_rcv_detail_code))+1 from ins_premium_det i),'-199.925','-199.925','05', '09000414','00');</v>
      </c>
      <c r="H99" s="23" t="str">
        <f t="shared" si="3"/>
        <v>insert into ins_premium_det (premium_rcv_code,assorted_code, rec_amount,premium_rcv_detail_code,remaining_amt, payrec, mode_code,paid_to_code,class_cd) values('11Dec240052','070000164185','-199.925',(select max(to_number(i.premium_rcv_detail_code))+1 from ins_premium_det i),'-199.925','-199.925','05', '09000414','00');</v>
      </c>
    </row>
    <row r="100" spans="1:8" ht="75" x14ac:dyDescent="0.25">
      <c r="A100" s="7" t="s">
        <v>185</v>
      </c>
      <c r="B100" s="19" t="str">
        <f>VLOOKUP(A100,policy!B:D,2,)</f>
        <v>070000154314</v>
      </c>
      <c r="C100" t="s">
        <v>293</v>
      </c>
      <c r="D100" s="17" t="s">
        <v>891</v>
      </c>
      <c r="E100" s="20" t="str">
        <f>VLOOKUP(A100,policy!B:D,3,0)</f>
        <v>09000414</v>
      </c>
      <c r="F100" s="21" t="str">
        <f t="shared" si="4"/>
        <v>insert into ins_premium_det (premium_rcv_code,assorted_code, rec_amount,premium_rcv_detail_code,remaining_amt, payrec, mode_code,paid_to_code,class_cd) values</v>
      </c>
      <c r="G100" s="22" t="str">
        <f t="shared" si="5"/>
        <v>('11Dec240052','070000154314','-200',(select max(to_number(i.premium_rcv_detail_code))+1 from ins_premium_det i),'-200','-200','05', '09000414','00');</v>
      </c>
      <c r="H100" s="23" t="str">
        <f t="shared" si="3"/>
        <v>insert into ins_premium_det (premium_rcv_code,assorted_code, rec_amount,premium_rcv_detail_code,remaining_amt, payrec, mode_code,paid_to_code,class_cd) values('11Dec240052','070000154314','-200',(select max(to_number(i.premium_rcv_detail_code))+1 from ins_premium_det i),'-200','-200','05', '09000414','00');</v>
      </c>
    </row>
    <row r="101" spans="1:8" ht="75" x14ac:dyDescent="0.25">
      <c r="A101" s="7" t="s">
        <v>186</v>
      </c>
      <c r="B101" s="19" t="str">
        <f>VLOOKUP(A101,policy!B:D,2,)</f>
        <v>070000162395</v>
      </c>
      <c r="C101" t="s">
        <v>337</v>
      </c>
      <c r="D101" s="17" t="s">
        <v>891</v>
      </c>
      <c r="E101" s="20" t="str">
        <f>VLOOKUP(A101,policy!B:D,3,0)</f>
        <v>09000414</v>
      </c>
      <c r="F101" s="21" t="str">
        <f t="shared" si="4"/>
        <v>insert into ins_premium_det (premium_rcv_code,assorted_code, rec_amount,premium_rcv_detail_code,remaining_amt, payrec, mode_code,paid_to_code,class_cd) values</v>
      </c>
      <c r="G101" s="22" t="str">
        <f t="shared" si="5"/>
        <v>('11Dec240052','070000162395','-279.9',(select max(to_number(i.premium_rcv_detail_code))+1 from ins_premium_det i),'-279.9','-279.9','05', '09000414','00');</v>
      </c>
      <c r="H101" s="23" t="str">
        <f t="shared" si="3"/>
        <v>insert into ins_premium_det (premium_rcv_code,assorted_code, rec_amount,premium_rcv_detail_code,remaining_amt, payrec, mode_code,paid_to_code,class_cd) values('11Dec240052','070000162395','-279.9',(select max(to_number(i.premium_rcv_detail_code))+1 from ins_premium_det i),'-279.9','-279.9','05', '09000414','00');</v>
      </c>
    </row>
    <row r="102" spans="1:8" ht="75" x14ac:dyDescent="0.25">
      <c r="A102" s="7" t="s">
        <v>188</v>
      </c>
      <c r="B102" s="19" t="str">
        <f>VLOOKUP(A102,policy!B:D,2,)</f>
        <v>070000169512</v>
      </c>
      <c r="C102" t="s">
        <v>292</v>
      </c>
      <c r="D102" s="17" t="s">
        <v>891</v>
      </c>
      <c r="E102" s="20" t="str">
        <f>VLOOKUP(A102,policy!B:D,3,0)</f>
        <v>09000414</v>
      </c>
      <c r="F102" s="21" t="str">
        <f t="shared" si="4"/>
        <v>insert into ins_premium_det (premium_rcv_code,assorted_code, rec_amount,premium_rcv_detail_code,remaining_amt, payrec, mode_code,paid_to_code,class_cd) values</v>
      </c>
      <c r="G102" s="22" t="str">
        <f t="shared" si="5"/>
        <v>('11Dec240052','070000169512','-349.9',(select max(to_number(i.premium_rcv_detail_code))+1 from ins_premium_det i),'-349.9','-349.9','05', '09000414','00');</v>
      </c>
      <c r="H102" s="23" t="str">
        <f t="shared" si="3"/>
        <v>insert into ins_premium_det (premium_rcv_code,assorted_code, rec_amount,premium_rcv_detail_code,remaining_amt, payrec, mode_code,paid_to_code,class_cd) values('11Dec240052','070000169512','-349.9',(select max(to_number(i.premium_rcv_detail_code))+1 from ins_premium_det i),'-349.9','-349.9','05', '09000414','00');</v>
      </c>
    </row>
    <row r="103" spans="1:8" ht="75" x14ac:dyDescent="0.25">
      <c r="A103" s="8" t="s">
        <v>190</v>
      </c>
      <c r="B103" s="19" t="str">
        <f>VLOOKUP(A103,policy!B:D,2,)</f>
        <v>070000162386</v>
      </c>
      <c r="C103" t="s">
        <v>292</v>
      </c>
      <c r="D103" s="17" t="s">
        <v>891</v>
      </c>
      <c r="E103" s="20" t="str">
        <f>VLOOKUP(A103,policy!B:D,3,0)</f>
        <v>09000414</v>
      </c>
      <c r="F103" s="21" t="str">
        <f t="shared" si="4"/>
        <v>insert into ins_premium_det (premium_rcv_code,assorted_code, rec_amount,premium_rcv_detail_code,remaining_amt, payrec, mode_code,paid_to_code,class_cd) values</v>
      </c>
      <c r="G103" s="22" t="str">
        <f t="shared" si="5"/>
        <v>('11Dec240052','070000162386','-349.9',(select max(to_number(i.premium_rcv_detail_code))+1 from ins_premium_det i),'-349.9','-349.9','05', '09000414','00');</v>
      </c>
      <c r="H103" s="23" t="str">
        <f t="shared" si="3"/>
        <v>insert into ins_premium_det (premium_rcv_code,assorted_code, rec_amount,premium_rcv_detail_code,remaining_amt, payrec, mode_code,paid_to_code,class_cd) values('11Dec240052','070000162386','-349.9',(select max(to_number(i.premium_rcv_detail_code))+1 from ins_premium_det i),'-349.9','-349.9','05', '09000414','00');</v>
      </c>
    </row>
    <row r="104" spans="1:8" ht="75" x14ac:dyDescent="0.25">
      <c r="A104" s="7" t="s">
        <v>192</v>
      </c>
      <c r="B104" s="19" t="str">
        <f>VLOOKUP(A104,policy!B:D,2,)</f>
        <v>070000164176</v>
      </c>
      <c r="C104" t="s">
        <v>338</v>
      </c>
      <c r="D104" s="17" t="s">
        <v>891</v>
      </c>
      <c r="E104" s="20" t="str">
        <f>VLOOKUP(A104,policy!B:D,3,0)</f>
        <v>09000414</v>
      </c>
      <c r="F104" s="21" t="str">
        <f t="shared" si="4"/>
        <v>insert into ins_premium_det (premium_rcv_code,assorted_code, rec_amount,premium_rcv_detail_code,remaining_amt, payrec, mode_code,paid_to_code,class_cd) values</v>
      </c>
      <c r="G104" s="22" t="str">
        <f t="shared" si="5"/>
        <v>('11Dec240052','070000164176','-171.5',(select max(to_number(i.premium_rcv_detail_code))+1 from ins_premium_det i),'-171.5','-171.5','05', '09000414','00');</v>
      </c>
      <c r="H104" s="23" t="str">
        <f t="shared" si="3"/>
        <v>insert into ins_premium_det (premium_rcv_code,assorted_code, rec_amount,premium_rcv_detail_code,remaining_amt, payrec, mode_code,paid_to_code,class_cd) values('11Dec240052','070000164176','-171.5',(select max(to_number(i.premium_rcv_detail_code))+1 from ins_premium_det i),'-171.5','-171.5','05', '09000414','00');</v>
      </c>
    </row>
    <row r="105" spans="1:8" ht="75" x14ac:dyDescent="0.25">
      <c r="A105" s="7" t="s">
        <v>194</v>
      </c>
      <c r="B105" s="19" t="str">
        <f>VLOOKUP(A105,policy!B:D,2,)</f>
        <v>070000171440</v>
      </c>
      <c r="C105" t="s">
        <v>291</v>
      </c>
      <c r="D105" s="17" t="s">
        <v>891</v>
      </c>
      <c r="E105" s="20" t="str">
        <f>VLOOKUP(A105,policy!B:D,3,0)</f>
        <v>09000414</v>
      </c>
      <c r="F105" s="21" t="str">
        <f t="shared" si="4"/>
        <v>insert into ins_premium_det (premium_rcv_code,assorted_code, rec_amount,premium_rcv_detail_code,remaining_amt, payrec, mode_code,paid_to_code,class_cd) values</v>
      </c>
      <c r="G105" s="22" t="str">
        <f t="shared" si="5"/>
        <v>('11Dec240052','070000171440','-299.9',(select max(to_number(i.premium_rcv_detail_code))+1 from ins_premium_det i),'-299.9','-299.9','05', '09000414','00');</v>
      </c>
      <c r="H105" s="23" t="str">
        <f t="shared" si="3"/>
        <v>insert into ins_premium_det (premium_rcv_code,assorted_code, rec_amount,premium_rcv_detail_code,remaining_amt, payrec, mode_code,paid_to_code,class_cd) values('11Dec240052','070000171440','-299.9',(select max(to_number(i.premium_rcv_detail_code))+1 from ins_premium_det i),'-299.9','-299.9','05', '09000414','00');</v>
      </c>
    </row>
    <row r="106" spans="1:8" ht="75" x14ac:dyDescent="0.25">
      <c r="A106" s="7" t="s">
        <v>196</v>
      </c>
      <c r="B106" s="19" t="str">
        <f>VLOOKUP(A106,policy!B:D,2,)</f>
        <v>070000157164</v>
      </c>
      <c r="C106" t="s">
        <v>306</v>
      </c>
      <c r="D106" s="17" t="s">
        <v>891</v>
      </c>
      <c r="E106" s="20" t="str">
        <f>VLOOKUP(A106,policy!B:D,3,0)</f>
        <v>09000414</v>
      </c>
      <c r="F106" s="21" t="str">
        <f t="shared" si="4"/>
        <v>insert into ins_premium_det (premium_rcv_code,assorted_code, rec_amount,premium_rcv_detail_code,remaining_amt, payrec, mode_code,paid_to_code,class_cd) values</v>
      </c>
      <c r="G106" s="22" t="str">
        <f t="shared" si="5"/>
        <v>('11Dec240052','070000157164','-499.95',(select max(to_number(i.premium_rcv_detail_code))+1 from ins_premium_det i),'-499.95','-499.95','05', '09000414','00');</v>
      </c>
      <c r="H106" s="23" t="str">
        <f t="shared" si="3"/>
        <v>insert into ins_premium_det (premium_rcv_code,assorted_code, rec_amount,premium_rcv_detail_code,remaining_amt, payrec, mode_code,paid_to_code,class_cd) values('11Dec240052','070000157164','-499.95',(select max(to_number(i.premium_rcv_detail_code))+1 from ins_premium_det i),'-499.95','-499.95','05', '09000414','00');</v>
      </c>
    </row>
    <row r="107" spans="1:8" ht="75" x14ac:dyDescent="0.25">
      <c r="A107" s="7" t="s">
        <v>198</v>
      </c>
      <c r="B107" s="19" t="str">
        <f>VLOOKUP(A107,policy!B:D,2,)</f>
        <v>070000164181</v>
      </c>
      <c r="C107" t="s">
        <v>285</v>
      </c>
      <c r="D107" s="17" t="s">
        <v>891</v>
      </c>
      <c r="E107" s="20" t="str">
        <f>VLOOKUP(A107,policy!B:D,3,0)</f>
        <v>09000414</v>
      </c>
      <c r="F107" s="21" t="str">
        <f t="shared" si="4"/>
        <v>insert into ins_premium_det (premium_rcv_code,assorted_code, rec_amount,premium_rcv_detail_code,remaining_amt, payrec, mode_code,paid_to_code,class_cd) values</v>
      </c>
      <c r="G107" s="22" t="str">
        <f t="shared" si="5"/>
        <v>('11Dec240052','070000164181','-699.925',(select max(to_number(i.premium_rcv_detail_code))+1 from ins_premium_det i),'-699.925','-699.925','05', '09000414','00');</v>
      </c>
      <c r="H107" s="23" t="str">
        <f t="shared" si="3"/>
        <v>insert into ins_premium_det (premium_rcv_code,assorted_code, rec_amount,premium_rcv_detail_code,remaining_amt, payrec, mode_code,paid_to_code,class_cd) values('11Dec240052','070000164181','-699.925',(select max(to_number(i.premium_rcv_detail_code))+1 from ins_premium_det i),'-699.925','-699.925','05', '09000414','00');</v>
      </c>
    </row>
    <row r="108" spans="1:8" ht="75" x14ac:dyDescent="0.25">
      <c r="A108" s="7" t="s">
        <v>200</v>
      </c>
      <c r="B108" s="19" t="str">
        <f>VLOOKUP(A108,policy!B:D,2,)</f>
        <v>070000154304</v>
      </c>
      <c r="C108" t="s">
        <v>333</v>
      </c>
      <c r="D108" s="17" t="s">
        <v>891</v>
      </c>
      <c r="E108" s="20" t="str">
        <f>VLOOKUP(A108,policy!B:D,3,0)</f>
        <v>09000414</v>
      </c>
      <c r="F108" s="21" t="str">
        <f t="shared" si="4"/>
        <v>insert into ins_premium_det (premium_rcv_code,assorted_code, rec_amount,premium_rcv_detail_code,remaining_amt, payrec, mode_code,paid_to_code,class_cd) values</v>
      </c>
      <c r="G108" s="22" t="str">
        <f t="shared" si="5"/>
        <v>('11Dec240052','070000154304','-250',(select max(to_number(i.premium_rcv_detail_code))+1 from ins_premium_det i),'-250','-250','05', '09000414','00');</v>
      </c>
      <c r="H108" s="23" t="str">
        <f t="shared" si="3"/>
        <v>insert into ins_premium_det (premium_rcv_code,assorted_code, rec_amount,premium_rcv_detail_code,remaining_amt, payrec, mode_code,paid_to_code,class_cd) values('11Dec240052','070000154304','-250',(select max(to_number(i.premium_rcv_detail_code))+1 from ins_premium_det i),'-250','-250','05', '09000414','00');</v>
      </c>
    </row>
    <row r="109" spans="1:8" ht="75" x14ac:dyDescent="0.25">
      <c r="A109" s="7" t="s">
        <v>202</v>
      </c>
      <c r="B109" s="19" t="str">
        <f>VLOOKUP(A109,policy!B:D,2,)</f>
        <v>070000171447</v>
      </c>
      <c r="C109" t="s">
        <v>288</v>
      </c>
      <c r="D109" s="17" t="s">
        <v>891</v>
      </c>
      <c r="E109" s="20" t="str">
        <f>VLOOKUP(A109,policy!B:D,3,0)</f>
        <v>09000414</v>
      </c>
      <c r="F109" s="21" t="str">
        <f t="shared" si="4"/>
        <v>insert into ins_premium_det (premium_rcv_code,assorted_code, rec_amount,premium_rcv_detail_code,remaining_amt, payrec, mode_code,paid_to_code,class_cd) values</v>
      </c>
      <c r="G109" s="22" t="str">
        <f t="shared" si="5"/>
        <v>('11Dec240052','070000171447','-499.925',(select max(to_number(i.premium_rcv_detail_code))+1 from ins_premium_det i),'-499.925','-499.925','05', '09000414','00');</v>
      </c>
      <c r="H109" s="23" t="str">
        <f t="shared" si="3"/>
        <v>insert into ins_premium_det (premium_rcv_code,assorted_code, rec_amount,premium_rcv_detail_code,remaining_amt, payrec, mode_code,paid_to_code,class_cd) values('11Dec240052','070000171447','-499.925',(select max(to_number(i.premium_rcv_detail_code))+1 from ins_premium_det i),'-499.925','-499.925','05', '09000414','00');</v>
      </c>
    </row>
    <row r="110" spans="1:8" ht="75" x14ac:dyDescent="0.25">
      <c r="A110" s="7" t="s">
        <v>204</v>
      </c>
      <c r="B110" s="19" t="str">
        <f>VLOOKUP(A110,policy!B:D,2,)</f>
        <v>070000162404</v>
      </c>
      <c r="C110" t="s">
        <v>291</v>
      </c>
      <c r="D110" s="17" t="s">
        <v>891</v>
      </c>
      <c r="E110" s="20" t="str">
        <f>VLOOKUP(A110,policy!B:D,3,0)</f>
        <v>09000414</v>
      </c>
      <c r="F110" s="21" t="str">
        <f t="shared" si="4"/>
        <v>insert into ins_premium_det (premium_rcv_code,assorted_code, rec_amount,premium_rcv_detail_code,remaining_amt, payrec, mode_code,paid_to_code,class_cd) values</v>
      </c>
      <c r="G110" s="22" t="str">
        <f t="shared" si="5"/>
        <v>('11Dec240052','070000162404','-299.9',(select max(to_number(i.premium_rcv_detail_code))+1 from ins_premium_det i),'-299.9','-299.9','05', '09000414','00');</v>
      </c>
      <c r="H110" s="23" t="str">
        <f t="shared" si="3"/>
        <v>insert into ins_premium_det (premium_rcv_code,assorted_code, rec_amount,premium_rcv_detail_code,remaining_amt, payrec, mode_code,paid_to_code,class_cd) values('11Dec240052','070000162404','-299.9',(select max(to_number(i.premium_rcv_detail_code))+1 from ins_premium_det i),'-299.9','-299.9','05', '09000414','00');</v>
      </c>
    </row>
    <row r="111" spans="1:8" ht="75" x14ac:dyDescent="0.25">
      <c r="A111" s="7" t="s">
        <v>206</v>
      </c>
      <c r="B111" s="19" t="str">
        <f>VLOOKUP(A111,policy!B:D,2,)</f>
        <v>070000152030</v>
      </c>
      <c r="C111" t="s">
        <v>290</v>
      </c>
      <c r="D111" s="17" t="s">
        <v>891</v>
      </c>
      <c r="E111" s="20" t="str">
        <f>VLOOKUP(A111,policy!B:D,3,0)</f>
        <v>09000414</v>
      </c>
      <c r="F111" s="21" t="str">
        <f t="shared" si="4"/>
        <v>insert into ins_premium_det (premium_rcv_code,assorted_code, rec_amount,premium_rcv_detail_code,remaining_amt, payrec, mode_code,paid_to_code,class_cd) values</v>
      </c>
      <c r="G111" s="22" t="str">
        <f t="shared" si="5"/>
        <v>('11Dec240052','070000152030','-400',(select max(to_number(i.premium_rcv_detail_code))+1 from ins_premium_det i),'-400','-400','05', '09000414','00');</v>
      </c>
      <c r="H111" s="23" t="str">
        <f t="shared" si="3"/>
        <v>insert into ins_premium_det (premium_rcv_code,assorted_code, rec_amount,premium_rcv_detail_code,remaining_amt, payrec, mode_code,paid_to_code,class_cd) values('11Dec240052','070000152030','-400',(select max(to_number(i.premium_rcv_detail_code))+1 from ins_premium_det i),'-400','-400','05', '09000414','00');</v>
      </c>
    </row>
    <row r="112" spans="1:8" ht="75" x14ac:dyDescent="0.25">
      <c r="A112" s="7" t="s">
        <v>208</v>
      </c>
      <c r="B112" s="19" t="str">
        <f>VLOOKUP(A112,policy!B:D,2,)</f>
        <v>070000152022</v>
      </c>
      <c r="C112" t="s">
        <v>289</v>
      </c>
      <c r="D112" s="17" t="s">
        <v>891</v>
      </c>
      <c r="E112" s="20" t="str">
        <f>VLOOKUP(A112,policy!B:D,3,0)</f>
        <v>09000414</v>
      </c>
      <c r="F112" s="21" t="str">
        <f t="shared" si="4"/>
        <v>insert into ins_premium_det (premium_rcv_code,assorted_code, rec_amount,premium_rcv_detail_code,remaining_amt, payrec, mode_code,paid_to_code,class_cd) values</v>
      </c>
      <c r="G112" s="22" t="str">
        <f t="shared" si="5"/>
        <v>('11Dec240052','070000152022','-300',(select max(to_number(i.premium_rcv_detail_code))+1 from ins_premium_det i),'-300','-300','05', '09000414','00');</v>
      </c>
      <c r="H112" s="23" t="str">
        <f t="shared" si="3"/>
        <v>insert into ins_premium_det (premium_rcv_code,assorted_code, rec_amount,premium_rcv_detail_code,remaining_amt, payrec, mode_code,paid_to_code,class_cd) values('11Dec240052','070000152022','-300',(select max(to_number(i.premium_rcv_detail_code))+1 from ins_premium_det i),'-300','-300','05', '09000414','00');</v>
      </c>
    </row>
    <row r="113" spans="1:8" ht="75" x14ac:dyDescent="0.25">
      <c r="A113" s="7" t="s">
        <v>210</v>
      </c>
      <c r="B113" s="19" t="str">
        <f>VLOOKUP(A113,policy!B:D,2,)</f>
        <v>070000162376</v>
      </c>
      <c r="C113" t="s">
        <v>287</v>
      </c>
      <c r="D113" s="17" t="s">
        <v>891</v>
      </c>
      <c r="E113" s="20" t="str">
        <f>VLOOKUP(A113,policy!B:D,3,0)</f>
        <v>09000414</v>
      </c>
      <c r="F113" s="21" t="str">
        <f t="shared" si="4"/>
        <v>insert into ins_premium_det (premium_rcv_code,assorted_code, rec_amount,premium_rcv_detail_code,remaining_amt, payrec, mode_code,paid_to_code,class_cd) values</v>
      </c>
      <c r="G113" s="22" t="str">
        <f t="shared" si="5"/>
        <v>('11Dec240052','070000162376','-399.925',(select max(to_number(i.premium_rcv_detail_code))+1 from ins_premium_det i),'-399.925','-399.925','05', '09000414','00');</v>
      </c>
      <c r="H113" s="23" t="str">
        <f t="shared" si="3"/>
        <v>insert into ins_premium_det (premium_rcv_code,assorted_code, rec_amount,premium_rcv_detail_code,remaining_amt, payrec, mode_code,paid_to_code,class_cd) values('11Dec240052','070000162376','-399.925',(select max(to_number(i.premium_rcv_detail_code))+1 from ins_premium_det i),'-399.925','-399.925','05', '09000414','00');</v>
      </c>
    </row>
    <row r="114" spans="1:8" ht="75" x14ac:dyDescent="0.25">
      <c r="A114" s="7" t="s">
        <v>212</v>
      </c>
      <c r="B114" s="19" t="str">
        <f>VLOOKUP(A114,policy!B:D,2,)</f>
        <v>070000162393</v>
      </c>
      <c r="C114" t="s">
        <v>287</v>
      </c>
      <c r="D114" s="17" t="s">
        <v>891</v>
      </c>
      <c r="E114" s="20" t="str">
        <f>VLOOKUP(A114,policy!B:D,3,0)</f>
        <v>09000414</v>
      </c>
      <c r="F114" s="21" t="str">
        <f t="shared" si="4"/>
        <v>insert into ins_premium_det (premium_rcv_code,assorted_code, rec_amount,premium_rcv_detail_code,remaining_amt, payrec, mode_code,paid_to_code,class_cd) values</v>
      </c>
      <c r="G114" s="22" t="str">
        <f t="shared" si="5"/>
        <v>('11Dec240052','070000162393','-399.925',(select max(to_number(i.premium_rcv_detail_code))+1 from ins_premium_det i),'-399.925','-399.925','05', '09000414','00');</v>
      </c>
      <c r="H114" s="23" t="str">
        <f t="shared" si="3"/>
        <v>insert into ins_premium_det (premium_rcv_code,assorted_code, rec_amount,premium_rcv_detail_code,remaining_amt, payrec, mode_code,paid_to_code,class_cd) values('11Dec240052','070000162393','-399.925',(select max(to_number(i.premium_rcv_detail_code))+1 from ins_premium_det i),'-399.925','-399.925','05', '09000414','00');</v>
      </c>
    </row>
    <row r="115" spans="1:8" ht="75" x14ac:dyDescent="0.25">
      <c r="A115" s="7" t="s">
        <v>214</v>
      </c>
      <c r="B115" s="19" t="str">
        <f>VLOOKUP(A115,policy!B:D,2,)</f>
        <v>070000152025</v>
      </c>
      <c r="C115" t="s">
        <v>293</v>
      </c>
      <c r="D115" s="17" t="s">
        <v>891</v>
      </c>
      <c r="E115" s="20" t="str">
        <f>VLOOKUP(A115,policy!B:D,3,0)</f>
        <v>09000414</v>
      </c>
      <c r="F115" s="21" t="str">
        <f t="shared" si="4"/>
        <v>insert into ins_premium_det (premium_rcv_code,assorted_code, rec_amount,premium_rcv_detail_code,remaining_amt, payrec, mode_code,paid_to_code,class_cd) values</v>
      </c>
      <c r="G115" s="22" t="str">
        <f t="shared" si="5"/>
        <v>('11Dec240052','070000152025','-200',(select max(to_number(i.premium_rcv_detail_code))+1 from ins_premium_det i),'-200','-200','05', '09000414','00');</v>
      </c>
      <c r="H115" s="23" t="str">
        <f t="shared" si="3"/>
        <v>insert into ins_premium_det (premium_rcv_code,assorted_code, rec_amount,premium_rcv_detail_code,remaining_amt, payrec, mode_code,paid_to_code,class_cd) values('11Dec240052','070000152025','-200',(select max(to_number(i.premium_rcv_detail_code))+1 from ins_premium_det i),'-200','-200','05', '09000414','00');</v>
      </c>
    </row>
    <row r="116" spans="1:8" ht="75" x14ac:dyDescent="0.25">
      <c r="A116" s="7" t="s">
        <v>215</v>
      </c>
      <c r="B116" s="19" t="str">
        <f>VLOOKUP(A116,policy!B:D,2,)</f>
        <v>070000171448</v>
      </c>
      <c r="C116" t="s">
        <v>288</v>
      </c>
      <c r="D116" s="17" t="s">
        <v>891</v>
      </c>
      <c r="E116" s="20" t="str">
        <f>VLOOKUP(A116,policy!B:D,3,0)</f>
        <v>09000414</v>
      </c>
      <c r="F116" s="21" t="str">
        <f t="shared" si="4"/>
        <v>insert into ins_premium_det (premium_rcv_code,assorted_code, rec_amount,premium_rcv_detail_code,remaining_amt, payrec, mode_code,paid_to_code,class_cd) values</v>
      </c>
      <c r="G116" s="22" t="str">
        <f t="shared" si="5"/>
        <v>('11Dec240052','070000171448','-499.925',(select max(to_number(i.premium_rcv_detail_code))+1 from ins_premium_det i),'-499.925','-499.925','05', '09000414','00');</v>
      </c>
      <c r="H116" s="23" t="str">
        <f t="shared" si="3"/>
        <v>insert into ins_premium_det (premium_rcv_code,assorted_code, rec_amount,premium_rcv_detail_code,remaining_amt, payrec, mode_code,paid_to_code,class_cd) values('11Dec240052','070000171448','-499.925',(select max(to_number(i.premium_rcv_detail_code))+1 from ins_premium_det i),'-499.925','-499.925','05', '09000414','00');</v>
      </c>
    </row>
    <row r="117" spans="1:8" ht="75" x14ac:dyDescent="0.25">
      <c r="A117" s="7" t="s">
        <v>217</v>
      </c>
      <c r="B117" s="19" t="str">
        <f>VLOOKUP(A117,policy!B:D,2,)</f>
        <v>070000162391</v>
      </c>
      <c r="C117" t="s">
        <v>335</v>
      </c>
      <c r="D117" s="17" t="s">
        <v>891</v>
      </c>
      <c r="E117" s="20" t="str">
        <f>VLOOKUP(A117,policy!B:D,3,0)</f>
        <v>09000414</v>
      </c>
      <c r="F117" s="21" t="str">
        <f t="shared" si="4"/>
        <v>insert into ins_premium_det (premium_rcv_code,assorted_code, rec_amount,premium_rcv_detail_code,remaining_amt, payrec, mode_code,paid_to_code,class_cd) values</v>
      </c>
      <c r="G117" s="22" t="str">
        <f t="shared" si="5"/>
        <v>('11Dec240052','070000162391','-199.925',(select max(to_number(i.premium_rcv_detail_code))+1 from ins_premium_det i),'-199.925','-199.925','05', '09000414','00');</v>
      </c>
      <c r="H117" s="23" t="str">
        <f t="shared" si="3"/>
        <v>insert into ins_premium_det (premium_rcv_code,assorted_code, rec_amount,premium_rcv_detail_code,remaining_amt, payrec, mode_code,paid_to_code,class_cd) values('11Dec240052','070000162391','-199.925',(select max(to_number(i.premium_rcv_detail_code))+1 from ins_premium_det i),'-199.925','-199.925','05', '09000414','00');</v>
      </c>
    </row>
    <row r="118" spans="1:8" ht="75" x14ac:dyDescent="0.25">
      <c r="A118" s="7" t="s">
        <v>219</v>
      </c>
      <c r="B118" s="19" t="str">
        <f>VLOOKUP(A118,policy!B:D,2,)</f>
        <v>070000154312</v>
      </c>
      <c r="C118" t="s">
        <v>293</v>
      </c>
      <c r="D118" s="17" t="s">
        <v>891</v>
      </c>
      <c r="E118" s="20" t="str">
        <f>VLOOKUP(A118,policy!B:D,3,0)</f>
        <v>09000414</v>
      </c>
      <c r="F118" s="21" t="str">
        <f t="shared" si="4"/>
        <v>insert into ins_premium_det (premium_rcv_code,assorted_code, rec_amount,premium_rcv_detail_code,remaining_amt, payrec, mode_code,paid_to_code,class_cd) values</v>
      </c>
      <c r="G118" s="22" t="str">
        <f t="shared" si="5"/>
        <v>('11Dec240052','070000154312','-200',(select max(to_number(i.premium_rcv_detail_code))+1 from ins_premium_det i),'-200','-200','05', '09000414','00');</v>
      </c>
      <c r="H118" s="23" t="str">
        <f t="shared" si="3"/>
        <v>insert into ins_premium_det (premium_rcv_code,assorted_code, rec_amount,premium_rcv_detail_code,remaining_amt, payrec, mode_code,paid_to_code,class_cd) values('11Dec240052','070000154312','-200',(select max(to_number(i.premium_rcv_detail_code))+1 from ins_premium_det i),'-200','-200','05', '09000414','00');</v>
      </c>
    </row>
    <row r="119" spans="1:8" ht="75" x14ac:dyDescent="0.25">
      <c r="A119" s="7" t="s">
        <v>221</v>
      </c>
      <c r="B119" s="19" t="str">
        <f>VLOOKUP(A119,policy!B:D,2,)</f>
        <v>070000169515</v>
      </c>
      <c r="C119" t="s">
        <v>285</v>
      </c>
      <c r="D119" s="17" t="s">
        <v>891</v>
      </c>
      <c r="E119" s="20" t="str">
        <f>VLOOKUP(A119,policy!B:D,3,0)</f>
        <v>09000414</v>
      </c>
      <c r="F119" s="21" t="str">
        <f t="shared" si="4"/>
        <v>insert into ins_premium_det (premium_rcv_code,assorted_code, rec_amount,premium_rcv_detail_code,remaining_amt, payrec, mode_code,paid_to_code,class_cd) values</v>
      </c>
      <c r="G119" s="22" t="str">
        <f t="shared" si="5"/>
        <v>('11Dec240052','070000169515','-699.925',(select max(to_number(i.premium_rcv_detail_code))+1 from ins_premium_det i),'-699.925','-699.925','05', '09000414','00');</v>
      </c>
      <c r="H119" s="23" t="str">
        <f t="shared" si="3"/>
        <v>insert into ins_premium_det (premium_rcv_code,assorted_code, rec_amount,premium_rcv_detail_code,remaining_amt, payrec, mode_code,paid_to_code,class_cd) values('11Dec240052','070000169515','-699.925',(select max(to_number(i.premium_rcv_detail_code))+1 from ins_premium_det i),'-699.925','-699.925','05', '09000414','00');</v>
      </c>
    </row>
    <row r="120" spans="1:8" ht="75" x14ac:dyDescent="0.25">
      <c r="A120" s="7" t="s">
        <v>223</v>
      </c>
      <c r="B120" s="19" t="str">
        <f>VLOOKUP(A120,policy!B:D,2,)</f>
        <v>070000162411</v>
      </c>
      <c r="C120" t="s">
        <v>288</v>
      </c>
      <c r="D120" s="17" t="s">
        <v>891</v>
      </c>
      <c r="E120" s="20" t="str">
        <f>VLOOKUP(A120,policy!B:D,3,0)</f>
        <v>09000414</v>
      </c>
      <c r="F120" s="21" t="str">
        <f t="shared" si="4"/>
        <v>insert into ins_premium_det (premium_rcv_code,assorted_code, rec_amount,premium_rcv_detail_code,remaining_amt, payrec, mode_code,paid_to_code,class_cd) values</v>
      </c>
      <c r="G120" s="22" t="str">
        <f t="shared" si="5"/>
        <v>('11Dec240052','070000162411','-499.925',(select max(to_number(i.premium_rcv_detail_code))+1 from ins_premium_det i),'-499.925','-499.925','05', '09000414','00');</v>
      </c>
      <c r="H120" s="23" t="str">
        <f t="shared" si="3"/>
        <v>insert into ins_premium_det (premium_rcv_code,assorted_code, rec_amount,premium_rcv_detail_code,remaining_amt, payrec, mode_code,paid_to_code,class_cd) values('11Dec240052','070000162411','-499.925',(select max(to_number(i.premium_rcv_detail_code))+1 from ins_premium_det i),'-499.925','-499.925','05', '09000414','00');</v>
      </c>
    </row>
    <row r="121" spans="1:8" ht="75" x14ac:dyDescent="0.25">
      <c r="A121" s="7" t="s">
        <v>225</v>
      </c>
      <c r="B121" s="19" t="str">
        <f>VLOOKUP(A121,policy!B:D,2,)</f>
        <v>070000162412</v>
      </c>
      <c r="C121" t="s">
        <v>339</v>
      </c>
      <c r="D121" s="17" t="s">
        <v>891</v>
      </c>
      <c r="E121" s="20" t="str">
        <f>VLOOKUP(A121,policy!B:D,3,0)</f>
        <v>09000414</v>
      </c>
      <c r="F121" s="21" t="str">
        <f t="shared" si="4"/>
        <v>insert into ins_premium_det (premium_rcv_code,assorted_code, rec_amount,premium_rcv_detail_code,remaining_amt, payrec, mode_code,paid_to_code,class_cd) values</v>
      </c>
      <c r="G121" s="22" t="str">
        <f t="shared" si="5"/>
        <v>('11Dec240052','070000162412','-19.925',(select max(to_number(i.premium_rcv_detail_code))+1 from ins_premium_det i),'-19.925','-19.925','05', '09000414','00');</v>
      </c>
      <c r="H121" s="23" t="str">
        <f t="shared" si="3"/>
        <v>insert into ins_premium_det (premium_rcv_code,assorted_code, rec_amount,premium_rcv_detail_code,remaining_amt, payrec, mode_code,paid_to_code,class_cd) values('11Dec240052','070000162412','-19.925',(select max(to_number(i.premium_rcv_detail_code))+1 from ins_premium_det i),'-19.925','-19.925','05', '09000414','00');</v>
      </c>
    </row>
    <row r="122" spans="1:8" ht="75" x14ac:dyDescent="0.25">
      <c r="A122" s="7" t="s">
        <v>227</v>
      </c>
      <c r="B122" s="19" t="str">
        <f>VLOOKUP(A122,policy!B:D,2,)</f>
        <v>070000162407</v>
      </c>
      <c r="C122" t="s">
        <v>311</v>
      </c>
      <c r="D122" s="17" t="s">
        <v>891</v>
      </c>
      <c r="E122" s="20" t="str">
        <f>VLOOKUP(A122,policy!B:D,3,0)</f>
        <v>09000414</v>
      </c>
      <c r="F122" s="21" t="str">
        <f t="shared" si="4"/>
        <v>insert into ins_premium_det (premium_rcv_code,assorted_code, rec_amount,premium_rcv_detail_code,remaining_amt, payrec, mode_code,paid_to_code,class_cd) values</v>
      </c>
      <c r="G122" s="22" t="str">
        <f t="shared" si="5"/>
        <v>('11Dec240052','070000162407','-199.875',(select max(to_number(i.premium_rcv_detail_code))+1 from ins_premium_det i),'-199.875','-199.875','05', '09000414','00');</v>
      </c>
      <c r="H122" s="23" t="str">
        <f t="shared" si="3"/>
        <v>insert into ins_premium_det (premium_rcv_code,assorted_code, rec_amount,premium_rcv_detail_code,remaining_amt, payrec, mode_code,paid_to_code,class_cd) values('11Dec240052','070000162407','-199.875',(select max(to_number(i.premium_rcv_detail_code))+1 from ins_premium_det i),'-199.875','-199.875','05', '09000414','00');</v>
      </c>
    </row>
    <row r="123" spans="1:8" ht="75" x14ac:dyDescent="0.25">
      <c r="A123" s="7" t="s">
        <v>229</v>
      </c>
      <c r="B123" s="19" t="str">
        <f>VLOOKUP(A123,policy!B:D,2,)</f>
        <v>070000162414</v>
      </c>
      <c r="C123" t="s">
        <v>340</v>
      </c>
      <c r="D123" s="17" t="s">
        <v>891</v>
      </c>
      <c r="E123" s="20" t="str">
        <f>VLOOKUP(A123,policy!B:D,3,0)</f>
        <v>09000414</v>
      </c>
      <c r="F123" s="21" t="str">
        <f t="shared" si="4"/>
        <v>insert into ins_premium_det (premium_rcv_code,assorted_code, rec_amount,premium_rcv_detail_code,remaining_amt, payrec, mode_code,paid_to_code,class_cd) values</v>
      </c>
      <c r="G123" s="22" t="str">
        <f t="shared" si="5"/>
        <v>('11Dec240052','070000162414','-1499.85',(select max(to_number(i.premium_rcv_detail_code))+1 from ins_premium_det i),'-1499.85','-1499.85','05', '09000414','00');</v>
      </c>
      <c r="H123" s="23" t="str">
        <f t="shared" si="3"/>
        <v>insert into ins_premium_det (premium_rcv_code,assorted_code, rec_amount,premium_rcv_detail_code,remaining_amt, payrec, mode_code,paid_to_code,class_cd) values('11Dec240052','070000162414','-1499.85',(select max(to_number(i.premium_rcv_detail_code))+1 from ins_premium_det i),'-1499.85','-1499.85','05', '09000414','00');</v>
      </c>
    </row>
    <row r="124" spans="1:8" ht="75" x14ac:dyDescent="0.25">
      <c r="A124" s="7" t="s">
        <v>231</v>
      </c>
      <c r="B124" s="19" t="str">
        <f>VLOOKUP(A124,policy!B:D,2,)</f>
        <v>070000162370</v>
      </c>
      <c r="C124" t="s">
        <v>282</v>
      </c>
      <c r="D124" s="17" t="s">
        <v>891</v>
      </c>
      <c r="E124" s="20" t="str">
        <f>VLOOKUP(A124,policy!B:D,3,0)</f>
        <v>09000414</v>
      </c>
      <c r="F124" s="21" t="str">
        <f t="shared" si="4"/>
        <v>insert into ins_premium_det (premium_rcv_code,assorted_code, rec_amount,premium_rcv_detail_code,remaining_amt, payrec, mode_code,paid_to_code,class_cd) values</v>
      </c>
      <c r="G124" s="22" t="str">
        <f t="shared" si="5"/>
        <v>('11Dec240052','070000162370','-49.9',(select max(to_number(i.premium_rcv_detail_code))+1 from ins_premium_det i),'-49.9','-49.9','05', '09000414','00');</v>
      </c>
      <c r="H124" s="23" t="str">
        <f t="shared" si="3"/>
        <v>insert into ins_premium_det (premium_rcv_code,assorted_code, rec_amount,premium_rcv_detail_code,remaining_amt, payrec, mode_code,paid_to_code,class_cd) values('11Dec240052','070000162370','-49.9',(select max(to_number(i.premium_rcv_detail_code))+1 from ins_premium_det i),'-49.9','-49.9','05', '09000414','00');</v>
      </c>
    </row>
    <row r="125" spans="1:8" ht="75" x14ac:dyDescent="0.25">
      <c r="A125" s="7" t="s">
        <v>233</v>
      </c>
      <c r="B125" s="19" t="str">
        <f>VLOOKUP(A125,policy!B:D,2,)</f>
        <v>070000164178</v>
      </c>
      <c r="C125" t="s">
        <v>309</v>
      </c>
      <c r="D125" s="17" t="s">
        <v>891</v>
      </c>
      <c r="E125" s="20" t="str">
        <f>VLOOKUP(A125,policy!B:D,3,0)</f>
        <v>09000414</v>
      </c>
      <c r="F125" s="21" t="str">
        <f t="shared" si="4"/>
        <v>insert into ins_premium_det (premium_rcv_code,assorted_code, rec_amount,premium_rcv_detail_code,remaining_amt, payrec, mode_code,paid_to_code,class_cd) values</v>
      </c>
      <c r="G125" s="22" t="str">
        <f t="shared" si="5"/>
        <v>('11Dec240052','070000164178','-799.925',(select max(to_number(i.premium_rcv_detail_code))+1 from ins_premium_det i),'-799.925','-799.925','05', '09000414','00');</v>
      </c>
      <c r="H125" s="23" t="str">
        <f t="shared" si="3"/>
        <v>insert into ins_premium_det (premium_rcv_code,assorted_code, rec_amount,premium_rcv_detail_code,remaining_amt, payrec, mode_code,paid_to_code,class_cd) values('11Dec240052','070000164178','-799.925',(select max(to_number(i.premium_rcv_detail_code))+1 from ins_premium_det i),'-799.925','-799.925','05', '09000414','00');</v>
      </c>
    </row>
    <row r="126" spans="1:8" ht="75" x14ac:dyDescent="0.25">
      <c r="A126" s="7" t="s">
        <v>235</v>
      </c>
      <c r="B126" s="19" t="str">
        <f>VLOOKUP(A126,policy!B:D,2,)</f>
        <v>070000167590</v>
      </c>
      <c r="C126" t="s">
        <v>312</v>
      </c>
      <c r="D126" s="17" t="s">
        <v>891</v>
      </c>
      <c r="E126" s="20" t="str">
        <f>VLOOKUP(A126,policy!B:D,3,0)</f>
        <v>09000414</v>
      </c>
      <c r="F126" s="21" t="str">
        <f t="shared" si="4"/>
        <v>insert into ins_premium_det (premium_rcv_code,assorted_code, rec_amount,premium_rcv_detail_code,remaining_amt, payrec, mode_code,paid_to_code,class_cd) values</v>
      </c>
      <c r="G126" s="22" t="str">
        <f t="shared" si="5"/>
        <v>('11Dec240052','070000167590','-149.9',(select max(to_number(i.premium_rcv_detail_code))+1 from ins_premium_det i),'-149.9','-149.9','05', '09000414','00');</v>
      </c>
      <c r="H126" s="23" t="str">
        <f t="shared" si="3"/>
        <v>insert into ins_premium_det (premium_rcv_code,assorted_code, rec_amount,premium_rcv_detail_code,remaining_amt, payrec, mode_code,paid_to_code,class_cd) values('11Dec240052','070000167590','-149.9',(select max(to_number(i.premium_rcv_detail_code))+1 from ins_premium_det i),'-149.9','-149.9','05', '09000414','00');</v>
      </c>
    </row>
    <row r="127" spans="1:8" ht="75" x14ac:dyDescent="0.25">
      <c r="A127" s="7" t="s">
        <v>237</v>
      </c>
      <c r="B127" s="19" t="str">
        <f>VLOOKUP(A127,policy!B:D,2,)</f>
        <v>070000157167</v>
      </c>
      <c r="C127" t="s">
        <v>341</v>
      </c>
      <c r="D127" s="17" t="s">
        <v>891</v>
      </c>
      <c r="E127" s="20" t="str">
        <f>VLOOKUP(A127,policy!B:D,3,0)</f>
        <v>09000414</v>
      </c>
      <c r="F127" s="21" t="str">
        <f t="shared" si="4"/>
        <v>insert into ins_premium_det (premium_rcv_code,assorted_code, rec_amount,premium_rcv_detail_code,remaining_amt, payrec, mode_code,paid_to_code,class_cd) values</v>
      </c>
      <c r="G127" s="22" t="str">
        <f t="shared" si="5"/>
        <v>('11Dec240052','070000157167','-149.925',(select max(to_number(i.premium_rcv_detail_code))+1 from ins_premium_det i),'-149.925','-149.925','05', '09000414','00');</v>
      </c>
      <c r="H127" s="23" t="str">
        <f t="shared" si="3"/>
        <v>insert into ins_premium_det (premium_rcv_code,assorted_code, rec_amount,premium_rcv_detail_code,remaining_amt, payrec, mode_code,paid_to_code,class_cd) values('11Dec240052','070000157167','-149.925',(select max(to_number(i.premium_rcv_detail_code))+1 from ins_premium_det i),'-149.925','-149.925','05', '09000414','00');</v>
      </c>
    </row>
    <row r="128" spans="1:8" ht="75" x14ac:dyDescent="0.25">
      <c r="A128" s="7" t="s">
        <v>238</v>
      </c>
      <c r="B128" s="19" t="str">
        <f>VLOOKUP(A128,policy!B:D,2,)</f>
        <v>070000157168</v>
      </c>
      <c r="C128" t="s">
        <v>306</v>
      </c>
      <c r="D128" s="17" t="s">
        <v>891</v>
      </c>
      <c r="E128" s="20" t="str">
        <f>VLOOKUP(A128,policy!B:D,3,0)</f>
        <v>09000414</v>
      </c>
      <c r="F128" s="21" t="str">
        <f t="shared" si="4"/>
        <v>insert into ins_premium_det (premium_rcv_code,assorted_code, rec_amount,premium_rcv_detail_code,remaining_amt, payrec, mode_code,paid_to_code,class_cd) values</v>
      </c>
      <c r="G128" s="22" t="str">
        <f t="shared" si="5"/>
        <v>('11Dec240052','070000157168','-499.95',(select max(to_number(i.premium_rcv_detail_code))+1 from ins_premium_det i),'-499.95','-499.95','05', '09000414','00');</v>
      </c>
      <c r="H128" s="23" t="str">
        <f t="shared" si="3"/>
        <v>insert into ins_premium_det (premium_rcv_code,assorted_code, rec_amount,premium_rcv_detail_code,remaining_amt, payrec, mode_code,paid_to_code,class_cd) values('11Dec240052','070000157168','-499.95',(select max(to_number(i.premium_rcv_detail_code))+1 from ins_premium_det i),'-499.95','-499.95','05', '09000414','00');</v>
      </c>
    </row>
    <row r="129" spans="1:8" ht="75" x14ac:dyDescent="0.25">
      <c r="A129" s="7" t="s">
        <v>240</v>
      </c>
      <c r="B129" s="19" t="str">
        <f>VLOOKUP(A129,policy!B:D,2,)</f>
        <v>070000162397</v>
      </c>
      <c r="C129" t="s">
        <v>279</v>
      </c>
      <c r="D129" s="17" t="s">
        <v>891</v>
      </c>
      <c r="E129" s="20" t="str">
        <f>VLOOKUP(A129,policy!B:D,3,0)</f>
        <v>09000414</v>
      </c>
      <c r="F129" s="21" t="str">
        <f t="shared" si="4"/>
        <v>insert into ins_premium_det (premium_rcv_code,assorted_code, rec_amount,premium_rcv_detail_code,remaining_amt, payrec, mode_code,paid_to_code,class_cd) values</v>
      </c>
      <c r="G129" s="22" t="str">
        <f t="shared" si="5"/>
        <v>('11Dec240052','070000162397','-99.875',(select max(to_number(i.premium_rcv_detail_code))+1 from ins_premium_det i),'-99.875','-99.875','05', '09000414','00');</v>
      </c>
      <c r="H129" s="23" t="str">
        <f t="shared" si="3"/>
        <v>insert into ins_premium_det (premium_rcv_code,assorted_code, rec_amount,premium_rcv_detail_code,remaining_amt, payrec, mode_code,paid_to_code,class_cd) values('11Dec240052','070000162397','-99.875',(select max(to_number(i.premium_rcv_detail_code))+1 from ins_premium_det i),'-99.875','-99.875','05', '09000414','00');</v>
      </c>
    </row>
    <row r="130" spans="1:8" ht="75" x14ac:dyDescent="0.25">
      <c r="A130" s="7" t="s">
        <v>242</v>
      </c>
      <c r="B130" s="19" t="str">
        <f>VLOOKUP(A130,policy!B:D,2,)</f>
        <v>070000162409</v>
      </c>
      <c r="C130" t="s">
        <v>342</v>
      </c>
      <c r="D130" s="17" t="s">
        <v>891</v>
      </c>
      <c r="E130" s="20" t="str">
        <f>VLOOKUP(A130,policy!B:D,3,0)</f>
        <v>09000414</v>
      </c>
      <c r="F130" s="21" t="str">
        <f t="shared" si="4"/>
        <v>insert into ins_premium_det (premium_rcv_code,assorted_code, rec_amount,premium_rcv_detail_code,remaining_amt, payrec, mode_code,paid_to_code,class_cd) values</v>
      </c>
      <c r="G130" s="22" t="str">
        <f t="shared" si="5"/>
        <v>('11Dec240052','070000162409','-19.9',(select max(to_number(i.premium_rcv_detail_code))+1 from ins_premium_det i),'-19.9','-19.9','05', '09000414','00');</v>
      </c>
      <c r="H130" s="23" t="str">
        <f t="shared" ref="H130:H147" si="6">F130&amp;G130</f>
        <v>insert into ins_premium_det (premium_rcv_code,assorted_code, rec_amount,premium_rcv_detail_code,remaining_amt, payrec, mode_code,paid_to_code,class_cd) values('11Dec240052','070000162409','-19.9',(select max(to_number(i.premium_rcv_detail_code))+1 from ins_premium_det i),'-19.9','-19.9','05', '09000414','00');</v>
      </c>
    </row>
    <row r="131" spans="1:8" ht="75" x14ac:dyDescent="0.25">
      <c r="A131" s="7" t="s">
        <v>244</v>
      </c>
      <c r="B131" s="19" t="str">
        <f>VLOOKUP(A131,policy!B:D,2,)</f>
        <v>070000154298</v>
      </c>
      <c r="C131" t="s">
        <v>343</v>
      </c>
      <c r="D131" s="17" t="s">
        <v>891</v>
      </c>
      <c r="E131" s="20" t="str">
        <f>VLOOKUP(A131,policy!B:D,3,0)</f>
        <v>09000414</v>
      </c>
      <c r="F131" s="21" t="str">
        <f t="shared" ref="F131:F147" si="7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131" s="22" t="str">
        <f t="shared" ref="G131:G147" si="8">"('"&amp;D130&amp;"','"&amp;B131&amp;"','"&amp;C131&amp;"',(select max(to_number(i.premium_rcv_detail_code))+1 from ins_premium_det i),'"&amp;C131&amp;"','"&amp;C131&amp;"','05', '"&amp;E131&amp;"','00');"</f>
        <v>('11Dec240052','070000154298','-20',(select max(to_number(i.premium_rcv_detail_code))+1 from ins_premium_det i),'-20','-20','05', '09000414','00');</v>
      </c>
      <c r="H131" s="23" t="str">
        <f t="shared" si="6"/>
        <v>insert into ins_premium_det (premium_rcv_code,assorted_code, rec_amount,premium_rcv_detail_code,remaining_amt, payrec, mode_code,paid_to_code,class_cd) values('11Dec240052','070000154298','-20',(select max(to_number(i.premium_rcv_detail_code))+1 from ins_premium_det i),'-20','-20','05', '09000414','00');</v>
      </c>
    </row>
    <row r="132" spans="1:8" ht="75" x14ac:dyDescent="0.25">
      <c r="A132" s="7" t="s">
        <v>245</v>
      </c>
      <c r="B132" s="19" t="str">
        <f>VLOOKUP(A132,policy!B:D,2,)</f>
        <v>070000162413</v>
      </c>
      <c r="C132" t="s">
        <v>288</v>
      </c>
      <c r="D132" s="17" t="s">
        <v>891</v>
      </c>
      <c r="E132" s="20" t="str">
        <f>VLOOKUP(A132,policy!B:D,3,0)</f>
        <v>09000414</v>
      </c>
      <c r="F132" s="21" t="str">
        <f t="shared" si="7"/>
        <v>insert into ins_premium_det (premium_rcv_code,assorted_code, rec_amount,premium_rcv_detail_code,remaining_amt, payrec, mode_code,paid_to_code,class_cd) values</v>
      </c>
      <c r="G132" s="22" t="str">
        <f t="shared" si="8"/>
        <v>('11Dec240052','070000162413','-499.925',(select max(to_number(i.premium_rcv_detail_code))+1 from ins_premium_det i),'-499.925','-499.925','05', '09000414','00');</v>
      </c>
      <c r="H132" s="23" t="str">
        <f t="shared" si="6"/>
        <v>insert into ins_premium_det (premium_rcv_code,assorted_code, rec_amount,premium_rcv_detail_code,remaining_amt, payrec, mode_code,paid_to_code,class_cd) values('11Dec240052','070000162413','-499.925',(select max(to_number(i.premium_rcv_detail_code))+1 from ins_premium_det i),'-499.925','-499.925','05', '09000414','00');</v>
      </c>
    </row>
    <row r="133" spans="1:8" ht="75" x14ac:dyDescent="0.25">
      <c r="A133" s="7" t="s">
        <v>247</v>
      </c>
      <c r="B133" s="19" t="str">
        <f>VLOOKUP(A133,policy!B:D,2,)</f>
        <v>070000162379</v>
      </c>
      <c r="C133" t="s">
        <v>288</v>
      </c>
      <c r="D133" s="17" t="s">
        <v>891</v>
      </c>
      <c r="E133" s="20" t="str">
        <f>VLOOKUP(A133,policy!B:D,3,0)</f>
        <v>09000414</v>
      </c>
      <c r="F133" s="21" t="str">
        <f t="shared" si="7"/>
        <v>insert into ins_premium_det (premium_rcv_code,assorted_code, rec_amount,premium_rcv_detail_code,remaining_amt, payrec, mode_code,paid_to_code,class_cd) values</v>
      </c>
      <c r="G133" s="22" t="str">
        <f t="shared" si="8"/>
        <v>('11Dec240052','070000162379','-499.925',(select max(to_number(i.premium_rcv_detail_code))+1 from ins_premium_det i),'-499.925','-499.925','05', '09000414','00');</v>
      </c>
      <c r="H133" s="23" t="str">
        <f t="shared" si="6"/>
        <v>insert into ins_premium_det (premium_rcv_code,assorted_code, rec_amount,premium_rcv_detail_code,remaining_amt, payrec, mode_code,paid_to_code,class_cd) values('11Dec240052','070000162379','-499.925',(select max(to_number(i.premium_rcv_detail_code))+1 from ins_premium_det i),'-499.925','-499.925','05', '09000414','00');</v>
      </c>
    </row>
    <row r="134" spans="1:8" ht="75" x14ac:dyDescent="0.25">
      <c r="A134" s="7" t="s">
        <v>249</v>
      </c>
      <c r="B134" s="19" t="str">
        <f>VLOOKUP(A134,policy!B:D,2,)</f>
        <v>070000162396</v>
      </c>
      <c r="C134" t="s">
        <v>288</v>
      </c>
      <c r="D134" s="17" t="s">
        <v>891</v>
      </c>
      <c r="E134" s="20" t="str">
        <f>VLOOKUP(A134,policy!B:D,3,0)</f>
        <v>09000414</v>
      </c>
      <c r="F134" s="21" t="str">
        <f t="shared" si="7"/>
        <v>insert into ins_premium_det (premium_rcv_code,assorted_code, rec_amount,premium_rcv_detail_code,remaining_amt, payrec, mode_code,paid_to_code,class_cd) values</v>
      </c>
      <c r="G134" s="22" t="str">
        <f t="shared" si="8"/>
        <v>('11Dec240052','070000162396','-499.925',(select max(to_number(i.premium_rcv_detail_code))+1 from ins_premium_det i),'-499.925','-499.925','05', '09000414','00');</v>
      </c>
      <c r="H134" s="23" t="str">
        <f t="shared" si="6"/>
        <v>insert into ins_premium_det (premium_rcv_code,assorted_code, rec_amount,premium_rcv_detail_code,remaining_amt, payrec, mode_code,paid_to_code,class_cd) values('11Dec240052','070000162396','-499.925',(select max(to_number(i.premium_rcv_detail_code))+1 from ins_premium_det i),'-499.925','-499.925','05', '09000414','00');</v>
      </c>
    </row>
    <row r="135" spans="1:8" ht="75" x14ac:dyDescent="0.25">
      <c r="A135" s="7" t="s">
        <v>251</v>
      </c>
      <c r="B135" s="19" t="str">
        <f>VLOOKUP(A135,policy!B:D,2,)</f>
        <v>070000154299</v>
      </c>
      <c r="C135" t="s">
        <v>290</v>
      </c>
      <c r="D135" s="17" t="s">
        <v>891</v>
      </c>
      <c r="E135" s="20" t="str">
        <f>VLOOKUP(A135,policy!B:D,3,0)</f>
        <v>09000414</v>
      </c>
      <c r="F135" s="21" t="str">
        <f t="shared" si="7"/>
        <v>insert into ins_premium_det (premium_rcv_code,assorted_code, rec_amount,premium_rcv_detail_code,remaining_amt, payrec, mode_code,paid_to_code,class_cd) values</v>
      </c>
      <c r="G135" s="22" t="str">
        <f t="shared" si="8"/>
        <v>('11Dec240052','070000154299','-400',(select max(to_number(i.premium_rcv_detail_code))+1 from ins_premium_det i),'-400','-400','05', '09000414','00');</v>
      </c>
      <c r="H135" s="23" t="str">
        <f t="shared" si="6"/>
        <v>insert into ins_premium_det (premium_rcv_code,assorted_code, rec_amount,premium_rcv_detail_code,remaining_amt, payrec, mode_code,paid_to_code,class_cd) values('11Dec240052','070000154299','-400',(select max(to_number(i.premium_rcv_detail_code))+1 from ins_premium_det i),'-400','-400','05', '09000414','00');</v>
      </c>
    </row>
    <row r="136" spans="1:8" ht="75" x14ac:dyDescent="0.25">
      <c r="A136" s="7" t="s">
        <v>253</v>
      </c>
      <c r="B136" s="19" t="str">
        <f>VLOOKUP(A136,policy!B:D,2,)</f>
        <v>070000171449</v>
      </c>
      <c r="C136" t="s">
        <v>286</v>
      </c>
      <c r="D136" s="17" t="s">
        <v>891</v>
      </c>
      <c r="E136" s="20" t="str">
        <f>VLOOKUP(A136,policy!B:D,3,0)</f>
        <v>09000414</v>
      </c>
      <c r="F136" s="21" t="str">
        <f t="shared" si="7"/>
        <v>insert into ins_premium_det (premium_rcv_code,assorted_code, rec_amount,premium_rcv_detail_code,remaining_amt, payrec, mode_code,paid_to_code,class_cd) values</v>
      </c>
      <c r="G136" s="22" t="str">
        <f t="shared" si="8"/>
        <v>('11Dec240052','070000171449','-749.9',(select max(to_number(i.premium_rcv_detail_code))+1 from ins_premium_det i),'-749.9','-749.9','05', '09000414','00');</v>
      </c>
      <c r="H136" s="23" t="str">
        <f t="shared" si="6"/>
        <v>insert into ins_premium_det (premium_rcv_code,assorted_code, rec_amount,premium_rcv_detail_code,remaining_amt, payrec, mode_code,paid_to_code,class_cd) values('11Dec240052','070000171449','-749.9',(select max(to_number(i.premium_rcv_detail_code))+1 from ins_premium_det i),'-749.9','-749.9','05', '09000414','00');</v>
      </c>
    </row>
    <row r="137" spans="1:8" ht="75" x14ac:dyDescent="0.25">
      <c r="A137" s="7" t="s">
        <v>255</v>
      </c>
      <c r="B137" s="19" t="str">
        <f>VLOOKUP(A137,policy!B:D,2,)</f>
        <v>070000167582</v>
      </c>
      <c r="C137" t="s">
        <v>282</v>
      </c>
      <c r="D137" s="17" t="s">
        <v>891</v>
      </c>
      <c r="E137" s="20" t="str">
        <f>VLOOKUP(A137,policy!B:D,3,0)</f>
        <v>09000414</v>
      </c>
      <c r="F137" s="21" t="str">
        <f t="shared" si="7"/>
        <v>insert into ins_premium_det (premium_rcv_code,assorted_code, rec_amount,premium_rcv_detail_code,remaining_amt, payrec, mode_code,paid_to_code,class_cd) values</v>
      </c>
      <c r="G137" s="22" t="str">
        <f t="shared" si="8"/>
        <v>('11Dec240052','070000167582','-49.9',(select max(to_number(i.premium_rcv_detail_code))+1 from ins_premium_det i),'-49.9','-49.9','05', '09000414','00');</v>
      </c>
      <c r="H137" s="23" t="str">
        <f t="shared" si="6"/>
        <v>insert into ins_premium_det (premium_rcv_code,assorted_code, rec_amount,premium_rcv_detail_code,remaining_amt, payrec, mode_code,paid_to_code,class_cd) values('11Dec240052','070000167582','-49.9',(select max(to_number(i.premium_rcv_detail_code))+1 from ins_premium_det i),'-49.9','-49.9','05', '09000414','00');</v>
      </c>
    </row>
    <row r="138" spans="1:8" ht="75" x14ac:dyDescent="0.25">
      <c r="A138" s="7" t="s">
        <v>257</v>
      </c>
      <c r="B138" s="19" t="str">
        <f>VLOOKUP(A138,policy!B:D,2,)</f>
        <v>070000154318</v>
      </c>
      <c r="C138" t="s">
        <v>300</v>
      </c>
      <c r="D138" s="17" t="s">
        <v>891</v>
      </c>
      <c r="E138" s="20" t="str">
        <f>VLOOKUP(A138,policy!B:D,3,0)</f>
        <v>09000414</v>
      </c>
      <c r="F138" s="21" t="str">
        <f t="shared" si="7"/>
        <v>insert into ins_premium_det (premium_rcv_code,assorted_code, rec_amount,premium_rcv_detail_code,remaining_amt, payrec, mode_code,paid_to_code,class_cd) values</v>
      </c>
      <c r="G138" s="22" t="str">
        <f t="shared" si="8"/>
        <v>('11Dec240052','070000154318','-49.975',(select max(to_number(i.premium_rcv_detail_code))+1 from ins_premium_det i),'-49.975','-49.975','05', '09000414','00');</v>
      </c>
      <c r="H138" s="23" t="str">
        <f t="shared" si="6"/>
        <v>insert into ins_premium_det (premium_rcv_code,assorted_code, rec_amount,premium_rcv_detail_code,remaining_amt, payrec, mode_code,paid_to_code,class_cd) values('11Dec240052','070000154318','-49.975',(select max(to_number(i.premium_rcv_detail_code))+1 from ins_premium_det i),'-49.975','-49.975','05', '09000414','00');</v>
      </c>
    </row>
    <row r="139" spans="1:8" ht="75" x14ac:dyDescent="0.25">
      <c r="A139" s="7" t="s">
        <v>258</v>
      </c>
      <c r="B139" s="19" t="str">
        <f>VLOOKUP(A139,policy!B:D,2,)</f>
        <v>070000162381</v>
      </c>
      <c r="C139" t="s">
        <v>286</v>
      </c>
      <c r="D139" s="17" t="s">
        <v>891</v>
      </c>
      <c r="E139" s="20" t="str">
        <f>VLOOKUP(A139,policy!B:D,3,0)</f>
        <v>09000414</v>
      </c>
      <c r="F139" s="21" t="str">
        <f t="shared" si="7"/>
        <v>insert into ins_premium_det (premium_rcv_code,assorted_code, rec_amount,premium_rcv_detail_code,remaining_amt, payrec, mode_code,paid_to_code,class_cd) values</v>
      </c>
      <c r="G139" s="22" t="str">
        <f t="shared" si="8"/>
        <v>('11Dec240052','070000162381','-749.9',(select max(to_number(i.premium_rcv_detail_code))+1 from ins_premium_det i),'-749.9','-749.9','05', '09000414','00');</v>
      </c>
      <c r="H139" s="23" t="str">
        <f t="shared" si="6"/>
        <v>insert into ins_premium_det (premium_rcv_code,assorted_code, rec_amount,premium_rcv_detail_code,remaining_amt, payrec, mode_code,paid_to_code,class_cd) values('11Dec240052','070000162381','-749.9',(select max(to_number(i.premium_rcv_detail_code))+1 from ins_premium_det i),'-749.9','-749.9','05', '09000414','00');</v>
      </c>
    </row>
    <row r="140" spans="1:8" ht="75" x14ac:dyDescent="0.25">
      <c r="A140" s="7" t="s">
        <v>260</v>
      </c>
      <c r="B140" s="19" t="str">
        <f>VLOOKUP(A140,policy!B:D,2,)</f>
        <v>070000154317</v>
      </c>
      <c r="C140" t="s">
        <v>344</v>
      </c>
      <c r="D140" s="17" t="s">
        <v>891</v>
      </c>
      <c r="E140" s="20" t="str">
        <f>VLOOKUP(A140,policy!B:D,3,0)</f>
        <v>09000414</v>
      </c>
      <c r="F140" s="21" t="str">
        <f t="shared" si="7"/>
        <v>insert into ins_premium_det (premium_rcv_code,assorted_code, rec_amount,premium_rcv_detail_code,remaining_amt, payrec, mode_code,paid_to_code,class_cd) values</v>
      </c>
      <c r="G140" s="22" t="str">
        <f t="shared" si="8"/>
        <v>('11Dec240052','070000154317','-160',(select max(to_number(i.premium_rcv_detail_code))+1 from ins_premium_det i),'-160','-160','05', '09000414','00');</v>
      </c>
      <c r="H140" s="23" t="str">
        <f t="shared" si="6"/>
        <v>insert into ins_premium_det (premium_rcv_code,assorted_code, rec_amount,premium_rcv_detail_code,remaining_amt, payrec, mode_code,paid_to_code,class_cd) values('11Dec240052','070000154317','-160',(select max(to_number(i.premium_rcv_detail_code))+1 from ins_premium_det i),'-160','-160','05', '09000414','00');</v>
      </c>
    </row>
    <row r="141" spans="1:8" ht="75" x14ac:dyDescent="0.25">
      <c r="A141" s="7" t="s">
        <v>262</v>
      </c>
      <c r="B141" s="19" t="str">
        <f>VLOOKUP(A141,policy!B:D,2,)</f>
        <v>070000162371</v>
      </c>
      <c r="C141" t="s">
        <v>345</v>
      </c>
      <c r="D141" s="17" t="s">
        <v>891</v>
      </c>
      <c r="E141" s="20" t="str">
        <f>VLOOKUP(A141,policy!B:D,3,0)</f>
        <v>09000414</v>
      </c>
      <c r="F141" s="21" t="str">
        <f t="shared" si="7"/>
        <v>insert into ins_premium_det (premium_rcv_code,assorted_code, rec_amount,premium_rcv_detail_code,remaining_amt, payrec, mode_code,paid_to_code,class_cd) values</v>
      </c>
      <c r="G141" s="22" t="str">
        <f t="shared" si="8"/>
        <v>('11Dec240052','070000162371','-349.925',(select max(to_number(i.premium_rcv_detail_code))+1 from ins_premium_det i),'-349.925','-349.925','05', '09000414','00');</v>
      </c>
      <c r="H141" s="23" t="str">
        <f t="shared" si="6"/>
        <v>insert into ins_premium_det (premium_rcv_code,assorted_code, rec_amount,premium_rcv_detail_code,remaining_amt, payrec, mode_code,paid_to_code,class_cd) values('11Dec240052','070000162371','-349.925',(select max(to_number(i.premium_rcv_detail_code))+1 from ins_premium_det i),'-349.925','-349.925','05', '09000414','00');</v>
      </c>
    </row>
    <row r="142" spans="1:8" ht="75" x14ac:dyDescent="0.25">
      <c r="A142" s="7" t="s">
        <v>264</v>
      </c>
      <c r="B142" s="19" t="str">
        <f>VLOOKUP(A142,policy!B:D,2,)</f>
        <v>070000162373</v>
      </c>
      <c r="C142" t="s">
        <v>323</v>
      </c>
      <c r="D142" s="17" t="s">
        <v>891</v>
      </c>
      <c r="E142" s="20" t="str">
        <f>VLOOKUP(A142,policy!B:D,3,0)</f>
        <v>09000414</v>
      </c>
      <c r="F142" s="21" t="str">
        <f t="shared" si="7"/>
        <v>insert into ins_premium_det (premium_rcv_code,assorted_code, rec_amount,premium_rcv_detail_code,remaining_amt, payrec, mode_code,paid_to_code,class_cd) values</v>
      </c>
      <c r="G142" s="22" t="str">
        <f t="shared" si="8"/>
        <v>('11Dec240052','070000162373','-449.925',(select max(to_number(i.premium_rcv_detail_code))+1 from ins_premium_det i),'-449.925','-449.925','05', '09000414','00');</v>
      </c>
      <c r="H142" s="23" t="str">
        <f t="shared" si="6"/>
        <v>insert into ins_premium_det (premium_rcv_code,assorted_code, rec_amount,premium_rcv_detail_code,remaining_amt, payrec, mode_code,paid_to_code,class_cd) values('11Dec240052','070000162373','-449.925',(select max(to_number(i.premium_rcv_detail_code))+1 from ins_premium_det i),'-449.925','-449.925','05', '09000414','00');</v>
      </c>
    </row>
    <row r="143" spans="1:8" ht="75" x14ac:dyDescent="0.25">
      <c r="A143" s="7" t="s">
        <v>266</v>
      </c>
      <c r="B143" s="19" t="str">
        <f>VLOOKUP(A143,policy!B:D,2,)</f>
        <v>070000164179</v>
      </c>
      <c r="C143" t="s">
        <v>287</v>
      </c>
      <c r="D143" s="17" t="s">
        <v>891</v>
      </c>
      <c r="E143" s="20" t="str">
        <f>VLOOKUP(A143,policy!B:D,3,0)</f>
        <v>09000414</v>
      </c>
      <c r="F143" s="21" t="str">
        <f t="shared" si="7"/>
        <v>insert into ins_premium_det (premium_rcv_code,assorted_code, rec_amount,premium_rcv_detail_code,remaining_amt, payrec, mode_code,paid_to_code,class_cd) values</v>
      </c>
      <c r="G143" s="22" t="str">
        <f t="shared" si="8"/>
        <v>('11Dec240052','070000164179','-399.925',(select max(to_number(i.premium_rcv_detail_code))+1 from ins_premium_det i),'-399.925','-399.925','05', '09000414','00');</v>
      </c>
      <c r="H143" s="23" t="str">
        <f t="shared" si="6"/>
        <v>insert into ins_premium_det (premium_rcv_code,assorted_code, rec_amount,premium_rcv_detail_code,remaining_amt, payrec, mode_code,paid_to_code,class_cd) values('11Dec240052','070000164179','-399.925',(select max(to_number(i.premium_rcv_detail_code))+1 from ins_premium_det i),'-399.925','-399.925','05', '09000414','00');</v>
      </c>
    </row>
    <row r="144" spans="1:8" ht="75" x14ac:dyDescent="0.25">
      <c r="A144" s="7" t="s">
        <v>268</v>
      </c>
      <c r="B144" s="19" t="str">
        <f>VLOOKUP(A144,policy!B:D,2,)</f>
        <v>070000171451</v>
      </c>
      <c r="C144" t="s">
        <v>346</v>
      </c>
      <c r="D144" s="17" t="s">
        <v>891</v>
      </c>
      <c r="E144" s="20" t="str">
        <f>VLOOKUP(A144,policy!B:D,3,0)</f>
        <v>09000414</v>
      </c>
      <c r="F144" s="21" t="str">
        <f t="shared" si="7"/>
        <v>insert into ins_premium_det (premium_rcv_code,assorted_code, rec_amount,premium_rcv_detail_code,remaining_amt, payrec, mode_code,paid_to_code,class_cd) values</v>
      </c>
      <c r="G144" s="22" t="str">
        <f t="shared" si="8"/>
        <v>('11Dec240052','070000171451','-159.925',(select max(to_number(i.premium_rcv_detail_code))+1 from ins_premium_det i),'-159.925','-159.925','05', '09000414','00');</v>
      </c>
      <c r="H144" s="23" t="str">
        <f t="shared" si="6"/>
        <v>insert into ins_premium_det (premium_rcv_code,assorted_code, rec_amount,premium_rcv_detail_code,remaining_amt, payrec, mode_code,paid_to_code,class_cd) values('11Dec240052','070000171451','-159.925',(select max(to_number(i.premium_rcv_detail_code))+1 from ins_premium_det i),'-159.925','-159.925','05', '09000414','00');</v>
      </c>
    </row>
    <row r="145" spans="1:8" ht="75" x14ac:dyDescent="0.25">
      <c r="A145" s="7" t="s">
        <v>270</v>
      </c>
      <c r="B145" s="19" t="str">
        <f>VLOOKUP(A145,policy!B:D,2,)</f>
        <v>070000162388</v>
      </c>
      <c r="C145" t="s">
        <v>282</v>
      </c>
      <c r="D145" s="17" t="s">
        <v>891</v>
      </c>
      <c r="E145" s="20" t="str">
        <f>VLOOKUP(A145,policy!B:D,3,0)</f>
        <v>09000414</v>
      </c>
      <c r="F145" s="21" t="str">
        <f t="shared" si="7"/>
        <v>insert into ins_premium_det (premium_rcv_code,assorted_code, rec_amount,premium_rcv_detail_code,remaining_amt, payrec, mode_code,paid_to_code,class_cd) values</v>
      </c>
      <c r="G145" s="22" t="str">
        <f t="shared" si="8"/>
        <v>('11Dec240052','070000162388','-49.9',(select max(to_number(i.premium_rcv_detail_code))+1 from ins_premium_det i),'-49.9','-49.9','05', '09000414','00');</v>
      </c>
      <c r="H145" s="23" t="str">
        <f t="shared" si="6"/>
        <v>insert into ins_premium_det (premium_rcv_code,assorted_code, rec_amount,premium_rcv_detail_code,remaining_amt, payrec, mode_code,paid_to_code,class_cd) values('11Dec240052','070000162388','-49.9',(select max(to_number(i.premium_rcv_detail_code))+1 from ins_premium_det i),'-49.9','-49.9','05', '09000414','00');</v>
      </c>
    </row>
    <row r="146" spans="1:8" ht="75" x14ac:dyDescent="0.25">
      <c r="A146" s="7" t="s">
        <v>271</v>
      </c>
      <c r="B146" s="19" t="str">
        <f>VLOOKUP(A146,policy!B:D,2,)</f>
        <v>070000152019</v>
      </c>
      <c r="C146" t="s">
        <v>300</v>
      </c>
      <c r="D146" s="17" t="s">
        <v>891</v>
      </c>
      <c r="E146" s="20" t="str">
        <f>VLOOKUP(A146,policy!B:D,3,0)</f>
        <v>09000414</v>
      </c>
      <c r="F146" s="21" t="str">
        <f t="shared" si="7"/>
        <v>insert into ins_premium_det (premium_rcv_code,assorted_code, rec_amount,premium_rcv_detail_code,remaining_amt, payrec, mode_code,paid_to_code,class_cd) values</v>
      </c>
      <c r="G146" s="22" t="str">
        <f t="shared" si="8"/>
        <v>('11Dec240052','070000152019','-49.975',(select max(to_number(i.premium_rcv_detail_code))+1 from ins_premium_det i),'-49.975','-49.975','05', '09000414','00');</v>
      </c>
      <c r="H146" s="23" t="str">
        <f t="shared" si="6"/>
        <v>insert into ins_premium_det (premium_rcv_code,assorted_code, rec_amount,premium_rcv_detail_code,remaining_amt, payrec, mode_code,paid_to_code,class_cd) values('11Dec240052','070000152019','-49.975',(select max(to_number(i.premium_rcv_detail_code))+1 from ins_premium_det i),'-49.975','-49.975','05', '09000414','00');</v>
      </c>
    </row>
    <row r="147" spans="1:8" ht="75" x14ac:dyDescent="0.25">
      <c r="A147" s="7" t="s">
        <v>272</v>
      </c>
      <c r="B147" s="19" t="str">
        <f>VLOOKUP(A147,policy!B:D,2,)</f>
        <v>070000169511</v>
      </c>
      <c r="C147" t="s">
        <v>347</v>
      </c>
      <c r="D147" s="17" t="s">
        <v>891</v>
      </c>
      <c r="E147" s="20" t="str">
        <f>VLOOKUP(A147,policy!B:D,3,0)</f>
        <v>09000414</v>
      </c>
      <c r="F147" s="21" t="str">
        <f t="shared" si="7"/>
        <v>insert into ins_premium_det (premium_rcv_code,assorted_code, rec_amount,premium_rcv_detail_code,remaining_amt, payrec, mode_code,paid_to_code,class_cd) values</v>
      </c>
      <c r="G147" s="22" t="str">
        <f t="shared" si="8"/>
        <v>('11Dec240052','070000169511','-142.9',(select max(to_number(i.premium_rcv_detail_code))+1 from ins_premium_det i),'-142.9','-142.9','05', '09000414','00');</v>
      </c>
      <c r="H147" s="23" t="str">
        <f t="shared" si="6"/>
        <v>insert into ins_premium_det (premium_rcv_code,assorted_code, rec_amount,premium_rcv_detail_code,remaining_amt, payrec, mode_code,paid_to_code,class_cd) values('11Dec240052','070000169511','-142.9',(select max(to_number(i.premium_rcv_detail_code))+1 from ins_premium_det i),'-142.9','-142.9','05', '09000414','00');</v>
      </c>
    </row>
    <row r="149" spans="1:8" x14ac:dyDescent="0.25">
      <c r="C149">
        <f>SUM(C2:C147)</f>
        <v>0</v>
      </c>
    </row>
  </sheetData>
  <conditionalFormatting sqref="A1">
    <cfRule type="duplicateValues" dxfId="3" priority="4"/>
  </conditionalFormatting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22F3-FD66-422C-A41C-7CB6FC72D2A2}">
  <dimension ref="A1:E146"/>
  <sheetViews>
    <sheetView topLeftCell="A126" workbookViewId="0">
      <selection activeCell="E1" sqref="E1:E146"/>
    </sheetView>
  </sheetViews>
  <sheetFormatPr defaultRowHeight="15" x14ac:dyDescent="0.25"/>
  <cols>
    <col min="1" max="1" width="32" bestFit="1" customWidth="1"/>
    <col min="5" max="5" width="39.5703125" bestFit="1" customWidth="1"/>
  </cols>
  <sheetData>
    <row r="1" spans="1:5" x14ac:dyDescent="0.25">
      <c r="A1" s="7" t="s">
        <v>3</v>
      </c>
      <c r="B1" t="s">
        <v>348</v>
      </c>
      <c r="D1">
        <v>2457</v>
      </c>
      <c r="E1" t="str">
        <f>"ia.assorted_string like '%"&amp;D1&amp;B1&amp;"%' or"</f>
        <v>ia.assorted_string like '%2457-02-2024%' or</v>
      </c>
    </row>
    <row r="2" spans="1:5" x14ac:dyDescent="0.25">
      <c r="A2" s="7" t="s">
        <v>5</v>
      </c>
      <c r="B2" t="s">
        <v>349</v>
      </c>
      <c r="D2">
        <v>2838</v>
      </c>
      <c r="E2" t="str">
        <f t="shared" ref="E2:E65" si="0">"ia.assorted_string like '%"&amp;D2&amp;B2&amp;"%' or"</f>
        <v>ia.assorted_string like '%2838-11-2024%' or</v>
      </c>
    </row>
    <row r="3" spans="1:5" x14ac:dyDescent="0.25">
      <c r="A3" s="7" t="s">
        <v>7</v>
      </c>
      <c r="B3" t="s">
        <v>350</v>
      </c>
      <c r="D3">
        <v>2526</v>
      </c>
      <c r="E3" t="str">
        <f t="shared" si="0"/>
        <v>ia.assorted_string like '%2526-04-2024%' or</v>
      </c>
    </row>
    <row r="4" spans="1:5" x14ac:dyDescent="0.25">
      <c r="A4" s="7" t="s">
        <v>9</v>
      </c>
      <c r="B4" t="s">
        <v>348</v>
      </c>
      <c r="D4">
        <v>2458</v>
      </c>
      <c r="E4" t="str">
        <f t="shared" si="0"/>
        <v>ia.assorted_string like '%2458-02-2024%' or</v>
      </c>
    </row>
    <row r="5" spans="1:5" x14ac:dyDescent="0.25">
      <c r="A5" s="7" t="s">
        <v>11</v>
      </c>
      <c r="B5" t="s">
        <v>351</v>
      </c>
      <c r="D5">
        <v>2795</v>
      </c>
      <c r="E5" t="str">
        <f t="shared" si="0"/>
        <v>ia.assorted_string like '%2795-10-2024%' or</v>
      </c>
    </row>
    <row r="6" spans="1:5" x14ac:dyDescent="0.25">
      <c r="A6" s="7" t="s">
        <v>13</v>
      </c>
      <c r="B6" t="s">
        <v>350</v>
      </c>
      <c r="D6">
        <v>2515</v>
      </c>
      <c r="E6" t="str">
        <f t="shared" si="0"/>
        <v>ia.assorted_string like '%2515-04-2024%' or</v>
      </c>
    </row>
    <row r="7" spans="1:5" x14ac:dyDescent="0.25">
      <c r="A7" s="7" t="s">
        <v>14</v>
      </c>
      <c r="B7" t="s">
        <v>352</v>
      </c>
      <c r="D7">
        <v>2677</v>
      </c>
      <c r="E7" t="str">
        <f t="shared" si="0"/>
        <v>ia.assorted_string like '%2677-07-2024%' or</v>
      </c>
    </row>
    <row r="8" spans="1:5" x14ac:dyDescent="0.25">
      <c r="A8" s="7" t="s">
        <v>16</v>
      </c>
      <c r="B8" t="s">
        <v>349</v>
      </c>
      <c r="D8">
        <v>2820</v>
      </c>
      <c r="E8" t="str">
        <f t="shared" si="0"/>
        <v>ia.assorted_string like '%2820-11-2024%' or</v>
      </c>
    </row>
    <row r="9" spans="1:5" x14ac:dyDescent="0.25">
      <c r="A9" s="7" t="s">
        <v>18</v>
      </c>
      <c r="B9" t="s">
        <v>349</v>
      </c>
      <c r="D9">
        <v>2837</v>
      </c>
      <c r="E9" t="str">
        <f t="shared" si="0"/>
        <v>ia.assorted_string like '%2837-11-2024%' or</v>
      </c>
    </row>
    <row r="10" spans="1:5" x14ac:dyDescent="0.25">
      <c r="A10" s="7" t="s">
        <v>20</v>
      </c>
      <c r="B10" t="s">
        <v>352</v>
      </c>
      <c r="D10">
        <v>2683</v>
      </c>
      <c r="E10" t="str">
        <f t="shared" si="0"/>
        <v>ia.assorted_string like '%2683-07-2024%' or</v>
      </c>
    </row>
    <row r="11" spans="1:5" x14ac:dyDescent="0.25">
      <c r="A11" s="7" t="s">
        <v>22</v>
      </c>
      <c r="B11" t="s">
        <v>352</v>
      </c>
      <c r="D11">
        <v>2653</v>
      </c>
      <c r="E11" t="str">
        <f t="shared" si="0"/>
        <v>ia.assorted_string like '%2653-07-2024%' or</v>
      </c>
    </row>
    <row r="12" spans="1:5" x14ac:dyDescent="0.25">
      <c r="A12" s="7" t="s">
        <v>24</v>
      </c>
      <c r="B12" t="s">
        <v>348</v>
      </c>
      <c r="D12">
        <v>2449</v>
      </c>
      <c r="E12" t="str">
        <f t="shared" si="0"/>
        <v>ia.assorted_string like '%2449-02-2024%' or</v>
      </c>
    </row>
    <row r="13" spans="1:5" x14ac:dyDescent="0.25">
      <c r="A13" s="7" t="s">
        <v>26</v>
      </c>
      <c r="B13" t="s">
        <v>351</v>
      </c>
      <c r="D13">
        <v>2785</v>
      </c>
      <c r="E13" t="str">
        <f t="shared" si="0"/>
        <v>ia.assorted_string like '%2785-10-2024%' or</v>
      </c>
    </row>
    <row r="14" spans="1:5" x14ac:dyDescent="0.25">
      <c r="A14" s="7" t="s">
        <v>28</v>
      </c>
      <c r="B14" t="s">
        <v>353</v>
      </c>
      <c r="D14">
        <v>2395</v>
      </c>
      <c r="E14" t="str">
        <f t="shared" si="0"/>
        <v>ia.assorted_string like '%2395-01-2024%' or</v>
      </c>
    </row>
    <row r="15" spans="1:5" x14ac:dyDescent="0.25">
      <c r="A15" s="7" t="s">
        <v>30</v>
      </c>
      <c r="B15" t="s">
        <v>351</v>
      </c>
      <c r="D15">
        <v>2796</v>
      </c>
      <c r="E15" t="str">
        <f t="shared" si="0"/>
        <v>ia.assorted_string like '%2796-10-2024%' or</v>
      </c>
    </row>
    <row r="16" spans="1:5" x14ac:dyDescent="0.25">
      <c r="A16" s="7" t="s">
        <v>32</v>
      </c>
      <c r="B16" t="s">
        <v>352</v>
      </c>
      <c r="D16">
        <v>2680</v>
      </c>
      <c r="E16" t="str">
        <f t="shared" si="0"/>
        <v>ia.assorted_string like '%2680-07-2024%' or</v>
      </c>
    </row>
    <row r="17" spans="1:5" x14ac:dyDescent="0.25">
      <c r="A17" s="7" t="s">
        <v>34</v>
      </c>
      <c r="B17" t="s">
        <v>348</v>
      </c>
      <c r="D17">
        <v>2452</v>
      </c>
      <c r="E17" t="str">
        <f t="shared" si="0"/>
        <v>ia.assorted_string like '%2452-02-2024%' or</v>
      </c>
    </row>
    <row r="18" spans="1:5" x14ac:dyDescent="0.25">
      <c r="A18" s="7" t="s">
        <v>36</v>
      </c>
      <c r="B18" t="s">
        <v>353</v>
      </c>
      <c r="D18">
        <v>2398</v>
      </c>
      <c r="E18" t="str">
        <f t="shared" si="0"/>
        <v>ia.assorted_string like '%2398-01-2024%' or</v>
      </c>
    </row>
    <row r="19" spans="1:5" x14ac:dyDescent="0.25">
      <c r="A19" s="7" t="s">
        <v>38</v>
      </c>
      <c r="B19" t="s">
        <v>352</v>
      </c>
      <c r="D19">
        <v>2665</v>
      </c>
      <c r="E19" t="str">
        <f t="shared" si="0"/>
        <v>ia.assorted_string like '%2665-07-2024%' or</v>
      </c>
    </row>
    <row r="20" spans="1:5" x14ac:dyDescent="0.25">
      <c r="A20" s="7" t="s">
        <v>40</v>
      </c>
      <c r="B20" t="s">
        <v>354</v>
      </c>
      <c r="D20">
        <v>2741</v>
      </c>
      <c r="E20" t="str">
        <f t="shared" si="0"/>
        <v>ia.assorted_string like '%2741-08-2024%' or</v>
      </c>
    </row>
    <row r="21" spans="1:5" x14ac:dyDescent="0.25">
      <c r="A21" s="7" t="s">
        <v>42</v>
      </c>
      <c r="B21" t="s">
        <v>348</v>
      </c>
      <c r="D21">
        <v>2450</v>
      </c>
      <c r="E21" t="str">
        <f t="shared" si="0"/>
        <v>ia.assorted_string like '%2450-02-2024%' or</v>
      </c>
    </row>
    <row r="22" spans="1:5" x14ac:dyDescent="0.25">
      <c r="A22" s="7" t="s">
        <v>44</v>
      </c>
      <c r="B22" t="s">
        <v>350</v>
      </c>
      <c r="D22">
        <v>2520</v>
      </c>
      <c r="E22" t="str">
        <f t="shared" si="0"/>
        <v>ia.assorted_string like '%2520-04-2024%' or</v>
      </c>
    </row>
    <row r="23" spans="1:5" x14ac:dyDescent="0.25">
      <c r="A23" s="7" t="s">
        <v>46</v>
      </c>
      <c r="B23" t="s">
        <v>352</v>
      </c>
      <c r="D23">
        <v>2663</v>
      </c>
      <c r="E23" t="str">
        <f t="shared" si="0"/>
        <v>ia.assorted_string like '%2663-07-2024%' or</v>
      </c>
    </row>
    <row r="24" spans="1:5" x14ac:dyDescent="0.25">
      <c r="A24" s="7" t="s">
        <v>48</v>
      </c>
      <c r="B24" t="s">
        <v>353</v>
      </c>
      <c r="D24">
        <v>2394</v>
      </c>
      <c r="E24" t="str">
        <f t="shared" si="0"/>
        <v>ia.assorted_string like '%2394-01-2024%' or</v>
      </c>
    </row>
    <row r="25" spans="1:5" x14ac:dyDescent="0.25">
      <c r="A25" s="7" t="s">
        <v>49</v>
      </c>
      <c r="B25" t="s">
        <v>352</v>
      </c>
      <c r="D25">
        <v>2668</v>
      </c>
      <c r="E25" t="str">
        <f t="shared" si="0"/>
        <v>ia.assorted_string like '%2668-07-2024%' or</v>
      </c>
    </row>
    <row r="26" spans="1:5" x14ac:dyDescent="0.25">
      <c r="A26" s="7" t="s">
        <v>51</v>
      </c>
      <c r="B26" t="s">
        <v>353</v>
      </c>
      <c r="D26">
        <v>2391</v>
      </c>
      <c r="E26" t="str">
        <f t="shared" si="0"/>
        <v>ia.assorted_string like '%2391-01-2024%' or</v>
      </c>
    </row>
    <row r="27" spans="1:5" x14ac:dyDescent="0.25">
      <c r="A27" s="7" t="s">
        <v>53</v>
      </c>
      <c r="B27" t="s">
        <v>352</v>
      </c>
      <c r="D27">
        <v>2647</v>
      </c>
      <c r="E27" t="str">
        <f t="shared" si="0"/>
        <v>ia.assorted_string like '%2647-07-2024%' or</v>
      </c>
    </row>
    <row r="28" spans="1:5" x14ac:dyDescent="0.25">
      <c r="A28" s="7" t="s">
        <v>55</v>
      </c>
      <c r="B28" t="s">
        <v>350</v>
      </c>
      <c r="D28">
        <v>2514</v>
      </c>
      <c r="E28" t="str">
        <f t="shared" si="0"/>
        <v>ia.assorted_string like '%2514-04-2024%' or</v>
      </c>
    </row>
    <row r="29" spans="1:5" x14ac:dyDescent="0.25">
      <c r="A29" s="7" t="s">
        <v>57</v>
      </c>
      <c r="B29" t="s">
        <v>348</v>
      </c>
      <c r="D29">
        <v>2455</v>
      </c>
      <c r="E29" t="str">
        <f t="shared" si="0"/>
        <v>ia.assorted_string like '%2455-02-2024%' or</v>
      </c>
    </row>
    <row r="30" spans="1:5" x14ac:dyDescent="0.25">
      <c r="A30" s="7" t="s">
        <v>59</v>
      </c>
      <c r="B30" t="s">
        <v>349</v>
      </c>
      <c r="D30">
        <v>2845</v>
      </c>
      <c r="E30" t="str">
        <f t="shared" si="0"/>
        <v>ia.assorted_string like '%2845-11-2024%' or</v>
      </c>
    </row>
    <row r="31" spans="1:5" x14ac:dyDescent="0.25">
      <c r="A31" s="7" t="s">
        <v>61</v>
      </c>
      <c r="B31" t="s">
        <v>350</v>
      </c>
      <c r="D31">
        <v>2508</v>
      </c>
      <c r="E31" t="str">
        <f t="shared" si="0"/>
        <v>ia.assorted_string like '%2508-04-2024%' or</v>
      </c>
    </row>
    <row r="32" spans="1:5" x14ac:dyDescent="0.25">
      <c r="A32" s="7" t="s">
        <v>63</v>
      </c>
      <c r="B32" t="s">
        <v>350</v>
      </c>
      <c r="D32">
        <v>2516</v>
      </c>
      <c r="E32" t="str">
        <f t="shared" si="0"/>
        <v>ia.assorted_string like '%2516-04-2024%' or</v>
      </c>
    </row>
    <row r="33" spans="1:5" x14ac:dyDescent="0.25">
      <c r="A33" s="7" t="s">
        <v>65</v>
      </c>
      <c r="B33" t="s">
        <v>352</v>
      </c>
      <c r="D33">
        <v>2662</v>
      </c>
      <c r="E33" t="str">
        <f t="shared" si="0"/>
        <v>ia.assorted_string like '%2662-07-2024%' or</v>
      </c>
    </row>
    <row r="34" spans="1:5" x14ac:dyDescent="0.25">
      <c r="A34" s="7" t="s">
        <v>67</v>
      </c>
      <c r="B34" t="s">
        <v>352</v>
      </c>
      <c r="D34">
        <v>2661</v>
      </c>
      <c r="E34" t="str">
        <f t="shared" si="0"/>
        <v>ia.assorted_string like '%2661-07-2024%' or</v>
      </c>
    </row>
    <row r="35" spans="1:5" x14ac:dyDescent="0.25">
      <c r="A35" s="7" t="s">
        <v>69</v>
      </c>
      <c r="B35" t="s">
        <v>354</v>
      </c>
      <c r="D35">
        <v>2743</v>
      </c>
      <c r="E35" t="str">
        <f t="shared" si="0"/>
        <v>ia.assorted_string like '%2743-08-2024%' or</v>
      </c>
    </row>
    <row r="36" spans="1:5" x14ac:dyDescent="0.25">
      <c r="A36" s="7" t="s">
        <v>71</v>
      </c>
      <c r="B36" t="s">
        <v>353</v>
      </c>
      <c r="D36">
        <v>2393</v>
      </c>
      <c r="E36" t="str">
        <f t="shared" si="0"/>
        <v>ia.assorted_string like '%2393-01-2024%' or</v>
      </c>
    </row>
    <row r="37" spans="1:5" x14ac:dyDescent="0.25">
      <c r="A37" s="7" t="s">
        <v>73</v>
      </c>
      <c r="B37" t="s">
        <v>351</v>
      </c>
      <c r="D37">
        <v>2790</v>
      </c>
      <c r="E37" t="str">
        <f t="shared" si="0"/>
        <v>ia.assorted_string like '%2790-10-2024%' or</v>
      </c>
    </row>
    <row r="38" spans="1:5" x14ac:dyDescent="0.25">
      <c r="A38" s="7" t="s">
        <v>75</v>
      </c>
      <c r="B38" t="s">
        <v>354</v>
      </c>
      <c r="D38">
        <v>2736</v>
      </c>
      <c r="E38" t="str">
        <f t="shared" si="0"/>
        <v>ia.assorted_string like '%2736-08-2024%' or</v>
      </c>
    </row>
    <row r="39" spans="1:5" x14ac:dyDescent="0.25">
      <c r="A39" s="7" t="s">
        <v>77</v>
      </c>
      <c r="B39" t="s">
        <v>349</v>
      </c>
      <c r="D39">
        <v>2835</v>
      </c>
      <c r="E39" t="str">
        <f t="shared" si="0"/>
        <v>ia.assorted_string like '%2835-11-2024%' or</v>
      </c>
    </row>
    <row r="40" spans="1:5" x14ac:dyDescent="0.25">
      <c r="A40" s="7" t="s">
        <v>79</v>
      </c>
      <c r="B40" t="s">
        <v>350</v>
      </c>
      <c r="D40">
        <v>2522</v>
      </c>
      <c r="E40" t="str">
        <f t="shared" si="0"/>
        <v>ia.assorted_string like '%2522-04-2024%' or</v>
      </c>
    </row>
    <row r="41" spans="1:5" x14ac:dyDescent="0.25">
      <c r="A41" s="7" t="s">
        <v>81</v>
      </c>
      <c r="B41" t="s">
        <v>349</v>
      </c>
      <c r="D41">
        <v>2817</v>
      </c>
      <c r="E41" t="str">
        <f t="shared" si="0"/>
        <v>ia.assorted_string like '%2817-11-2024%' or</v>
      </c>
    </row>
    <row r="42" spans="1:5" x14ac:dyDescent="0.25">
      <c r="A42" s="7" t="s">
        <v>83</v>
      </c>
      <c r="B42" t="s">
        <v>348</v>
      </c>
      <c r="D42">
        <v>2462</v>
      </c>
      <c r="E42" t="str">
        <f t="shared" si="0"/>
        <v>ia.assorted_string like '%2462-02-2024%' or</v>
      </c>
    </row>
    <row r="43" spans="1:5" x14ac:dyDescent="0.25">
      <c r="A43" s="7" t="s">
        <v>84</v>
      </c>
      <c r="B43" t="s">
        <v>353</v>
      </c>
      <c r="D43">
        <v>2390</v>
      </c>
      <c r="E43" t="str">
        <f t="shared" si="0"/>
        <v>ia.assorted_string like '%2390-01-2024%' or</v>
      </c>
    </row>
    <row r="44" spans="1:5" x14ac:dyDescent="0.25">
      <c r="A44" s="7" t="s">
        <v>85</v>
      </c>
      <c r="B44" t="s">
        <v>351</v>
      </c>
      <c r="D44">
        <v>2793</v>
      </c>
      <c r="E44" t="str">
        <f t="shared" si="0"/>
        <v>ia.assorted_string like '%2793-10-2024%' or</v>
      </c>
    </row>
    <row r="45" spans="1:5" x14ac:dyDescent="0.25">
      <c r="A45" s="7" t="s">
        <v>87</v>
      </c>
      <c r="B45" t="s">
        <v>350</v>
      </c>
      <c r="D45">
        <v>2525</v>
      </c>
      <c r="E45" t="str">
        <f t="shared" si="0"/>
        <v>ia.assorted_string like '%2525-04-2024%' or</v>
      </c>
    </row>
    <row r="46" spans="1:5" x14ac:dyDescent="0.25">
      <c r="A46" s="7" t="s">
        <v>88</v>
      </c>
      <c r="B46" t="s">
        <v>350</v>
      </c>
      <c r="D46">
        <v>2513</v>
      </c>
      <c r="E46" t="str">
        <f t="shared" si="0"/>
        <v>ia.assorted_string like '%2513-04-2024%' or</v>
      </c>
    </row>
    <row r="47" spans="1:5" x14ac:dyDescent="0.25">
      <c r="A47" s="7" t="s">
        <v>90</v>
      </c>
      <c r="B47" t="s">
        <v>352</v>
      </c>
      <c r="D47">
        <v>2684</v>
      </c>
      <c r="E47" t="str">
        <f t="shared" si="0"/>
        <v>ia.assorted_string like '%2684-07-2024%' or</v>
      </c>
    </row>
    <row r="48" spans="1:5" x14ac:dyDescent="0.25">
      <c r="A48" s="7" t="s">
        <v>92</v>
      </c>
      <c r="B48" t="s">
        <v>351</v>
      </c>
      <c r="D48">
        <v>2787</v>
      </c>
      <c r="E48" t="str">
        <f t="shared" si="0"/>
        <v>ia.assorted_string like '%2787-10-2024%' or</v>
      </c>
    </row>
    <row r="49" spans="1:5" x14ac:dyDescent="0.25">
      <c r="A49" s="7" t="s">
        <v>94</v>
      </c>
      <c r="B49" t="s">
        <v>350</v>
      </c>
      <c r="D49">
        <v>2512</v>
      </c>
      <c r="E49" t="str">
        <f t="shared" si="0"/>
        <v>ia.assorted_string like '%2512-04-2024%' or</v>
      </c>
    </row>
    <row r="50" spans="1:5" x14ac:dyDescent="0.25">
      <c r="A50" s="7" t="s">
        <v>95</v>
      </c>
      <c r="B50" t="s">
        <v>352</v>
      </c>
      <c r="D50">
        <v>2688</v>
      </c>
      <c r="E50" t="str">
        <f t="shared" si="0"/>
        <v>ia.assorted_string like '%2688-07-2024%' or</v>
      </c>
    </row>
    <row r="51" spans="1:5" x14ac:dyDescent="0.25">
      <c r="A51" s="7" t="s">
        <v>97</v>
      </c>
      <c r="B51" t="s">
        <v>352</v>
      </c>
      <c r="D51">
        <v>2658</v>
      </c>
      <c r="E51" t="str">
        <f t="shared" si="0"/>
        <v>ia.assorted_string like '%2658-07-2024%' or</v>
      </c>
    </row>
    <row r="52" spans="1:5" x14ac:dyDescent="0.25">
      <c r="A52" s="7" t="s">
        <v>99</v>
      </c>
      <c r="B52" t="s">
        <v>353</v>
      </c>
      <c r="D52">
        <v>2388</v>
      </c>
      <c r="E52" t="str">
        <f t="shared" si="0"/>
        <v>ia.assorted_string like '%2388-01-2024%' or</v>
      </c>
    </row>
    <row r="53" spans="1:5" x14ac:dyDescent="0.25">
      <c r="A53" s="7" t="s">
        <v>100</v>
      </c>
      <c r="B53" t="s">
        <v>349</v>
      </c>
      <c r="D53">
        <v>2815</v>
      </c>
      <c r="E53" t="str">
        <f t="shared" si="0"/>
        <v>ia.assorted_string like '%2815-11-2024%' or</v>
      </c>
    </row>
    <row r="54" spans="1:5" x14ac:dyDescent="0.25">
      <c r="A54" s="7" t="s">
        <v>102</v>
      </c>
      <c r="B54" t="s">
        <v>352</v>
      </c>
      <c r="D54">
        <v>2686</v>
      </c>
      <c r="E54" t="str">
        <f t="shared" si="0"/>
        <v>ia.assorted_string like '%2686-07-2024%' or</v>
      </c>
    </row>
    <row r="55" spans="1:5" x14ac:dyDescent="0.25">
      <c r="A55" s="7" t="s">
        <v>104</v>
      </c>
      <c r="B55" t="s">
        <v>353</v>
      </c>
      <c r="D55">
        <v>2396</v>
      </c>
      <c r="E55" t="str">
        <f t="shared" si="0"/>
        <v>ia.assorted_string like '%2396-01-2024%' or</v>
      </c>
    </row>
    <row r="56" spans="1:5" x14ac:dyDescent="0.25">
      <c r="A56" s="7" t="s">
        <v>105</v>
      </c>
      <c r="B56" t="s">
        <v>349</v>
      </c>
      <c r="D56">
        <v>2821</v>
      </c>
      <c r="E56" t="str">
        <f t="shared" si="0"/>
        <v>ia.assorted_string like '%2821-11-2024%' or</v>
      </c>
    </row>
    <row r="57" spans="1:5" x14ac:dyDescent="0.25">
      <c r="A57" s="7" t="s">
        <v>107</v>
      </c>
      <c r="B57" t="s">
        <v>349</v>
      </c>
      <c r="D57">
        <v>2836</v>
      </c>
      <c r="E57" t="str">
        <f t="shared" si="0"/>
        <v>ia.assorted_string like '%2836-11-2024%' or</v>
      </c>
    </row>
    <row r="58" spans="1:5" x14ac:dyDescent="0.25">
      <c r="A58" s="7" t="s">
        <v>109</v>
      </c>
      <c r="B58" t="s">
        <v>353</v>
      </c>
      <c r="D58">
        <v>2384</v>
      </c>
      <c r="E58" t="str">
        <f t="shared" si="0"/>
        <v>ia.assorted_string like '%2384-01-2024%' or</v>
      </c>
    </row>
    <row r="59" spans="1:5" x14ac:dyDescent="0.25">
      <c r="A59" s="7" t="s">
        <v>111</v>
      </c>
      <c r="B59" t="s">
        <v>349</v>
      </c>
      <c r="D59">
        <v>2816</v>
      </c>
      <c r="E59" t="str">
        <f t="shared" si="0"/>
        <v>ia.assorted_string like '%2816-11-2024%' or</v>
      </c>
    </row>
    <row r="60" spans="1:5" x14ac:dyDescent="0.25">
      <c r="A60" s="7" t="s">
        <v>113</v>
      </c>
      <c r="B60" t="s">
        <v>348</v>
      </c>
      <c r="D60">
        <v>2454</v>
      </c>
      <c r="E60" t="str">
        <f t="shared" si="0"/>
        <v>ia.assorted_string like '%2454-02-2024%' or</v>
      </c>
    </row>
    <row r="61" spans="1:5" x14ac:dyDescent="0.25">
      <c r="A61" s="7" t="s">
        <v>114</v>
      </c>
      <c r="B61" t="s">
        <v>355</v>
      </c>
      <c r="D61">
        <v>575</v>
      </c>
      <c r="E61" t="str">
        <f t="shared" si="0"/>
        <v>ia.assorted_string like '%575-07-2023%' or</v>
      </c>
    </row>
    <row r="62" spans="1:5" x14ac:dyDescent="0.25">
      <c r="A62" s="7" t="s">
        <v>116</v>
      </c>
      <c r="B62" t="s">
        <v>348</v>
      </c>
      <c r="D62">
        <v>2453</v>
      </c>
      <c r="E62" t="str">
        <f t="shared" si="0"/>
        <v>ia.assorted_string like '%2453-02-2024%' or</v>
      </c>
    </row>
    <row r="63" spans="1:5" x14ac:dyDescent="0.25">
      <c r="A63" s="7" t="s">
        <v>118</v>
      </c>
      <c r="B63" t="s">
        <v>348</v>
      </c>
      <c r="D63">
        <v>2448</v>
      </c>
      <c r="E63" t="str">
        <f t="shared" si="0"/>
        <v>ia.assorted_string like '%2448-02-2024%' or</v>
      </c>
    </row>
    <row r="64" spans="1:5" x14ac:dyDescent="0.25">
      <c r="A64" s="7" t="s">
        <v>120</v>
      </c>
      <c r="B64" t="s">
        <v>350</v>
      </c>
      <c r="D64">
        <v>2519</v>
      </c>
      <c r="E64" t="str">
        <f t="shared" si="0"/>
        <v>ia.assorted_string like '%2519-04-2024%' or</v>
      </c>
    </row>
    <row r="65" spans="1:5" x14ac:dyDescent="0.25">
      <c r="A65" s="7" t="s">
        <v>122</v>
      </c>
      <c r="B65" t="s">
        <v>352</v>
      </c>
      <c r="D65">
        <v>2655</v>
      </c>
      <c r="E65" t="str">
        <f t="shared" si="0"/>
        <v>ia.assorted_string like '%2655-07-2024%' or</v>
      </c>
    </row>
    <row r="66" spans="1:5" x14ac:dyDescent="0.25">
      <c r="A66" s="7" t="s">
        <v>124</v>
      </c>
      <c r="B66" t="s">
        <v>351</v>
      </c>
      <c r="D66">
        <v>2788</v>
      </c>
      <c r="E66" t="str">
        <f t="shared" ref="E66:E129" si="1">"ia.assorted_string like '%"&amp;D66&amp;B66&amp;"%' or"</f>
        <v>ia.assorted_string like '%2788-10-2024%' or</v>
      </c>
    </row>
    <row r="67" spans="1:5" x14ac:dyDescent="0.25">
      <c r="A67" s="7" t="s">
        <v>126</v>
      </c>
      <c r="B67" t="s">
        <v>350</v>
      </c>
      <c r="D67">
        <v>2509</v>
      </c>
      <c r="E67" t="str">
        <f t="shared" si="1"/>
        <v>ia.assorted_string like '%2509-04-2024%' or</v>
      </c>
    </row>
    <row r="68" spans="1:5" x14ac:dyDescent="0.25">
      <c r="A68" s="7" t="s">
        <v>127</v>
      </c>
      <c r="B68" t="s">
        <v>349</v>
      </c>
      <c r="D68">
        <v>2839</v>
      </c>
      <c r="E68" t="str">
        <f t="shared" si="1"/>
        <v>ia.assorted_string like '%2839-11-2024%' or</v>
      </c>
    </row>
    <row r="69" spans="1:5" x14ac:dyDescent="0.25">
      <c r="A69" s="7" t="s">
        <v>129</v>
      </c>
      <c r="B69" t="s">
        <v>353</v>
      </c>
      <c r="D69">
        <v>2385</v>
      </c>
      <c r="E69" t="str">
        <f t="shared" si="1"/>
        <v>ia.assorted_string like '%2385-01-2024%' or</v>
      </c>
    </row>
    <row r="70" spans="1:5" x14ac:dyDescent="0.25">
      <c r="A70" s="7" t="s">
        <v>130</v>
      </c>
      <c r="B70" t="s">
        <v>348</v>
      </c>
      <c r="D70">
        <v>2447</v>
      </c>
      <c r="E70" t="str">
        <f t="shared" si="1"/>
        <v>ia.assorted_string like '%2447-02-2024%' or</v>
      </c>
    </row>
    <row r="71" spans="1:5" x14ac:dyDescent="0.25">
      <c r="A71" s="7" t="s">
        <v>132</v>
      </c>
      <c r="B71" t="s">
        <v>349</v>
      </c>
      <c r="D71">
        <v>2834</v>
      </c>
      <c r="E71" t="str">
        <f t="shared" si="1"/>
        <v>ia.assorted_string like '%2834-11-2024%' or</v>
      </c>
    </row>
    <row r="72" spans="1:5" x14ac:dyDescent="0.25">
      <c r="A72" s="7" t="s">
        <v>134</v>
      </c>
      <c r="B72" t="s">
        <v>352</v>
      </c>
      <c r="D72">
        <v>2672</v>
      </c>
      <c r="E72" t="str">
        <f t="shared" si="1"/>
        <v>ia.assorted_string like '%2672-07-2024%' or</v>
      </c>
    </row>
    <row r="73" spans="1:5" x14ac:dyDescent="0.25">
      <c r="A73" s="7" t="s">
        <v>136</v>
      </c>
      <c r="B73" t="s">
        <v>352</v>
      </c>
      <c r="D73">
        <v>2650</v>
      </c>
      <c r="E73" t="str">
        <f t="shared" si="1"/>
        <v>ia.assorted_string like '%2650-07-2024%' or</v>
      </c>
    </row>
    <row r="74" spans="1:5" x14ac:dyDescent="0.25">
      <c r="A74" s="7" t="s">
        <v>138</v>
      </c>
      <c r="B74" t="s">
        <v>351</v>
      </c>
      <c r="D74">
        <v>2789</v>
      </c>
      <c r="E74" t="str">
        <f t="shared" si="1"/>
        <v>ia.assorted_string like '%2789-10-2024%' or</v>
      </c>
    </row>
    <row r="75" spans="1:5" x14ac:dyDescent="0.25">
      <c r="A75" s="7" t="s">
        <v>140</v>
      </c>
      <c r="B75" t="s">
        <v>349</v>
      </c>
      <c r="D75">
        <v>2823</v>
      </c>
      <c r="E75" t="str">
        <f t="shared" si="1"/>
        <v>ia.assorted_string like '%2823-11-2024%' or</v>
      </c>
    </row>
    <row r="76" spans="1:5" x14ac:dyDescent="0.25">
      <c r="A76" s="7" t="s">
        <v>142</v>
      </c>
      <c r="B76" t="s">
        <v>351</v>
      </c>
      <c r="D76">
        <v>2794</v>
      </c>
      <c r="E76" t="str">
        <f t="shared" si="1"/>
        <v>ia.assorted_string like '%2794-10-2024%' or</v>
      </c>
    </row>
    <row r="77" spans="1:5" x14ac:dyDescent="0.25">
      <c r="A77" s="7" t="s">
        <v>144</v>
      </c>
      <c r="B77" t="s">
        <v>352</v>
      </c>
      <c r="D77">
        <v>2679</v>
      </c>
      <c r="E77" t="str">
        <f t="shared" si="1"/>
        <v>ia.assorted_string like '%2679-07-2024%' or</v>
      </c>
    </row>
    <row r="78" spans="1:5" x14ac:dyDescent="0.25">
      <c r="A78" s="7" t="s">
        <v>146</v>
      </c>
      <c r="B78" t="s">
        <v>351</v>
      </c>
      <c r="D78">
        <v>2783</v>
      </c>
      <c r="E78" t="str">
        <f t="shared" si="1"/>
        <v>ia.assorted_string like '%2783-10-2024%' or</v>
      </c>
    </row>
    <row r="79" spans="1:5" x14ac:dyDescent="0.25">
      <c r="A79" s="7" t="s">
        <v>148</v>
      </c>
      <c r="B79" t="s">
        <v>354</v>
      </c>
      <c r="D79">
        <v>2742</v>
      </c>
      <c r="E79" t="str">
        <f t="shared" si="1"/>
        <v>ia.assorted_string like '%2742-08-2024%' or</v>
      </c>
    </row>
    <row r="80" spans="1:5" x14ac:dyDescent="0.25">
      <c r="A80" s="7" t="s">
        <v>150</v>
      </c>
      <c r="B80" t="s">
        <v>352</v>
      </c>
      <c r="D80">
        <v>2656</v>
      </c>
      <c r="E80" t="str">
        <f t="shared" si="1"/>
        <v>ia.assorted_string like '%2656-07-2024%' or</v>
      </c>
    </row>
    <row r="81" spans="1:5" x14ac:dyDescent="0.25">
      <c r="A81" s="7" t="s">
        <v>152</v>
      </c>
      <c r="B81" t="s">
        <v>352</v>
      </c>
      <c r="D81">
        <v>2681</v>
      </c>
      <c r="E81" t="str">
        <f t="shared" si="1"/>
        <v>ia.assorted_string like '%2681-07-2024%' or</v>
      </c>
    </row>
    <row r="82" spans="1:5" x14ac:dyDescent="0.25">
      <c r="A82" s="7" t="s">
        <v>154</v>
      </c>
      <c r="B82" t="s">
        <v>350</v>
      </c>
      <c r="D82">
        <v>2521</v>
      </c>
      <c r="E82" t="str">
        <f t="shared" si="1"/>
        <v>ia.assorted_string like '%2521-04-2024%' or</v>
      </c>
    </row>
    <row r="83" spans="1:5" x14ac:dyDescent="0.25">
      <c r="A83" s="7" t="s">
        <v>156</v>
      </c>
      <c r="B83" t="s">
        <v>352</v>
      </c>
      <c r="D83">
        <v>2660</v>
      </c>
      <c r="E83" t="str">
        <f t="shared" si="1"/>
        <v>ia.assorted_string like '%2660-07-2024%' or</v>
      </c>
    </row>
    <row r="84" spans="1:5" x14ac:dyDescent="0.25">
      <c r="A84" s="7" t="s">
        <v>158</v>
      </c>
      <c r="B84" t="s">
        <v>354</v>
      </c>
      <c r="D84">
        <v>2739</v>
      </c>
      <c r="E84" t="str">
        <f t="shared" si="1"/>
        <v>ia.assorted_string like '%2739-08-2024%' or</v>
      </c>
    </row>
    <row r="85" spans="1:5" x14ac:dyDescent="0.25">
      <c r="A85" s="7" t="s">
        <v>160</v>
      </c>
      <c r="B85" t="s">
        <v>348</v>
      </c>
      <c r="D85">
        <v>2463</v>
      </c>
      <c r="E85" t="str">
        <f t="shared" si="1"/>
        <v>ia.assorted_string like '%2463-02-2024%' or</v>
      </c>
    </row>
    <row r="86" spans="1:5" x14ac:dyDescent="0.25">
      <c r="A86" s="7" t="s">
        <v>161</v>
      </c>
      <c r="B86" t="s">
        <v>350</v>
      </c>
      <c r="D86">
        <v>2517</v>
      </c>
      <c r="E86" t="str">
        <f t="shared" si="1"/>
        <v>ia.assorted_string like '%2517-04-2024%' or</v>
      </c>
    </row>
    <row r="87" spans="1:5" x14ac:dyDescent="0.25">
      <c r="A87" s="7" t="s">
        <v>163</v>
      </c>
      <c r="B87" t="s">
        <v>349</v>
      </c>
      <c r="D87">
        <v>2843</v>
      </c>
      <c r="E87" t="str">
        <f t="shared" si="1"/>
        <v>ia.assorted_string like '%2843-11-2024%' or</v>
      </c>
    </row>
    <row r="88" spans="1:5" x14ac:dyDescent="0.25">
      <c r="A88" s="7" t="s">
        <v>165</v>
      </c>
      <c r="B88" t="s">
        <v>352</v>
      </c>
      <c r="D88">
        <v>2676</v>
      </c>
      <c r="E88" t="str">
        <f t="shared" si="1"/>
        <v>ia.assorted_string like '%2676-07-2024%' or</v>
      </c>
    </row>
    <row r="89" spans="1:5" x14ac:dyDescent="0.25">
      <c r="A89" s="7" t="s">
        <v>167</v>
      </c>
      <c r="B89" t="s">
        <v>353</v>
      </c>
      <c r="D89">
        <v>2387</v>
      </c>
      <c r="E89" t="str">
        <f t="shared" si="1"/>
        <v>ia.assorted_string like '%2387-01-2024%' or</v>
      </c>
    </row>
    <row r="90" spans="1:5" x14ac:dyDescent="0.25">
      <c r="A90" s="7" t="s">
        <v>168</v>
      </c>
      <c r="B90" t="s">
        <v>349</v>
      </c>
      <c r="D90">
        <v>2832</v>
      </c>
      <c r="E90" t="str">
        <f t="shared" si="1"/>
        <v>ia.assorted_string like '%2832-11-2024%' or</v>
      </c>
    </row>
    <row r="91" spans="1:5" x14ac:dyDescent="0.25">
      <c r="A91" s="7" t="s">
        <v>170</v>
      </c>
      <c r="B91" t="s">
        <v>352</v>
      </c>
      <c r="D91">
        <v>2652</v>
      </c>
      <c r="E91" t="str">
        <f t="shared" si="1"/>
        <v>ia.assorted_string like '%2652-07-2024%' or</v>
      </c>
    </row>
    <row r="92" spans="1:5" x14ac:dyDescent="0.25">
      <c r="A92" s="7" t="s">
        <v>172</v>
      </c>
      <c r="B92" t="s">
        <v>353</v>
      </c>
      <c r="D92">
        <v>2399</v>
      </c>
      <c r="E92" t="str">
        <f t="shared" si="1"/>
        <v>ia.assorted_string like '%2399-01-2024%' or</v>
      </c>
    </row>
    <row r="93" spans="1:5" x14ac:dyDescent="0.25">
      <c r="A93" s="7" t="s">
        <v>174</v>
      </c>
      <c r="B93" t="s">
        <v>354</v>
      </c>
      <c r="D93">
        <v>2734</v>
      </c>
      <c r="E93" t="str">
        <f t="shared" si="1"/>
        <v>ia.assorted_string like '%2734-08-2024%' or</v>
      </c>
    </row>
    <row r="94" spans="1:5" x14ac:dyDescent="0.25">
      <c r="A94" s="7" t="s">
        <v>176</v>
      </c>
      <c r="B94" t="s">
        <v>348</v>
      </c>
      <c r="D94">
        <v>2456</v>
      </c>
      <c r="E94" t="str">
        <f t="shared" si="1"/>
        <v>ia.assorted_string like '%2456-02-2024%' or</v>
      </c>
    </row>
    <row r="95" spans="1:5" x14ac:dyDescent="0.25">
      <c r="A95" s="7" t="s">
        <v>177</v>
      </c>
      <c r="B95" t="s">
        <v>351</v>
      </c>
      <c r="D95">
        <v>2791</v>
      </c>
      <c r="E95" t="str">
        <f t="shared" si="1"/>
        <v>ia.assorted_string like '%2791-10-2024%' or</v>
      </c>
    </row>
    <row r="96" spans="1:5" x14ac:dyDescent="0.25">
      <c r="A96" s="7" t="s">
        <v>179</v>
      </c>
      <c r="B96" t="s">
        <v>350</v>
      </c>
      <c r="D96">
        <v>2523</v>
      </c>
      <c r="E96" t="str">
        <f t="shared" si="1"/>
        <v>ia.assorted_string like '%2523-04-2024%' or</v>
      </c>
    </row>
    <row r="97" spans="1:5" x14ac:dyDescent="0.25">
      <c r="A97" s="7" t="s">
        <v>181</v>
      </c>
      <c r="B97" t="s">
        <v>350</v>
      </c>
      <c r="D97">
        <v>2518</v>
      </c>
      <c r="E97" t="str">
        <f t="shared" si="1"/>
        <v>ia.assorted_string like '%2518-04-2024%' or</v>
      </c>
    </row>
    <row r="98" spans="1:5" x14ac:dyDescent="0.25">
      <c r="A98" s="7" t="s">
        <v>183</v>
      </c>
      <c r="B98" t="s">
        <v>354</v>
      </c>
      <c r="D98">
        <v>2744</v>
      </c>
      <c r="E98" t="str">
        <f t="shared" si="1"/>
        <v>ia.assorted_string like '%2744-08-2024%' or</v>
      </c>
    </row>
    <row r="99" spans="1:5" x14ac:dyDescent="0.25">
      <c r="A99" s="7" t="s">
        <v>185</v>
      </c>
      <c r="B99" t="s">
        <v>348</v>
      </c>
      <c r="D99">
        <v>2461</v>
      </c>
      <c r="E99" t="str">
        <f t="shared" si="1"/>
        <v>ia.assorted_string like '%2461-02-2024%' or</v>
      </c>
    </row>
    <row r="100" spans="1:5" x14ac:dyDescent="0.25">
      <c r="A100" s="7" t="s">
        <v>186</v>
      </c>
      <c r="B100" t="s">
        <v>352</v>
      </c>
      <c r="D100">
        <v>2673</v>
      </c>
      <c r="E100" t="str">
        <f t="shared" si="1"/>
        <v>ia.assorted_string like '%2673-07-2024%' or</v>
      </c>
    </row>
    <row r="101" spans="1:5" x14ac:dyDescent="0.25">
      <c r="A101" s="7" t="s">
        <v>188</v>
      </c>
      <c r="B101" t="s">
        <v>349</v>
      </c>
      <c r="D101">
        <v>2819</v>
      </c>
      <c r="E101" t="str">
        <f t="shared" si="1"/>
        <v>ia.assorted_string like '%2819-11-2024%' or</v>
      </c>
    </row>
    <row r="102" spans="1:5" x14ac:dyDescent="0.25">
      <c r="A102" s="8" t="s">
        <v>190</v>
      </c>
      <c r="B102" t="s">
        <v>352</v>
      </c>
      <c r="D102">
        <v>2664</v>
      </c>
      <c r="E102" t="str">
        <f t="shared" si="1"/>
        <v>ia.assorted_string like '%2664-07-2024%' or</v>
      </c>
    </row>
    <row r="103" spans="1:5" x14ac:dyDescent="0.25">
      <c r="A103" s="7" t="s">
        <v>192</v>
      </c>
      <c r="B103" t="s">
        <v>354</v>
      </c>
      <c r="D103">
        <v>2735</v>
      </c>
      <c r="E103" t="str">
        <f t="shared" si="1"/>
        <v>ia.assorted_string like '%2735-08-2024%' or</v>
      </c>
    </row>
    <row r="104" spans="1:5" x14ac:dyDescent="0.25">
      <c r="A104" s="7" t="s">
        <v>194</v>
      </c>
      <c r="B104" t="s">
        <v>349</v>
      </c>
      <c r="D104">
        <v>2833</v>
      </c>
      <c r="E104" t="str">
        <f t="shared" si="1"/>
        <v>ia.assorted_string like '%2833-11-2024%' or</v>
      </c>
    </row>
    <row r="105" spans="1:5" x14ac:dyDescent="0.25">
      <c r="A105" s="7" t="s">
        <v>196</v>
      </c>
      <c r="B105" t="s">
        <v>350</v>
      </c>
      <c r="D105">
        <v>2507</v>
      </c>
      <c r="E105" t="str">
        <f t="shared" si="1"/>
        <v>ia.assorted_string like '%2507-04-2024%' or</v>
      </c>
    </row>
    <row r="106" spans="1:5" x14ac:dyDescent="0.25">
      <c r="A106" s="7" t="s">
        <v>198</v>
      </c>
      <c r="B106" t="s">
        <v>354</v>
      </c>
      <c r="D106">
        <v>2740</v>
      </c>
      <c r="E106" t="str">
        <f t="shared" si="1"/>
        <v>ia.assorted_string like '%2740-08-2024%' or</v>
      </c>
    </row>
    <row r="107" spans="1:5" x14ac:dyDescent="0.25">
      <c r="A107" s="7" t="s">
        <v>200</v>
      </c>
      <c r="B107" t="s">
        <v>348</v>
      </c>
      <c r="D107">
        <v>2451</v>
      </c>
      <c r="E107" t="str">
        <f t="shared" si="1"/>
        <v>ia.assorted_string like '%2451-02-2024%' or</v>
      </c>
    </row>
    <row r="108" spans="1:5" x14ac:dyDescent="0.25">
      <c r="A108" s="7" t="s">
        <v>202</v>
      </c>
      <c r="B108" t="s">
        <v>349</v>
      </c>
      <c r="D108">
        <v>2840</v>
      </c>
      <c r="E108" t="str">
        <f t="shared" si="1"/>
        <v>ia.assorted_string like '%2840-11-2024%' or</v>
      </c>
    </row>
    <row r="109" spans="1:5" x14ac:dyDescent="0.25">
      <c r="A109" s="7" t="s">
        <v>204</v>
      </c>
      <c r="B109" t="s">
        <v>352</v>
      </c>
      <c r="D109">
        <v>2682</v>
      </c>
      <c r="E109" t="str">
        <f t="shared" si="1"/>
        <v>ia.assorted_string like '%2682-07-2024%' or</v>
      </c>
    </row>
    <row r="110" spans="1:5" x14ac:dyDescent="0.25">
      <c r="A110" s="7" t="s">
        <v>206</v>
      </c>
      <c r="B110" t="s">
        <v>353</v>
      </c>
      <c r="D110">
        <v>2397</v>
      </c>
      <c r="E110" t="str">
        <f t="shared" si="1"/>
        <v>ia.assorted_string like '%2397-01-2024%' or</v>
      </c>
    </row>
    <row r="111" spans="1:5" x14ac:dyDescent="0.25">
      <c r="A111" s="7" t="s">
        <v>208</v>
      </c>
      <c r="B111" t="s">
        <v>353</v>
      </c>
      <c r="D111">
        <v>2389</v>
      </c>
      <c r="E111" t="str">
        <f t="shared" si="1"/>
        <v>ia.assorted_string like '%2389-01-2024%' or</v>
      </c>
    </row>
    <row r="112" spans="1:5" x14ac:dyDescent="0.25">
      <c r="A112" s="7" t="s">
        <v>210</v>
      </c>
      <c r="B112" t="s">
        <v>352</v>
      </c>
      <c r="D112">
        <v>2654</v>
      </c>
      <c r="E112" t="str">
        <f t="shared" si="1"/>
        <v>ia.assorted_string like '%2654-07-2024%' or</v>
      </c>
    </row>
    <row r="113" spans="1:5" x14ac:dyDescent="0.25">
      <c r="A113" s="7" t="s">
        <v>212</v>
      </c>
      <c r="B113" t="s">
        <v>352</v>
      </c>
      <c r="D113">
        <v>2671</v>
      </c>
      <c r="E113" t="str">
        <f t="shared" si="1"/>
        <v>ia.assorted_string like '%2671-07-2024%' or</v>
      </c>
    </row>
    <row r="114" spans="1:5" x14ac:dyDescent="0.25">
      <c r="A114" s="7" t="s">
        <v>214</v>
      </c>
      <c r="B114" t="s">
        <v>353</v>
      </c>
      <c r="D114">
        <v>2392</v>
      </c>
      <c r="E114" t="str">
        <f t="shared" si="1"/>
        <v>ia.assorted_string like '%2392-01-2024%' or</v>
      </c>
    </row>
    <row r="115" spans="1:5" x14ac:dyDescent="0.25">
      <c r="A115" s="7" t="s">
        <v>215</v>
      </c>
      <c r="B115" t="s">
        <v>349</v>
      </c>
      <c r="D115">
        <v>2841</v>
      </c>
      <c r="E115" t="str">
        <f t="shared" si="1"/>
        <v>ia.assorted_string like '%2841-11-2024%' or</v>
      </c>
    </row>
    <row r="116" spans="1:5" x14ac:dyDescent="0.25">
      <c r="A116" s="7" t="s">
        <v>217</v>
      </c>
      <c r="B116" t="s">
        <v>352</v>
      </c>
      <c r="D116">
        <v>2669</v>
      </c>
      <c r="E116" t="str">
        <f t="shared" si="1"/>
        <v>ia.assorted_string like '%2669-07-2024%' or</v>
      </c>
    </row>
    <row r="117" spans="1:5" x14ac:dyDescent="0.25">
      <c r="A117" s="7" t="s">
        <v>219</v>
      </c>
      <c r="B117" t="s">
        <v>348</v>
      </c>
      <c r="D117">
        <v>2459</v>
      </c>
      <c r="E117" t="str">
        <f t="shared" si="1"/>
        <v>ia.assorted_string like '%2459-02-2024%' or</v>
      </c>
    </row>
    <row r="118" spans="1:5" x14ac:dyDescent="0.25">
      <c r="A118" s="7" t="s">
        <v>221</v>
      </c>
      <c r="B118" t="s">
        <v>349</v>
      </c>
      <c r="D118">
        <v>2822</v>
      </c>
      <c r="E118" t="str">
        <f t="shared" si="1"/>
        <v>ia.assorted_string like '%2822-11-2024%' or</v>
      </c>
    </row>
    <row r="119" spans="1:5" x14ac:dyDescent="0.25">
      <c r="A119" s="7" t="s">
        <v>223</v>
      </c>
      <c r="B119" t="s">
        <v>352</v>
      </c>
      <c r="D119">
        <v>2689</v>
      </c>
      <c r="E119" t="str">
        <f t="shared" si="1"/>
        <v>ia.assorted_string like '%2689-07-2024%' or</v>
      </c>
    </row>
    <row r="120" spans="1:5" x14ac:dyDescent="0.25">
      <c r="A120" s="7" t="s">
        <v>225</v>
      </c>
      <c r="B120" t="s">
        <v>352</v>
      </c>
      <c r="D120">
        <v>2690</v>
      </c>
      <c r="E120" t="str">
        <f t="shared" si="1"/>
        <v>ia.assorted_string like '%2690-07-2024%' or</v>
      </c>
    </row>
    <row r="121" spans="1:5" x14ac:dyDescent="0.25">
      <c r="A121" s="7" t="s">
        <v>227</v>
      </c>
      <c r="B121" t="s">
        <v>352</v>
      </c>
      <c r="D121">
        <v>2685</v>
      </c>
      <c r="E121" t="str">
        <f t="shared" si="1"/>
        <v>ia.assorted_string like '%2685-07-2024%' or</v>
      </c>
    </row>
    <row r="122" spans="1:5" x14ac:dyDescent="0.25">
      <c r="A122" s="7" t="s">
        <v>229</v>
      </c>
      <c r="B122" t="s">
        <v>352</v>
      </c>
      <c r="D122">
        <v>2692</v>
      </c>
      <c r="E122" t="str">
        <f t="shared" si="1"/>
        <v>ia.assorted_string like '%2692-07-2024%' or</v>
      </c>
    </row>
    <row r="123" spans="1:5" x14ac:dyDescent="0.25">
      <c r="A123" s="7" t="s">
        <v>231</v>
      </c>
      <c r="B123" t="s">
        <v>352</v>
      </c>
      <c r="D123">
        <v>2648</v>
      </c>
      <c r="E123" t="str">
        <f t="shared" si="1"/>
        <v>ia.assorted_string like '%2648-07-2024%' or</v>
      </c>
    </row>
    <row r="124" spans="1:5" x14ac:dyDescent="0.25">
      <c r="A124" s="7" t="s">
        <v>233</v>
      </c>
      <c r="B124" t="s">
        <v>354</v>
      </c>
      <c r="D124">
        <v>2737</v>
      </c>
      <c r="E124" t="str">
        <f t="shared" si="1"/>
        <v>ia.assorted_string like '%2737-08-2024%' or</v>
      </c>
    </row>
    <row r="125" spans="1:5" x14ac:dyDescent="0.25">
      <c r="A125" s="7" t="s">
        <v>235</v>
      </c>
      <c r="B125" t="s">
        <v>351</v>
      </c>
      <c r="D125">
        <v>2792</v>
      </c>
      <c r="E125" t="str">
        <f t="shared" si="1"/>
        <v>ia.assorted_string like '%2792-10-2024%' or</v>
      </c>
    </row>
    <row r="126" spans="1:5" x14ac:dyDescent="0.25">
      <c r="A126" s="7" t="s">
        <v>237</v>
      </c>
      <c r="B126" t="s">
        <v>350</v>
      </c>
      <c r="D126">
        <v>2510</v>
      </c>
      <c r="E126" t="str">
        <f t="shared" si="1"/>
        <v>ia.assorted_string like '%2510-04-2024%' or</v>
      </c>
    </row>
    <row r="127" spans="1:5" x14ac:dyDescent="0.25">
      <c r="A127" s="7" t="s">
        <v>238</v>
      </c>
      <c r="B127" t="s">
        <v>350</v>
      </c>
      <c r="D127">
        <v>2511</v>
      </c>
      <c r="E127" t="str">
        <f t="shared" si="1"/>
        <v>ia.assorted_string like '%2511-04-2024%' or</v>
      </c>
    </row>
    <row r="128" spans="1:5" x14ac:dyDescent="0.25">
      <c r="A128" s="7" t="s">
        <v>240</v>
      </c>
      <c r="B128" t="s">
        <v>352</v>
      </c>
      <c r="D128">
        <v>2675</v>
      </c>
      <c r="E128" t="str">
        <f t="shared" si="1"/>
        <v>ia.assorted_string like '%2675-07-2024%' or</v>
      </c>
    </row>
    <row r="129" spans="1:5" x14ac:dyDescent="0.25">
      <c r="A129" s="7" t="s">
        <v>242</v>
      </c>
      <c r="B129" t="s">
        <v>352</v>
      </c>
      <c r="D129">
        <v>2687</v>
      </c>
      <c r="E129" t="str">
        <f t="shared" si="1"/>
        <v>ia.assorted_string like '%2687-07-2024%' or</v>
      </c>
    </row>
    <row r="130" spans="1:5" x14ac:dyDescent="0.25">
      <c r="A130" s="7" t="s">
        <v>244</v>
      </c>
      <c r="B130" t="s">
        <v>348</v>
      </c>
      <c r="D130">
        <v>2445</v>
      </c>
      <c r="E130" t="str">
        <f t="shared" ref="E130:E146" si="2">"ia.assorted_string like '%"&amp;D130&amp;B130&amp;"%' or"</f>
        <v>ia.assorted_string like '%2445-02-2024%' or</v>
      </c>
    </row>
    <row r="131" spans="1:5" x14ac:dyDescent="0.25">
      <c r="A131" s="7" t="s">
        <v>245</v>
      </c>
      <c r="B131" t="s">
        <v>352</v>
      </c>
      <c r="D131">
        <v>2691</v>
      </c>
      <c r="E131" t="str">
        <f t="shared" si="2"/>
        <v>ia.assorted_string like '%2691-07-2024%' or</v>
      </c>
    </row>
    <row r="132" spans="1:5" x14ac:dyDescent="0.25">
      <c r="A132" s="7" t="s">
        <v>247</v>
      </c>
      <c r="B132" t="s">
        <v>352</v>
      </c>
      <c r="D132">
        <v>2657</v>
      </c>
      <c r="E132" t="str">
        <f t="shared" si="2"/>
        <v>ia.assorted_string like '%2657-07-2024%' or</v>
      </c>
    </row>
    <row r="133" spans="1:5" x14ac:dyDescent="0.25">
      <c r="A133" s="7" t="s">
        <v>249</v>
      </c>
      <c r="B133" t="s">
        <v>352</v>
      </c>
      <c r="D133">
        <v>2674</v>
      </c>
      <c r="E133" t="str">
        <f t="shared" si="2"/>
        <v>ia.assorted_string like '%2674-07-2024%' or</v>
      </c>
    </row>
    <row r="134" spans="1:5" x14ac:dyDescent="0.25">
      <c r="A134" s="7" t="s">
        <v>251</v>
      </c>
      <c r="B134" t="s">
        <v>348</v>
      </c>
      <c r="D134">
        <v>2446</v>
      </c>
      <c r="E134" t="str">
        <f t="shared" si="2"/>
        <v>ia.assorted_string like '%2446-02-2024%' or</v>
      </c>
    </row>
    <row r="135" spans="1:5" x14ac:dyDescent="0.25">
      <c r="A135" s="7" t="s">
        <v>253</v>
      </c>
      <c r="B135" t="s">
        <v>349</v>
      </c>
      <c r="D135">
        <v>2842</v>
      </c>
      <c r="E135" t="str">
        <f t="shared" si="2"/>
        <v>ia.assorted_string like '%2842-11-2024%' or</v>
      </c>
    </row>
    <row r="136" spans="1:5" x14ac:dyDescent="0.25">
      <c r="A136" s="7" t="s">
        <v>255</v>
      </c>
      <c r="B136" t="s">
        <v>351</v>
      </c>
      <c r="D136">
        <v>2784</v>
      </c>
      <c r="E136" t="str">
        <f t="shared" si="2"/>
        <v>ia.assorted_string like '%2784-10-2024%' or</v>
      </c>
    </row>
    <row r="137" spans="1:5" x14ac:dyDescent="0.25">
      <c r="A137" s="7" t="s">
        <v>257</v>
      </c>
      <c r="B137" t="s">
        <v>348</v>
      </c>
      <c r="D137">
        <v>2465</v>
      </c>
      <c r="E137" t="str">
        <f t="shared" si="2"/>
        <v>ia.assorted_string like '%2465-02-2024%' or</v>
      </c>
    </row>
    <row r="138" spans="1:5" x14ac:dyDescent="0.25">
      <c r="A138" s="7" t="s">
        <v>258</v>
      </c>
      <c r="B138" t="s">
        <v>352</v>
      </c>
      <c r="D138">
        <v>2659</v>
      </c>
      <c r="E138" t="str">
        <f t="shared" si="2"/>
        <v>ia.assorted_string like '%2659-07-2024%' or</v>
      </c>
    </row>
    <row r="139" spans="1:5" x14ac:dyDescent="0.25">
      <c r="A139" s="7" t="s">
        <v>260</v>
      </c>
      <c r="B139" t="s">
        <v>348</v>
      </c>
      <c r="D139">
        <v>2464</v>
      </c>
      <c r="E139" t="str">
        <f t="shared" si="2"/>
        <v>ia.assorted_string like '%2464-02-2024%' or</v>
      </c>
    </row>
    <row r="140" spans="1:5" x14ac:dyDescent="0.25">
      <c r="A140" s="7" t="s">
        <v>262</v>
      </c>
      <c r="B140" t="s">
        <v>352</v>
      </c>
      <c r="D140">
        <v>2649</v>
      </c>
      <c r="E140" t="str">
        <f t="shared" si="2"/>
        <v>ia.assorted_string like '%2649-07-2024%' or</v>
      </c>
    </row>
    <row r="141" spans="1:5" x14ac:dyDescent="0.25">
      <c r="A141" s="7" t="s">
        <v>264</v>
      </c>
      <c r="B141" t="s">
        <v>352</v>
      </c>
      <c r="D141">
        <v>2651</v>
      </c>
      <c r="E141" t="str">
        <f t="shared" si="2"/>
        <v>ia.assorted_string like '%2651-07-2024%' or</v>
      </c>
    </row>
    <row r="142" spans="1:5" x14ac:dyDescent="0.25">
      <c r="A142" s="7" t="s">
        <v>266</v>
      </c>
      <c r="B142" t="s">
        <v>354</v>
      </c>
      <c r="D142">
        <v>2738</v>
      </c>
      <c r="E142" t="str">
        <f t="shared" si="2"/>
        <v>ia.assorted_string like '%2738-08-2024%' or</v>
      </c>
    </row>
    <row r="143" spans="1:5" x14ac:dyDescent="0.25">
      <c r="A143" s="7" t="s">
        <v>268</v>
      </c>
      <c r="B143" t="s">
        <v>349</v>
      </c>
      <c r="D143">
        <v>2844</v>
      </c>
      <c r="E143" t="str">
        <f t="shared" si="2"/>
        <v>ia.assorted_string like '%2844-11-2024%' or</v>
      </c>
    </row>
    <row r="144" spans="1:5" x14ac:dyDescent="0.25">
      <c r="A144" s="7" t="s">
        <v>270</v>
      </c>
      <c r="B144" t="s">
        <v>352</v>
      </c>
      <c r="D144">
        <v>2666</v>
      </c>
      <c r="E144" t="str">
        <f t="shared" si="2"/>
        <v>ia.assorted_string like '%2666-07-2024%' or</v>
      </c>
    </row>
    <row r="145" spans="1:5" x14ac:dyDescent="0.25">
      <c r="A145" s="7" t="s">
        <v>271</v>
      </c>
      <c r="B145" t="s">
        <v>353</v>
      </c>
      <c r="D145">
        <v>2386</v>
      </c>
      <c r="E145" t="str">
        <f t="shared" si="2"/>
        <v>ia.assorted_string like '%2386-01-2024%' or</v>
      </c>
    </row>
    <row r="146" spans="1:5" x14ac:dyDescent="0.25">
      <c r="A146" s="7" t="s">
        <v>272</v>
      </c>
      <c r="B146" t="s">
        <v>349</v>
      </c>
      <c r="D146">
        <v>2818</v>
      </c>
      <c r="E146" t="str">
        <f t="shared" si="2"/>
        <v>ia.assorted_string like '%2818-11-2024%' 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5C18-D64D-4102-9590-CFC440AA18CF}">
  <dimension ref="A1:D316"/>
  <sheetViews>
    <sheetView workbookViewId="0">
      <selection activeCell="E12" sqref="E12"/>
    </sheetView>
  </sheetViews>
  <sheetFormatPr defaultColWidth="7.85546875" defaultRowHeight="15" x14ac:dyDescent="0.25"/>
  <cols>
    <col min="1" max="1" width="4" bestFit="1" customWidth="1"/>
    <col min="2" max="2" width="40" bestFit="1" customWidth="1"/>
    <col min="3" max="3" width="15" bestFit="1" customWidth="1"/>
    <col min="4" max="4" width="12.7109375" customWidth="1"/>
  </cols>
  <sheetData>
    <row r="1" spans="1:4" s="9" customFormat="1" ht="12" x14ac:dyDescent="0.2">
      <c r="A1" s="9" t="s">
        <v>356</v>
      </c>
      <c r="B1" s="9" t="s">
        <v>357</v>
      </c>
      <c r="C1" s="9" t="s">
        <v>358</v>
      </c>
      <c r="D1" s="9" t="s">
        <v>359</v>
      </c>
    </row>
    <row r="2" spans="1:4" x14ac:dyDescent="0.25">
      <c r="A2">
        <v>1</v>
      </c>
      <c r="B2" t="s">
        <v>360</v>
      </c>
      <c r="C2" t="s">
        <v>361</v>
      </c>
      <c r="D2" t="s">
        <v>362</v>
      </c>
    </row>
    <row r="3" spans="1:4" x14ac:dyDescent="0.25">
      <c r="A3">
        <v>2</v>
      </c>
      <c r="B3" t="s">
        <v>363</v>
      </c>
      <c r="C3" t="s">
        <v>364</v>
      </c>
      <c r="D3" t="s">
        <v>365</v>
      </c>
    </row>
    <row r="4" spans="1:4" x14ac:dyDescent="0.25">
      <c r="A4">
        <v>3</v>
      </c>
      <c r="B4" t="s">
        <v>366</v>
      </c>
      <c r="C4" t="s">
        <v>367</v>
      </c>
      <c r="D4" t="s">
        <v>368</v>
      </c>
    </row>
    <row r="5" spans="1:4" x14ac:dyDescent="0.25">
      <c r="A5">
        <v>4</v>
      </c>
      <c r="B5" t="s">
        <v>257</v>
      </c>
      <c r="C5" t="s">
        <v>369</v>
      </c>
      <c r="D5" t="s">
        <v>370</v>
      </c>
    </row>
    <row r="6" spans="1:4" x14ac:dyDescent="0.25">
      <c r="A6">
        <v>5</v>
      </c>
      <c r="B6" t="s">
        <v>371</v>
      </c>
      <c r="C6" t="s">
        <v>372</v>
      </c>
      <c r="D6" t="s">
        <v>373</v>
      </c>
    </row>
    <row r="7" spans="1:4" x14ac:dyDescent="0.25">
      <c r="A7">
        <v>6</v>
      </c>
      <c r="B7" t="s">
        <v>374</v>
      </c>
      <c r="C7" t="s">
        <v>375</v>
      </c>
      <c r="D7" t="s">
        <v>376</v>
      </c>
    </row>
    <row r="8" spans="1:4" x14ac:dyDescent="0.25">
      <c r="A8">
        <v>7</v>
      </c>
      <c r="B8" t="s">
        <v>377</v>
      </c>
      <c r="C8" t="s">
        <v>378</v>
      </c>
      <c r="D8" t="s">
        <v>362</v>
      </c>
    </row>
    <row r="9" spans="1:4" x14ac:dyDescent="0.25">
      <c r="A9">
        <v>8</v>
      </c>
      <c r="B9" t="s">
        <v>379</v>
      </c>
      <c r="C9" t="s">
        <v>380</v>
      </c>
      <c r="D9" t="s">
        <v>381</v>
      </c>
    </row>
    <row r="10" spans="1:4" x14ac:dyDescent="0.25">
      <c r="A10">
        <v>9</v>
      </c>
      <c r="B10" t="s">
        <v>382</v>
      </c>
      <c r="C10" t="s">
        <v>383</v>
      </c>
      <c r="D10" t="s">
        <v>381</v>
      </c>
    </row>
    <row r="11" spans="1:4" x14ac:dyDescent="0.25">
      <c r="A11">
        <v>10</v>
      </c>
      <c r="B11" t="s">
        <v>384</v>
      </c>
      <c r="C11" t="s">
        <v>385</v>
      </c>
      <c r="D11" t="s">
        <v>381</v>
      </c>
    </row>
    <row r="12" spans="1:4" x14ac:dyDescent="0.25">
      <c r="A12">
        <v>11</v>
      </c>
      <c r="B12" t="s">
        <v>130</v>
      </c>
      <c r="C12" t="s">
        <v>386</v>
      </c>
      <c r="D12" t="s">
        <v>370</v>
      </c>
    </row>
    <row r="13" spans="1:4" x14ac:dyDescent="0.25">
      <c r="A13">
        <v>12</v>
      </c>
      <c r="B13" t="s">
        <v>200</v>
      </c>
      <c r="C13" t="s">
        <v>387</v>
      </c>
      <c r="D13" t="s">
        <v>370</v>
      </c>
    </row>
    <row r="14" spans="1:4" x14ac:dyDescent="0.25">
      <c r="A14">
        <v>13</v>
      </c>
      <c r="B14" t="s">
        <v>57</v>
      </c>
      <c r="C14" t="s">
        <v>388</v>
      </c>
      <c r="D14" t="s">
        <v>370</v>
      </c>
    </row>
    <row r="15" spans="1:4" x14ac:dyDescent="0.25">
      <c r="A15">
        <v>14</v>
      </c>
      <c r="B15" t="s">
        <v>9</v>
      </c>
      <c r="C15" t="s">
        <v>389</v>
      </c>
      <c r="D15" t="s">
        <v>370</v>
      </c>
    </row>
    <row r="16" spans="1:4" x14ac:dyDescent="0.25">
      <c r="A16">
        <v>15</v>
      </c>
      <c r="B16" t="s">
        <v>83</v>
      </c>
      <c r="C16" t="s">
        <v>390</v>
      </c>
      <c r="D16" t="s">
        <v>370</v>
      </c>
    </row>
    <row r="17" spans="1:4" x14ac:dyDescent="0.25">
      <c r="A17">
        <v>16</v>
      </c>
      <c r="B17" t="s">
        <v>391</v>
      </c>
      <c r="C17" t="s">
        <v>392</v>
      </c>
      <c r="D17" t="s">
        <v>362</v>
      </c>
    </row>
    <row r="18" spans="1:4" x14ac:dyDescent="0.25">
      <c r="A18">
        <v>17</v>
      </c>
      <c r="B18" t="s">
        <v>393</v>
      </c>
      <c r="C18" t="s">
        <v>394</v>
      </c>
      <c r="D18" t="s">
        <v>381</v>
      </c>
    </row>
    <row r="19" spans="1:4" x14ac:dyDescent="0.25">
      <c r="A19">
        <v>18</v>
      </c>
      <c r="B19" t="s">
        <v>395</v>
      </c>
      <c r="C19" t="s">
        <v>396</v>
      </c>
      <c r="D19" t="s">
        <v>397</v>
      </c>
    </row>
    <row r="20" spans="1:4" x14ac:dyDescent="0.25">
      <c r="A20">
        <v>19</v>
      </c>
      <c r="B20" t="s">
        <v>398</v>
      </c>
      <c r="C20" t="s">
        <v>399</v>
      </c>
      <c r="D20" t="s">
        <v>400</v>
      </c>
    </row>
    <row r="21" spans="1:4" x14ac:dyDescent="0.25">
      <c r="A21">
        <v>20</v>
      </c>
      <c r="B21" t="s">
        <v>401</v>
      </c>
      <c r="C21" t="s">
        <v>402</v>
      </c>
      <c r="D21" t="s">
        <v>376</v>
      </c>
    </row>
    <row r="22" spans="1:4" x14ac:dyDescent="0.25">
      <c r="A22">
        <v>21</v>
      </c>
      <c r="B22" t="s">
        <v>403</v>
      </c>
      <c r="C22" t="s">
        <v>404</v>
      </c>
      <c r="D22" t="s">
        <v>381</v>
      </c>
    </row>
    <row r="23" spans="1:4" x14ac:dyDescent="0.25">
      <c r="A23">
        <v>22</v>
      </c>
      <c r="B23" t="s">
        <v>405</v>
      </c>
      <c r="C23" t="s">
        <v>406</v>
      </c>
      <c r="D23" t="s">
        <v>362</v>
      </c>
    </row>
    <row r="24" spans="1:4" x14ac:dyDescent="0.25">
      <c r="A24">
        <v>23</v>
      </c>
      <c r="B24" t="s">
        <v>407</v>
      </c>
      <c r="C24" t="s">
        <v>408</v>
      </c>
      <c r="D24" t="s">
        <v>409</v>
      </c>
    </row>
    <row r="25" spans="1:4" x14ac:dyDescent="0.25">
      <c r="A25">
        <v>24</v>
      </c>
      <c r="B25" t="s">
        <v>410</v>
      </c>
      <c r="C25" t="s">
        <v>411</v>
      </c>
      <c r="D25" t="s">
        <v>362</v>
      </c>
    </row>
    <row r="26" spans="1:4" x14ac:dyDescent="0.25">
      <c r="A26">
        <v>25</v>
      </c>
      <c r="B26" t="s">
        <v>114</v>
      </c>
      <c r="C26" t="s">
        <v>412</v>
      </c>
      <c r="D26" t="s">
        <v>370</v>
      </c>
    </row>
    <row r="27" spans="1:4" x14ac:dyDescent="0.25">
      <c r="A27">
        <v>26</v>
      </c>
      <c r="B27" t="s">
        <v>413</v>
      </c>
      <c r="C27" t="s">
        <v>414</v>
      </c>
      <c r="D27" t="s">
        <v>362</v>
      </c>
    </row>
    <row r="28" spans="1:4" x14ac:dyDescent="0.25">
      <c r="A28">
        <v>27</v>
      </c>
      <c r="B28" t="s">
        <v>415</v>
      </c>
      <c r="C28" t="s">
        <v>416</v>
      </c>
      <c r="D28" t="s">
        <v>417</v>
      </c>
    </row>
    <row r="29" spans="1:4" x14ac:dyDescent="0.25">
      <c r="A29">
        <v>28</v>
      </c>
      <c r="B29" t="s">
        <v>418</v>
      </c>
      <c r="C29" t="s">
        <v>419</v>
      </c>
      <c r="D29" t="s">
        <v>376</v>
      </c>
    </row>
    <row r="30" spans="1:4" x14ac:dyDescent="0.25">
      <c r="A30">
        <v>29</v>
      </c>
      <c r="B30" t="s">
        <v>420</v>
      </c>
      <c r="C30" t="s">
        <v>421</v>
      </c>
      <c r="D30" t="s">
        <v>422</v>
      </c>
    </row>
    <row r="31" spans="1:4" x14ac:dyDescent="0.25">
      <c r="A31">
        <v>30</v>
      </c>
      <c r="B31" t="s">
        <v>423</v>
      </c>
      <c r="C31" t="s">
        <v>424</v>
      </c>
      <c r="D31" t="s">
        <v>422</v>
      </c>
    </row>
    <row r="32" spans="1:4" x14ac:dyDescent="0.25">
      <c r="A32">
        <v>31</v>
      </c>
      <c r="B32" t="s">
        <v>425</v>
      </c>
      <c r="C32" t="s">
        <v>426</v>
      </c>
      <c r="D32" t="s">
        <v>427</v>
      </c>
    </row>
    <row r="33" spans="1:4" x14ac:dyDescent="0.25">
      <c r="A33">
        <v>32</v>
      </c>
      <c r="B33" t="s">
        <v>428</v>
      </c>
      <c r="C33" t="s">
        <v>429</v>
      </c>
      <c r="D33" t="s">
        <v>430</v>
      </c>
    </row>
    <row r="34" spans="1:4" x14ac:dyDescent="0.25">
      <c r="A34">
        <v>33</v>
      </c>
      <c r="B34" t="s">
        <v>431</v>
      </c>
      <c r="C34" t="s">
        <v>432</v>
      </c>
      <c r="D34" t="s">
        <v>430</v>
      </c>
    </row>
    <row r="35" spans="1:4" x14ac:dyDescent="0.25">
      <c r="A35">
        <v>34</v>
      </c>
      <c r="B35" t="s">
        <v>433</v>
      </c>
      <c r="C35" t="s">
        <v>434</v>
      </c>
      <c r="D35" t="s">
        <v>430</v>
      </c>
    </row>
    <row r="36" spans="1:4" x14ac:dyDescent="0.25">
      <c r="A36">
        <v>35</v>
      </c>
      <c r="B36" t="s">
        <v>109</v>
      </c>
      <c r="C36" t="s">
        <v>435</v>
      </c>
      <c r="D36" t="s">
        <v>370</v>
      </c>
    </row>
    <row r="37" spans="1:4" x14ac:dyDescent="0.25">
      <c r="A37">
        <v>36</v>
      </c>
      <c r="B37" t="s">
        <v>271</v>
      </c>
      <c r="C37" t="s">
        <v>436</v>
      </c>
      <c r="D37" t="s">
        <v>370</v>
      </c>
    </row>
    <row r="38" spans="1:4" x14ac:dyDescent="0.25">
      <c r="A38">
        <v>37</v>
      </c>
      <c r="B38" t="s">
        <v>167</v>
      </c>
      <c r="C38" t="s">
        <v>437</v>
      </c>
      <c r="D38" t="s">
        <v>370</v>
      </c>
    </row>
    <row r="39" spans="1:4" x14ac:dyDescent="0.25">
      <c r="A39">
        <v>38</v>
      </c>
      <c r="B39" t="s">
        <v>99</v>
      </c>
      <c r="C39" t="s">
        <v>438</v>
      </c>
      <c r="D39" t="s">
        <v>370</v>
      </c>
    </row>
    <row r="40" spans="1:4" x14ac:dyDescent="0.25">
      <c r="A40">
        <v>39</v>
      </c>
      <c r="B40" t="s">
        <v>84</v>
      </c>
      <c r="C40" t="s">
        <v>439</v>
      </c>
      <c r="D40" t="s">
        <v>370</v>
      </c>
    </row>
    <row r="41" spans="1:4" x14ac:dyDescent="0.25">
      <c r="A41">
        <v>40</v>
      </c>
      <c r="B41" t="s">
        <v>51</v>
      </c>
      <c r="C41" t="s">
        <v>440</v>
      </c>
      <c r="D41" t="s">
        <v>370</v>
      </c>
    </row>
    <row r="42" spans="1:4" x14ac:dyDescent="0.25">
      <c r="A42">
        <v>41</v>
      </c>
      <c r="B42" t="s">
        <v>71</v>
      </c>
      <c r="C42" t="s">
        <v>441</v>
      </c>
      <c r="D42" t="s">
        <v>370</v>
      </c>
    </row>
    <row r="43" spans="1:4" x14ac:dyDescent="0.25">
      <c r="A43">
        <v>42</v>
      </c>
      <c r="B43" t="s">
        <v>48</v>
      </c>
      <c r="C43" t="s">
        <v>442</v>
      </c>
      <c r="D43" t="s">
        <v>370</v>
      </c>
    </row>
    <row r="44" spans="1:4" x14ac:dyDescent="0.25">
      <c r="A44">
        <v>43</v>
      </c>
      <c r="B44" t="s">
        <v>28</v>
      </c>
      <c r="C44" t="s">
        <v>443</v>
      </c>
      <c r="D44" t="s">
        <v>370</v>
      </c>
    </row>
    <row r="45" spans="1:4" x14ac:dyDescent="0.25">
      <c r="A45">
        <v>44</v>
      </c>
      <c r="B45" t="s">
        <v>206</v>
      </c>
      <c r="C45" t="s">
        <v>444</v>
      </c>
      <c r="D45" t="s">
        <v>370</v>
      </c>
    </row>
    <row r="46" spans="1:4" x14ac:dyDescent="0.25">
      <c r="A46">
        <v>45</v>
      </c>
      <c r="B46" t="s">
        <v>36</v>
      </c>
      <c r="C46" t="s">
        <v>445</v>
      </c>
      <c r="D46" t="s">
        <v>370</v>
      </c>
    </row>
    <row r="47" spans="1:4" x14ac:dyDescent="0.25">
      <c r="A47">
        <v>46</v>
      </c>
      <c r="B47" t="s">
        <v>172</v>
      </c>
      <c r="C47" t="s">
        <v>446</v>
      </c>
      <c r="D47" t="s">
        <v>370</v>
      </c>
    </row>
    <row r="48" spans="1:4" x14ac:dyDescent="0.25">
      <c r="A48">
        <v>47</v>
      </c>
      <c r="B48" t="s">
        <v>447</v>
      </c>
      <c r="C48" t="s">
        <v>448</v>
      </c>
      <c r="D48" t="s">
        <v>430</v>
      </c>
    </row>
    <row r="49" spans="1:4" x14ac:dyDescent="0.25">
      <c r="A49">
        <v>48</v>
      </c>
      <c r="B49" t="s">
        <v>129</v>
      </c>
      <c r="C49" t="s">
        <v>449</v>
      </c>
      <c r="D49" t="s">
        <v>370</v>
      </c>
    </row>
    <row r="50" spans="1:4" x14ac:dyDescent="0.25">
      <c r="A50">
        <v>49</v>
      </c>
      <c r="B50" t="s">
        <v>208</v>
      </c>
      <c r="C50" t="s">
        <v>450</v>
      </c>
      <c r="D50" t="s">
        <v>370</v>
      </c>
    </row>
    <row r="51" spans="1:4" x14ac:dyDescent="0.25">
      <c r="A51">
        <v>50</v>
      </c>
      <c r="B51" t="s">
        <v>214</v>
      </c>
      <c r="C51" t="s">
        <v>451</v>
      </c>
      <c r="D51" t="s">
        <v>370</v>
      </c>
    </row>
    <row r="52" spans="1:4" x14ac:dyDescent="0.25">
      <c r="A52">
        <v>51</v>
      </c>
      <c r="B52" t="s">
        <v>104</v>
      </c>
      <c r="C52" t="s">
        <v>452</v>
      </c>
      <c r="D52" t="s">
        <v>370</v>
      </c>
    </row>
    <row r="53" spans="1:4" x14ac:dyDescent="0.25">
      <c r="A53">
        <v>52</v>
      </c>
      <c r="B53" t="s">
        <v>453</v>
      </c>
      <c r="C53" t="s">
        <v>454</v>
      </c>
      <c r="D53" t="s">
        <v>455</v>
      </c>
    </row>
    <row r="54" spans="1:4" x14ac:dyDescent="0.25">
      <c r="A54">
        <v>53</v>
      </c>
      <c r="B54" t="s">
        <v>456</v>
      </c>
      <c r="C54" t="s">
        <v>457</v>
      </c>
      <c r="D54" t="s">
        <v>458</v>
      </c>
    </row>
    <row r="55" spans="1:4" x14ac:dyDescent="0.25">
      <c r="A55">
        <v>54</v>
      </c>
      <c r="B55" t="s">
        <v>61</v>
      </c>
      <c r="C55" t="s">
        <v>459</v>
      </c>
      <c r="D55" t="s">
        <v>370</v>
      </c>
    </row>
    <row r="56" spans="1:4" x14ac:dyDescent="0.25">
      <c r="A56">
        <v>55</v>
      </c>
      <c r="B56" t="s">
        <v>94</v>
      </c>
      <c r="C56" t="s">
        <v>460</v>
      </c>
      <c r="D56" t="s">
        <v>370</v>
      </c>
    </row>
    <row r="57" spans="1:4" x14ac:dyDescent="0.25">
      <c r="A57">
        <v>56</v>
      </c>
      <c r="B57" t="s">
        <v>63</v>
      </c>
      <c r="C57" t="s">
        <v>461</v>
      </c>
      <c r="D57" t="s">
        <v>370</v>
      </c>
    </row>
    <row r="58" spans="1:4" x14ac:dyDescent="0.25">
      <c r="A58">
        <v>57</v>
      </c>
      <c r="B58" t="s">
        <v>44</v>
      </c>
      <c r="C58" t="s">
        <v>462</v>
      </c>
      <c r="D58" t="s">
        <v>370</v>
      </c>
    </row>
    <row r="59" spans="1:4" x14ac:dyDescent="0.25">
      <c r="A59">
        <v>58</v>
      </c>
      <c r="B59" t="s">
        <v>463</v>
      </c>
      <c r="C59" t="s">
        <v>464</v>
      </c>
      <c r="D59" t="s">
        <v>465</v>
      </c>
    </row>
    <row r="60" spans="1:4" x14ac:dyDescent="0.25">
      <c r="A60">
        <v>59</v>
      </c>
      <c r="B60" t="s">
        <v>466</v>
      </c>
      <c r="C60" t="s">
        <v>467</v>
      </c>
      <c r="D60" t="s">
        <v>362</v>
      </c>
    </row>
    <row r="61" spans="1:4" x14ac:dyDescent="0.25">
      <c r="A61">
        <v>60</v>
      </c>
      <c r="B61" t="s">
        <v>468</v>
      </c>
      <c r="C61" t="s">
        <v>469</v>
      </c>
      <c r="D61" t="s">
        <v>362</v>
      </c>
    </row>
    <row r="62" spans="1:4" x14ac:dyDescent="0.25">
      <c r="A62">
        <v>61</v>
      </c>
      <c r="B62" t="s">
        <v>244</v>
      </c>
      <c r="C62" t="s">
        <v>470</v>
      </c>
      <c r="D62" t="s">
        <v>370</v>
      </c>
    </row>
    <row r="63" spans="1:4" x14ac:dyDescent="0.25">
      <c r="A63">
        <v>62</v>
      </c>
      <c r="B63" t="s">
        <v>251</v>
      </c>
      <c r="C63" t="s">
        <v>471</v>
      </c>
      <c r="D63" t="s">
        <v>370</v>
      </c>
    </row>
    <row r="64" spans="1:4" x14ac:dyDescent="0.25">
      <c r="A64">
        <v>63</v>
      </c>
      <c r="B64" t="s">
        <v>118</v>
      </c>
      <c r="C64" t="s">
        <v>472</v>
      </c>
      <c r="D64" t="s">
        <v>370</v>
      </c>
    </row>
    <row r="65" spans="1:4" x14ac:dyDescent="0.25">
      <c r="A65">
        <v>64</v>
      </c>
      <c r="B65" t="s">
        <v>24</v>
      </c>
      <c r="C65" t="s">
        <v>473</v>
      </c>
      <c r="D65" t="s">
        <v>370</v>
      </c>
    </row>
    <row r="66" spans="1:4" x14ac:dyDescent="0.25">
      <c r="A66">
        <v>65</v>
      </c>
      <c r="B66" t="s">
        <v>42</v>
      </c>
      <c r="C66" t="s">
        <v>474</v>
      </c>
      <c r="D66" t="s">
        <v>370</v>
      </c>
    </row>
    <row r="67" spans="1:4" x14ac:dyDescent="0.25">
      <c r="A67">
        <v>66</v>
      </c>
      <c r="B67" t="s">
        <v>34</v>
      </c>
      <c r="C67" t="s">
        <v>475</v>
      </c>
      <c r="D67" t="s">
        <v>370</v>
      </c>
    </row>
    <row r="68" spans="1:4" x14ac:dyDescent="0.25">
      <c r="A68">
        <v>67</v>
      </c>
      <c r="B68" t="s">
        <v>116</v>
      </c>
      <c r="C68" t="s">
        <v>476</v>
      </c>
      <c r="D68" t="s">
        <v>370</v>
      </c>
    </row>
    <row r="69" spans="1:4" x14ac:dyDescent="0.25">
      <c r="A69">
        <v>68</v>
      </c>
      <c r="B69" t="s">
        <v>113</v>
      </c>
      <c r="C69" t="s">
        <v>477</v>
      </c>
      <c r="D69" t="s">
        <v>370</v>
      </c>
    </row>
    <row r="70" spans="1:4" x14ac:dyDescent="0.25">
      <c r="A70">
        <v>69</v>
      </c>
      <c r="B70" t="s">
        <v>176</v>
      </c>
      <c r="C70" t="s">
        <v>478</v>
      </c>
      <c r="D70" t="s">
        <v>370</v>
      </c>
    </row>
    <row r="71" spans="1:4" x14ac:dyDescent="0.25">
      <c r="A71">
        <v>70</v>
      </c>
      <c r="B71" t="s">
        <v>3</v>
      </c>
      <c r="C71" t="s">
        <v>479</v>
      </c>
      <c r="D71" t="s">
        <v>370</v>
      </c>
    </row>
    <row r="72" spans="1:4" x14ac:dyDescent="0.25">
      <c r="A72">
        <v>71</v>
      </c>
      <c r="B72" t="s">
        <v>219</v>
      </c>
      <c r="C72" t="s">
        <v>480</v>
      </c>
      <c r="D72" t="s">
        <v>370</v>
      </c>
    </row>
    <row r="73" spans="1:4" x14ac:dyDescent="0.25">
      <c r="A73">
        <v>72</v>
      </c>
      <c r="B73" t="s">
        <v>185</v>
      </c>
      <c r="C73" t="s">
        <v>481</v>
      </c>
      <c r="D73" t="s">
        <v>370</v>
      </c>
    </row>
    <row r="74" spans="1:4" x14ac:dyDescent="0.25">
      <c r="A74">
        <v>73</v>
      </c>
      <c r="B74" t="s">
        <v>160</v>
      </c>
      <c r="C74" t="s">
        <v>482</v>
      </c>
      <c r="D74" t="s">
        <v>370</v>
      </c>
    </row>
    <row r="75" spans="1:4" x14ac:dyDescent="0.25">
      <c r="A75">
        <v>74</v>
      </c>
      <c r="B75" t="s">
        <v>260</v>
      </c>
      <c r="C75" t="s">
        <v>483</v>
      </c>
      <c r="D75" t="s">
        <v>370</v>
      </c>
    </row>
    <row r="76" spans="1:4" x14ac:dyDescent="0.25">
      <c r="A76">
        <v>75</v>
      </c>
      <c r="B76" t="s">
        <v>484</v>
      </c>
      <c r="C76" t="s">
        <v>485</v>
      </c>
      <c r="D76" t="s">
        <v>381</v>
      </c>
    </row>
    <row r="77" spans="1:4" x14ac:dyDescent="0.25">
      <c r="A77">
        <v>76</v>
      </c>
      <c r="B77" t="s">
        <v>486</v>
      </c>
      <c r="C77" t="s">
        <v>487</v>
      </c>
      <c r="D77" t="s">
        <v>373</v>
      </c>
    </row>
    <row r="78" spans="1:4" x14ac:dyDescent="0.25">
      <c r="A78">
        <v>77</v>
      </c>
      <c r="B78" t="s">
        <v>488</v>
      </c>
      <c r="C78" t="s">
        <v>489</v>
      </c>
      <c r="D78" t="s">
        <v>455</v>
      </c>
    </row>
    <row r="79" spans="1:4" x14ac:dyDescent="0.25">
      <c r="A79">
        <v>78</v>
      </c>
      <c r="B79" t="s">
        <v>490</v>
      </c>
      <c r="C79" t="s">
        <v>491</v>
      </c>
      <c r="D79" t="s">
        <v>430</v>
      </c>
    </row>
    <row r="80" spans="1:4" x14ac:dyDescent="0.25">
      <c r="A80">
        <v>79</v>
      </c>
      <c r="B80" t="s">
        <v>88</v>
      </c>
      <c r="C80" t="s">
        <v>492</v>
      </c>
      <c r="D80" t="s">
        <v>370</v>
      </c>
    </row>
    <row r="81" spans="1:4" x14ac:dyDescent="0.25">
      <c r="A81">
        <v>80</v>
      </c>
      <c r="B81" t="s">
        <v>13</v>
      </c>
      <c r="C81" t="s">
        <v>493</v>
      </c>
      <c r="D81" t="s">
        <v>370</v>
      </c>
    </row>
    <row r="82" spans="1:4" x14ac:dyDescent="0.25">
      <c r="A82">
        <v>81</v>
      </c>
      <c r="B82" t="s">
        <v>161</v>
      </c>
      <c r="C82" t="s">
        <v>494</v>
      </c>
      <c r="D82" t="s">
        <v>370</v>
      </c>
    </row>
    <row r="83" spans="1:4" x14ac:dyDescent="0.25">
      <c r="A83">
        <v>82</v>
      </c>
      <c r="B83" t="s">
        <v>181</v>
      </c>
      <c r="C83" t="s">
        <v>495</v>
      </c>
      <c r="D83" t="s">
        <v>370</v>
      </c>
    </row>
    <row r="84" spans="1:4" x14ac:dyDescent="0.25">
      <c r="A84">
        <v>83</v>
      </c>
      <c r="B84" t="s">
        <v>120</v>
      </c>
      <c r="C84" t="s">
        <v>496</v>
      </c>
      <c r="D84" t="s">
        <v>370</v>
      </c>
    </row>
    <row r="85" spans="1:4" x14ac:dyDescent="0.25">
      <c r="A85">
        <v>84</v>
      </c>
      <c r="B85" t="s">
        <v>154</v>
      </c>
      <c r="C85" t="s">
        <v>497</v>
      </c>
      <c r="D85" t="s">
        <v>370</v>
      </c>
    </row>
    <row r="86" spans="1:4" x14ac:dyDescent="0.25">
      <c r="A86">
        <v>85</v>
      </c>
      <c r="B86" t="s">
        <v>79</v>
      </c>
      <c r="C86" t="s">
        <v>498</v>
      </c>
      <c r="D86" t="s">
        <v>370</v>
      </c>
    </row>
    <row r="87" spans="1:4" x14ac:dyDescent="0.25">
      <c r="A87">
        <v>86</v>
      </c>
      <c r="B87" t="s">
        <v>179</v>
      </c>
      <c r="C87" t="s">
        <v>499</v>
      </c>
      <c r="D87" t="s">
        <v>370</v>
      </c>
    </row>
    <row r="88" spans="1:4" x14ac:dyDescent="0.25">
      <c r="A88">
        <v>87</v>
      </c>
      <c r="B88" t="s">
        <v>87</v>
      </c>
      <c r="C88" t="s">
        <v>500</v>
      </c>
      <c r="D88" t="s">
        <v>370</v>
      </c>
    </row>
    <row r="89" spans="1:4" x14ac:dyDescent="0.25">
      <c r="A89">
        <v>88</v>
      </c>
      <c r="B89" t="s">
        <v>501</v>
      </c>
      <c r="C89" t="s">
        <v>502</v>
      </c>
      <c r="D89" t="s">
        <v>458</v>
      </c>
    </row>
    <row r="90" spans="1:4" x14ac:dyDescent="0.25">
      <c r="A90">
        <v>89</v>
      </c>
      <c r="B90" t="s">
        <v>196</v>
      </c>
      <c r="C90" t="s">
        <v>503</v>
      </c>
      <c r="D90" t="s">
        <v>370</v>
      </c>
    </row>
    <row r="91" spans="1:4" x14ac:dyDescent="0.25">
      <c r="A91">
        <v>90</v>
      </c>
      <c r="B91" t="s">
        <v>126</v>
      </c>
      <c r="C91" t="s">
        <v>504</v>
      </c>
      <c r="D91" t="s">
        <v>370</v>
      </c>
    </row>
    <row r="92" spans="1:4" x14ac:dyDescent="0.25">
      <c r="A92">
        <v>91</v>
      </c>
      <c r="B92" t="s">
        <v>237</v>
      </c>
      <c r="C92" t="s">
        <v>505</v>
      </c>
      <c r="D92" t="s">
        <v>370</v>
      </c>
    </row>
    <row r="93" spans="1:4" x14ac:dyDescent="0.25">
      <c r="A93">
        <v>92</v>
      </c>
      <c r="B93" t="s">
        <v>238</v>
      </c>
      <c r="C93" t="s">
        <v>506</v>
      </c>
      <c r="D93" t="s">
        <v>370</v>
      </c>
    </row>
    <row r="94" spans="1:4" x14ac:dyDescent="0.25">
      <c r="A94">
        <v>93</v>
      </c>
      <c r="B94" t="s">
        <v>507</v>
      </c>
      <c r="C94" t="s">
        <v>508</v>
      </c>
      <c r="D94" t="s">
        <v>373</v>
      </c>
    </row>
    <row r="95" spans="1:4" x14ac:dyDescent="0.25">
      <c r="A95">
        <v>94</v>
      </c>
      <c r="B95" t="s">
        <v>7</v>
      </c>
      <c r="C95" t="s">
        <v>509</v>
      </c>
      <c r="D95" t="s">
        <v>370</v>
      </c>
    </row>
    <row r="96" spans="1:4" x14ac:dyDescent="0.25">
      <c r="A96">
        <v>95</v>
      </c>
      <c r="B96" t="s">
        <v>510</v>
      </c>
      <c r="C96" t="s">
        <v>511</v>
      </c>
      <c r="D96" t="s">
        <v>430</v>
      </c>
    </row>
    <row r="97" spans="1:4" x14ac:dyDescent="0.25">
      <c r="A97">
        <v>96</v>
      </c>
      <c r="B97" t="s">
        <v>512</v>
      </c>
      <c r="C97" t="s">
        <v>513</v>
      </c>
      <c r="D97" t="s">
        <v>514</v>
      </c>
    </row>
    <row r="98" spans="1:4" x14ac:dyDescent="0.25">
      <c r="A98">
        <v>97</v>
      </c>
      <c r="B98" t="s">
        <v>55</v>
      </c>
      <c r="C98" t="s">
        <v>515</v>
      </c>
      <c r="D98" t="s">
        <v>370</v>
      </c>
    </row>
    <row r="99" spans="1:4" x14ac:dyDescent="0.25">
      <c r="A99">
        <v>98</v>
      </c>
      <c r="B99" t="s">
        <v>146</v>
      </c>
      <c r="C99" t="s">
        <v>516</v>
      </c>
      <c r="D99" t="s">
        <v>370</v>
      </c>
    </row>
    <row r="100" spans="1:4" x14ac:dyDescent="0.25">
      <c r="A100">
        <v>99</v>
      </c>
      <c r="B100" t="s">
        <v>255</v>
      </c>
      <c r="C100" t="s">
        <v>517</v>
      </c>
      <c r="D100" t="s">
        <v>370</v>
      </c>
    </row>
    <row r="101" spans="1:4" x14ac:dyDescent="0.25">
      <c r="A101">
        <v>100</v>
      </c>
      <c r="B101" t="s">
        <v>26</v>
      </c>
      <c r="C101" t="s">
        <v>518</v>
      </c>
      <c r="D101" t="s">
        <v>370</v>
      </c>
    </row>
    <row r="102" spans="1:4" x14ac:dyDescent="0.25">
      <c r="A102">
        <v>101</v>
      </c>
      <c r="B102" t="s">
        <v>92</v>
      </c>
      <c r="C102" t="s">
        <v>519</v>
      </c>
      <c r="D102" t="s">
        <v>370</v>
      </c>
    </row>
    <row r="103" spans="1:4" x14ac:dyDescent="0.25">
      <c r="A103">
        <v>102</v>
      </c>
      <c r="B103" t="s">
        <v>124</v>
      </c>
      <c r="C103" t="s">
        <v>520</v>
      </c>
      <c r="D103" t="s">
        <v>370</v>
      </c>
    </row>
    <row r="104" spans="1:4" x14ac:dyDescent="0.25">
      <c r="A104">
        <v>103</v>
      </c>
      <c r="B104" t="s">
        <v>138</v>
      </c>
      <c r="C104" t="s">
        <v>521</v>
      </c>
      <c r="D104" t="s">
        <v>370</v>
      </c>
    </row>
    <row r="105" spans="1:4" x14ac:dyDescent="0.25">
      <c r="A105">
        <v>104</v>
      </c>
      <c r="B105" t="s">
        <v>73</v>
      </c>
      <c r="C105" t="s">
        <v>522</v>
      </c>
      <c r="D105" t="s">
        <v>370</v>
      </c>
    </row>
    <row r="106" spans="1:4" x14ac:dyDescent="0.25">
      <c r="A106">
        <v>105</v>
      </c>
      <c r="B106" t="s">
        <v>177</v>
      </c>
      <c r="C106" t="s">
        <v>523</v>
      </c>
      <c r="D106" t="s">
        <v>370</v>
      </c>
    </row>
    <row r="107" spans="1:4" x14ac:dyDescent="0.25">
      <c r="A107">
        <v>106</v>
      </c>
      <c r="B107" t="s">
        <v>235</v>
      </c>
      <c r="C107" t="s">
        <v>524</v>
      </c>
      <c r="D107" t="s">
        <v>370</v>
      </c>
    </row>
    <row r="108" spans="1:4" x14ac:dyDescent="0.25">
      <c r="A108">
        <v>107</v>
      </c>
      <c r="B108" t="s">
        <v>85</v>
      </c>
      <c r="C108" t="s">
        <v>525</v>
      </c>
      <c r="D108" t="s">
        <v>370</v>
      </c>
    </row>
    <row r="109" spans="1:4" x14ac:dyDescent="0.25">
      <c r="A109">
        <v>108</v>
      </c>
      <c r="B109" t="s">
        <v>11</v>
      </c>
      <c r="C109" t="s">
        <v>526</v>
      </c>
      <c r="D109" t="s">
        <v>370</v>
      </c>
    </row>
    <row r="110" spans="1:4" x14ac:dyDescent="0.25">
      <c r="A110">
        <v>109</v>
      </c>
      <c r="B110" t="s">
        <v>30</v>
      </c>
      <c r="C110" t="s">
        <v>527</v>
      </c>
      <c r="D110" t="s">
        <v>370</v>
      </c>
    </row>
    <row r="111" spans="1:4" x14ac:dyDescent="0.25">
      <c r="A111">
        <v>110</v>
      </c>
      <c r="B111" t="s">
        <v>192</v>
      </c>
      <c r="C111" t="s">
        <v>528</v>
      </c>
      <c r="D111" t="s">
        <v>370</v>
      </c>
    </row>
    <row r="112" spans="1:4" x14ac:dyDescent="0.25">
      <c r="A112">
        <v>111</v>
      </c>
      <c r="B112" t="s">
        <v>198</v>
      </c>
      <c r="C112" t="s">
        <v>529</v>
      </c>
      <c r="D112" t="s">
        <v>370</v>
      </c>
    </row>
    <row r="113" spans="1:4" x14ac:dyDescent="0.25">
      <c r="A113">
        <v>112</v>
      </c>
      <c r="B113" t="s">
        <v>75</v>
      </c>
      <c r="C113" t="s">
        <v>530</v>
      </c>
      <c r="D113" t="s">
        <v>370</v>
      </c>
    </row>
    <row r="114" spans="1:4" x14ac:dyDescent="0.25">
      <c r="A114">
        <v>113</v>
      </c>
      <c r="B114" t="s">
        <v>40</v>
      </c>
      <c r="C114" t="s">
        <v>531</v>
      </c>
      <c r="D114" t="s">
        <v>370</v>
      </c>
    </row>
    <row r="115" spans="1:4" x14ac:dyDescent="0.25">
      <c r="A115">
        <v>114</v>
      </c>
      <c r="B115" t="s">
        <v>233</v>
      </c>
      <c r="C115" t="s">
        <v>532</v>
      </c>
      <c r="D115" t="s">
        <v>370</v>
      </c>
    </row>
    <row r="116" spans="1:4" x14ac:dyDescent="0.25">
      <c r="A116">
        <v>115</v>
      </c>
      <c r="B116" t="s">
        <v>148</v>
      </c>
      <c r="C116" t="s">
        <v>533</v>
      </c>
      <c r="D116" t="s">
        <v>370</v>
      </c>
    </row>
    <row r="117" spans="1:4" x14ac:dyDescent="0.25">
      <c r="A117">
        <v>116</v>
      </c>
      <c r="B117" t="s">
        <v>534</v>
      </c>
      <c r="C117" t="s">
        <v>535</v>
      </c>
      <c r="D117" t="s">
        <v>376</v>
      </c>
    </row>
    <row r="118" spans="1:4" x14ac:dyDescent="0.25">
      <c r="A118">
        <v>117</v>
      </c>
      <c r="B118" t="s">
        <v>536</v>
      </c>
      <c r="C118" t="s">
        <v>537</v>
      </c>
      <c r="D118" t="s">
        <v>538</v>
      </c>
    </row>
    <row r="119" spans="1:4" x14ac:dyDescent="0.25">
      <c r="A119">
        <v>118</v>
      </c>
      <c r="B119" t="s">
        <v>539</v>
      </c>
      <c r="C119" t="s">
        <v>540</v>
      </c>
      <c r="D119" t="s">
        <v>541</v>
      </c>
    </row>
    <row r="120" spans="1:4" x14ac:dyDescent="0.25">
      <c r="A120">
        <v>119</v>
      </c>
      <c r="B120" t="s">
        <v>542</v>
      </c>
      <c r="C120" t="s">
        <v>543</v>
      </c>
      <c r="D120" t="s">
        <v>541</v>
      </c>
    </row>
    <row r="121" spans="1:4" x14ac:dyDescent="0.25">
      <c r="A121">
        <v>120</v>
      </c>
      <c r="B121" t="s">
        <v>544</v>
      </c>
      <c r="C121" t="s">
        <v>545</v>
      </c>
      <c r="D121" t="s">
        <v>546</v>
      </c>
    </row>
    <row r="122" spans="1:4" x14ac:dyDescent="0.25">
      <c r="A122">
        <v>121</v>
      </c>
      <c r="B122" t="s">
        <v>547</v>
      </c>
      <c r="C122" t="s">
        <v>548</v>
      </c>
      <c r="D122" t="s">
        <v>549</v>
      </c>
    </row>
    <row r="123" spans="1:4" x14ac:dyDescent="0.25">
      <c r="A123">
        <v>122</v>
      </c>
      <c r="B123" t="s">
        <v>550</v>
      </c>
      <c r="C123" t="s">
        <v>551</v>
      </c>
      <c r="D123" t="s">
        <v>552</v>
      </c>
    </row>
    <row r="124" spans="1:4" x14ac:dyDescent="0.25">
      <c r="A124">
        <v>123</v>
      </c>
      <c r="B124" t="s">
        <v>553</v>
      </c>
      <c r="C124" t="s">
        <v>554</v>
      </c>
      <c r="D124" t="s">
        <v>555</v>
      </c>
    </row>
    <row r="125" spans="1:4" x14ac:dyDescent="0.25">
      <c r="A125">
        <v>124</v>
      </c>
      <c r="B125" t="s">
        <v>170</v>
      </c>
      <c r="C125" t="s">
        <v>556</v>
      </c>
      <c r="D125" t="s">
        <v>370</v>
      </c>
    </row>
    <row r="126" spans="1:4" x14ac:dyDescent="0.25">
      <c r="A126">
        <v>125</v>
      </c>
      <c r="B126" t="s">
        <v>557</v>
      </c>
      <c r="C126" t="s">
        <v>558</v>
      </c>
      <c r="D126" t="s">
        <v>559</v>
      </c>
    </row>
    <row r="127" spans="1:4" x14ac:dyDescent="0.25">
      <c r="A127">
        <v>126</v>
      </c>
      <c r="B127" t="s">
        <v>560</v>
      </c>
      <c r="C127" t="s">
        <v>561</v>
      </c>
      <c r="D127" t="s">
        <v>362</v>
      </c>
    </row>
    <row r="128" spans="1:4" x14ac:dyDescent="0.25">
      <c r="A128">
        <v>127</v>
      </c>
      <c r="B128" t="s">
        <v>562</v>
      </c>
      <c r="C128" t="s">
        <v>563</v>
      </c>
      <c r="D128" t="s">
        <v>564</v>
      </c>
    </row>
    <row r="129" spans="1:4" x14ac:dyDescent="0.25">
      <c r="A129">
        <v>128</v>
      </c>
      <c r="B129" t="s">
        <v>565</v>
      </c>
      <c r="C129" t="s">
        <v>566</v>
      </c>
      <c r="D129" t="s">
        <v>362</v>
      </c>
    </row>
    <row r="130" spans="1:4" x14ac:dyDescent="0.25">
      <c r="A130">
        <v>129</v>
      </c>
      <c r="B130" t="s">
        <v>567</v>
      </c>
      <c r="C130" t="s">
        <v>568</v>
      </c>
      <c r="D130" t="s">
        <v>546</v>
      </c>
    </row>
    <row r="131" spans="1:4" x14ac:dyDescent="0.25">
      <c r="A131">
        <v>130</v>
      </c>
      <c r="B131" t="s">
        <v>569</v>
      </c>
      <c r="C131" t="s">
        <v>570</v>
      </c>
      <c r="D131" t="s">
        <v>555</v>
      </c>
    </row>
    <row r="132" spans="1:4" x14ac:dyDescent="0.25">
      <c r="A132">
        <v>131</v>
      </c>
      <c r="B132" t="s">
        <v>571</v>
      </c>
      <c r="C132" t="s">
        <v>572</v>
      </c>
      <c r="D132" t="s">
        <v>373</v>
      </c>
    </row>
    <row r="133" spans="1:4" x14ac:dyDescent="0.25">
      <c r="A133">
        <v>132</v>
      </c>
      <c r="B133" t="s">
        <v>573</v>
      </c>
      <c r="C133" t="s">
        <v>574</v>
      </c>
      <c r="D133" t="s">
        <v>559</v>
      </c>
    </row>
    <row r="134" spans="1:4" x14ac:dyDescent="0.25">
      <c r="A134">
        <v>133</v>
      </c>
      <c r="B134" t="s">
        <v>575</v>
      </c>
      <c r="C134" t="s">
        <v>576</v>
      </c>
      <c r="D134" t="s">
        <v>552</v>
      </c>
    </row>
    <row r="135" spans="1:4" x14ac:dyDescent="0.25">
      <c r="A135">
        <v>134</v>
      </c>
      <c r="B135" t="s">
        <v>577</v>
      </c>
      <c r="C135" t="s">
        <v>578</v>
      </c>
      <c r="D135" t="s">
        <v>579</v>
      </c>
    </row>
    <row r="136" spans="1:4" x14ac:dyDescent="0.25">
      <c r="A136">
        <v>135</v>
      </c>
      <c r="B136" t="s">
        <v>580</v>
      </c>
      <c r="C136" t="s">
        <v>581</v>
      </c>
      <c r="D136" t="s">
        <v>582</v>
      </c>
    </row>
    <row r="137" spans="1:4" x14ac:dyDescent="0.25">
      <c r="A137">
        <v>136</v>
      </c>
      <c r="B137" t="s">
        <v>583</v>
      </c>
      <c r="C137" t="s">
        <v>584</v>
      </c>
      <c r="D137" t="s">
        <v>555</v>
      </c>
    </row>
    <row r="138" spans="1:4" x14ac:dyDescent="0.25">
      <c r="A138">
        <v>137</v>
      </c>
      <c r="B138" t="s">
        <v>585</v>
      </c>
      <c r="C138" t="s">
        <v>586</v>
      </c>
      <c r="D138" t="s">
        <v>559</v>
      </c>
    </row>
    <row r="139" spans="1:4" x14ac:dyDescent="0.25">
      <c r="A139">
        <v>138</v>
      </c>
      <c r="B139" t="s">
        <v>587</v>
      </c>
      <c r="C139" t="s">
        <v>588</v>
      </c>
      <c r="D139" t="s">
        <v>589</v>
      </c>
    </row>
    <row r="140" spans="1:4" x14ac:dyDescent="0.25">
      <c r="A140">
        <v>139</v>
      </c>
      <c r="B140" t="s">
        <v>590</v>
      </c>
      <c r="C140" t="s">
        <v>591</v>
      </c>
      <c r="D140" t="s">
        <v>559</v>
      </c>
    </row>
    <row r="141" spans="1:4" x14ac:dyDescent="0.25">
      <c r="A141">
        <v>140</v>
      </c>
      <c r="B141" t="s">
        <v>592</v>
      </c>
      <c r="C141" t="s">
        <v>593</v>
      </c>
      <c r="D141" t="s">
        <v>594</v>
      </c>
    </row>
    <row r="142" spans="1:4" x14ac:dyDescent="0.25">
      <c r="A142">
        <v>141</v>
      </c>
      <c r="B142" t="s">
        <v>595</v>
      </c>
      <c r="C142" t="s">
        <v>596</v>
      </c>
      <c r="D142" t="s">
        <v>376</v>
      </c>
    </row>
    <row r="143" spans="1:4" x14ac:dyDescent="0.25">
      <c r="A143">
        <v>142</v>
      </c>
      <c r="B143" t="s">
        <v>597</v>
      </c>
      <c r="C143" t="s">
        <v>598</v>
      </c>
      <c r="D143" t="s">
        <v>546</v>
      </c>
    </row>
    <row r="144" spans="1:4" x14ac:dyDescent="0.25">
      <c r="A144">
        <v>143</v>
      </c>
      <c r="B144" t="s">
        <v>599</v>
      </c>
      <c r="C144" t="s">
        <v>600</v>
      </c>
      <c r="D144" t="s">
        <v>538</v>
      </c>
    </row>
    <row r="145" spans="1:4" x14ac:dyDescent="0.25">
      <c r="A145">
        <v>144</v>
      </c>
      <c r="B145" t="s">
        <v>152</v>
      </c>
      <c r="C145" t="s">
        <v>601</v>
      </c>
      <c r="D145" t="s">
        <v>370</v>
      </c>
    </row>
    <row r="146" spans="1:4" x14ac:dyDescent="0.25">
      <c r="A146">
        <v>145</v>
      </c>
      <c r="B146" t="s">
        <v>602</v>
      </c>
      <c r="C146" t="s">
        <v>603</v>
      </c>
      <c r="D146" t="s">
        <v>546</v>
      </c>
    </row>
    <row r="147" spans="1:4" x14ac:dyDescent="0.25">
      <c r="A147">
        <v>146</v>
      </c>
      <c r="B147" t="s">
        <v>604</v>
      </c>
      <c r="C147" t="s">
        <v>605</v>
      </c>
      <c r="D147" t="s">
        <v>417</v>
      </c>
    </row>
    <row r="148" spans="1:4" x14ac:dyDescent="0.25">
      <c r="A148">
        <v>147</v>
      </c>
      <c r="B148" t="s">
        <v>606</v>
      </c>
      <c r="C148" t="s">
        <v>607</v>
      </c>
      <c r="D148" t="s">
        <v>608</v>
      </c>
    </row>
    <row r="149" spans="1:4" x14ac:dyDescent="0.25">
      <c r="A149">
        <v>148</v>
      </c>
      <c r="B149" t="s">
        <v>609</v>
      </c>
      <c r="C149" t="s">
        <v>610</v>
      </c>
      <c r="D149" t="s">
        <v>579</v>
      </c>
    </row>
    <row r="150" spans="1:4" x14ac:dyDescent="0.25">
      <c r="A150">
        <v>149</v>
      </c>
      <c r="B150" t="s">
        <v>611</v>
      </c>
      <c r="C150" t="s">
        <v>612</v>
      </c>
      <c r="D150" t="s">
        <v>552</v>
      </c>
    </row>
    <row r="151" spans="1:4" x14ac:dyDescent="0.25">
      <c r="A151">
        <v>150</v>
      </c>
      <c r="B151" t="s">
        <v>613</v>
      </c>
      <c r="C151" t="s">
        <v>614</v>
      </c>
      <c r="D151" t="s">
        <v>538</v>
      </c>
    </row>
    <row r="152" spans="1:4" x14ac:dyDescent="0.25">
      <c r="A152">
        <v>151</v>
      </c>
      <c r="B152" t="s">
        <v>615</v>
      </c>
      <c r="C152" t="s">
        <v>616</v>
      </c>
      <c r="D152" t="s">
        <v>555</v>
      </c>
    </row>
    <row r="153" spans="1:4" x14ac:dyDescent="0.25">
      <c r="A153">
        <v>152</v>
      </c>
      <c r="B153" t="s">
        <v>14</v>
      </c>
      <c r="C153" t="s">
        <v>617</v>
      </c>
      <c r="D153" t="s">
        <v>370</v>
      </c>
    </row>
    <row r="154" spans="1:4" x14ac:dyDescent="0.25">
      <c r="A154">
        <v>153</v>
      </c>
      <c r="B154" t="s">
        <v>90</v>
      </c>
      <c r="C154" t="s">
        <v>618</v>
      </c>
      <c r="D154" t="s">
        <v>370</v>
      </c>
    </row>
    <row r="155" spans="1:4" x14ac:dyDescent="0.25">
      <c r="A155">
        <v>154</v>
      </c>
      <c r="B155" t="s">
        <v>227</v>
      </c>
      <c r="C155" t="s">
        <v>619</v>
      </c>
      <c r="D155" t="s">
        <v>370</v>
      </c>
    </row>
    <row r="156" spans="1:4" x14ac:dyDescent="0.25">
      <c r="A156">
        <v>155</v>
      </c>
      <c r="B156" t="s">
        <v>102</v>
      </c>
      <c r="C156" t="s">
        <v>620</v>
      </c>
      <c r="D156" t="s">
        <v>370</v>
      </c>
    </row>
    <row r="157" spans="1:4" x14ac:dyDescent="0.25">
      <c r="A157">
        <v>156</v>
      </c>
      <c r="B157" t="s">
        <v>242</v>
      </c>
      <c r="C157" t="s">
        <v>621</v>
      </c>
      <c r="D157" t="s">
        <v>370</v>
      </c>
    </row>
    <row r="158" spans="1:4" x14ac:dyDescent="0.25">
      <c r="A158">
        <v>157</v>
      </c>
      <c r="B158" t="s">
        <v>622</v>
      </c>
      <c r="C158" t="s">
        <v>623</v>
      </c>
      <c r="D158" t="s">
        <v>555</v>
      </c>
    </row>
    <row r="159" spans="1:4" x14ac:dyDescent="0.25">
      <c r="A159">
        <v>158</v>
      </c>
      <c r="B159" t="s">
        <v>624</v>
      </c>
      <c r="C159" t="s">
        <v>625</v>
      </c>
      <c r="D159" t="s">
        <v>555</v>
      </c>
    </row>
    <row r="160" spans="1:4" x14ac:dyDescent="0.25">
      <c r="A160">
        <v>159</v>
      </c>
      <c r="B160" t="s">
        <v>626</v>
      </c>
      <c r="C160" t="s">
        <v>627</v>
      </c>
      <c r="D160" t="s">
        <v>555</v>
      </c>
    </row>
    <row r="161" spans="1:4" x14ac:dyDescent="0.25">
      <c r="A161">
        <v>160</v>
      </c>
      <c r="B161" t="s">
        <v>628</v>
      </c>
      <c r="C161" t="s">
        <v>629</v>
      </c>
      <c r="D161" t="s">
        <v>552</v>
      </c>
    </row>
    <row r="162" spans="1:4" x14ac:dyDescent="0.25">
      <c r="A162">
        <v>161</v>
      </c>
      <c r="B162" t="s">
        <v>630</v>
      </c>
      <c r="C162" t="s">
        <v>631</v>
      </c>
      <c r="D162" t="s">
        <v>555</v>
      </c>
    </row>
    <row r="163" spans="1:4" x14ac:dyDescent="0.25">
      <c r="A163">
        <v>162</v>
      </c>
      <c r="B163" t="s">
        <v>632</v>
      </c>
      <c r="C163" t="s">
        <v>633</v>
      </c>
      <c r="D163" t="s">
        <v>376</v>
      </c>
    </row>
    <row r="164" spans="1:4" x14ac:dyDescent="0.25">
      <c r="A164">
        <v>163</v>
      </c>
      <c r="B164" t="s">
        <v>634</v>
      </c>
      <c r="C164" t="s">
        <v>635</v>
      </c>
      <c r="D164" t="s">
        <v>579</v>
      </c>
    </row>
    <row r="165" spans="1:4" x14ac:dyDescent="0.25">
      <c r="A165">
        <v>164</v>
      </c>
      <c r="B165" t="s">
        <v>636</v>
      </c>
      <c r="C165" t="s">
        <v>637</v>
      </c>
      <c r="D165" t="s">
        <v>638</v>
      </c>
    </row>
    <row r="166" spans="1:4" x14ac:dyDescent="0.25">
      <c r="A166">
        <v>165</v>
      </c>
      <c r="B166" t="s">
        <v>639</v>
      </c>
      <c r="C166" t="s">
        <v>640</v>
      </c>
      <c r="D166" t="s">
        <v>362</v>
      </c>
    </row>
    <row r="167" spans="1:4" x14ac:dyDescent="0.25">
      <c r="A167">
        <v>166</v>
      </c>
      <c r="B167" t="s">
        <v>641</v>
      </c>
      <c r="C167" t="s">
        <v>642</v>
      </c>
      <c r="D167" t="s">
        <v>538</v>
      </c>
    </row>
    <row r="168" spans="1:4" x14ac:dyDescent="0.25">
      <c r="A168">
        <v>167</v>
      </c>
      <c r="B168" t="s">
        <v>643</v>
      </c>
      <c r="C168" t="s">
        <v>644</v>
      </c>
      <c r="D168" t="s">
        <v>538</v>
      </c>
    </row>
    <row r="169" spans="1:4" x14ac:dyDescent="0.25">
      <c r="A169">
        <v>168</v>
      </c>
      <c r="B169" t="s">
        <v>645</v>
      </c>
      <c r="C169" t="s">
        <v>646</v>
      </c>
      <c r="D169" t="s">
        <v>555</v>
      </c>
    </row>
    <row r="170" spans="1:4" x14ac:dyDescent="0.25">
      <c r="A170">
        <v>169</v>
      </c>
      <c r="B170" t="s">
        <v>647</v>
      </c>
      <c r="C170" t="s">
        <v>648</v>
      </c>
      <c r="D170" t="s">
        <v>376</v>
      </c>
    </row>
    <row r="171" spans="1:4" x14ac:dyDescent="0.25">
      <c r="A171">
        <v>170</v>
      </c>
      <c r="B171" t="s">
        <v>649</v>
      </c>
      <c r="C171" t="s">
        <v>650</v>
      </c>
      <c r="D171" t="s">
        <v>589</v>
      </c>
    </row>
    <row r="172" spans="1:4" x14ac:dyDescent="0.25">
      <c r="A172">
        <v>171</v>
      </c>
      <c r="B172" t="s">
        <v>651</v>
      </c>
      <c r="C172" t="s">
        <v>652</v>
      </c>
      <c r="D172" t="s">
        <v>579</v>
      </c>
    </row>
    <row r="173" spans="1:4" x14ac:dyDescent="0.25">
      <c r="A173">
        <v>172</v>
      </c>
      <c r="B173" t="s">
        <v>653</v>
      </c>
      <c r="C173" t="s">
        <v>654</v>
      </c>
      <c r="D173" t="s">
        <v>417</v>
      </c>
    </row>
    <row r="174" spans="1:4" x14ac:dyDescent="0.25">
      <c r="A174">
        <v>173</v>
      </c>
      <c r="B174" t="s">
        <v>655</v>
      </c>
      <c r="C174" t="s">
        <v>656</v>
      </c>
      <c r="D174" t="s">
        <v>362</v>
      </c>
    </row>
    <row r="175" spans="1:4" x14ac:dyDescent="0.25">
      <c r="A175">
        <v>174</v>
      </c>
      <c r="B175" t="s">
        <v>657</v>
      </c>
      <c r="C175" t="s">
        <v>658</v>
      </c>
      <c r="D175" t="s">
        <v>559</v>
      </c>
    </row>
    <row r="176" spans="1:4" x14ac:dyDescent="0.25">
      <c r="A176">
        <v>175</v>
      </c>
      <c r="B176" t="s">
        <v>659</v>
      </c>
      <c r="C176" t="s">
        <v>660</v>
      </c>
      <c r="D176" t="s">
        <v>559</v>
      </c>
    </row>
    <row r="177" spans="1:4" x14ac:dyDescent="0.25">
      <c r="A177">
        <v>176</v>
      </c>
      <c r="B177" t="s">
        <v>661</v>
      </c>
      <c r="C177" t="s">
        <v>662</v>
      </c>
      <c r="D177" t="s">
        <v>376</v>
      </c>
    </row>
    <row r="178" spans="1:4" x14ac:dyDescent="0.25">
      <c r="A178">
        <v>177</v>
      </c>
      <c r="B178" t="s">
        <v>663</v>
      </c>
      <c r="C178" t="s">
        <v>664</v>
      </c>
      <c r="D178" t="s">
        <v>555</v>
      </c>
    </row>
    <row r="179" spans="1:4" x14ac:dyDescent="0.25">
      <c r="A179">
        <v>178</v>
      </c>
      <c r="B179" t="s">
        <v>665</v>
      </c>
      <c r="C179" t="s">
        <v>666</v>
      </c>
      <c r="D179" t="s">
        <v>555</v>
      </c>
    </row>
    <row r="180" spans="1:4" x14ac:dyDescent="0.25">
      <c r="A180">
        <v>179</v>
      </c>
      <c r="B180" t="s">
        <v>217</v>
      </c>
      <c r="C180" t="s">
        <v>667</v>
      </c>
      <c r="D180" t="s">
        <v>370</v>
      </c>
    </row>
    <row r="181" spans="1:4" x14ac:dyDescent="0.25">
      <c r="A181">
        <v>180</v>
      </c>
      <c r="B181" t="s">
        <v>212</v>
      </c>
      <c r="C181" t="s">
        <v>668</v>
      </c>
      <c r="D181" t="s">
        <v>370</v>
      </c>
    </row>
    <row r="182" spans="1:4" x14ac:dyDescent="0.25">
      <c r="A182">
        <v>181</v>
      </c>
      <c r="B182" t="s">
        <v>669</v>
      </c>
      <c r="C182" t="s">
        <v>670</v>
      </c>
      <c r="D182" t="s">
        <v>555</v>
      </c>
    </row>
    <row r="183" spans="1:4" x14ac:dyDescent="0.25">
      <c r="A183">
        <v>182</v>
      </c>
      <c r="B183" t="s">
        <v>65</v>
      </c>
      <c r="C183" t="s">
        <v>671</v>
      </c>
      <c r="D183" t="s">
        <v>370</v>
      </c>
    </row>
    <row r="184" spans="1:4" x14ac:dyDescent="0.25">
      <c r="A184">
        <v>183</v>
      </c>
      <c r="B184" t="s">
        <v>134</v>
      </c>
      <c r="C184" t="s">
        <v>672</v>
      </c>
      <c r="D184" t="s">
        <v>370</v>
      </c>
    </row>
    <row r="185" spans="1:4" x14ac:dyDescent="0.25">
      <c r="A185">
        <v>184</v>
      </c>
      <c r="B185" t="s">
        <v>165</v>
      </c>
      <c r="C185" t="s">
        <v>673</v>
      </c>
      <c r="D185" t="s">
        <v>370</v>
      </c>
    </row>
    <row r="186" spans="1:4" x14ac:dyDescent="0.25">
      <c r="A186">
        <v>185</v>
      </c>
      <c r="B186" t="s">
        <v>674</v>
      </c>
      <c r="C186" t="s">
        <v>675</v>
      </c>
      <c r="D186" t="s">
        <v>546</v>
      </c>
    </row>
    <row r="187" spans="1:4" x14ac:dyDescent="0.25">
      <c r="A187">
        <v>186</v>
      </c>
      <c r="B187" t="s">
        <v>676</v>
      </c>
      <c r="C187" t="s">
        <v>677</v>
      </c>
      <c r="D187" t="s">
        <v>546</v>
      </c>
    </row>
    <row r="188" spans="1:4" x14ac:dyDescent="0.25">
      <c r="A188">
        <v>187</v>
      </c>
      <c r="B188" t="s">
        <v>678</v>
      </c>
      <c r="C188" t="s">
        <v>679</v>
      </c>
      <c r="D188" t="s">
        <v>680</v>
      </c>
    </row>
    <row r="189" spans="1:4" x14ac:dyDescent="0.25">
      <c r="A189">
        <v>188</v>
      </c>
      <c r="B189" t="s">
        <v>681</v>
      </c>
      <c r="C189" t="s">
        <v>682</v>
      </c>
      <c r="D189" t="s">
        <v>546</v>
      </c>
    </row>
    <row r="190" spans="1:4" x14ac:dyDescent="0.25">
      <c r="A190">
        <v>189</v>
      </c>
      <c r="B190" t="s">
        <v>683</v>
      </c>
      <c r="C190" t="s">
        <v>684</v>
      </c>
      <c r="D190" t="s">
        <v>555</v>
      </c>
    </row>
    <row r="191" spans="1:4" x14ac:dyDescent="0.25">
      <c r="A191">
        <v>190</v>
      </c>
      <c r="B191" t="s">
        <v>685</v>
      </c>
      <c r="C191" t="s">
        <v>686</v>
      </c>
      <c r="D191" t="s">
        <v>546</v>
      </c>
    </row>
    <row r="192" spans="1:4" x14ac:dyDescent="0.25">
      <c r="A192">
        <v>191</v>
      </c>
      <c r="B192" t="s">
        <v>687</v>
      </c>
      <c r="C192" t="s">
        <v>688</v>
      </c>
      <c r="D192" t="s">
        <v>546</v>
      </c>
    </row>
    <row r="193" spans="1:4" x14ac:dyDescent="0.25">
      <c r="A193">
        <v>192</v>
      </c>
      <c r="B193" t="s">
        <v>609</v>
      </c>
      <c r="C193" t="s">
        <v>689</v>
      </c>
      <c r="D193" t="s">
        <v>514</v>
      </c>
    </row>
    <row r="194" spans="1:4" x14ac:dyDescent="0.25">
      <c r="A194">
        <v>193</v>
      </c>
      <c r="B194" t="s">
        <v>690</v>
      </c>
      <c r="C194" t="s">
        <v>691</v>
      </c>
      <c r="D194" t="s">
        <v>555</v>
      </c>
    </row>
    <row r="195" spans="1:4" x14ac:dyDescent="0.25">
      <c r="A195">
        <v>194</v>
      </c>
      <c r="B195" t="s">
        <v>692</v>
      </c>
      <c r="C195" t="s">
        <v>693</v>
      </c>
      <c r="D195" t="s">
        <v>376</v>
      </c>
    </row>
    <row r="196" spans="1:4" x14ac:dyDescent="0.25">
      <c r="A196">
        <v>195</v>
      </c>
      <c r="B196" t="s">
        <v>694</v>
      </c>
      <c r="C196" t="s">
        <v>695</v>
      </c>
      <c r="D196" t="s">
        <v>362</v>
      </c>
    </row>
    <row r="197" spans="1:4" x14ac:dyDescent="0.25">
      <c r="A197">
        <v>196</v>
      </c>
      <c r="B197" t="s">
        <v>696</v>
      </c>
      <c r="C197" t="s">
        <v>697</v>
      </c>
      <c r="D197" t="s">
        <v>362</v>
      </c>
    </row>
    <row r="198" spans="1:4" x14ac:dyDescent="0.25">
      <c r="A198">
        <v>197</v>
      </c>
      <c r="B198" t="s">
        <v>229</v>
      </c>
      <c r="C198" t="s">
        <v>698</v>
      </c>
      <c r="D198" t="s">
        <v>370</v>
      </c>
    </row>
    <row r="199" spans="1:4" x14ac:dyDescent="0.25">
      <c r="A199">
        <v>198</v>
      </c>
      <c r="B199" t="s">
        <v>699</v>
      </c>
      <c r="C199" t="s">
        <v>700</v>
      </c>
      <c r="D199" t="s">
        <v>701</v>
      </c>
    </row>
    <row r="200" spans="1:4" x14ac:dyDescent="0.25">
      <c r="A200">
        <v>199</v>
      </c>
      <c r="B200" t="s">
        <v>186</v>
      </c>
      <c r="C200" t="s">
        <v>702</v>
      </c>
      <c r="D200" t="s">
        <v>370</v>
      </c>
    </row>
    <row r="201" spans="1:4" x14ac:dyDescent="0.25">
      <c r="A201">
        <v>200</v>
      </c>
      <c r="B201" t="s">
        <v>249</v>
      </c>
      <c r="C201" t="s">
        <v>703</v>
      </c>
      <c r="D201" t="s">
        <v>370</v>
      </c>
    </row>
    <row r="202" spans="1:4" x14ac:dyDescent="0.25">
      <c r="A202">
        <v>201</v>
      </c>
      <c r="B202" t="s">
        <v>704</v>
      </c>
      <c r="C202" t="s">
        <v>705</v>
      </c>
      <c r="D202" t="s">
        <v>555</v>
      </c>
    </row>
    <row r="203" spans="1:4" x14ac:dyDescent="0.25">
      <c r="A203">
        <v>202</v>
      </c>
      <c r="B203" t="s">
        <v>706</v>
      </c>
      <c r="C203" t="s">
        <v>707</v>
      </c>
      <c r="D203" t="s">
        <v>538</v>
      </c>
    </row>
    <row r="204" spans="1:4" x14ac:dyDescent="0.25">
      <c r="A204">
        <v>203</v>
      </c>
      <c r="B204" t="s">
        <v>708</v>
      </c>
      <c r="C204" t="s">
        <v>709</v>
      </c>
      <c r="D204" t="s">
        <v>555</v>
      </c>
    </row>
    <row r="205" spans="1:4" x14ac:dyDescent="0.25">
      <c r="A205">
        <v>204</v>
      </c>
      <c r="B205" t="s">
        <v>710</v>
      </c>
      <c r="C205" t="s">
        <v>711</v>
      </c>
      <c r="D205" t="s">
        <v>362</v>
      </c>
    </row>
    <row r="206" spans="1:4" x14ac:dyDescent="0.25">
      <c r="A206">
        <v>205</v>
      </c>
      <c r="B206" t="s">
        <v>712</v>
      </c>
      <c r="C206" t="s">
        <v>713</v>
      </c>
      <c r="D206" t="s">
        <v>376</v>
      </c>
    </row>
    <row r="207" spans="1:4" x14ac:dyDescent="0.25">
      <c r="A207">
        <v>206</v>
      </c>
      <c r="B207" t="s">
        <v>714</v>
      </c>
      <c r="C207" t="s">
        <v>715</v>
      </c>
      <c r="D207" t="s">
        <v>579</v>
      </c>
    </row>
    <row r="208" spans="1:4" x14ac:dyDescent="0.25">
      <c r="A208">
        <v>207</v>
      </c>
      <c r="B208" t="s">
        <v>716</v>
      </c>
      <c r="C208" t="s">
        <v>717</v>
      </c>
      <c r="D208" t="s">
        <v>718</v>
      </c>
    </row>
    <row r="209" spans="1:4" x14ac:dyDescent="0.25">
      <c r="A209">
        <v>208</v>
      </c>
      <c r="B209" t="s">
        <v>719</v>
      </c>
      <c r="C209" t="s">
        <v>720</v>
      </c>
      <c r="D209" t="s">
        <v>721</v>
      </c>
    </row>
    <row r="210" spans="1:4" x14ac:dyDescent="0.25">
      <c r="A210">
        <v>209</v>
      </c>
      <c r="B210" t="s">
        <v>722</v>
      </c>
      <c r="C210" t="s">
        <v>723</v>
      </c>
      <c r="D210" t="s">
        <v>559</v>
      </c>
    </row>
    <row r="211" spans="1:4" x14ac:dyDescent="0.25">
      <c r="A211">
        <v>210</v>
      </c>
      <c r="B211" t="s">
        <v>724</v>
      </c>
      <c r="C211" t="s">
        <v>725</v>
      </c>
      <c r="D211" t="s">
        <v>546</v>
      </c>
    </row>
    <row r="212" spans="1:4" x14ac:dyDescent="0.25">
      <c r="A212">
        <v>211</v>
      </c>
      <c r="B212" t="s">
        <v>726</v>
      </c>
      <c r="C212" t="s">
        <v>727</v>
      </c>
      <c r="D212" t="s">
        <v>546</v>
      </c>
    </row>
    <row r="213" spans="1:4" x14ac:dyDescent="0.25">
      <c r="A213">
        <v>212</v>
      </c>
      <c r="B213" t="s">
        <v>728</v>
      </c>
      <c r="C213" t="s">
        <v>729</v>
      </c>
      <c r="D213" t="s">
        <v>546</v>
      </c>
    </row>
    <row r="214" spans="1:4" x14ac:dyDescent="0.25">
      <c r="A214">
        <v>213</v>
      </c>
      <c r="B214" t="s">
        <v>730</v>
      </c>
      <c r="C214" t="s">
        <v>731</v>
      </c>
      <c r="D214" t="s">
        <v>362</v>
      </c>
    </row>
    <row r="215" spans="1:4" x14ac:dyDescent="0.25">
      <c r="A215">
        <v>214</v>
      </c>
      <c r="B215" t="s">
        <v>262</v>
      </c>
      <c r="C215" t="s">
        <v>732</v>
      </c>
      <c r="D215" t="s">
        <v>370</v>
      </c>
    </row>
    <row r="216" spans="1:4" x14ac:dyDescent="0.25">
      <c r="A216">
        <v>215</v>
      </c>
      <c r="B216" t="s">
        <v>264</v>
      </c>
      <c r="C216" t="s">
        <v>733</v>
      </c>
      <c r="D216" t="s">
        <v>370</v>
      </c>
    </row>
    <row r="217" spans="1:4" x14ac:dyDescent="0.25">
      <c r="A217">
        <v>216</v>
      </c>
      <c r="B217" t="s">
        <v>22</v>
      </c>
      <c r="C217" t="s">
        <v>734</v>
      </c>
      <c r="D217" t="s">
        <v>370</v>
      </c>
    </row>
    <row r="218" spans="1:4" x14ac:dyDescent="0.25">
      <c r="A218">
        <v>217</v>
      </c>
      <c r="B218" t="s">
        <v>122</v>
      </c>
      <c r="C218" t="s">
        <v>735</v>
      </c>
      <c r="D218" t="s">
        <v>370</v>
      </c>
    </row>
    <row r="219" spans="1:4" x14ac:dyDescent="0.25">
      <c r="A219">
        <v>218</v>
      </c>
      <c r="B219" t="s">
        <v>150</v>
      </c>
      <c r="C219" t="s">
        <v>736</v>
      </c>
      <c r="D219" t="s">
        <v>370</v>
      </c>
    </row>
    <row r="220" spans="1:4" x14ac:dyDescent="0.25">
      <c r="A220">
        <v>219</v>
      </c>
      <c r="B220" t="s">
        <v>247</v>
      </c>
      <c r="C220" t="s">
        <v>737</v>
      </c>
      <c r="D220" t="s">
        <v>370</v>
      </c>
    </row>
    <row r="221" spans="1:4" x14ac:dyDescent="0.25">
      <c r="A221">
        <v>220</v>
      </c>
      <c r="B221" t="s">
        <v>258</v>
      </c>
      <c r="C221" t="s">
        <v>738</v>
      </c>
      <c r="D221" t="s">
        <v>370</v>
      </c>
    </row>
    <row r="222" spans="1:4" x14ac:dyDescent="0.25">
      <c r="A222">
        <v>221</v>
      </c>
      <c r="B222" t="s">
        <v>156</v>
      </c>
      <c r="C222" t="s">
        <v>739</v>
      </c>
      <c r="D222" t="s">
        <v>370</v>
      </c>
    </row>
    <row r="223" spans="1:4" x14ac:dyDescent="0.25">
      <c r="A223">
        <v>222</v>
      </c>
      <c r="B223" t="s">
        <v>67</v>
      </c>
      <c r="C223" t="s">
        <v>740</v>
      </c>
      <c r="D223" t="s">
        <v>370</v>
      </c>
    </row>
    <row r="224" spans="1:4" x14ac:dyDescent="0.25">
      <c r="A224">
        <v>223</v>
      </c>
      <c r="B224" t="s">
        <v>190</v>
      </c>
      <c r="C224" t="s">
        <v>741</v>
      </c>
      <c r="D224" t="s">
        <v>370</v>
      </c>
    </row>
    <row r="225" spans="1:4" x14ac:dyDescent="0.25">
      <c r="A225">
        <v>224</v>
      </c>
      <c r="B225" t="s">
        <v>38</v>
      </c>
      <c r="C225" t="s">
        <v>742</v>
      </c>
      <c r="D225" t="s">
        <v>370</v>
      </c>
    </row>
    <row r="226" spans="1:4" x14ac:dyDescent="0.25">
      <c r="A226">
        <v>225</v>
      </c>
      <c r="B226" t="s">
        <v>743</v>
      </c>
      <c r="C226" t="s">
        <v>744</v>
      </c>
      <c r="D226" t="s">
        <v>376</v>
      </c>
    </row>
    <row r="227" spans="1:4" x14ac:dyDescent="0.25">
      <c r="A227">
        <v>226</v>
      </c>
      <c r="B227" t="s">
        <v>745</v>
      </c>
      <c r="C227" t="s">
        <v>746</v>
      </c>
      <c r="D227" t="s">
        <v>376</v>
      </c>
    </row>
    <row r="228" spans="1:4" x14ac:dyDescent="0.25">
      <c r="A228">
        <v>227</v>
      </c>
      <c r="B228" t="s">
        <v>747</v>
      </c>
      <c r="C228" t="s">
        <v>748</v>
      </c>
      <c r="D228" t="s">
        <v>362</v>
      </c>
    </row>
    <row r="229" spans="1:4" x14ac:dyDescent="0.25">
      <c r="A229">
        <v>228</v>
      </c>
      <c r="B229" t="s">
        <v>266</v>
      </c>
      <c r="C229" t="s">
        <v>749</v>
      </c>
      <c r="D229" t="s">
        <v>370</v>
      </c>
    </row>
    <row r="230" spans="1:4" x14ac:dyDescent="0.25">
      <c r="A230">
        <v>229</v>
      </c>
      <c r="B230" t="s">
        <v>69</v>
      </c>
      <c r="C230" t="s">
        <v>750</v>
      </c>
      <c r="D230" t="s">
        <v>370</v>
      </c>
    </row>
    <row r="231" spans="1:4" x14ac:dyDescent="0.25">
      <c r="A231">
        <v>230</v>
      </c>
      <c r="B231" t="s">
        <v>751</v>
      </c>
      <c r="C231" t="s">
        <v>752</v>
      </c>
      <c r="D231" t="s">
        <v>753</v>
      </c>
    </row>
    <row r="232" spans="1:4" x14ac:dyDescent="0.25">
      <c r="A232">
        <v>231</v>
      </c>
      <c r="B232" t="s">
        <v>49</v>
      </c>
      <c r="C232" t="s">
        <v>754</v>
      </c>
      <c r="D232" t="s">
        <v>370</v>
      </c>
    </row>
    <row r="233" spans="1:4" x14ac:dyDescent="0.25">
      <c r="A233">
        <v>232</v>
      </c>
      <c r="B233" t="s">
        <v>144</v>
      </c>
      <c r="C233" t="s">
        <v>755</v>
      </c>
      <c r="D233" t="s">
        <v>370</v>
      </c>
    </row>
    <row r="234" spans="1:4" x14ac:dyDescent="0.25">
      <c r="A234">
        <v>233</v>
      </c>
      <c r="B234" t="s">
        <v>53</v>
      </c>
      <c r="C234" t="s">
        <v>756</v>
      </c>
      <c r="D234" t="s">
        <v>370</v>
      </c>
    </row>
    <row r="235" spans="1:4" x14ac:dyDescent="0.25">
      <c r="A235">
        <v>234</v>
      </c>
      <c r="B235" t="s">
        <v>231</v>
      </c>
      <c r="C235" t="s">
        <v>757</v>
      </c>
      <c r="D235" t="s">
        <v>370</v>
      </c>
    </row>
    <row r="236" spans="1:4" x14ac:dyDescent="0.25">
      <c r="A236">
        <v>235</v>
      </c>
      <c r="B236" t="s">
        <v>136</v>
      </c>
      <c r="C236" t="s">
        <v>758</v>
      </c>
      <c r="D236" t="s">
        <v>370</v>
      </c>
    </row>
    <row r="237" spans="1:4" x14ac:dyDescent="0.25">
      <c r="A237">
        <v>236</v>
      </c>
      <c r="B237" t="s">
        <v>210</v>
      </c>
      <c r="C237" t="s">
        <v>759</v>
      </c>
      <c r="D237" t="s">
        <v>370</v>
      </c>
    </row>
    <row r="238" spans="1:4" x14ac:dyDescent="0.25">
      <c r="A238">
        <v>237</v>
      </c>
      <c r="B238" t="s">
        <v>97</v>
      </c>
      <c r="C238" t="s">
        <v>760</v>
      </c>
      <c r="D238" t="s">
        <v>370</v>
      </c>
    </row>
    <row r="239" spans="1:4" x14ac:dyDescent="0.25">
      <c r="A239">
        <v>238</v>
      </c>
      <c r="B239" t="s">
        <v>46</v>
      </c>
      <c r="C239" t="s">
        <v>761</v>
      </c>
      <c r="D239" t="s">
        <v>370</v>
      </c>
    </row>
    <row r="240" spans="1:4" x14ac:dyDescent="0.25">
      <c r="A240">
        <v>239</v>
      </c>
      <c r="B240" t="s">
        <v>270</v>
      </c>
      <c r="C240" t="s">
        <v>762</v>
      </c>
      <c r="D240" t="s">
        <v>370</v>
      </c>
    </row>
    <row r="241" spans="1:4" x14ac:dyDescent="0.25">
      <c r="A241">
        <v>240</v>
      </c>
      <c r="B241" t="s">
        <v>32</v>
      </c>
      <c r="C241" t="s">
        <v>763</v>
      </c>
      <c r="D241" t="s">
        <v>370</v>
      </c>
    </row>
    <row r="242" spans="1:4" x14ac:dyDescent="0.25">
      <c r="A242">
        <v>241</v>
      </c>
      <c r="B242" t="s">
        <v>174</v>
      </c>
      <c r="C242" t="s">
        <v>764</v>
      </c>
      <c r="D242" t="s">
        <v>370</v>
      </c>
    </row>
    <row r="243" spans="1:4" x14ac:dyDescent="0.25">
      <c r="A243">
        <v>242</v>
      </c>
      <c r="B243" t="s">
        <v>158</v>
      </c>
      <c r="C243" t="s">
        <v>765</v>
      </c>
      <c r="D243" t="s">
        <v>370</v>
      </c>
    </row>
    <row r="244" spans="1:4" x14ac:dyDescent="0.25">
      <c r="A244">
        <v>243</v>
      </c>
      <c r="B244" t="s">
        <v>183</v>
      </c>
      <c r="C244" t="s">
        <v>766</v>
      </c>
      <c r="D244" t="s">
        <v>370</v>
      </c>
    </row>
    <row r="245" spans="1:4" x14ac:dyDescent="0.25">
      <c r="A245">
        <v>244</v>
      </c>
      <c r="B245" t="s">
        <v>767</v>
      </c>
      <c r="C245" t="s">
        <v>768</v>
      </c>
      <c r="D245" t="s">
        <v>769</v>
      </c>
    </row>
    <row r="246" spans="1:4" x14ac:dyDescent="0.25">
      <c r="A246">
        <v>245</v>
      </c>
      <c r="B246" t="s">
        <v>770</v>
      </c>
      <c r="C246" t="s">
        <v>771</v>
      </c>
      <c r="D246" t="s">
        <v>769</v>
      </c>
    </row>
    <row r="247" spans="1:4" x14ac:dyDescent="0.25">
      <c r="A247">
        <v>246</v>
      </c>
      <c r="B247" t="s">
        <v>772</v>
      </c>
      <c r="C247" t="s">
        <v>773</v>
      </c>
      <c r="D247" t="s">
        <v>774</v>
      </c>
    </row>
    <row r="248" spans="1:4" x14ac:dyDescent="0.25">
      <c r="A248">
        <v>247</v>
      </c>
      <c r="B248" t="s">
        <v>775</v>
      </c>
      <c r="C248" t="s">
        <v>776</v>
      </c>
      <c r="D248" t="s">
        <v>774</v>
      </c>
    </row>
    <row r="249" spans="1:4" x14ac:dyDescent="0.25">
      <c r="A249">
        <v>248</v>
      </c>
      <c r="B249" t="s">
        <v>777</v>
      </c>
      <c r="C249" t="s">
        <v>778</v>
      </c>
      <c r="D249" t="s">
        <v>774</v>
      </c>
    </row>
    <row r="250" spans="1:4" x14ac:dyDescent="0.25">
      <c r="A250">
        <v>249</v>
      </c>
      <c r="B250" t="s">
        <v>779</v>
      </c>
      <c r="C250" t="s">
        <v>780</v>
      </c>
      <c r="D250" t="s">
        <v>774</v>
      </c>
    </row>
    <row r="251" spans="1:4" x14ac:dyDescent="0.25">
      <c r="A251">
        <v>250</v>
      </c>
      <c r="B251" t="s">
        <v>142</v>
      </c>
      <c r="C251" t="s">
        <v>781</v>
      </c>
      <c r="D251" t="s">
        <v>370</v>
      </c>
    </row>
    <row r="252" spans="1:4" x14ac:dyDescent="0.25">
      <c r="A252">
        <v>251</v>
      </c>
      <c r="B252" t="s">
        <v>782</v>
      </c>
      <c r="C252" t="s">
        <v>783</v>
      </c>
      <c r="D252" t="s">
        <v>555</v>
      </c>
    </row>
    <row r="253" spans="1:4" x14ac:dyDescent="0.25">
      <c r="A253">
        <v>252</v>
      </c>
      <c r="B253" t="s">
        <v>784</v>
      </c>
      <c r="C253" t="s">
        <v>785</v>
      </c>
      <c r="D253" t="s">
        <v>555</v>
      </c>
    </row>
    <row r="254" spans="1:4" x14ac:dyDescent="0.25">
      <c r="A254">
        <v>253</v>
      </c>
      <c r="B254" t="s">
        <v>786</v>
      </c>
      <c r="C254" t="s">
        <v>787</v>
      </c>
      <c r="D254" t="s">
        <v>559</v>
      </c>
    </row>
    <row r="255" spans="1:4" x14ac:dyDescent="0.25">
      <c r="A255">
        <v>254</v>
      </c>
      <c r="B255" t="s">
        <v>788</v>
      </c>
      <c r="C255" t="s">
        <v>789</v>
      </c>
      <c r="D255" t="s">
        <v>559</v>
      </c>
    </row>
    <row r="256" spans="1:4" x14ac:dyDescent="0.25">
      <c r="A256">
        <v>255</v>
      </c>
      <c r="B256" t="s">
        <v>790</v>
      </c>
      <c r="C256" t="s">
        <v>791</v>
      </c>
      <c r="D256" t="s">
        <v>589</v>
      </c>
    </row>
    <row r="257" spans="1:4" x14ac:dyDescent="0.25">
      <c r="A257">
        <v>256</v>
      </c>
      <c r="B257" t="s">
        <v>792</v>
      </c>
      <c r="C257" t="s">
        <v>793</v>
      </c>
      <c r="D257" t="s">
        <v>559</v>
      </c>
    </row>
    <row r="258" spans="1:4" x14ac:dyDescent="0.25">
      <c r="A258">
        <v>257</v>
      </c>
      <c r="B258" t="s">
        <v>794</v>
      </c>
      <c r="C258" t="s">
        <v>795</v>
      </c>
      <c r="D258" t="s">
        <v>796</v>
      </c>
    </row>
    <row r="259" spans="1:4" x14ac:dyDescent="0.25">
      <c r="A259">
        <v>258</v>
      </c>
      <c r="B259" t="s">
        <v>797</v>
      </c>
      <c r="C259" t="s">
        <v>798</v>
      </c>
      <c r="D259" t="s">
        <v>799</v>
      </c>
    </row>
    <row r="260" spans="1:4" x14ac:dyDescent="0.25">
      <c r="A260">
        <v>259</v>
      </c>
      <c r="B260" t="s">
        <v>800</v>
      </c>
      <c r="C260" t="s">
        <v>801</v>
      </c>
      <c r="D260" t="s">
        <v>799</v>
      </c>
    </row>
    <row r="261" spans="1:4" x14ac:dyDescent="0.25">
      <c r="A261">
        <v>260</v>
      </c>
      <c r="B261" t="s">
        <v>802</v>
      </c>
      <c r="C261" t="s">
        <v>803</v>
      </c>
      <c r="D261" t="s">
        <v>555</v>
      </c>
    </row>
    <row r="262" spans="1:4" x14ac:dyDescent="0.25">
      <c r="A262">
        <v>261</v>
      </c>
      <c r="B262" t="s">
        <v>20</v>
      </c>
      <c r="C262" t="s">
        <v>804</v>
      </c>
      <c r="D262" t="s">
        <v>370</v>
      </c>
    </row>
    <row r="263" spans="1:4" x14ac:dyDescent="0.25">
      <c r="A263">
        <v>262</v>
      </c>
      <c r="B263" t="s">
        <v>95</v>
      </c>
      <c r="C263" t="s">
        <v>805</v>
      </c>
      <c r="D263" t="s">
        <v>370</v>
      </c>
    </row>
    <row r="264" spans="1:4" x14ac:dyDescent="0.25">
      <c r="A264">
        <v>263</v>
      </c>
      <c r="B264" t="s">
        <v>223</v>
      </c>
      <c r="C264" t="s">
        <v>806</v>
      </c>
      <c r="D264" t="s">
        <v>370</v>
      </c>
    </row>
    <row r="265" spans="1:4" x14ac:dyDescent="0.25">
      <c r="A265">
        <v>264</v>
      </c>
      <c r="B265" t="s">
        <v>225</v>
      </c>
      <c r="C265" t="s">
        <v>807</v>
      </c>
      <c r="D265" t="s">
        <v>370</v>
      </c>
    </row>
    <row r="266" spans="1:4" x14ac:dyDescent="0.25">
      <c r="A266">
        <v>265</v>
      </c>
      <c r="B266" t="s">
        <v>808</v>
      </c>
      <c r="C266" t="s">
        <v>809</v>
      </c>
      <c r="D266" t="s">
        <v>810</v>
      </c>
    </row>
    <row r="267" spans="1:4" x14ac:dyDescent="0.25">
      <c r="A267">
        <v>266</v>
      </c>
      <c r="B267" t="s">
        <v>245</v>
      </c>
      <c r="C267" t="s">
        <v>811</v>
      </c>
      <c r="D267" t="s">
        <v>370</v>
      </c>
    </row>
    <row r="268" spans="1:4" x14ac:dyDescent="0.25">
      <c r="A268">
        <v>267</v>
      </c>
      <c r="B268" t="s">
        <v>812</v>
      </c>
      <c r="C268" t="s">
        <v>813</v>
      </c>
      <c r="D268" t="s">
        <v>376</v>
      </c>
    </row>
    <row r="269" spans="1:4" x14ac:dyDescent="0.25">
      <c r="A269">
        <v>268</v>
      </c>
      <c r="B269" t="s">
        <v>204</v>
      </c>
      <c r="C269" t="s">
        <v>814</v>
      </c>
      <c r="D269" t="s">
        <v>370</v>
      </c>
    </row>
    <row r="270" spans="1:4" x14ac:dyDescent="0.25">
      <c r="A270">
        <v>269</v>
      </c>
      <c r="B270" t="s">
        <v>240</v>
      </c>
      <c r="C270" t="s">
        <v>815</v>
      </c>
      <c r="D270" t="s">
        <v>370</v>
      </c>
    </row>
    <row r="271" spans="1:4" x14ac:dyDescent="0.25">
      <c r="A271">
        <v>270</v>
      </c>
      <c r="B271" t="s">
        <v>816</v>
      </c>
      <c r="C271" t="s">
        <v>817</v>
      </c>
      <c r="D271" t="s">
        <v>376</v>
      </c>
    </row>
    <row r="272" spans="1:4" x14ac:dyDescent="0.25">
      <c r="A272">
        <v>271</v>
      </c>
      <c r="B272" t="s">
        <v>818</v>
      </c>
      <c r="C272" t="s">
        <v>819</v>
      </c>
      <c r="D272" t="s">
        <v>546</v>
      </c>
    </row>
    <row r="273" spans="1:4" x14ac:dyDescent="0.25">
      <c r="A273">
        <v>272</v>
      </c>
      <c r="B273" t="s">
        <v>820</v>
      </c>
      <c r="C273" t="s">
        <v>821</v>
      </c>
      <c r="D273" t="s">
        <v>546</v>
      </c>
    </row>
    <row r="274" spans="1:4" x14ac:dyDescent="0.25">
      <c r="A274">
        <v>273</v>
      </c>
      <c r="B274" t="s">
        <v>822</v>
      </c>
      <c r="C274" t="s">
        <v>823</v>
      </c>
      <c r="D274" t="s">
        <v>546</v>
      </c>
    </row>
    <row r="275" spans="1:4" x14ac:dyDescent="0.25">
      <c r="A275">
        <v>274</v>
      </c>
      <c r="B275" t="s">
        <v>824</v>
      </c>
      <c r="C275" t="s">
        <v>825</v>
      </c>
      <c r="D275" t="s">
        <v>376</v>
      </c>
    </row>
    <row r="276" spans="1:4" x14ac:dyDescent="0.25">
      <c r="A276">
        <v>275</v>
      </c>
      <c r="B276" t="s">
        <v>826</v>
      </c>
      <c r="C276" t="s">
        <v>827</v>
      </c>
      <c r="D276" t="s">
        <v>546</v>
      </c>
    </row>
    <row r="277" spans="1:4" x14ac:dyDescent="0.25">
      <c r="A277">
        <v>276</v>
      </c>
      <c r="B277" t="s">
        <v>828</v>
      </c>
      <c r="C277" t="s">
        <v>829</v>
      </c>
      <c r="D277" t="s">
        <v>546</v>
      </c>
    </row>
    <row r="278" spans="1:4" x14ac:dyDescent="0.25">
      <c r="A278">
        <v>277</v>
      </c>
      <c r="B278" t="s">
        <v>830</v>
      </c>
      <c r="C278" t="s">
        <v>831</v>
      </c>
      <c r="D278" t="s">
        <v>362</v>
      </c>
    </row>
    <row r="279" spans="1:4" x14ac:dyDescent="0.25">
      <c r="A279">
        <v>278</v>
      </c>
      <c r="B279" t="s">
        <v>832</v>
      </c>
      <c r="C279" t="s">
        <v>833</v>
      </c>
      <c r="D279" t="s">
        <v>546</v>
      </c>
    </row>
    <row r="280" spans="1:4" x14ac:dyDescent="0.25">
      <c r="A280">
        <v>279</v>
      </c>
      <c r="B280" t="s">
        <v>834</v>
      </c>
      <c r="C280" t="s">
        <v>835</v>
      </c>
      <c r="D280" t="s">
        <v>546</v>
      </c>
    </row>
    <row r="281" spans="1:4" x14ac:dyDescent="0.25">
      <c r="A281">
        <v>280</v>
      </c>
      <c r="B281" t="s">
        <v>836</v>
      </c>
      <c r="C281" t="s">
        <v>837</v>
      </c>
      <c r="D281" t="s">
        <v>546</v>
      </c>
    </row>
    <row r="282" spans="1:4" x14ac:dyDescent="0.25">
      <c r="A282">
        <v>281</v>
      </c>
      <c r="B282" t="s">
        <v>838</v>
      </c>
      <c r="C282" t="s">
        <v>839</v>
      </c>
      <c r="D282" t="s">
        <v>840</v>
      </c>
    </row>
    <row r="283" spans="1:4" x14ac:dyDescent="0.25">
      <c r="A283">
        <v>282</v>
      </c>
      <c r="B283" t="s">
        <v>841</v>
      </c>
      <c r="C283" t="s">
        <v>842</v>
      </c>
      <c r="D283" t="s">
        <v>843</v>
      </c>
    </row>
    <row r="284" spans="1:4" x14ac:dyDescent="0.25">
      <c r="A284">
        <v>283</v>
      </c>
      <c r="B284" t="s">
        <v>844</v>
      </c>
      <c r="C284" t="s">
        <v>845</v>
      </c>
      <c r="D284" t="s">
        <v>546</v>
      </c>
    </row>
    <row r="285" spans="1:4" x14ac:dyDescent="0.25">
      <c r="A285">
        <v>284</v>
      </c>
      <c r="B285" t="s">
        <v>846</v>
      </c>
      <c r="C285" t="s">
        <v>847</v>
      </c>
      <c r="D285" t="s">
        <v>843</v>
      </c>
    </row>
    <row r="286" spans="1:4" x14ac:dyDescent="0.25">
      <c r="A286">
        <v>285</v>
      </c>
      <c r="B286" t="s">
        <v>848</v>
      </c>
      <c r="C286" t="s">
        <v>849</v>
      </c>
      <c r="D286" t="s">
        <v>546</v>
      </c>
    </row>
    <row r="287" spans="1:4" x14ac:dyDescent="0.25">
      <c r="A287">
        <v>286</v>
      </c>
      <c r="B287" t="s">
        <v>850</v>
      </c>
      <c r="C287" t="s">
        <v>851</v>
      </c>
      <c r="D287" t="s">
        <v>546</v>
      </c>
    </row>
    <row r="288" spans="1:4" x14ac:dyDescent="0.25">
      <c r="A288">
        <v>287</v>
      </c>
      <c r="B288" t="s">
        <v>852</v>
      </c>
      <c r="C288" t="s">
        <v>853</v>
      </c>
      <c r="D288" t="s">
        <v>546</v>
      </c>
    </row>
    <row r="289" spans="1:4" x14ac:dyDescent="0.25">
      <c r="A289">
        <v>288</v>
      </c>
      <c r="B289" t="s">
        <v>854</v>
      </c>
      <c r="C289" t="s">
        <v>855</v>
      </c>
      <c r="D289" t="s">
        <v>546</v>
      </c>
    </row>
    <row r="290" spans="1:4" x14ac:dyDescent="0.25">
      <c r="A290">
        <v>289</v>
      </c>
      <c r="B290" t="s">
        <v>856</v>
      </c>
      <c r="C290" t="s">
        <v>857</v>
      </c>
      <c r="D290" t="s">
        <v>362</v>
      </c>
    </row>
    <row r="291" spans="1:4" x14ac:dyDescent="0.25">
      <c r="A291">
        <v>290</v>
      </c>
      <c r="B291" t="s">
        <v>100</v>
      </c>
      <c r="C291" t="s">
        <v>858</v>
      </c>
      <c r="D291" t="s">
        <v>370</v>
      </c>
    </row>
    <row r="292" spans="1:4" x14ac:dyDescent="0.25">
      <c r="A292">
        <v>291</v>
      </c>
      <c r="B292" t="s">
        <v>16</v>
      </c>
      <c r="C292" t="s">
        <v>859</v>
      </c>
      <c r="D292" t="s">
        <v>370</v>
      </c>
    </row>
    <row r="293" spans="1:4" x14ac:dyDescent="0.25">
      <c r="A293">
        <v>292</v>
      </c>
      <c r="B293" t="s">
        <v>111</v>
      </c>
      <c r="C293" t="s">
        <v>860</v>
      </c>
      <c r="D293" t="s">
        <v>370</v>
      </c>
    </row>
    <row r="294" spans="1:4" x14ac:dyDescent="0.25">
      <c r="A294">
        <v>293</v>
      </c>
      <c r="B294" t="s">
        <v>81</v>
      </c>
      <c r="C294" t="s">
        <v>861</v>
      </c>
      <c r="D294" t="s">
        <v>370</v>
      </c>
    </row>
    <row r="295" spans="1:4" x14ac:dyDescent="0.25">
      <c r="A295">
        <v>294</v>
      </c>
      <c r="B295" t="s">
        <v>272</v>
      </c>
      <c r="C295" t="s">
        <v>862</v>
      </c>
      <c r="D295" t="s">
        <v>370</v>
      </c>
    </row>
    <row r="296" spans="1:4" x14ac:dyDescent="0.25">
      <c r="A296">
        <v>295</v>
      </c>
      <c r="B296" t="s">
        <v>188</v>
      </c>
      <c r="C296" t="s">
        <v>863</v>
      </c>
      <c r="D296" t="s">
        <v>370</v>
      </c>
    </row>
    <row r="297" spans="1:4" x14ac:dyDescent="0.25">
      <c r="A297">
        <v>296</v>
      </c>
      <c r="B297" t="s">
        <v>105</v>
      </c>
      <c r="C297" t="s">
        <v>864</v>
      </c>
      <c r="D297" t="s">
        <v>370</v>
      </c>
    </row>
    <row r="298" spans="1:4" x14ac:dyDescent="0.25">
      <c r="A298">
        <v>297</v>
      </c>
      <c r="B298" t="s">
        <v>221</v>
      </c>
      <c r="C298" t="s">
        <v>865</v>
      </c>
      <c r="D298" t="s">
        <v>370</v>
      </c>
    </row>
    <row r="299" spans="1:4" x14ac:dyDescent="0.25">
      <c r="A299">
        <v>298</v>
      </c>
      <c r="B299" t="s">
        <v>140</v>
      </c>
      <c r="C299" t="s">
        <v>866</v>
      </c>
      <c r="D299" t="s">
        <v>370</v>
      </c>
    </row>
    <row r="300" spans="1:4" x14ac:dyDescent="0.25">
      <c r="A300">
        <v>299</v>
      </c>
      <c r="B300" t="s">
        <v>867</v>
      </c>
      <c r="C300" t="s">
        <v>868</v>
      </c>
      <c r="D300" t="s">
        <v>376</v>
      </c>
    </row>
    <row r="301" spans="1:4" x14ac:dyDescent="0.25">
      <c r="A301">
        <v>300</v>
      </c>
      <c r="B301" t="s">
        <v>127</v>
      </c>
      <c r="C301" t="s">
        <v>869</v>
      </c>
      <c r="D301" t="s">
        <v>370</v>
      </c>
    </row>
    <row r="302" spans="1:4" x14ac:dyDescent="0.25">
      <c r="A302">
        <v>301</v>
      </c>
      <c r="B302" t="s">
        <v>59</v>
      </c>
      <c r="C302" t="s">
        <v>870</v>
      </c>
      <c r="D302" t="s">
        <v>370</v>
      </c>
    </row>
    <row r="303" spans="1:4" x14ac:dyDescent="0.25">
      <c r="A303">
        <v>302</v>
      </c>
      <c r="B303" t="s">
        <v>871</v>
      </c>
      <c r="C303" t="s">
        <v>872</v>
      </c>
      <c r="D303" t="s">
        <v>873</v>
      </c>
    </row>
    <row r="304" spans="1:4" x14ac:dyDescent="0.25">
      <c r="A304">
        <v>303</v>
      </c>
      <c r="B304" t="s">
        <v>874</v>
      </c>
      <c r="C304" t="s">
        <v>875</v>
      </c>
      <c r="D304" t="s">
        <v>376</v>
      </c>
    </row>
    <row r="305" spans="1:4" x14ac:dyDescent="0.25">
      <c r="A305">
        <v>304</v>
      </c>
      <c r="B305" t="s">
        <v>168</v>
      </c>
      <c r="C305" t="s">
        <v>876</v>
      </c>
      <c r="D305" t="s">
        <v>370</v>
      </c>
    </row>
    <row r="306" spans="1:4" x14ac:dyDescent="0.25">
      <c r="A306">
        <v>305</v>
      </c>
      <c r="B306" t="s">
        <v>194</v>
      </c>
      <c r="C306" t="s">
        <v>877</v>
      </c>
      <c r="D306" t="s">
        <v>370</v>
      </c>
    </row>
    <row r="307" spans="1:4" x14ac:dyDescent="0.25">
      <c r="A307">
        <v>306</v>
      </c>
      <c r="B307" t="s">
        <v>132</v>
      </c>
      <c r="C307" t="s">
        <v>878</v>
      </c>
      <c r="D307" t="s">
        <v>370</v>
      </c>
    </row>
    <row r="308" spans="1:4" x14ac:dyDescent="0.25">
      <c r="A308">
        <v>307</v>
      </c>
      <c r="B308" t="s">
        <v>77</v>
      </c>
      <c r="C308" t="s">
        <v>879</v>
      </c>
      <c r="D308" t="s">
        <v>370</v>
      </c>
    </row>
    <row r="309" spans="1:4" x14ac:dyDescent="0.25">
      <c r="A309">
        <v>308</v>
      </c>
      <c r="B309" t="s">
        <v>107</v>
      </c>
      <c r="C309" t="s">
        <v>880</v>
      </c>
      <c r="D309" t="s">
        <v>370</v>
      </c>
    </row>
    <row r="310" spans="1:4" x14ac:dyDescent="0.25">
      <c r="A310">
        <v>309</v>
      </c>
      <c r="B310" t="s">
        <v>18</v>
      </c>
      <c r="C310" t="s">
        <v>881</v>
      </c>
      <c r="D310" t="s">
        <v>370</v>
      </c>
    </row>
    <row r="311" spans="1:4" x14ac:dyDescent="0.25">
      <c r="A311">
        <v>310</v>
      </c>
      <c r="B311" t="s">
        <v>5</v>
      </c>
      <c r="C311" t="s">
        <v>882</v>
      </c>
      <c r="D311" t="s">
        <v>370</v>
      </c>
    </row>
    <row r="312" spans="1:4" x14ac:dyDescent="0.25">
      <c r="A312">
        <v>311</v>
      </c>
      <c r="B312" t="s">
        <v>202</v>
      </c>
      <c r="C312" t="s">
        <v>883</v>
      </c>
      <c r="D312" t="s">
        <v>370</v>
      </c>
    </row>
    <row r="313" spans="1:4" x14ac:dyDescent="0.25">
      <c r="A313">
        <v>312</v>
      </c>
      <c r="B313" t="s">
        <v>215</v>
      </c>
      <c r="C313" t="s">
        <v>884</v>
      </c>
      <c r="D313" t="s">
        <v>370</v>
      </c>
    </row>
    <row r="314" spans="1:4" x14ac:dyDescent="0.25">
      <c r="A314">
        <v>313</v>
      </c>
      <c r="B314" t="s">
        <v>253</v>
      </c>
      <c r="C314" t="s">
        <v>885</v>
      </c>
      <c r="D314" t="s">
        <v>370</v>
      </c>
    </row>
    <row r="315" spans="1:4" x14ac:dyDescent="0.25">
      <c r="A315">
        <v>314</v>
      </c>
      <c r="B315" t="s">
        <v>163</v>
      </c>
      <c r="C315" t="s">
        <v>886</v>
      </c>
      <c r="D315" t="s">
        <v>370</v>
      </c>
    </row>
    <row r="316" spans="1:4" x14ac:dyDescent="0.25">
      <c r="A316">
        <v>315</v>
      </c>
      <c r="B316" t="s">
        <v>268</v>
      </c>
      <c r="C316" t="s">
        <v>887</v>
      </c>
      <c r="D316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working-premium</vt:lpstr>
      <vt:lpstr>working-SC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User10</dc:creator>
  <cp:lastModifiedBy>IT User Software</cp:lastModifiedBy>
  <dcterms:created xsi:type="dcterms:W3CDTF">2024-12-07T11:19:36Z</dcterms:created>
  <dcterms:modified xsi:type="dcterms:W3CDTF">2024-12-12T06:26:50Z</dcterms:modified>
</cp:coreProperties>
</file>