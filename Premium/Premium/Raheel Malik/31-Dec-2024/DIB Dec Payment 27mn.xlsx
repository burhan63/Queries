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mium\Premium\Saqib Saleem\31-Dec-2024\"/>
    </mc:Choice>
  </mc:AlternateContent>
  <xr:revisionPtr revIDLastSave="0" documentId="13_ncr:1_{3D74363C-2D1A-46E2-B9A6-E31F68623057}" xr6:coauthVersionLast="47" xr6:coauthVersionMax="47" xr10:uidLastSave="{00000000-0000-0000-0000-000000000000}"/>
  <bookViews>
    <workbookView xWindow="-120" yWindow="-120" windowWidth="20730" windowHeight="11040" tabRatio="805" activeTab="6" xr2:uid="{00000000-000D-0000-FFFF-FFFF00000000}"/>
  </bookViews>
  <sheets>
    <sheet name="T-PAK" sheetId="1" r:id="rId1"/>
    <sheet name="Active cases" sheetId="2" r:id="rId2"/>
    <sheet name="working" sheetId="4" r:id="rId3"/>
    <sheet name="Sheet2" sheetId="5" r:id="rId4"/>
    <sheet name="policy" sheetId="6" r:id="rId5"/>
    <sheet name="Hold cases" sheetId="3" r:id="rId6"/>
    <sheet name="working1" sheetId="7" r:id="rId7"/>
    <sheet name="Sheet5" sheetId="8" r:id="rId8"/>
    <sheet name="policy1" sheetId="9" r:id="rId9"/>
  </sheets>
  <externalReferences>
    <externalReference r:id="rId10"/>
  </externalReferences>
  <definedNames>
    <definedName name="_xlnm._FilterDatabase" localSheetId="1" hidden="1">'Active cases'!$A$1:$AN$624</definedName>
    <definedName name="_xlnm._FilterDatabase" localSheetId="5" hidden="1">'Hold cases'!$A$1:$AN$215</definedName>
    <definedName name="_xlnm._FilterDatabase" localSheetId="3" hidden="1">Sheet2!$H$1:$H$624</definedName>
    <definedName name="_xlnm._FilterDatabase" localSheetId="7" hidden="1">Sheet5!$H$1:$H$215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D216" i="7"/>
  <c r="C216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" i="7"/>
  <c r="F2" i="7"/>
  <c r="D2" i="7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" i="8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D625" i="4"/>
  <c r="C625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2" i="4"/>
  <c r="F2" i="4"/>
  <c r="D2" i="4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4" i="5"/>
  <c r="J425" i="5"/>
  <c r="J426" i="5"/>
  <c r="J427" i="5"/>
  <c r="J428" i="5"/>
  <c r="J429" i="5"/>
  <c r="J430" i="5"/>
  <c r="J431" i="5"/>
  <c r="J432" i="5"/>
  <c r="J433" i="5"/>
  <c r="J434" i="5"/>
  <c r="J435" i="5"/>
  <c r="J436" i="5"/>
  <c r="J437" i="5"/>
  <c r="J438" i="5"/>
  <c r="J439" i="5"/>
  <c r="J440" i="5"/>
  <c r="J441" i="5"/>
  <c r="J442" i="5"/>
  <c r="J443" i="5"/>
  <c r="J444" i="5"/>
  <c r="J445" i="5"/>
  <c r="J446" i="5"/>
  <c r="J447" i="5"/>
  <c r="J448" i="5"/>
  <c r="J449" i="5"/>
  <c r="J450" i="5"/>
  <c r="J451" i="5"/>
  <c r="J452" i="5"/>
  <c r="J453" i="5"/>
  <c r="J454" i="5"/>
  <c r="J455" i="5"/>
  <c r="J456" i="5"/>
  <c r="J457" i="5"/>
  <c r="J458" i="5"/>
  <c r="J459" i="5"/>
  <c r="J460" i="5"/>
  <c r="J461" i="5"/>
  <c r="J462" i="5"/>
  <c r="J463" i="5"/>
  <c r="J464" i="5"/>
  <c r="J465" i="5"/>
  <c r="J466" i="5"/>
  <c r="J467" i="5"/>
  <c r="J468" i="5"/>
  <c r="J469" i="5"/>
  <c r="J470" i="5"/>
  <c r="J471" i="5"/>
  <c r="J472" i="5"/>
  <c r="J473" i="5"/>
  <c r="J474" i="5"/>
  <c r="J475" i="5"/>
  <c r="J476" i="5"/>
  <c r="J477" i="5"/>
  <c r="J478" i="5"/>
  <c r="J479" i="5"/>
  <c r="J480" i="5"/>
  <c r="J481" i="5"/>
  <c r="J482" i="5"/>
  <c r="J483" i="5"/>
  <c r="J484" i="5"/>
  <c r="J485" i="5"/>
  <c r="J486" i="5"/>
  <c r="J487" i="5"/>
  <c r="J488" i="5"/>
  <c r="J489" i="5"/>
  <c r="J490" i="5"/>
  <c r="J491" i="5"/>
  <c r="J492" i="5"/>
  <c r="J493" i="5"/>
  <c r="J494" i="5"/>
  <c r="J495" i="5"/>
  <c r="J496" i="5"/>
  <c r="J497" i="5"/>
  <c r="J498" i="5"/>
  <c r="J499" i="5"/>
  <c r="J500" i="5"/>
  <c r="J501" i="5"/>
  <c r="J502" i="5"/>
  <c r="J503" i="5"/>
  <c r="J504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2" i="5"/>
  <c r="H2" i="7" l="1"/>
  <c r="H2" i="4"/>
  <c r="AF217" i="3" l="1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" i="3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M3" i="2" l="1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M63" i="2"/>
  <c r="AM64" i="2"/>
  <c r="AM65" i="2"/>
  <c r="AM66" i="2"/>
  <c r="AM67" i="2"/>
  <c r="AM68" i="2"/>
  <c r="AM69" i="2"/>
  <c r="AM70" i="2"/>
  <c r="AM71" i="2"/>
  <c r="AM72" i="2"/>
  <c r="AM73" i="2"/>
  <c r="AM74" i="2"/>
  <c r="AM75" i="2"/>
  <c r="AM76" i="2"/>
  <c r="AM77" i="2"/>
  <c r="AM78" i="2"/>
  <c r="AM79" i="2"/>
  <c r="AM80" i="2"/>
  <c r="AM81" i="2"/>
  <c r="AM82" i="2"/>
  <c r="AM83" i="2"/>
  <c r="AM84" i="2"/>
  <c r="AM85" i="2"/>
  <c r="AM86" i="2"/>
  <c r="AM87" i="2"/>
  <c r="AM88" i="2"/>
  <c r="AM89" i="2"/>
  <c r="AM90" i="2"/>
  <c r="AM91" i="2"/>
  <c r="AM92" i="2"/>
  <c r="AM93" i="2"/>
  <c r="AM94" i="2"/>
  <c r="AM95" i="2"/>
  <c r="AM96" i="2"/>
  <c r="AM97" i="2"/>
  <c r="AM98" i="2"/>
  <c r="AM99" i="2"/>
  <c r="AM100" i="2"/>
  <c r="AM101" i="2"/>
  <c r="AM102" i="2"/>
  <c r="AM103" i="2"/>
  <c r="AM104" i="2"/>
  <c r="AM105" i="2"/>
  <c r="AM106" i="2"/>
  <c r="AM107" i="2"/>
  <c r="AM108" i="2"/>
  <c r="AM109" i="2"/>
  <c r="AM110" i="2"/>
  <c r="AM111" i="2"/>
  <c r="AM112" i="2"/>
  <c r="AM113" i="2"/>
  <c r="AM114" i="2"/>
  <c r="AM115" i="2"/>
  <c r="AM116" i="2"/>
  <c r="AM117" i="2"/>
  <c r="AM118" i="2"/>
  <c r="AM119" i="2"/>
  <c r="AM120" i="2"/>
  <c r="AM121" i="2"/>
  <c r="AM122" i="2"/>
  <c r="AM123" i="2"/>
  <c r="AM124" i="2"/>
  <c r="AM125" i="2"/>
  <c r="AM126" i="2"/>
  <c r="AM127" i="2"/>
  <c r="AM128" i="2"/>
  <c r="AM129" i="2"/>
  <c r="AM130" i="2"/>
  <c r="AM131" i="2"/>
  <c r="AM132" i="2"/>
  <c r="AM133" i="2"/>
  <c r="AM134" i="2"/>
  <c r="AM135" i="2"/>
  <c r="AM136" i="2"/>
  <c r="AM137" i="2"/>
  <c r="AM138" i="2"/>
  <c r="AM139" i="2"/>
  <c r="AM140" i="2"/>
  <c r="AM141" i="2"/>
  <c r="AM142" i="2"/>
  <c r="AM143" i="2"/>
  <c r="AM144" i="2"/>
  <c r="AM145" i="2"/>
  <c r="AM146" i="2"/>
  <c r="AM147" i="2"/>
  <c r="AM148" i="2"/>
  <c r="AM149" i="2"/>
  <c r="AM150" i="2"/>
  <c r="AM151" i="2"/>
  <c r="AM152" i="2"/>
  <c r="AM153" i="2"/>
  <c r="AM154" i="2"/>
  <c r="AM155" i="2"/>
  <c r="AM156" i="2"/>
  <c r="AM157" i="2"/>
  <c r="AM158" i="2"/>
  <c r="AM159" i="2"/>
  <c r="AM160" i="2"/>
  <c r="AM161" i="2"/>
  <c r="AM162" i="2"/>
  <c r="AM163" i="2"/>
  <c r="AM164" i="2"/>
  <c r="AM165" i="2"/>
  <c r="AM166" i="2"/>
  <c r="AM167" i="2"/>
  <c r="AM168" i="2"/>
  <c r="AM169" i="2"/>
  <c r="AM170" i="2"/>
  <c r="AM171" i="2"/>
  <c r="AM172" i="2"/>
  <c r="AM173" i="2"/>
  <c r="AM174" i="2"/>
  <c r="AM175" i="2"/>
  <c r="AM176" i="2"/>
  <c r="AM177" i="2"/>
  <c r="AM178" i="2"/>
  <c r="AM179" i="2"/>
  <c r="AM180" i="2"/>
  <c r="AM181" i="2"/>
  <c r="AM182" i="2"/>
  <c r="AM183" i="2"/>
  <c r="AM184" i="2"/>
  <c r="AM185" i="2"/>
  <c r="AM186" i="2"/>
  <c r="AM187" i="2"/>
  <c r="AM188" i="2"/>
  <c r="AM189" i="2"/>
  <c r="AM190" i="2"/>
  <c r="AM191" i="2"/>
  <c r="AM192" i="2"/>
  <c r="AM193" i="2"/>
  <c r="AM194" i="2"/>
  <c r="AM195" i="2"/>
  <c r="AM196" i="2"/>
  <c r="AM197" i="2"/>
  <c r="AM198" i="2"/>
  <c r="AM199" i="2"/>
  <c r="AM200" i="2"/>
  <c r="AM201" i="2"/>
  <c r="AM202" i="2"/>
  <c r="AM203" i="2"/>
  <c r="AM204" i="2"/>
  <c r="AM205" i="2"/>
  <c r="AM206" i="2"/>
  <c r="AM207" i="2"/>
  <c r="AM208" i="2"/>
  <c r="AM209" i="2"/>
  <c r="AM210" i="2"/>
  <c r="AM211" i="2"/>
  <c r="AM212" i="2"/>
  <c r="AM213" i="2"/>
  <c r="AM214" i="2"/>
  <c r="AM215" i="2"/>
  <c r="AM216" i="2"/>
  <c r="AM217" i="2"/>
  <c r="AM218" i="2"/>
  <c r="AM219" i="2"/>
  <c r="AM220" i="2"/>
  <c r="AM221" i="2"/>
  <c r="AM222" i="2"/>
  <c r="AM223" i="2"/>
  <c r="AM224" i="2"/>
  <c r="AM225" i="2"/>
  <c r="AM226" i="2"/>
  <c r="AM227" i="2"/>
  <c r="AM228" i="2"/>
  <c r="AM229" i="2"/>
  <c r="AM230" i="2"/>
  <c r="AM231" i="2"/>
  <c r="AM232" i="2"/>
  <c r="AM233" i="2"/>
  <c r="AM234" i="2"/>
  <c r="AM235" i="2"/>
  <c r="AM236" i="2"/>
  <c r="AM237" i="2"/>
  <c r="AM238" i="2"/>
  <c r="AM239" i="2"/>
  <c r="AM240" i="2"/>
  <c r="AM241" i="2"/>
  <c r="AM242" i="2"/>
  <c r="AM243" i="2"/>
  <c r="AM244" i="2"/>
  <c r="AM245" i="2"/>
  <c r="AM246" i="2"/>
  <c r="AM247" i="2"/>
  <c r="AM248" i="2"/>
  <c r="AM249" i="2"/>
  <c r="AM250" i="2"/>
  <c r="AM251" i="2"/>
  <c r="AM252" i="2"/>
  <c r="AM253" i="2"/>
  <c r="AM254" i="2"/>
  <c r="AM255" i="2"/>
  <c r="AM256" i="2"/>
  <c r="AM257" i="2"/>
  <c r="AM258" i="2"/>
  <c r="AM259" i="2"/>
  <c r="AM260" i="2"/>
  <c r="AM261" i="2"/>
  <c r="AM262" i="2"/>
  <c r="AM263" i="2"/>
  <c r="AM264" i="2"/>
  <c r="AM265" i="2"/>
  <c r="AM266" i="2"/>
  <c r="AM267" i="2"/>
  <c r="AM268" i="2"/>
  <c r="AM269" i="2"/>
  <c r="AM270" i="2"/>
  <c r="AM271" i="2"/>
  <c r="AM272" i="2"/>
  <c r="AM273" i="2"/>
  <c r="AM274" i="2"/>
  <c r="AM275" i="2"/>
  <c r="AM276" i="2"/>
  <c r="AM277" i="2"/>
  <c r="AM278" i="2"/>
  <c r="AM279" i="2"/>
  <c r="AM280" i="2"/>
  <c r="AM281" i="2"/>
  <c r="AM282" i="2"/>
  <c r="AM283" i="2"/>
  <c r="AM284" i="2"/>
  <c r="AM285" i="2"/>
  <c r="AM286" i="2"/>
  <c r="AM287" i="2"/>
  <c r="AM288" i="2"/>
  <c r="AM289" i="2"/>
  <c r="AM290" i="2"/>
  <c r="AM291" i="2"/>
  <c r="AM292" i="2"/>
  <c r="AM293" i="2"/>
  <c r="AM294" i="2"/>
  <c r="AM295" i="2"/>
  <c r="AM296" i="2"/>
  <c r="AM297" i="2"/>
  <c r="AM298" i="2"/>
  <c r="AM299" i="2"/>
  <c r="AM300" i="2"/>
  <c r="AM301" i="2"/>
  <c r="AM302" i="2"/>
  <c r="AM303" i="2"/>
  <c r="AM304" i="2"/>
  <c r="AM305" i="2"/>
  <c r="AM306" i="2"/>
  <c r="AM307" i="2"/>
  <c r="AM308" i="2"/>
  <c r="AM309" i="2"/>
  <c r="AM310" i="2"/>
  <c r="AM311" i="2"/>
  <c r="AM312" i="2"/>
  <c r="AM313" i="2"/>
  <c r="AM314" i="2"/>
  <c r="AM315" i="2"/>
  <c r="AM316" i="2"/>
  <c r="AM317" i="2"/>
  <c r="AM318" i="2"/>
  <c r="AM319" i="2"/>
  <c r="AM320" i="2"/>
  <c r="AM321" i="2"/>
  <c r="AM322" i="2"/>
  <c r="AM323" i="2"/>
  <c r="AM324" i="2"/>
  <c r="AM325" i="2"/>
  <c r="AM326" i="2"/>
  <c r="AM327" i="2"/>
  <c r="AM328" i="2"/>
  <c r="AM329" i="2"/>
  <c r="AM330" i="2"/>
  <c r="AM331" i="2"/>
  <c r="AM332" i="2"/>
  <c r="AM333" i="2"/>
  <c r="AM334" i="2"/>
  <c r="AM335" i="2"/>
  <c r="AM336" i="2"/>
  <c r="AM337" i="2"/>
  <c r="AM338" i="2"/>
  <c r="AM339" i="2"/>
  <c r="AM340" i="2"/>
  <c r="AM341" i="2"/>
  <c r="AM342" i="2"/>
  <c r="AM343" i="2"/>
  <c r="AM344" i="2"/>
  <c r="AM345" i="2"/>
  <c r="AM346" i="2"/>
  <c r="AM347" i="2"/>
  <c r="AM348" i="2"/>
  <c r="AM349" i="2"/>
  <c r="AM350" i="2"/>
  <c r="AM351" i="2"/>
  <c r="AM352" i="2"/>
  <c r="AM353" i="2"/>
  <c r="AM354" i="2"/>
  <c r="AM355" i="2"/>
  <c r="AM356" i="2"/>
  <c r="AM357" i="2"/>
  <c r="AM358" i="2"/>
  <c r="AM359" i="2"/>
  <c r="AM360" i="2"/>
  <c r="AM361" i="2"/>
  <c r="AM362" i="2"/>
  <c r="AM363" i="2"/>
  <c r="AM364" i="2"/>
  <c r="AM365" i="2"/>
  <c r="AM366" i="2"/>
  <c r="AM367" i="2"/>
  <c r="AM368" i="2"/>
  <c r="AM369" i="2"/>
  <c r="AM370" i="2"/>
  <c r="AM371" i="2"/>
  <c r="AM372" i="2"/>
  <c r="AM373" i="2"/>
  <c r="AM374" i="2"/>
  <c r="AM375" i="2"/>
  <c r="AM376" i="2"/>
  <c r="AM377" i="2"/>
  <c r="AM378" i="2"/>
  <c r="AM379" i="2"/>
  <c r="AM380" i="2"/>
  <c r="AM381" i="2"/>
  <c r="AM382" i="2"/>
  <c r="AM383" i="2"/>
  <c r="AM384" i="2"/>
  <c r="AM385" i="2"/>
  <c r="AM386" i="2"/>
  <c r="AM387" i="2"/>
  <c r="AM388" i="2"/>
  <c r="AM389" i="2"/>
  <c r="AM390" i="2"/>
  <c r="AM391" i="2"/>
  <c r="AM392" i="2"/>
  <c r="AM393" i="2"/>
  <c r="AM394" i="2"/>
  <c r="AM395" i="2"/>
  <c r="AM396" i="2"/>
  <c r="AM397" i="2"/>
  <c r="AM398" i="2"/>
  <c r="AM399" i="2"/>
  <c r="AM400" i="2"/>
  <c r="AM401" i="2"/>
  <c r="AM402" i="2"/>
  <c r="AM403" i="2"/>
  <c r="AM404" i="2"/>
  <c r="AM405" i="2"/>
  <c r="AM406" i="2"/>
  <c r="AM407" i="2"/>
  <c r="AM408" i="2"/>
  <c r="AM409" i="2"/>
  <c r="AM410" i="2"/>
  <c r="AM411" i="2"/>
  <c r="AM412" i="2"/>
  <c r="AM413" i="2"/>
  <c r="AM414" i="2"/>
  <c r="AM415" i="2"/>
  <c r="AM416" i="2"/>
  <c r="AM417" i="2"/>
  <c r="AM418" i="2"/>
  <c r="AM419" i="2"/>
  <c r="AM420" i="2"/>
  <c r="AM421" i="2"/>
  <c r="AM422" i="2"/>
  <c r="AM423" i="2"/>
  <c r="AM424" i="2"/>
  <c r="AM425" i="2"/>
  <c r="AM426" i="2"/>
  <c r="AM427" i="2"/>
  <c r="AM428" i="2"/>
  <c r="AM429" i="2"/>
  <c r="AM430" i="2"/>
  <c r="AM431" i="2"/>
  <c r="AM432" i="2"/>
  <c r="AM433" i="2"/>
  <c r="AM434" i="2"/>
  <c r="AM435" i="2"/>
  <c r="AM436" i="2"/>
  <c r="AM437" i="2"/>
  <c r="AM438" i="2"/>
  <c r="AM439" i="2"/>
  <c r="AM440" i="2"/>
  <c r="AM441" i="2"/>
  <c r="AM442" i="2"/>
  <c r="AM443" i="2"/>
  <c r="AM444" i="2"/>
  <c r="AM445" i="2"/>
  <c r="AM446" i="2"/>
  <c r="AM447" i="2"/>
  <c r="AM448" i="2"/>
  <c r="AM449" i="2"/>
  <c r="AM450" i="2"/>
  <c r="AM451" i="2"/>
  <c r="AM452" i="2"/>
  <c r="AM453" i="2"/>
  <c r="AM454" i="2"/>
  <c r="AM455" i="2"/>
  <c r="AM456" i="2"/>
  <c r="AM457" i="2"/>
  <c r="AM458" i="2"/>
  <c r="AM459" i="2"/>
  <c r="AM460" i="2"/>
  <c r="AM461" i="2"/>
  <c r="AM462" i="2"/>
  <c r="AM463" i="2"/>
  <c r="AM464" i="2"/>
  <c r="AM465" i="2"/>
  <c r="AM466" i="2"/>
  <c r="AM467" i="2"/>
  <c r="AM468" i="2"/>
  <c r="AM469" i="2"/>
  <c r="AM470" i="2"/>
  <c r="AM471" i="2"/>
  <c r="AM472" i="2"/>
  <c r="AM473" i="2"/>
  <c r="AM474" i="2"/>
  <c r="AM475" i="2"/>
  <c r="AM476" i="2"/>
  <c r="AM477" i="2"/>
  <c r="AM478" i="2"/>
  <c r="AM479" i="2"/>
  <c r="AM480" i="2"/>
  <c r="AM481" i="2"/>
  <c r="AM482" i="2"/>
  <c r="AM483" i="2"/>
  <c r="AM484" i="2"/>
  <c r="AM485" i="2"/>
  <c r="AM486" i="2"/>
  <c r="AM487" i="2"/>
  <c r="AM488" i="2"/>
  <c r="AM489" i="2"/>
  <c r="AM490" i="2"/>
  <c r="AM491" i="2"/>
  <c r="AM492" i="2"/>
  <c r="AM493" i="2"/>
  <c r="AM494" i="2"/>
  <c r="AM495" i="2"/>
  <c r="AM496" i="2"/>
  <c r="AM497" i="2"/>
  <c r="AM498" i="2"/>
  <c r="AM499" i="2"/>
  <c r="AM500" i="2"/>
  <c r="AM501" i="2"/>
  <c r="AM502" i="2"/>
  <c r="AM503" i="2"/>
  <c r="AM504" i="2"/>
  <c r="AM505" i="2"/>
  <c r="AM506" i="2"/>
  <c r="AM507" i="2"/>
  <c r="AM508" i="2"/>
  <c r="AM509" i="2"/>
  <c r="AM510" i="2"/>
  <c r="AM511" i="2"/>
  <c r="AM512" i="2"/>
  <c r="AM513" i="2"/>
  <c r="AM514" i="2"/>
  <c r="AM515" i="2"/>
  <c r="AM516" i="2"/>
  <c r="AM517" i="2"/>
  <c r="AM518" i="2"/>
  <c r="AM519" i="2"/>
  <c r="AM520" i="2"/>
  <c r="AM521" i="2"/>
  <c r="AM522" i="2"/>
  <c r="AM523" i="2"/>
  <c r="AM524" i="2"/>
  <c r="AM525" i="2"/>
  <c r="AM526" i="2"/>
  <c r="AM527" i="2"/>
  <c r="AM528" i="2"/>
  <c r="AM529" i="2"/>
  <c r="AM530" i="2"/>
  <c r="AM531" i="2"/>
  <c r="AM532" i="2"/>
  <c r="AM533" i="2"/>
  <c r="AM534" i="2"/>
  <c r="AM535" i="2"/>
  <c r="AM536" i="2"/>
  <c r="AM537" i="2"/>
  <c r="AM538" i="2"/>
  <c r="AM539" i="2"/>
  <c r="AM540" i="2"/>
  <c r="AM541" i="2"/>
  <c r="AM542" i="2"/>
  <c r="AM543" i="2"/>
  <c r="AM544" i="2"/>
  <c r="AM545" i="2"/>
  <c r="AM546" i="2"/>
  <c r="AM547" i="2"/>
  <c r="AM548" i="2"/>
  <c r="AM549" i="2"/>
  <c r="AM550" i="2"/>
  <c r="AM551" i="2"/>
  <c r="AM552" i="2"/>
  <c r="AM553" i="2"/>
  <c r="AM554" i="2"/>
  <c r="AM555" i="2"/>
  <c r="AM556" i="2"/>
  <c r="AM557" i="2"/>
  <c r="AM558" i="2"/>
  <c r="AM559" i="2"/>
  <c r="AM560" i="2"/>
  <c r="AM561" i="2"/>
  <c r="AM562" i="2"/>
  <c r="AM563" i="2"/>
  <c r="AM564" i="2"/>
  <c r="AM565" i="2"/>
  <c r="AM566" i="2"/>
  <c r="AM567" i="2"/>
  <c r="AM568" i="2"/>
  <c r="AM569" i="2"/>
  <c r="AM570" i="2"/>
  <c r="AM571" i="2"/>
  <c r="AM572" i="2"/>
  <c r="AM573" i="2"/>
  <c r="AM574" i="2"/>
  <c r="AM575" i="2"/>
  <c r="AM576" i="2"/>
  <c r="AM577" i="2"/>
  <c r="AM578" i="2"/>
  <c r="AM579" i="2"/>
  <c r="AM580" i="2"/>
  <c r="AM581" i="2"/>
  <c r="AM582" i="2"/>
  <c r="AM583" i="2"/>
  <c r="AM584" i="2"/>
  <c r="AM585" i="2"/>
  <c r="AM586" i="2"/>
  <c r="AM587" i="2"/>
  <c r="AM588" i="2"/>
  <c r="AM589" i="2"/>
  <c r="AM590" i="2"/>
  <c r="AM591" i="2"/>
  <c r="AM592" i="2"/>
  <c r="AM593" i="2"/>
  <c r="AM594" i="2"/>
  <c r="AM595" i="2"/>
  <c r="AM596" i="2"/>
  <c r="AM597" i="2"/>
  <c r="AM598" i="2"/>
  <c r="AM599" i="2"/>
  <c r="AM600" i="2"/>
  <c r="AM601" i="2"/>
  <c r="AM602" i="2"/>
  <c r="AM603" i="2"/>
  <c r="AM604" i="2"/>
  <c r="AM605" i="2"/>
  <c r="AM606" i="2"/>
  <c r="AM607" i="2"/>
  <c r="AM608" i="2"/>
  <c r="AM609" i="2"/>
  <c r="AM610" i="2"/>
  <c r="AM611" i="2"/>
  <c r="AM612" i="2"/>
  <c r="AM613" i="2"/>
  <c r="AM614" i="2"/>
  <c r="AM615" i="2"/>
  <c r="AM616" i="2"/>
  <c r="AM617" i="2"/>
  <c r="AM618" i="2"/>
  <c r="AM619" i="2"/>
  <c r="AM620" i="2"/>
  <c r="AM621" i="2"/>
  <c r="AM622" i="2"/>
  <c r="AM623" i="2"/>
  <c r="AM624" i="2"/>
  <c r="AM2" i="2"/>
  <c r="AF626" i="2"/>
</calcChain>
</file>

<file path=xl/sharedStrings.xml><?xml version="1.0" encoding="utf-8"?>
<sst xmlns="http://schemas.openxmlformats.org/spreadsheetml/2006/main" count="51716" uniqueCount="13523">
  <si>
    <t>Sr.</t>
  </si>
  <si>
    <t>Status</t>
  </si>
  <si>
    <t>Contract No.</t>
  </si>
  <si>
    <t>Insurance Agency</t>
  </si>
  <si>
    <t>Customer Name</t>
  </si>
  <si>
    <t>City</t>
  </si>
  <si>
    <t>CNIC No.</t>
  </si>
  <si>
    <t>Home Phone#</t>
  </si>
  <si>
    <t>Mobile Number</t>
  </si>
  <si>
    <t>Business Phone#</t>
  </si>
  <si>
    <t>Mail Address</t>
  </si>
  <si>
    <t>Finance Amount</t>
  </si>
  <si>
    <t>Car Price</t>
  </si>
  <si>
    <t>Ins. Policy</t>
  </si>
  <si>
    <t>Ins. Expiry Date</t>
  </si>
  <si>
    <t>Engine No.</t>
  </si>
  <si>
    <t>Chassis No.</t>
  </si>
  <si>
    <t>Car Category</t>
  </si>
  <si>
    <t>Reg. No.</t>
  </si>
  <si>
    <t>Car Name</t>
  </si>
  <si>
    <t>Model</t>
  </si>
  <si>
    <t>Contract Booking Date</t>
  </si>
  <si>
    <t>Contract Value Date</t>
  </si>
  <si>
    <t>Contract Maturity Date</t>
  </si>
  <si>
    <t>Purchase Order No.</t>
  </si>
  <si>
    <t>Tenor#2</t>
  </si>
  <si>
    <t>Tracker Company</t>
  </si>
  <si>
    <t>Tracker Reference Number</t>
  </si>
  <si>
    <t>Tracker Installation Date</t>
  </si>
  <si>
    <t xml:space="preserve">Rate </t>
  </si>
  <si>
    <t xml:space="preserve">Sum Insured </t>
  </si>
  <si>
    <t>Premium</t>
  </si>
  <si>
    <t>OLD Contract Ref</t>
  </si>
  <si>
    <t>Remarks-I</t>
  </si>
  <si>
    <t>Remarks-II</t>
  </si>
  <si>
    <t>ACTIVE</t>
  </si>
  <si>
    <t>9976AD1211970001</t>
  </si>
  <si>
    <t>T-PAK</t>
  </si>
  <si>
    <t>SOHAIL NASIR</t>
  </si>
  <si>
    <t>Faisalabad</t>
  </si>
  <si>
    <t>33100-7633385-9</t>
  </si>
  <si>
    <t>03222227879</t>
  </si>
  <si>
    <t>03222227879, 03222227879</t>
  </si>
  <si>
    <t xml:space="preserve">H NO 155 B-BLOCK GALIB CITY FAISALABAD PK </t>
  </si>
  <si>
    <t>2021/10/CLFFTPCDP01207</t>
  </si>
  <si>
    <t>191006</t>
  </si>
  <si>
    <t>1091022</t>
  </si>
  <si>
    <t>NEW</t>
  </si>
  <si>
    <t/>
  </si>
  <si>
    <t>SUZUKI ALTO VXR EURO-II</t>
  </si>
  <si>
    <t>2021</t>
  </si>
  <si>
    <t>16-JUL-2021</t>
  </si>
  <si>
    <t>11-NOV-2021</t>
  </si>
  <si>
    <t>11-Nov-2026</t>
  </si>
  <si>
    <t>OLAFSD300070753</t>
  </si>
  <si>
    <t>CTRK</t>
  </si>
  <si>
    <t>DIB0032363</t>
  </si>
  <si>
    <t>02-NOV-2021</t>
  </si>
  <si>
    <t>2%</t>
  </si>
  <si>
    <t>9976AD1212090016</t>
  </si>
  <si>
    <t>IKHLAQ HUSSAIN</t>
  </si>
  <si>
    <t>33100-0642718-5</t>
  </si>
  <si>
    <t>03006660309</t>
  </si>
  <si>
    <t xml:space="preserve">SHOP NO 1891 AL MADINA COMMERCIAL MARKET NEAR MAIN CENTER GANESH MILLS FACTORY AREA FAISALABAD </t>
  </si>
  <si>
    <t>DIB/T/34267/LHR/1121</t>
  </si>
  <si>
    <t>187626</t>
  </si>
  <si>
    <t>10087599</t>
  </si>
  <si>
    <t>CULTUS VXL</t>
  </si>
  <si>
    <t>28-JUL-2021</t>
  </si>
  <si>
    <t>OLAFSD300071229</t>
  </si>
  <si>
    <t>DIB0032361</t>
  </si>
  <si>
    <t>9976AD1212560009</t>
  </si>
  <si>
    <t>SELMAN RASHID IQBAL</t>
  </si>
  <si>
    <t>Sialkot</t>
  </si>
  <si>
    <t>34603-2315200-3</t>
  </si>
  <si>
    <t>92524295927</t>
  </si>
  <si>
    <t>03018718899</t>
  </si>
  <si>
    <t>92523241923</t>
  </si>
  <si>
    <t xml:space="preserve">HOUSE NO 127/24 HAIDAR ROAD SIALKOT CANTT TEHSIL AND DISTT SIALKOT </t>
  </si>
  <si>
    <t>UWT/D/T002/0000001124/1121/109-0</t>
  </si>
  <si>
    <t>2A39606</t>
  </si>
  <si>
    <t>7024780</t>
  </si>
  <si>
    <t>COROLLA YARIS 1.3 AT</t>
  </si>
  <si>
    <t>13-SEP-2021</t>
  </si>
  <si>
    <t>OLASKT300073113</t>
  </si>
  <si>
    <t>DIB0032370</t>
  </si>
  <si>
    <t>1.75%</t>
  </si>
  <si>
    <t>997AAD1203050109</t>
  </si>
  <si>
    <t>ASAD MEHMOOD</t>
  </si>
  <si>
    <t>Rawalpindi</t>
  </si>
  <si>
    <t>37405-0550285-5</t>
  </si>
  <si>
    <t>03345931343</t>
  </si>
  <si>
    <t>03005305187</t>
  </si>
  <si>
    <t xml:space="preserve">KHASRA # 209 RAJA ASAD STREET ST # 37/8 MOHALLAH MILLATABAD BARAF KHAN RAWALPINDI PK </t>
  </si>
  <si>
    <t>2524/02150/00177/11/2020</t>
  </si>
  <si>
    <t>914453</t>
  </si>
  <si>
    <t>066325</t>
  </si>
  <si>
    <t>CIVIC VTI ORIEL P/T</t>
  </si>
  <si>
    <t>2020</t>
  </si>
  <si>
    <t>31-OCT-2020</t>
  </si>
  <si>
    <t>11-NOV-2020</t>
  </si>
  <si>
    <t>11-Nov-2025</t>
  </si>
  <si>
    <t>POARWP300059795</t>
  </si>
  <si>
    <t>DIB0028990</t>
  </si>
  <si>
    <t>03-NOV-2020</t>
  </si>
  <si>
    <t>9976AD1212120085</t>
  </si>
  <si>
    <t>ASIF MAHMOOD</t>
  </si>
  <si>
    <t>Lahore</t>
  </si>
  <si>
    <t>35201-1571249-5</t>
  </si>
  <si>
    <t>03214765797</t>
  </si>
  <si>
    <t>04236520393</t>
  </si>
  <si>
    <t xml:space="preserve">5-A USMAN BLOCK CANAL BANK SCHEME H ARBANSPURA LAHORE </t>
  </si>
  <si>
    <t>DIB/T/34275/LHR/1121</t>
  </si>
  <si>
    <t>318580</t>
  </si>
  <si>
    <t>513459</t>
  </si>
  <si>
    <t>KIA SPORTAGE AWD</t>
  </si>
  <si>
    <t>31-JUL-2021</t>
  </si>
  <si>
    <t>OLALHR300071474</t>
  </si>
  <si>
    <t>ITECL</t>
  </si>
  <si>
    <t>5568/11/2021</t>
  </si>
  <si>
    <t>9976AD1211650002</t>
  </si>
  <si>
    <t>USAMA SHAFIQ</t>
  </si>
  <si>
    <t>33102-6906523-3</t>
  </si>
  <si>
    <t>8777818</t>
  </si>
  <si>
    <t>03119999595, 03119999595</t>
  </si>
  <si>
    <t>03119999595</t>
  </si>
  <si>
    <t xml:space="preserve">46-A, TECH TOWN, NEAR SATYANA ROAD FAISALABAD PK </t>
  </si>
  <si>
    <t>01-2110-PO-MTR-PCCM-D-001497</t>
  </si>
  <si>
    <t>1GD-5077748</t>
  </si>
  <si>
    <t>R-1097037</t>
  </si>
  <si>
    <t>FORTUNER A/T</t>
  </si>
  <si>
    <t>14-JUN-2021</t>
  </si>
  <si>
    <t>03-DEC-2021</t>
  </si>
  <si>
    <t>03-Dec-2026</t>
  </si>
  <si>
    <t>OLAFSD300069468</t>
  </si>
  <si>
    <t>DIB0032371</t>
  </si>
  <si>
    <t>9976AP1223080006</t>
  </si>
  <si>
    <t>MUHAMMAD SAMEER KAZI</t>
  </si>
  <si>
    <t>Karachi</t>
  </si>
  <si>
    <t>42201-1431273-3</t>
  </si>
  <si>
    <t>03043615125</t>
  </si>
  <si>
    <t>0</t>
  </si>
  <si>
    <t xml:space="preserve">H # R- 18 SUPARCO CO OPERATIVE HOUS ING SCOIETY SCHEEM 33 MAYMAR MORE KARACHI PK </t>
  </si>
  <si>
    <t>64794/00001/11/2022</t>
  </si>
  <si>
    <t>246433</t>
  </si>
  <si>
    <t>1146470</t>
  </si>
  <si>
    <t>USD</t>
  </si>
  <si>
    <t>BXP-407</t>
  </si>
  <si>
    <t>2022</t>
  </si>
  <si>
    <t>04-NOV-2022</t>
  </si>
  <si>
    <t>11-NOV-2022</t>
  </si>
  <si>
    <t>OLUKHI30009013</t>
  </si>
  <si>
    <t>ITFT</t>
  </si>
  <si>
    <t>9285/11/2022/ITFM</t>
  </si>
  <si>
    <t>02-NOV-2022</t>
  </si>
  <si>
    <t>997AAD1201950001</t>
  </si>
  <si>
    <t>ZAHID SAMUEL</t>
  </si>
  <si>
    <t>JHELUM</t>
  </si>
  <si>
    <t>37301-9691544-9</t>
  </si>
  <si>
    <t>03325922916</t>
  </si>
  <si>
    <t>0544275675</t>
  </si>
  <si>
    <t xml:space="preserve">ROHTAS ROAD , MUHALLAH CHRISTAN COL ONY NEAR QASIR CHOWK JHELUM PK </t>
  </si>
  <si>
    <t>DIB/T/BT/29418/ISB/1120</t>
  </si>
  <si>
    <t>2A10639</t>
  </si>
  <si>
    <t>7006139</t>
  </si>
  <si>
    <t>YARIS ATIV MT 1.3</t>
  </si>
  <si>
    <t>13-JUL-2020</t>
  </si>
  <si>
    <t>21-NOV-2020</t>
  </si>
  <si>
    <t>21-Nov-2027</t>
  </si>
  <si>
    <t>POAJHM300055111</t>
  </si>
  <si>
    <t>DIB0028988</t>
  </si>
  <si>
    <t>2.5%</t>
  </si>
  <si>
    <t>9976AD1212350014</t>
  </si>
  <si>
    <t>MUHAMMAD ARIF</t>
  </si>
  <si>
    <t>37405-2017815-9</t>
  </si>
  <si>
    <t>03360573213</t>
  </si>
  <si>
    <t>0519268147</t>
  </si>
  <si>
    <t xml:space="preserve">H # G-1 BLOCK C GHAZI COLONY TIPU R OAD NEAR GO CNG PUMP RAWALPINDI PK </t>
  </si>
  <si>
    <t>DIB/T/34281/ISB/1121</t>
  </si>
  <si>
    <t>188029</t>
  </si>
  <si>
    <t>10088024</t>
  </si>
  <si>
    <t>SUZUKI CULTUS VXR EURO II</t>
  </si>
  <si>
    <t>23-AUG-2021</t>
  </si>
  <si>
    <t>OLARWP300072176</t>
  </si>
  <si>
    <t>TDIDIB0029793</t>
  </si>
  <si>
    <t>05-NOV-2021</t>
  </si>
  <si>
    <t>9976AD2212290009</t>
  </si>
  <si>
    <t>TASLEEM AKHTAR</t>
  </si>
  <si>
    <t>38201-2575486-8</t>
  </si>
  <si>
    <t>03137357790</t>
  </si>
  <si>
    <t xml:space="preserve">JAIL ROAD PUNJAB CARDIALOGY 3RD FLO OR OPPOSITE MECHDOLANDS LAHORE </t>
  </si>
  <si>
    <t>2524/02742/0003/11/2021</t>
  </si>
  <si>
    <t>191149</t>
  </si>
  <si>
    <t>1091170</t>
  </si>
  <si>
    <t>SUZUKI ALTO VXR EURO II</t>
  </si>
  <si>
    <t>17-AUG-2021</t>
  </si>
  <si>
    <t>21-NOV-2021</t>
  </si>
  <si>
    <t>21-Nov-2025</t>
  </si>
  <si>
    <t>OLALHR300071995</t>
  </si>
  <si>
    <t>DIB0032382</t>
  </si>
  <si>
    <t>04-NOV-2021</t>
  </si>
  <si>
    <t>9976AD1211810025</t>
  </si>
  <si>
    <t>AMEER ALI LUHUR</t>
  </si>
  <si>
    <t>LARKANA</t>
  </si>
  <si>
    <t>43203-3056842-9</t>
  </si>
  <si>
    <t>03342243242</t>
  </si>
  <si>
    <t xml:space="preserve">LUHUR DECORATION SERVICE NAUDERO ROAD BYPASS NEAR SINDH GREEN HOTEL LARKANA </t>
  </si>
  <si>
    <t>DIB/T/34280/HYD/1121</t>
  </si>
  <si>
    <t>6R188933</t>
  </si>
  <si>
    <t>NF1AET306H1088889</t>
  </si>
  <si>
    <t>ALTO VXR EURO-II</t>
  </si>
  <si>
    <t>30-JUN-2021</t>
  </si>
  <si>
    <t>OLALRK300070128</t>
  </si>
  <si>
    <t>TDIDIB0029753</t>
  </si>
  <si>
    <t>29-OCT-2021</t>
  </si>
  <si>
    <t>997APD1203110006</t>
  </si>
  <si>
    <t>ASHFAQUE AHMED</t>
  </si>
  <si>
    <t>35201-5806207-9</t>
  </si>
  <si>
    <t>03214228449</t>
  </si>
  <si>
    <t>04237191274</t>
  </si>
  <si>
    <t xml:space="preserve">OFFICE NO 94 COMMERCIAL BROADWAY PA RGON CITY BARKI ROAD NEAR FUTURE NO W TECH LAHORE </t>
  </si>
  <si>
    <t>53157/00004/11/2020</t>
  </si>
  <si>
    <t>207189</t>
  </si>
  <si>
    <t>10107185</t>
  </si>
  <si>
    <t>WAGONR VXL</t>
  </si>
  <si>
    <t>06-NOV-2020</t>
  </si>
  <si>
    <t>PODLHR300060261</t>
  </si>
  <si>
    <t>ITFM</t>
  </si>
  <si>
    <t>3474/11/2020/ITFM</t>
  </si>
  <si>
    <t>04-NOV-2020</t>
  </si>
  <si>
    <t>9976AD2211800001</t>
  </si>
  <si>
    <t>MUHAMMAD IQBAL</t>
  </si>
  <si>
    <t>Gujrat</t>
  </si>
  <si>
    <t>34201-0363899-5</t>
  </si>
  <si>
    <t>03036871894</t>
  </si>
  <si>
    <t xml:space="preserve">OPPOSITE PUBLIC SCHOOL NO 2 MOHALLA H AZIZABAD RAILWAY ROAD GUJRAT PK </t>
  </si>
  <si>
    <t>56607/00005/11/2021</t>
  </si>
  <si>
    <t>505771</t>
  </si>
  <si>
    <t>1010057</t>
  </si>
  <si>
    <t>KARVAAN PLUS</t>
  </si>
  <si>
    <t>29-JUN-2021</t>
  </si>
  <si>
    <t>OLAGJR300069996</t>
  </si>
  <si>
    <t>DIB0032386</t>
  </si>
  <si>
    <t>997AAD2203020015</t>
  </si>
  <si>
    <t>AYEEN MUHAMMAD KHAN</t>
  </si>
  <si>
    <t>Islamabad</t>
  </si>
  <si>
    <t>71501-0639654-5</t>
  </si>
  <si>
    <t>03327424312</t>
  </si>
  <si>
    <t>0518840517</t>
  </si>
  <si>
    <t xml:space="preserve">H # 708 ST # 47 SECTOR # G-9/1 ISLAMABAD PK </t>
  </si>
  <si>
    <t>2524/02150/00174/11/2020</t>
  </si>
  <si>
    <t>7541706</t>
  </si>
  <si>
    <t>LR-264824</t>
  </si>
  <si>
    <t>HONDA CITY IVTEC</t>
  </si>
  <si>
    <t>28-OCT-2020</t>
  </si>
  <si>
    <t>11-Nov-2027</t>
  </si>
  <si>
    <t>POAISD300059172</t>
  </si>
  <si>
    <t>ITMM</t>
  </si>
  <si>
    <t>3463/11/2020/ITMM</t>
  </si>
  <si>
    <t>02-NOV-2020</t>
  </si>
  <si>
    <t>997AAD1202960014</t>
  </si>
  <si>
    <t>MUHAMMAD YOUSAF ASLAM</t>
  </si>
  <si>
    <t>33100-8463560-7</t>
  </si>
  <si>
    <t>03217821165</t>
  </si>
  <si>
    <t>03217821165, 03217821165</t>
  </si>
  <si>
    <t>0418728819</t>
  </si>
  <si>
    <t xml:space="preserve">H NO 3-X BLOCK X UPPER FLOOR ST NO 12 MADINA TOWN FAISALABAD PK </t>
  </si>
  <si>
    <t>2524/02150/00152/11/2020</t>
  </si>
  <si>
    <t>6914492</t>
  </si>
  <si>
    <t>LR066318</t>
  </si>
  <si>
    <t>22-OCT-2020</t>
  </si>
  <si>
    <t>POAFSD300059003</t>
  </si>
  <si>
    <t>3476/11/2020/ITFM</t>
  </si>
  <si>
    <t>9976AD1212380020</t>
  </si>
  <si>
    <t>RAJA ADIL SARFRAZ</t>
  </si>
  <si>
    <t>41306-0723517-3</t>
  </si>
  <si>
    <t>03452932949</t>
  </si>
  <si>
    <t>03452932949, 03452932949</t>
  </si>
  <si>
    <t>0419200161</t>
  </si>
  <si>
    <t xml:space="preserve">H NO P-391-C BLOCK-C MILLAT TOWN MI LLAT ROAD FAISALABAD PK </t>
  </si>
  <si>
    <t>2021-10-205-V01501OP0002654</t>
  </si>
  <si>
    <t>L15Z81001399</t>
  </si>
  <si>
    <t>NFBGN966XMR005542</t>
  </si>
  <si>
    <t>HONDA CITY ASPIRE</t>
  </si>
  <si>
    <t>26-AUG-2021</t>
  </si>
  <si>
    <t>OLAFSD300072297</t>
  </si>
  <si>
    <t>DIB0032299</t>
  </si>
  <si>
    <t>03-NOV-2021</t>
  </si>
  <si>
    <t>997AAD1202050020</t>
  </si>
  <si>
    <t>BILAL ZIA</t>
  </si>
  <si>
    <t>Gujranwala</t>
  </si>
  <si>
    <t>34101-4056821-7</t>
  </si>
  <si>
    <t>03152227292</t>
  </si>
  <si>
    <t xml:space="preserve">HOUSE NO 351 STREET NO 5 SECTOR 1 CANTT GUJRANWALA </t>
  </si>
  <si>
    <t>53157/00003/11/2020</t>
  </si>
  <si>
    <t>327392</t>
  </si>
  <si>
    <t>KP506234</t>
  </si>
  <si>
    <t>23-JUL-2020</t>
  </si>
  <si>
    <t>POAGWL300055621</t>
  </si>
  <si>
    <t>1.5%</t>
  </si>
  <si>
    <t>997AAD1201990002</t>
  </si>
  <si>
    <t>WASEEM EJAZ</t>
  </si>
  <si>
    <t>35202-4832610-5</t>
  </si>
  <si>
    <t>0321-8807749</t>
  </si>
  <si>
    <t>35959594</t>
  </si>
  <si>
    <t xml:space="preserve">H NO 11 MALIK STREET EJAZ CHOWK 18 KM FEROZPUR ROAD REHMAT COLONY NISHTER COLONY LAHORE </t>
  </si>
  <si>
    <t>DIB/T/29424/LHR/1120</t>
  </si>
  <si>
    <t>324054</t>
  </si>
  <si>
    <t>506019</t>
  </si>
  <si>
    <t>KIA SPORATAGE AWD</t>
  </si>
  <si>
    <t>17-JUL-2020</t>
  </si>
  <si>
    <t>POALHR300055319</t>
  </si>
  <si>
    <t>9976AP1223080007</t>
  </si>
  <si>
    <t>MALIK MUHAMMAD BASHARAT</t>
  </si>
  <si>
    <t>42201-0256988-9</t>
  </si>
  <si>
    <t>03008232280</t>
  </si>
  <si>
    <t>0515709137</t>
  </si>
  <si>
    <t xml:space="preserve">H # 7 ST # 8 FEDERATION HOUSING SOC IETY LOHI BAIR SECTOR A ISLAMABAD PK </t>
  </si>
  <si>
    <t>64794/00003/11/2022</t>
  </si>
  <si>
    <t>10B239700</t>
  </si>
  <si>
    <t>10139728</t>
  </si>
  <si>
    <t>SUZUKI WAGONR VXL</t>
  </si>
  <si>
    <t>OLDISD300090725</t>
  </si>
  <si>
    <t>FLCN</t>
  </si>
  <si>
    <t>108809/11/2022</t>
  </si>
  <si>
    <t>03-NOV-2022</t>
  </si>
  <si>
    <t>9976AP2223110007</t>
  </si>
  <si>
    <t>MUHAMMAD KASHIF</t>
  </si>
  <si>
    <t>42301-7784361-9</t>
  </si>
  <si>
    <t>03132213808</t>
  </si>
  <si>
    <t xml:space="preserve">C- 27 4 RTH FLOOR ZEESHAN BLESSING GULSHAN-E- IQBAL BOCK 16 OPP NOOR M KARACHI PK </t>
  </si>
  <si>
    <t>64794/0004/11/2022</t>
  </si>
  <si>
    <t>122604</t>
  </si>
  <si>
    <t>10022606</t>
  </si>
  <si>
    <t>BKK-497</t>
  </si>
  <si>
    <t>2017</t>
  </si>
  <si>
    <t>07-NOV-2022</t>
  </si>
  <si>
    <t>OLUKHI300090714</t>
  </si>
  <si>
    <t>9298/11/2022/ITFM</t>
  </si>
  <si>
    <t>05-NOV-2022</t>
  </si>
  <si>
    <t>9976AD2221710002</t>
  </si>
  <si>
    <t>USMAN JAVED BUTT</t>
  </si>
  <si>
    <t>35202-3706453-7</t>
  </si>
  <si>
    <t>03004580882</t>
  </si>
  <si>
    <t xml:space="preserve">H NO 829-A MUHALLAH CANAL VIEW BLOC K E LAHORE LAHORE PK </t>
  </si>
  <si>
    <t>64794/00002/11/2022</t>
  </si>
  <si>
    <t>81012003</t>
  </si>
  <si>
    <t>027765</t>
  </si>
  <si>
    <t>HONDA CITY ASPIRE A/T</t>
  </si>
  <si>
    <t>20-JUN-2022</t>
  </si>
  <si>
    <t>OLALHR300088166</t>
  </si>
  <si>
    <t>9288/11/2022/ITFM</t>
  </si>
  <si>
    <t>9976AD1213620032</t>
  </si>
  <si>
    <t>SALMAN IKRAM</t>
  </si>
  <si>
    <t>34603-5068241-5</t>
  </si>
  <si>
    <t>03008612564</t>
  </si>
  <si>
    <t xml:space="preserve">MOH MODEL TOWN UGOKI PO KHAS GUJRANWALA PK </t>
  </si>
  <si>
    <t>64794/00006/11/2022</t>
  </si>
  <si>
    <t>085661</t>
  </si>
  <si>
    <t>711231</t>
  </si>
  <si>
    <t>KIA PICANTO 1.0 L A/T</t>
  </si>
  <si>
    <t>28-DEC-2021</t>
  </si>
  <si>
    <t>OLASKT300082278</t>
  </si>
  <si>
    <t>9283/11/2022</t>
  </si>
  <si>
    <t>01-NOV-2022</t>
  </si>
  <si>
    <t>9976AP2223080004</t>
  </si>
  <si>
    <t>MUHAMMAD MOHSIN KHAIRI</t>
  </si>
  <si>
    <t>42201-4373898-1</t>
  </si>
  <si>
    <t>03343236770</t>
  </si>
  <si>
    <t xml:space="preserve">FLAT NO. 601 6TH FLOOR BURJ UL IMRA N APARTMENT SECTOR JINNAH AVENUE NE KARACHI PK </t>
  </si>
  <si>
    <t>64794/00005/11/2022</t>
  </si>
  <si>
    <t>6R241226</t>
  </si>
  <si>
    <t>1141200</t>
  </si>
  <si>
    <t>BXF-240</t>
  </si>
  <si>
    <t>OLUKHI300090726</t>
  </si>
  <si>
    <t>9289/11/2022/ITFM</t>
  </si>
  <si>
    <t>9976AD2232710003</t>
  </si>
  <si>
    <t>MUHAMMAD BILAL</t>
  </si>
  <si>
    <t>34603-7401604-5</t>
  </si>
  <si>
    <t>03037015616</t>
  </si>
  <si>
    <t>04236400007</t>
  </si>
  <si>
    <t xml:space="preserve">HOUSE NO 3-S-38 AZIM STREET CLIFTON COLONY NEAR GHATTI CHOWK WAHDAT CO LAHORE PK </t>
  </si>
  <si>
    <t>77638/0001/11/2023</t>
  </si>
  <si>
    <t>02-NOV-2024</t>
  </si>
  <si>
    <t>6R286844</t>
  </si>
  <si>
    <t>1187030</t>
  </si>
  <si>
    <t>2023</t>
  </si>
  <si>
    <t>27-NOV-2023</t>
  </si>
  <si>
    <t>27-Nov-2026</t>
  </si>
  <si>
    <t>OLALHR300097279</t>
  </si>
  <si>
    <t>DIB0035410</t>
  </si>
  <si>
    <t>06-NOV-2023</t>
  </si>
  <si>
    <t>9976AD2212120031</t>
  </si>
  <si>
    <t>MUMTAZ AHMAD</t>
  </si>
  <si>
    <t>35202-2733554-3</t>
  </si>
  <si>
    <t>03334634898</t>
  </si>
  <si>
    <t>099214240</t>
  </si>
  <si>
    <t xml:space="preserve">DIO SAMAAJ ROAD NEAR MALL ROAD LAHORE </t>
  </si>
  <si>
    <t>2524/02742/00005/11/2021</t>
  </si>
  <si>
    <t>6R190275</t>
  </si>
  <si>
    <t>NF1AET306H1090242</t>
  </si>
  <si>
    <t>21-Nov-2026</t>
  </si>
  <si>
    <t>OLALHR300071469</t>
  </si>
  <si>
    <t>5577/11/2021</t>
  </si>
  <si>
    <t>997AAD1202740084</t>
  </si>
  <si>
    <t>MAHER TAUSEEF AHMED</t>
  </si>
  <si>
    <t>Multan</t>
  </si>
  <si>
    <t>36302-8413092-1</t>
  </si>
  <si>
    <t>03018510587</t>
  </si>
  <si>
    <t>6350987</t>
  </si>
  <si>
    <t xml:space="preserve">AL JADEED ASSOCIATES PVT LTD HOUSE NO 16 CANTT COTTAGES SHER SHAH ROAD MULTAN CANTT </t>
  </si>
  <si>
    <t>2020/11/CLFTTPCDP00682</t>
  </si>
  <si>
    <t>142804</t>
  </si>
  <si>
    <t>1043351</t>
  </si>
  <si>
    <t>SUZUKI ALTO VXL EURO II AGS</t>
  </si>
  <si>
    <t>30-SEP-2020</t>
  </si>
  <si>
    <t>POAMUX300058118</t>
  </si>
  <si>
    <t>DIB0028999</t>
  </si>
  <si>
    <t>997APD2203140004</t>
  </si>
  <si>
    <t>DANYIAL ASIF</t>
  </si>
  <si>
    <t>35202-2670690-5</t>
  </si>
  <si>
    <t>03349755036</t>
  </si>
  <si>
    <t>04235249651</t>
  </si>
  <si>
    <t xml:space="preserve">PLAZA NO 50 SECTOR D BLOCK AA COMME RCIAL MARKET BAHRIA TOWN NEAR MCDON ALD LAHORE </t>
  </si>
  <si>
    <t>53157/00009/11/2020</t>
  </si>
  <si>
    <t>13045447</t>
  </si>
  <si>
    <t>10045452</t>
  </si>
  <si>
    <t>SUZUKI SWIFT DLX 1.3 MT</t>
  </si>
  <si>
    <t>09-NOV-2020</t>
  </si>
  <si>
    <t>PODLHR300060201</t>
  </si>
  <si>
    <t>34921/11/2020/ITFM</t>
  </si>
  <si>
    <t>05-NOV-2020</t>
  </si>
  <si>
    <t>9976AD2212230011</t>
  </si>
  <si>
    <t>SUHAIL AHMED</t>
  </si>
  <si>
    <t>43406-0374772-7</t>
  </si>
  <si>
    <t>2210817</t>
  </si>
  <si>
    <t>03322023689</t>
  </si>
  <si>
    <t xml:space="preserve">HOSE NO 181 SR NO 68 F 10/3 ISLAMABAD </t>
  </si>
  <si>
    <t>01-2111-PO-MTR-PCCM-D-001510</t>
  </si>
  <si>
    <t>188067</t>
  </si>
  <si>
    <t>10088066</t>
  </si>
  <si>
    <t>CULTUS VXL EURO II</t>
  </si>
  <si>
    <t>11-AUG-2021</t>
  </si>
  <si>
    <t>OLAISD300071823</t>
  </si>
  <si>
    <t>DIB0032403</t>
  </si>
  <si>
    <t>997AAD2202440025</t>
  </si>
  <si>
    <t>MUHAMMAD MANSHA</t>
  </si>
  <si>
    <t>33100-2927708-3</t>
  </si>
  <si>
    <t>03008662363</t>
  </si>
  <si>
    <t>03008662363, 03008662363</t>
  </si>
  <si>
    <t xml:space="preserve">P-21 MUSLIM PARK SARGODHA ROAD MUSL IM TOWN YOUSAF BLOCK FSD NEAR R.S B FAISALABAD PK </t>
  </si>
  <si>
    <t>2524/02150/00185/11/2020</t>
  </si>
  <si>
    <t>2A11204</t>
  </si>
  <si>
    <t>7006644</t>
  </si>
  <si>
    <t>TOYOTA COROLLA YARIS</t>
  </si>
  <si>
    <t>31-AUG-2020</t>
  </si>
  <si>
    <t>27-NOV-2020</t>
  </si>
  <si>
    <t>27-Nov-2025</t>
  </si>
  <si>
    <t>POAFSD300057032</t>
  </si>
  <si>
    <t>3477/11/2020/ITFM</t>
  </si>
  <si>
    <t>997APD2203110007</t>
  </si>
  <si>
    <t>MONIS ALI KHAN</t>
  </si>
  <si>
    <t>42201-4151547-1</t>
  </si>
  <si>
    <t>03452250916</t>
  </si>
  <si>
    <t xml:space="preserve">HOUSE # SDH # 108, NEW FALCON COMPLEX NEW MALIR OPP CHECK POST # 5 MALIR CANTT KARACHI </t>
  </si>
  <si>
    <t>53157/00007/11/2020</t>
  </si>
  <si>
    <t>12917077</t>
  </si>
  <si>
    <t>020450</t>
  </si>
  <si>
    <t>BJV-518</t>
  </si>
  <si>
    <t>CIVIC IVTEC P/T</t>
  </si>
  <si>
    <t>POUKHI300060091</t>
  </si>
  <si>
    <t>3482/11/2020/ITFM</t>
  </si>
  <si>
    <t>997AAD1202680015</t>
  </si>
  <si>
    <t>AFTAB AHMAD</t>
  </si>
  <si>
    <t>35404-1596350-9</t>
  </si>
  <si>
    <t>03216460886</t>
  </si>
  <si>
    <t xml:space="preserve">50-U USMAN BLOCK NEAR TEDDI GALI NE W PAKISTAN CLOTH MARKET LAHORE </t>
  </si>
  <si>
    <t>DIB/T/BT/29430/LHR/1120</t>
  </si>
  <si>
    <t>7541647</t>
  </si>
  <si>
    <t>264797</t>
  </si>
  <si>
    <t>CITY I-VTEC P/T</t>
  </si>
  <si>
    <t>24-SEP-2020</t>
  </si>
  <si>
    <t>POALHR300057517</t>
  </si>
  <si>
    <t>TDIDIB0028733</t>
  </si>
  <si>
    <t>9976AP1213090067</t>
  </si>
  <si>
    <t>RASHID MUNIR</t>
  </si>
  <si>
    <t>33100-3524195-3</t>
  </si>
  <si>
    <t>041-8728868</t>
  </si>
  <si>
    <t>0300-9664972 0300-7632840</t>
  </si>
  <si>
    <t>041-2659191</t>
  </si>
  <si>
    <t xml:space="preserve">H NO P-64 BLOCK-A PEOPLES COLONY # 2 NR PAK ELECTRIC STORE FAISALABAD </t>
  </si>
  <si>
    <t>DIB/T/34285/LHR/1121</t>
  </si>
  <si>
    <t>L15A79789003</t>
  </si>
  <si>
    <t>R219402</t>
  </si>
  <si>
    <t>AEW-076</t>
  </si>
  <si>
    <t>HONDA CITY I-VTEC</t>
  </si>
  <si>
    <t>2018</t>
  </si>
  <si>
    <t>OLUFSD300078032</t>
  </si>
  <si>
    <t>5578/11/2021</t>
  </si>
  <si>
    <t>9976AD1211200072</t>
  </si>
  <si>
    <t>ABDUL REHMAN</t>
  </si>
  <si>
    <t>36302-1281975-1</t>
  </si>
  <si>
    <t>03059638486</t>
  </si>
  <si>
    <t xml:space="preserve">STREET NO 2 BOSAN ROAD AL QADIR STR EET MOHALLAH GHAFARIA CHUNGI NO 6 MULTAN PK </t>
  </si>
  <si>
    <t>2021/11/CLFTTPCDP01216</t>
  </si>
  <si>
    <t>CAD517751</t>
  </si>
  <si>
    <t>1003750</t>
  </si>
  <si>
    <t>CHANGAN ALSVIN</t>
  </si>
  <si>
    <t>30-APR-2021</t>
  </si>
  <si>
    <t>OLAMUX300068556</t>
  </si>
  <si>
    <t>5579/11/2021/ITFM</t>
  </si>
  <si>
    <t>997AAD1202120020</t>
  </si>
  <si>
    <t>MUHAMMAD MUNEEB</t>
  </si>
  <si>
    <t>34101-2584569-3</t>
  </si>
  <si>
    <t>03218112232</t>
  </si>
  <si>
    <t>0553844551</t>
  </si>
  <si>
    <t xml:space="preserve">H# C 1 -576 WAPDA TOWM GUJRANWALA PK </t>
  </si>
  <si>
    <t>2524/02150/00188/11/2020</t>
  </si>
  <si>
    <t>G4NALH324032</t>
  </si>
  <si>
    <t>NNAQL51AZKP505918</t>
  </si>
  <si>
    <t>SPORTAGE AWD</t>
  </si>
  <si>
    <t>30-JUL-2020</t>
  </si>
  <si>
    <t>POAGWL300056055</t>
  </si>
  <si>
    <t>997AAD2202120012</t>
  </si>
  <si>
    <t>SANIA QAMAR</t>
  </si>
  <si>
    <t>Hyderabad</t>
  </si>
  <si>
    <t>41304-8992077-0</t>
  </si>
  <si>
    <t>03338181234</t>
  </si>
  <si>
    <t xml:space="preserve">HOUSE NO C/D-293 MOHALLA QAMAR HOUSE UNIT NO 06 LATIFABAD HYDERABAD PAKISTAN </t>
  </si>
  <si>
    <t>2524/02150/00189/11/2020</t>
  </si>
  <si>
    <t>327106</t>
  </si>
  <si>
    <t>506258</t>
  </si>
  <si>
    <t>03-DEC-2020</t>
  </si>
  <si>
    <t>03-Dec-2025</t>
  </si>
  <si>
    <t>POAHYD300056139</t>
  </si>
  <si>
    <t>9976AP1213090072</t>
  </si>
  <si>
    <t>WAJEEHA YASMIN</t>
  </si>
  <si>
    <t>35202-7676878-8</t>
  </si>
  <si>
    <t>03434678887</t>
  </si>
  <si>
    <t xml:space="preserve">49-E MAIN MOLANA SHAUKAT ALI ROAD K KT BUILDING MAZANINE FLOOR LAHORE </t>
  </si>
  <si>
    <t>DIB/T/34284/LHR/1121</t>
  </si>
  <si>
    <t>G4NALH313952</t>
  </si>
  <si>
    <t>NNAQL51AZKP503950</t>
  </si>
  <si>
    <t>AAC-234</t>
  </si>
  <si>
    <t>OLULHR300078002</t>
  </si>
  <si>
    <t>TDIDIB0029794</t>
  </si>
  <si>
    <t>997AAD1203020044</t>
  </si>
  <si>
    <t>SULTAN MUHAMMAD KAIGOHAR KIANI</t>
  </si>
  <si>
    <t>61101-3717511-7</t>
  </si>
  <si>
    <t>03335524253</t>
  </si>
  <si>
    <t>0519220383</t>
  </si>
  <si>
    <t xml:space="preserve">H # 14 ST # 3 ROAD-L BLOCK-E NAVAL ANCHORAGE ISLAMABAD PK </t>
  </si>
  <si>
    <t>2524/02150/00187/11/2020</t>
  </si>
  <si>
    <t>16914508</t>
  </si>
  <si>
    <t>LR066375</t>
  </si>
  <si>
    <t>POAISD300059175</t>
  </si>
  <si>
    <t>3480/11/2020/ITMM</t>
  </si>
  <si>
    <t>997AAD1202050021</t>
  </si>
  <si>
    <t>MUHAMMAD ARSHAD</t>
  </si>
  <si>
    <t>35202-9453292-9</t>
  </si>
  <si>
    <t>03219472731</t>
  </si>
  <si>
    <t>04235219011</t>
  </si>
  <si>
    <t xml:space="preserve">29-M , INTERNATIONAL MARKET MODEL T OWN (EXT) LAHORE </t>
  </si>
  <si>
    <t>53157/00006/11/2020</t>
  </si>
  <si>
    <t>325988</t>
  </si>
  <si>
    <t>506312</t>
  </si>
  <si>
    <t>KIA SPORAGE AWD</t>
  </si>
  <si>
    <t>POALHR300055693</t>
  </si>
  <si>
    <t>997APD2203100001</t>
  </si>
  <si>
    <t>SARDAR HASAN RAZA</t>
  </si>
  <si>
    <t>13101-4387845-3</t>
  </si>
  <si>
    <t>03018422202</t>
  </si>
  <si>
    <t>0519245702</t>
  </si>
  <si>
    <t xml:space="preserve">H # 273 ST # 148/149 SECTOR # D-12/ 4 ISLAMABAD PK </t>
  </si>
  <si>
    <t>53157/00008/11/2020</t>
  </si>
  <si>
    <t>576961</t>
  </si>
  <si>
    <t>200411</t>
  </si>
  <si>
    <t>TUCSON AWD</t>
  </si>
  <si>
    <t>PODISD300060131</t>
  </si>
  <si>
    <t>DIB0029001</t>
  </si>
  <si>
    <t>9976AD1212090005</t>
  </si>
  <si>
    <t>SYED SULEMAN BIN WARIS GILLANI</t>
  </si>
  <si>
    <t>35201-1392372-5</t>
  </si>
  <si>
    <t>03018888880</t>
  </si>
  <si>
    <t>35777777</t>
  </si>
  <si>
    <t xml:space="preserve">H NO 173 PHASE 2 DHA LHR </t>
  </si>
  <si>
    <t>DIB/T/34289/LHR/1121</t>
  </si>
  <si>
    <t>256930-30-371940</t>
  </si>
  <si>
    <t>A066413</t>
  </si>
  <si>
    <t>MERCEDES S450</t>
  </si>
  <si>
    <t>OLALHR300070960</t>
  </si>
  <si>
    <t>9976AP2223110006</t>
  </si>
  <si>
    <t>RUBINA</t>
  </si>
  <si>
    <t>42401-8899642-4</t>
  </si>
  <si>
    <t>03142279958</t>
  </si>
  <si>
    <t>03142279958, 03142279958</t>
  </si>
  <si>
    <t xml:space="preserve">PLOT # 169/B 1ST FLOOR SHAH WALIULL AH ROAD KHADDA MARKET LIYARI NOORAB KARACHI PK </t>
  </si>
  <si>
    <t>64794/0008/11/2022</t>
  </si>
  <si>
    <t>12914524</t>
  </si>
  <si>
    <t>R017761</t>
  </si>
  <si>
    <t>BJV-380</t>
  </si>
  <si>
    <t>HONDA CIVIC 1.8L ORIEL</t>
  </si>
  <si>
    <t>OLUKHI300090736</t>
  </si>
  <si>
    <t>9301/11/2022/ITFM</t>
  </si>
  <si>
    <t>9976AP1223110009</t>
  </si>
  <si>
    <t>MUHAMMAD ARSALAN ISMAIL</t>
  </si>
  <si>
    <t>42401-0956309-5</t>
  </si>
  <si>
    <t>03334345672</t>
  </si>
  <si>
    <t xml:space="preserve">PLOT NO 92-A SPRING NORTH COMMERCIAL DEFENCE VIEW MALL PHASE 7 BAHRIA TOWN RAWALPINDI. </t>
  </si>
  <si>
    <t>64794/00011/11/2022</t>
  </si>
  <si>
    <t>6R106184</t>
  </si>
  <si>
    <t>1006170</t>
  </si>
  <si>
    <t>ANZ-030</t>
  </si>
  <si>
    <t>SUZUKI ALTO VXL AGS EURO II</t>
  </si>
  <si>
    <t>2019</t>
  </si>
  <si>
    <t>OLUISD300090734</t>
  </si>
  <si>
    <t>9976AP2223120001</t>
  </si>
  <si>
    <t>SEHRISH</t>
  </si>
  <si>
    <t>37405-6624932-2</t>
  </si>
  <si>
    <t>03215119764</t>
  </si>
  <si>
    <t xml:space="preserve">H # 15 ST # 8 SECTOR F DHA PH 2 ISLAMABAD PK </t>
  </si>
  <si>
    <t>64794/0009/11/2022</t>
  </si>
  <si>
    <t>1897309</t>
  </si>
  <si>
    <t>501017</t>
  </si>
  <si>
    <t>PEUGEOT 2008 ALLURE</t>
  </si>
  <si>
    <t>08-NOV-2022</t>
  </si>
  <si>
    <t>OLDISD300090741</t>
  </si>
  <si>
    <t>108811/11/2022</t>
  </si>
  <si>
    <t>9976AP1223110010</t>
  </si>
  <si>
    <t>FARHAN ZAFAR</t>
  </si>
  <si>
    <t>42401-3838231-5</t>
  </si>
  <si>
    <t>NA</t>
  </si>
  <si>
    <t>0333-5475134</t>
  </si>
  <si>
    <t>051-4445789</t>
  </si>
  <si>
    <t xml:space="preserve">H NO 346 ST NO 10 GHORI TOWN PHASE III ISLAMABAD </t>
  </si>
  <si>
    <t>64794/00007/11/2022</t>
  </si>
  <si>
    <t>724598</t>
  </si>
  <si>
    <t>01263117</t>
  </si>
  <si>
    <t>AHT-536</t>
  </si>
  <si>
    <t>SUZUKI MEHRAN VXR EURO II</t>
  </si>
  <si>
    <t>OLUISD300090733</t>
  </si>
  <si>
    <t>9976AP1223120004</t>
  </si>
  <si>
    <t>MUHAMMAD SHAKEEL</t>
  </si>
  <si>
    <t>42101-1507171-5</t>
  </si>
  <si>
    <t>03002123659</t>
  </si>
  <si>
    <t xml:space="preserve">R- 624 BLOCK 18 FB AREA SAMNABAD GU LBERG FB AREA MAZEEDAR HALEEM KARACHI PK </t>
  </si>
  <si>
    <t>64794/00010/11/2022</t>
  </si>
  <si>
    <t>Q029872</t>
  </si>
  <si>
    <t>6007345</t>
  </si>
  <si>
    <t>BFL-679</t>
  </si>
  <si>
    <t>TOYOTA COROLLA ALTIS A/T</t>
  </si>
  <si>
    <t>2016</t>
  </si>
  <si>
    <t>OLUKHI300090739</t>
  </si>
  <si>
    <t>9300/11/2022/ITFM</t>
  </si>
  <si>
    <t>9976AD2212230001</t>
  </si>
  <si>
    <t>ALI RAZA</t>
  </si>
  <si>
    <t>35202-7802664-9</t>
  </si>
  <si>
    <t>03440435811</t>
  </si>
  <si>
    <t xml:space="preserve">95 J-1 BLOCK JOHAR TOWN AHMAAR PVT LTD MANAGEMENT HOUSE JOHAR TOWN LAHORE </t>
  </si>
  <si>
    <t>2524/02742/0009/11/2021</t>
  </si>
  <si>
    <t>190390</t>
  </si>
  <si>
    <t>1090375</t>
  </si>
  <si>
    <t>OLALHR300071813</t>
  </si>
  <si>
    <t>5581/11/2021</t>
  </si>
  <si>
    <t>9976AD1212120126</t>
  </si>
  <si>
    <t>USMAN ALI</t>
  </si>
  <si>
    <t>36302-0572577-1</t>
  </si>
  <si>
    <t>03008474132</t>
  </si>
  <si>
    <t>0614551166</t>
  </si>
  <si>
    <t xml:space="preserve">HOUSE NO 344/4 KUSHHAL COLONY KHAKH WANI STREET KHANEWAL ROAD MULTAN PK </t>
  </si>
  <si>
    <t>01-2111-PO-MTR-PCCM-D-001515</t>
  </si>
  <si>
    <t>6R189877</t>
  </si>
  <si>
    <t>NF1AET306H1089877</t>
  </si>
  <si>
    <t>SUZUKI ALTO VXR</t>
  </si>
  <si>
    <t>OLAMUX300071567</t>
  </si>
  <si>
    <t>5583/11/2021</t>
  </si>
  <si>
    <t>06-NOV-2021</t>
  </si>
  <si>
    <t>997APD1203170006</t>
  </si>
  <si>
    <t>NAWAZ AHMED</t>
  </si>
  <si>
    <t>35202-6560809-9</t>
  </si>
  <si>
    <t>03464565634</t>
  </si>
  <si>
    <t>3532145660</t>
  </si>
  <si>
    <t xml:space="preserve">1 KM DEFENCE ROAD OFF RAIWIND ROAD NEAR BGOBTIAN CHOWK LAHORE </t>
  </si>
  <si>
    <t>DIB/T/BT/29435/LHR/1120</t>
  </si>
  <si>
    <t>301240</t>
  </si>
  <si>
    <t>20002767</t>
  </si>
  <si>
    <t>FAW-V2</t>
  </si>
  <si>
    <t>12-NOV-2020</t>
  </si>
  <si>
    <t>PODLHR300060221</t>
  </si>
  <si>
    <t>3499/11/2020/ITFM</t>
  </si>
  <si>
    <t>997AAD2201810002</t>
  </si>
  <si>
    <t>TARIQ MEHMOOD</t>
  </si>
  <si>
    <t>SAHIWAL</t>
  </si>
  <si>
    <t>36502-1340727-9</t>
  </si>
  <si>
    <t>03016919667</t>
  </si>
  <si>
    <t xml:space="preserve">PLOT NO 45 ST NO 1 93/9-L COMSATS R OAD SAHIWAL PK </t>
  </si>
  <si>
    <t>2524/02150/00192/11/2020</t>
  </si>
  <si>
    <t>2A10756</t>
  </si>
  <si>
    <t>7006226</t>
  </si>
  <si>
    <t>TOYOTA YARIS GLI CVT 1.3</t>
  </si>
  <si>
    <t>29-JUN-2020</t>
  </si>
  <si>
    <t>POASHW300054475</t>
  </si>
  <si>
    <t>3493/11/2020/ITFM</t>
  </si>
  <si>
    <t>9976AP1213120073</t>
  </si>
  <si>
    <t>MUHAMMAD ANNUS KHAN</t>
  </si>
  <si>
    <t>42101-6768225-7</t>
  </si>
  <si>
    <t>03323224208</t>
  </si>
  <si>
    <t>03158290158</t>
  </si>
  <si>
    <t>36335158</t>
  </si>
  <si>
    <t xml:space="preserve">R- 208, BLOCK 1, SHARIFABAD, FB ARE A, BLOCK 1 NEAR AL AZAM SQUARE KARACHI PK </t>
  </si>
  <si>
    <t>DIB/T/34311/KHI/1121</t>
  </si>
  <si>
    <t>3745777</t>
  </si>
  <si>
    <t>R-119840</t>
  </si>
  <si>
    <t>BCC-883</t>
  </si>
  <si>
    <t>HONDA CIVIC VTI ORIEL</t>
  </si>
  <si>
    <t>2014</t>
  </si>
  <si>
    <t>08-NOV-2021</t>
  </si>
  <si>
    <t>OLUKHI300078203</t>
  </si>
  <si>
    <t>9976AD2212740075</t>
  </si>
  <si>
    <t>SARIM SOHAIL</t>
  </si>
  <si>
    <t>37405-4673915-5</t>
  </si>
  <si>
    <t>03018932382</t>
  </si>
  <si>
    <t xml:space="preserve">HOUSE NO 39-D, STREET NO 14, ASKARI 10 LAHORE CANTT 0301-8932382 </t>
  </si>
  <si>
    <t>56607/00011/11/2021</t>
  </si>
  <si>
    <t>R18Z16927609</t>
  </si>
  <si>
    <t>NFBFC6668MR080191</t>
  </si>
  <si>
    <t>HONDA CIVIC VTI ORIEL PT</t>
  </si>
  <si>
    <t>01-OCT-2021</t>
  </si>
  <si>
    <t>OLALHR300073908</t>
  </si>
  <si>
    <t>DIB0032400</t>
  </si>
  <si>
    <t>997AAD1202120054</t>
  </si>
  <si>
    <t>SYED SHAHID MUSTAFA</t>
  </si>
  <si>
    <t>35201-1691311-7</t>
  </si>
  <si>
    <t>03248411953 03218411953</t>
  </si>
  <si>
    <t>0321-8411953</t>
  </si>
  <si>
    <t>35862332-3</t>
  </si>
  <si>
    <t xml:space="preserve">H # 284 BLOCK J PHASE 1 DHA LAHORE </t>
  </si>
  <si>
    <t>DIB/T/29437/LHR/1120</t>
  </si>
  <si>
    <t>H327353</t>
  </si>
  <si>
    <t>KP506221</t>
  </si>
  <si>
    <t>POALHR300056213</t>
  </si>
  <si>
    <t>9976AD1211400010</t>
  </si>
  <si>
    <t>PIRZADA AHSAR SUQLAIN</t>
  </si>
  <si>
    <t>35202-4706938-9</t>
  </si>
  <si>
    <t>03009436923</t>
  </si>
  <si>
    <t xml:space="preserve">H # 118 ST # 8 SECTOR E PHASE 8 BAH RIA TOWN RAWALPINDI PK </t>
  </si>
  <si>
    <t>PO-MTR-PCCM-D-001514</t>
  </si>
  <si>
    <t>318193</t>
  </si>
  <si>
    <t>513592</t>
  </si>
  <si>
    <t>20-MAY-2021</t>
  </si>
  <si>
    <t>OLARWP300068814</t>
  </si>
  <si>
    <t>9976AD1212870025</t>
  </si>
  <si>
    <t>AFZAL RASOOL AHMED</t>
  </si>
  <si>
    <t>34603-7763645-7</t>
  </si>
  <si>
    <t>03008471789</t>
  </si>
  <si>
    <t xml:space="preserve">MOH BABE BERI GALI TALAB WALI NEAR HAFIZ KARYANA ROAD PASRUR ROAD SIALKOT PK </t>
  </si>
  <si>
    <t>PL-1021-1101010102-V14-D-00485</t>
  </si>
  <si>
    <t>188065</t>
  </si>
  <si>
    <t>1088035</t>
  </si>
  <si>
    <t>14-OCT-2021</t>
  </si>
  <si>
    <t>OLASKT30007475</t>
  </si>
  <si>
    <t>DIB0032152</t>
  </si>
  <si>
    <t>9976AP1213120078</t>
  </si>
  <si>
    <t>ZEESHAN HUSSAIN</t>
  </si>
  <si>
    <t>SARGODHA</t>
  </si>
  <si>
    <t>38403-2214965-5</t>
  </si>
  <si>
    <t>03007200007</t>
  </si>
  <si>
    <t xml:space="preserve">HOUSE NO. 786, STREET NO. 1, ISLAMPURA, SARGODHA. 0300-7200007 </t>
  </si>
  <si>
    <t>UWT/D/T002/0000001126/1121/109-0</t>
  </si>
  <si>
    <t>PK10K152612</t>
  </si>
  <si>
    <t>NF1AVK31H10052599</t>
  </si>
  <si>
    <t>OLUSGD300078052</t>
  </si>
  <si>
    <t>DIB0032404</t>
  </si>
  <si>
    <t>9976AD1192110003</t>
  </si>
  <si>
    <t>NAUMAN MUSTAFA AWAN</t>
  </si>
  <si>
    <t>37201-1741239-9</t>
  </si>
  <si>
    <t>03335904302</t>
  </si>
  <si>
    <t>0512804401</t>
  </si>
  <si>
    <t xml:space="preserve">FLAT # 01 BLOCK # 14 / 7 G - 7 MARK AZ NEAR PETROL PUMP ISLAMABAD PK </t>
  </si>
  <si>
    <t>01-1911-PO-MTR-PCCM-D-002835</t>
  </si>
  <si>
    <t>6R119480</t>
  </si>
  <si>
    <t>1019136</t>
  </si>
  <si>
    <t>APU-024</t>
  </si>
  <si>
    <t>ALTO VXL AGS EURO-II</t>
  </si>
  <si>
    <t>30-JUL-2019</t>
  </si>
  <si>
    <t>11-NOV-2019</t>
  </si>
  <si>
    <t>POAISD300047981</t>
  </si>
  <si>
    <t>1977/11/2019/ITFM</t>
  </si>
  <si>
    <t>07-NOV-2019</t>
  </si>
  <si>
    <t>997AAD1202680018</t>
  </si>
  <si>
    <t>ASAD JAVED</t>
  </si>
  <si>
    <t>61101-4693224-7</t>
  </si>
  <si>
    <t>03314440602</t>
  </si>
  <si>
    <t xml:space="preserve">ASAD JAVED HOUSE NO 116 STREET NO 42 G-10/4 ISLAMABAD </t>
  </si>
  <si>
    <t>2524/02208/00007/11/2020</t>
  </si>
  <si>
    <t>144342</t>
  </si>
  <si>
    <t>1043315</t>
  </si>
  <si>
    <t>ALTO VX EURO-II</t>
  </si>
  <si>
    <t>POAISD300057531</t>
  </si>
  <si>
    <t>DIB0029014</t>
  </si>
  <si>
    <t>997AAD1202930002</t>
  </si>
  <si>
    <t>ZAREEN SALMAN</t>
  </si>
  <si>
    <t>33100-4587047-2</t>
  </si>
  <si>
    <t>03247420300</t>
  </si>
  <si>
    <t>0321-8484777</t>
  </si>
  <si>
    <t xml:space="preserve">FIRST STEP EDUCATIONAL SYSTEM PVT LTD EAST CANAL ROAD OFF KASHMIR BRIDGE FAISALABAD </t>
  </si>
  <si>
    <t>2524/02150/00193/11/2020</t>
  </si>
  <si>
    <t>144371</t>
  </si>
  <si>
    <t>1043844</t>
  </si>
  <si>
    <t>ALTO VX EURO II</t>
  </si>
  <si>
    <t>19-OCT-2020</t>
  </si>
  <si>
    <t>POAFSD300058793</t>
  </si>
  <si>
    <t>DIB0029005</t>
  </si>
  <si>
    <t>997APD2203140003</t>
  </si>
  <si>
    <t>MUHAMMAD USMAN SAEED</t>
  </si>
  <si>
    <t>35201-2468933-7</t>
  </si>
  <si>
    <t>03214188321</t>
  </si>
  <si>
    <t>04235747060</t>
  </si>
  <si>
    <t xml:space="preserve">1ST FLOOR MEEZAN BANK T-BLOCK PLOT NO 7 CCA-2 PHASE II DHA LAHORE </t>
  </si>
  <si>
    <t>53157/00019/11/2020</t>
  </si>
  <si>
    <t>PK10B127808</t>
  </si>
  <si>
    <t>A1J310PK10027793</t>
  </si>
  <si>
    <t>LEB-17-6401</t>
  </si>
  <si>
    <t>POULHR300060362</t>
  </si>
  <si>
    <t>3508/11/2020/ITFM</t>
  </si>
  <si>
    <t>07-NOV-2020</t>
  </si>
  <si>
    <t>997AAD1202960016</t>
  </si>
  <si>
    <t>IBTIHAJ UDDIN</t>
  </si>
  <si>
    <t>42101-5826182-9</t>
  </si>
  <si>
    <t>36312392</t>
  </si>
  <si>
    <t>03323033112</t>
  </si>
  <si>
    <t xml:space="preserve">REVAMP HOUSE NO 1337 R BLOCK 15 FB AREA CENTRAL GULBERG TOWN KARACHI </t>
  </si>
  <si>
    <t>2524/02208/00008/11/2020</t>
  </si>
  <si>
    <t>6R142617</t>
  </si>
  <si>
    <t>NF1AET306H1042581</t>
  </si>
  <si>
    <t>ALTO VXL AGS EURO II</t>
  </si>
  <si>
    <t>POAKHI300058891</t>
  </si>
  <si>
    <t>DIB0028994</t>
  </si>
  <si>
    <t>997AAD1202730039</t>
  </si>
  <si>
    <t>ZABI ULLAH NAGRA</t>
  </si>
  <si>
    <t>35202-9655638-9</t>
  </si>
  <si>
    <t>03218442175</t>
  </si>
  <si>
    <t xml:space="preserve">9-FANE ROAD, BEHIND PUNJAB BAR COUN CIL BUILDING LAHORE </t>
  </si>
  <si>
    <t>53157/00022/11/2020</t>
  </si>
  <si>
    <t>325789</t>
  </si>
  <si>
    <t>100163</t>
  </si>
  <si>
    <t>SPORTAGE ALPHA</t>
  </si>
  <si>
    <t>29-SEP-2020</t>
  </si>
  <si>
    <t>POALHR300057702</t>
  </si>
  <si>
    <t>9976AD2212180071</t>
  </si>
  <si>
    <t>WASEEM AKRAM</t>
  </si>
  <si>
    <t>Burewala</t>
  </si>
  <si>
    <t>36601-7184165-3</t>
  </si>
  <si>
    <t>00971501901136 03336627048</t>
  </si>
  <si>
    <t xml:space="preserve">S/O MUHAMMAD AKRAM CHAK NO. 373/E.B P/O KHAS BUREWALA 03336627048 </t>
  </si>
  <si>
    <t>2524/02742/00024/10/2021</t>
  </si>
  <si>
    <t>PK10B220553</t>
  </si>
  <si>
    <t>A1J310PK10120481</t>
  </si>
  <si>
    <t>RDA</t>
  </si>
  <si>
    <t>SUZUKI WAGONR VXR</t>
  </si>
  <si>
    <t>06-AUG-2021</t>
  </si>
  <si>
    <t>OLABRW300071309</t>
  </si>
  <si>
    <t>5499/10/2021/ITFM</t>
  </si>
  <si>
    <t>07-NOV-2021</t>
  </si>
  <si>
    <t>9976AP1183180005</t>
  </si>
  <si>
    <t>MUHAMMAD KHURRAM ZAHUR BAJWA</t>
  </si>
  <si>
    <t>35202-2333946-5</t>
  </si>
  <si>
    <t>03313290999</t>
  </si>
  <si>
    <t xml:space="preserve">C S 223 UNIVERSITY OF LHR DEFENCE R OAD BHOBATIAN CHOWK LAHORE </t>
  </si>
  <si>
    <t>50025/00015/10/2018</t>
  </si>
  <si>
    <t>7520220</t>
  </si>
  <si>
    <t>JR236762</t>
  </si>
  <si>
    <t>LEC-18A-9375</t>
  </si>
  <si>
    <t>HONDA CITY IVTEC M/T</t>
  </si>
  <si>
    <t>14-NOV-2018</t>
  </si>
  <si>
    <t>21-NOV-2018</t>
  </si>
  <si>
    <t>PODLHR300040093</t>
  </si>
  <si>
    <t>FTSM</t>
  </si>
  <si>
    <t>16760/11/2018/FTSM</t>
  </si>
  <si>
    <t>08-NOV-2018</t>
  </si>
  <si>
    <t>3.1%</t>
  </si>
  <si>
    <t>9976AD1220840043</t>
  </si>
  <si>
    <t>SHEIKH MUHAMMAD SABEEH</t>
  </si>
  <si>
    <t>37405-4690602-7</t>
  </si>
  <si>
    <t>03351599872</t>
  </si>
  <si>
    <t xml:space="preserve">H # B-89 BLOCK B SATELLITE TOWN NEA R JAMSHAID BOYS HOSTEL RAWALPINDI PK </t>
  </si>
  <si>
    <t>64794/00013/11/2022</t>
  </si>
  <si>
    <t>1009739</t>
  </si>
  <si>
    <t>109741</t>
  </si>
  <si>
    <t>SUZUKI SWIFT GLX CVT</t>
  </si>
  <si>
    <t>25-MAR-2022</t>
  </si>
  <si>
    <t>OLAISD300085954</t>
  </si>
  <si>
    <t>DIB0034819</t>
  </si>
  <si>
    <t>9976AP2223140001</t>
  </si>
  <si>
    <t>TAHSEEN AHMED</t>
  </si>
  <si>
    <t>42201-9071854-9</t>
  </si>
  <si>
    <t>03002202579</t>
  </si>
  <si>
    <t xml:space="preserve">39-E BLOCK 6 FIRST FLOOR PECHS RAWA L MASJID KARACHI PK </t>
  </si>
  <si>
    <t>64794/00014/11/2022</t>
  </si>
  <si>
    <t>286677</t>
  </si>
  <si>
    <t>4038826</t>
  </si>
  <si>
    <t>BDV-285</t>
  </si>
  <si>
    <t>TOYOTA COROLLA GLI MT</t>
  </si>
  <si>
    <t>2015</t>
  </si>
  <si>
    <t>10-NOV-2022</t>
  </si>
  <si>
    <t>OLUKHI300090738</t>
  </si>
  <si>
    <t>9306/11/2022/ITFM</t>
  </si>
  <si>
    <t>9976AP1223140004</t>
  </si>
  <si>
    <t>HAMMAD KHALID</t>
  </si>
  <si>
    <t>42101-8642987-9</t>
  </si>
  <si>
    <t>03332085028</t>
  </si>
  <si>
    <t xml:space="preserve">L- 497 1ST FLOOR SEC 5-C /2 NORTH K HI ROSE APPARTMENT KARACHI PK </t>
  </si>
  <si>
    <t>64794/00016/11/2022</t>
  </si>
  <si>
    <t>480532</t>
  </si>
  <si>
    <t>4105936</t>
  </si>
  <si>
    <t>BHP-717</t>
  </si>
  <si>
    <t>OLUKHI300090754</t>
  </si>
  <si>
    <t>9320/11/2022/ITFM</t>
  </si>
  <si>
    <t>9976AD1221030005</t>
  </si>
  <si>
    <t>MIAN JALAL UDDIN BANDAY</t>
  </si>
  <si>
    <t>37405-5041296-5</t>
  </si>
  <si>
    <t>03335305716</t>
  </si>
  <si>
    <t>0514842421</t>
  </si>
  <si>
    <t xml:space="preserve">H # 22 ST # 3 BLOCK F SHALIMAR ROAD SOAN GARDEN ISLAMABAD PK </t>
  </si>
  <si>
    <t>64794/00012/11/2022</t>
  </si>
  <si>
    <t>1009429</t>
  </si>
  <si>
    <t>109446</t>
  </si>
  <si>
    <t>13-APR-2022</t>
  </si>
  <si>
    <t>OLAISD300086443</t>
  </si>
  <si>
    <t>9303/11/2022</t>
  </si>
  <si>
    <t>9976AD1222730013</t>
  </si>
  <si>
    <t>UZAIR SAJJAD</t>
  </si>
  <si>
    <t>Bahawalpur</t>
  </si>
  <si>
    <t>31202-9542659-3</t>
  </si>
  <si>
    <t>00966558962216</t>
  </si>
  <si>
    <t xml:space="preserve">MADINAH QIBLATTIN DIST 42351 SAUDI ARABIA </t>
  </si>
  <si>
    <t>64794/00015/11/2022</t>
  </si>
  <si>
    <t>241050</t>
  </si>
  <si>
    <t>10141046</t>
  </si>
  <si>
    <t>30-SEP-2022</t>
  </si>
  <si>
    <t>03-DEC-2022</t>
  </si>
  <si>
    <t>OLABHP300090163</t>
  </si>
  <si>
    <t>9312/11/2022/ITFM</t>
  </si>
  <si>
    <t>1.4%</t>
  </si>
  <si>
    <t>9976AD1232820001</t>
  </si>
  <si>
    <t>SAYED SAJJAD HUSSAIN MUSAVI</t>
  </si>
  <si>
    <t>45502-5958413-7</t>
  </si>
  <si>
    <t>03337102949</t>
  </si>
  <si>
    <t xml:space="preserve">FLAT NO 501 5TH FLOOR SEA CASTLE 1 CLIFTON BLOCK 3 AND 4 KHI KARACHI PK </t>
  </si>
  <si>
    <t>77638/00002/11/2023</t>
  </si>
  <si>
    <t>06-NOV-2024</t>
  </si>
  <si>
    <t>81014737</t>
  </si>
  <si>
    <t>034297</t>
  </si>
  <si>
    <t>11-NOV-2023</t>
  </si>
  <si>
    <t>OLAKHI300097370</t>
  </si>
  <si>
    <t>DIB0035394</t>
  </si>
  <si>
    <t>27-OCT-2023</t>
  </si>
  <si>
    <t>9976AP2213140044</t>
  </si>
  <si>
    <t>MUHAMMAD TAYYAB YAQUB</t>
  </si>
  <si>
    <t>33102-2485464-1</t>
  </si>
  <si>
    <t>03004562537</t>
  </si>
  <si>
    <t>03004562537, 03004562537</t>
  </si>
  <si>
    <t xml:space="preserve">157 MOHALLA KORIAN SAMUNDRI ROAD D TYPE COLONY NEARE BOHAR WALI MASJID FAISALABAD PK </t>
  </si>
  <si>
    <t>56038/00084/10/2021</t>
  </si>
  <si>
    <t>1016784</t>
  </si>
  <si>
    <t>PK0113291</t>
  </si>
  <si>
    <t>SUZUKI BOLAN VX EURO II</t>
  </si>
  <si>
    <t>10-NOV-2021</t>
  </si>
  <si>
    <t>OLDFSD300078242</t>
  </si>
  <si>
    <t>DIB0032347</t>
  </si>
  <si>
    <t>9976AP2213130036</t>
  </si>
  <si>
    <t>DANISH RIAZ</t>
  </si>
  <si>
    <t>33100-2734803-3</t>
  </si>
  <si>
    <t>8781274 03007622075</t>
  </si>
  <si>
    <t>03007622075</t>
  </si>
  <si>
    <t>0418580060</t>
  </si>
  <si>
    <t xml:space="preserve">HOUSE NO.80, STREET NO.3 UMAR BLOCK, MUSLIM TOWN NO.1 FAISALABAD </t>
  </si>
  <si>
    <t>56607/00014/11/2021</t>
  </si>
  <si>
    <t>134290</t>
  </si>
  <si>
    <t>10034302</t>
  </si>
  <si>
    <t>LE-19-9819</t>
  </si>
  <si>
    <t>09-NOV-2021</t>
  </si>
  <si>
    <t>OLUFSD300078252</t>
  </si>
  <si>
    <t>DIB0032418</t>
  </si>
  <si>
    <t>9976AD2212250015</t>
  </si>
  <si>
    <t>FAIZ UR REHMAN ZAHID</t>
  </si>
  <si>
    <t>14301-2003773-9</t>
  </si>
  <si>
    <t>0515430548</t>
  </si>
  <si>
    <t>0518023010</t>
  </si>
  <si>
    <t xml:space="preserve">H # 64-B ST # 7 FECHS LOHI BHER SEC TOR O-9 ISLAMABAD PK </t>
  </si>
  <si>
    <t>01-2111-PO-MTR-PCCM-D-001533</t>
  </si>
  <si>
    <t>6R191974</t>
  </si>
  <si>
    <t>1091928</t>
  </si>
  <si>
    <t>13-AUG-2021</t>
  </si>
  <si>
    <t>OLAISD300071915</t>
  </si>
  <si>
    <t>DIB0032428</t>
  </si>
  <si>
    <t>9976AP2213130035</t>
  </si>
  <si>
    <t>ZUKHRAF JAMIL</t>
  </si>
  <si>
    <t>61101-7906867-0</t>
  </si>
  <si>
    <t>03345381860</t>
  </si>
  <si>
    <t xml:space="preserve">H # 620 ST # 12/1 BLOCK-B NATIONAL POLICE FOUNDATION SECTOR O-9 NEAR G ISLAMABAD PK </t>
  </si>
  <si>
    <t>56607/00015/11/2021</t>
  </si>
  <si>
    <t>79755064</t>
  </si>
  <si>
    <t>190192</t>
  </si>
  <si>
    <t>ABE-262</t>
  </si>
  <si>
    <t>OLUISDAT300078362</t>
  </si>
  <si>
    <t>DIB0032420</t>
  </si>
  <si>
    <t>9976AD1210810005</t>
  </si>
  <si>
    <t>MUHAMMAD SIDDIQUE</t>
  </si>
  <si>
    <t>31202-1631060-1</t>
  </si>
  <si>
    <t>03008464402</t>
  </si>
  <si>
    <t xml:space="preserve">JOREY PUL BAHAR SHAH ROAD AL FAISAL TOWN LAHORE CANTT LAHORE </t>
  </si>
  <si>
    <t>DIB/T/34322/LHR/1121</t>
  </si>
  <si>
    <t>518223</t>
  </si>
  <si>
    <t>1003905</t>
  </si>
  <si>
    <t>ALSVIN 1.5L LUMIERE</t>
  </si>
  <si>
    <t>22-MAR-2021</t>
  </si>
  <si>
    <t>OLALHR300066859</t>
  </si>
  <si>
    <t>TDIDIB0029799</t>
  </si>
  <si>
    <t>997AAD2203660006</t>
  </si>
  <si>
    <t>JAVED IQBAL MUGHAL</t>
  </si>
  <si>
    <t>42201-7570368-3</t>
  </si>
  <si>
    <t>03008230290</t>
  </si>
  <si>
    <t>02132460050</t>
  </si>
  <si>
    <t xml:space="preserve">SUIT NO 611- 612 FLOOR POONAWALA TR ADE TOWER DANDIA BAZAR KARACHI </t>
  </si>
  <si>
    <t>DIB/T/34321/KHI/1121</t>
  </si>
  <si>
    <t>5MGM6250379</t>
  </si>
  <si>
    <t>MN116315</t>
  </si>
  <si>
    <t>MG HS TURBO</t>
  </si>
  <si>
    <t>31-DEC-2020</t>
  </si>
  <si>
    <t>OLAKHI300064538</t>
  </si>
  <si>
    <t>TDIDIB0029791</t>
  </si>
  <si>
    <t>9976AD2211200010</t>
  </si>
  <si>
    <t>SYED REHAN BIN WARIS GILLANI</t>
  </si>
  <si>
    <t>35200-1532614-1</t>
  </si>
  <si>
    <t>03028409999</t>
  </si>
  <si>
    <t>04236162336 7</t>
  </si>
  <si>
    <t xml:space="preserve">H NO 173 PHASE NO 2 DHA LAHORE LAHORE </t>
  </si>
  <si>
    <t>56607/00017/11/2021</t>
  </si>
  <si>
    <t>1GD5065229</t>
  </si>
  <si>
    <t>R-5548737</t>
  </si>
  <si>
    <t>HLIUX REVO V DC A/T 4X4</t>
  </si>
  <si>
    <t>OLALHR300068433</t>
  </si>
  <si>
    <t>DIB0032431</t>
  </si>
  <si>
    <t>997AAD2210670001</t>
  </si>
  <si>
    <t>MAZHAR UL HAQ</t>
  </si>
  <si>
    <t>03216456380</t>
  </si>
  <si>
    <t xml:space="preserve">KORN MILLS PVT LTD 10 KM LAHORE SIDE G T ROAD GUJRANWALA </t>
  </si>
  <si>
    <t>56607/00018/11/2021</t>
  </si>
  <si>
    <t>1GD5078075</t>
  </si>
  <si>
    <t>1096765</t>
  </si>
  <si>
    <t>TOYOTA FORTUNER 4X4 SPORTIV</t>
  </si>
  <si>
    <t>08-MAR-2021</t>
  </si>
  <si>
    <t>27-NOV-2021</t>
  </si>
  <si>
    <t>OLAGWL300066546</t>
  </si>
  <si>
    <t>ITMT</t>
  </si>
  <si>
    <t>5589/11/2021/ITMM</t>
  </si>
  <si>
    <t>9976AP1223140003</t>
  </si>
  <si>
    <t>MUHAMMAD ARSALAN GULL</t>
  </si>
  <si>
    <t>37405-7320530-1</t>
  </si>
  <si>
    <t>03170007516</t>
  </si>
  <si>
    <t xml:space="preserve">H NO CB-2786, LANE 02, MUKARAM TOWN CHUR HAMPAL RAWALPINDI. </t>
  </si>
  <si>
    <t>64794/00017/11/2022</t>
  </si>
  <si>
    <t>12908456</t>
  </si>
  <si>
    <t>011460</t>
  </si>
  <si>
    <t>HONDA CIVIC VTI ORIEL P/T</t>
  </si>
  <si>
    <t>OLURWP300090763</t>
  </si>
  <si>
    <t>108813/11/2022</t>
  </si>
  <si>
    <t>9976AP2223200007</t>
  </si>
  <si>
    <t>MUHAMMAD MUBEEN IQBAL</t>
  </si>
  <si>
    <t>37302-8820227-3</t>
  </si>
  <si>
    <t>03445849745</t>
  </si>
  <si>
    <t>0512215262</t>
  </si>
  <si>
    <t xml:space="preserve">H # 114S ST # 2 SECTOR G-12 NEAR MA ILK BOYS HOSTAL ISLAMABAD PK </t>
  </si>
  <si>
    <t>64794/00018/11/2022</t>
  </si>
  <si>
    <t>607544</t>
  </si>
  <si>
    <t>514423</t>
  </si>
  <si>
    <t>DS-635</t>
  </si>
  <si>
    <t>SUZUKI CULTUS VXR EURO-II</t>
  </si>
  <si>
    <t>16-NOV-2022</t>
  </si>
  <si>
    <t>21-NOV-2022</t>
  </si>
  <si>
    <t>OLUISD300090764</t>
  </si>
  <si>
    <t>108814/11/2022</t>
  </si>
  <si>
    <t>9976AD1212650002</t>
  </si>
  <si>
    <t>ARSHAD FAROOQ</t>
  </si>
  <si>
    <t>37405-6982755-5</t>
  </si>
  <si>
    <t>03345353612</t>
  </si>
  <si>
    <t>0515551825</t>
  </si>
  <si>
    <t xml:space="preserve">H # 61 GROUND FLOOR MUBARIK LANE #2 ADYALA ROAD RAWALPINDI PK </t>
  </si>
  <si>
    <t>2021-11-205-V01501DP0002759</t>
  </si>
  <si>
    <t>1016963</t>
  </si>
  <si>
    <t>01133476</t>
  </si>
  <si>
    <t>22-SEP-2021</t>
  </si>
  <si>
    <t>OLARWP300073901</t>
  </si>
  <si>
    <t>DIB0032444</t>
  </si>
  <si>
    <t>9976AD1211960010</t>
  </si>
  <si>
    <t>MUHAMMAD USMAN</t>
  </si>
  <si>
    <t>34101-3445040-1</t>
  </si>
  <si>
    <t>03008724748</t>
  </si>
  <si>
    <t xml:space="preserve">H NO 57 BLOCK FF G MANGNOLIA PARK N EAR HADI SUPER STORE GUJRANWALA PK </t>
  </si>
  <si>
    <t>56607/00026/11/2021</t>
  </si>
  <si>
    <t>191014</t>
  </si>
  <si>
    <t>1091064</t>
  </si>
  <si>
    <t>15-JUL-2021</t>
  </si>
  <si>
    <t>OLAGWL300070600</t>
  </si>
  <si>
    <t>5593/11/2021/ITFM</t>
  </si>
  <si>
    <t>9976AD1212110037</t>
  </si>
  <si>
    <t>MALIK MUHAMMAD NADEEM AWAN</t>
  </si>
  <si>
    <t>35201-1672072-5</t>
  </si>
  <si>
    <t>03004267807</t>
  </si>
  <si>
    <t xml:space="preserve">DACCA ROAD QASIM BUILDING SADAR BAZ AR LAHORE CANTT NEAR HBL BANK LAHORE </t>
  </si>
  <si>
    <t>2021-11-205-V01501OP0002755</t>
  </si>
  <si>
    <t>186931</t>
  </si>
  <si>
    <t>10086927</t>
  </si>
  <si>
    <t>SUZUKI CULTUS VXL EUROII</t>
  </si>
  <si>
    <t>30-JUL-2021</t>
  </si>
  <si>
    <t>OLALHR300071224</t>
  </si>
  <si>
    <t>DIB0032436</t>
  </si>
  <si>
    <t>997APD2203160003</t>
  </si>
  <si>
    <t>FAREED FATEH ALI JESSANI</t>
  </si>
  <si>
    <t>42101-1735191-3</t>
  </si>
  <si>
    <t>03003611599</t>
  </si>
  <si>
    <t>032722087</t>
  </si>
  <si>
    <t xml:space="preserve">HOUSE # T/547 BLOCK-03 KARIMABAD CO LONY F.B.AREA NEAR AGHA KHAN JAMAT KARACHI PK </t>
  </si>
  <si>
    <t>53157/00028/11/2020</t>
  </si>
  <si>
    <t>Q030649</t>
  </si>
  <si>
    <t>6008134</t>
  </si>
  <si>
    <t>BFR-858</t>
  </si>
  <si>
    <t>TOYOTA COROLLA ALTIS</t>
  </si>
  <si>
    <t>POUKHI300060522</t>
  </si>
  <si>
    <t>3515/11/2020/ITFM</t>
  </si>
  <si>
    <t>997APD1203150011</t>
  </si>
  <si>
    <t>MUHAMMAD NASIR SIDDIQUE</t>
  </si>
  <si>
    <t>35202-9502649-1</t>
  </si>
  <si>
    <t>03218480932</t>
  </si>
  <si>
    <t>04237211655</t>
  </si>
  <si>
    <t xml:space="preserve">40 MAIN BAZAR FOOD STREET OLD ANARK ALI LAHORE </t>
  </si>
  <si>
    <t>53157/00029/11/2020</t>
  </si>
  <si>
    <t>Z567033</t>
  </si>
  <si>
    <t>NZE170R-4192765</t>
  </si>
  <si>
    <t>LE-19A-7170</t>
  </si>
  <si>
    <t>COROLLA GLI A/T</t>
  </si>
  <si>
    <t>10-NOV-2020</t>
  </si>
  <si>
    <t>POULHR300060601</t>
  </si>
  <si>
    <t>3516/11/2020/ITFM</t>
  </si>
  <si>
    <t>9976AD1211470028</t>
  </si>
  <si>
    <t>GHULAM SUGHRAN</t>
  </si>
  <si>
    <t>35404-7640896-4</t>
  </si>
  <si>
    <t>03314470454</t>
  </si>
  <si>
    <t>99213739</t>
  </si>
  <si>
    <t xml:space="preserve">GILLI SHAH SIR MAST SHAH SHARIF PUR A HAFIZABAD PK </t>
  </si>
  <si>
    <t>2524/02742/00028/11/2021</t>
  </si>
  <si>
    <t>36099</t>
  </si>
  <si>
    <t>307689</t>
  </si>
  <si>
    <t>KIA SPORTAGE FWD</t>
  </si>
  <si>
    <t>27-MAY-2021</t>
  </si>
  <si>
    <t>OLALHR300068951</t>
  </si>
  <si>
    <t>9976AD2212420003</t>
  </si>
  <si>
    <t>MUHAMMAD ASHFAQ ZIA</t>
  </si>
  <si>
    <t>35302-3250000-7</t>
  </si>
  <si>
    <t>0336-4353356</t>
  </si>
  <si>
    <t>03336981590</t>
  </si>
  <si>
    <t xml:space="preserve">FAIZPUR INTERCHANGE M2 MOTORWAY LAHORE </t>
  </si>
  <si>
    <t>2524/02742/00026/11/2021</t>
  </si>
  <si>
    <t>1001234</t>
  </si>
  <si>
    <t>MR005195</t>
  </si>
  <si>
    <t>CITY ASPIRE A/T</t>
  </si>
  <si>
    <t>30-AUG-2021</t>
  </si>
  <si>
    <t>OLALHR300072432</t>
  </si>
  <si>
    <t>DIB0032433</t>
  </si>
  <si>
    <t>9976AP1213140094</t>
  </si>
  <si>
    <t>SYED IMRAN RAZA ZAIDI</t>
  </si>
  <si>
    <t>37405-2813481-5</t>
  </si>
  <si>
    <t>03336555001</t>
  </si>
  <si>
    <t xml:space="preserve">HOUSE NO 306 STREET NO 22 NEAR FATIMA MOSQUE BAHRIA TOWN PHASE-7 RAWALPINDI. </t>
  </si>
  <si>
    <t>56607/00021/11/2021</t>
  </si>
  <si>
    <t>1001391</t>
  </si>
  <si>
    <t>005537</t>
  </si>
  <si>
    <t>OLDRWP300078513</t>
  </si>
  <si>
    <t>DIB0032434</t>
  </si>
  <si>
    <t>9976AD2210970003</t>
  </si>
  <si>
    <t>SADAF NAZ</t>
  </si>
  <si>
    <t>37405-7202627-8</t>
  </si>
  <si>
    <t>0336-1503732</t>
  </si>
  <si>
    <t>051-2614349</t>
  </si>
  <si>
    <t xml:space="preserve">COLONY GOLRA MORR PESHAWAR ROAD RAWALPINDI </t>
  </si>
  <si>
    <t>DIB/T/34336/ISB/1121</t>
  </si>
  <si>
    <t>083421</t>
  </si>
  <si>
    <t>6060973</t>
  </si>
  <si>
    <t>COROLLA ALTIS A/T</t>
  </si>
  <si>
    <t>07-APR-2021</t>
  </si>
  <si>
    <t>03-Dec-2028</t>
  </si>
  <si>
    <t>OLAISD300067631</t>
  </si>
  <si>
    <t>TDIDIB0029810</t>
  </si>
  <si>
    <t>9976AD1212440012</t>
  </si>
  <si>
    <t>FAISAL SHAHZAD</t>
  </si>
  <si>
    <t>MANDIBAHUDDIN</t>
  </si>
  <si>
    <t>34402-9964263-9</t>
  </si>
  <si>
    <t>00971558283567 03456285468</t>
  </si>
  <si>
    <t xml:space="preserve">SHARJAH MUWELAH 25235 UNITED ARAB EMIRATES </t>
  </si>
  <si>
    <t>56607/00022/11/2021</t>
  </si>
  <si>
    <t>Q083137</t>
  </si>
  <si>
    <t>6060628</t>
  </si>
  <si>
    <t>01-SEP-2021</t>
  </si>
  <si>
    <t>21-Nov-2028</t>
  </si>
  <si>
    <t>OLAMNB300072634</t>
  </si>
  <si>
    <t>DIB0032399</t>
  </si>
  <si>
    <t>997APD2203210015</t>
  </si>
  <si>
    <t>MUHAMMAD FARHAN</t>
  </si>
  <si>
    <t>42101-1363392-1</t>
  </si>
  <si>
    <t>03002014317</t>
  </si>
  <si>
    <t xml:space="preserve">HOUSE # A-124 ISHAQABAD BLOCK 1 FB AREA KARACHI PK </t>
  </si>
  <si>
    <t>53157/00027/11/2020</t>
  </si>
  <si>
    <t>5051718</t>
  </si>
  <si>
    <t>1107710</t>
  </si>
  <si>
    <t>RCN</t>
  </si>
  <si>
    <t>HONDA VEZEL</t>
  </si>
  <si>
    <t>16-NOV-2020</t>
  </si>
  <si>
    <t>POUKHI300060171</t>
  </si>
  <si>
    <t>3517/11/2020/ITFM</t>
  </si>
  <si>
    <t>9976AD1212810010</t>
  </si>
  <si>
    <t>AHMED NADEEM</t>
  </si>
  <si>
    <t>82303-0332382-9</t>
  </si>
  <si>
    <t>0097466026822</t>
  </si>
  <si>
    <t xml:space="preserve">VILLA 15 STREET 288 ZONE 46 AIN KHALID DOHA 288 QATAR </t>
  </si>
  <si>
    <t>56607/00025/11/2021</t>
  </si>
  <si>
    <t>Q083741</t>
  </si>
  <si>
    <t>R-6061192</t>
  </si>
  <si>
    <t>08-OCT-2021</t>
  </si>
  <si>
    <t>OLARWP300074652</t>
  </si>
  <si>
    <t>DIB0032442</t>
  </si>
  <si>
    <t>9976AD1212840003</t>
  </si>
  <si>
    <t>AMIR IQBAL</t>
  </si>
  <si>
    <t>61101-8458291-1</t>
  </si>
  <si>
    <t>03215006222</t>
  </si>
  <si>
    <t>0518896222</t>
  </si>
  <si>
    <t xml:space="preserve">H # 269 ST # 83 SECTOR # G-11/3 BAC K SIDE IBN E SEENA ROAD ISLAMABAD PK </t>
  </si>
  <si>
    <t>2021-11-205-V01501DP0002750</t>
  </si>
  <si>
    <t>877935</t>
  </si>
  <si>
    <t>301413</t>
  </si>
  <si>
    <t>HYUNDAI ELANTRA</t>
  </si>
  <si>
    <t>11-OCT-2021</t>
  </si>
  <si>
    <t>OLAISD300074762</t>
  </si>
  <si>
    <t>DIB0032441</t>
  </si>
  <si>
    <t>9976AP1213190012</t>
  </si>
  <si>
    <t>SUNDAS JAVAID</t>
  </si>
  <si>
    <t>35202-6521817-8</t>
  </si>
  <si>
    <t>03121412644</t>
  </si>
  <si>
    <t xml:space="preserve">AG OFFICE FUND 10 7TH FLOOR MOJ DHA RA ROAD TURNER ROAD LAHORE </t>
  </si>
  <si>
    <t>DIB/T/34341/LHR/1121</t>
  </si>
  <si>
    <t>6R193082</t>
  </si>
  <si>
    <t>1093101</t>
  </si>
  <si>
    <t>15-NOV-2021</t>
  </si>
  <si>
    <t>OLDLHR300078412</t>
  </si>
  <si>
    <t>108612/11/2021</t>
  </si>
  <si>
    <t>9976AP1213200021</t>
  </si>
  <si>
    <t>EMAD ATEEQ</t>
  </si>
  <si>
    <t>33100-7046888-9</t>
  </si>
  <si>
    <t>03216652084</t>
  </si>
  <si>
    <t>03216652084, 03216652084</t>
  </si>
  <si>
    <t xml:space="preserve">1388 ST NO 6 NISAR COLONY FSD SAMAN ABAD FSD FAISALABAD PK </t>
  </si>
  <si>
    <t>56607/00028/11/2021</t>
  </si>
  <si>
    <t>506229</t>
  </si>
  <si>
    <t>1010461</t>
  </si>
  <si>
    <t>CHANGAN KARVAAN PLUS</t>
  </si>
  <si>
    <t>16-NOV-2021</t>
  </si>
  <si>
    <t>OLDFSD300078622</t>
  </si>
  <si>
    <t>DIB0032447</t>
  </si>
  <si>
    <t>9976AD1211810063</t>
  </si>
  <si>
    <t>ABIDA PARVEEN</t>
  </si>
  <si>
    <t>42000-3893945-6</t>
  </si>
  <si>
    <t>03322095937</t>
  </si>
  <si>
    <t xml:space="preserve">BANGLOW # R-35 JINNAH AVENUE NEAR W IRELESS GATE NEAR AIRPORT KARACHI PK </t>
  </si>
  <si>
    <t>2524/02742/00037/11/2021</t>
  </si>
  <si>
    <t>190806</t>
  </si>
  <si>
    <t>1090736</t>
  </si>
  <si>
    <t>SUZUKI ALTO VXL AGS EURO-II</t>
  </si>
  <si>
    <t>OLAKHI300070274</t>
  </si>
  <si>
    <t>DIB0032381</t>
  </si>
  <si>
    <t>9976AP2213160049</t>
  </si>
  <si>
    <t>ZEESHAN</t>
  </si>
  <si>
    <t>42301-6476639-9</t>
  </si>
  <si>
    <t>03462019215</t>
  </si>
  <si>
    <t>32467731 32466631</t>
  </si>
  <si>
    <t xml:space="preserve">SUIT 10, 5TH FLOOR, SHARJAH TRADE CENTRE, OPP. R.K. SQUARE ALTAF HUSSAIN ROAD, NEW CHALLI KARACHI </t>
  </si>
  <si>
    <t>2524/02742/00040/11/2021</t>
  </si>
  <si>
    <t>Z516627</t>
  </si>
  <si>
    <t>4142828</t>
  </si>
  <si>
    <t>BLY-175</t>
  </si>
  <si>
    <t>TOYOTA COROLLA GLI</t>
  </si>
  <si>
    <t>12-NOV-2021</t>
  </si>
  <si>
    <t>OLUKHI300078583</t>
  </si>
  <si>
    <t>5597/11/2021</t>
  </si>
  <si>
    <t>9976AD1212120132</t>
  </si>
  <si>
    <t>QAMMAR NISAR</t>
  </si>
  <si>
    <t>34101-2173729-7</t>
  </si>
  <si>
    <t>03046485000</t>
  </si>
  <si>
    <t xml:space="preserve">H NO 4 MAIN BAZAR NOSHERA SANSI ROA D GUJRANWALA PK </t>
  </si>
  <si>
    <t>PL-1121-1101010102-V14-D-00523</t>
  </si>
  <si>
    <t>521129</t>
  </si>
  <si>
    <t>1004132</t>
  </si>
  <si>
    <t>CHANGAN ALSVIN 1.5L</t>
  </si>
  <si>
    <t>OLAGWL300071397</t>
  </si>
  <si>
    <t>5598/11/2021</t>
  </si>
  <si>
    <t>9976AP1213150097</t>
  </si>
  <si>
    <t>RANA BILAWAL</t>
  </si>
  <si>
    <t>35202-0416071-9</t>
  </si>
  <si>
    <t>03470140107</t>
  </si>
  <si>
    <t xml:space="preserve">SHOP NO 11 MAIN BAZAR WANDALA ROAD SHAHDARA LAHORE </t>
  </si>
  <si>
    <t>DIB/T/34340/LHR/1121</t>
  </si>
  <si>
    <t>1002427</t>
  </si>
  <si>
    <t>MR003278</t>
  </si>
  <si>
    <t>OLDLHR300078542</t>
  </si>
  <si>
    <t>108611/11/2021</t>
  </si>
  <si>
    <t>9976AP1223150008</t>
  </si>
  <si>
    <t>DANISH HUSSAIN</t>
  </si>
  <si>
    <t>42101-8923401-3</t>
  </si>
  <si>
    <t>03458100118</t>
  </si>
  <si>
    <t xml:space="preserve">N4 306 METROVILE 3RD BLCOK 1 SCHEEM 33 MASKAN CHOWRANGI PARADISE BAKER KARACHI PK </t>
  </si>
  <si>
    <t>64794/00028/11/2022</t>
  </si>
  <si>
    <t>102170</t>
  </si>
  <si>
    <t>10002166</t>
  </si>
  <si>
    <t>BKH-968</t>
  </si>
  <si>
    <t>SUZUKI CULTUS VXL</t>
  </si>
  <si>
    <t>OLUKHI300090783</t>
  </si>
  <si>
    <t>9338/11/2022/ITFM</t>
  </si>
  <si>
    <t>9976AP1223150009</t>
  </si>
  <si>
    <t>MUHAMMAD ADNAN SAEEDI</t>
  </si>
  <si>
    <t>31302-5744433-9</t>
  </si>
  <si>
    <t>03482087721</t>
  </si>
  <si>
    <t xml:space="preserve">PLOT 57 STREET 1 SECTER A AKHTAR CO LONY MEHRAN MEDICAL CENTER KARACHI PK </t>
  </si>
  <si>
    <t>64794/00025/11/2022</t>
  </si>
  <si>
    <t>137242</t>
  </si>
  <si>
    <t>1037226</t>
  </si>
  <si>
    <t>BSY-178</t>
  </si>
  <si>
    <t>OLUKHI300090771</t>
  </si>
  <si>
    <t>9339/11/2022/ITFM</t>
  </si>
  <si>
    <t>9976AP1223150012</t>
  </si>
  <si>
    <t>MUHAMMAD SAEED IQBAL</t>
  </si>
  <si>
    <t>42101-1497044-5</t>
  </si>
  <si>
    <t>03009283038</t>
  </si>
  <si>
    <t xml:space="preserve">S-91 AYUBIA STAFF LANE 6 DHA PHASE 7 EXTENTION KHAYABAN-E- AZEEM KARACHI PK </t>
  </si>
  <si>
    <t>64794/00030/11/2022</t>
  </si>
  <si>
    <t>790647</t>
  </si>
  <si>
    <t>0892368</t>
  </si>
  <si>
    <t>BH-8646</t>
  </si>
  <si>
    <t>TOYOTA FORTUNER A/T</t>
  </si>
  <si>
    <t>OLUKHI300090787</t>
  </si>
  <si>
    <t>9342/11/2022/ITFM</t>
  </si>
  <si>
    <t>9976AD2221810015</t>
  </si>
  <si>
    <t>FAROOQ AHMED(G)</t>
  </si>
  <si>
    <t>35202-0608841-7</t>
  </si>
  <si>
    <t>04237176123</t>
  </si>
  <si>
    <t>03222333555</t>
  </si>
  <si>
    <t>04235764616</t>
  </si>
  <si>
    <t xml:space="preserve">HOUSE NO 278 BLOCK K PHASE V DHA LAHORE </t>
  </si>
  <si>
    <t>64794/00022/11/2022</t>
  </si>
  <si>
    <t>1015930</t>
  </si>
  <si>
    <t>028041</t>
  </si>
  <si>
    <t>HONDA CITY I-VTEC 1.2</t>
  </si>
  <si>
    <t>30-JUN-2022</t>
  </si>
  <si>
    <t>OLALHR300088347</t>
  </si>
  <si>
    <t>9330/11/2022/ITFM</t>
  </si>
  <si>
    <t>9976AP2223190002</t>
  </si>
  <si>
    <t>MUHAMMAD ZAHID</t>
  </si>
  <si>
    <t>31102-4010693-5</t>
  </si>
  <si>
    <t>03218808183</t>
  </si>
  <si>
    <t xml:space="preserve">MUHAMMAD ZAHID 13-L COMMERCIAL DHA PHASE VI LHR </t>
  </si>
  <si>
    <t>64794/00026/11/2022</t>
  </si>
  <si>
    <t>121379</t>
  </si>
  <si>
    <t>10021354</t>
  </si>
  <si>
    <t>LEE-18-5211</t>
  </si>
  <si>
    <t>15-NOV-2022</t>
  </si>
  <si>
    <t>OLULHR300090774</t>
  </si>
  <si>
    <t>9343/11/2022/ITFM</t>
  </si>
  <si>
    <t>9976AD1212250013</t>
  </si>
  <si>
    <t>HABIB UR REHMAN</t>
  </si>
  <si>
    <t>37405-6361290-9</t>
  </si>
  <si>
    <t>03125805727</t>
  </si>
  <si>
    <t>03169992712</t>
  </si>
  <si>
    <t xml:space="preserve">SHOP # 3 TCS EXPRESS CENTER MORGAH NEAR MEEZAN BANK RAWALPINDI </t>
  </si>
  <si>
    <t>01-2111-PO-MTR-PCCM-D-001542</t>
  </si>
  <si>
    <t>R192511</t>
  </si>
  <si>
    <t>1092493</t>
  </si>
  <si>
    <t>SUZUKI ALTO VX EURO II</t>
  </si>
  <si>
    <t>OLARWP300071914</t>
  </si>
  <si>
    <t>DIB0032455</t>
  </si>
  <si>
    <t>19-NOV-2021</t>
  </si>
  <si>
    <t>997AAD2202370001</t>
  </si>
  <si>
    <t>CHOUDHARY SAEED AHMED KHAN</t>
  </si>
  <si>
    <t>37405-0612670-1</t>
  </si>
  <si>
    <t>0333-5443533</t>
  </si>
  <si>
    <t>051-9281130</t>
  </si>
  <si>
    <t xml:space="preserve">H NO 9487 D COBB LINMES AMEEN STREET QASIM MARKET RAWALPINDI </t>
  </si>
  <si>
    <t>DIB/T/BT/29477/ISB/1120</t>
  </si>
  <si>
    <t>2A10103</t>
  </si>
  <si>
    <t>9504225</t>
  </si>
  <si>
    <t>YARIS ATIV X CVT 1.5</t>
  </si>
  <si>
    <t>24-AUG-2020</t>
  </si>
  <si>
    <t>POARWP300056652</t>
  </si>
  <si>
    <t>3527/11/2020/ITFM</t>
  </si>
  <si>
    <t>9976AD2211120011</t>
  </si>
  <si>
    <t>DILSHAD AHMAD</t>
  </si>
  <si>
    <t>31203-9875596-1</t>
  </si>
  <si>
    <t>03008833038</t>
  </si>
  <si>
    <t>04235788961</t>
  </si>
  <si>
    <t xml:space="preserve">ASKARI CORPORATE TOWER 12TH FLOOR L IBERTY GULBERG III LAHORE </t>
  </si>
  <si>
    <t>2524/02742/00043/11/2021</t>
  </si>
  <si>
    <t>Q083569</t>
  </si>
  <si>
    <t>6061036</t>
  </si>
  <si>
    <t>22-APR-2021</t>
  </si>
  <si>
    <t>OLALHR300068111</t>
  </si>
  <si>
    <t>DIB0032454</t>
  </si>
  <si>
    <t>997AAD1202410003</t>
  </si>
  <si>
    <t>SHABBIR JAVED</t>
  </si>
  <si>
    <t>34501-3162195-9</t>
  </si>
  <si>
    <t>03338860766</t>
  </si>
  <si>
    <t xml:space="preserve">DEFENCE ROAD ZAMAN STREET SAHIB TOWN SIALKOT. </t>
  </si>
  <si>
    <t>53157/00036/11/2020</t>
  </si>
  <si>
    <t>326238</t>
  </si>
  <si>
    <t>KP505716</t>
  </si>
  <si>
    <t>KIA SPORGATE AWD</t>
  </si>
  <si>
    <t>28-AUG-2020</t>
  </si>
  <si>
    <t>POASKT300056701</t>
  </si>
  <si>
    <t>9976AP2223150002</t>
  </si>
  <si>
    <t>SYED RIZWAN HUSSAIN</t>
  </si>
  <si>
    <t>42101-4543398-3</t>
  </si>
  <si>
    <t xml:space="preserve">THE NEW YORK PIZZA 26-C BADAR COMMERCIAL PHASE NO 5 DHA KARACHI </t>
  </si>
  <si>
    <t>64794/00031/11/2022</t>
  </si>
  <si>
    <t>245337</t>
  </si>
  <si>
    <t>1145334</t>
  </si>
  <si>
    <t>BXH-689</t>
  </si>
  <si>
    <t>OLUKHI300090772</t>
  </si>
  <si>
    <t>9341/11/2022/ITFM</t>
  </si>
  <si>
    <t>9976AP1213200016</t>
  </si>
  <si>
    <t>MUHAMMAD MUBEEN US SALAM</t>
  </si>
  <si>
    <t>61101-0728423-9</t>
  </si>
  <si>
    <t>03009636998</t>
  </si>
  <si>
    <t>0512214366</t>
  </si>
  <si>
    <t xml:space="preserve">FLAT # 5 CAPITAL COMPOUND SECTOR E- 11 ISLAMABAD PK </t>
  </si>
  <si>
    <t>56607/00030/11/2021</t>
  </si>
  <si>
    <t>114053</t>
  </si>
  <si>
    <t>10014023</t>
  </si>
  <si>
    <t>ATG-391</t>
  </si>
  <si>
    <t>OLUISD300078745</t>
  </si>
  <si>
    <t>5606/11/2021</t>
  </si>
  <si>
    <t>997AAD2202440013</t>
  </si>
  <si>
    <t>MUHAMMAD FAHEEM BHAYOO</t>
  </si>
  <si>
    <t>41306-1953444-5</t>
  </si>
  <si>
    <t>03332666235</t>
  </si>
  <si>
    <t xml:space="preserve">HOUSE # 68 GULSHAN E SAHAR QASIMABA D HYDERABAD PK </t>
  </si>
  <si>
    <t>2020-11-205-V01501DP0002461</t>
  </si>
  <si>
    <t>141489</t>
  </si>
  <si>
    <t>1041494</t>
  </si>
  <si>
    <t>POAHYD300057008</t>
  </si>
  <si>
    <t>DIB0028917</t>
  </si>
  <si>
    <t>9976AD1212110036</t>
  </si>
  <si>
    <t>ZOHAIB AHMAD</t>
  </si>
  <si>
    <t>33100-2604037-5</t>
  </si>
  <si>
    <t>03214222022</t>
  </si>
  <si>
    <t>0412654096</t>
  </si>
  <si>
    <t xml:space="preserve">P 157 SADIQ MARKET RAILWAY ROAD FAISALABAD 03214222022 </t>
  </si>
  <si>
    <t>PL-1121-1101010102-V14-D-00526</t>
  </si>
  <si>
    <t>6R191625</t>
  </si>
  <si>
    <t>NF1AET306H1091609</t>
  </si>
  <si>
    <t>OLALHR300071307</t>
  </si>
  <si>
    <t>DIB0032462</t>
  </si>
  <si>
    <t>9976AD1212730062</t>
  </si>
  <si>
    <t>KHALID HUSSAIN JAMALI</t>
  </si>
  <si>
    <t>41306-9226566-7</t>
  </si>
  <si>
    <t>03129374440</t>
  </si>
  <si>
    <t>03129374440, 03129374440</t>
  </si>
  <si>
    <t xml:space="preserve">HOUSE # 119/1 STREET # 29 OFF KHY-E -MUHAFIZ DHA PHASE 6 NEAR CHOTA BUK KARACHI PK </t>
  </si>
  <si>
    <t>PL-1121-1101010102VV14-D-00532</t>
  </si>
  <si>
    <t>2A40162</t>
  </si>
  <si>
    <t>R-7025074</t>
  </si>
  <si>
    <t>30-SEP-2021</t>
  </si>
  <si>
    <t>OLAKHI300073164</t>
  </si>
  <si>
    <t>DIB0032430</t>
  </si>
  <si>
    <t>9976AD1212950008</t>
  </si>
  <si>
    <t>35201-3495058-7</t>
  </si>
  <si>
    <t>03008490299</t>
  </si>
  <si>
    <t xml:space="preserve">R B/2 3RD FLOOR AWAMI COMPLEX NEW G ARDEN TOWN LAHORE </t>
  </si>
  <si>
    <t>2524/02742/00051/411/2021</t>
  </si>
  <si>
    <t>911011</t>
  </si>
  <si>
    <t>301992</t>
  </si>
  <si>
    <t>HYUANDAI ELANTRA</t>
  </si>
  <si>
    <t>22-OCT-2021</t>
  </si>
  <si>
    <t>OLALHR300075654</t>
  </si>
  <si>
    <t>DIB0032464</t>
  </si>
  <si>
    <t>9976AP1213200024</t>
  </si>
  <si>
    <t>UZAIR ALI</t>
  </si>
  <si>
    <t>61101-1831372-1</t>
  </si>
  <si>
    <t>03365800962</t>
  </si>
  <si>
    <t xml:space="preserve">H # 37 ST # 49 SECTOR G-6/1-3 NEAR LAL MASJID ISLAMABAD PK </t>
  </si>
  <si>
    <t>56607/00033/11/2021</t>
  </si>
  <si>
    <t>72600958</t>
  </si>
  <si>
    <t>078062</t>
  </si>
  <si>
    <t>HONDA CIVIC 1.5L</t>
  </si>
  <si>
    <t>OLDISB300078814</t>
  </si>
  <si>
    <t>5610/11/2021</t>
  </si>
  <si>
    <t>13-NOV-2021</t>
  </si>
  <si>
    <t>9976AD1211510051</t>
  </si>
  <si>
    <t>IMRAN USMAN</t>
  </si>
  <si>
    <t>42201-1335156-7</t>
  </si>
  <si>
    <t>N/A</t>
  </si>
  <si>
    <t>0300-8208213</t>
  </si>
  <si>
    <t>34915258</t>
  </si>
  <si>
    <t xml:space="preserve">H# 498-C HUME ROAD QUIDEEN COLONY OPPOSITE ISLAMIA COLLEGE KARACHI </t>
  </si>
  <si>
    <t>56607/00034/11/2021</t>
  </si>
  <si>
    <t>5074596</t>
  </si>
  <si>
    <t>5549135</t>
  </si>
  <si>
    <t>TOYOTA REVO HILUX V DC A/T 4X4</t>
  </si>
  <si>
    <t>31-MAY-2021</t>
  </si>
  <si>
    <t>21-JAN-2022</t>
  </si>
  <si>
    <t>21-Jan-2027</t>
  </si>
  <si>
    <t>OLAKHI300069002</t>
  </si>
  <si>
    <t>DIB0032429</t>
  </si>
  <si>
    <t>9976AD1212120072</t>
  </si>
  <si>
    <t>MUHAMMAD RAMZAN YOUSAF</t>
  </si>
  <si>
    <t>35202-3509298-1</t>
  </si>
  <si>
    <t>03214644407</t>
  </si>
  <si>
    <t xml:space="preserve">HAMEED UDDIN PARK NABEEL SHAHEED CHK GHULAM NABI RD SAGGIAN BYPAS ROAD NR RAVI TOOL PLAZA, LHR PAKISTAN </t>
  </si>
  <si>
    <t>2021-11-205-V01501OP0002778</t>
  </si>
  <si>
    <t>6R190915</t>
  </si>
  <si>
    <t>1090922</t>
  </si>
  <si>
    <t>0690804003</t>
  </si>
  <si>
    <t>5608/11/2021</t>
  </si>
  <si>
    <t>997APD1203240014</t>
  </si>
  <si>
    <t>TAIMOOR ALI</t>
  </si>
  <si>
    <t>33100-8066179-1</t>
  </si>
  <si>
    <t>0418711367</t>
  </si>
  <si>
    <t>03346545385</t>
  </si>
  <si>
    <t xml:space="preserve">PEOPLES COLONY NO.2, HOUSE NO.91-B, MOHALA MUSLIM PARK, FAISALABAD. </t>
  </si>
  <si>
    <t>2524/02208/00016/11/2020</t>
  </si>
  <si>
    <t>207050</t>
  </si>
  <si>
    <t>10107045</t>
  </si>
  <si>
    <t>19-NOV-2020</t>
  </si>
  <si>
    <t>PODFSD300060671</t>
  </si>
  <si>
    <t>TDIDIB0028752</t>
  </si>
  <si>
    <t>997APD1203230007</t>
  </si>
  <si>
    <t>MUHAMMAD ASIF</t>
  </si>
  <si>
    <t>35201-7627468-1</t>
  </si>
  <si>
    <t>03219595980</t>
  </si>
  <si>
    <t xml:space="preserve">110 BILAL BLOCK NISHTER BAZAR FEROZ PUR ROAD LAHORE </t>
  </si>
  <si>
    <t>53157/00038/11/2020</t>
  </si>
  <si>
    <t>145063</t>
  </si>
  <si>
    <t>1045043</t>
  </si>
  <si>
    <t>18-NOV-2020</t>
  </si>
  <si>
    <t>PODLHR300061031</t>
  </si>
  <si>
    <t>3537/11/2020/ITFM</t>
  </si>
  <si>
    <t>13-NOV-2020</t>
  </si>
  <si>
    <t>997APD1203210025</t>
  </si>
  <si>
    <t>ZEESHAN ABBAS</t>
  </si>
  <si>
    <t>35202-1048448-9</t>
  </si>
  <si>
    <t>03217771993</t>
  </si>
  <si>
    <t>04235831278</t>
  </si>
  <si>
    <t xml:space="preserve">OFF NO 155 BLOCK C MODEL TOWN LAHORE </t>
  </si>
  <si>
    <t>53157/00046/11/2020</t>
  </si>
  <si>
    <t>L13Z17449239</t>
  </si>
  <si>
    <t>NFBGM1552GR190848</t>
  </si>
  <si>
    <t>LEF-16-388</t>
  </si>
  <si>
    <t>CITY ASPIRE M/T</t>
  </si>
  <si>
    <t>POULHR300061072</t>
  </si>
  <si>
    <t>DIB0029030</t>
  </si>
  <si>
    <t>14-NOV-2020</t>
  </si>
  <si>
    <t>997AAD2202750008</t>
  </si>
  <si>
    <t>ZEESHAN BABAR</t>
  </si>
  <si>
    <t>33100-3963309-9</t>
  </si>
  <si>
    <t>03219666811</t>
  </si>
  <si>
    <t>03219666811, 03219666811</t>
  </si>
  <si>
    <t xml:space="preserve">H NO P-1 SUSAN ROAD FSD MUHAMMADI C OLONY FSD FAISALABAD PK </t>
  </si>
  <si>
    <t>2524/02208/00027/11/2020</t>
  </si>
  <si>
    <t>R18Z16914653</t>
  </si>
  <si>
    <t>NFBFC6664LR066545</t>
  </si>
  <si>
    <t>HONDA CIVIC VTI IRIEL PT</t>
  </si>
  <si>
    <t>01-OCT-2020</t>
  </si>
  <si>
    <t>PAOFSD300058083</t>
  </si>
  <si>
    <t>TDIDIB00028760</t>
  </si>
  <si>
    <t>997APD2203220001</t>
  </si>
  <si>
    <t>MUHAMMAD ABDUL BASIT</t>
  </si>
  <si>
    <t>37105-9136971-1</t>
  </si>
  <si>
    <t>03379226136</t>
  </si>
  <si>
    <t xml:space="preserve">H # 83 ST # 50 SECTOR F-11/3 ISLAMABAD PK </t>
  </si>
  <si>
    <t>53157/00042/11/2020</t>
  </si>
  <si>
    <t>400926</t>
  </si>
  <si>
    <t>0442536</t>
  </si>
  <si>
    <t>AGZ-052</t>
  </si>
  <si>
    <t>FORTUNER G 4*2 STD PETROL</t>
  </si>
  <si>
    <t>17-NOV-2020</t>
  </si>
  <si>
    <t>POUISD300060943</t>
  </si>
  <si>
    <t>DIB0029028</t>
  </si>
  <si>
    <t>9976AD1220870074</t>
  </si>
  <si>
    <t>NISAR AHMED</t>
  </si>
  <si>
    <t>37203-1513270-7</t>
  </si>
  <si>
    <t>03206699558</t>
  </si>
  <si>
    <t>0519523613</t>
  </si>
  <si>
    <t xml:space="preserve">H # KA-240 ST # 11 SHAKRIYAL WEST N EAR PF JINNAH CAMP ISLAMABAD PK </t>
  </si>
  <si>
    <t>KHI/HO/D/MO/PCCOMP/P/64794/11/2022</t>
  </si>
  <si>
    <t>256731</t>
  </si>
  <si>
    <t>1156729</t>
  </si>
  <si>
    <t>SUZUKI ALTO VC EURO II</t>
  </si>
  <si>
    <t>28-MAR-2022</t>
  </si>
  <si>
    <t>OLARWP300086046</t>
  </si>
  <si>
    <t>DIB0034825</t>
  </si>
  <si>
    <t>9976AP1223200015</t>
  </si>
  <si>
    <t>SHAHZAD SALEEM</t>
  </si>
  <si>
    <t>42401-4762298-9</t>
  </si>
  <si>
    <t>03032623053</t>
  </si>
  <si>
    <t xml:space="preserve">HOUSE NO L 33 SECTOR 6-D/1 ANARKALI BANGLOWS SURJANI TOWN KARACHI </t>
  </si>
  <si>
    <t>64794/00035/11/2022</t>
  </si>
  <si>
    <t>125297</t>
  </si>
  <si>
    <t>1025260</t>
  </si>
  <si>
    <t>BNS-320</t>
  </si>
  <si>
    <t>OLUKHI300090809</t>
  </si>
  <si>
    <t>9355/11/2022/ITFM</t>
  </si>
  <si>
    <t>14-NOV-2022</t>
  </si>
  <si>
    <t>9976AP2213260007</t>
  </si>
  <si>
    <t>SHEHLA FAROUK</t>
  </si>
  <si>
    <t>37405-0406726-6</t>
  </si>
  <si>
    <t>0515738707</t>
  </si>
  <si>
    <t>03009719446</t>
  </si>
  <si>
    <t>0519205614</t>
  </si>
  <si>
    <t xml:space="preserve">HOUSE NO 8 ST NO 16 BLOCK NO H SAWAN GARDEN ISLAMABAD </t>
  </si>
  <si>
    <t>56607/00036/11/2021</t>
  </si>
  <si>
    <t>193113</t>
  </si>
  <si>
    <t>1093106</t>
  </si>
  <si>
    <t>22-NOV-2021</t>
  </si>
  <si>
    <t>27-Nov-2028</t>
  </si>
  <si>
    <t>OLDISD300078648</t>
  </si>
  <si>
    <t>5612/11/2021</t>
  </si>
  <si>
    <t>9976AD2212350008</t>
  </si>
  <si>
    <t>MUHAMMAD</t>
  </si>
  <si>
    <t>35202-3435632-7</t>
  </si>
  <si>
    <t xml:space="preserve">HOUSE NO 3 STREET NO 5 CHUDRAWAN ROAD CHUNGI AMAR SADHU NEAR MUSTAFA SCHOOL LAHORE </t>
  </si>
  <si>
    <t>2021-11-205-V01501OP0002786</t>
  </si>
  <si>
    <t>188492</t>
  </si>
  <si>
    <t>10088477</t>
  </si>
  <si>
    <t>03-Dec-2027</t>
  </si>
  <si>
    <t>OLALHR300072195</t>
  </si>
  <si>
    <t>DIB0032471</t>
  </si>
  <si>
    <t>9976AP1213200019</t>
  </si>
  <si>
    <t>MUHAMMAD SHAHID</t>
  </si>
  <si>
    <t>33100-6621089-5</t>
  </si>
  <si>
    <t>03216674028</t>
  </si>
  <si>
    <t>03216674028, 03216674028</t>
  </si>
  <si>
    <t xml:space="preserve">H NO 163 C BLOCK GM ABAD FSD FAISALABAD PK </t>
  </si>
  <si>
    <t>56607/00037/11/2021</t>
  </si>
  <si>
    <t>168784</t>
  </si>
  <si>
    <t>10068848</t>
  </si>
  <si>
    <t>ACM-256</t>
  </si>
  <si>
    <t>SUZUKI CULTUS VXL EURO II</t>
  </si>
  <si>
    <t>OLUFSD300078914</t>
  </si>
  <si>
    <t>DIB0032472</t>
  </si>
  <si>
    <t>9976AD2211400004</t>
  </si>
  <si>
    <t>MUHAMMAD BILAL IQBAL</t>
  </si>
  <si>
    <t>35201-3431056-9</t>
  </si>
  <si>
    <t>03204889918</t>
  </si>
  <si>
    <t xml:space="preserve">HOUSE NO 171 EXECUTIVE BLOCK PARK LANE PARAGON CITY LAHORE </t>
  </si>
  <si>
    <t>2021-11-205-V01501OP00002892</t>
  </si>
  <si>
    <t>520088</t>
  </si>
  <si>
    <t>1003617</t>
  </si>
  <si>
    <t>CHNAGAN ALSVIN 1.5L</t>
  </si>
  <si>
    <t>OLALHR300068774</t>
  </si>
  <si>
    <t>DIB0032479</t>
  </si>
  <si>
    <t>9976AD1211400018</t>
  </si>
  <si>
    <t>TAUSEEF AHMAD</t>
  </si>
  <si>
    <t>35201-3692057-1</t>
  </si>
  <si>
    <t>03214861769</t>
  </si>
  <si>
    <t xml:space="preserve">41-K 2ND FLOOR PHASE 1 DHA CANTT NE AR FAHAD PHARMACY LAHORE </t>
  </si>
  <si>
    <t>2021-11-205-V01501OP0002791</t>
  </si>
  <si>
    <t>1001154</t>
  </si>
  <si>
    <t>005114</t>
  </si>
  <si>
    <t>OLALHR300068835</t>
  </si>
  <si>
    <t>DIB0032478</t>
  </si>
  <si>
    <t>9976AD2210580027</t>
  </si>
  <si>
    <t>ZUBAIR ABBASI</t>
  </si>
  <si>
    <t>42301-6565377-7</t>
  </si>
  <si>
    <t>03222425260</t>
  </si>
  <si>
    <t xml:space="preserve">HOUSE # 7/3 STREET # 04 KHAYABAN E SEHAR PH-06 DHA NEAR SHAHBAZ COMMER KARACHI PK </t>
  </si>
  <si>
    <t>DIB/T/34371/KHI/1121</t>
  </si>
  <si>
    <t>5UA3104017</t>
  </si>
  <si>
    <t>2EVRMG030270</t>
  </si>
  <si>
    <t>PROTON X 70 2WD</t>
  </si>
  <si>
    <t>27-FEB-2021</t>
  </si>
  <si>
    <t>OLAKHI300066407</t>
  </si>
  <si>
    <t>TDIDIB0029816</t>
  </si>
  <si>
    <t>9976AD1210780040</t>
  </si>
  <si>
    <t>USMAN SHAHID DAR</t>
  </si>
  <si>
    <t>34603-5453756-9</t>
  </si>
  <si>
    <t>04235340735</t>
  </si>
  <si>
    <t>03028613982</t>
  </si>
  <si>
    <t xml:space="preserve">H NO 44-B, LALA SIDDIQUE, DAR STREET, MOHALLAH PAKPURA, SIALKOT </t>
  </si>
  <si>
    <t>56038/00058/10/2021</t>
  </si>
  <si>
    <t>5077912</t>
  </si>
  <si>
    <t>R-1096791</t>
  </si>
  <si>
    <t>TOYOTA FORTUNER DIESEL 4X4</t>
  </si>
  <si>
    <t>19-MAR-2021</t>
  </si>
  <si>
    <t>OLALHR300066884</t>
  </si>
  <si>
    <t>DIB0032233</t>
  </si>
  <si>
    <t>9976AP2223200009</t>
  </si>
  <si>
    <t>SYED KHIZAR ALI</t>
  </si>
  <si>
    <t>42101-3700193-1</t>
  </si>
  <si>
    <t>03341121853</t>
  </si>
  <si>
    <t>03341121853, 03341121853</t>
  </si>
  <si>
    <t xml:space="preserve">HOUSE # A-140 BLOCK 13 GULISTAN-E-J OHAR NEAR ABU BAKAR MASJID JOHAR CH KARACHI PK </t>
  </si>
  <si>
    <t>64794/00040/11/2022</t>
  </si>
  <si>
    <t>115600</t>
  </si>
  <si>
    <t>6H1015611</t>
  </si>
  <si>
    <t>OLUKHI300090823</t>
  </si>
  <si>
    <t>9373/11/2022/ITFM</t>
  </si>
  <si>
    <t>9976AP2223200008</t>
  </si>
  <si>
    <t>NAZIA JAMSHAID</t>
  </si>
  <si>
    <t>42101-4918120-0</t>
  </si>
  <si>
    <t>03168669816</t>
  </si>
  <si>
    <t xml:space="preserve">COM 7 BLOCK 7 BLOCK 4 B- 110 SAIMA ARABIAN VILLAS GADAP TOWN SURJANI T KARACHI PK </t>
  </si>
  <si>
    <t>64794/00039/11/2022</t>
  </si>
  <si>
    <t>168835</t>
  </si>
  <si>
    <t>700592</t>
  </si>
  <si>
    <t>BRK-680</t>
  </si>
  <si>
    <t>OLUKHI300090826</t>
  </si>
  <si>
    <t>9365/11/2022/ITFM</t>
  </si>
  <si>
    <t>9976AP1223200014</t>
  </si>
  <si>
    <t>MUHAMMAD JAHANGIR</t>
  </si>
  <si>
    <t>42201-9262395-1</t>
  </si>
  <si>
    <t>03152873224</t>
  </si>
  <si>
    <t>03152873224, 03152873224</t>
  </si>
  <si>
    <t xml:space="preserve">HOUSE # R-626 GREEN PARK CITY QUAID ABAD NEAR ABOTT LABOSATARUES KARACHI PK </t>
  </si>
  <si>
    <t>64794/00036/11/2022</t>
  </si>
  <si>
    <t>8752248</t>
  </si>
  <si>
    <t>115469</t>
  </si>
  <si>
    <t>BCW-828</t>
  </si>
  <si>
    <t>HONDA CITY ASPIRE M/T</t>
  </si>
  <si>
    <t>OLUKHI300090810</t>
  </si>
  <si>
    <t>9372/11/2022/ITFM</t>
  </si>
  <si>
    <t>9976AP2223200005</t>
  </si>
  <si>
    <t>MUZAFFAR MUNIR</t>
  </si>
  <si>
    <t>36502-1396379-7</t>
  </si>
  <si>
    <t>35177610-14</t>
  </si>
  <si>
    <t>0300-6922658</t>
  </si>
  <si>
    <t xml:space="preserve">H NO 387-M MODEL TOWN LAHORE </t>
  </si>
  <si>
    <t>64794/00038/11/2022</t>
  </si>
  <si>
    <t>79797221</t>
  </si>
  <si>
    <t>255931</t>
  </si>
  <si>
    <t>AQC-332</t>
  </si>
  <si>
    <t>OLUISD300090817</t>
  </si>
  <si>
    <t>108818/11/2022</t>
  </si>
  <si>
    <t>9976AD2210560008</t>
  </si>
  <si>
    <t>MIRZA JUNAID BAIG</t>
  </si>
  <si>
    <t>42501-7730508-1</t>
  </si>
  <si>
    <t>021-4972093</t>
  </si>
  <si>
    <t>0321-9254004</t>
  </si>
  <si>
    <t>021-4778799</t>
  </si>
  <si>
    <t xml:space="preserve">HOUSE NOO:D-08 RUFI HEAVEN BLOCK-13 D/2 GULSHAN-E-IQBAL KARACHI </t>
  </si>
  <si>
    <t>DIB/T/EMP/00044/KHI/1121</t>
  </si>
  <si>
    <t>3UA3101328</t>
  </si>
  <si>
    <t>2EVRMG028206</t>
  </si>
  <si>
    <t>PROTON X70 PREMIUM 2WD</t>
  </si>
  <si>
    <t>25-FEB-2021</t>
  </si>
  <si>
    <t>OLAKHI300066163</t>
  </si>
  <si>
    <t>TDIDIB0029815</t>
  </si>
  <si>
    <t>9976AD1212290003</t>
  </si>
  <si>
    <t>FAIZ RASOOL</t>
  </si>
  <si>
    <t>Rahim Yar Khan</t>
  </si>
  <si>
    <t>31301-6678715-7</t>
  </si>
  <si>
    <t>00971563439441</t>
  </si>
  <si>
    <t xml:space="preserve">M39 MUSTAFA IND AREA ABU DHABI UNITED ARAB EMIRATES </t>
  </si>
  <si>
    <t>PL-1121-1101010102-V14-D-00571</t>
  </si>
  <si>
    <t>Q083497</t>
  </si>
  <si>
    <t>ZRE171R-6060983</t>
  </si>
  <si>
    <t>OLRYK300071676</t>
  </si>
  <si>
    <t>5559/10/2021</t>
  </si>
  <si>
    <t>997AAD2202090003</t>
  </si>
  <si>
    <t>MUHAMMAD IRFAN</t>
  </si>
  <si>
    <t>Chakwal</t>
  </si>
  <si>
    <t>37201-2249219-7</t>
  </si>
  <si>
    <t>03317892786</t>
  </si>
  <si>
    <t xml:space="preserve">VILLAGE&amp;POST OFFICE LAKHWAL TEHSIL&amp;DISTT. CHAKWAL </t>
  </si>
  <si>
    <t>DIB/T/BT/29494/ISB/1120</t>
  </si>
  <si>
    <t>2A12207</t>
  </si>
  <si>
    <t>NSP150R-7007089</t>
  </si>
  <si>
    <t>YARIS GLI CVT 1.3</t>
  </si>
  <si>
    <t>27-JUL-2020</t>
  </si>
  <si>
    <t>POACHW300055884</t>
  </si>
  <si>
    <t>TDIDIB0028777</t>
  </si>
  <si>
    <t>9976AD2212700006</t>
  </si>
  <si>
    <t>ABDUL JABBAR</t>
  </si>
  <si>
    <t>45303-7339337-3</t>
  </si>
  <si>
    <t>03356111508</t>
  </si>
  <si>
    <t xml:space="preserve">H # 528 STREET 16 HILL AREA CHANESA R GOTH KARACHI PK </t>
  </si>
  <si>
    <t>2524/02742/00059/11/2021</t>
  </si>
  <si>
    <t>503163</t>
  </si>
  <si>
    <t>1010521</t>
  </si>
  <si>
    <t>27-SEP-2021</t>
  </si>
  <si>
    <t>OLAKHI300074028</t>
  </si>
  <si>
    <t>DIB0032467</t>
  </si>
  <si>
    <t>9976AD1212740181</t>
  </si>
  <si>
    <t>HAFIZ MUHAMMAD UMAR MUMTAZ</t>
  </si>
  <si>
    <t>33202-6369573-5</t>
  </si>
  <si>
    <t>03060089139</t>
  </si>
  <si>
    <t xml:space="preserve">GROUND FLOOR BUILDING NO 72 DHA PHA SE VI LAHORE </t>
  </si>
  <si>
    <t>2524/02742/0061/11/2021</t>
  </si>
  <si>
    <t>2A40398</t>
  </si>
  <si>
    <t>7025256</t>
  </si>
  <si>
    <t>TOYOTA YARIS ATIV MT 1.3</t>
  </si>
  <si>
    <t>OLALHR300074372</t>
  </si>
  <si>
    <t>DIB0032487</t>
  </si>
  <si>
    <t>997APD1203230006</t>
  </si>
  <si>
    <t>WAQAS AZAM</t>
  </si>
  <si>
    <t>35202-5913718-1</t>
  </si>
  <si>
    <t>03234130566</t>
  </si>
  <si>
    <t xml:space="preserve">202 TIMBER MARKET RAVI ROAD NEAR BA LA SHOES LAHORE </t>
  </si>
  <si>
    <t>53157/00050/11/2020</t>
  </si>
  <si>
    <t>79795504</t>
  </si>
  <si>
    <t>249661</t>
  </si>
  <si>
    <t>LEE-19-5076</t>
  </si>
  <si>
    <t>POULHR300061171</t>
  </si>
  <si>
    <t>3562/11/2020/ITFM</t>
  </si>
  <si>
    <t>9976AD1212730049</t>
  </si>
  <si>
    <t>NIAZ MASIH</t>
  </si>
  <si>
    <t>35200-1527549-3</t>
  </si>
  <si>
    <t>03004761503</t>
  </si>
  <si>
    <t xml:space="preserve">1/2-KM SHAHKAM CHOWK ADA MOHLANWAL MAIN DEFENCE ROAD OPPOSITE MADINA S TYRO FOAM NEAR SHAHKAM CHOWK LAHORE </t>
  </si>
  <si>
    <t>56607/00040/11/2021</t>
  </si>
  <si>
    <t>2A40236</t>
  </si>
  <si>
    <t>7025118</t>
  </si>
  <si>
    <t>TOYOTA YARIS ATIV</t>
  </si>
  <si>
    <t>OLALHR300074286</t>
  </si>
  <si>
    <t>DIB0032486</t>
  </si>
  <si>
    <t>9976AD2211510030</t>
  </si>
  <si>
    <t>SHEERAZ AHMED</t>
  </si>
  <si>
    <t>45504-0234441-3</t>
  </si>
  <si>
    <t>03320357781</t>
  </si>
  <si>
    <t xml:space="preserve">FLAT # D- 6 406 4th FLOOR HUNAID CI TY GULISTAN-E- JOUHAR BLOCK 17 KHI KARACHI PK </t>
  </si>
  <si>
    <t>2524/02742/00060/11/2021</t>
  </si>
  <si>
    <t>518282</t>
  </si>
  <si>
    <t>1003531</t>
  </si>
  <si>
    <t>CHANGAN ALSVIN 1.5L LUMIERI</t>
  </si>
  <si>
    <t>OLAKHI300069103</t>
  </si>
  <si>
    <t>DIB0032445</t>
  </si>
  <si>
    <t>997AAD1203010040</t>
  </si>
  <si>
    <t>HAFIZ MUHAMMAD QAMAR ABBAS</t>
  </si>
  <si>
    <t>33100-6431223-1</t>
  </si>
  <si>
    <t>03007604234</t>
  </si>
  <si>
    <t>03007604234, 03007604234</t>
  </si>
  <si>
    <t xml:space="preserve">H NO 1014 ST NO 6 MUHALLA ISLAMIA P ARK FAISALABAD PK </t>
  </si>
  <si>
    <t>53157/00045/11/2020</t>
  </si>
  <si>
    <t>16914640</t>
  </si>
  <si>
    <t>R066569</t>
  </si>
  <si>
    <t>27-OCT-2020</t>
  </si>
  <si>
    <t>POAFSD300059090</t>
  </si>
  <si>
    <t>TDIDIB0028763</t>
  </si>
  <si>
    <t>997AAD1202890019</t>
  </si>
  <si>
    <t>RUBAB ZAHRA</t>
  </si>
  <si>
    <t>33100-0800553-0</t>
  </si>
  <si>
    <t>03216633216</t>
  </si>
  <si>
    <t>03216633216, 03216633216</t>
  </si>
  <si>
    <t xml:space="preserve">H NO P-46 MARRIAM VILLAS COLONY AMI N TOWN FAISALABAD PK </t>
  </si>
  <si>
    <t>2524/02208/00025/11/2020</t>
  </si>
  <si>
    <t>16914644</t>
  </si>
  <si>
    <t>R066571</t>
  </si>
  <si>
    <t>CIVIC VTI P/T S/R</t>
  </si>
  <si>
    <t>15-OCT-2020</t>
  </si>
  <si>
    <t>POAFSD300058597</t>
  </si>
  <si>
    <t>TDIDIB0028761</t>
  </si>
  <si>
    <t>997AAD1202620024</t>
  </si>
  <si>
    <t>RAJA TENDOLKAR</t>
  </si>
  <si>
    <t>41507-0380788-1</t>
  </si>
  <si>
    <t>03081327029</t>
  </si>
  <si>
    <t xml:space="preserve">FLAT NO 403 3RD FLOOR PETAL HOMES PLOT 165 J BLOCK 3 PECH KHI </t>
  </si>
  <si>
    <t>53157/00049/11/2020</t>
  </si>
  <si>
    <t>G4NALH330539</t>
  </si>
  <si>
    <t>NNAQL51AZKP303884</t>
  </si>
  <si>
    <t>18-SEP-2020</t>
  </si>
  <si>
    <t>POAKHI300057334</t>
  </si>
  <si>
    <t>9976AD1211760056</t>
  </si>
  <si>
    <t>ASAD MOEEN</t>
  </si>
  <si>
    <t>37405-0249080-5</t>
  </si>
  <si>
    <t>0323-5544504</t>
  </si>
  <si>
    <t>042-37575255</t>
  </si>
  <si>
    <t xml:space="preserve">H NO 5 ZAILDAR PARK AL BASHIR BANGLOW LAHORE </t>
  </si>
  <si>
    <t>DIB/T/34382/LHR/1121</t>
  </si>
  <si>
    <t>1GD5079758</t>
  </si>
  <si>
    <t>1096953</t>
  </si>
  <si>
    <t>25-JUN-2021</t>
  </si>
  <si>
    <t>OLALHR300069906</t>
  </si>
  <si>
    <t>TDIDIB0029821</t>
  </si>
  <si>
    <t>9976AD1221200057</t>
  </si>
  <si>
    <t>AQIB ZAHID</t>
  </si>
  <si>
    <t>33102-6105439-3</t>
  </si>
  <si>
    <t>03070031802</t>
  </si>
  <si>
    <t>03070031802, 03070031802</t>
  </si>
  <si>
    <t xml:space="preserve">P-21 ISMAIL BLOCK DAEWOO ROAD LASAN I TOWN FSD NEAR TOTAL PUMP FAISALABAD PK </t>
  </si>
  <si>
    <t>64794/00044/11/2022</t>
  </si>
  <si>
    <t>6R257241</t>
  </si>
  <si>
    <t>1157222</t>
  </si>
  <si>
    <t>SUZUKI ALTO VX</t>
  </si>
  <si>
    <t>30-APR-2022</t>
  </si>
  <si>
    <t>OLAFSD300087118</t>
  </si>
  <si>
    <t>9384/11/2022/ITFM</t>
  </si>
  <si>
    <t>17-NOV-2022</t>
  </si>
  <si>
    <t>9976AP1223210022</t>
  </si>
  <si>
    <t>MUHAMMAD WASEEM</t>
  </si>
  <si>
    <t>42101-5460047-9</t>
  </si>
  <si>
    <t>03333836552</t>
  </si>
  <si>
    <t xml:space="preserve">FLAT NO 15 NEW ZEENAT SQUARE F.C AREA BLOCK-8 LIAQUATABAD KARACHI </t>
  </si>
  <si>
    <t>64794/00047/11/2022</t>
  </si>
  <si>
    <t>631786</t>
  </si>
  <si>
    <t>538665</t>
  </si>
  <si>
    <t>SUZUKI CULTUS VXR</t>
  </si>
  <si>
    <t>OLUKHI300090853</t>
  </si>
  <si>
    <t>9385/11/2022/ITFM</t>
  </si>
  <si>
    <t>9976AD1220900037</t>
  </si>
  <si>
    <t>MUSAVIR NAWAZ SHAIKH</t>
  </si>
  <si>
    <t>42201-9134171-3</t>
  </si>
  <si>
    <t>03323095251</t>
  </si>
  <si>
    <t xml:space="preserve">HOUSE NO B- 1 01 BLOCK 13 GULISTA N-E- JOUHAR DARUL SEHAT HOSPITAL KARACHI PK </t>
  </si>
  <si>
    <t>64794/00041/11/2022</t>
  </si>
  <si>
    <t>1009813</t>
  </si>
  <si>
    <t>1009804</t>
  </si>
  <si>
    <t>SUZUKI SWIFT GL CVT</t>
  </si>
  <si>
    <t>31-MAR-2022</t>
  </si>
  <si>
    <t>27-NOV-2022</t>
  </si>
  <si>
    <t>OLAKHI300086287</t>
  </si>
  <si>
    <t>9358/11/2022/ITFM</t>
  </si>
  <si>
    <t>9976AD1221500095</t>
  </si>
  <si>
    <t>BILAL TARIQ</t>
  </si>
  <si>
    <t>35202-6951694-9</t>
  </si>
  <si>
    <t>03074700242</t>
  </si>
  <si>
    <t xml:space="preserve">QASIM BATTERY SHEL PETROL PUMP NEAR ASKARI 11 MAIN BEDIAN ROAD LAHORE </t>
  </si>
  <si>
    <t>64794/00046/11/2022</t>
  </si>
  <si>
    <t>256586</t>
  </si>
  <si>
    <t>1156581</t>
  </si>
  <si>
    <t>30-MAY-2022</t>
  </si>
  <si>
    <t>OLALHR300087661</t>
  </si>
  <si>
    <t>9386/11/2022/ITFM</t>
  </si>
  <si>
    <t>9976AP1203230003</t>
  </si>
  <si>
    <t>QAISER ALI</t>
  </si>
  <si>
    <t>42501-1478648-3</t>
  </si>
  <si>
    <t>021-34610694</t>
  </si>
  <si>
    <t>0333-2071014</t>
  </si>
  <si>
    <t>021-35864160-62</t>
  </si>
  <si>
    <t xml:space="preserve">BANGLOW NO R-37 AL HABIB HOUSING SOCIETY BLOCK-16 A OVERSEASE BANGLOWS KARACHI </t>
  </si>
  <si>
    <t>53157/00057/11/2020</t>
  </si>
  <si>
    <t>J473174</t>
  </si>
  <si>
    <t>1418355</t>
  </si>
  <si>
    <t>DAIHATSU MIRA</t>
  </si>
  <si>
    <t>POUKHI300061272</t>
  </si>
  <si>
    <t>DIB0029040</t>
  </si>
  <si>
    <t>9976AP1213260006</t>
  </si>
  <si>
    <t>RAJA MUHAMMAD NAEEM</t>
  </si>
  <si>
    <t>61101-8300383-3</t>
  </si>
  <si>
    <t>03335385458</t>
  </si>
  <si>
    <t>0519215630</t>
  </si>
  <si>
    <t xml:space="preserve">H # 110 ST # 5 MOHALLAH SHAHZAD TOW N ISLAMABAD PK </t>
  </si>
  <si>
    <t>56607/00045/11/2021</t>
  </si>
  <si>
    <t>17533256</t>
  </si>
  <si>
    <t>252471</t>
  </si>
  <si>
    <t>ANW-272</t>
  </si>
  <si>
    <t>OLUISD300079323</t>
  </si>
  <si>
    <t>5643/11/2021</t>
  </si>
  <si>
    <t>18-NOV-2021</t>
  </si>
  <si>
    <t>9976AP2213220007</t>
  </si>
  <si>
    <t>AHMED RAZA</t>
  </si>
  <si>
    <t>42101-9488327-3</t>
  </si>
  <si>
    <t>03182963110</t>
  </si>
  <si>
    <t xml:space="preserve">117/14 SECTER 5-D NEW KHI BALDIA SC HOOL KARACHI PK </t>
  </si>
  <si>
    <t>56607/00043/11/2021</t>
  </si>
  <si>
    <t>198162</t>
  </si>
  <si>
    <t>4020140</t>
  </si>
  <si>
    <t>BCY-905</t>
  </si>
  <si>
    <t>COROLLA XLI</t>
  </si>
  <si>
    <t>OLUKHI300079385</t>
  </si>
  <si>
    <t>5639/11/2021</t>
  </si>
  <si>
    <t>997AAD1202240001</t>
  </si>
  <si>
    <t>MUHAMMAD ASIF ALI</t>
  </si>
  <si>
    <t>34101-2435059-7</t>
  </si>
  <si>
    <t>03006163584</t>
  </si>
  <si>
    <t xml:space="preserve">NEW SKY TRAVEL AGENCY OFFICE 87 JIN NAH STADIUM GT ROAD GUJRANWALA </t>
  </si>
  <si>
    <t>2524/02208/00036/11/2020</t>
  </si>
  <si>
    <t>2A12332</t>
  </si>
  <si>
    <t>NSP150R-7007290</t>
  </si>
  <si>
    <t>11-AUG-2020</t>
  </si>
  <si>
    <t>POAGWL300056342</t>
  </si>
  <si>
    <t>TDIDIB0028772</t>
  </si>
  <si>
    <t>9976AP1213220002</t>
  </si>
  <si>
    <t>MUHAMMAD AKBER KHAN</t>
  </si>
  <si>
    <t>42201-5348827-1</t>
  </si>
  <si>
    <t>03343102074</t>
  </si>
  <si>
    <t>36870061</t>
  </si>
  <si>
    <t xml:space="preserve">H # A-20 SEC V SUB SECTOR V-4 GULSHAN E MAYMAR NEAR ABU HORERA MASJID KARACHI </t>
  </si>
  <si>
    <t>56607/00044/11/2021</t>
  </si>
  <si>
    <t>D508093</t>
  </si>
  <si>
    <t>M1001201</t>
  </si>
  <si>
    <t>BUG-733</t>
  </si>
  <si>
    <t>CHANGAN ALSVIN 1.5 L LUMIERE</t>
  </si>
  <si>
    <t>OLUKHI300079382</t>
  </si>
  <si>
    <t>5647/11/2021</t>
  </si>
  <si>
    <t>997AAD2203030020</t>
  </si>
  <si>
    <t>QAMAR JAVAID</t>
  </si>
  <si>
    <t>61101-1927875-3</t>
  </si>
  <si>
    <t>0300-5124232</t>
  </si>
  <si>
    <t>2830469</t>
  </si>
  <si>
    <t xml:space="preserve">FL NO 4 BLOCK C-6 PIMS COLONY G-8-3 ISLAMABAD </t>
  </si>
  <si>
    <t>2524/02208/00033/11/2020</t>
  </si>
  <si>
    <t>6914634</t>
  </si>
  <si>
    <t>066560</t>
  </si>
  <si>
    <t>29-OCT-2020</t>
  </si>
  <si>
    <t>POAISD300059311</t>
  </si>
  <si>
    <t>3580/11/2020/ITMM</t>
  </si>
  <si>
    <t>997AAD1202940004</t>
  </si>
  <si>
    <t>ASIM SARWAR</t>
  </si>
  <si>
    <t>33100-0925172-3</t>
  </si>
  <si>
    <t>03219660360</t>
  </si>
  <si>
    <t>03219660360, 03219660360</t>
  </si>
  <si>
    <t xml:space="preserve">P-325 5/5 RAJAY WALA GREEN VIEW COL ONY FSD FAISALABAD PK </t>
  </si>
  <si>
    <t>2524/02208/00028/11/2020</t>
  </si>
  <si>
    <t>R18Z16914654</t>
  </si>
  <si>
    <t>NFBFC6662LR066575</t>
  </si>
  <si>
    <t>20-OCT-2020</t>
  </si>
  <si>
    <t>POAFSD300058791</t>
  </si>
  <si>
    <t>TDIDIB0028757</t>
  </si>
  <si>
    <t>9976AD1212430083</t>
  </si>
  <si>
    <t>ABDUL SATTAR</t>
  </si>
  <si>
    <t>33100-9982757-9</t>
  </si>
  <si>
    <t>03464545457</t>
  </si>
  <si>
    <t>03464545457, 03464545457</t>
  </si>
  <si>
    <t xml:space="preserve">P-763-B PEOPLES COLONY NO 1 BURJ BA NK FAISALABAD PK </t>
  </si>
  <si>
    <t>2021-11-205-V01501OP00002880</t>
  </si>
  <si>
    <t>16927862</t>
  </si>
  <si>
    <t>R080446</t>
  </si>
  <si>
    <t>31-AUG-2021</t>
  </si>
  <si>
    <t>OLAFSD300072793</t>
  </si>
  <si>
    <t>DIB0032493</t>
  </si>
  <si>
    <t>17-NOV-2021</t>
  </si>
  <si>
    <t>997AAD2203170010</t>
  </si>
  <si>
    <t>MUHAMMED SULEMAN SIDDIQUE</t>
  </si>
  <si>
    <t>42101-1431895-3</t>
  </si>
  <si>
    <t>4210557</t>
  </si>
  <si>
    <t>0321-2227100 0321-9298276</t>
  </si>
  <si>
    <t>6342285</t>
  </si>
  <si>
    <t xml:space="preserve">GROUND FLOOR DAILY NEWS BUILDING OFF JHANG ROAD PRESS BUILDING I.I CHUNDRIGAR ROAD KARACHI </t>
  </si>
  <si>
    <t>DIB/T/BT/29504/KHI/1120</t>
  </si>
  <si>
    <t>R18Z16914544</t>
  </si>
  <si>
    <t>NFBFC6664LR066304</t>
  </si>
  <si>
    <t>POAKHI300060491</t>
  </si>
  <si>
    <t>3569/11/2020/ITFM</t>
  </si>
  <si>
    <t>9976AD1211810047</t>
  </si>
  <si>
    <t>MUHAMMAD KASHAN QURESHI</t>
  </si>
  <si>
    <t>37405-8013899-5</t>
  </si>
  <si>
    <t>03005300135</t>
  </si>
  <si>
    <t xml:space="preserve">H # P-1616 STREET # 2 MOHALLAH ASGH AR MALL ROAD NEAR AHMAD FURNITURE RAWALPINDI PK </t>
  </si>
  <si>
    <t>112-11010102-V-102-V14-D-00539</t>
  </si>
  <si>
    <t>16928260</t>
  </si>
  <si>
    <t>080840</t>
  </si>
  <si>
    <t>OLARWP300070349</t>
  </si>
  <si>
    <t>5634/11/2021</t>
  </si>
  <si>
    <t>9976AD1221440041</t>
  </si>
  <si>
    <t>MAJID MUHAMMAD SHAFIQUE</t>
  </si>
  <si>
    <t>35202-3968619-7</t>
  </si>
  <si>
    <t>03218466635</t>
  </si>
  <si>
    <t xml:space="preserve">FLAT NO 10 STREET NO 10 3RD FLOOR A L MUSLAKAR B FATEH SHER ROAD LAHORE PK </t>
  </si>
  <si>
    <t>64794/00048/11/2022</t>
  </si>
  <si>
    <t>255778</t>
  </si>
  <si>
    <t>1155797</t>
  </si>
  <si>
    <t>24-MAY-2022</t>
  </si>
  <si>
    <t>OLALHR300087479</t>
  </si>
  <si>
    <t>9396/11/2022/ITFM</t>
  </si>
  <si>
    <t>18-NOV-2022</t>
  </si>
  <si>
    <t>9976AP1223220025</t>
  </si>
  <si>
    <t>ABDUL AZIZ</t>
  </si>
  <si>
    <t>42201-7484012-1</t>
  </si>
  <si>
    <t>03012126997</t>
  </si>
  <si>
    <t xml:space="preserve">B- 108 BLEEZ ARCADE UNIVERCITY ROAD KARACHI PK </t>
  </si>
  <si>
    <t>64794/00094/11/2022</t>
  </si>
  <si>
    <t>243339</t>
  </si>
  <si>
    <t>1143336</t>
  </si>
  <si>
    <t>BXG-271</t>
  </si>
  <si>
    <t>OLUKHI300090856</t>
  </si>
  <si>
    <t>9392/11/2022/ITFM</t>
  </si>
  <si>
    <t>9976AP1223220027</t>
  </si>
  <si>
    <t>FAHAD ALAM</t>
  </si>
  <si>
    <t>42101-0944173-1</t>
  </si>
  <si>
    <t>03330249909</t>
  </si>
  <si>
    <t xml:space="preserve">B-406 SEC-11-A NORTH KARACHI KARACHI PK </t>
  </si>
  <si>
    <t>64794/00050/11/2022</t>
  </si>
  <si>
    <t>251189</t>
  </si>
  <si>
    <t>1151183</t>
  </si>
  <si>
    <t>BXT-204</t>
  </si>
  <si>
    <t>OLUKHI300090858</t>
  </si>
  <si>
    <t>9391/11/2022/ITFM</t>
  </si>
  <si>
    <t>9976AD2212220006</t>
  </si>
  <si>
    <t>MUHAMMAD TANVEER ASHRAF</t>
  </si>
  <si>
    <t>35201-2078220-5</t>
  </si>
  <si>
    <t>03055185887</t>
  </si>
  <si>
    <t>36581406</t>
  </si>
  <si>
    <t xml:space="preserve">JALLO MORE MAIN CANAL ROAD LAHORE </t>
  </si>
  <si>
    <t>2021-11-205-V01501OP0002807</t>
  </si>
  <si>
    <t>193223</t>
  </si>
  <si>
    <t>1093209</t>
  </si>
  <si>
    <t>ALTO VXL EURO II</t>
  </si>
  <si>
    <t>10-AUG-2021</t>
  </si>
  <si>
    <t>OLALHR300071658</t>
  </si>
  <si>
    <t>DIB0032508</t>
  </si>
  <si>
    <t>9976AP1213230003</t>
  </si>
  <si>
    <t>ALI ASGHAR</t>
  </si>
  <si>
    <t>33303-9826961-7</t>
  </si>
  <si>
    <t>03017167150</t>
  </si>
  <si>
    <t xml:space="preserve">CHAK NO.189, R.B, RASOOL PUR, NEAR GOVT.GIRLS HIGH SCHOOL FAISALABAD </t>
  </si>
  <si>
    <t>56607/00048/11/2021</t>
  </si>
  <si>
    <t>L13Z17508522</t>
  </si>
  <si>
    <t>NFBGM1545JR221069</t>
  </si>
  <si>
    <t>AJJ-175</t>
  </si>
  <si>
    <t>CITY I-VTEC M/T</t>
  </si>
  <si>
    <t>OLUFSD300079523</t>
  </si>
  <si>
    <t>5638/11/2021</t>
  </si>
  <si>
    <t>9976AP2213230002</t>
  </si>
  <si>
    <t>ARIF BAIG</t>
  </si>
  <si>
    <t>42101-1404445-3</t>
  </si>
  <si>
    <t>38922422</t>
  </si>
  <si>
    <t>03222477214</t>
  </si>
  <si>
    <t>34144465</t>
  </si>
  <si>
    <t xml:space="preserve">FLAT # 3 2ND FLOOR PLOT # 37-C LANE 1 RAHAT COMMERCIAL PHASE 6 DHA KARACHI PK </t>
  </si>
  <si>
    <t>2524/02742/00073/11/2021</t>
  </si>
  <si>
    <t>Z124759</t>
  </si>
  <si>
    <t>4006758</t>
  </si>
  <si>
    <t>BCG-516</t>
  </si>
  <si>
    <t>OLUKHI300079462</t>
  </si>
  <si>
    <t>5652/11/2021</t>
  </si>
  <si>
    <t>9976AD1211810042</t>
  </si>
  <si>
    <t>SHAHID MEHMOOD</t>
  </si>
  <si>
    <t>35201-0359954-7</t>
  </si>
  <si>
    <t>03244588201</t>
  </si>
  <si>
    <t>04236553216</t>
  </si>
  <si>
    <t xml:space="preserve">PLOT NO 164 ABADI HAJI PURA MOMAN P URA NEAR G.M FACTORY LAHORE </t>
  </si>
  <si>
    <t>2021-11-205-V01501OP0002806</t>
  </si>
  <si>
    <t>521135</t>
  </si>
  <si>
    <t>1004202</t>
  </si>
  <si>
    <t>OLALHR300070163</t>
  </si>
  <si>
    <t>DIB0032503</t>
  </si>
  <si>
    <t>9976AD2211120012</t>
  </si>
  <si>
    <t>SHAKEEL HUSSAIN</t>
  </si>
  <si>
    <t>35202-6256794-3</t>
  </si>
  <si>
    <t>03024594981</t>
  </si>
  <si>
    <t xml:space="preserve">GROUND FLOOR AL SHAFI RESIDENCY OPP OSITE LAHORE GYM KHANA CLUB 2 ZAFAR ALI ROAD LAHORE </t>
  </si>
  <si>
    <t>DIB/T/34394/LHR/1121</t>
  </si>
  <si>
    <t>521465</t>
  </si>
  <si>
    <t>1004369</t>
  </si>
  <si>
    <t>OLALHR300067793</t>
  </si>
  <si>
    <t>TDIDIB0029825</t>
  </si>
  <si>
    <t>997AAD1203050074</t>
  </si>
  <si>
    <t>SUFYAN NOUMAN</t>
  </si>
  <si>
    <t>34403-8922199-3</t>
  </si>
  <si>
    <t>03112200044</t>
  </si>
  <si>
    <t xml:space="preserve">1125-F STATELIFE HOUSING SOCIETY NE AR MEEZAN BANK LAHORE </t>
  </si>
  <si>
    <t>DIB/T/BT/29509/LHR/1120</t>
  </si>
  <si>
    <t>6914641</t>
  </si>
  <si>
    <t>066566</t>
  </si>
  <si>
    <t>POALHR300059171</t>
  </si>
  <si>
    <t>TDIDIB0028781</t>
  </si>
  <si>
    <t>9976AD2221400017</t>
  </si>
  <si>
    <t>RANA MUHAMMAD KAMRAN</t>
  </si>
  <si>
    <t>35200-9657114-3</t>
  </si>
  <si>
    <t>03008504349</t>
  </si>
  <si>
    <t>04236370254</t>
  </si>
  <si>
    <t xml:space="preserve">H NO 444 LANE 28 ASKARI 09 CANTT SA DAR GOAL CHAKAR LAHORE PK </t>
  </si>
  <si>
    <t>64794/00051/11/2022</t>
  </si>
  <si>
    <t>255861</t>
  </si>
  <si>
    <t>1155883</t>
  </si>
  <si>
    <t>20-MAY-2022</t>
  </si>
  <si>
    <t>OLALHR300087402</t>
  </si>
  <si>
    <t>9401/11/2022/ITFM</t>
  </si>
  <si>
    <t>9976AP2223330008</t>
  </si>
  <si>
    <t>SALMA SHAHAB UDDIN</t>
  </si>
  <si>
    <t>41303-3007685-2</t>
  </si>
  <si>
    <t>03313674917</t>
  </si>
  <si>
    <t xml:space="preserve">HOUSE # B-6 MUHALLAH INDUS BANGLOWS PHASE 1 HUSSAINABAD LATIFABAD NEAR HYDERABAD PK </t>
  </si>
  <si>
    <t>64794/00053/11/2022</t>
  </si>
  <si>
    <t>254005</t>
  </si>
  <si>
    <t>1153978</t>
  </si>
  <si>
    <t>SUZUKI ALTO VXR AGS</t>
  </si>
  <si>
    <t>29-NOV-2022</t>
  </si>
  <si>
    <t>OLDHYD300090456</t>
  </si>
  <si>
    <t>9410/11/2022/ITFM</t>
  </si>
  <si>
    <t>19-NOV-2022</t>
  </si>
  <si>
    <t>9976AP1213270024</t>
  </si>
  <si>
    <t>SYED IRFAN HAIDER</t>
  </si>
  <si>
    <t>42201-6368837-9</t>
  </si>
  <si>
    <t>033278118110</t>
  </si>
  <si>
    <t>03327818110</t>
  </si>
  <si>
    <t xml:space="preserve">HOUSE # A-79 ABBAS TOWN GULSHAN E I QBAL BLOCK # 4-A NEAR UBL BANK KARACHI PK </t>
  </si>
  <si>
    <t>56607/00054/11/2021</t>
  </si>
  <si>
    <t>PK10K113008</t>
  </si>
  <si>
    <t>NF1AVK31H10012993</t>
  </si>
  <si>
    <t>BLC-492</t>
  </si>
  <si>
    <t>CULTUS VXR EURO-II</t>
  </si>
  <si>
    <t>23-NOV-2021</t>
  </si>
  <si>
    <t>OLUKHI300079202</t>
  </si>
  <si>
    <t>5664/11/2021</t>
  </si>
  <si>
    <t>997AAD2202030002</t>
  </si>
  <si>
    <t>RUKHSANA SIDDIQUE</t>
  </si>
  <si>
    <t>61101-7258542-0</t>
  </si>
  <si>
    <t>0515387958</t>
  </si>
  <si>
    <t>03009898662</t>
  </si>
  <si>
    <t xml:space="preserve">HOUSE NO 245 STREET NO 84 G11/3 ISLAMABAD </t>
  </si>
  <si>
    <t>DIB/T/BT/29532/ISB/1120</t>
  </si>
  <si>
    <t>164171</t>
  </si>
  <si>
    <t>10064196</t>
  </si>
  <si>
    <t>CULTUS VXL AGS EURO II</t>
  </si>
  <si>
    <t>21-JUL-2020</t>
  </si>
  <si>
    <t>27-Nov-2027</t>
  </si>
  <si>
    <t>POAISD300055534</t>
  </si>
  <si>
    <t>3615/11/2020/ITFM</t>
  </si>
  <si>
    <t>20-NOV-2020</t>
  </si>
  <si>
    <t>9976AP2203290001</t>
  </si>
  <si>
    <t>SYED MEHDI QASIM</t>
  </si>
  <si>
    <t>37405-2233554-7</t>
  </si>
  <si>
    <t>03365312996</t>
  </si>
  <si>
    <t>0514499326</t>
  </si>
  <si>
    <t xml:space="preserve">H # 196-A BLOCK-A ST # 8 PWD ISLAMABAD PK </t>
  </si>
  <si>
    <t>DIB/T/BT/29518/ISB/1120</t>
  </si>
  <si>
    <t>7542143</t>
  </si>
  <si>
    <t>LR265369</t>
  </si>
  <si>
    <t>24-NOV-2020</t>
  </si>
  <si>
    <t>PODISD300061622</t>
  </si>
  <si>
    <t>TDIDIB0028782</t>
  </si>
  <si>
    <t>9976AD2212390007</t>
  </si>
  <si>
    <t>MUHAMMAD OWAIS MUKHTAR</t>
  </si>
  <si>
    <t>42101-7840808-5</t>
  </si>
  <si>
    <t>03333567671</t>
  </si>
  <si>
    <t xml:space="preserve">PLOT A- 23 24 BALOCH GOTH MANGOPIR ROAD QASBA COLONY JAMSHED PETROL PU MP KARACHI </t>
  </si>
  <si>
    <t>2524/02742/00076/11/2021</t>
  </si>
  <si>
    <t>A083962</t>
  </si>
  <si>
    <t>ZRE171R-6061433</t>
  </si>
  <si>
    <t>27-AUG-2021</t>
  </si>
  <si>
    <t>OLAKHI300072414</t>
  </si>
  <si>
    <t>DIB0032494</t>
  </si>
  <si>
    <t>997AAD1202680014</t>
  </si>
  <si>
    <t>ASIM MANZOOR AHMED</t>
  </si>
  <si>
    <t>90406-0166944-5</t>
  </si>
  <si>
    <t>03249991000</t>
  </si>
  <si>
    <t xml:space="preserve">SHOP NO 1,2,3,4 FANAR LIGHTS DEFENC E CHOWK WALTON ROAD LAHORE </t>
  </si>
  <si>
    <t>2524/02230/00013/11/2020</t>
  </si>
  <si>
    <t>L15A79799899</t>
  </si>
  <si>
    <t>NFBGM2669LR265259</t>
  </si>
  <si>
    <t>POALHR300057582</t>
  </si>
  <si>
    <t>3605/11/2020/ITMM</t>
  </si>
  <si>
    <t>997AAD1202590006</t>
  </si>
  <si>
    <t>ALI IMRAN IQBAL</t>
  </si>
  <si>
    <t>35202-2861489-1</t>
  </si>
  <si>
    <t>03008471989</t>
  </si>
  <si>
    <t>04235733419, 03008471989</t>
  </si>
  <si>
    <t>04235896438</t>
  </si>
  <si>
    <t xml:space="preserve">HOUSE # 320-DD DHA PHASE IV LAHORE </t>
  </si>
  <si>
    <t>53157/00066/11/2020</t>
  </si>
  <si>
    <t>G4NALH329533</t>
  </si>
  <si>
    <t>NNAQL51AZKP303810</t>
  </si>
  <si>
    <t>15-SEP-2020</t>
  </si>
  <si>
    <t>POALHR300057282</t>
  </si>
  <si>
    <t>9976AP1213270011</t>
  </si>
  <si>
    <t>ARIF ALI</t>
  </si>
  <si>
    <t>35202-6316101-7</t>
  </si>
  <si>
    <t>35185141</t>
  </si>
  <si>
    <t>03214791920</t>
  </si>
  <si>
    <t xml:space="preserve">H NO 123 E1 WAPDA TOWN LAHORE </t>
  </si>
  <si>
    <t>56607/00058/11/2021</t>
  </si>
  <si>
    <t>12938548</t>
  </si>
  <si>
    <t>R041982</t>
  </si>
  <si>
    <t>LEA-18A-2007</t>
  </si>
  <si>
    <t>OLULHR300079722</t>
  </si>
  <si>
    <t>5668/11/2021</t>
  </si>
  <si>
    <t>997AAD1202520003</t>
  </si>
  <si>
    <t>MOHSIN ALI</t>
  </si>
  <si>
    <t>33100-9347966-7</t>
  </si>
  <si>
    <t>03236682932</t>
  </si>
  <si>
    <t>03236682932, 03236682932</t>
  </si>
  <si>
    <t xml:space="preserve">H NO P-409 MOHALLA GULSHAN E RAFIQ COLONY REDEX ROAD FAISALABAD PK </t>
  </si>
  <si>
    <t>DIB/T/29506/LHR/1120</t>
  </si>
  <si>
    <t>G4NALH330208</t>
  </si>
  <si>
    <t>NNAQL51AZKP303809</t>
  </si>
  <si>
    <t>08-SEP-2020</t>
  </si>
  <si>
    <t>POAFSD300057125</t>
  </si>
  <si>
    <t>997AAD1202690014</t>
  </si>
  <si>
    <t>JALIL UR RAHMAN</t>
  </si>
  <si>
    <t>42201-3082118-1</t>
  </si>
  <si>
    <t>35842832</t>
  </si>
  <si>
    <t>03222374387</t>
  </si>
  <si>
    <t>34975781</t>
  </si>
  <si>
    <t xml:space="preserve">HOUSE NO 114/2 24TH STREET OFF KH E MUSLIM PHASE 6 DHA KARACHI </t>
  </si>
  <si>
    <t>DIB/T/29578/KHI/1120</t>
  </si>
  <si>
    <t>EAS045090</t>
  </si>
  <si>
    <t>B038698</t>
  </si>
  <si>
    <t>AUDI E TRON 50 230KW</t>
  </si>
  <si>
    <t>25-SEP-2020</t>
  </si>
  <si>
    <t>POAKHI300057605</t>
  </si>
  <si>
    <t>9976AD1181810008</t>
  </si>
  <si>
    <t>MUHAMMAD AFTAB</t>
  </si>
  <si>
    <t>31201-0258728-1</t>
  </si>
  <si>
    <t>03007895838</t>
  </si>
  <si>
    <t xml:space="preserve">HOUSE # 44-C BLOCK STREET #01 MODEL TOWN C BHAWALPUR PK </t>
  </si>
  <si>
    <t>01-1811-PO-MTR-PCCM-D-002935</t>
  </si>
  <si>
    <t>Z542162</t>
  </si>
  <si>
    <t>4167935</t>
  </si>
  <si>
    <t>ALG-179</t>
  </si>
  <si>
    <t>COROLLA GLI M/T</t>
  </si>
  <si>
    <t>30-JUN-2018</t>
  </si>
  <si>
    <t>03-DEC-2018</t>
  </si>
  <si>
    <t>POABHP300035481</t>
  </si>
  <si>
    <t>DIB0026285</t>
  </si>
  <si>
    <t>28-NOV-2018</t>
  </si>
  <si>
    <t>997APD1193240001</t>
  </si>
  <si>
    <t>33100-1712589-7</t>
  </si>
  <si>
    <t>0300-8669955</t>
  </si>
  <si>
    <t>03218669955</t>
  </si>
  <si>
    <t>041-2421664</t>
  </si>
  <si>
    <t xml:space="preserve">LAHORE GRAMMAR SCHOOL 123- CANAL PARK EAST CANAL FAISAL ABAD 03218669955 </t>
  </si>
  <si>
    <t>51449/00055/11/2019</t>
  </si>
  <si>
    <t>153442</t>
  </si>
  <si>
    <t>10053452</t>
  </si>
  <si>
    <t>LEA-19A-4090</t>
  </si>
  <si>
    <t>20-NOV-2019</t>
  </si>
  <si>
    <t>21-NOV-2019</t>
  </si>
  <si>
    <t>PODFSD300050862</t>
  </si>
  <si>
    <t>DIB0027972</t>
  </si>
  <si>
    <t>19-NOV-2019</t>
  </si>
  <si>
    <t>9976AP2203300002</t>
  </si>
  <si>
    <t>NOMAN AKRAM SHAIKH</t>
  </si>
  <si>
    <t>42401-4010372-9</t>
  </si>
  <si>
    <t>03333310893</t>
  </si>
  <si>
    <t>99205423</t>
  </si>
  <si>
    <t xml:space="preserve">FLAT NO E- 305 3RD FLOOR BISMILLAH TOWER GULISTAN-E- JOUHAR BLOCK 10 K KARACHI PK </t>
  </si>
  <si>
    <t>53157/00071/11/2020</t>
  </si>
  <si>
    <t>144865</t>
  </si>
  <si>
    <t>1044837</t>
  </si>
  <si>
    <t>ALTO VXR EURO II</t>
  </si>
  <si>
    <t>25-NOV-2020</t>
  </si>
  <si>
    <t>POAKHI300061821</t>
  </si>
  <si>
    <t>3623/11/2020/ITFM</t>
  </si>
  <si>
    <t>9976AP1203290001</t>
  </si>
  <si>
    <t>SAIMA</t>
  </si>
  <si>
    <t>35202-8275309-8</t>
  </si>
  <si>
    <t>4237814412</t>
  </si>
  <si>
    <t>03304133343</t>
  </si>
  <si>
    <t xml:space="preserve">LAHORE GRAMMAR SCHOOL 49 CIVIC CENTRE M A JOHAR TOWN LAHORE </t>
  </si>
  <si>
    <t>2524/02230/00017/11/2020</t>
  </si>
  <si>
    <t>145674</t>
  </si>
  <si>
    <t>1045589</t>
  </si>
  <si>
    <t>PODLHR300061315</t>
  </si>
  <si>
    <t>3618/11/2020/ITFM</t>
  </si>
  <si>
    <t>997AAD1201980014</t>
  </si>
  <si>
    <t>MUHAMMAD ALI</t>
  </si>
  <si>
    <t>35201-9779925-5</t>
  </si>
  <si>
    <t>03044444380</t>
  </si>
  <si>
    <t xml:space="preserve">HOUSE NO 1 STREET NO 3 MUHALLAH MAH MOOD BOOTI MAIN ROAD BAGHBANPURA NE AR SAEED TEA STALL AND NEAR TAKIAY LAHORE </t>
  </si>
  <si>
    <t>DIB/T/BT/29575/LHR/1120</t>
  </si>
  <si>
    <t>2A12845</t>
  </si>
  <si>
    <t>9505221</t>
  </si>
  <si>
    <t>TOYOTA YARIS ATIV X CVT 1.5</t>
  </si>
  <si>
    <t>16-JUL-2020</t>
  </si>
  <si>
    <t>POALHR300055301</t>
  </si>
  <si>
    <t>TDIDIB0028785</t>
  </si>
  <si>
    <t>997AAD1202740062</t>
  </si>
  <si>
    <t>MUHAMMAD SHEROZ</t>
  </si>
  <si>
    <t>33102-9791207-5</t>
  </si>
  <si>
    <t>03217618831</t>
  </si>
  <si>
    <t>03217618831, 03217618831</t>
  </si>
  <si>
    <t>0412646081</t>
  </si>
  <si>
    <t xml:space="preserve">H NO 191-B CANAL ROAD EDEN VALLEY FAISALABAD PK </t>
  </si>
  <si>
    <t>DIB/T/29512/LHR/1120</t>
  </si>
  <si>
    <t>330820</t>
  </si>
  <si>
    <t>304042</t>
  </si>
  <si>
    <t>KIA SPORTAGE</t>
  </si>
  <si>
    <t>POAFSD300057905</t>
  </si>
  <si>
    <t>997AAD1202720027</t>
  </si>
  <si>
    <t>NAJEEB ADNAN</t>
  </si>
  <si>
    <t>35202-8545392-3</t>
  </si>
  <si>
    <t>0321-9446004</t>
  </si>
  <si>
    <t>04235814383 35813095</t>
  </si>
  <si>
    <t xml:space="preserve">H# 23, J-1 WAPDA TOWN LAHORE </t>
  </si>
  <si>
    <t>53157/00069/11/2020</t>
  </si>
  <si>
    <t>G4NALH330818</t>
  </si>
  <si>
    <t>NNAQL51AZKP303979</t>
  </si>
  <si>
    <t>SPORTAGE FWD</t>
  </si>
  <si>
    <t>28-SEP-2020</t>
  </si>
  <si>
    <t>POALHR300057696</t>
  </si>
  <si>
    <t>9976AP1213270021</t>
  </si>
  <si>
    <t>SHAHBAZ AZAM</t>
  </si>
  <si>
    <t>42101-4817297-1</t>
  </si>
  <si>
    <t>03433199088</t>
  </si>
  <si>
    <t>03433199088, 03433199088</t>
  </si>
  <si>
    <t xml:space="preserve">PRECENT 10-A VILLA # 1037 STREET # 17 BAHRIA TOWN NEAR MARHAB MART KARACHI PK </t>
  </si>
  <si>
    <t>56607/00060/11/2021</t>
  </si>
  <si>
    <t>317930</t>
  </si>
  <si>
    <t>513457</t>
  </si>
  <si>
    <t>BJ-7108</t>
  </si>
  <si>
    <t>OLUKHI300079692</t>
  </si>
  <si>
    <t>108636/11/2021</t>
  </si>
  <si>
    <t>997AAD1202620026</t>
  </si>
  <si>
    <t>MUHAMMAD BILAL IHSAN</t>
  </si>
  <si>
    <t>33102-3124787-9</t>
  </si>
  <si>
    <t>03217266668</t>
  </si>
  <si>
    <t>03217266668, 03217266668</t>
  </si>
  <si>
    <t xml:space="preserve">P-318 D BLOCK MUHALLA PEOPLES COLON Y NO 1 FSD NEAR REHMAT CHOWK FAISALABAD PK </t>
  </si>
  <si>
    <t>DIB/T/29572/LHR/1120</t>
  </si>
  <si>
    <t>329905</t>
  </si>
  <si>
    <t>303892</t>
  </si>
  <si>
    <t>POAFSD300057406</t>
  </si>
  <si>
    <t>997AAD1202120057</t>
  </si>
  <si>
    <t>QURAT UL AIN MARRI</t>
  </si>
  <si>
    <t>42301-8302568-8</t>
  </si>
  <si>
    <t>02135821473</t>
  </si>
  <si>
    <t>03332458352</t>
  </si>
  <si>
    <t xml:space="preserve">13D/2 1ST GIZRI LANE DHA PHASE 4 KARACHI </t>
  </si>
  <si>
    <t>DIB/T/BT/29579/KHI/1120</t>
  </si>
  <si>
    <t>1GD0886707</t>
  </si>
  <si>
    <t>GUN156R-1093931</t>
  </si>
  <si>
    <t>TOYOTA FORTUNER DEISEL 4X4</t>
  </si>
  <si>
    <t>POAKHI300056204</t>
  </si>
  <si>
    <t>TDIDIB0028786</t>
  </si>
  <si>
    <t>997APD2203280020</t>
  </si>
  <si>
    <t>MADIHA AFZAL</t>
  </si>
  <si>
    <t>35200-1387642-2</t>
  </si>
  <si>
    <t>03124198158</t>
  </si>
  <si>
    <t xml:space="preserve">34-KM FEROZPUR ROAD NEAR PALM CITY CENTRAL PARK LAHORE </t>
  </si>
  <si>
    <t>53157/00070/11/2020</t>
  </si>
  <si>
    <t>8107056</t>
  </si>
  <si>
    <t>2039628</t>
  </si>
  <si>
    <t>TOYOTA CH-R HYBRID</t>
  </si>
  <si>
    <t>23-NOV-2020</t>
  </si>
  <si>
    <t>POULHR300061841</t>
  </si>
  <si>
    <t>3624/11/2020/ITFM</t>
  </si>
  <si>
    <t>997APD1203300006</t>
  </si>
  <si>
    <t>DANIYAL ABID</t>
  </si>
  <si>
    <t>33100-5976024-1</t>
  </si>
  <si>
    <t>03218666769</t>
  </si>
  <si>
    <t>03218666769, 03218666769</t>
  </si>
  <si>
    <t xml:space="preserve">H NO P-1 PEOPLES COLONY NO 1 JARANW ALA ROAD FSD FAISALABAD PK </t>
  </si>
  <si>
    <t>53157/00073/11/2020</t>
  </si>
  <si>
    <t>323164</t>
  </si>
  <si>
    <t>505299</t>
  </si>
  <si>
    <t>PODFSD300061551</t>
  </si>
  <si>
    <t>9976AD2221500044</t>
  </si>
  <si>
    <t>FAIZA IMRAN</t>
  </si>
  <si>
    <t>35202-2735722-6</t>
  </si>
  <si>
    <t>03144009344</t>
  </si>
  <si>
    <t xml:space="preserve">LAHORE GRAMMAR SCHOOL A BLOCK CENTRAL PARK FEROZPUR ROAD LAHORE </t>
  </si>
  <si>
    <t>64794/00055/11/2022</t>
  </si>
  <si>
    <t>6R256407</t>
  </si>
  <si>
    <t>1156385</t>
  </si>
  <si>
    <t>SUZUKI ALTO VXL EURO II</t>
  </si>
  <si>
    <t>OLALHR300087664</t>
  </si>
  <si>
    <t>9411/11/2022/ITFM</t>
  </si>
  <si>
    <t>9976AP1223270013</t>
  </si>
  <si>
    <t>SHIEKH MUHAMMAD IRFAN RASHEED</t>
  </si>
  <si>
    <t>42000-4947154-5</t>
  </si>
  <si>
    <t>03219245277</t>
  </si>
  <si>
    <t xml:space="preserve">SHOP NO 8 S.R 13/1/16 AL FAYYAZ CENTRE KHUSHAL DAS STREET OFF I.I CHUNDRIGAR ROAD KARACHI </t>
  </si>
  <si>
    <t>64794/00058/11/2022</t>
  </si>
  <si>
    <t>204857</t>
  </si>
  <si>
    <t>10104855</t>
  </si>
  <si>
    <t>BRZ-759</t>
  </si>
  <si>
    <t>SUZUKI WAGONR VXL AGS</t>
  </si>
  <si>
    <t>23-NOV-2022</t>
  </si>
  <si>
    <t>OLUKHI300090885</t>
  </si>
  <si>
    <t>9417/11/2022/ITFM</t>
  </si>
  <si>
    <t>22-NOV-2022</t>
  </si>
  <si>
    <t>9976AD1221450052</t>
  </si>
  <si>
    <t>MUHAMMAD SHAHID AZIZ</t>
  </si>
  <si>
    <t>Haripur</t>
  </si>
  <si>
    <t>35201-4743332-3</t>
  </si>
  <si>
    <t>03232722222</t>
  </si>
  <si>
    <t>36542003</t>
  </si>
  <si>
    <t xml:space="preserve">310 /A GT ROAD NEAR GOVT GIRLS VOLL EGE LAST MINT STOP BAGHBANPURA LAHORE </t>
  </si>
  <si>
    <t>64794/00056/11/2022</t>
  </si>
  <si>
    <t>132062</t>
  </si>
  <si>
    <t>1002022</t>
  </si>
  <si>
    <t>CHANGAN OSHAN X7 FUTURE SENSE</t>
  </si>
  <si>
    <t>25-MAY-2022</t>
  </si>
  <si>
    <t>OLALHR300087515</t>
  </si>
  <si>
    <t>9415/11/2022/ITFM</t>
  </si>
  <si>
    <t>9976AP2233260011</t>
  </si>
  <si>
    <t>KAMRAN JAVED</t>
  </si>
  <si>
    <t>33102-6013940-1</t>
  </si>
  <si>
    <t>03057754991</t>
  </si>
  <si>
    <t>03057754991, 03057754991</t>
  </si>
  <si>
    <t xml:space="preserve">P-348 MASJID WALI GALI MUGHAL CHOWK NAWABAN WALA FAISALABAD FAISALABAD PK </t>
  </si>
  <si>
    <t>77638/00005/11/2023</t>
  </si>
  <si>
    <t>20-NOV-2024</t>
  </si>
  <si>
    <t>6R273473</t>
  </si>
  <si>
    <t>H1173456</t>
  </si>
  <si>
    <t>APJ-247</t>
  </si>
  <si>
    <t>SUZUKI ALTO VXL AGS</t>
  </si>
  <si>
    <t>OLUFSD300098029</t>
  </si>
  <si>
    <t>10606/11/2023/ITFM</t>
  </si>
  <si>
    <t>22-NOV-2023</t>
  </si>
  <si>
    <t>9976AP1233260003</t>
  </si>
  <si>
    <t>MUHAMMAD ASAD KHAN</t>
  </si>
  <si>
    <t>42101-3434005-3</t>
  </si>
  <si>
    <t>03132306900</t>
  </si>
  <si>
    <t xml:space="preserve">SHOP NO.2/2 SEC 11-I SALEEM CENTRE NORTH KHI KHI 0313-2306900 </t>
  </si>
  <si>
    <t>77638/00004/11/2023</t>
  </si>
  <si>
    <t>0592968</t>
  </si>
  <si>
    <t>5534994</t>
  </si>
  <si>
    <t>KZ-2555</t>
  </si>
  <si>
    <t>TOYOTA HILUX REVO C DC A/T 4X4</t>
  </si>
  <si>
    <t>OLUKHI300098009</t>
  </si>
  <si>
    <t>DIB0035430</t>
  </si>
  <si>
    <t>9976AD1221200038</t>
  </si>
  <si>
    <t>SUMAIRA ASGHAR</t>
  </si>
  <si>
    <t>37302-7522812-2</t>
  </si>
  <si>
    <t>03185570030</t>
  </si>
  <si>
    <t>05449270262</t>
  </si>
  <si>
    <t xml:space="preserve">H # B-794 MOHALLAH ISLAMIA HIGH SCH OOL MEMBER ABDUL AZIZ NEAR ISLAMIA JHELUM PK </t>
  </si>
  <si>
    <t>64794/00059/11/2022</t>
  </si>
  <si>
    <t>258899</t>
  </si>
  <si>
    <t>1158908</t>
  </si>
  <si>
    <t>SUZUKI ALTO VX EURO-II</t>
  </si>
  <si>
    <t>03-Dec-2029</t>
  </si>
  <si>
    <t>OLAJHM300086930</t>
  </si>
  <si>
    <t>9420/11/2022/ITFM</t>
  </si>
  <si>
    <t>9976AP1213280010</t>
  </si>
  <si>
    <t>WAJIHA SHAHID KHAN</t>
  </si>
  <si>
    <t>34101-8135173-0</t>
  </si>
  <si>
    <t>03009407137</t>
  </si>
  <si>
    <t xml:space="preserve">138 CCA DHA PHASE V LAHORE </t>
  </si>
  <si>
    <t>56607/00062/11/2021</t>
  </si>
  <si>
    <t>13736587</t>
  </si>
  <si>
    <t>01275109</t>
  </si>
  <si>
    <t>LEF-18-9543</t>
  </si>
  <si>
    <t>24-NOV-2021</t>
  </si>
  <si>
    <t>OLULHR300079742</t>
  </si>
  <si>
    <t>5676/11/2021</t>
  </si>
  <si>
    <t>9976AP2213280001</t>
  </si>
  <si>
    <t>MUHAMMAD JAVED SHEIKH</t>
  </si>
  <si>
    <t>37405-6430894-5</t>
  </si>
  <si>
    <t>03360118683</t>
  </si>
  <si>
    <t>0512724069</t>
  </si>
  <si>
    <t xml:space="preserve">H NO. 98 ST NO. 14 GULRAIZ PHASE 2 NEAR RAWAL CADET COLLAGE RAWALPINDI </t>
  </si>
  <si>
    <t>56607/00061/11/2021</t>
  </si>
  <si>
    <t>107768</t>
  </si>
  <si>
    <t>1007730</t>
  </si>
  <si>
    <t>APB-351</t>
  </si>
  <si>
    <t>OLUISD300079632</t>
  </si>
  <si>
    <t>5659/11/2021</t>
  </si>
  <si>
    <t>9976AP1213270015</t>
  </si>
  <si>
    <t>ISRAR AHMED</t>
  </si>
  <si>
    <t>42401-7011856-2</t>
  </si>
  <si>
    <t>03009265110</t>
  </si>
  <si>
    <t xml:space="preserve">HOUSE # C-174 BLOCK I NORTH NAZIMAB AD KARACHI PK </t>
  </si>
  <si>
    <t>56607/00070/11/2021</t>
  </si>
  <si>
    <t>PKS13036598</t>
  </si>
  <si>
    <t>R5413PK10036596</t>
  </si>
  <si>
    <t>BJV-217</t>
  </si>
  <si>
    <t>SWIFT DLX ABS WITH EBD</t>
  </si>
  <si>
    <t>OLUKHI300079823</t>
  </si>
  <si>
    <t>108643/11/2021</t>
  </si>
  <si>
    <t>9976AP2213270015</t>
  </si>
  <si>
    <t>TOUSEEF NIAZ</t>
  </si>
  <si>
    <t>42201-9489442-7</t>
  </si>
  <si>
    <t>03350215191</t>
  </si>
  <si>
    <t xml:space="preserve">D-38 HABIB OIL MILL SITE AREA KARACHI </t>
  </si>
  <si>
    <t>56607/00063/11/2021</t>
  </si>
  <si>
    <t>109082</t>
  </si>
  <si>
    <t>10009035</t>
  </si>
  <si>
    <t>BKR-081</t>
  </si>
  <si>
    <t>OLUKHI300079752</t>
  </si>
  <si>
    <t>108639/11/2021</t>
  </si>
  <si>
    <t>9976AD1211810070</t>
  </si>
  <si>
    <t>FARHAN AMJAD</t>
  </si>
  <si>
    <t>37405-8995299-7</t>
  </si>
  <si>
    <t>051-2654927</t>
  </si>
  <si>
    <t xml:space="preserve">H# 1148 ST# 26 PHASE-5 BAHRIA ISLAMABAD </t>
  </si>
  <si>
    <t>UWT/D/T002/0000001137/1121/109-0</t>
  </si>
  <si>
    <t>16928127</t>
  </si>
  <si>
    <t>080753</t>
  </si>
  <si>
    <t>OLAISD300070307</t>
  </si>
  <si>
    <t>5679/11/2021</t>
  </si>
  <si>
    <t>9976AD1211800017</t>
  </si>
  <si>
    <t>MUHAMMAD IMRAN</t>
  </si>
  <si>
    <t>33100-7030122-7</t>
  </si>
  <si>
    <t>03009669046</t>
  </si>
  <si>
    <t>03009669046, 03009669046</t>
  </si>
  <si>
    <t>0418786791</t>
  </si>
  <si>
    <t xml:space="preserve">P-60 BOCK D EDEN VALLEY 208 CHAK RO AD FAISALABAD PK </t>
  </si>
  <si>
    <t>2021/11/CLFTTPCDP01248</t>
  </si>
  <si>
    <t>D521117</t>
  </si>
  <si>
    <t>1004147</t>
  </si>
  <si>
    <t>ALSVIN 1.5L</t>
  </si>
  <si>
    <t>OLAFSD300070091</t>
  </si>
  <si>
    <t>DIB0032495</t>
  </si>
  <si>
    <t>9976AP1213280008</t>
  </si>
  <si>
    <t>KASHIF HAROON</t>
  </si>
  <si>
    <t>42201-9376831-3</t>
  </si>
  <si>
    <t>03352907051</t>
  </si>
  <si>
    <t xml:space="preserve">HOUSE NO L-2512 METRO VILL-3 BLOCK-2 GULZAR-E-HIJRI KARACHI </t>
  </si>
  <si>
    <t>56607/00065/11/2021</t>
  </si>
  <si>
    <t>R011553</t>
  </si>
  <si>
    <t>L15Z13511556</t>
  </si>
  <si>
    <t>BG-9639</t>
  </si>
  <si>
    <t>BRV-IVTEC-S</t>
  </si>
  <si>
    <t>OLUKHI300079713</t>
  </si>
  <si>
    <t>108638/11/2021</t>
  </si>
  <si>
    <t>9976AD1212360032</t>
  </si>
  <si>
    <t>MUHAMMAD LUQMAN</t>
  </si>
  <si>
    <t>33100-4985851-3</t>
  </si>
  <si>
    <t>03216686309</t>
  </si>
  <si>
    <t>03216686309, 03216686309</t>
  </si>
  <si>
    <t xml:space="preserve">H NO P-1350 KALEEM SHAHEED COLONY N O 02 FAISALABAD PK </t>
  </si>
  <si>
    <t>2021-11-205-V01501OP0002818</t>
  </si>
  <si>
    <t>R18Z16928350</t>
  </si>
  <si>
    <t>R080932</t>
  </si>
  <si>
    <t>24-AUG-2021</t>
  </si>
  <si>
    <t>OLAFSD300072299</t>
  </si>
  <si>
    <t>DIB0032524</t>
  </si>
  <si>
    <t>9976AP2213270017</t>
  </si>
  <si>
    <t>MEHMOOD UL HASSAN</t>
  </si>
  <si>
    <t>36102-1941368-7</t>
  </si>
  <si>
    <t>03333680871</t>
  </si>
  <si>
    <t>0514914083</t>
  </si>
  <si>
    <t xml:space="preserve">H # DK-519/ E DHOKE PRACHA SATELLIT E TOWN 6TH ROAD RAWALPINDI PK </t>
  </si>
  <si>
    <t>56607/00064/11/2021</t>
  </si>
  <si>
    <t>030524</t>
  </si>
  <si>
    <t>503923</t>
  </si>
  <si>
    <t>ARS-735</t>
  </si>
  <si>
    <t>OLURWP300079804</t>
  </si>
  <si>
    <t>5675/11/2021</t>
  </si>
  <si>
    <t>9976AP1223270007</t>
  </si>
  <si>
    <t>MAMOONA</t>
  </si>
  <si>
    <t>41204-9669634-4</t>
  </si>
  <si>
    <t>03453592505</t>
  </si>
  <si>
    <t>03453592505, 03453592505</t>
  </si>
  <si>
    <t xml:space="preserve">HOUSE # 218 SINDH UNIVERSITY CO-OPE RATIVE HOUSING SOCIETY PHASE 2 JAMS JAMSHORO PK </t>
  </si>
  <si>
    <t>64794/00063/11/2022</t>
  </si>
  <si>
    <t>151603</t>
  </si>
  <si>
    <t>10051588</t>
  </si>
  <si>
    <t>BQX-240</t>
  </si>
  <si>
    <t>OLUKHI300090904</t>
  </si>
  <si>
    <t>9437/11/2022/ITFM</t>
  </si>
  <si>
    <t>9976AP2223270006</t>
  </si>
  <si>
    <t>QAMAR KHAN-ASAAN ACCOUNT</t>
  </si>
  <si>
    <t>42101-7640189-5</t>
  </si>
  <si>
    <t>03132122221</t>
  </si>
  <si>
    <t xml:space="preserve">HOUSE NO R-565 BLOCK 09 F.B AREA NEAR ASKARI IMAM BARGAH KARACHI </t>
  </si>
  <si>
    <t>64794/00061/11/2022</t>
  </si>
  <si>
    <t>79788875</t>
  </si>
  <si>
    <t>219142</t>
  </si>
  <si>
    <t>BLT-340</t>
  </si>
  <si>
    <t>HONDA CITY I-VTEC P/T</t>
  </si>
  <si>
    <t>OLUKHI300090905</t>
  </si>
  <si>
    <t>9443/11/2022/ITFM</t>
  </si>
  <si>
    <t>9976AP1223270010</t>
  </si>
  <si>
    <t>MUHAMMAD ABSAR</t>
  </si>
  <si>
    <t>41303-2988927-3</t>
  </si>
  <si>
    <t>03432464261</t>
  </si>
  <si>
    <t xml:space="preserve">A- 163 BLOCK C GULSHAN-E- JAMAL MIL LIUM MALL KARACHI PK </t>
  </si>
  <si>
    <t>64794/00062/11/2022</t>
  </si>
  <si>
    <t>115438</t>
  </si>
  <si>
    <t>1015406</t>
  </si>
  <si>
    <t>BQX-562</t>
  </si>
  <si>
    <t>OLUKHI300090908</t>
  </si>
  <si>
    <t>9436/11/2022/ITFM</t>
  </si>
  <si>
    <t>9976AP1223280009</t>
  </si>
  <si>
    <t>MUHAMMAD NADEEM</t>
  </si>
  <si>
    <t>35201-6054113-1</t>
  </si>
  <si>
    <t>03214893841</t>
  </si>
  <si>
    <t xml:space="preserve">VILLAGE TATLAY PO KAHS LAHORE CANTT LAHORE </t>
  </si>
  <si>
    <t>64794/00060/11/2022</t>
  </si>
  <si>
    <t>769537</t>
  </si>
  <si>
    <t>308060</t>
  </si>
  <si>
    <t>LEA-20-9881</t>
  </si>
  <si>
    <t>SUZUKI MEHRAN VXR EURO-II</t>
  </si>
  <si>
    <t>24-NOV-2022</t>
  </si>
  <si>
    <t>OLULHR300090898</t>
  </si>
  <si>
    <t>9440/11/2022/ITFM</t>
  </si>
  <si>
    <t>9976AP1233270008</t>
  </si>
  <si>
    <t>MUHAMMAD RAFIQ KASMANI</t>
  </si>
  <si>
    <t>42301-1110942-9</t>
  </si>
  <si>
    <t>03218704123</t>
  </si>
  <si>
    <t xml:space="preserve">H # 4 STREET 7 SECTOR 1 NAVAL COLON Y HUB RIVER ROAD HAROON BAHRIA KARACHI PK </t>
  </si>
  <si>
    <t>77638/0008/11/2023</t>
  </si>
  <si>
    <t>21-NOV-2024</t>
  </si>
  <si>
    <t>81013394</t>
  </si>
  <si>
    <t>031034</t>
  </si>
  <si>
    <t>BYK-221</t>
  </si>
  <si>
    <t>OLUKHI300098049</t>
  </si>
  <si>
    <t>DIB0035437</t>
  </si>
  <si>
    <t>23-NOV-2023</t>
  </si>
  <si>
    <t>9976AP1233270009</t>
  </si>
  <si>
    <t>MUHAMMAD AZAM</t>
  </si>
  <si>
    <t>42501-7166236-9</t>
  </si>
  <si>
    <t>03444007987</t>
  </si>
  <si>
    <t xml:space="preserve">PLOT NO CB-7 GROUND FLOOR AL BADAR ROAD KEHKASHAN SOCIETY NEAR BANK AL HABIB AZIM PURA KARACHI </t>
  </si>
  <si>
    <t>77638/00006/11/2023</t>
  </si>
  <si>
    <t>312566</t>
  </si>
  <si>
    <t>514301</t>
  </si>
  <si>
    <t>BK-4874</t>
  </si>
  <si>
    <t>OLUKHI300098048</t>
  </si>
  <si>
    <t>DIB0035433</t>
  </si>
  <si>
    <t>9976AP2233270012</t>
  </si>
  <si>
    <t>SALEEM MERCHANT</t>
  </si>
  <si>
    <t>42201-1279924-1</t>
  </si>
  <si>
    <t>03332000730</t>
  </si>
  <si>
    <t xml:space="preserve">FLAT # 102 1ST FLOOR LAIBA HOMES PL OT # 73S ALLAMA IQBAL RAOD PECHS BL KARACHI PK </t>
  </si>
  <si>
    <t>77638/00009/11/2023</t>
  </si>
  <si>
    <t>81010792</t>
  </si>
  <si>
    <t>R024114</t>
  </si>
  <si>
    <t>BXK-218</t>
  </si>
  <si>
    <t>OLUKHI300098070</t>
  </si>
  <si>
    <t>DIB0035440</t>
  </si>
  <si>
    <t>9976AD1212670030</t>
  </si>
  <si>
    <t>AZEEM AKHTAR</t>
  </si>
  <si>
    <t>34603-7908500-3</t>
  </si>
  <si>
    <t>03466600914</t>
  </si>
  <si>
    <t xml:space="preserve">PORT SERVICES LIMITED SIALKOT DRY PORT TRUST SAMBRIAL SIALKOT 03466600914 </t>
  </si>
  <si>
    <t>01-2111-PO-MTR-PCCM-D-001571</t>
  </si>
  <si>
    <t>1016995</t>
  </si>
  <si>
    <t>01133504</t>
  </si>
  <si>
    <t>24-SEP-2021</t>
  </si>
  <si>
    <t>OLASKT300073773</t>
  </si>
  <si>
    <t>DIB0032540</t>
  </si>
  <si>
    <t>997AAD2202750004</t>
  </si>
  <si>
    <t>SHAHID HASSAN</t>
  </si>
  <si>
    <t>42101-9867482-1</t>
  </si>
  <si>
    <t>03002153787</t>
  </si>
  <si>
    <t>02132785099</t>
  </si>
  <si>
    <t xml:space="preserve">SHALIMAR AC COACH NEAR SEA BREEZE H OSPITAL OPP CITY SHOPPING MALL KARACHI </t>
  </si>
  <si>
    <t>2524/02230/00027/11/2020</t>
  </si>
  <si>
    <t>162795</t>
  </si>
  <si>
    <t>10062816</t>
  </si>
  <si>
    <t>POAKHI300058158</t>
  </si>
  <si>
    <t>3468/11/2020</t>
  </si>
  <si>
    <t>9976AD2213010003</t>
  </si>
  <si>
    <t>CHRISTOPHER BASHIR</t>
  </si>
  <si>
    <t>42401-3328969-9</t>
  </si>
  <si>
    <t>03413456900</t>
  </si>
  <si>
    <t xml:space="preserve">HOUSE 547 SECTOR 9-D BALDIA TOWN NEAR QAZI HOSPITAL KARACHI 03413456900 </t>
  </si>
  <si>
    <t>2524/02742/00086/11/2021</t>
  </si>
  <si>
    <t>191924</t>
  </si>
  <si>
    <t>1091700</t>
  </si>
  <si>
    <t>28-OCT-2021</t>
  </si>
  <si>
    <t>OLAKHI300077223</t>
  </si>
  <si>
    <t>DIB0032499</t>
  </si>
  <si>
    <t>9976AP1213280014</t>
  </si>
  <si>
    <t>UBAID AHMED AWAN</t>
  </si>
  <si>
    <t>41303-0744658-3</t>
  </si>
  <si>
    <t>03333264321</t>
  </si>
  <si>
    <t xml:space="preserve">H # 88-A ST # 16 BLOCK B PWD ISLAMABAD PK </t>
  </si>
  <si>
    <t>56607/00078/11/2021</t>
  </si>
  <si>
    <t>6R193548</t>
  </si>
  <si>
    <t>1093531</t>
  </si>
  <si>
    <t>OLDISD300079653</t>
  </si>
  <si>
    <t>5687/11/2021</t>
  </si>
  <si>
    <t>997AAD1202120043</t>
  </si>
  <si>
    <t>MUHAMMAD ARSLAN SALIK</t>
  </si>
  <si>
    <t>35202-4039245-1</t>
  </si>
  <si>
    <t>03004232457</t>
  </si>
  <si>
    <t xml:space="preserve">5TH FLOOR 16-A MAIN COMMERCIAL SECTOR-E BAHRIA TOWN LAHORE </t>
  </si>
  <si>
    <t>53157/00074/11/2020</t>
  </si>
  <si>
    <t>2A12566</t>
  </si>
  <si>
    <t>NSP150R-7007273</t>
  </si>
  <si>
    <t>POALHR300056197</t>
  </si>
  <si>
    <t>3630/11/2020/ITFM</t>
  </si>
  <si>
    <t>9976AP2213280006</t>
  </si>
  <si>
    <t>HAROON HAIDER</t>
  </si>
  <si>
    <t>35201-2310900-3</t>
  </si>
  <si>
    <t>03234281984</t>
  </si>
  <si>
    <t xml:space="preserve">1-A GROUND FLOOR BEHND DYAL SING ME NSION THE MALL LAHORE </t>
  </si>
  <si>
    <t>56607/00094/11/2021</t>
  </si>
  <si>
    <t>Z420589</t>
  </si>
  <si>
    <t>R-4070383</t>
  </si>
  <si>
    <t>LEC-16-4571</t>
  </si>
  <si>
    <t>TOYOTO COROLLA XLI</t>
  </si>
  <si>
    <t>OLULHR300079953</t>
  </si>
  <si>
    <t>108648/11/2021</t>
  </si>
  <si>
    <t>9976AD1211200056</t>
  </si>
  <si>
    <t>MUHAMMAD ALI ASHFAQ</t>
  </si>
  <si>
    <t>33100-7443645-1</t>
  </si>
  <si>
    <t>03236044877</t>
  </si>
  <si>
    <t>03236044877, 03236044877</t>
  </si>
  <si>
    <t xml:space="preserve">P-34 NARWALA ROAD MOH.GULSHAN COLON Y FAISALABAD PK </t>
  </si>
  <si>
    <t>DIB/T/34407/LHR/1121</t>
  </si>
  <si>
    <t>D522103</t>
  </si>
  <si>
    <t>M1004406</t>
  </si>
  <si>
    <t>CHANGAN ALSVIN 1.5</t>
  </si>
  <si>
    <t>OLAFSD300068483</t>
  </si>
  <si>
    <t>TDIDIB0029834</t>
  </si>
  <si>
    <t>9976AP2213290007</t>
  </si>
  <si>
    <t>MUHAMMAD NAVEED</t>
  </si>
  <si>
    <t>35103-6683428-5</t>
  </si>
  <si>
    <t>03062561821</t>
  </si>
  <si>
    <t xml:space="preserve">H NO 310 D-BLOCK MANDAR MARKET OPP. JAMIA MASJID D-BLOCK MODELTOWN LAHORE </t>
  </si>
  <si>
    <t>56607/000838/11/2021</t>
  </si>
  <si>
    <t>Z55431</t>
  </si>
  <si>
    <t>R4180269</t>
  </si>
  <si>
    <t>LEH-19-621</t>
  </si>
  <si>
    <t>TOYOTA COROLLA XLI A/T</t>
  </si>
  <si>
    <t>25-NOV-2021</t>
  </si>
  <si>
    <t>OLULHR300079932</t>
  </si>
  <si>
    <t>108651/11/2021</t>
  </si>
  <si>
    <t>9976AP1213290018</t>
  </si>
  <si>
    <t>MUHAMMAD ZUBAIR</t>
  </si>
  <si>
    <t>42301-6531609-1</t>
  </si>
  <si>
    <t>2050347</t>
  </si>
  <si>
    <t>03212906441</t>
  </si>
  <si>
    <t xml:space="preserve">FLAT NO.21/1, GALI NO.1, GULSHAN BANTVA, LIAQUAT COLONY, NAYA ABAD, KARACHI. </t>
  </si>
  <si>
    <t>56607/00091/11/2021</t>
  </si>
  <si>
    <t>13508413</t>
  </si>
  <si>
    <t>008290</t>
  </si>
  <si>
    <t>BG-9028</t>
  </si>
  <si>
    <t>HONDA BRV-IV TEC-S</t>
  </si>
  <si>
    <t>OLUKHI300080093</t>
  </si>
  <si>
    <t>108660/11/2021</t>
  </si>
  <si>
    <t>9976AD2212510001</t>
  </si>
  <si>
    <t>JAMAL ABDUL NASIR KAKA KHEL</t>
  </si>
  <si>
    <t>17201-6103666-7</t>
  </si>
  <si>
    <t>03335135996</t>
  </si>
  <si>
    <t>9221927</t>
  </si>
  <si>
    <t xml:space="preserve">H # 412 CHINAR STREET GREEN AVENUE PARK ROAD ISLAMABAD PK </t>
  </si>
  <si>
    <t>DIB/T/34411/ISB/1121</t>
  </si>
  <si>
    <t>4807307</t>
  </si>
  <si>
    <t>MR023972</t>
  </si>
  <si>
    <t>HONDA BRV IV-TEC-S</t>
  </si>
  <si>
    <t>08-SEP-2021</t>
  </si>
  <si>
    <t>OLAISD300073232</t>
  </si>
  <si>
    <t>DIB0032523</t>
  </si>
  <si>
    <t>9976AP2213330016</t>
  </si>
  <si>
    <t>ADNAN AMIN</t>
  </si>
  <si>
    <t>42401-9977748-9</t>
  </si>
  <si>
    <t>03002541557</t>
  </si>
  <si>
    <t>03002451557</t>
  </si>
  <si>
    <t xml:space="preserve">115 1ST FLOOR BLOCK 3 COMMERCIOL 6 SAIMA ARABIAN VILLAS SURJANI TOWN B KARACHI PK </t>
  </si>
  <si>
    <t>56607/00086/11/2021</t>
  </si>
  <si>
    <t>Q0324285</t>
  </si>
  <si>
    <t>7023413</t>
  </si>
  <si>
    <t>BLC-070</t>
  </si>
  <si>
    <t>COROLLA ALTIS GRANDE CVT</t>
  </si>
  <si>
    <t>29-NOV-2021</t>
  </si>
  <si>
    <t>OLUKHI300079955</t>
  </si>
  <si>
    <t>108681/11/2021</t>
  </si>
  <si>
    <t>9976AD1212630002</t>
  </si>
  <si>
    <t>WAQAS AHMED MALIK</t>
  </si>
  <si>
    <t>61101-1946683-5</t>
  </si>
  <si>
    <t>03451555000</t>
  </si>
  <si>
    <t>0514906804</t>
  </si>
  <si>
    <t xml:space="preserve">H # 179 GROUND FLOOR ST # 17 SECTOR 2 AIRPORT HOUSING SOCIETY NEAR SHE ISLAMABAD PK </t>
  </si>
  <si>
    <t>01-2111-PO-MTR-PCCM-D-001572</t>
  </si>
  <si>
    <t>40722</t>
  </si>
  <si>
    <t>9515172</t>
  </si>
  <si>
    <t>20-SEP-2021</t>
  </si>
  <si>
    <t>OLAISD300073682</t>
  </si>
  <si>
    <t>DIB0032533</t>
  </si>
  <si>
    <t>9976AD1213010017</t>
  </si>
  <si>
    <t>SHAAZ TANSEEM KHAN</t>
  </si>
  <si>
    <t>42301-0692640-9</t>
  </si>
  <si>
    <t>03333921292</t>
  </si>
  <si>
    <t>033333921292</t>
  </si>
  <si>
    <t xml:space="preserve">118 1ST FLOOR BLOCK A ASHIYANA APPA RTMENT BLOCK 8 NEAR FORUM MALL CLIF KARACHI PK </t>
  </si>
  <si>
    <t>DIB/T/34410/KHI/1121</t>
  </si>
  <si>
    <t>G4NAMU842506</t>
  </si>
  <si>
    <t>PMHD841FMMN301731</t>
  </si>
  <si>
    <t>ELENTRA</t>
  </si>
  <si>
    <t>OLAKHI300077282</t>
  </si>
  <si>
    <t>TDIDIB0029830</t>
  </si>
  <si>
    <t>9976AD1211810027</t>
  </si>
  <si>
    <t>MUHAMMAD ZAHEER IQBAL</t>
  </si>
  <si>
    <t>33100-7898127-5</t>
  </si>
  <si>
    <t>03008655482</t>
  </si>
  <si>
    <t xml:space="preserve">HOUSE NO 730 ST NO 8 ZULFIQAR COLONY FAISALABAD 0300865482 </t>
  </si>
  <si>
    <t>01-2111-PO-MTR-PCCM-D-001570</t>
  </si>
  <si>
    <t>SFG15T-21753082</t>
  </si>
  <si>
    <t>PDF580PALR21K2574</t>
  </si>
  <si>
    <t>PRINCE GLORY ORY 580 PRO</t>
  </si>
  <si>
    <t>OLAFSD300070167</t>
  </si>
  <si>
    <t>TDIDIB0029837</t>
  </si>
  <si>
    <t>997AAD2201910003</t>
  </si>
  <si>
    <t>MUHAMMAD NOSHAD</t>
  </si>
  <si>
    <t>42201-0604289-3</t>
  </si>
  <si>
    <t>03213895150</t>
  </si>
  <si>
    <t>35051361</t>
  </si>
  <si>
    <t xml:space="preserve">R-645 SECTOR 33-E,KORNAGI 2 1/2 NEA R GHARIB NAWAZ BUS STOP KARACHI PK </t>
  </si>
  <si>
    <t>53157/00079/11/2020</t>
  </si>
  <si>
    <t>1GD0872398</t>
  </si>
  <si>
    <t>GUN156R-1093847</t>
  </si>
  <si>
    <t>09-JUL-2020</t>
  </si>
  <si>
    <t>POAKHI300055175</t>
  </si>
  <si>
    <t>DIB0028997</t>
  </si>
  <si>
    <t>9976AP2223280003</t>
  </si>
  <si>
    <t>ZULFIQAR ALI</t>
  </si>
  <si>
    <t>42201-9696695-9</t>
  </si>
  <si>
    <t>03357255525</t>
  </si>
  <si>
    <t xml:space="preserve">FLAT # 303 3rd FLOOR SAIF AVENUE PL OT # 199 VIOLET STREET GARDEN EAST KARACHI PK </t>
  </si>
  <si>
    <t>64794/00066/11/2022</t>
  </si>
  <si>
    <t>682364</t>
  </si>
  <si>
    <t>01220904</t>
  </si>
  <si>
    <t>BJY-738</t>
  </si>
  <si>
    <t>SUZUKI MEHRAN VX EURO-II</t>
  </si>
  <si>
    <t>OLUKHI300090926</t>
  </si>
  <si>
    <t>9451/11/2022/ITFM</t>
  </si>
  <si>
    <t>9976AD1221520135</t>
  </si>
  <si>
    <t>NAUSHEEN KARIM</t>
  </si>
  <si>
    <t>42201-6268960-0</t>
  </si>
  <si>
    <t>03018243166</t>
  </si>
  <si>
    <t>03018243166, 03018243166</t>
  </si>
  <si>
    <t xml:space="preserve">HOUSE # R-30 RABIYA BANGLOWS GULIST AN-E-JOHAR BLOCK 18 NEAR BAIT UL HI KARACHI PK </t>
  </si>
  <si>
    <t>64794/00065/11/2022</t>
  </si>
  <si>
    <t>6R258832</t>
  </si>
  <si>
    <t>1158688</t>
  </si>
  <si>
    <t>01-JUN-2022</t>
  </si>
  <si>
    <t>OLAKHI300087801</t>
  </si>
  <si>
    <t>9439/11/2022/ITFM</t>
  </si>
  <si>
    <t>9976AD1212430118</t>
  </si>
  <si>
    <t>IKRAM MAHMOOD</t>
  </si>
  <si>
    <t>35202-2467049-3</t>
  </si>
  <si>
    <t>03224444471</t>
  </si>
  <si>
    <t xml:space="preserve">17-KM MAIN ASHIANA ROAD BANK STOP F EROZPUR ROAD NEAR CHAUDHARY PALACE LAHORE </t>
  </si>
  <si>
    <t>56607/00085/11/2021</t>
  </si>
  <si>
    <t>2A41045</t>
  </si>
  <si>
    <t>R-7025751</t>
  </si>
  <si>
    <t>TOYOTA YARIS ATIV CVT 1.3</t>
  </si>
  <si>
    <t>OLALHR300072904</t>
  </si>
  <si>
    <t>DIB0032537</t>
  </si>
  <si>
    <t>9976AD1232560002</t>
  </si>
  <si>
    <t>JUNAID AZHER</t>
  </si>
  <si>
    <t>35202-6174878-1</t>
  </si>
  <si>
    <t>37161651</t>
  </si>
  <si>
    <t>03004008509</t>
  </si>
  <si>
    <t>36369626 3610291-2</t>
  </si>
  <si>
    <t xml:space="preserve">H # 26 ST # 7C AMIR TOWN 2 HARBANSPURA CANAL ROAD LAHORE </t>
  </si>
  <si>
    <t>77638/00011/11/2023</t>
  </si>
  <si>
    <t>22-NOV-2024</t>
  </si>
  <si>
    <t>51019821</t>
  </si>
  <si>
    <t>r034649</t>
  </si>
  <si>
    <t>HONDA CITY I-VTEC 1.2L CVT</t>
  </si>
  <si>
    <t>OLALHR300096883</t>
  </si>
  <si>
    <t>DIB0035442</t>
  </si>
  <si>
    <t>23-NOV-2024</t>
  </si>
  <si>
    <t>9976AP1233290021</t>
  </si>
  <si>
    <t>SAIRA BANO</t>
  </si>
  <si>
    <t>41406-2491882-6</t>
  </si>
  <si>
    <t>03102907058</t>
  </si>
  <si>
    <t xml:space="preserve">HOUSE # 1948 PHASE 2 GULSHAN E HADE ED KARACHI PK </t>
  </si>
  <si>
    <t>77638/00012/11/2023</t>
  </si>
  <si>
    <t>287351</t>
  </si>
  <si>
    <t>1187380</t>
  </si>
  <si>
    <t>OLDKHI300098108</t>
  </si>
  <si>
    <t>DIB0035447</t>
  </si>
  <si>
    <t>25-NOV-2023</t>
  </si>
  <si>
    <t>997APD1203300008</t>
  </si>
  <si>
    <t>MUHAMMAD ILYAS</t>
  </si>
  <si>
    <t>35202-2284652-9</t>
  </si>
  <si>
    <t>03218510912</t>
  </si>
  <si>
    <t>04237657912</t>
  </si>
  <si>
    <t xml:space="preserve">STREET NO 174 , 11/C/1/D ISLAMIA ST REET MUHAMMADI PARK BAGHBANPUA LAHORE </t>
  </si>
  <si>
    <t>53157/00084/11/2020</t>
  </si>
  <si>
    <t>17441945</t>
  </si>
  <si>
    <t>GR182190</t>
  </si>
  <si>
    <t>LEC-16-808</t>
  </si>
  <si>
    <t>POULHR300061942</t>
  </si>
  <si>
    <t>3644/11/2020/ITFM</t>
  </si>
  <si>
    <t>9976AP1213280007</t>
  </si>
  <si>
    <t>ANAS YOUSUF</t>
  </si>
  <si>
    <t>42201-6057235-1</t>
  </si>
  <si>
    <t>03218200889</t>
  </si>
  <si>
    <t xml:space="preserve">PLOT NO JR-6 SURVEY NO 849 3RD FLOOR KARIMA VIEW JAMSHED ROAD KARACHI 74800 </t>
  </si>
  <si>
    <t>PKS-13034775</t>
  </si>
  <si>
    <t>RS413PK-10034777</t>
  </si>
  <si>
    <t>BHL-931</t>
  </si>
  <si>
    <t>SWIFT DLX ABS WITH EBD A/T</t>
  </si>
  <si>
    <t>OLUKHI300079714</t>
  </si>
  <si>
    <t>108650/11/2021</t>
  </si>
  <si>
    <t>9976AD2211760023</t>
  </si>
  <si>
    <t>MUHAMMAD NAEEM FAROOQ</t>
  </si>
  <si>
    <t>42101-1718721-5</t>
  </si>
  <si>
    <t>021-35860724 0322-2163233</t>
  </si>
  <si>
    <t>0322-2163233 0301-8225921</t>
  </si>
  <si>
    <t>4310085</t>
  </si>
  <si>
    <t xml:space="preserve">H NO F64/1 PARK LANE BLOCK-5 CLIFTON KARACHI </t>
  </si>
  <si>
    <t>DIB/T/34418/KHI/1121</t>
  </si>
  <si>
    <t>223089</t>
  </si>
  <si>
    <t>10123085</t>
  </si>
  <si>
    <t>WAGONR VXL AGS</t>
  </si>
  <si>
    <t>11-JAN-2022</t>
  </si>
  <si>
    <t>11-Jan-2027</t>
  </si>
  <si>
    <t>OLAKHI300069416</t>
  </si>
  <si>
    <t>TDIDIB0029824</t>
  </si>
  <si>
    <t>9976AP1213290020</t>
  </si>
  <si>
    <t>MUHAMMAD ALI KHAN</t>
  </si>
  <si>
    <t>42301-7008812-9</t>
  </si>
  <si>
    <t>03341381858</t>
  </si>
  <si>
    <t xml:space="preserve">FLAT # 1, 2 BLOCK B KUTCHI MEMON BU ILDING RATAN TALAL ROAD ABDUL HAKIM KARACHI PK </t>
  </si>
  <si>
    <t>56607/00089/11/2021</t>
  </si>
  <si>
    <t>148133</t>
  </si>
  <si>
    <t>700474</t>
  </si>
  <si>
    <t>BRG-224</t>
  </si>
  <si>
    <t>KIA PICANTO 1.0</t>
  </si>
  <si>
    <t>OLUKHI300080072</t>
  </si>
  <si>
    <t>108656/11/2021</t>
  </si>
  <si>
    <t>9976AD2212450022</t>
  </si>
  <si>
    <t>MUHAMMAD ASAD</t>
  </si>
  <si>
    <t>33100-0706490-9</t>
  </si>
  <si>
    <t>041-8738050</t>
  </si>
  <si>
    <t>03008653530 03218665799</t>
  </si>
  <si>
    <t>041-8504701-2-3</t>
  </si>
  <si>
    <t xml:space="preserve">CHAK NO 203, R.B WEST CANAL ROAD, FAISALABAD. </t>
  </si>
  <si>
    <t>2021/11/CLFTTPCDP01228</t>
  </si>
  <si>
    <t>2A40132</t>
  </si>
  <si>
    <t>R-7025028</t>
  </si>
  <si>
    <t>TOYOTA YARIS GLI</t>
  </si>
  <si>
    <t>02-SEP-2021</t>
  </si>
  <si>
    <t>OLAFSD300072966</t>
  </si>
  <si>
    <t>DIB0032426</t>
  </si>
  <si>
    <t>9976AD2211200026</t>
  </si>
  <si>
    <t>SARDAR MUHAMMAD ALI JALWANA</t>
  </si>
  <si>
    <t>31202-4448524-5</t>
  </si>
  <si>
    <t>03008780505</t>
  </si>
  <si>
    <t xml:space="preserve">HOUSE NO B IV 1079/6 JALWANA HOUSE OPP MEDICAL COLLEGE MOHALLAH CHAH BAHAWALPUR PK </t>
  </si>
  <si>
    <t>997AAD2202090007</t>
  </si>
  <si>
    <t>ABDUL RAZAK MALLAH</t>
  </si>
  <si>
    <t>41306-4289206-5</t>
  </si>
  <si>
    <t>03453671424</t>
  </si>
  <si>
    <t>0222670145</t>
  </si>
  <si>
    <t xml:space="preserve">HOUSE NO C 27 AZIZABAD NEAR CITIZEN COLONY QASIMABAD HYDERABAD </t>
  </si>
  <si>
    <t>53157/00089/11/2020</t>
  </si>
  <si>
    <t>Q068914</t>
  </si>
  <si>
    <t>ZRE171R6046396</t>
  </si>
  <si>
    <t>PODHYD300055871</t>
  </si>
  <si>
    <t>3625/11/2020/ITFM</t>
  </si>
  <si>
    <t>997APD2203310007</t>
  </si>
  <si>
    <t>42301-8573135-9</t>
  </si>
  <si>
    <t>03212512786</t>
  </si>
  <si>
    <t xml:space="preserve">HOUSE NO 159 B/2 16 TH KAHABAN-E- R OOMI PHASE 8 DHA OPP ASMAS MONTESSO KARACHI PK </t>
  </si>
  <si>
    <t>53157/00088/11/2020</t>
  </si>
  <si>
    <t>5055630</t>
  </si>
  <si>
    <t>1105622</t>
  </si>
  <si>
    <t>BF-7739</t>
  </si>
  <si>
    <t>26-NOV-2020</t>
  </si>
  <si>
    <t>POUKHI300062075</t>
  </si>
  <si>
    <t>DIB0029065</t>
  </si>
  <si>
    <t>9976AD1212350013</t>
  </si>
  <si>
    <t>37405-0881357-3</t>
  </si>
  <si>
    <t>051-5157696</t>
  </si>
  <si>
    <t>0333-5397985</t>
  </si>
  <si>
    <t>051-8310000 EXT 100</t>
  </si>
  <si>
    <t xml:space="preserve">HNO 186 JAVED HOUSE DEFENCE ROAD KHAWAJA CORP. CHOWK NEW LALZAR NR ADYALA RD RAWALPINDI </t>
  </si>
  <si>
    <t>DIB/T/34413/ISB/1121</t>
  </si>
  <si>
    <t>Q354422</t>
  </si>
  <si>
    <t>7053577</t>
  </si>
  <si>
    <t>TOYOTA COROLLA ALTIS CVT</t>
  </si>
  <si>
    <t>OLARWP300072242</t>
  </si>
  <si>
    <t>TDIDIB0029838</t>
  </si>
  <si>
    <t>9976AD1211680023</t>
  </si>
  <si>
    <t>ZEESHAN UL HAQ</t>
  </si>
  <si>
    <t>33104-4899522-5</t>
  </si>
  <si>
    <t>03000884796</t>
  </si>
  <si>
    <t>03216095696, 03000884796</t>
  </si>
  <si>
    <t>0418408011</t>
  </si>
  <si>
    <t xml:space="preserve">P-74 208 CHAK ROAD MODEL CITY FSD FAISALABAD PK </t>
  </si>
  <si>
    <t>01-2111-PO-MTR-PCCM-D-001569</t>
  </si>
  <si>
    <t>21737902</t>
  </si>
  <si>
    <t>R21J2247</t>
  </si>
  <si>
    <t>PRINCE GLORY 580 PRO</t>
  </si>
  <si>
    <t>17-JUN-2021</t>
  </si>
  <si>
    <t>OLAFSD300069583</t>
  </si>
  <si>
    <t>5684/11/2021/ITMM</t>
  </si>
  <si>
    <t>9976AP1223290014</t>
  </si>
  <si>
    <t>MUHAMMAD YASIR FAROOQ</t>
  </si>
  <si>
    <t>37405-8837761-5</t>
  </si>
  <si>
    <t>03455056044</t>
  </si>
  <si>
    <t xml:space="preserve">H # 93 ST # 5 GULRAIZ PHASE 6 NEAR SAFARI HOSPITAL RAWALPINDI PK </t>
  </si>
  <si>
    <t>64794/00069/11/2022</t>
  </si>
  <si>
    <t>17444929</t>
  </si>
  <si>
    <t>185656</t>
  </si>
  <si>
    <t>AAV-486</t>
  </si>
  <si>
    <t>HONDA CITY I-VTEC M/T</t>
  </si>
  <si>
    <t>25-NOV-2022</t>
  </si>
  <si>
    <t>OLURWP300090863</t>
  </si>
  <si>
    <t>108844/11/2022</t>
  </si>
  <si>
    <t>9976AP2223290007</t>
  </si>
  <si>
    <t>MUHAMMAD SALEEM</t>
  </si>
  <si>
    <t>17301-8590010-3</t>
  </si>
  <si>
    <t>03438883337</t>
  </si>
  <si>
    <t>2581320 051 2213544</t>
  </si>
  <si>
    <t xml:space="preserve">G-5 MAHNOOR RECIDENCIA E-11/4 ISLAMABAD </t>
  </si>
  <si>
    <t>64794/00068/11/2022</t>
  </si>
  <si>
    <t>1012167</t>
  </si>
  <si>
    <t>NR028108</t>
  </si>
  <si>
    <t>OLDISD300090943</t>
  </si>
  <si>
    <t>108842/11/2022</t>
  </si>
  <si>
    <t>9976AP1223330028</t>
  </si>
  <si>
    <t>SHAURUDDIN AHMED SIDDIQUI</t>
  </si>
  <si>
    <t>42201-4016729-3</t>
  </si>
  <si>
    <t>02134971770</t>
  </si>
  <si>
    <t>03212425190</t>
  </si>
  <si>
    <t xml:space="preserve">FLAT # D-104 SAIMA HEAVEN GULSHAN E IQBAL BLOCK # 4-A NEAR PATEL HOSPI TAL KARACHI </t>
  </si>
  <si>
    <t>64794/00072/11/2022</t>
  </si>
  <si>
    <t>024817</t>
  </si>
  <si>
    <t>702106</t>
  </si>
  <si>
    <t>BRX-607</t>
  </si>
  <si>
    <t>OLUKHI300090929</t>
  </si>
  <si>
    <t>9460/11/2022/ITFM</t>
  </si>
  <si>
    <t>9976AD2211200031</t>
  </si>
  <si>
    <t>IRFAN ALI</t>
  </si>
  <si>
    <t>33100-7958265-9</t>
  </si>
  <si>
    <t>03007641841</t>
  </si>
  <si>
    <t>03007641841, 03007641841</t>
  </si>
  <si>
    <t xml:space="preserve">CAHK NO 67 JB SADHAR JHANG ROAD FAISALABAD PK </t>
  </si>
  <si>
    <t>56607/00069/11/2021</t>
  </si>
  <si>
    <t>Q354474</t>
  </si>
  <si>
    <t>7053634</t>
  </si>
  <si>
    <t>OLAFSD300068544</t>
  </si>
  <si>
    <t>TDIDIB0029833</t>
  </si>
  <si>
    <t>9976AD1232360001</t>
  </si>
  <si>
    <t>Dinga</t>
  </si>
  <si>
    <t>34202-8835446-9</t>
  </si>
  <si>
    <t>004553797985</t>
  </si>
  <si>
    <t xml:space="preserve">MURSKEEN 4 1 50 HOJE 2630 TAASTRUP COPENHAGAN 2630 DENMARK </t>
  </si>
  <si>
    <t>77638/00014/11/2023</t>
  </si>
  <si>
    <t>1019908</t>
  </si>
  <si>
    <t>R034797</t>
  </si>
  <si>
    <t>27-Nov-2030</t>
  </si>
  <si>
    <t>OLADGS300096426</t>
  </si>
  <si>
    <t>DIB0035443</t>
  </si>
  <si>
    <t>24-NOV-2023</t>
  </si>
  <si>
    <t>9976AP1233290017</t>
  </si>
  <si>
    <t>SYED ABDUL RAZZAQUE</t>
  </si>
  <si>
    <t>42401-7942767-1</t>
  </si>
  <si>
    <t>03333974218</t>
  </si>
  <si>
    <t xml:space="preserve">G 148 STREET NO 06 SECTOR 11-1/2 BLOCK J IMRAN COLONY ORANGI WEST KARACHI </t>
  </si>
  <si>
    <t>77638/00013/11/2023</t>
  </si>
  <si>
    <t>13031864</t>
  </si>
  <si>
    <t>10031864</t>
  </si>
  <si>
    <t>AFX-528</t>
  </si>
  <si>
    <t>SUZUKI SWIFT DLX 1.3 LM/T</t>
  </si>
  <si>
    <t>OLUKHI300098128</t>
  </si>
  <si>
    <t>DIB0035448</t>
  </si>
  <si>
    <t>9976AP1233310026</t>
  </si>
  <si>
    <t>MUHAMMAD MOAZ</t>
  </si>
  <si>
    <t>42301-9627827-3</t>
  </si>
  <si>
    <t>03311206264</t>
  </si>
  <si>
    <t xml:space="preserve">H # 224 STREET 2 PRECINET 11-A BAHR IA TOWN KARACHI PK </t>
  </si>
  <si>
    <t>77638/00015/11/2023</t>
  </si>
  <si>
    <t>P074014</t>
  </si>
  <si>
    <t>710844</t>
  </si>
  <si>
    <t>BXT-320</t>
  </si>
  <si>
    <t>OLUKHI300098139</t>
  </si>
  <si>
    <t>DIB0035451</t>
  </si>
  <si>
    <t>9976AP1213300032</t>
  </si>
  <si>
    <t>35202-7057147-7</t>
  </si>
  <si>
    <t>03004032024</t>
  </si>
  <si>
    <t>03334032114</t>
  </si>
  <si>
    <t xml:space="preserve">AL HAFIZ GLASS AND ALMINUM CENTER 63-B PCSIR STAFF COLLEGE ROAD LAHORE </t>
  </si>
  <si>
    <t>56607/00093/11/2021</t>
  </si>
  <si>
    <t>6R126665</t>
  </si>
  <si>
    <t>1026717</t>
  </si>
  <si>
    <t>LE-20-6046</t>
  </si>
  <si>
    <t>26-NOV-2021</t>
  </si>
  <si>
    <t>OLULHR300080096</t>
  </si>
  <si>
    <t>108685/11/2021</t>
  </si>
  <si>
    <t>9976AP2203320010</t>
  </si>
  <si>
    <t>MAQSOOD AHMED</t>
  </si>
  <si>
    <t>42101-8834375-1</t>
  </si>
  <si>
    <t>03000032269</t>
  </si>
  <si>
    <t>03000032369</t>
  </si>
  <si>
    <t xml:space="preserve">HOUSE # R-315 SECTOR # Z-6 GULSHAN E MAYMAR NEAR MOHSIN FOOD KARACHI PK </t>
  </si>
  <si>
    <t>53157/00090/11/2020</t>
  </si>
  <si>
    <t>PKT947133</t>
  </si>
  <si>
    <t>PK01063878</t>
  </si>
  <si>
    <t>CW-2556</t>
  </si>
  <si>
    <t>885000</t>
  </si>
  <si>
    <t>POUKHI300062141</t>
  </si>
  <si>
    <t>DIB0029069</t>
  </si>
  <si>
    <t>9976AP1213330049</t>
  </si>
  <si>
    <t>ATIF PERVAIZ</t>
  </si>
  <si>
    <t>35202-2332286-1</t>
  </si>
  <si>
    <t>03218966663</t>
  </si>
  <si>
    <t xml:space="preserve">FLAT NO 2 1ST FLOOR , ALI HOMES JAN MUHAMMAD ROAD ARCHITECT SOCIETY LAHORE </t>
  </si>
  <si>
    <t>56607/00109/11/2021</t>
  </si>
  <si>
    <t>703593</t>
  </si>
  <si>
    <t>01242096</t>
  </si>
  <si>
    <t>LEB-17-2784</t>
  </si>
  <si>
    <t>OLULHR300080362</t>
  </si>
  <si>
    <t>108684/11/2021</t>
  </si>
  <si>
    <t>9976AD1211810024</t>
  </si>
  <si>
    <t>KHAIR UN NISA</t>
  </si>
  <si>
    <t>41306-4173621-6</t>
  </si>
  <si>
    <t>03322042779 03003087951</t>
  </si>
  <si>
    <t xml:space="preserve">HOUSE NO # B-5 INDUSTRIES HOUSEING SOCITY QASIMABAD HYDERABAD SINDH PAKISTAN </t>
  </si>
  <si>
    <t>DIB/T/34487/HYD/1121</t>
  </si>
  <si>
    <t>194570</t>
  </si>
  <si>
    <t>1094540</t>
  </si>
  <si>
    <t>OLAHYD300070133</t>
  </si>
  <si>
    <t>5633/11/2021/ITMM</t>
  </si>
  <si>
    <t>9976AD1211810073</t>
  </si>
  <si>
    <t>IRFAN KARAMAT</t>
  </si>
  <si>
    <t>33100-8069703-9</t>
  </si>
  <si>
    <t>03219666879</t>
  </si>
  <si>
    <t xml:space="preserve">P-534,STREET 13 SARFRAZ COLONY RAJAY WALA LINK ROAD QUIM SAI DARBAR ROAD FAISALABAD 03219666879 </t>
  </si>
  <si>
    <t>2021/11/CLFTTPCDP001255</t>
  </si>
  <si>
    <t>CAD51833</t>
  </si>
  <si>
    <t>M1003544</t>
  </si>
  <si>
    <t>OLAFSD300070237</t>
  </si>
  <si>
    <t>TDIDIB0029842</t>
  </si>
  <si>
    <t>9976AP2213330013</t>
  </si>
  <si>
    <t>MUHAMMAD AFZAL</t>
  </si>
  <si>
    <t>42101-0915391-3</t>
  </si>
  <si>
    <t>03002259756</t>
  </si>
  <si>
    <t>03002259756, 03002259756</t>
  </si>
  <si>
    <t xml:space="preserve">HOUSE # AQ.B-507 GULAB MANZIL GULBA HAR NO. 1 ZAMEEDAR HOTEL KARACHI PK </t>
  </si>
  <si>
    <t>56607/00123/11/2021</t>
  </si>
  <si>
    <t>L15Z79786491</t>
  </si>
  <si>
    <t>NFBGM2546HR211411</t>
  </si>
  <si>
    <t>BKW-446</t>
  </si>
  <si>
    <t>CITY I-VTEC M/T 1.5L</t>
  </si>
  <si>
    <t>OLUKHI300080336</t>
  </si>
  <si>
    <t>108686/11/2021</t>
  </si>
  <si>
    <t>997APD1203300010</t>
  </si>
  <si>
    <t>RASHID MAHMOOD</t>
  </si>
  <si>
    <t>31104-1706501-7</t>
  </si>
  <si>
    <t>03218405098</t>
  </si>
  <si>
    <t xml:space="preserve">AL BURAQ PLAZA 2ND FLOOR 48-A DHA P HASE 6 COMMERCIAL AREA LAHORE </t>
  </si>
  <si>
    <t>53157/00093/11/2020</t>
  </si>
  <si>
    <t>L15Z13500389</t>
  </si>
  <si>
    <t>NFBDG1826HR000398</t>
  </si>
  <si>
    <t>LEF-17-8889</t>
  </si>
  <si>
    <t>BRV-IVTEC</t>
  </si>
  <si>
    <t>POULHR300061661</t>
  </si>
  <si>
    <t>3626/11/2020/ITFM</t>
  </si>
  <si>
    <t>9976AP1213300024</t>
  </si>
  <si>
    <t>NAFISA AAMIR</t>
  </si>
  <si>
    <t>33100-8403538-6</t>
  </si>
  <si>
    <t>0340-8664472</t>
  </si>
  <si>
    <t>0418501960</t>
  </si>
  <si>
    <t xml:space="preserve">P-62 GULSHAN-E-REHMAN SATYANA ROAD NR RACHNA TOWN FAISALABAD </t>
  </si>
  <si>
    <t>56607/00101/11/2021</t>
  </si>
  <si>
    <t>L13217507338</t>
  </si>
  <si>
    <t>R21960</t>
  </si>
  <si>
    <t>LED-12-382</t>
  </si>
  <si>
    <t>HONDA CITY I-V TEC P/T</t>
  </si>
  <si>
    <t>OLUFSD300080318</t>
  </si>
  <si>
    <t>5703/11/2021</t>
  </si>
  <si>
    <t>997AAD2203050037</t>
  </si>
  <si>
    <t>NOOR</t>
  </si>
  <si>
    <t>21203-6707949-5</t>
  </si>
  <si>
    <t xml:space="preserve">HOUSE NO 31, MINISTER ENCLAVE F-5/2 ISLAMABAD </t>
  </si>
  <si>
    <t>DIB/T/BT/29721/ISB/1120</t>
  </si>
  <si>
    <t>790645</t>
  </si>
  <si>
    <t>0892572</t>
  </si>
  <si>
    <t>POAISD300059773</t>
  </si>
  <si>
    <t>DIB0029075</t>
  </si>
  <si>
    <t>9976AD1211030010</t>
  </si>
  <si>
    <t>BILAL ARSHAD</t>
  </si>
  <si>
    <t>42101-3947992-9</t>
  </si>
  <si>
    <t>03008207882</t>
  </si>
  <si>
    <t xml:space="preserve">HOUSE NO 52/3 27TH STREET BADAR COMM DHA PHASE 4 KARACHI </t>
  </si>
  <si>
    <t>DIB/T/34454/KHI/1121</t>
  </si>
  <si>
    <t>1GD5085577</t>
  </si>
  <si>
    <t>1097103</t>
  </si>
  <si>
    <t>TOYOTA FORTUNER SPORTIVO TRD</t>
  </si>
  <si>
    <t>13-APR-2021</t>
  </si>
  <si>
    <t>OLAKHI300067634</t>
  </si>
  <si>
    <t>108641/11/2021</t>
  </si>
  <si>
    <t>997AAD2202540006</t>
  </si>
  <si>
    <t>MUHAMMAD ASGHAR HAYAT HIRAJ</t>
  </si>
  <si>
    <t>36302-3301891-7</t>
  </si>
  <si>
    <t>PH NO 061-6514612 0300-8638111</t>
  </si>
  <si>
    <t>03008638111</t>
  </si>
  <si>
    <t xml:space="preserve">HOUSE NO 3-A MOHALLA SHAMSABAD COLONY MULTAN </t>
  </si>
  <si>
    <t>2020/11/CLFTTPCDP00701</t>
  </si>
  <si>
    <t>Q345957</t>
  </si>
  <si>
    <t>ZRE172R-7045135</t>
  </si>
  <si>
    <t>10-SEP-2020</t>
  </si>
  <si>
    <t>POAMUX300057089</t>
  </si>
  <si>
    <t>3659/11/2020</t>
  </si>
  <si>
    <t>9976AP1213300027</t>
  </si>
  <si>
    <t>MUHAMMAD AHMED</t>
  </si>
  <si>
    <t>42101-7070286-5</t>
  </si>
  <si>
    <t>03302380855</t>
  </si>
  <si>
    <t xml:space="preserve">R- 12 MEMON NAGAR SECTER 13/A SCHEE M 33 GULZAR-E- HIJRI PARADISE BAKER KARACHI PK </t>
  </si>
  <si>
    <t>56607/00108/11/2021</t>
  </si>
  <si>
    <t>171296</t>
  </si>
  <si>
    <t>10071288</t>
  </si>
  <si>
    <t>BTM-322</t>
  </si>
  <si>
    <t>SUZUKI CULTUS VXL AGS EURO II</t>
  </si>
  <si>
    <t>OLUKHI300080219</t>
  </si>
  <si>
    <t>108677/11/2021</t>
  </si>
  <si>
    <t>997APD2193320004</t>
  </si>
  <si>
    <t>ASIF RAMZAN</t>
  </si>
  <si>
    <t>37302-7176856-7</t>
  </si>
  <si>
    <t>03334904975</t>
  </si>
  <si>
    <t>35162372</t>
  </si>
  <si>
    <t xml:space="preserve">H # 181 SECTOR 4-D-1 TOWNSHIP LAHORE PK </t>
  </si>
  <si>
    <t>51449/00082/11/2019</t>
  </si>
  <si>
    <t>152077</t>
  </si>
  <si>
    <t>10052058</t>
  </si>
  <si>
    <t>APZ-680</t>
  </si>
  <si>
    <t>28-NOV-2019</t>
  </si>
  <si>
    <t>27-NOV-2019</t>
  </si>
  <si>
    <t>PODLHR300051041</t>
  </si>
  <si>
    <t>2060/11/2019/ITFM</t>
  </si>
  <si>
    <t>9976AP1213330052</t>
  </si>
  <si>
    <t>AWAIS HAFEEZ</t>
  </si>
  <si>
    <t>37405-2702003-5</t>
  </si>
  <si>
    <t>03215503805</t>
  </si>
  <si>
    <t xml:space="preserve">H # 489/A MAIN MISRIYAL ROAD DHOK G UJRAN RAWALPINDI PK </t>
  </si>
  <si>
    <t>56607/00130/11/2021</t>
  </si>
  <si>
    <t>722365</t>
  </si>
  <si>
    <t>01260892</t>
  </si>
  <si>
    <t>AHV-958</t>
  </si>
  <si>
    <t>MEHRAN VX</t>
  </si>
  <si>
    <t>OLUISB300080658</t>
  </si>
  <si>
    <t>108701/11/2021</t>
  </si>
  <si>
    <t>9976AP2203350013</t>
  </si>
  <si>
    <t>GHULAM HUSSAIN</t>
  </si>
  <si>
    <t>43102-9466376-3</t>
  </si>
  <si>
    <t>03337340751</t>
  </si>
  <si>
    <t>022-3866366</t>
  </si>
  <si>
    <t xml:space="preserve">H NO B-8 RIAZ APPT PHASE 1 QASIAMABAD OPP HABIB BANK HYDERABAD </t>
  </si>
  <si>
    <t>2020/11/CLFTTPCDP00702</t>
  </si>
  <si>
    <t>Q025905</t>
  </si>
  <si>
    <t>ZRE171R-6003390</t>
  </si>
  <si>
    <t>BDT-356</t>
  </si>
  <si>
    <t>30-NOV-2020</t>
  </si>
  <si>
    <t>POUHYD300062301</t>
  </si>
  <si>
    <t>DIB0029082</t>
  </si>
  <si>
    <t>9976AP1213300025</t>
  </si>
  <si>
    <t>FAISAL NADEEM MALIK</t>
  </si>
  <si>
    <t>31202-6524350-7</t>
  </si>
  <si>
    <t>03009662268</t>
  </si>
  <si>
    <t>0518747400</t>
  </si>
  <si>
    <t xml:space="preserve">H # 17 ST # 21 CHAKLALA SCHEME 3 NE AR AMMAR CHOWK RAWALPINDI PK </t>
  </si>
  <si>
    <t>56607/00113/11/2021</t>
  </si>
  <si>
    <t>79787379</t>
  </si>
  <si>
    <t>213911</t>
  </si>
  <si>
    <t>AFX-268</t>
  </si>
  <si>
    <t>OLUISD300080324</t>
  </si>
  <si>
    <t>108683/11/2021</t>
  </si>
  <si>
    <t>9976AP2213330024</t>
  </si>
  <si>
    <t>DAUD EMMANUEL</t>
  </si>
  <si>
    <t>34501-4566424-9</t>
  </si>
  <si>
    <t>03312470116</t>
  </si>
  <si>
    <t>03312470116, 03312470116</t>
  </si>
  <si>
    <t xml:space="preserve">HOUSE # 1527 STREET # 26 AZAM BASTI MEHMOODABADNEAR FINE BAKERY KARACHI PK </t>
  </si>
  <si>
    <t>56607/00127/11/2021</t>
  </si>
  <si>
    <t>PK10K128807</t>
  </si>
  <si>
    <t>NF1AVK31H10028793</t>
  </si>
  <si>
    <t>BNK-114</t>
  </si>
  <si>
    <t>OLUKHI300080443</t>
  </si>
  <si>
    <t>108699/11/2021</t>
  </si>
  <si>
    <t>9976AP1213330041</t>
  </si>
  <si>
    <t>33102-1166679-5</t>
  </si>
  <si>
    <t>03223757575</t>
  </si>
  <si>
    <t>03223757575, 03223757575</t>
  </si>
  <si>
    <t xml:space="preserve">P-14 ST NO 01 ALI HOUSING FSD NEAR HASEEB GENERAL STORE FAISALABAD PK </t>
  </si>
  <si>
    <t>56607/00126/11/2021</t>
  </si>
  <si>
    <t>224469</t>
  </si>
  <si>
    <t>10124449</t>
  </si>
  <si>
    <t>SUZUKI WAGON R VXL</t>
  </si>
  <si>
    <t>OLDFSD300079912</t>
  </si>
  <si>
    <t>5712/11/2021</t>
  </si>
  <si>
    <t>9976AP2213340006</t>
  </si>
  <si>
    <t>ZIA UL HASSAN</t>
  </si>
  <si>
    <t>42301-1125516-9</t>
  </si>
  <si>
    <t>0332-2606051</t>
  </si>
  <si>
    <t xml:space="preserve">H NO 80/2 KHAYABAN-E-BAHRIA PH-5 DHA NEAR SULTAN MOSQUE KARACHI </t>
  </si>
  <si>
    <t>56607/00112/11/2021</t>
  </si>
  <si>
    <t>6R149591</t>
  </si>
  <si>
    <t>1049585</t>
  </si>
  <si>
    <t>BTD-301</t>
  </si>
  <si>
    <t>30-NOV-2021</t>
  </si>
  <si>
    <t>OLUKHI300080333</t>
  </si>
  <si>
    <t>108691/11/2021</t>
  </si>
  <si>
    <t>9976AP1213330050</t>
  </si>
  <si>
    <t>MUHAMMAD MUSLIM SANJRANI</t>
  </si>
  <si>
    <t>42201-0697289-5</t>
  </si>
  <si>
    <t>03008296260</t>
  </si>
  <si>
    <t>02111565565</t>
  </si>
  <si>
    <t xml:space="preserve">C-33 BLOCK 16 GULISTAN-E-JAUHAR NEA R CITY NURSERY KARACHI PK </t>
  </si>
  <si>
    <t>56607/00121/11/2021</t>
  </si>
  <si>
    <t>13046413</t>
  </si>
  <si>
    <t>10046402</t>
  </si>
  <si>
    <t>BQB-238</t>
  </si>
  <si>
    <t>SWIFT A/T NAVIGATION</t>
  </si>
  <si>
    <t>OLUKHI300080332</t>
  </si>
  <si>
    <t>108687/11/2021</t>
  </si>
  <si>
    <t>9976AP1203310012</t>
  </si>
  <si>
    <t>UMAIR AHMED BAIG</t>
  </si>
  <si>
    <t>42501-3487577-7</t>
  </si>
  <si>
    <t>03018221239</t>
  </si>
  <si>
    <t xml:space="preserve">HOUSE # 22 STREET # 05 MODEL COLONY MALIR NEAR MADINA JAMIA MASJID KARACHI PK </t>
  </si>
  <si>
    <t>53157/00097/11/2020</t>
  </si>
  <si>
    <t>L15A79796400</t>
  </si>
  <si>
    <t>NFBGM2663KR253798</t>
  </si>
  <si>
    <t>BQQ-269</t>
  </si>
  <si>
    <t>POUKHI300062311</t>
  </si>
  <si>
    <t>DIB0029079</t>
  </si>
  <si>
    <t>997APD1203350023</t>
  </si>
  <si>
    <t>35201-4493463-9</t>
  </si>
  <si>
    <t>03215599555</t>
  </si>
  <si>
    <t xml:space="preserve">BILAL COLONY MAIN BUND ROAD NEAR MO DEL KANTA DAROGHAWALA LAHORE </t>
  </si>
  <si>
    <t>53157/00098/11/2020</t>
  </si>
  <si>
    <t>2A06124</t>
  </si>
  <si>
    <t>NSP151R-9502922</t>
  </si>
  <si>
    <t>AAG-292</t>
  </si>
  <si>
    <t>POULHR300062388</t>
  </si>
  <si>
    <t>3664/11/2020/ITFM</t>
  </si>
  <si>
    <t>9976AP1213330053</t>
  </si>
  <si>
    <t>ARSHAD IQBAL</t>
  </si>
  <si>
    <t>15402-4296274-9</t>
  </si>
  <si>
    <t>03379233344</t>
  </si>
  <si>
    <t xml:space="preserve">HOUSE # E-93 BLOCK 7 GULSHAN E IQBA L KARACHI PK </t>
  </si>
  <si>
    <t>56607/00118/11/2021</t>
  </si>
  <si>
    <t>Q080900</t>
  </si>
  <si>
    <t>6058363</t>
  </si>
  <si>
    <t>OLDKHI300080554</t>
  </si>
  <si>
    <t>108697/11/2021</t>
  </si>
  <si>
    <t>997AAD1202740048</t>
  </si>
  <si>
    <t>SYED AHSAN HADI</t>
  </si>
  <si>
    <t>61101-5609603-1</t>
  </si>
  <si>
    <t>2877487</t>
  </si>
  <si>
    <t>0333-5162114</t>
  </si>
  <si>
    <t>8358874</t>
  </si>
  <si>
    <t xml:space="preserve">H # 12 ST # 30 SECTOR G-6/1-3 ISLAMABAD </t>
  </si>
  <si>
    <t>DIB/T/BT/29770/ISB/1120</t>
  </si>
  <si>
    <t>G4NALH326405</t>
  </si>
  <si>
    <t>NNAQL51AZKP506379</t>
  </si>
  <si>
    <t>POAISD300057853</t>
  </si>
  <si>
    <t>9976AP2213330021</t>
  </si>
  <si>
    <t>AIJAZ ALI MEMON</t>
  </si>
  <si>
    <t>41304-9444382-1</t>
  </si>
  <si>
    <t>03009372647</t>
  </si>
  <si>
    <t>0222762425-384</t>
  </si>
  <si>
    <t xml:space="preserve">H NO B-157 PHASE 1 NEAR JAMIA MASJID QASIMABAD NR JAMIA MASJID HYDERABAD </t>
  </si>
  <si>
    <t>56607/00120/11/2021</t>
  </si>
  <si>
    <t>L15Z13511147</t>
  </si>
  <si>
    <t>NFBDG1837JR011151</t>
  </si>
  <si>
    <t>BG-9975</t>
  </si>
  <si>
    <t>OLUHYD300080142</t>
  </si>
  <si>
    <t>5701/11/2021</t>
  </si>
  <si>
    <t>997APD2193320002</t>
  </si>
  <si>
    <t>SAIMA IDREES</t>
  </si>
  <si>
    <t>31101-1568879-2</t>
  </si>
  <si>
    <t>0418818328</t>
  </si>
  <si>
    <t>0333, 03336579902</t>
  </si>
  <si>
    <t>03336579902</t>
  </si>
  <si>
    <t xml:space="preserve">P-20 VIP BLOCK NO 2 SITARA SAPNA CI TY FSD FAISALABAD PK </t>
  </si>
  <si>
    <t>51449/00081/11/2019</t>
  </si>
  <si>
    <t>148302</t>
  </si>
  <si>
    <t>10048294</t>
  </si>
  <si>
    <t>LEA-19A-2697</t>
  </si>
  <si>
    <t>CULTUS VXR</t>
  </si>
  <si>
    <t>POSFSD300051040</t>
  </si>
  <si>
    <t>DIB0027992</t>
  </si>
  <si>
    <t>9976AD1212210008</t>
  </si>
  <si>
    <t>SAAD ALI MALLIK</t>
  </si>
  <si>
    <t>42101-6203324-7</t>
  </si>
  <si>
    <t>02136900582</t>
  </si>
  <si>
    <t>03100024409</t>
  </si>
  <si>
    <t xml:space="preserve">R-250 GROUND FLOOR SECTOR 7-D/2 NOR TH KARACHI KARACHI </t>
  </si>
  <si>
    <t>56607/00124/11/2021</t>
  </si>
  <si>
    <t>193213</t>
  </si>
  <si>
    <t>1093191</t>
  </si>
  <si>
    <t>09-AUG-2021</t>
  </si>
  <si>
    <t>OLAKHI300071756</t>
  </si>
  <si>
    <t>DIB0032484</t>
  </si>
  <si>
    <t>9976AP2203320011</t>
  </si>
  <si>
    <t>SAJAWAL AZEEM</t>
  </si>
  <si>
    <t>36104-6144646-5</t>
  </si>
  <si>
    <t>03062273876</t>
  </si>
  <si>
    <t xml:space="preserve">PLOT # 56 4th FLOOR STREET # 03 BLO CK-E AKHTER COLONY NEAR MUQADAS MAS KARACHI PK </t>
  </si>
  <si>
    <t>53157/00104/11/2020</t>
  </si>
  <si>
    <t>17434548</t>
  </si>
  <si>
    <t>FR173498</t>
  </si>
  <si>
    <t>BEH-037</t>
  </si>
  <si>
    <t>POUKHI300062282</t>
  </si>
  <si>
    <t>DIB0029085</t>
  </si>
  <si>
    <t>997APD2203350015</t>
  </si>
  <si>
    <t>42201-8758287-5</t>
  </si>
  <si>
    <t>03030312121</t>
  </si>
  <si>
    <t>02134392122</t>
  </si>
  <si>
    <t xml:space="preserve">PLOT # 1/5-C BLOCK 6 PECHS MAIN SHA H-E-FAISAL NURSERY KARACHI </t>
  </si>
  <si>
    <t>53157/00105/11/2020</t>
  </si>
  <si>
    <t>149658</t>
  </si>
  <si>
    <t>10049497</t>
  </si>
  <si>
    <t>BOM-721</t>
  </si>
  <si>
    <t>SUZUKI CULTUS AGS</t>
  </si>
  <si>
    <t>POUKHI300062542</t>
  </si>
  <si>
    <t>3683/11/2020/ITFM</t>
  </si>
  <si>
    <t>9976AP1213330051</t>
  </si>
  <si>
    <t>MOHSIN RAZA</t>
  </si>
  <si>
    <t>33100-5824052-5</t>
  </si>
  <si>
    <t>03016686872</t>
  </si>
  <si>
    <t>03016686872, 03016686872</t>
  </si>
  <si>
    <t xml:space="preserve">P-380 ST NO 6 NISAR COLONY SAMANABA D FSD NEAR AL BARKAT K STORE FAISALABAD PK </t>
  </si>
  <si>
    <t>56607/001341/11/2021</t>
  </si>
  <si>
    <t>P083073</t>
  </si>
  <si>
    <t>704895</t>
  </si>
  <si>
    <t>ABZ-895</t>
  </si>
  <si>
    <t>PICANTO A/T</t>
  </si>
  <si>
    <t>OLUFSD300080612</t>
  </si>
  <si>
    <t>5713/11/2021</t>
  </si>
  <si>
    <t>9976AP2213340001</t>
  </si>
  <si>
    <t>WASEEM ARSHAD</t>
  </si>
  <si>
    <t>33100-9459161-1</t>
  </si>
  <si>
    <t>03028663566</t>
  </si>
  <si>
    <t>03028663566, 03028663566</t>
  </si>
  <si>
    <t xml:space="preserve">CHAK NO 219 RB ST NO 3 SHER SINGH W ALA ROAD SAFINA TOWN NEAR HAFTA BAZ FAISALABAD PK </t>
  </si>
  <si>
    <t>56607/00131/11/2021</t>
  </si>
  <si>
    <t>Z561401</t>
  </si>
  <si>
    <t>R4187277</t>
  </si>
  <si>
    <t>ANT-060</t>
  </si>
  <si>
    <t>OLUFSD300080603</t>
  </si>
  <si>
    <t>5710/11/2021</t>
  </si>
  <si>
    <t>9976AP2213330022</t>
  </si>
  <si>
    <t>MUSTANSAR ALI</t>
  </si>
  <si>
    <t>Wah Cantt</t>
  </si>
  <si>
    <t>41204-0943676-7</t>
  </si>
  <si>
    <t>0333-2603220</t>
  </si>
  <si>
    <t>0333-2603220 0303-3392215</t>
  </si>
  <si>
    <t>0303-3392215</t>
  </si>
  <si>
    <t xml:space="preserve">H NO CB-177/1 NEAR MADARSA HAKANIYA GUDWAL PO 26 AREA WAH CANTT </t>
  </si>
  <si>
    <t>56607/00128/11/2021</t>
  </si>
  <si>
    <t>12904654</t>
  </si>
  <si>
    <t>R006579</t>
  </si>
  <si>
    <t>ACC-400</t>
  </si>
  <si>
    <t>OLUWAH300080653</t>
  </si>
  <si>
    <t>1087008/11/2021</t>
  </si>
  <si>
    <t>9976AD2213120059</t>
  </si>
  <si>
    <t>AMBRYN SHAFIQ THAHIM</t>
  </si>
  <si>
    <t>42301-5504721-0</t>
  </si>
  <si>
    <t>0300-8229798</t>
  </si>
  <si>
    <t>34924424-26</t>
  </si>
  <si>
    <t xml:space="preserve">HNO. 195/C ANWAR ADIL ROAD BLOCK- 2 PECHS KARACHI </t>
  </si>
  <si>
    <t>2524/02742/00110/11/2021</t>
  </si>
  <si>
    <t>626759</t>
  </si>
  <si>
    <t>300474</t>
  </si>
  <si>
    <t>KIA SORENTO 2.4 L FWD</t>
  </si>
  <si>
    <t>OLAKHI300078153</t>
  </si>
  <si>
    <t>108678/11/2021</t>
  </si>
  <si>
    <t>9976AD1221460059</t>
  </si>
  <si>
    <t>MUHAMMAD SHAFIQUE BHATTI</t>
  </si>
  <si>
    <t>35202-9702120-5</t>
  </si>
  <si>
    <t>03237213039</t>
  </si>
  <si>
    <t xml:space="preserve">H# 38 ST# 8 MUSLIM PURA JOWAY SHAH ROAD SANDA LAHORE </t>
  </si>
  <si>
    <t>64081/00042/10/2022</t>
  </si>
  <si>
    <t>202524</t>
  </si>
  <si>
    <t>10102532</t>
  </si>
  <si>
    <t>SUZUKI CULTUS VXL AGS EURO-II</t>
  </si>
  <si>
    <t>26-MAY-2022</t>
  </si>
  <si>
    <t>27-OCT-2022</t>
  </si>
  <si>
    <t>27-Oct-2028</t>
  </si>
  <si>
    <t>OLALHR300087512</t>
  </si>
  <si>
    <t>9099/10/2022/ITFM</t>
  </si>
  <si>
    <t>20-OCT-2022</t>
  </si>
  <si>
    <t>9976AP1233310025</t>
  </si>
  <si>
    <t>SHAHID KHAN</t>
  </si>
  <si>
    <t>15307-4533444-5</t>
  </si>
  <si>
    <t>03454445392</t>
  </si>
  <si>
    <t xml:space="preserve">C-4 579 GIZRI MARWAT HOSPITAL KARACHI PK </t>
  </si>
  <si>
    <t>77638/00016/11/2023</t>
  </si>
  <si>
    <t>26-NOV-2024</t>
  </si>
  <si>
    <t>16920382</t>
  </si>
  <si>
    <t>R072664</t>
  </si>
  <si>
    <t>BUX-026</t>
  </si>
  <si>
    <t>HONDA CITY 1.8 ORIEL</t>
  </si>
  <si>
    <t>OLUKHI300098151</t>
  </si>
  <si>
    <t>DIB0035452</t>
  </si>
  <si>
    <t>9976AP1233310027</t>
  </si>
  <si>
    <t>NAJMA PARVEEN</t>
  </si>
  <si>
    <t>42301-2427783-8</t>
  </si>
  <si>
    <t>03002336288</t>
  </si>
  <si>
    <t xml:space="preserve">HOUSE # D-120/A STREET 13-D MEHMOOD ABAD - 4 NEAR SITARA BAKERY KHI KARACHI PK </t>
  </si>
  <si>
    <t>77638/00017/11/2023</t>
  </si>
  <si>
    <t>627736</t>
  </si>
  <si>
    <t>534585</t>
  </si>
  <si>
    <t>BGH-347</t>
  </si>
  <si>
    <t>OLUKHI300098152</t>
  </si>
  <si>
    <t>DIB0035453</t>
  </si>
  <si>
    <t>CO19 Relief Principal Deferment Cases</t>
  </si>
  <si>
    <t>9976AP1201770017</t>
  </si>
  <si>
    <t>FAISAL MUMTAZ</t>
  </si>
  <si>
    <t>35202-7227233-3</t>
  </si>
  <si>
    <t>5434090 35962706</t>
  </si>
  <si>
    <t>03214056060</t>
  </si>
  <si>
    <t>5896696 37805111</t>
  </si>
  <si>
    <t xml:space="preserve">H NO 165-C TECH SOCIETY CANAL BANK ROAD LAHORE </t>
  </si>
  <si>
    <t>51132/00053/09/2019</t>
  </si>
  <si>
    <t>23-SEP-2020</t>
  </si>
  <si>
    <t>151898</t>
  </si>
  <si>
    <t>10051929</t>
  </si>
  <si>
    <t>LE-19A-924</t>
  </si>
  <si>
    <t>CULTUS VGS</t>
  </si>
  <si>
    <t>26-SEP-2019</t>
  </si>
  <si>
    <t>27-SEP-2019</t>
  </si>
  <si>
    <t>27-Sep-2026</t>
  </si>
  <si>
    <t>PODLHR300049315</t>
  </si>
  <si>
    <t>DIB0027857</t>
  </si>
  <si>
    <t>24-SEP-2019</t>
  </si>
  <si>
    <t>9976AP2202090001</t>
  </si>
  <si>
    <t>MASOOD AHMED MEMON</t>
  </si>
  <si>
    <t>42201-8721468-5</t>
  </si>
  <si>
    <t>0333-3511778</t>
  </si>
  <si>
    <t>99021000 E 1332 1002</t>
  </si>
  <si>
    <t xml:space="preserve">FLAT# D-406, 4TH FLOOR CRECENT VIEW BLOCK-13 GULISTAN-E-JOHAR OPP HABIB UNIVERSI KARACHI </t>
  </si>
  <si>
    <t>51244/00068/10/2019</t>
  </si>
  <si>
    <t>LS1336</t>
  </si>
  <si>
    <t>0412696</t>
  </si>
  <si>
    <t>BQZ-628</t>
  </si>
  <si>
    <t>NISSAN DAYS</t>
  </si>
  <si>
    <t>30-OCT-2019</t>
  </si>
  <si>
    <t>03-NOV-2019</t>
  </si>
  <si>
    <t>03-Nov-2026</t>
  </si>
  <si>
    <t>POUKHI300050258</t>
  </si>
  <si>
    <t>DIB0027932</t>
  </si>
  <si>
    <t>29-OCT-2019</t>
  </si>
  <si>
    <t>9976AP1193040037</t>
  </si>
  <si>
    <t>NOUSHEEN AIJAZ</t>
  </si>
  <si>
    <t>61101-9223995-0</t>
  </si>
  <si>
    <t>03312862747</t>
  </si>
  <si>
    <t>32863865</t>
  </si>
  <si>
    <t xml:space="preserve">11 TIMBER POND KEAMARI NEAR JAFFER JEES KARACHI </t>
  </si>
  <si>
    <t>51244/0091/10/2019</t>
  </si>
  <si>
    <t>PKS13036146</t>
  </si>
  <si>
    <t>PK10036137</t>
  </si>
  <si>
    <t>31-OCT-2019</t>
  </si>
  <si>
    <t>POUKHI3000050452</t>
  </si>
  <si>
    <t>DIB0027947</t>
  </si>
  <si>
    <t>997APD1193040003</t>
  </si>
  <si>
    <t>AMNA KHAN</t>
  </si>
  <si>
    <t>42301-0833749-4</t>
  </si>
  <si>
    <t>03003568463</t>
  </si>
  <si>
    <t>35302291</t>
  </si>
  <si>
    <t xml:space="preserve">90-C FIRST FLOOR 10TH COMMERICAL ST REET PHASE 4 DHA KESC HEAD OFFICE and DIB BR KARACHI </t>
  </si>
  <si>
    <t>51244/00097/10/2019</t>
  </si>
  <si>
    <t>148005</t>
  </si>
  <si>
    <t>10048009</t>
  </si>
  <si>
    <t>BRB-475</t>
  </si>
  <si>
    <t>PODKHI300050488</t>
  </si>
  <si>
    <t>DIB0027953</t>
  </si>
  <si>
    <t>997APD1203050127</t>
  </si>
  <si>
    <t>HAFIZ MUHAMMAD MOIN</t>
  </si>
  <si>
    <t>35202-1618444-5</t>
  </si>
  <si>
    <t>03085060911</t>
  </si>
  <si>
    <t>04235442760</t>
  </si>
  <si>
    <t xml:space="preserve">160 AHMAD BLOCK GARDEN TOWN LAHORE </t>
  </si>
  <si>
    <t>52921/00151/10/2020</t>
  </si>
  <si>
    <t>674490</t>
  </si>
  <si>
    <t>1213023</t>
  </si>
  <si>
    <t>LEC-17-9593</t>
  </si>
  <si>
    <t>SUZUKI MEHRAN VX</t>
  </si>
  <si>
    <t>POULHR300059909</t>
  </si>
  <si>
    <t>3442/10/2020/ITFM</t>
  </si>
  <si>
    <t>9976AP1203320020</t>
  </si>
  <si>
    <t>UZAIR ULLAH QURESHI</t>
  </si>
  <si>
    <t>42201-1616285-5</t>
  </si>
  <si>
    <t>03322220604</t>
  </si>
  <si>
    <t xml:space="preserve">FLAT # D-401 4TH FLOOR ZAINAB PLAZA GULSHAN-E-IQBAL BLOCK 17 NEAR BAIT KARACHI PK </t>
  </si>
  <si>
    <t>53157/00103/11/2020</t>
  </si>
  <si>
    <t>143830</t>
  </si>
  <si>
    <t>1044115</t>
  </si>
  <si>
    <t>PODKHI300062522</t>
  </si>
  <si>
    <t>3671/11/2020/ITFM</t>
  </si>
  <si>
    <t>9976AD1192730004</t>
  </si>
  <si>
    <t>MUHAMMAD NAWAZ</t>
  </si>
  <si>
    <t>61101-3750606-3</t>
  </si>
  <si>
    <t>03335167883</t>
  </si>
  <si>
    <t>0519244933</t>
  </si>
  <si>
    <t xml:space="preserve">H # 27 ST # 03 TARLAHI ROAD NEAR PA RACHA CHOWK ISLAMABAD PK </t>
  </si>
  <si>
    <t>51244/00069/10/2019</t>
  </si>
  <si>
    <t>14800265</t>
  </si>
  <si>
    <t>KR016933</t>
  </si>
  <si>
    <t>APU-327</t>
  </si>
  <si>
    <t>HONDA BRV-IVTEC-S</t>
  </si>
  <si>
    <t>30-SEP-2019</t>
  </si>
  <si>
    <t>POAISD300049542</t>
  </si>
  <si>
    <t>1941/10/2019/ITFM</t>
  </si>
  <si>
    <t>28-OCT-2019</t>
  </si>
  <si>
    <t>997APD2203020052</t>
  </si>
  <si>
    <t>SAMSON SALEEM</t>
  </si>
  <si>
    <t>42201-9163070-7</t>
  </si>
  <si>
    <t>03330217221, 03330217221</t>
  </si>
  <si>
    <t>02134385044</t>
  </si>
  <si>
    <t xml:space="preserve">HOUSE # 299 STREET # 7 NASIR COLONY KORANGI # 1 SEC 321E NEAR CATHOLIC KARACHI PK </t>
  </si>
  <si>
    <t>52921/00118/10/2020</t>
  </si>
  <si>
    <t>13034386</t>
  </si>
  <si>
    <t>10034376</t>
  </si>
  <si>
    <t>BHD-844</t>
  </si>
  <si>
    <t>SUZUKI SWIFT DLX</t>
  </si>
  <si>
    <t>27-Oct-2026</t>
  </si>
  <si>
    <t>PODKHI300059125</t>
  </si>
  <si>
    <t>DIB0028955</t>
  </si>
  <si>
    <t>997AAD1202390003</t>
  </si>
  <si>
    <t>CHAUDHARY MUHAMMAD AZHAR</t>
  </si>
  <si>
    <t>37405-5503034-9</t>
  </si>
  <si>
    <t>0321-5000800</t>
  </si>
  <si>
    <t>051-5502485</t>
  </si>
  <si>
    <t xml:space="preserve">H NO CB-281 ST # 08 CHAKLALA CANTT NEAR NOORI MASJID RAWALPINDI </t>
  </si>
  <si>
    <t>52921/00107/10/2020</t>
  </si>
  <si>
    <t>2TRA782151</t>
  </si>
  <si>
    <t>TGN166R-0892446</t>
  </si>
  <si>
    <t>TOYOTA FORTUNER G 4.2 STD PETROL</t>
  </si>
  <si>
    <t>26-AUG-2020</t>
  </si>
  <si>
    <t>PODRWP300056806</t>
  </si>
  <si>
    <t>3380/10/2020/ITFM</t>
  </si>
  <si>
    <t>26-OCT-2020</t>
  </si>
  <si>
    <t>9976AP1193010006</t>
  </si>
  <si>
    <t>SYED ALI HAIDER RIZVI-ASAAN ACCOUNT</t>
  </si>
  <si>
    <t>42000-7134589-3</t>
  </si>
  <si>
    <t>03330122256</t>
  </si>
  <si>
    <t xml:space="preserve">FLAT NO-A-403, SAVANA CITY,BLOCK-13-D-3 GULSHAN-E-IQBAL, KARACHI KARACHI </t>
  </si>
  <si>
    <t>51244/00067/10/2019</t>
  </si>
  <si>
    <t>117189</t>
  </si>
  <si>
    <t>1017155</t>
  </si>
  <si>
    <t>BRA-287</t>
  </si>
  <si>
    <t>27-OCT-2019</t>
  </si>
  <si>
    <t>PODKHI300050181</t>
  </si>
  <si>
    <t>DIB0027926</t>
  </si>
  <si>
    <t>25-OCT-2019</t>
  </si>
  <si>
    <t>997APD1193340019</t>
  </si>
  <si>
    <t>NAZLI GUL SHUJAAT</t>
  </si>
  <si>
    <t>61101-1750194-6</t>
  </si>
  <si>
    <t>042-35224471</t>
  </si>
  <si>
    <t>0300-9502071</t>
  </si>
  <si>
    <t>36582201-06 EXT-157</t>
  </si>
  <si>
    <t xml:space="preserve">H# 62, JI WAPDA TOWN LAHORE </t>
  </si>
  <si>
    <t>51449/00095/11/2019</t>
  </si>
  <si>
    <t>Q342522</t>
  </si>
  <si>
    <t>7041673</t>
  </si>
  <si>
    <t>APV-180</t>
  </si>
  <si>
    <t>30-NOV-2019</t>
  </si>
  <si>
    <t>03-DEC-2019</t>
  </si>
  <si>
    <t>PODLHR300051131</t>
  </si>
  <si>
    <t>DIB028000</t>
  </si>
  <si>
    <t>997AAD2202890004</t>
  </si>
  <si>
    <t>53157/00113/11/2020</t>
  </si>
  <si>
    <t>208425</t>
  </si>
  <si>
    <t>10108420</t>
  </si>
  <si>
    <t>POALHR300058614</t>
  </si>
  <si>
    <t>DIB0029098</t>
  </si>
  <si>
    <t>997APD2203000028</t>
  </si>
  <si>
    <t>FAWAD AHMED KHAN</t>
  </si>
  <si>
    <t>42201-5256357-5</t>
  </si>
  <si>
    <t>03442497303</t>
  </si>
  <si>
    <t>32458014</t>
  </si>
  <si>
    <t xml:space="preserve">HOUSE # 250/A WHITE GATE PECHS BLOC K-06 BEHIND HOTEL FARAN KARACHI PK </t>
  </si>
  <si>
    <t>52921/00094/10/2020</t>
  </si>
  <si>
    <t>L13Z17540784</t>
  </si>
  <si>
    <t>LR263609</t>
  </si>
  <si>
    <t>PODKHI300058821</t>
  </si>
  <si>
    <t>3320/10/2020/ITFM</t>
  </si>
  <si>
    <t>997AAD1202690002</t>
  </si>
  <si>
    <t>TAHIR SHAMIM ABBASI</t>
  </si>
  <si>
    <t>13101-0951451-7</t>
  </si>
  <si>
    <t>03225133605</t>
  </si>
  <si>
    <t>0512621043</t>
  </si>
  <si>
    <t xml:space="preserve">FLAT # 2/7-D GALLI # 8 MAIN SERVICE ROAD OPPOSITE CDA TUBE WELL # 119 ISLAMABAD PK </t>
  </si>
  <si>
    <t>2524/02150/00113/10/2020</t>
  </si>
  <si>
    <t>207576</t>
  </si>
  <si>
    <t>10107577</t>
  </si>
  <si>
    <t>POAISD300057601</t>
  </si>
  <si>
    <t>DIB0028925</t>
  </si>
  <si>
    <t>23-OCT-2020</t>
  </si>
  <si>
    <t>997APD1202940007</t>
  </si>
  <si>
    <t>ZAIN ADIL BUTT</t>
  </si>
  <si>
    <t>34101-7064550-5</t>
  </si>
  <si>
    <t>03216822222</t>
  </si>
  <si>
    <t xml:space="preserve">NEW MEER GOOD''S TRANSPORT COMPANY M AIN GT ROAD GONDALANWALA CHOWK NEAR RESCUE 1122 GUJRANWALA </t>
  </si>
  <si>
    <t>52921/00077/10/2020</t>
  </si>
  <si>
    <t>318155</t>
  </si>
  <si>
    <t>505471</t>
  </si>
  <si>
    <t>21-OCT-2020</t>
  </si>
  <si>
    <t>21-Oct-2026</t>
  </si>
  <si>
    <t>PODGWL300058711</t>
  </si>
  <si>
    <t>997AAD2202600012</t>
  </si>
  <si>
    <t>TARIQ MEHMOOD TAHIR</t>
  </si>
  <si>
    <t>38201-1158383-1</t>
  </si>
  <si>
    <t>03007322379</t>
  </si>
  <si>
    <t>0519050375</t>
  </si>
  <si>
    <t xml:space="preserve">FLAT # 13 GROUND FLOOR GRACY LANE , RAWAL ROAD STAFF HOSTEL CHAKLALA C RAWALPINDI PK </t>
  </si>
  <si>
    <t>2524/02150/00095/10/2020</t>
  </si>
  <si>
    <t>207359</t>
  </si>
  <si>
    <t>10107366</t>
  </si>
  <si>
    <t>WAGON R VXL</t>
  </si>
  <si>
    <t>16-SEP-2020</t>
  </si>
  <si>
    <t>POARWP300057276</t>
  </si>
  <si>
    <t>3333/10/2020/ITFM</t>
  </si>
  <si>
    <t>997AAD2202740037</t>
  </si>
  <si>
    <t>ZOHAIB RAFIQ</t>
  </si>
  <si>
    <t>82303-8532929-7</t>
  </si>
  <si>
    <t>03335282413</t>
  </si>
  <si>
    <t>0519255561</t>
  </si>
  <si>
    <t xml:space="preserve">H # 5 1ST FLOOR ST # 12 JINNAH GARD EN ISLAMABAD PK </t>
  </si>
  <si>
    <t>2524/02150/00064/10/2020</t>
  </si>
  <si>
    <t>6914149</t>
  </si>
  <si>
    <t>LR065960</t>
  </si>
  <si>
    <t>POAISD300058081</t>
  </si>
  <si>
    <t>DIB0028881</t>
  </si>
  <si>
    <t>9976AP1203350033</t>
  </si>
  <si>
    <t>IMRAN ZUBAIR</t>
  </si>
  <si>
    <t>35202-3696853-3</t>
  </si>
  <si>
    <t>03093093330</t>
  </si>
  <si>
    <t xml:space="preserve">86 GROUND FLOOR USMANIA TOWER REHMA T MARKET WAPDA TOWN LAHORE </t>
  </si>
  <si>
    <t>2524/02230/00059/11/2020</t>
  </si>
  <si>
    <t>2A11283</t>
  </si>
  <si>
    <t>7006655</t>
  </si>
  <si>
    <t>YARIS ATIV CVT 1.3</t>
  </si>
  <si>
    <t>PODLHR300062805</t>
  </si>
  <si>
    <t>3696/11/2020/ITFM</t>
  </si>
  <si>
    <t>28-NOV-2020</t>
  </si>
  <si>
    <t>997AAD1203050060</t>
  </si>
  <si>
    <t>SYED HASEEB GILANI</t>
  </si>
  <si>
    <t>35201-3784264-3</t>
  </si>
  <si>
    <t>03351400368</t>
  </si>
  <si>
    <t>35272481</t>
  </si>
  <si>
    <t xml:space="preserve">OFF NO 15 C 3 GULBERG LAHORE </t>
  </si>
  <si>
    <t>DIB/T/BT/29792/LHR/1120</t>
  </si>
  <si>
    <t>7542382</t>
  </si>
  <si>
    <t>265615</t>
  </si>
  <si>
    <t>HONDA CITY IVTEC P/T</t>
  </si>
  <si>
    <t>POALHR300059613</t>
  </si>
  <si>
    <t>TDIDIB0028815</t>
  </si>
  <si>
    <t>997AAD2202230001</t>
  </si>
  <si>
    <t>MUHAMMAD SHAKIL</t>
  </si>
  <si>
    <t>42201-1560535-7</t>
  </si>
  <si>
    <t>03002628859</t>
  </si>
  <si>
    <t>03002628859, 03002628859</t>
  </si>
  <si>
    <t xml:space="preserve">HOUSE NO 22-K BLOCK 2 AREA PECHS NEAR MODEL SCHOOL KARACHI PK </t>
  </si>
  <si>
    <t>DIB/T/BT/29795/KHI/1120</t>
  </si>
  <si>
    <t>Q068702</t>
  </si>
  <si>
    <t>ZRE171R-6046187</t>
  </si>
  <si>
    <t>10-AUG-2020</t>
  </si>
  <si>
    <t>11-DEC-2020</t>
  </si>
  <si>
    <t>11-Dec-2025</t>
  </si>
  <si>
    <t>POAKHI300056304</t>
  </si>
  <si>
    <t>585/11/2020/ITFM</t>
  </si>
  <si>
    <t>997APD1202870027</t>
  </si>
  <si>
    <t>GURDEEP SINGH</t>
  </si>
  <si>
    <t>17201-2468519-5</t>
  </si>
  <si>
    <t>03139090625</t>
  </si>
  <si>
    <t xml:space="preserve">HOUSE NO 1 GURDWARA SIRI DERA SAHIB NEAR SHAHI FORT LAHORE PK </t>
  </si>
  <si>
    <t>DIB/T/BT/28932/LHR/1020</t>
  </si>
  <si>
    <t>L13Z17534885</t>
  </si>
  <si>
    <t>NFBGM15471CR254835</t>
  </si>
  <si>
    <t>LE-19A-2957</t>
  </si>
  <si>
    <t>13-OCT-2020</t>
  </si>
  <si>
    <t>POULHR300058391</t>
  </si>
  <si>
    <t>3246/10/2020/ITMM</t>
  </si>
  <si>
    <t>12-OCT-2020</t>
  </si>
  <si>
    <t>997AAD2202370002</t>
  </si>
  <si>
    <t>SALMAN MANSOOR CHAUDHRY</t>
  </si>
  <si>
    <t>35201-5106591-7</t>
  </si>
  <si>
    <t>03238886856</t>
  </si>
  <si>
    <t>04235830919</t>
  </si>
  <si>
    <t xml:space="preserve">JINNAH HOSPITAL ADMIN DEPARTMENT LAHORE </t>
  </si>
  <si>
    <t>2524/02150/00034/10/2020</t>
  </si>
  <si>
    <t>6913640</t>
  </si>
  <si>
    <t>065441</t>
  </si>
  <si>
    <t>POALHR300056768</t>
  </si>
  <si>
    <t>DIB0028869</t>
  </si>
  <si>
    <t>09-OCT-2020</t>
  </si>
  <si>
    <t>9976AP1192820002</t>
  </si>
  <si>
    <t>SUNDAS MUGHAL</t>
  </si>
  <si>
    <t>13301-5878894-0</t>
  </si>
  <si>
    <t>03070157460</t>
  </si>
  <si>
    <t>0512281485</t>
  </si>
  <si>
    <t xml:space="preserve">H # 05 ST # 07 TARNOL ISLAMABAD PK </t>
  </si>
  <si>
    <t>51244/00010/10/2019</t>
  </si>
  <si>
    <t>746911</t>
  </si>
  <si>
    <t>01285443</t>
  </si>
  <si>
    <t>AKJ-568</t>
  </si>
  <si>
    <t>MEHRAN VXR EURO-II</t>
  </si>
  <si>
    <t>09-OCT-2019</t>
  </si>
  <si>
    <t>11-OCT-2019</t>
  </si>
  <si>
    <t>11-Oct-2026</t>
  </si>
  <si>
    <t>POUISD300049681</t>
  </si>
  <si>
    <t>DIB0027891</t>
  </si>
  <si>
    <t>08-OCT-2019</t>
  </si>
  <si>
    <t>9976AP1223330019</t>
  </si>
  <si>
    <t>ZAIN NAJEEB</t>
  </si>
  <si>
    <t>37405-1133545-5</t>
  </si>
  <si>
    <t>03008542461</t>
  </si>
  <si>
    <t xml:space="preserve">H # 5 ST # 11 SECTOR H DHA PH 2 ISLAMABAD PK </t>
  </si>
  <si>
    <t>64794/00082/11/2022</t>
  </si>
  <si>
    <t>1009071</t>
  </si>
  <si>
    <t>109063</t>
  </si>
  <si>
    <t>SUZUKI SWIFT GL M/T</t>
  </si>
  <si>
    <t>OLDISD300091012</t>
  </si>
  <si>
    <t>108861/11/2022</t>
  </si>
  <si>
    <t>28-NOV-2022</t>
  </si>
  <si>
    <t>9976AD1212710012</t>
  </si>
  <si>
    <t>ALI AMJAD</t>
  </si>
  <si>
    <t>34402-8099267-7</t>
  </si>
  <si>
    <t>03219457221 03338011343</t>
  </si>
  <si>
    <t xml:space="preserve">CONSULT N TRAVEL 50 MAIN PECO ROAD LAHORE </t>
  </si>
  <si>
    <t>56038/00078/10/2021</t>
  </si>
  <si>
    <t>2A39191</t>
  </si>
  <si>
    <t>R-7024563</t>
  </si>
  <si>
    <t>28-SEP-2021</t>
  </si>
  <si>
    <t>03-Nov-2028</t>
  </si>
  <si>
    <t>OLALHR300074192</t>
  </si>
  <si>
    <t>DIB0032307</t>
  </si>
  <si>
    <t>9976AP1223330022</t>
  </si>
  <si>
    <t>TANVEER ABBASI</t>
  </si>
  <si>
    <t>13101-0895949-9</t>
  </si>
  <si>
    <t>03055700993</t>
  </si>
  <si>
    <t xml:space="preserve">H # 12 ST # 2-B MANGU TOWN BAHRA KA HU KOT HATHYAL ISLAMABAD PK </t>
  </si>
  <si>
    <t>64794/00081/11/2022</t>
  </si>
  <si>
    <t>12931273</t>
  </si>
  <si>
    <t>34680</t>
  </si>
  <si>
    <t>AGD-780</t>
  </si>
  <si>
    <t>OLUISD300091017</t>
  </si>
  <si>
    <t>9976AP1201810015</t>
  </si>
  <si>
    <t>NELOFAR YASMEEN</t>
  </si>
  <si>
    <t>35201-4413866-0</t>
  </si>
  <si>
    <t>03244920196</t>
  </si>
  <si>
    <t xml:space="preserve">E 1-10 KHYABAN E JINNAH LHR CANTT LAHORE </t>
  </si>
  <si>
    <t>50159/00018/12/2018</t>
  </si>
  <si>
    <t>HE300171</t>
  </si>
  <si>
    <t>LFP72APCOE5B29772</t>
  </si>
  <si>
    <t>LEC-15-6816</t>
  </si>
  <si>
    <t>FAW V2</t>
  </si>
  <si>
    <t>03-OCT-2020</t>
  </si>
  <si>
    <t>03-Jun-2026</t>
  </si>
  <si>
    <t>POULHR300041244</t>
  </si>
  <si>
    <t>FSPT</t>
  </si>
  <si>
    <t>16929/12/2018/SPD</t>
  </si>
  <si>
    <t>14-DEC-2018</t>
  </si>
  <si>
    <t>9976AP1183510004</t>
  </si>
  <si>
    <t>997APD1201340005</t>
  </si>
  <si>
    <t>ASIF MAJEED</t>
  </si>
  <si>
    <t>35202-6810189-1</t>
  </si>
  <si>
    <t>03214424529</t>
  </si>
  <si>
    <t>37531858</t>
  </si>
  <si>
    <t xml:space="preserve">HOUSE NO 9 MEHBOOB PARK NEAR A-BLOCK SABZAZAR LAHORE </t>
  </si>
  <si>
    <t>51531/0024/12/2019</t>
  </si>
  <si>
    <t>106119</t>
  </si>
  <si>
    <t>1006131</t>
  </si>
  <si>
    <t>LE-20-3911</t>
  </si>
  <si>
    <t>ALTO VX</t>
  </si>
  <si>
    <t>21-Jul-2027</t>
  </si>
  <si>
    <t>PODLHR300051571</t>
  </si>
  <si>
    <t>DIB0028047</t>
  </si>
  <si>
    <t>14-DEC-2019</t>
  </si>
  <si>
    <t>997APD1193500007</t>
  </si>
  <si>
    <t>9976AD2220800005</t>
  </si>
  <si>
    <t>ABRAR AHMED</t>
  </si>
  <si>
    <t>42501-8564545-1</t>
  </si>
  <si>
    <t>03453184730</t>
  </si>
  <si>
    <t xml:space="preserve">FLAT # 404 4TH FLOOR C-2 BLUE BUILD ING CAPITAL RESIDANCIA E-11/4 ISLAMABAD PK </t>
  </si>
  <si>
    <t>64794/00077/11/2022</t>
  </si>
  <si>
    <t>1010912</t>
  </si>
  <si>
    <t>00110903</t>
  </si>
  <si>
    <t>21-MAR-2022</t>
  </si>
  <si>
    <t>OLAISD300085872</t>
  </si>
  <si>
    <t>DIB0034833</t>
  </si>
  <si>
    <t>9976AP2233610004</t>
  </si>
  <si>
    <t>RAFAY</t>
  </si>
  <si>
    <t>42301-5296201-9</t>
  </si>
  <si>
    <t>03032078162</t>
  </si>
  <si>
    <t xml:space="preserve">101 1ST FLOOR ARCADE PLOT NO ST 2 L SC ROW 6 BLOCK 13-D-2 GULSHAN E IQB KARACHI PK </t>
  </si>
  <si>
    <t>78992/00046/12/2023</t>
  </si>
  <si>
    <t>26-DEC-2024</t>
  </si>
  <si>
    <t>121859</t>
  </si>
  <si>
    <t>1021844</t>
  </si>
  <si>
    <t>BRU-851</t>
  </si>
  <si>
    <t>27-DEC-2023</t>
  </si>
  <si>
    <t>27-Dec-2028</t>
  </si>
  <si>
    <t>OLUKHI300098840</t>
  </si>
  <si>
    <t>DIB0035546</t>
  </si>
  <si>
    <t>9976AP1233610006</t>
  </si>
  <si>
    <t>SHAH ZAIB</t>
  </si>
  <si>
    <t>42000-5805409-5</t>
  </si>
  <si>
    <t>03012498395</t>
  </si>
  <si>
    <t xml:space="preserve">HOUSE # C-244 50TH STREET DARUL SAL AAM SOCIETY KORANGI NEAR INDUS HOSP KARACHI PK </t>
  </si>
  <si>
    <t>78992/00044/12/2023</t>
  </si>
  <si>
    <t>25-DEC-2024</t>
  </si>
  <si>
    <t>290746</t>
  </si>
  <si>
    <t>1190808</t>
  </si>
  <si>
    <t>27-Dec-2025</t>
  </si>
  <si>
    <t>OLDKHI300098798</t>
  </si>
  <si>
    <t>DIB0035543</t>
  </si>
  <si>
    <t>9976AD2221790004</t>
  </si>
  <si>
    <t>SYED ANWER HASSAN RIZVI</t>
  </si>
  <si>
    <t>42501-1487662-1</t>
  </si>
  <si>
    <t>03092362093</t>
  </si>
  <si>
    <t xml:space="preserve">FLAT # B-610. 9TH FLOOR, ST.09,SECTOR # 5-M, NORTH KARACHI. CELL # 0309-2362093 </t>
  </si>
  <si>
    <t>65483/00037/12/2022</t>
  </si>
  <si>
    <t>R263053</t>
  </si>
  <si>
    <t>1163040</t>
  </si>
  <si>
    <t>27-DEC-2022</t>
  </si>
  <si>
    <t>27-Dec-2027</t>
  </si>
  <si>
    <t>OLAKHI300088344</t>
  </si>
  <si>
    <t>9659/12/2022/ITFM</t>
  </si>
  <si>
    <t>16-DEC-2022</t>
  </si>
  <si>
    <t>9976AP1203630010</t>
  </si>
  <si>
    <t>33100-0734356-9</t>
  </si>
  <si>
    <t>03006600075</t>
  </si>
  <si>
    <t xml:space="preserve">DAWOOD USMAN TEXTILES 9 KM MAIN SARGODHA ROAD NEAR NALKA KOHALA STOP FSD </t>
  </si>
  <si>
    <t>COMP/P/53470/12/2020</t>
  </si>
  <si>
    <t>1UR-0683463</t>
  </si>
  <si>
    <t>URJ202-4150150</t>
  </si>
  <si>
    <t>TOYOTA LAND CRUISER ZX</t>
  </si>
  <si>
    <t>27-DEC-2020</t>
  </si>
  <si>
    <t>OLUFSD300064398</t>
  </si>
  <si>
    <t>DIB0029221</t>
  </si>
  <si>
    <t>24-DEC-2020</t>
  </si>
  <si>
    <t>9976AP1213610010</t>
  </si>
  <si>
    <t>DANIYAL MEHBOOB</t>
  </si>
  <si>
    <t>42101-0534208-7</t>
  </si>
  <si>
    <t>03172748239</t>
  </si>
  <si>
    <t xml:space="preserve">FLAT # 12 13 2ND FLOOR SALAMABAD CO LONY FB AREA BLOCK 14 NEAR HAJI MEH KARACHI PK </t>
  </si>
  <si>
    <t>57132/00204/12/2021</t>
  </si>
  <si>
    <t>PKS13034372</t>
  </si>
  <si>
    <t>PK10034363</t>
  </si>
  <si>
    <t>BHA-092</t>
  </si>
  <si>
    <t>SUZUKI SWIFT DLX ABS WITH EBD A/T</t>
  </si>
  <si>
    <t>27-DEC-2021</t>
  </si>
  <si>
    <t>27-Dec-2026</t>
  </si>
  <si>
    <t>OLUKHI300082389</t>
  </si>
  <si>
    <t>5939/12/2021</t>
  </si>
  <si>
    <t>24-DEC-2021</t>
  </si>
  <si>
    <t>997APD1193600017</t>
  </si>
  <si>
    <t>MUHAMMAD ASIM LATIF</t>
  </si>
  <si>
    <t>OKARA</t>
  </si>
  <si>
    <t>35302-9935267-3</t>
  </si>
  <si>
    <t>03000630561</t>
  </si>
  <si>
    <t>03000630561, 03216951561</t>
  </si>
  <si>
    <t xml:space="preserve">HOUSE NO 215 STREET NO 2 FAISAL COLONY # 2, FAISALABAD ROAD OKARA PAKISTAN </t>
  </si>
  <si>
    <t>51531/00045/12/2019</t>
  </si>
  <si>
    <t>203644</t>
  </si>
  <si>
    <t>10103635</t>
  </si>
  <si>
    <t>LE-20-3146</t>
  </si>
  <si>
    <t>27-DEC-2019</t>
  </si>
  <si>
    <t>PODOKR300051954</t>
  </si>
  <si>
    <t>2154/12/2019/ITFM</t>
  </si>
  <si>
    <t>23-DEC-2019</t>
  </si>
  <si>
    <t>9976AP2223340022</t>
  </si>
  <si>
    <t>71201-3855209-9</t>
  </si>
  <si>
    <t>03315411163</t>
  </si>
  <si>
    <t xml:space="preserve">SABIR BUILDERS AND DEVELOPERS HOUSE NO.B-1-987,STREET NO.3 MUSLIM TOWN SADIQABAD NEAR COSMETIC RAWALPINDI </t>
  </si>
  <si>
    <t>64794/00084/11/2022</t>
  </si>
  <si>
    <t>17517525</t>
  </si>
  <si>
    <t>232698</t>
  </si>
  <si>
    <t>AKS-166</t>
  </si>
  <si>
    <t>30-NOV-2022</t>
  </si>
  <si>
    <t>OLURWP300091015</t>
  </si>
  <si>
    <t>108864/11/2022</t>
  </si>
  <si>
    <t>9976AP1223610032</t>
  </si>
  <si>
    <t>ALI FAIZAN</t>
  </si>
  <si>
    <t>41306-9736745-7</t>
  </si>
  <si>
    <t>00966593006241</t>
  </si>
  <si>
    <t xml:space="preserve">SAAD AL THAKAFI DARUL RIYADH 13223 RIYADH SAUDI ARABIA </t>
  </si>
  <si>
    <t>65483/00036/12/2022</t>
  </si>
  <si>
    <t>1027271</t>
  </si>
  <si>
    <t>1143704</t>
  </si>
  <si>
    <t>SUZUKI BOLAN STD</t>
  </si>
  <si>
    <t>OLDHYD300091334</t>
  </si>
  <si>
    <t>DIB0034857</t>
  </si>
  <si>
    <t>26-DEC-2022</t>
  </si>
  <si>
    <t>9976AP2223340035</t>
  </si>
  <si>
    <t>MUHAMMAD ASAD HAI</t>
  </si>
  <si>
    <t>42201-9228097-9</t>
  </si>
  <si>
    <t>03322285355</t>
  </si>
  <si>
    <t xml:space="preserve">FLAT NO 615 6 TH FLOOR KINGS RESIDE NCY BLOCK 13 GULISTAN-E- JOUHAR RAB KARACHI PK </t>
  </si>
  <si>
    <t>64794/00078/11/2022</t>
  </si>
  <si>
    <t>6R189499</t>
  </si>
  <si>
    <t>1089493</t>
  </si>
  <si>
    <t>BUW-133</t>
  </si>
  <si>
    <t>OLUKHI300090993</t>
  </si>
  <si>
    <t>9486/11/2022/ITFM</t>
  </si>
  <si>
    <t>9976AP1203590008</t>
  </si>
  <si>
    <t>IMTISAL AHMED</t>
  </si>
  <si>
    <t>38403-4076032-1</t>
  </si>
  <si>
    <t>03018550219</t>
  </si>
  <si>
    <t xml:space="preserve">FLAT # 07 BLOCK 10 P.H.A FLATS SECT OR G -7/2 ISLAMABAD PK </t>
  </si>
  <si>
    <t>53326/00094/12/2020</t>
  </si>
  <si>
    <t>2261351</t>
  </si>
  <si>
    <t>0024002</t>
  </si>
  <si>
    <t>PASSO</t>
  </si>
  <si>
    <t>OLUISD300064316</t>
  </si>
  <si>
    <t>3877/12/2020/ITFM</t>
  </si>
  <si>
    <t>23-DEC-2020</t>
  </si>
  <si>
    <t>997AAD2202390004</t>
  </si>
  <si>
    <t>SABA BEGUM</t>
  </si>
  <si>
    <t>41306-4036534-6</t>
  </si>
  <si>
    <t>03332752833</t>
  </si>
  <si>
    <t xml:space="preserve">H.NO 504 GALI NO 1 PHASE 1 QASIMABA D POST OFFICE HYDERABAD PK </t>
  </si>
  <si>
    <t>2020-12-205-V01501DP0002769</t>
  </si>
  <si>
    <t>165294</t>
  </si>
  <si>
    <t>10065317</t>
  </si>
  <si>
    <t>POAHYD300056633</t>
  </si>
  <si>
    <t>DIB0029197</t>
  </si>
  <si>
    <t>22-DEC-2020</t>
  </si>
  <si>
    <t>9976AD2212740067</t>
  </si>
  <si>
    <t>35201-9058365-5</t>
  </si>
  <si>
    <t>03004146638</t>
  </si>
  <si>
    <t>04299214631</t>
  </si>
  <si>
    <t xml:space="preserve">OFFICE NO 47-C SHAHRA-E-QUAID-E-AZA M THE MALL ROAD LAHORE </t>
  </si>
  <si>
    <t>27132/00184/12/2021</t>
  </si>
  <si>
    <t>6R200304</t>
  </si>
  <si>
    <t>1100246</t>
  </si>
  <si>
    <t>27-JAN-2022</t>
  </si>
  <si>
    <t>27-Jan-2027</t>
  </si>
  <si>
    <t>OLALHR300074449</t>
  </si>
  <si>
    <t>DIB0032868</t>
  </si>
  <si>
    <t>9976AP1233340039</t>
  </si>
  <si>
    <t>AAMIR MALIK</t>
  </si>
  <si>
    <t>33100-2518301-9</t>
  </si>
  <si>
    <t>03018666808</t>
  </si>
  <si>
    <t xml:space="preserve">HOUSE NO.722, BLOCK B MILLAT ROAD MILLAT TOWN FSD 03018666808 </t>
  </si>
  <si>
    <t>77638/00021/11/2023</t>
  </si>
  <si>
    <t>27-NOV-2024</t>
  </si>
  <si>
    <t>210238</t>
  </si>
  <si>
    <t>1011227</t>
  </si>
  <si>
    <t>ASV-132</t>
  </si>
  <si>
    <t>03-DEC-2023</t>
  </si>
  <si>
    <t>OLUFSD300098218</t>
  </si>
  <si>
    <t>DIB0035460</t>
  </si>
  <si>
    <t>28-NOV-2023</t>
  </si>
  <si>
    <t>9976AP1233340041</t>
  </si>
  <si>
    <t>MUHAMMAD FAHEEM KHAN</t>
  </si>
  <si>
    <t>42301-4625224-5</t>
  </si>
  <si>
    <t>35884977</t>
  </si>
  <si>
    <t>03333094880</t>
  </si>
  <si>
    <t>35115541 3511542</t>
  </si>
  <si>
    <t xml:space="preserve">HOUSE NO 36/1 7TH COMMERCIAL STREET PHASE NO 4 DHA KARACHI </t>
  </si>
  <si>
    <t>77638/00020/11/2023</t>
  </si>
  <si>
    <t>2A28605</t>
  </si>
  <si>
    <t>7017472</t>
  </si>
  <si>
    <t>BTU-214</t>
  </si>
  <si>
    <t>OLUKHI300098191</t>
  </si>
  <si>
    <t>DIB0035459</t>
  </si>
  <si>
    <t>30-NOV-2023</t>
  </si>
  <si>
    <t>9976AP1233340051</t>
  </si>
  <si>
    <t>UMER SOHAIL</t>
  </si>
  <si>
    <t>42101-7799271-9</t>
  </si>
  <si>
    <t>03012221640</t>
  </si>
  <si>
    <t xml:space="preserve">SHOP # M-5 BLOCK-01 F.B.AREA NEAR S INDH GOVT.HOSPITAL KARACHI </t>
  </si>
  <si>
    <t>77638/00019/11/2023</t>
  </si>
  <si>
    <t>6R164836</t>
  </si>
  <si>
    <t>1064838</t>
  </si>
  <si>
    <t>BTQ-901</t>
  </si>
  <si>
    <t>OLUKHI300098278</t>
  </si>
  <si>
    <t>DIB0035468</t>
  </si>
  <si>
    <t>9976AP1233340052</t>
  </si>
  <si>
    <t>ANAS AQEEL UR REHMAN</t>
  </si>
  <si>
    <t>42101-8647829-5</t>
  </si>
  <si>
    <t>03331037547</t>
  </si>
  <si>
    <t xml:space="preserve">HOUSE # B-387 SECTOR 14-B SHADMAN T WON NORTH KARACHI KARACHI PK </t>
  </si>
  <si>
    <t>77638/00018/11/2023</t>
  </si>
  <si>
    <t>13048933</t>
  </si>
  <si>
    <t>10048924</t>
  </si>
  <si>
    <t>BST-419</t>
  </si>
  <si>
    <t>SUZUK SWIFT A/T</t>
  </si>
  <si>
    <t>OLUKHI300098171</t>
  </si>
  <si>
    <t>DIB0035458</t>
  </si>
  <si>
    <t>29-NOV-2023</t>
  </si>
  <si>
    <t>997AAD2203050047</t>
  </si>
  <si>
    <t>HUMAIRA SIDDIQUE</t>
  </si>
  <si>
    <t>36302-9185662-0</t>
  </si>
  <si>
    <t>03075056635</t>
  </si>
  <si>
    <t xml:space="preserve">THE INDUS HOSPITAL 3-KM (FINANCE DEPTT.) DG KHAN ROAD MUZAFFARGARH </t>
  </si>
  <si>
    <t>UWT/D/T002/000000638/11520/109-0</t>
  </si>
  <si>
    <t>146534</t>
  </si>
  <si>
    <t>1046517</t>
  </si>
  <si>
    <t>POAMUX300059972</t>
  </si>
  <si>
    <t>DIB0029072</t>
  </si>
  <si>
    <t>9976AD2212380011</t>
  </si>
  <si>
    <t>SYEDA AZRA NASIM ABIDI</t>
  </si>
  <si>
    <t>42101-1719998-2</t>
  </si>
  <si>
    <t>03332392822</t>
  </si>
  <si>
    <t xml:space="preserve">R-839 BLOCK 20 FB AREA KARACHI PK </t>
  </si>
  <si>
    <t>57132/00169/12/2021</t>
  </si>
  <si>
    <t>6R199767</t>
  </si>
  <si>
    <t>1099746</t>
  </si>
  <si>
    <t>OLAKHI300072460</t>
  </si>
  <si>
    <t>DIB0032777</t>
  </si>
  <si>
    <t>20-DEC-2021</t>
  </si>
  <si>
    <t>9976AP1213340016</t>
  </si>
  <si>
    <t>FAHAD ALI SHAHZAD</t>
  </si>
  <si>
    <t>35202-9208746-5</t>
  </si>
  <si>
    <t>03016653684</t>
  </si>
  <si>
    <t xml:space="preserve">HOUSE NO 14-A STREET NO 68 BASTAMI ROAD SAMNABAD NEAR MITHAI WALA CHOW LAHORE PK </t>
  </si>
  <si>
    <t>56607/00132/11/2021</t>
  </si>
  <si>
    <t>743525</t>
  </si>
  <si>
    <t>01282080</t>
  </si>
  <si>
    <t>LEB-19-9956</t>
  </si>
  <si>
    <t>SUZUKI MEHRAN VX EURO II</t>
  </si>
  <si>
    <t>OLULHR300080685</t>
  </si>
  <si>
    <t>5723/11/2021</t>
  </si>
  <si>
    <t>9976AP1213340021</t>
  </si>
  <si>
    <t>MUHAMMAD ANWAR</t>
  </si>
  <si>
    <t>Mirpur Khas</t>
  </si>
  <si>
    <t>44105-0298700-9</t>
  </si>
  <si>
    <t>03332970726</t>
  </si>
  <si>
    <t xml:space="preserve">HOUSE # 85 JAMNA DASS COLONY HIRABA D MIRPURKHAS MIRPURKHAS PK </t>
  </si>
  <si>
    <t>56607/00151/11/2021</t>
  </si>
  <si>
    <t>PKF-635689</t>
  </si>
  <si>
    <t>SF410PK-542562</t>
  </si>
  <si>
    <t>BHY-607</t>
  </si>
  <si>
    <t>CULTUS VXRI EURO-II</t>
  </si>
  <si>
    <t>OLUMPK300080153</t>
  </si>
  <si>
    <t>108688/11/2021</t>
  </si>
  <si>
    <t>9976AP2213340009</t>
  </si>
  <si>
    <t>MUHAMMAD IFTIKHAR ASLAM</t>
  </si>
  <si>
    <t>34601-3125772-3</t>
  </si>
  <si>
    <t>03217124902</t>
  </si>
  <si>
    <t xml:space="preserve">OFFICE 17 BLOCK CC SECTOR D BAHRIA TOWN LAHORE </t>
  </si>
  <si>
    <t>DIB/T/34666/LHR/1121</t>
  </si>
  <si>
    <t>6R191353</t>
  </si>
  <si>
    <t>NF1AET306H1091379</t>
  </si>
  <si>
    <t>OLDLHR300079262</t>
  </si>
  <si>
    <t>5721/11/2021</t>
  </si>
  <si>
    <t>9976AP1213340008</t>
  </si>
  <si>
    <t>MOHAMMAD WAQAR AZEEM</t>
  </si>
  <si>
    <t>33105-7121249-7</t>
  </si>
  <si>
    <t>03017339966</t>
  </si>
  <si>
    <t>03017339966, 03017339966</t>
  </si>
  <si>
    <t xml:space="preserve">P-158 ST NO 2 GULBAHAR COLONY SATYA NA ROAD NEAR FARHAN GENERAL STORE FAISALABAD PK </t>
  </si>
  <si>
    <t>56607/00140/11/2021</t>
  </si>
  <si>
    <t>6427247</t>
  </si>
  <si>
    <t>R155550</t>
  </si>
  <si>
    <t>CT-170</t>
  </si>
  <si>
    <t>OLUFSD300080690</t>
  </si>
  <si>
    <t>5727/11/2021</t>
  </si>
  <si>
    <t>9976AP1213340019</t>
  </si>
  <si>
    <t>GULZAIB GHAURI</t>
  </si>
  <si>
    <t>35201-7565099-5</t>
  </si>
  <si>
    <t>03216790987</t>
  </si>
  <si>
    <t xml:space="preserve">22-KM OFF FEROZPUR ROAD GAJU MATTA CORNER CHARRAR DRAIN LAHORE </t>
  </si>
  <si>
    <t>DIB/T/34670/LHR/1121</t>
  </si>
  <si>
    <t>6R193264</t>
  </si>
  <si>
    <t>1093243</t>
  </si>
  <si>
    <t>OLDLHR300080674</t>
  </si>
  <si>
    <t>5736/11/2021</t>
  </si>
  <si>
    <t>9976AP2213340022</t>
  </si>
  <si>
    <t>EDWARD QASER</t>
  </si>
  <si>
    <t>35201-2128262-1</t>
  </si>
  <si>
    <t>03008437639</t>
  </si>
  <si>
    <t xml:space="preserve">1ST FLOOR HOUSE NO 9 STREET NO D-2 BARKAT JALAL COLONY YOUHANABAD MAIN FEROZPUR ROAD LAHORE </t>
  </si>
  <si>
    <t>DIB/T/34674/LHR/1121</t>
  </si>
  <si>
    <t>51001224</t>
  </si>
  <si>
    <t>MR001615</t>
  </si>
  <si>
    <t>OLDLHR300080393</t>
  </si>
  <si>
    <t>5743/11/2021</t>
  </si>
  <si>
    <t>9976AP2213340029</t>
  </si>
  <si>
    <t>MUSHTAQ ALI WAGAN</t>
  </si>
  <si>
    <t>45301-9850135-1</t>
  </si>
  <si>
    <t>03342186272</t>
  </si>
  <si>
    <t>03342186272, 03342186272</t>
  </si>
  <si>
    <t xml:space="preserve">FLAT # H-16 KDA OVERSEAS APPARTMENT GULSHAN-E-IQBAL BLOCK-13-C UNIVERS KARACHI PK </t>
  </si>
  <si>
    <t>56607/00138/11/2021</t>
  </si>
  <si>
    <t>132089</t>
  </si>
  <si>
    <t>10032144</t>
  </si>
  <si>
    <t>BNV-271</t>
  </si>
  <si>
    <t>SUZUKI CULTUS VXL AGS-EURO II</t>
  </si>
  <si>
    <t>OLUKHI30080655</t>
  </si>
  <si>
    <t>5774/11/2021</t>
  </si>
  <si>
    <t>9976AP2213340007</t>
  </si>
  <si>
    <t>MHAMMAD TARIQ ALIAS KHALIL ULLAH-AC</t>
  </si>
  <si>
    <t>42501-7904493-9</t>
  </si>
  <si>
    <t>03452856638</t>
  </si>
  <si>
    <t xml:space="preserve">SAYLANI WELFARE TRUST, A-25, MAIN BAHADURABAD CHOWRANGI, KARACHI. </t>
  </si>
  <si>
    <t>56607/00142/11/2021</t>
  </si>
  <si>
    <t>140314</t>
  </si>
  <si>
    <t>10040314</t>
  </si>
  <si>
    <t>BQH-240</t>
  </si>
  <si>
    <t>OLUKHI300080654</t>
  </si>
  <si>
    <t>5732/11/2021</t>
  </si>
  <si>
    <t>9976AP1213340015</t>
  </si>
  <si>
    <t>NAUMAN RASOOL</t>
  </si>
  <si>
    <t>36402-9050712-7</t>
  </si>
  <si>
    <t>03057117546</t>
  </si>
  <si>
    <t xml:space="preserve">H # 413 ST # 3 LANE # 4 PESHAWAR RO AD RAWALPINDI PK </t>
  </si>
  <si>
    <t>56607/00157/11/2021</t>
  </si>
  <si>
    <t>135728</t>
  </si>
  <si>
    <t>10035734</t>
  </si>
  <si>
    <t>ALW-736</t>
  </si>
  <si>
    <t>OLUISD300080755</t>
  </si>
  <si>
    <t>108706/11/2021</t>
  </si>
  <si>
    <t>9976AP2213340008</t>
  </si>
  <si>
    <t>NIGHAT KAZMI</t>
  </si>
  <si>
    <t>42101-5495705-6</t>
  </si>
  <si>
    <t>03233098747</t>
  </si>
  <si>
    <t xml:space="preserve">HOUSE NO.1-E 17 / 07 NAZIMABAD NO.1 KARACHI. NEAR BY HAMZA BAKERY </t>
  </si>
  <si>
    <t>56607/00153/11/2021</t>
  </si>
  <si>
    <t>37609</t>
  </si>
  <si>
    <t>701114</t>
  </si>
  <si>
    <t>OLDKHI300080556</t>
  </si>
  <si>
    <t>5733/11/2021</t>
  </si>
  <si>
    <t>9976AP1213340014</t>
  </si>
  <si>
    <t>KULSUM KHAN</t>
  </si>
  <si>
    <t>42301-1275054-6</t>
  </si>
  <si>
    <t>03412420022</t>
  </si>
  <si>
    <t xml:space="preserve">C- 215 2ND FLOOR GULF WAY TOWER CLI FTON BLOCK 8 MAIN TEEN TALWAR GULG KARACHI PK </t>
  </si>
  <si>
    <t>2021-11-205-V01501DPOOO3004</t>
  </si>
  <si>
    <t>222005</t>
  </si>
  <si>
    <t>10122011</t>
  </si>
  <si>
    <t>OLDKHI300080659</t>
  </si>
  <si>
    <t>5728/11/2021</t>
  </si>
  <si>
    <t>9976AD2212450018</t>
  </si>
  <si>
    <t>SULEMAN AHMED SALEEMI</t>
  </si>
  <si>
    <t>35202-6897616-3</t>
  </si>
  <si>
    <t>03334194924</t>
  </si>
  <si>
    <t xml:space="preserve">GOVT GRADUCATE COLLEGE HUNZA BLOCK ALLAMA IQBAL TOWN LAHORE </t>
  </si>
  <si>
    <t>56607/00148/11/2021</t>
  </si>
  <si>
    <t>2A41211</t>
  </si>
  <si>
    <t>7025862</t>
  </si>
  <si>
    <t>OLALHR300072935</t>
  </si>
  <si>
    <t>DIB0032570</t>
  </si>
  <si>
    <t>9976AP1213340022</t>
  </si>
  <si>
    <t>KHALIL AHMED</t>
  </si>
  <si>
    <t>42101-4040917-7</t>
  </si>
  <si>
    <t>03152717547</t>
  </si>
  <si>
    <t>03152717547, 03152717547</t>
  </si>
  <si>
    <t xml:space="preserve">JAMIA MASJID AL KAREEM ZOR AMAN RES IDENCY MALIR NEAR MAHAKMAE MOSAMIYA KARACHI PK </t>
  </si>
  <si>
    <t>56607/00141/11/2021</t>
  </si>
  <si>
    <t>147167</t>
  </si>
  <si>
    <t>10046876</t>
  </si>
  <si>
    <t>BQH-697</t>
  </si>
  <si>
    <t>OLUKHI300080532</t>
  </si>
  <si>
    <t>5731/11/2021</t>
  </si>
  <si>
    <t>9976AP1233600006</t>
  </si>
  <si>
    <t>IMTIAZ GHAFFAR</t>
  </si>
  <si>
    <t>42201-0286575-9</t>
  </si>
  <si>
    <t>03008239574</t>
  </si>
  <si>
    <t>02134942226</t>
  </si>
  <si>
    <t xml:space="preserve">SHOP NO 5 AISHA ARCADE 12 BMCHS BEHIND PTV JAMALUDDIN AFGHANI RD KHI </t>
  </si>
  <si>
    <t>78992/00041/12/2023</t>
  </si>
  <si>
    <t>21-DEC-2024</t>
  </si>
  <si>
    <t>1016788</t>
  </si>
  <si>
    <t>116775</t>
  </si>
  <si>
    <t>SUZUKI SWIFT GL VCT</t>
  </si>
  <si>
    <t>OLDKHI300098688</t>
  </si>
  <si>
    <t>DIB0035538</t>
  </si>
  <si>
    <t>26-DEC-2023</t>
  </si>
  <si>
    <t>9976AD2212090008</t>
  </si>
  <si>
    <t>MALIK MUKHTAR AHMED</t>
  </si>
  <si>
    <t>42401-4512446-3</t>
  </si>
  <si>
    <t>03009251108</t>
  </si>
  <si>
    <t xml:space="preserve">QURESHI ENTERPRISES SUIT NO 4,1ST FLOOR KHAIRI MARKET MARKET NEAR MEMON MASJID ,LIAQUAT M.A JINNAH ROAD KARACHI </t>
  </si>
  <si>
    <t>2524/02742/00118/11/2021</t>
  </si>
  <si>
    <t>2A41574</t>
  </si>
  <si>
    <t>9515403</t>
  </si>
  <si>
    <t>OLAKHI300071231</t>
  </si>
  <si>
    <t>5725/11/2021</t>
  </si>
  <si>
    <t>9976AP1233600002</t>
  </si>
  <si>
    <t>MAAZ KHILJI</t>
  </si>
  <si>
    <t>42201-5967094-1</t>
  </si>
  <si>
    <t>03122211179</t>
  </si>
  <si>
    <t xml:space="preserve">JUNAID ENGINEERING WORKS RC-1/1,PLOT- 1594 REHMANIA COLONY YOUSUF GOTH SURJANI TOWN KARACHI </t>
  </si>
  <si>
    <t>78992/00042/12/2023</t>
  </si>
  <si>
    <t>13044102</t>
  </si>
  <si>
    <t>10044113</t>
  </si>
  <si>
    <t>BRB-285</t>
  </si>
  <si>
    <t>SUZUKI SWIFT A/T NAVIGATION</t>
  </si>
  <si>
    <t>OLUKHI300098780</t>
  </si>
  <si>
    <t>DIB0035540</t>
  </si>
  <si>
    <t>23-DEC-2023</t>
  </si>
  <si>
    <t>9976AD1211830099</t>
  </si>
  <si>
    <t>MUHAMMAD FAIZAN ALTAF</t>
  </si>
  <si>
    <t>35201-4536693-9</t>
  </si>
  <si>
    <t>03214648784</t>
  </si>
  <si>
    <t xml:space="preserve">1ST FLOOR 4 SHER SHAH BLOCK NEW GAR DEN TOWN LAHORE </t>
  </si>
  <si>
    <t>2021-11-205-V01501OP0003000</t>
  </si>
  <si>
    <t>51004356</t>
  </si>
  <si>
    <t>R005933</t>
  </si>
  <si>
    <t>HONDA CITY I-VTEC- P/T</t>
  </si>
  <si>
    <t>02-JUL-2021</t>
  </si>
  <si>
    <t>OLALHR3000703320</t>
  </si>
  <si>
    <t>DIB0032568</t>
  </si>
  <si>
    <t>9976AD1212570022</t>
  </si>
  <si>
    <t>SHEIKH SHAHROZ ASIF</t>
  </si>
  <si>
    <t>37406-5392144-3</t>
  </si>
  <si>
    <t>03225688001</t>
  </si>
  <si>
    <t xml:space="preserve">BRI CIVIL LINE, STREET NO.11, GUJRANWALA, GUJRANWALA, PAKISTAN. 0322-5688001, 0315-3946500 </t>
  </si>
  <si>
    <t>01-2111-PO-MTR-PCCM-D-001616</t>
  </si>
  <si>
    <t>2A41133</t>
  </si>
  <si>
    <t>7025800</t>
  </si>
  <si>
    <t>14-SEP-2021</t>
  </si>
  <si>
    <t>OLAGWL300073384</t>
  </si>
  <si>
    <t>DIB0032565</t>
  </si>
  <si>
    <t>9976AP1213340025</t>
  </si>
  <si>
    <t>33100-7575070-1</t>
  </si>
  <si>
    <t>03028661241</t>
  </si>
  <si>
    <t>03028661241, 03028661241</t>
  </si>
  <si>
    <t xml:space="preserve">H NO 5989 ST NO 7 MOHALLA ROZA PARK MANSOOR ABAD FSD NEAR BOP FAISALABAD PK </t>
  </si>
  <si>
    <t>56607/00066/11/2021</t>
  </si>
  <si>
    <t>Q354456</t>
  </si>
  <si>
    <t>R7053623</t>
  </si>
  <si>
    <t>TOYOTA COROLLA ALTIS GRANDE</t>
  </si>
  <si>
    <t>OLDFSD300079602</t>
  </si>
  <si>
    <t>5678/11/2021</t>
  </si>
  <si>
    <t>9976AD2211980013</t>
  </si>
  <si>
    <t>MUHAMMAD DANIYAL-ASAAN ACCOUNT</t>
  </si>
  <si>
    <t>42201-8950800-1</t>
  </si>
  <si>
    <t>03200297156</t>
  </si>
  <si>
    <t xml:space="preserve">FLAT NO C-406 FARHAN CLASSIC BLOCK 12 GULISTAN E JOHAR KARACHI </t>
  </si>
  <si>
    <t>2524/02742/00113/11/2021</t>
  </si>
  <si>
    <t>16927731</t>
  </si>
  <si>
    <t>080304</t>
  </si>
  <si>
    <t>17-JUL-2021</t>
  </si>
  <si>
    <t>OLAKHI300070864</t>
  </si>
  <si>
    <t>DIB0032483</t>
  </si>
  <si>
    <t>9976AD2212420016</t>
  </si>
  <si>
    <t>HARIS</t>
  </si>
  <si>
    <t>42301-7018398-9</t>
  </si>
  <si>
    <t>03353226772</t>
  </si>
  <si>
    <t xml:space="preserve">HOUSE # 523 NAWABAD SHAH ABDUL LATIF BHATTAI ROAD,LYARI STREET NO.A-1C, MOH. QASARKANDI KARACHI 0335-3226772 </t>
  </si>
  <si>
    <t>56607/00145/11/2021</t>
  </si>
  <si>
    <t>R18Z16928436</t>
  </si>
  <si>
    <t>NFBFC6668MR081020</t>
  </si>
  <si>
    <t>HONDA CIVIC IVTEC</t>
  </si>
  <si>
    <t>OLAKHI300072754</t>
  </si>
  <si>
    <t>DIB0032555</t>
  </si>
  <si>
    <t>9976AP1213340046</t>
  </si>
  <si>
    <t>AYESHA AHMAD BUTT</t>
  </si>
  <si>
    <t>35202-8446537-0</t>
  </si>
  <si>
    <t>03234010652</t>
  </si>
  <si>
    <t xml:space="preserve">809 HALY TOWER DHA PHASE 2 LALAK CH OWK LAHORE </t>
  </si>
  <si>
    <t>56607/00143/11/2021</t>
  </si>
  <si>
    <t>131433</t>
  </si>
  <si>
    <t>10031463</t>
  </si>
  <si>
    <t>LED-17-5911</t>
  </si>
  <si>
    <t>OLULHR300080664</t>
  </si>
  <si>
    <t>5735/11/2021</t>
  </si>
  <si>
    <t>9976AP2213570015</t>
  </si>
  <si>
    <t>MAQSOOD ALAM</t>
  </si>
  <si>
    <t>35202-9098898-7</t>
  </si>
  <si>
    <t>03214285181</t>
  </si>
  <si>
    <t xml:space="preserve">MAIN ADDA ARAYAN PIND JIYA BAGA CHO WK RAIWIND ROAD LAHORE </t>
  </si>
  <si>
    <t>57132/00167/12/2021</t>
  </si>
  <si>
    <t>R18Z14046635</t>
  </si>
  <si>
    <t>NFBFB2660GR130405</t>
  </si>
  <si>
    <t>LEB-16-206</t>
  </si>
  <si>
    <t>CIVIC VTI ROIEL P/T</t>
  </si>
  <si>
    <t>OLULHR300082314</t>
  </si>
  <si>
    <t>DIB0032855</t>
  </si>
  <si>
    <t>23-DEC-2021</t>
  </si>
  <si>
    <t>9976AP1213580003</t>
  </si>
  <si>
    <t>35202-6523647-9</t>
  </si>
  <si>
    <t>03156239063</t>
  </si>
  <si>
    <t xml:space="preserve">OFF NO 208 FEROZPUR ROAD REHMAN PUR A MORE NEAR WAPDA HOSPITAL LAHORE </t>
  </si>
  <si>
    <t>2524/02795/00057/12/2021</t>
  </si>
  <si>
    <t>813859</t>
  </si>
  <si>
    <t>700257</t>
  </si>
  <si>
    <t>KIA SPORTAGE EX+</t>
  </si>
  <si>
    <t>OLDLHR300082290</t>
  </si>
  <si>
    <t>DIB0032847</t>
  </si>
  <si>
    <t>22-DEC-2021</t>
  </si>
  <si>
    <t>9976AP1223340038</t>
  </si>
  <si>
    <t>MUHAMMAD SIRAJ HASSAN</t>
  </si>
  <si>
    <t>37405-4082012-7</t>
  </si>
  <si>
    <t>03369230442</t>
  </si>
  <si>
    <t>0518730526</t>
  </si>
  <si>
    <t xml:space="preserve">H # 23 ST # 33 SECTOR G-9/1 NEAR LA RAIB INN RESTURANT ISLAMABAD PK </t>
  </si>
  <si>
    <t>64794/00089/11/2022</t>
  </si>
  <si>
    <t>107780</t>
  </si>
  <si>
    <t>10007762</t>
  </si>
  <si>
    <t>AEZ-736</t>
  </si>
  <si>
    <t>SUZUKI CULTUS VXL EURO-II</t>
  </si>
  <si>
    <t>OLUISD300091034</t>
  </si>
  <si>
    <t>108872/11/2022</t>
  </si>
  <si>
    <t>9976AP1213560005</t>
  </si>
  <si>
    <t>NAFEES AHMED RASHIDI</t>
  </si>
  <si>
    <t>13503-7570585-9</t>
  </si>
  <si>
    <t>03005637771</t>
  </si>
  <si>
    <t xml:space="preserve">FLAT # 21 SHALIMAR PLAZA SECTOR F-8 NEAR F-8 COURT ISLAMABAD PK </t>
  </si>
  <si>
    <t>57132/00156/12/2021</t>
  </si>
  <si>
    <t>268307</t>
  </si>
  <si>
    <t>4034467</t>
  </si>
  <si>
    <t>EK-338</t>
  </si>
  <si>
    <t>OLUISD300082193</t>
  </si>
  <si>
    <t>5913/12/2021</t>
  </si>
  <si>
    <t>21-DEC-2021</t>
  </si>
  <si>
    <t>9976AP2213580002</t>
  </si>
  <si>
    <t>TANSEER JAVED</t>
  </si>
  <si>
    <t>42201-0351938-3</t>
  </si>
  <si>
    <t>03218865322</t>
  </si>
  <si>
    <t>02135122499</t>
  </si>
  <si>
    <t xml:space="preserve">AURA INTERNATIONAL C-58 SECTOR 7 A KORANGI INDUSTRIAL AREA KARACHI </t>
  </si>
  <si>
    <t>57132/00168/12/2021</t>
  </si>
  <si>
    <t>182616</t>
  </si>
  <si>
    <t>10082629</t>
  </si>
  <si>
    <t>BUG-719</t>
  </si>
  <si>
    <t>OLUKHI300082297</t>
  </si>
  <si>
    <t>DIB0032857</t>
  </si>
  <si>
    <t>9976AP1213570022</t>
  </si>
  <si>
    <t>42301-1111317-9</t>
  </si>
  <si>
    <t>03002649513</t>
  </si>
  <si>
    <t xml:space="preserve">HOLD SHALMAR FATIMA JINNAH ROAD SAD DAR TOWN NEAR CANTT STATION KARACHI PK </t>
  </si>
  <si>
    <t>57132/00155/12/2021</t>
  </si>
  <si>
    <t>189765</t>
  </si>
  <si>
    <t>10089765</t>
  </si>
  <si>
    <t>OLDKHI300082212</t>
  </si>
  <si>
    <t>DIB0032841</t>
  </si>
  <si>
    <t>9976AP1223340054</t>
  </si>
  <si>
    <t>AZIM FAISAL</t>
  </si>
  <si>
    <t>42401-8323701-5</t>
  </si>
  <si>
    <t>03462341277</t>
  </si>
  <si>
    <t xml:space="preserve">HOUSE NO 192 SECTER 14/C ORANGI TOW N BILAL COLONY BASHANI SWEET KARACHI PK </t>
  </si>
  <si>
    <t>64794/00087/11/2022</t>
  </si>
  <si>
    <t>6R147045</t>
  </si>
  <si>
    <t>1047024</t>
  </si>
  <si>
    <t>BSP-551</t>
  </si>
  <si>
    <t>OLUKHI300090999</t>
  </si>
  <si>
    <t>9506/11/2022/ITFM</t>
  </si>
  <si>
    <t>9976AP2213610007</t>
  </si>
  <si>
    <t>SHAHRUKH ALI MEMON</t>
  </si>
  <si>
    <t>42401-4944832-1</t>
  </si>
  <si>
    <t>03202765801</t>
  </si>
  <si>
    <t xml:space="preserve">PLOT NO 50 C 3RD FLOOR STREET NO 9 DAILY DUBAI RESTURENT BADDAR COMMERCIAL DHA PHASE 5 KARACHI </t>
  </si>
  <si>
    <t>57132/00165/12/2021</t>
  </si>
  <si>
    <t>L13Z17439795</t>
  </si>
  <si>
    <t>R179771</t>
  </si>
  <si>
    <t>BFC-895</t>
  </si>
  <si>
    <t>OLUKHI300082285</t>
  </si>
  <si>
    <t>DIB0032893</t>
  </si>
  <si>
    <t>9976AP1213570025</t>
  </si>
  <si>
    <t>KANZA TARIQ MAAN</t>
  </si>
  <si>
    <t>35202-9260096-4</t>
  </si>
  <si>
    <t>03349953925</t>
  </si>
  <si>
    <t>3111940940</t>
  </si>
  <si>
    <t xml:space="preserve">19-KM MULTAN ROAD LAHORE </t>
  </si>
  <si>
    <t>5713200166/12/2021</t>
  </si>
  <si>
    <t>K107120</t>
  </si>
  <si>
    <t>H10007091</t>
  </si>
  <si>
    <t>ADD-513</t>
  </si>
  <si>
    <t>OLULHR300082292</t>
  </si>
  <si>
    <t>DIB0032850</t>
  </si>
  <si>
    <t>9976AP2213560005</t>
  </si>
  <si>
    <t>S RAZA RAFIQUE</t>
  </si>
  <si>
    <t>13503-1854087-5</t>
  </si>
  <si>
    <t>03225194480</t>
  </si>
  <si>
    <t>0515977009</t>
  </si>
  <si>
    <t xml:space="preserve">H # 202A 2ND FLOOR GULZAR E QUAID R OAD GULZAR A QUAID RAWALPINDI PK </t>
  </si>
  <si>
    <t>57132/00157/12/2021</t>
  </si>
  <si>
    <t>105111</t>
  </si>
  <si>
    <t>1005098</t>
  </si>
  <si>
    <t>APB-861</t>
  </si>
  <si>
    <t>OLUISD300082258</t>
  </si>
  <si>
    <t>DIB0032840</t>
  </si>
  <si>
    <t>9976AP1203590015</t>
  </si>
  <si>
    <t>MUHAMMAD TAYYAB HUSSAIN</t>
  </si>
  <si>
    <t>42101-1940605-1</t>
  </si>
  <si>
    <t>03452310830</t>
  </si>
  <si>
    <t>34375411 2</t>
  </si>
  <si>
    <t xml:space="preserve">R-272, BLOCK 17, F.B.AREA, NEAR MAZAIDAR FOODS, KARACHI. </t>
  </si>
  <si>
    <t>53326/00089/12/2020</t>
  </si>
  <si>
    <t>243786</t>
  </si>
  <si>
    <t>1072653</t>
  </si>
  <si>
    <t>BQP-386</t>
  </si>
  <si>
    <t>OLUKHI300064156</t>
  </si>
  <si>
    <t>3870/12/2020/ITFM</t>
  </si>
  <si>
    <t>9976AP1233600003</t>
  </si>
  <si>
    <t>SAJID HUSSAIN AWAN</t>
  </si>
  <si>
    <t>42201-5695315-5</t>
  </si>
  <si>
    <t>03333305165</t>
  </si>
  <si>
    <t xml:space="preserve">HNO B-21,GROUND FLOOR STREET NO 01 ABDUALLAH GOTH BLOCK B BIN QASIM TO WN KHI RAHIM YAR KHAN </t>
  </si>
  <si>
    <t>78992/00037/12/2023</t>
  </si>
  <si>
    <t>20-DEC-2024</t>
  </si>
  <si>
    <t>1018039</t>
  </si>
  <si>
    <t>200710</t>
  </si>
  <si>
    <t>OLDKHI300098709</t>
  </si>
  <si>
    <t>DIB0035533</t>
  </si>
  <si>
    <t>22-DEC-2023</t>
  </si>
  <si>
    <t>9976AP1233560026</t>
  </si>
  <si>
    <t>NAZEER AHMED</t>
  </si>
  <si>
    <t>42101-1622770-1</t>
  </si>
  <si>
    <t>03002470855</t>
  </si>
  <si>
    <t xml:space="preserve">FLAT NO B-210 PLOT NO 02/2 FLAT NO B-210 SAIMA REAL STATE 15-A-5 BUFFE KARACHI PK </t>
  </si>
  <si>
    <t>78992/00040/12/2023</t>
  </si>
  <si>
    <t>17459053</t>
  </si>
  <si>
    <t>201761</t>
  </si>
  <si>
    <t>BHX-650</t>
  </si>
  <si>
    <t>HONDA CITY 1-VTEC P/T</t>
  </si>
  <si>
    <t>OLUKHI300098748</t>
  </si>
  <si>
    <t>DIB0035535</t>
  </si>
  <si>
    <t>9976AP1233550023</t>
  </si>
  <si>
    <t>RAZA ALI</t>
  </si>
  <si>
    <t>42000-0437519-5</t>
  </si>
  <si>
    <t>03351290333</t>
  </si>
  <si>
    <t>03351290333, 03351290333</t>
  </si>
  <si>
    <t xml:space="preserve">HOUSE # B-61 BLOCK 4 SAADI TOWN SCH - 33 NEAR CITY HOSPITAL KARACHI PK </t>
  </si>
  <si>
    <t>78992/00038/12/2023</t>
  </si>
  <si>
    <t>12940740</t>
  </si>
  <si>
    <t>044111</t>
  </si>
  <si>
    <t>BNK-494</t>
  </si>
  <si>
    <t>21-DEC-2023</t>
  </si>
  <si>
    <t>21-Dec-2026</t>
  </si>
  <si>
    <t>OLUKHI300098728</t>
  </si>
  <si>
    <t>DIB0035532</t>
  </si>
  <si>
    <t>9976AP1213560007</t>
  </si>
  <si>
    <t>MUHAMMAD HARIS</t>
  </si>
  <si>
    <t>42101-4971156-9</t>
  </si>
  <si>
    <t>03212262226</t>
  </si>
  <si>
    <t>03212262226, 03212262226</t>
  </si>
  <si>
    <t xml:space="preserve">HOUSE # B-236 1ST FLOOR BLOCK C NOR TH NAZIMABAD NEAR ASGHAR ALI SHAH S KARACHI PK </t>
  </si>
  <si>
    <t>57132/00149/12/2021</t>
  </si>
  <si>
    <t>12934706</t>
  </si>
  <si>
    <t>R038421</t>
  </si>
  <si>
    <t>BMX-371</t>
  </si>
  <si>
    <t>OLUKHI300082214</t>
  </si>
  <si>
    <t>DIB0032826</t>
  </si>
  <si>
    <t>9976AP2213560003</t>
  </si>
  <si>
    <t>NAHEED PARVEEN</t>
  </si>
  <si>
    <t>42201-5381400-4</t>
  </si>
  <si>
    <t>03132262544</t>
  </si>
  <si>
    <t xml:space="preserve">FLAT # 1105 11TH FLOOR SAIMA PARI B LOCK H NORTH NAIZMABAD NEAR SAIMA P KARACHI PK </t>
  </si>
  <si>
    <t>57132/00150/12/2021</t>
  </si>
  <si>
    <t>Q059052</t>
  </si>
  <si>
    <t>6036531</t>
  </si>
  <si>
    <t>BQK-090</t>
  </si>
  <si>
    <t>OLUKHI300082222</t>
  </si>
  <si>
    <t>DIB0032831</t>
  </si>
  <si>
    <t>9976AP1213550022</t>
  </si>
  <si>
    <t>YOUSUF BIN NASIR</t>
  </si>
  <si>
    <t>37406-3323418-1</t>
  </si>
  <si>
    <t>03325936697</t>
  </si>
  <si>
    <t>0514917292</t>
  </si>
  <si>
    <t xml:space="preserve">H # 461 ST # 1 SECTOR H PHASE 8 BAH RIA TOWN RAWALPINDI PK </t>
  </si>
  <si>
    <t>57132/00137/12/2021</t>
  </si>
  <si>
    <t>17456147</t>
  </si>
  <si>
    <t>198593</t>
  </si>
  <si>
    <t>ACG-524</t>
  </si>
  <si>
    <t>OLURWP300082192</t>
  </si>
  <si>
    <t>5896/12/2021</t>
  </si>
  <si>
    <t>9976AP2213570018</t>
  </si>
  <si>
    <t>42201-6989181-3</t>
  </si>
  <si>
    <t>03008365191</t>
  </si>
  <si>
    <t xml:space="preserve">HOUSE NO C- 777 NKE RKV 1233 LASI P ARA ALL MODEL COLONY MALIR MODEL CO KARACHI PK </t>
  </si>
  <si>
    <t>57132/00148/12/2021</t>
  </si>
  <si>
    <t>Z505695</t>
  </si>
  <si>
    <t>NZE170R-4132090</t>
  </si>
  <si>
    <t>BLH-471</t>
  </si>
  <si>
    <t>OLUKHI300082238</t>
  </si>
  <si>
    <t>DIB0032824</t>
  </si>
  <si>
    <t>9976AP1213560001</t>
  </si>
  <si>
    <t>MUHAMMAD UMAR</t>
  </si>
  <si>
    <t>61101-3251081-1</t>
  </si>
  <si>
    <t>03345096766</t>
  </si>
  <si>
    <t xml:space="preserve">H # 439 ST # 26 SECTOR G-14/4 ISLAMABAD PK </t>
  </si>
  <si>
    <t>57132/00145/12/2021</t>
  </si>
  <si>
    <t>200358</t>
  </si>
  <si>
    <t>1100337</t>
  </si>
  <si>
    <t>OLDISD300082260</t>
  </si>
  <si>
    <t>DIB0032820</t>
  </si>
  <si>
    <t>9976AP1233340047</t>
  </si>
  <si>
    <t>AMBREEN ALEEM</t>
  </si>
  <si>
    <t>42201-4278358-2</t>
  </si>
  <si>
    <t>03333212158</t>
  </si>
  <si>
    <t xml:space="preserve">HOUSE NO A272, GROUND FLOOR BLOCK 2, GULISTAN.E.JOHAR KARACHI </t>
  </si>
  <si>
    <t>77638/00023/11/2023</t>
  </si>
  <si>
    <t>28-NOV-2024</t>
  </si>
  <si>
    <t>M05605795W</t>
  </si>
  <si>
    <t>21K03261</t>
  </si>
  <si>
    <t>BVK-329</t>
  </si>
  <si>
    <t>PRINCE PERAL</t>
  </si>
  <si>
    <t>OLUKHI300098238</t>
  </si>
  <si>
    <t>DIB0035467</t>
  </si>
  <si>
    <t>9976AP1233340050</t>
  </si>
  <si>
    <t>ABDULLAH AHMED MUJADDADI</t>
  </si>
  <si>
    <t>42201-3168424-3</t>
  </si>
  <si>
    <t>03352373356</t>
  </si>
  <si>
    <t xml:space="preserve">A-4 SEC 9A-1 ALI GARH SOCIETY AHSHA NABAD SCHEME 33 KHI KARACHI PK </t>
  </si>
  <si>
    <t>77638/00022/11/2023</t>
  </si>
  <si>
    <t>6R144213</t>
  </si>
  <si>
    <t>1044444</t>
  </si>
  <si>
    <t>BSL-177</t>
  </si>
  <si>
    <t>OLUKHI300098240</t>
  </si>
  <si>
    <t>DIB0035466</t>
  </si>
  <si>
    <t>9976AP1213560014</t>
  </si>
  <si>
    <t>MUHAMMAD ADEEL SHAH</t>
  </si>
  <si>
    <t>36603-5445745-5</t>
  </si>
  <si>
    <t>03347158793</t>
  </si>
  <si>
    <t>03347158793, 03347158793</t>
  </si>
  <si>
    <t xml:space="preserve">2ND FLOOR IDC BUILDING SATYANA ROAD FSD NEAR IDEAL SWEET AND BAKERS FAISALABAD PK </t>
  </si>
  <si>
    <t>57132/00144/12/2021</t>
  </si>
  <si>
    <t>185829</t>
  </si>
  <si>
    <t>10085817</t>
  </si>
  <si>
    <t>LEE-19-1747</t>
  </si>
  <si>
    <t>OLUFSD300082229</t>
  </si>
  <si>
    <t>5907/12/2021</t>
  </si>
  <si>
    <t>9976AP1213560002</t>
  </si>
  <si>
    <t>61101-1334629-3</t>
  </si>
  <si>
    <t>03125128984</t>
  </si>
  <si>
    <t>0519019306</t>
  </si>
  <si>
    <t xml:space="preserve">H NO P-1379, BANI CHOWK KARTAR PURA COMMITY CHOWK RAWALPINDI </t>
  </si>
  <si>
    <t>57132/00147/12/2021</t>
  </si>
  <si>
    <t>1018989</t>
  </si>
  <si>
    <t>1135506</t>
  </si>
  <si>
    <t>OLDRWP300082194</t>
  </si>
  <si>
    <t>5909/12/2021</t>
  </si>
  <si>
    <t>9976AD1211520080</t>
  </si>
  <si>
    <t>MUHAMMAD SHAHBAZ ALI KHAN</t>
  </si>
  <si>
    <t>36502-1809566-1</t>
  </si>
  <si>
    <t>03126578789</t>
  </si>
  <si>
    <t xml:space="preserve">H NO 7 OLD CIVIL LINE SAHIWAL PK </t>
  </si>
  <si>
    <t>56607/00135/11/2021</t>
  </si>
  <si>
    <t>CAD518220</t>
  </si>
  <si>
    <t>1003988</t>
  </si>
  <si>
    <t>01-JUN-2021</t>
  </si>
  <si>
    <t>OLASHW300069274</t>
  </si>
  <si>
    <t>108702/11/2021</t>
  </si>
  <si>
    <t>9976AP1233550018</t>
  </si>
  <si>
    <t>WALEED AHMED</t>
  </si>
  <si>
    <t>42501-9693552-5</t>
  </si>
  <si>
    <t>03002217963</t>
  </si>
  <si>
    <t>03462969860, 03002217963</t>
  </si>
  <si>
    <t xml:space="preserve">HOUSE # 50 STREET # 05 GULSHAN E SA HAR WAHDU WAH ROAD QASIMABAD OPP SU HYDERABAD PK </t>
  </si>
  <si>
    <t>78992/00035/12/2023</t>
  </si>
  <si>
    <t>19-DEC-2024</t>
  </si>
  <si>
    <t>2A47013</t>
  </si>
  <si>
    <t>9517516</t>
  </si>
  <si>
    <t>TOYOTA YARIS</t>
  </si>
  <si>
    <t>OLUHYD300098678</t>
  </si>
  <si>
    <t>10652/12/2023/ITFM</t>
  </si>
  <si>
    <t>9976AP1233550017</t>
  </si>
  <si>
    <t>MUNEEB KHAN</t>
  </si>
  <si>
    <t>42101-6357662-7</t>
  </si>
  <si>
    <t>03218961450</t>
  </si>
  <si>
    <t xml:space="preserve">PLOT # A-261 1ST FLOOR BLOCK A NORT H NAZIMABAD KARACHI PK </t>
  </si>
  <si>
    <t>78992/0003/12/2023</t>
  </si>
  <si>
    <t>290732</t>
  </si>
  <si>
    <t>1190824</t>
  </si>
  <si>
    <t>21-Dec-2028</t>
  </si>
  <si>
    <t>OLDKHI300098679</t>
  </si>
  <si>
    <t>DIB0035529</t>
  </si>
  <si>
    <t>20-DEC-2023</t>
  </si>
  <si>
    <t>9976AP1233550015</t>
  </si>
  <si>
    <t>NASREEN LIAQUAT</t>
  </si>
  <si>
    <t>42301-0882426-2</t>
  </si>
  <si>
    <t>0300-2542443</t>
  </si>
  <si>
    <t xml:space="preserve">B-77 SECTOR 31-D P&amp;T HOUSING SOCIETY KORANGI QADIR MASJID KARACHI </t>
  </si>
  <si>
    <t>78992/00036/12/2023</t>
  </si>
  <si>
    <t>530392</t>
  </si>
  <si>
    <t>1000142</t>
  </si>
  <si>
    <t>BTN-423</t>
  </si>
  <si>
    <t>OLUKHI300098702</t>
  </si>
  <si>
    <t>DIB0035530</t>
  </si>
  <si>
    <t>9976AD1221510110</t>
  </si>
  <si>
    <t>HIJAB FATIMA</t>
  </si>
  <si>
    <t>34201-2142768-4</t>
  </si>
  <si>
    <t>03320416966</t>
  </si>
  <si>
    <t>09082220169</t>
  </si>
  <si>
    <t>04235297760</t>
  </si>
  <si>
    <t xml:space="preserve">H NO 107-B BEACON HOUSE SOCIETY JAT I UMRA ROAD NEAR ADA PLOT LAHORE PK </t>
  </si>
  <si>
    <t>65483/00032/12/2022</t>
  </si>
  <si>
    <t>6R264795</t>
  </si>
  <si>
    <t>1164720</t>
  </si>
  <si>
    <t>OLALHR300087696</t>
  </si>
  <si>
    <t>9671/12/2022/ITFM</t>
  </si>
  <si>
    <t>20-DEC-2022</t>
  </si>
  <si>
    <t>997APD2193340014</t>
  </si>
  <si>
    <t>MADEEHA NAZIR RANA</t>
  </si>
  <si>
    <t>35202-4723239-8</t>
  </si>
  <si>
    <t>03029668277</t>
  </si>
  <si>
    <t xml:space="preserve">HOUSE NO 246/247 E-2 JOHAR TOWN LAHORE PK </t>
  </si>
  <si>
    <t>51449/00118/11/2019</t>
  </si>
  <si>
    <t>3B20-KJ2754</t>
  </si>
  <si>
    <t>B21W-0243157</t>
  </si>
  <si>
    <t>LE-20-6880</t>
  </si>
  <si>
    <t>NISSAN DAYZ</t>
  </si>
  <si>
    <t>POULHR300051213</t>
  </si>
  <si>
    <t>DIB0028021</t>
  </si>
  <si>
    <t>9976AP2213340035</t>
  </si>
  <si>
    <t>ELIZER GILL</t>
  </si>
  <si>
    <t>35302-8214159-3</t>
  </si>
  <si>
    <t>03457041568</t>
  </si>
  <si>
    <t>03457041568, 03457041568</t>
  </si>
  <si>
    <t xml:space="preserve">ROOM 01 BUILDING NO 3 FIRST FLOOR S ARGODHA ROAD BILAL GUNJ MARKET FSD FAISALABAD PK </t>
  </si>
  <si>
    <t>56607/00214/11/2021</t>
  </si>
  <si>
    <t>696871</t>
  </si>
  <si>
    <t>01235465</t>
  </si>
  <si>
    <t>LA-17A-4802</t>
  </si>
  <si>
    <t>OLUFSD300081144</t>
  </si>
  <si>
    <t>5804/11/2021</t>
  </si>
  <si>
    <t>9976AP2183340022</t>
  </si>
  <si>
    <t>ASIF NIHAL SHAH</t>
  </si>
  <si>
    <t>42201-1590610-7</t>
  </si>
  <si>
    <t>03022289009</t>
  </si>
  <si>
    <t>35349411</t>
  </si>
  <si>
    <t xml:space="preserve">FLAT A- 34 4RTH FLOOR PLOT NO FL-10 NOMAN PLAZA BLOCK NO 11 MAIN RASHI KARACHI PK </t>
  </si>
  <si>
    <t>50025/00127/11/2018</t>
  </si>
  <si>
    <t>Z473815</t>
  </si>
  <si>
    <t>4099095</t>
  </si>
  <si>
    <t>BHK-988</t>
  </si>
  <si>
    <t>30-NOV-2018</t>
  </si>
  <si>
    <t>POUKHI300040874</t>
  </si>
  <si>
    <t>DIB0026443</t>
  </si>
  <si>
    <t>9976AP1213560006</t>
  </si>
  <si>
    <t>ABDUL FARRUKH</t>
  </si>
  <si>
    <t>42401-2055495-9</t>
  </si>
  <si>
    <t>03452628270</t>
  </si>
  <si>
    <t>03452628270, 03452628270</t>
  </si>
  <si>
    <t xml:space="preserve">HOUSE # R-176 STREET R-1 GULSHAN-E- MAYMAR MALIR NEAR FAROOQ E AZAM MAS KARACHI PK </t>
  </si>
  <si>
    <t>57132/00140/12/2021</t>
  </si>
  <si>
    <t>4040865</t>
  </si>
  <si>
    <t>124627</t>
  </si>
  <si>
    <t>BDH-511</t>
  </si>
  <si>
    <t>OLUKHI300082169</t>
  </si>
  <si>
    <t>DIB0032812</t>
  </si>
  <si>
    <t>9976AP2213550013</t>
  </si>
  <si>
    <t>FAHAD SHAIKH</t>
  </si>
  <si>
    <t>42101-8706543-5</t>
  </si>
  <si>
    <t>03456080406</t>
  </si>
  <si>
    <t>03456080406, 03456080406</t>
  </si>
  <si>
    <t xml:space="preserve">HOUSE # R-379 SAMNABAD BLOCK 18 FED RAL B AREA GULBERG TOWN NEAR MAZEDA KARACHI PK </t>
  </si>
  <si>
    <t>57132/00134/12/2021</t>
  </si>
  <si>
    <t>119384</t>
  </si>
  <si>
    <t>708444</t>
  </si>
  <si>
    <t>OLDKHI300082172</t>
  </si>
  <si>
    <t>DIB0032804</t>
  </si>
  <si>
    <t>9976AP1213570026</t>
  </si>
  <si>
    <t>ILYAS SALEEM</t>
  </si>
  <si>
    <t>35202-9703595-7</t>
  </si>
  <si>
    <t>03227777619</t>
  </si>
  <si>
    <t xml:space="preserve">BUTT MARBAL NEAR RUSTAM SOHRAB FACT ORY MAIN ROAD JIYA MUSA SHAHDARA MO R NEAR BUTT SWEETS LAHORE </t>
  </si>
  <si>
    <t>57132/00136/12/2021</t>
  </si>
  <si>
    <t>PKS13046723</t>
  </si>
  <si>
    <t>RS413PK10046710</t>
  </si>
  <si>
    <t>LEA-19A-2284</t>
  </si>
  <si>
    <t>SUSUKI SWIFT A/T NAVIGATION</t>
  </si>
  <si>
    <t>OLULHR300082134</t>
  </si>
  <si>
    <t>DIB0032808</t>
  </si>
  <si>
    <t>9976AP2213340037</t>
  </si>
  <si>
    <t>ARFAN ALI</t>
  </si>
  <si>
    <t>33100-0987699-1</t>
  </si>
  <si>
    <t>03326519307</t>
  </si>
  <si>
    <t>03326519307, 03326519307</t>
  </si>
  <si>
    <t xml:space="preserve">CHAK NO 58 JB LEHAL 1.5 KM RIGHT FR OM NARWALA BANGLOW LEHAL FAISALABAD PK </t>
  </si>
  <si>
    <t>DIB/T/34684/FSD/1121</t>
  </si>
  <si>
    <t>224619</t>
  </si>
  <si>
    <t>10124644</t>
  </si>
  <si>
    <t>SUZUKI WAGON VXL</t>
  </si>
  <si>
    <t>OLDFSD300081147</t>
  </si>
  <si>
    <t>5803/11/2021</t>
  </si>
  <si>
    <t>9976AP2213580005</t>
  </si>
  <si>
    <t>ASHFAQ AHMAD</t>
  </si>
  <si>
    <t>35202-1582745-5</t>
  </si>
  <si>
    <t>03228420671</t>
  </si>
  <si>
    <t xml:space="preserve">ACCOUNTANT GENERAL PUNJAB ROOM NO 4 09 4TH FLOOR LAHORE </t>
  </si>
  <si>
    <t>2524/02795/00048/12/2021</t>
  </si>
  <si>
    <t>PKT1017434</t>
  </si>
  <si>
    <t>SV308PK01133951</t>
  </si>
  <si>
    <t>SUZUKI BOLAN VX EURO-II</t>
  </si>
  <si>
    <t>OLDLHR300082163</t>
  </si>
  <si>
    <t>DIB0032803</t>
  </si>
  <si>
    <t>9976AP2233560007</t>
  </si>
  <si>
    <t>DANISH BAIG</t>
  </si>
  <si>
    <t>42101-3748173-1</t>
  </si>
  <si>
    <t>03142260078</t>
  </si>
  <si>
    <t xml:space="preserve">FLAT NO-F-14 HAROON HEIGHTS SECTOR UP NORTH KARACHI 03142260078 </t>
  </si>
  <si>
    <t>78992/00032/12/2023</t>
  </si>
  <si>
    <t>18-DEC-2024</t>
  </si>
  <si>
    <t>263269</t>
  </si>
  <si>
    <t>1163157</t>
  </si>
  <si>
    <t>BYF-462</t>
  </si>
  <si>
    <t>OLUKHI30008651</t>
  </si>
  <si>
    <t>DIB0035527</t>
  </si>
  <si>
    <t>9976AP2213340027</t>
  </si>
  <si>
    <t>MASSAB ANWER</t>
  </si>
  <si>
    <t>42101-2868824-5</t>
  </si>
  <si>
    <t>03353856086</t>
  </si>
  <si>
    <t xml:space="preserve">FLAT # F- 5/3 MAYMAR CENTRER FB ARE A BLOCK # 7 NEAR ARSHI MALL KARACHI PK </t>
  </si>
  <si>
    <t>56607/00194/11/2021</t>
  </si>
  <si>
    <t>PKS130291218</t>
  </si>
  <si>
    <t>RS413PK10029237</t>
  </si>
  <si>
    <t>BEG-857</t>
  </si>
  <si>
    <t>SWIFT DLX 1.3L M/T</t>
  </si>
  <si>
    <t>OLUKHI300080903</t>
  </si>
  <si>
    <t>5781/11/2021</t>
  </si>
  <si>
    <t>9976AP1233530007</t>
  </si>
  <si>
    <t>ABDUL GHAFFAR</t>
  </si>
  <si>
    <t>42101-7863155-1</t>
  </si>
  <si>
    <t>03331202007</t>
  </si>
  <si>
    <t xml:space="preserve">FLAT A1 101 COUNTRY APPARTMENT GU LZAR-E- HIJRI SCHEEM 33 KHI KARACHI PK </t>
  </si>
  <si>
    <t>78992/00027/12/2023</t>
  </si>
  <si>
    <t>Q350090</t>
  </si>
  <si>
    <t>7049262</t>
  </si>
  <si>
    <t>BVC-323</t>
  </si>
  <si>
    <t>OLUKHI300098660</t>
  </si>
  <si>
    <t>DIB0035521</t>
  </si>
  <si>
    <t>19-DEC-2023</t>
  </si>
  <si>
    <t>9976AP1233550019</t>
  </si>
  <si>
    <t>MUHAMMAD SAFDAR BALOCH</t>
  </si>
  <si>
    <t>42201-8552311-1</t>
  </si>
  <si>
    <t>03218270696</t>
  </si>
  <si>
    <t xml:space="preserve">PLOT # R-293,294 1st FLOOR BLOCK-15 F.B. AREA NEAR AQSA MASJID KARACHI PK </t>
  </si>
  <si>
    <t>78992/00031/12/2023</t>
  </si>
  <si>
    <t>Z2386730</t>
  </si>
  <si>
    <t>4060243</t>
  </si>
  <si>
    <t>BEW-764</t>
  </si>
  <si>
    <t>OLUKHI300098639</t>
  </si>
  <si>
    <t>DIB0035528</t>
  </si>
  <si>
    <t>9976AP2213360021</t>
  </si>
  <si>
    <t>SHEHZADA KHURRAM QURESHI</t>
  </si>
  <si>
    <t>35202-5882781-1</t>
  </si>
  <si>
    <t>03219426500</t>
  </si>
  <si>
    <t xml:space="preserve">SHOP NO 11 SARDAR HOTEL BUILDING 20 7 CIRCULAR ROAD NEAR SUMMIT BANK LAHORE </t>
  </si>
  <si>
    <t>56607/00223/11/2021</t>
  </si>
  <si>
    <t>152180</t>
  </si>
  <si>
    <t>10052159</t>
  </si>
  <si>
    <t>LEC-18-9786</t>
  </si>
  <si>
    <t>02-DEC-2021</t>
  </si>
  <si>
    <t>OLULHR300081150</t>
  </si>
  <si>
    <t>5817/11/2021</t>
  </si>
  <si>
    <t>997APD2203350027</t>
  </si>
  <si>
    <t>MUHAMMAD FAIZAN ALI</t>
  </si>
  <si>
    <t>42101-1930240-3</t>
  </si>
  <si>
    <t>03426321676</t>
  </si>
  <si>
    <t xml:space="preserve">PLOT 419, AL-REHMAN PAKWAN CENTRE QASIMABAD, LIAQUATABAD, KARACHI </t>
  </si>
  <si>
    <t>DIB/T/BT/29805/KHI/1120</t>
  </si>
  <si>
    <t>1528413</t>
  </si>
  <si>
    <t>2133790</t>
  </si>
  <si>
    <t>BQV-625</t>
  </si>
  <si>
    <t>VITZ</t>
  </si>
  <si>
    <t>POUKHI300062552</t>
  </si>
  <si>
    <t>TDIDIB0028822</t>
  </si>
  <si>
    <t>9976AP2233550005</t>
  </si>
  <si>
    <t>FAATEH SHAHAB</t>
  </si>
  <si>
    <t>45504-9973281-5</t>
  </si>
  <si>
    <t>03337121911</t>
  </si>
  <si>
    <t xml:space="preserve">B-93 BLOCK 14 GULSTAN E JOHAR KARAC HI KARACHI PK </t>
  </si>
  <si>
    <t>78992/00029/12/2023</t>
  </si>
  <si>
    <t>082587</t>
  </si>
  <si>
    <t>704296</t>
  </si>
  <si>
    <t>BSX-154</t>
  </si>
  <si>
    <t>OLUKHI300098668</t>
  </si>
  <si>
    <t>DIB0035526</t>
  </si>
  <si>
    <t>9976AP1213340053</t>
  </si>
  <si>
    <t>HAQ NAWAZ</t>
  </si>
  <si>
    <t>61101-0269270-9</t>
  </si>
  <si>
    <t>03005328620</t>
  </si>
  <si>
    <t xml:space="preserve">HOUSE # 53, STREET# 2-D, PHASE 4, AIRPORT HOUSING SOCIETY, RAWALPINDI. 0300-5328620 </t>
  </si>
  <si>
    <t>56607/00192/11/2021</t>
  </si>
  <si>
    <t>197563</t>
  </si>
  <si>
    <t>701248</t>
  </si>
  <si>
    <t>ARV-282</t>
  </si>
  <si>
    <t>OLUISD300080824</t>
  </si>
  <si>
    <t>5779/11/2021</t>
  </si>
  <si>
    <t>9976AP1233540014</t>
  </si>
  <si>
    <t>SYED NOMAN JAFAR ABIDI</t>
  </si>
  <si>
    <t>42201-0717314-5</t>
  </si>
  <si>
    <t>03333343391</t>
  </si>
  <si>
    <t>34983462</t>
  </si>
  <si>
    <t xml:space="preserve">SUIT NO A-4 1ST FLOOR OSIF CENTRE BLOCK 13-A, GULSHAN-E-IQBAL KARACHI </t>
  </si>
  <si>
    <t>78992/00028/12/2023</t>
  </si>
  <si>
    <t>Q059811</t>
  </si>
  <si>
    <t>6037300</t>
  </si>
  <si>
    <t>BQU-356</t>
  </si>
  <si>
    <t>OLUKHI300098649</t>
  </si>
  <si>
    <t>DIB0035522</t>
  </si>
  <si>
    <t>9976AP2203350028</t>
  </si>
  <si>
    <t>MUHAMMAD ABDULLAH TAHIR</t>
  </si>
  <si>
    <t>42301-4069179-7</t>
  </si>
  <si>
    <t>03212388201</t>
  </si>
  <si>
    <t xml:space="preserve">HOUSE NO 69, MAIN KHY-E-SHABAZ PHASE 6 DHA KARACHI. </t>
  </si>
  <si>
    <t>53157/00118/11/2020</t>
  </si>
  <si>
    <t>Z423815</t>
  </si>
  <si>
    <t>4071157</t>
  </si>
  <si>
    <t>BFT-345</t>
  </si>
  <si>
    <t>POUKHI300062829</t>
  </si>
  <si>
    <t>DIB0029108</t>
  </si>
  <si>
    <t>9976AP1213350014</t>
  </si>
  <si>
    <t>ZULQARNAIN</t>
  </si>
  <si>
    <t>42501-2732506-5</t>
  </si>
  <si>
    <t>03452507687</t>
  </si>
  <si>
    <t xml:space="preserve">HOUSE S-21836-B SAUDABAD MALIR NEA R EID GAH GROUND KARACHI PK </t>
  </si>
  <si>
    <t>56607/00227/12/2021</t>
  </si>
  <si>
    <t>6R164503</t>
  </si>
  <si>
    <t>H1064532</t>
  </si>
  <si>
    <t>BTM-373</t>
  </si>
  <si>
    <t>01-DEC-2021</t>
  </si>
  <si>
    <t>OLUKHI300081146</t>
  </si>
  <si>
    <t>5822/11/2021</t>
  </si>
  <si>
    <t>9976AP2213340038</t>
  </si>
  <si>
    <t>ALI AZAM</t>
  </si>
  <si>
    <t>35202-3879252-7</t>
  </si>
  <si>
    <t>03008016612 03248016612</t>
  </si>
  <si>
    <t xml:space="preserve">HOUSE NO. 52-B, PCSIR STAF SOCIETY COLLEGE ROAD LHR </t>
  </si>
  <si>
    <t>56607/00216/11/2021</t>
  </si>
  <si>
    <t>6R133305</t>
  </si>
  <si>
    <t>1033321</t>
  </si>
  <si>
    <t>AAJ-472</t>
  </si>
  <si>
    <t>SUZUKI ALTO VXL AGS EURO</t>
  </si>
  <si>
    <t>OLULHR30081114</t>
  </si>
  <si>
    <t>5798/11/2021</t>
  </si>
  <si>
    <t>9976AP1213340039</t>
  </si>
  <si>
    <t>RUBINA PARVEEN</t>
  </si>
  <si>
    <t>43304-0338740-2</t>
  </si>
  <si>
    <t xml:space="preserve">FL NO Z-202 2ND FLOOR SARA APPT SCHEME 33 NR GULZAR HIJRI P STATION KARACHI </t>
  </si>
  <si>
    <t>56607/00179/11/2021</t>
  </si>
  <si>
    <t>13036566</t>
  </si>
  <si>
    <t>0036625</t>
  </si>
  <si>
    <t>BMT-199</t>
  </si>
  <si>
    <t>OLUKHI30080934</t>
  </si>
  <si>
    <t>5765/11/2021</t>
  </si>
  <si>
    <t>9976AP2213340018</t>
  </si>
  <si>
    <t>M NASEEM UDDIN FAROOQUI</t>
  </si>
  <si>
    <t>42101-1633810-1</t>
  </si>
  <si>
    <t>03323444300</t>
  </si>
  <si>
    <t xml:space="preserve">HOUSE # R-395 CAPITAL CO OPERATIVE STREET 42 SCHEME 33 CAPITAL COOPRAT KARACHI PK </t>
  </si>
  <si>
    <t>56607/00177/11/2021</t>
  </si>
  <si>
    <t>127963</t>
  </si>
  <si>
    <t>1028092</t>
  </si>
  <si>
    <t>OLUKHI300080733</t>
  </si>
  <si>
    <t>5753/11/2021</t>
  </si>
  <si>
    <t>9976AP1213340055</t>
  </si>
  <si>
    <t>MOHSIN ZAFAR</t>
  </si>
  <si>
    <t>35202-8789147-5</t>
  </si>
  <si>
    <t>03454336946</t>
  </si>
  <si>
    <t>35943304</t>
  </si>
  <si>
    <t xml:space="preserve">ZAFAR IQBAL BROTHERS ENGINEERING WO OPP TREET BLADE CORPORATION NEAR CNG GASOLINE PUMP PECO ROAD KOTLAKHPAT LAHORE </t>
  </si>
  <si>
    <t>56607/00196/11/2021</t>
  </si>
  <si>
    <t>17445073</t>
  </si>
  <si>
    <t>R185854</t>
  </si>
  <si>
    <t>LED-16-7026</t>
  </si>
  <si>
    <t>OLULHR300081093</t>
  </si>
  <si>
    <t>5789/11/2021</t>
  </si>
  <si>
    <t>9976AD1210880008</t>
  </si>
  <si>
    <t>ZAHID ARSHAD</t>
  </si>
  <si>
    <t>35202-0628870-9</t>
  </si>
  <si>
    <t>04237803230</t>
  </si>
  <si>
    <t>03234182417</t>
  </si>
  <si>
    <t xml:space="preserve">HOUSE NO.351, KASHMIR BLOCK, ALLAMA IQBAL TOWN, LAHORE. </t>
  </si>
  <si>
    <t>2524/02742/00122/11/2021</t>
  </si>
  <si>
    <t>172353</t>
  </si>
  <si>
    <t>707859</t>
  </si>
  <si>
    <t>PICANTO 1.0L A/T</t>
  </si>
  <si>
    <t>29-MAR-2021</t>
  </si>
  <si>
    <t>OLALHR300067174</t>
  </si>
  <si>
    <t>DIB0032581</t>
  </si>
  <si>
    <t>9976AP2213340024</t>
  </si>
  <si>
    <t>MUHAMMAD ABID HAMEED</t>
  </si>
  <si>
    <t>35202-2514063-5</t>
  </si>
  <si>
    <t>04235921722</t>
  </si>
  <si>
    <t>03214134434</t>
  </si>
  <si>
    <t xml:space="preserve">365 A STATE LIFE COOPERATIVE HOUSING SOCIETY NEAR DHA PH V LAHORE </t>
  </si>
  <si>
    <t>56607/00167/11/2021</t>
  </si>
  <si>
    <t>136448</t>
  </si>
  <si>
    <t>10036466</t>
  </si>
  <si>
    <t>LEA-19-4210</t>
  </si>
  <si>
    <t>OLULHR300080553</t>
  </si>
  <si>
    <t>5756/11/2021</t>
  </si>
  <si>
    <t>9976AP1213340052</t>
  </si>
  <si>
    <t>INAYAT ALI</t>
  </si>
  <si>
    <t>21603-5134084-5</t>
  </si>
  <si>
    <t>03088024234</t>
  </si>
  <si>
    <t>0515160332</t>
  </si>
  <si>
    <t xml:space="preserve">H # 941 AFSHAN COLONY ST # 12 RANGE ROAD NEAR BACK PUMP RAWALPINDI PK </t>
  </si>
  <si>
    <t>56607/00172/11/2021</t>
  </si>
  <si>
    <t>100800</t>
  </si>
  <si>
    <t>10000790</t>
  </si>
  <si>
    <t>AEE-750</t>
  </si>
  <si>
    <t>OLURWP300080892</t>
  </si>
  <si>
    <t>5749/11/2021</t>
  </si>
  <si>
    <t>9976AP1213350002</t>
  </si>
  <si>
    <t>ASAD ALI SHAH</t>
  </si>
  <si>
    <t>35202-5648028-7</t>
  </si>
  <si>
    <t>04238545316</t>
  </si>
  <si>
    <t>03214078500</t>
  </si>
  <si>
    <t xml:space="preserve">HOUSE NO.203-C, REVENUL HOUSING SOCIETY, GHOUSIA CHOWK, COLLEGE ROAD, LAHORE. </t>
  </si>
  <si>
    <t>2524002742/11/2021</t>
  </si>
  <si>
    <t>224127</t>
  </si>
  <si>
    <t>10124038</t>
  </si>
  <si>
    <t>OLDLHR300081130</t>
  </si>
  <si>
    <t>5797/11/2021</t>
  </si>
  <si>
    <t>9976AP1213340036</t>
  </si>
  <si>
    <t>SADIQ ALI</t>
  </si>
  <si>
    <t>Tando alla Yar</t>
  </si>
  <si>
    <t>41307-7438758-1</t>
  </si>
  <si>
    <t>03013523178</t>
  </si>
  <si>
    <t xml:space="preserve">HOUSE # 137 PATHAN COLONY TANDO ALL AH YAR TANDO ALLAHYAR PK </t>
  </si>
  <si>
    <t>56607/00174/11/2021</t>
  </si>
  <si>
    <t>159964</t>
  </si>
  <si>
    <t>10059960</t>
  </si>
  <si>
    <t>BRX-547</t>
  </si>
  <si>
    <t>OLUTNA300080660</t>
  </si>
  <si>
    <t>5776/11/2021</t>
  </si>
  <si>
    <t>9976AP2213340011</t>
  </si>
  <si>
    <t>ASHFAQ AHMED</t>
  </si>
  <si>
    <t>41201-8428368-5</t>
  </si>
  <si>
    <t>03332732515</t>
  </si>
  <si>
    <t xml:space="preserve">HOUSE NO-A332 PIA EMPOLEYES COOPERATIVE HOUSING SOCIETY GATE NO 01 BLOCK NO 09 GULISTAN-E-JOHAR KARACHI </t>
  </si>
  <si>
    <t>56607/00168/11/2021</t>
  </si>
  <si>
    <t>123872</t>
  </si>
  <si>
    <t>10023867</t>
  </si>
  <si>
    <t>BNB-535</t>
  </si>
  <si>
    <t>OLUKHI300080882</t>
  </si>
  <si>
    <t>5757/11/2021</t>
  </si>
  <si>
    <t>9976AP1213350011</t>
  </si>
  <si>
    <t>USAMA JEELANI KHAN</t>
  </si>
  <si>
    <t>42401-4860640-1</t>
  </si>
  <si>
    <t>0315-4808850</t>
  </si>
  <si>
    <t xml:space="preserve">HOUSE # 357, SECTOR 12/L ORANGI TOWN, MOHALLAH ITTEDHAD COLONY KARACHI. </t>
  </si>
  <si>
    <t>56607/00213/11/2021</t>
  </si>
  <si>
    <t>1004518</t>
  </si>
  <si>
    <t>006254</t>
  </si>
  <si>
    <t>OLDKHI300081121</t>
  </si>
  <si>
    <t>5811/11/2021</t>
  </si>
  <si>
    <t>9976AP1233540013</t>
  </si>
  <si>
    <t>TOUSEEF NASIM</t>
  </si>
  <si>
    <t>42201-1266202-7</t>
  </si>
  <si>
    <t>03219633777</t>
  </si>
  <si>
    <t xml:space="preserve">RABIA PETAL APPARTMENT FLAT# 203 BLOCK B.A MUHALLA ABUL HASSAN ASFAHANI ROAD KARACHI-0321-9633777 </t>
  </si>
  <si>
    <t>789928/00030/12/2023</t>
  </si>
  <si>
    <t>141910</t>
  </si>
  <si>
    <t>10041686</t>
  </si>
  <si>
    <t>BPZ-261</t>
  </si>
  <si>
    <t>OLUKHI300098661</t>
  </si>
  <si>
    <t>DIB0035524</t>
  </si>
  <si>
    <t>18-DEC-2023</t>
  </si>
  <si>
    <t>9976AD2212670011</t>
  </si>
  <si>
    <t>33102-6224725-5</t>
  </si>
  <si>
    <t>03467777666</t>
  </si>
  <si>
    <t>03467777666, 03467777666</t>
  </si>
  <si>
    <t>0418505412</t>
  </si>
  <si>
    <t xml:space="preserve">P-839 ST NO 6 MUGHAL PURA 2 SHEIKHU PURA ROAD FSD NEAR FLOOR MILL FAISALABAD PK </t>
  </si>
  <si>
    <t>2021-11-205-V01501OP0002895</t>
  </si>
  <si>
    <t>2A41181</t>
  </si>
  <si>
    <t>9515359</t>
  </si>
  <si>
    <t>OLAFSD300073911</t>
  </si>
  <si>
    <t>DIB0032551</t>
  </si>
  <si>
    <t>9976AP1223560002</t>
  </si>
  <si>
    <t>SADAQAT ALI</t>
  </si>
  <si>
    <t>33202-1264291-9</t>
  </si>
  <si>
    <t>00971524479297</t>
  </si>
  <si>
    <t xml:space="preserve">ARKAN SECURITY ACCOMMODATION QOUZ 1 DUBAI 500388 UNITED ARAB EMIRATES </t>
  </si>
  <si>
    <t>65483/00031/12/2022</t>
  </si>
  <si>
    <t>1012109</t>
  </si>
  <si>
    <t>00112102</t>
  </si>
  <si>
    <t>SUZUKI SWIFT GLX</t>
  </si>
  <si>
    <t>27-Dec-2029</t>
  </si>
  <si>
    <t>OLDISD300091267</t>
  </si>
  <si>
    <t>108932/12/2022</t>
  </si>
  <si>
    <t>19-DEC-2022</t>
  </si>
  <si>
    <t>997APD1193570006</t>
  </si>
  <si>
    <t>AMMAD ASIM</t>
  </si>
  <si>
    <t>42000-0445118-5</t>
  </si>
  <si>
    <t>4506193</t>
  </si>
  <si>
    <t>03333052892</t>
  </si>
  <si>
    <t>0215312559</t>
  </si>
  <si>
    <t xml:space="preserve">B 29 POPULAR VILLAS MALIR CITY OPP MALIR COURT NATIONAL HIGHWAY KARACHI 23 </t>
  </si>
  <si>
    <t>2524/01739/00005/12/2019</t>
  </si>
  <si>
    <t>R18Z12955345</t>
  </si>
  <si>
    <t>KR059122</t>
  </si>
  <si>
    <t>PODKHI300051706</t>
  </si>
  <si>
    <t>2149/12/2019/ITFM</t>
  </si>
  <si>
    <t>20-DEC-2019</t>
  </si>
  <si>
    <t>9976AP1210540002</t>
  </si>
  <si>
    <t>MUHAMMAD YOUNAS</t>
  </si>
  <si>
    <t>34104-0484245-5</t>
  </si>
  <si>
    <t>03006492338</t>
  </si>
  <si>
    <t xml:space="preserve">HOUSE NO 3 MOHALLAH RAITAN WALA NEA R SALMAN SWEET GUJRANWALA PK </t>
  </si>
  <si>
    <t>2021/02/CLFTTPCDP00237</t>
  </si>
  <si>
    <t>210748</t>
  </si>
  <si>
    <t>10110446</t>
  </si>
  <si>
    <t>27-Feb-2028</t>
  </si>
  <si>
    <t>OLDGWL300065980</t>
  </si>
  <si>
    <t>4327/02/2021/ITFM</t>
  </si>
  <si>
    <t>19-FEB-2021</t>
  </si>
  <si>
    <t>9976AP2213340012</t>
  </si>
  <si>
    <t>SHEIKH MUDASSAR UMER</t>
  </si>
  <si>
    <t>33100-3560253-5</t>
  </si>
  <si>
    <t>032178277616</t>
  </si>
  <si>
    <t>032178277616, 032178277616</t>
  </si>
  <si>
    <t xml:space="preserve">P-12 ST NO 01 MADNI GARDEN KHAYBAN COLONY NO 3 FSD FAISALABAD PK </t>
  </si>
  <si>
    <t>56607/00147/11/2021</t>
  </si>
  <si>
    <t>L13Z17518874</t>
  </si>
  <si>
    <t>NFBGM1543TR234399</t>
  </si>
  <si>
    <t>LEB-18A-5988</t>
  </si>
  <si>
    <t>CITY</t>
  </si>
  <si>
    <t>OLUFSD300080792</t>
  </si>
  <si>
    <t>5740/11/2021</t>
  </si>
  <si>
    <t>9976AP2203350040</t>
  </si>
  <si>
    <t>JUNAID AHMED</t>
  </si>
  <si>
    <t>42101-1669318-5</t>
  </si>
  <si>
    <t>03432666192</t>
  </si>
  <si>
    <t xml:space="preserve">HOUSE # LS-54/55 SECTOR # 5-C/4 NOR TH KARACHI NEAR K ELECTRIC OFFICE KARACHI PK </t>
  </si>
  <si>
    <t>53157/00134/11/2020</t>
  </si>
  <si>
    <t>Z445618</t>
  </si>
  <si>
    <t>4078941</t>
  </si>
  <si>
    <t>BFW-069</t>
  </si>
  <si>
    <t>TOYOTA COROLLA GLI M/T</t>
  </si>
  <si>
    <t>POUKHI300063057</t>
  </si>
  <si>
    <t>3727/11/2020/ITFM</t>
  </si>
  <si>
    <t>9976AP1213350017</t>
  </si>
  <si>
    <t>MUHAMMAD ZEESHAN</t>
  </si>
  <si>
    <t>42201-2679812-1</t>
  </si>
  <si>
    <t>03343905366</t>
  </si>
  <si>
    <t>0213589172</t>
  </si>
  <si>
    <t xml:space="preserve">HAJI ASSOCIATES GROUND FLOOR PLOT NO 161 MIDWAY COMMERCIAL B BAHRIA TOWN KARACHI </t>
  </si>
  <si>
    <t>56607/00222/11/2021</t>
  </si>
  <si>
    <t>PKS13049866</t>
  </si>
  <si>
    <t>RS413PK1049878</t>
  </si>
  <si>
    <t>BUZ-046</t>
  </si>
  <si>
    <t>OLUKHI300081156</t>
  </si>
  <si>
    <t>5816/11/2021</t>
  </si>
  <si>
    <t>9976AP1233600001</t>
  </si>
  <si>
    <t>MUHAMMAD TARIQ KIANI</t>
  </si>
  <si>
    <t>37405-8851036-1</t>
  </si>
  <si>
    <t>03005111545</t>
  </si>
  <si>
    <t>0514935753 201</t>
  </si>
  <si>
    <t xml:space="preserve">H NO 20 STREET NO 2 SECTOR B DHA I ISLAMABAD </t>
  </si>
  <si>
    <t>78992/00025/12/2023</t>
  </si>
  <si>
    <t>17-DEC-2024</t>
  </si>
  <si>
    <t>537023</t>
  </si>
  <si>
    <t>1011237</t>
  </si>
  <si>
    <t>CHANGAN ALSVIN 1.5L LUMIERE</t>
  </si>
  <si>
    <t>OLDISD300098659</t>
  </si>
  <si>
    <t>10644/12/2023/ITFM</t>
  </si>
  <si>
    <t>9976AP1213340045</t>
  </si>
  <si>
    <t>ABDUL HAFEEZ</t>
  </si>
  <si>
    <t>36502-1447183-1</t>
  </si>
  <si>
    <t>03007188891</t>
  </si>
  <si>
    <t xml:space="preserve">HOUSE NO 49/C SMALL INDUSTRIAL ESTA TE SAHIWAL SAHIWAL PK </t>
  </si>
  <si>
    <t>56607/00183/11/2021</t>
  </si>
  <si>
    <t>504887</t>
  </si>
  <si>
    <t>1001182</t>
  </si>
  <si>
    <t>OLUSHW300080962</t>
  </si>
  <si>
    <t>DIB0032584</t>
  </si>
  <si>
    <t>9976AD1212800006</t>
  </si>
  <si>
    <t>IRFAN SHAHZAD</t>
  </si>
  <si>
    <t>33100-3328115-9</t>
  </si>
  <si>
    <t>03143278848</t>
  </si>
  <si>
    <t>03143278848, 03143278848</t>
  </si>
  <si>
    <t xml:space="preserve">P-655-B PEOPLES COLONY NO 1 FSD NEA R REHMANIA MASJID FAISALABAD PK </t>
  </si>
  <si>
    <t>56607/00137/11/2021</t>
  </si>
  <si>
    <t>2A41388</t>
  </si>
  <si>
    <t>7025975</t>
  </si>
  <si>
    <t>07-OCT-2021</t>
  </si>
  <si>
    <t>OLAFSD300074682</t>
  </si>
  <si>
    <t>DIB0032567</t>
  </si>
  <si>
    <t>9976AP2233550006</t>
  </si>
  <si>
    <t>MUHAMMAD JARRAR MEHMOOD</t>
  </si>
  <si>
    <t>42101-7399398-5</t>
  </si>
  <si>
    <t>03333123213</t>
  </si>
  <si>
    <t xml:space="preserve">HOT N CHILLI ROLL SHOP NO E10/A, E BLOCK YOUSUF PLAZA F.B AREA KARACHI </t>
  </si>
  <si>
    <t>78992/00024/12/2023</t>
  </si>
  <si>
    <t>85091</t>
  </si>
  <si>
    <t>85033</t>
  </si>
  <si>
    <t>BPR150</t>
  </si>
  <si>
    <t>OLUKHI300098608</t>
  </si>
  <si>
    <t>DIB0035518</t>
  </si>
  <si>
    <t>9976AP2213340025</t>
  </si>
  <si>
    <t>ABDUL QADEER</t>
  </si>
  <si>
    <t>37405-7651527-1</t>
  </si>
  <si>
    <t>0321-8520885 0313-8520885</t>
  </si>
  <si>
    <t>051-5126106</t>
  </si>
  <si>
    <t xml:space="preserve">CH ABDUL HAMEED HOUSE LALA RUKH COLONY NEAR SHAHEEN PUBLIC SCHOOL CHAKRI ROAD RAWALPINDI </t>
  </si>
  <si>
    <t>56607/00195/11/2021</t>
  </si>
  <si>
    <t>4142993</t>
  </si>
  <si>
    <t>516856</t>
  </si>
  <si>
    <t>AJA-327</t>
  </si>
  <si>
    <t>OLURWP300080993</t>
  </si>
  <si>
    <t>5778/11/2021</t>
  </si>
  <si>
    <t>9976AP2203560007</t>
  </si>
  <si>
    <t>SAMI AFSAR</t>
  </si>
  <si>
    <t>42101-1711370-7</t>
  </si>
  <si>
    <t>03002727345</t>
  </si>
  <si>
    <t>02134832610</t>
  </si>
  <si>
    <t xml:space="preserve">PLOT # A-49 GROUND FLOOR BLOCK 13 D -3 GULSHAN E IQBAL KARACHI </t>
  </si>
  <si>
    <t>53326/00080/12/2020</t>
  </si>
  <si>
    <t>Q069099</t>
  </si>
  <si>
    <t>6046615</t>
  </si>
  <si>
    <t>TOYOTA COROLLA ALTIS 1.6L</t>
  </si>
  <si>
    <t>21-DEC-2020</t>
  </si>
  <si>
    <t>21-Dec-2025</t>
  </si>
  <si>
    <t>OLDKHI300064065</t>
  </si>
  <si>
    <t>3849/12/2020/ITFM</t>
  </si>
  <si>
    <t>18-DEC-2020</t>
  </si>
  <si>
    <t>9976AP2213350004</t>
  </si>
  <si>
    <t>SYEDA</t>
  </si>
  <si>
    <t>35202-2209215-4</t>
  </si>
  <si>
    <t xml:space="preserve">H NO 76 TIPU BLOCK NEW GARDEN TOWN LAHORE </t>
  </si>
  <si>
    <t>56607/00193/11/2021</t>
  </si>
  <si>
    <t>Z522372</t>
  </si>
  <si>
    <t>R-4147928</t>
  </si>
  <si>
    <t>LEE-18-1532</t>
  </si>
  <si>
    <t>OLULHR300080953</t>
  </si>
  <si>
    <t>5769/11/2021</t>
  </si>
  <si>
    <t>9976AP2203350027</t>
  </si>
  <si>
    <t>ALEEM SABA</t>
  </si>
  <si>
    <t>42301-2840128-1</t>
  </si>
  <si>
    <t>03218292935</t>
  </si>
  <si>
    <t xml:space="preserve">SABA HOUSE H NO D-62 BLOCK 07 CLIFTON KHI </t>
  </si>
  <si>
    <t>53157/00122/11/2020</t>
  </si>
  <si>
    <t>3877541</t>
  </si>
  <si>
    <t>1077484</t>
  </si>
  <si>
    <t>BF-8351</t>
  </si>
  <si>
    <t>POUKHI300062819</t>
  </si>
  <si>
    <t>DIB0029111</t>
  </si>
  <si>
    <t>9976AP1213350012</t>
  </si>
  <si>
    <t>MUHAMMAD ZAHID NAZIR</t>
  </si>
  <si>
    <t>33100-2890089-3</t>
  </si>
  <si>
    <t>041-2664288</t>
  </si>
  <si>
    <t>0300-6622015</t>
  </si>
  <si>
    <t>041-2561786</t>
  </si>
  <si>
    <t xml:space="preserve">H# 256 B-BLOCK, ALLAMA IQBAL COLONY, SAMUNDRI ROAD, SHAHAB MOTORS, FSD PAKISTAN </t>
  </si>
  <si>
    <t>56607/00220/11/2021</t>
  </si>
  <si>
    <t>Q045404</t>
  </si>
  <si>
    <t>ZRE171R-6022916</t>
  </si>
  <si>
    <t>AHF-300</t>
  </si>
  <si>
    <t>OLUFSD300081155</t>
  </si>
  <si>
    <t>5812/11/2021</t>
  </si>
  <si>
    <t>9976AP1203350040</t>
  </si>
  <si>
    <t>MUHAMMAD HAMMAD KHALID</t>
  </si>
  <si>
    <t>33100-5682555-7</t>
  </si>
  <si>
    <t>03007866136</t>
  </si>
  <si>
    <t>03007866136, 03007866136</t>
  </si>
  <si>
    <t xml:space="preserve">H NO P-7668 ST NO 04 HAJWERI PARK J HUMRA ROAD FAISALABAD PK </t>
  </si>
  <si>
    <t>2020-11-205-V01501OP0002718</t>
  </si>
  <si>
    <t>71400630</t>
  </si>
  <si>
    <t>1664GR002742</t>
  </si>
  <si>
    <t>ABV-090</t>
  </si>
  <si>
    <t>HONDA CIVIC 1.5L TURBO</t>
  </si>
  <si>
    <t>POUFSD300062911</t>
  </si>
  <si>
    <t>3712/11/2020/ITFM</t>
  </si>
  <si>
    <t>9976AP1213350013</t>
  </si>
  <si>
    <t>KAMRAN KHUSHI</t>
  </si>
  <si>
    <t>42201-3829843-3</t>
  </si>
  <si>
    <t>03007662999</t>
  </si>
  <si>
    <t xml:space="preserve">FLAT # 143 1ST FLOOR AMAN TOWER KOR ANGI CREOSSING NEAR MAIN CROSSING S KARACHI PK </t>
  </si>
  <si>
    <t>56607/00215/11/2021</t>
  </si>
  <si>
    <t>G4NALH344930</t>
  </si>
  <si>
    <t>NNAQL51AZLP101399</t>
  </si>
  <si>
    <t>BJ-1264</t>
  </si>
  <si>
    <t>KIA SPORTAGE ALPHA</t>
  </si>
  <si>
    <t>OLUKHI300081097</t>
  </si>
  <si>
    <t>5809/11/2021</t>
  </si>
  <si>
    <t>30-11-2021</t>
  </si>
  <si>
    <t>9976AP2213350003</t>
  </si>
  <si>
    <t>NABEEL AKBER</t>
  </si>
  <si>
    <t>36502-1296157-5</t>
  </si>
  <si>
    <t>03133311133</t>
  </si>
  <si>
    <t xml:space="preserve">25/3 JAIL ROAD INSIDE HASSAN MOTORS LAHORE </t>
  </si>
  <si>
    <t>56607/00203/11/2021</t>
  </si>
  <si>
    <t>2A13297</t>
  </si>
  <si>
    <t>NSP151R-9505313</t>
  </si>
  <si>
    <t>ABY-289</t>
  </si>
  <si>
    <t>OLULHR300081002</t>
  </si>
  <si>
    <t>5772/11/2021</t>
  </si>
  <si>
    <t>997AAD2202730015</t>
  </si>
  <si>
    <t>MUHAMMAD QAISAR RASHEED</t>
  </si>
  <si>
    <t>33100-3597960-1</t>
  </si>
  <si>
    <t>03009657239</t>
  </si>
  <si>
    <t>03009657239, 03009657239</t>
  </si>
  <si>
    <t>0418543587</t>
  </si>
  <si>
    <t xml:space="preserve">P-226 ST NO 4 MOHALLA DASTGIR PURA WARISPURA ROAD FAISALABAD PK </t>
  </si>
  <si>
    <t>53157/00116/11/2020</t>
  </si>
  <si>
    <t>Q069133</t>
  </si>
  <si>
    <t>6046633</t>
  </si>
  <si>
    <t>TOYOTA COROLLA ALTIS M/T</t>
  </si>
  <si>
    <t>POAFSD300057662</t>
  </si>
  <si>
    <t>DIB0029099</t>
  </si>
  <si>
    <t>9976AP1213340048</t>
  </si>
  <si>
    <t>MUHAMMAD ABU BAKAR</t>
  </si>
  <si>
    <t>35202-4411277-7</t>
  </si>
  <si>
    <t>03224573851</t>
  </si>
  <si>
    <t xml:space="preserve">H NO 146 A III JOHAR TOWN NEAR MUHA MMAD ALI CHOWK COLLEGE ROAD LAHORE PK </t>
  </si>
  <si>
    <t>56607/00186/11/2021</t>
  </si>
  <si>
    <t>13512037</t>
  </si>
  <si>
    <t>R012047</t>
  </si>
  <si>
    <t>LEB-18A-3134</t>
  </si>
  <si>
    <t>OLULHR300080912</t>
  </si>
  <si>
    <t>5777/11/2021</t>
  </si>
  <si>
    <t>9976AP1213340061</t>
  </si>
  <si>
    <t>KHAWAJA TALHA BUTT</t>
  </si>
  <si>
    <t>35202-8119527-1</t>
  </si>
  <si>
    <t>03224373649</t>
  </si>
  <si>
    <t xml:space="preserve">DREAM FONZ SHOP NO. G-F-07 IDEAL CENTER MOCHI PURA TOWNSHIP LAHORE </t>
  </si>
  <si>
    <t>56607/00197/11/2021</t>
  </si>
  <si>
    <t>2A07778</t>
  </si>
  <si>
    <t>9503309</t>
  </si>
  <si>
    <t>AFC-904</t>
  </si>
  <si>
    <t>OLULHR300081054</t>
  </si>
  <si>
    <t>5786/11/2021</t>
  </si>
  <si>
    <t>9976AP2213350002</t>
  </si>
  <si>
    <t>ARSALAN SHOUKAT</t>
  </si>
  <si>
    <t>82301-3236037-3</t>
  </si>
  <si>
    <t>03455976657</t>
  </si>
  <si>
    <t xml:space="preserve">5067-KH ANWAR STREET CHAMAN BAGH RA JH GARH LAHORE </t>
  </si>
  <si>
    <t>56607/00219/11/2021</t>
  </si>
  <si>
    <t>12906992</t>
  </si>
  <si>
    <t>R009815</t>
  </si>
  <si>
    <t>LEB-17-4888</t>
  </si>
  <si>
    <t>OLULHR300081126</t>
  </si>
  <si>
    <t>5806/11/2021</t>
  </si>
  <si>
    <t>9976AP2203570001</t>
  </si>
  <si>
    <t>ADNAN MUNIR</t>
  </si>
  <si>
    <t>42201-4879641-3</t>
  </si>
  <si>
    <t>03166836107</t>
  </si>
  <si>
    <t xml:space="preserve">HOUSE # N-373 SECTOR # 20-C SHAH LA TIF TOWN DISTRICT MALIR NEAR BANGAS KARACHI PK </t>
  </si>
  <si>
    <t>53326/00081/12/2020</t>
  </si>
  <si>
    <t>6R105510</t>
  </si>
  <si>
    <t>H-1005441</t>
  </si>
  <si>
    <t>BQN-617</t>
  </si>
  <si>
    <t>OLUKHI300064115</t>
  </si>
  <si>
    <t>DIB0029203</t>
  </si>
  <si>
    <t>9976AP1213340063</t>
  </si>
  <si>
    <t>MUHAMMAD ATIF</t>
  </si>
  <si>
    <t>16101-6750377-1</t>
  </si>
  <si>
    <t>03344899941</t>
  </si>
  <si>
    <t>0512741755</t>
  </si>
  <si>
    <t xml:space="preserve">H# 888-G ST # 30 CABINET DIVISION E -16 ROSHAN PAKISTAN SOCIETY TARNOL ISLAMABAD PK </t>
  </si>
  <si>
    <t>56607/00205/11/2021</t>
  </si>
  <si>
    <t>12938516</t>
  </si>
  <si>
    <t>041942</t>
  </si>
  <si>
    <t>AKT-658</t>
  </si>
  <si>
    <t>OLUISD300081134</t>
  </si>
  <si>
    <t>5796/11/2021</t>
  </si>
  <si>
    <t>9976AP1213340035</t>
  </si>
  <si>
    <t>ABDUL QAYYUM</t>
  </si>
  <si>
    <t>42501-3287281-7</t>
  </si>
  <si>
    <t>03313621204</t>
  </si>
  <si>
    <t xml:space="preserve">13/6 EASTERN PRIDE BLOCK 15 GULISTA N-E- JOUHAR DAR US SEHAT HOSPITAL KARACHI PK </t>
  </si>
  <si>
    <t>56607/0018/0/11/2021</t>
  </si>
  <si>
    <t>16917693</t>
  </si>
  <si>
    <t>069884</t>
  </si>
  <si>
    <t>BTM-272</t>
  </si>
  <si>
    <t>OLUKHI300080829</t>
  </si>
  <si>
    <t>5766/11/2021</t>
  </si>
  <si>
    <t>9976AP2213560006</t>
  </si>
  <si>
    <t>EHSAN ULLAH</t>
  </si>
  <si>
    <t>37405-1221962-3</t>
  </si>
  <si>
    <t>03049009198</t>
  </si>
  <si>
    <t xml:space="preserve">H # 537-A/2 ALLAHABAD (CURRENT GULI STAN PACKER)ST # 2 WESTRIDGE III IJ RAWALPINDI PK </t>
  </si>
  <si>
    <t>57132/00122/12/2021</t>
  </si>
  <si>
    <t>Q085965</t>
  </si>
  <si>
    <t>R-6063443</t>
  </si>
  <si>
    <t>TOYOTA COROLLA ALTIS 1.6</t>
  </si>
  <si>
    <t>OLDRWP300082143</t>
  </si>
  <si>
    <t>5886/12/2021</t>
  </si>
  <si>
    <t>17-DEC-2021</t>
  </si>
  <si>
    <t>997AAD2202540008</t>
  </si>
  <si>
    <t>53157/00123/11/2020</t>
  </si>
  <si>
    <t>2TRA787822</t>
  </si>
  <si>
    <t>TGN166R-0892610</t>
  </si>
  <si>
    <t>POALHR300057198</t>
  </si>
  <si>
    <t>3715/11/2020/ITFM</t>
  </si>
  <si>
    <t>997APD2203350026</t>
  </si>
  <si>
    <t>MUSAMMIR ARIF SIDDIQUI</t>
  </si>
  <si>
    <t>42301-2201570-0</t>
  </si>
  <si>
    <t>02134545715</t>
  </si>
  <si>
    <t>03212691976, 03212691976</t>
  </si>
  <si>
    <t xml:space="preserve">PLOT # 5/1-C BLOCK 6 PECHS NEAR AL MURTAZA PARK KARACHI </t>
  </si>
  <si>
    <t>DIB/T/BT/29803/KHI/1120</t>
  </si>
  <si>
    <t>7892146</t>
  </si>
  <si>
    <t>9401920</t>
  </si>
  <si>
    <t>BF-7031</t>
  </si>
  <si>
    <t>POUKHI300062826</t>
  </si>
  <si>
    <t>TDIDIB0028821</t>
  </si>
  <si>
    <t>997AAD1202390004</t>
  </si>
  <si>
    <t>MUHAMMAD WAQAR</t>
  </si>
  <si>
    <t>61101-9048983-1</t>
  </si>
  <si>
    <t>03348672205 03335001615</t>
  </si>
  <si>
    <t>0323-5001615</t>
  </si>
  <si>
    <t xml:space="preserve">HOUSE NO 1715-E STREET NO75-B SECTOR I-10/1 ISLAMABAD </t>
  </si>
  <si>
    <t>DIB/T/BT/29936/ISB/1220</t>
  </si>
  <si>
    <t>Q346736</t>
  </si>
  <si>
    <t>7045913</t>
  </si>
  <si>
    <t>POAQISD300056655</t>
  </si>
  <si>
    <t>3847/12/2020/ITFM</t>
  </si>
  <si>
    <t>9976AP1203350044</t>
  </si>
  <si>
    <t>JAMIL KHAN</t>
  </si>
  <si>
    <t>17201-2151924-9</t>
  </si>
  <si>
    <t>03215956436</t>
  </si>
  <si>
    <t xml:space="preserve">PLOT NO 66 MAIN KHAYABAN E SHAHBAZ PHASE VI DHA KARACHI </t>
  </si>
  <si>
    <t>DIB/T/29813/KHI/1120</t>
  </si>
  <si>
    <t>332000</t>
  </si>
  <si>
    <t>506459</t>
  </si>
  <si>
    <t>PODKHI300062861</t>
  </si>
  <si>
    <t>9976AD1211950019</t>
  </si>
  <si>
    <t>AWAIS SAEED</t>
  </si>
  <si>
    <t>33102-1810469-5</t>
  </si>
  <si>
    <t>03211666614</t>
  </si>
  <si>
    <t xml:space="preserve">HOUSE P 10 ST 2 SHADMAN COLONY KHAWAJA ISLAM ROAD FAISALABAD 03211666614 </t>
  </si>
  <si>
    <t>2021-11-CLFTTPCD01266</t>
  </si>
  <si>
    <t>5094161</t>
  </si>
  <si>
    <t>R-1097478</t>
  </si>
  <si>
    <t>14-JUL-2021</t>
  </si>
  <si>
    <t>OLAFSD300070573</t>
  </si>
  <si>
    <t>5706/11/2021</t>
  </si>
  <si>
    <t>997AAD1202440017</t>
  </si>
  <si>
    <t>HANAN AHMED</t>
  </si>
  <si>
    <t>35202-2510134-3</t>
  </si>
  <si>
    <t>03224320712</t>
  </si>
  <si>
    <t>0514420510</t>
  </si>
  <si>
    <t xml:space="preserve">AZEEM BOOKS AND STATIONERIES 6TH ROAD AL MUSTAFA PLAZA RAWALPINDI </t>
  </si>
  <si>
    <t>DIB/T/BT/29935/ISB/1220</t>
  </si>
  <si>
    <t>Q346777</t>
  </si>
  <si>
    <t>7045920</t>
  </si>
  <si>
    <t>TOYOTA ALTIS GRANDE CVT</t>
  </si>
  <si>
    <t>POARWP300056860</t>
  </si>
  <si>
    <t>3845/12/2020/ITFM</t>
  </si>
  <si>
    <t>9976AP1203530001</t>
  </si>
  <si>
    <t>42201-9863284-5</t>
  </si>
  <si>
    <t>0321-2300508 0300-3514894</t>
  </si>
  <si>
    <t>35217755</t>
  </si>
  <si>
    <t xml:space="preserve">H # 136 E MARKET BLK # 06 PECHS NEAR RAILWAY SUBWAY KARACHI </t>
  </si>
  <si>
    <t>53326/00074/12/2020</t>
  </si>
  <si>
    <t>2A11392</t>
  </si>
  <si>
    <t>9504639</t>
  </si>
  <si>
    <t>OLDKHI300064016</t>
  </si>
  <si>
    <t>3832/12/2020/ITFM</t>
  </si>
  <si>
    <t>17-DEC-2020</t>
  </si>
  <si>
    <t>9976AP2203530002</t>
  </si>
  <si>
    <t>YAWER ABBAS</t>
  </si>
  <si>
    <t>42000-4694178-1</t>
  </si>
  <si>
    <t>02135865267</t>
  </si>
  <si>
    <t>03212040253</t>
  </si>
  <si>
    <t xml:space="preserve">HOUSE # 13/2 KHAYABAN E SHAMSHEER P H-5 DHA EXT.OPP.IDELA BAKERY KARACHI </t>
  </si>
  <si>
    <t>53326/00071/12/2020</t>
  </si>
  <si>
    <t>Z570514</t>
  </si>
  <si>
    <t>NZE170R-421217</t>
  </si>
  <si>
    <t>BRM-518</t>
  </si>
  <si>
    <t>POUKHI300063952</t>
  </si>
  <si>
    <t>DIB0029194</t>
  </si>
  <si>
    <t>9976AP2213340023</t>
  </si>
  <si>
    <t>NAVEED AHMED</t>
  </si>
  <si>
    <t>33102-7986742-5</t>
  </si>
  <si>
    <t>03007258861</t>
  </si>
  <si>
    <t xml:space="preserve">HOUSE # P-307, ST. 07 JUDGE WALA ROAD, NADAR TOWN NEAR MASHALLAH MARBLE PO BOX 38000, FAISALABAD, PAKISTAN </t>
  </si>
  <si>
    <t>DIB/T/34679/LHR/1121</t>
  </si>
  <si>
    <t>1016669</t>
  </si>
  <si>
    <t>01133185</t>
  </si>
  <si>
    <t>COLAN VX EURO-II</t>
  </si>
  <si>
    <t>OLDFSD300080932</t>
  </si>
  <si>
    <t>5763/11/2021</t>
  </si>
  <si>
    <t>9976AP1213540005</t>
  </si>
  <si>
    <t>MUHAMMAD SHEHRIYAR</t>
  </si>
  <si>
    <t>42401-8779321-3</t>
  </si>
  <si>
    <t>03128948720</t>
  </si>
  <si>
    <t xml:space="preserve">H.NO L- 145 MOHALLA LYARI EXPRESS W AY TAISER TOWN A- 36 KHI SURJANI TO KARACHI PK </t>
  </si>
  <si>
    <t>57132/00125/12/2021</t>
  </si>
  <si>
    <t>PK10K103841</t>
  </si>
  <si>
    <t>NH1AVK31H10003881</t>
  </si>
  <si>
    <t>BJT-122</t>
  </si>
  <si>
    <t>OLUKHI300082125</t>
  </si>
  <si>
    <t>DIB0032783</t>
  </si>
  <si>
    <t>9976AP2213570014</t>
  </si>
  <si>
    <t>SYED HUSSAIN BARI</t>
  </si>
  <si>
    <t>35201-7048031-5</t>
  </si>
  <si>
    <t>03244500500</t>
  </si>
  <si>
    <t>04235172273</t>
  </si>
  <si>
    <t xml:space="preserve">H NO 34 ST NO 53 MOH DARBAR HAZRAT MAIN MEER MUSTAFABAD LAHORE </t>
  </si>
  <si>
    <t>57132/00129/12/2021</t>
  </si>
  <si>
    <t>PK10K121625</t>
  </si>
  <si>
    <t>NF1AVK31H10021600</t>
  </si>
  <si>
    <t>LED-18-8683</t>
  </si>
  <si>
    <t>OLULHR300082165</t>
  </si>
  <si>
    <t>DIB0032789</t>
  </si>
  <si>
    <t>9976AP2213550014</t>
  </si>
  <si>
    <t>HAFIZ AFZAL</t>
  </si>
  <si>
    <t>35201-3171479-1</t>
  </si>
  <si>
    <t>03054594109</t>
  </si>
  <si>
    <t xml:space="preserve">ONE PKLI AVENUE OPP DHA PHASE 6 LAHORE </t>
  </si>
  <si>
    <t>57132/00126/12/2021</t>
  </si>
  <si>
    <t>PK10B135876</t>
  </si>
  <si>
    <t>A1J310PK10035913</t>
  </si>
  <si>
    <t>LFH-17-8721</t>
  </si>
  <si>
    <t>21-Dec-2027</t>
  </si>
  <si>
    <t>OLULHR300082131</t>
  </si>
  <si>
    <t>DIB0032785</t>
  </si>
  <si>
    <t>9976AP1213510027</t>
  </si>
  <si>
    <t>GHAZALA FAROOQ</t>
  </si>
  <si>
    <t>34501-8071036-2</t>
  </si>
  <si>
    <t>03324517390</t>
  </si>
  <si>
    <t xml:space="preserve">H # 119/1 SABIR HOUSE ST # 3 GULSH AN E SAEED CHAKRI ROAD NEAR ZAFAR RAWALPINDI PK </t>
  </si>
  <si>
    <t>57132/00117/12/2021</t>
  </si>
  <si>
    <t>603649</t>
  </si>
  <si>
    <t>510670</t>
  </si>
  <si>
    <t>DU-559</t>
  </si>
  <si>
    <t>OLURWP300082128</t>
  </si>
  <si>
    <t>5882/12/2021</t>
  </si>
  <si>
    <t>16-DEC-2021</t>
  </si>
  <si>
    <t>9976AP1183580014</t>
  </si>
  <si>
    <t>IKRAM UD DIN SHAHZAD</t>
  </si>
  <si>
    <t>35302-6838846-1</t>
  </si>
  <si>
    <t>03347342220</t>
  </si>
  <si>
    <t>03347902220</t>
  </si>
  <si>
    <t>0404220772</t>
  </si>
  <si>
    <t xml:space="preserve">ST AL FAROOQ POLY CLINIC OLD CIVIL LINE SAHIWAL </t>
  </si>
  <si>
    <t>50159/00020/12/2018</t>
  </si>
  <si>
    <t>135325</t>
  </si>
  <si>
    <t>10035310</t>
  </si>
  <si>
    <t>LE-19-535</t>
  </si>
  <si>
    <t>21-DEC-2018</t>
  </si>
  <si>
    <t>PODOKR300041231</t>
  </si>
  <si>
    <t>16941/12/20187</t>
  </si>
  <si>
    <t>17-DEC-2018</t>
  </si>
  <si>
    <t>9976AP2213540006</t>
  </si>
  <si>
    <t>MUHAMMAD HAROON MAQSOOD</t>
  </si>
  <si>
    <t>33100-7607851-9</t>
  </si>
  <si>
    <t>03046021311</t>
  </si>
  <si>
    <t>03046021311, 03046021311</t>
  </si>
  <si>
    <t xml:space="preserve">H NO 337 ST NO 7 GATWALA FSD NEAR M UNDRA WALA DARBAR FAISALABAD PK </t>
  </si>
  <si>
    <t>57132/00119/12/2021</t>
  </si>
  <si>
    <t>150196</t>
  </si>
  <si>
    <t>10050173</t>
  </si>
  <si>
    <t>LEA-18-7581</t>
  </si>
  <si>
    <t>OLUFSD300082114</t>
  </si>
  <si>
    <t>5883/12/2021</t>
  </si>
  <si>
    <t>9976AD1221050006</t>
  </si>
  <si>
    <t>TOOBA FAROOQI</t>
  </si>
  <si>
    <t>42101-1984615-8</t>
  </si>
  <si>
    <t>03442040090</t>
  </si>
  <si>
    <t xml:space="preserve">B-37 BLOCK D NORTH NAZIMABAD KARACHI PK </t>
  </si>
  <si>
    <t>65483/00030/12/2022</t>
  </si>
  <si>
    <t>257662</t>
  </si>
  <si>
    <t>1157504</t>
  </si>
  <si>
    <t>OLAKHI300086564</t>
  </si>
  <si>
    <t>DIB0034842</t>
  </si>
  <si>
    <t>9976AD1221740016</t>
  </si>
  <si>
    <t>MUHAMMAD UZAIR</t>
  </si>
  <si>
    <t>35202-5744275-7</t>
  </si>
  <si>
    <t>03364248817</t>
  </si>
  <si>
    <t xml:space="preserve">HOUSE NO 128 A TIPU BLOCK NEW GARDE N TOWN LAHORE PK </t>
  </si>
  <si>
    <t>65483/00018/12/2022</t>
  </si>
  <si>
    <t>262843</t>
  </si>
  <si>
    <t>1162799</t>
  </si>
  <si>
    <t>21-DEC-2022</t>
  </si>
  <si>
    <t>OLALHR300088223</t>
  </si>
  <si>
    <t>9649/12/2022/ITFM</t>
  </si>
  <si>
    <t>9976AP2223530018</t>
  </si>
  <si>
    <t>SYED MAAZ ALI QADRI</t>
  </si>
  <si>
    <t>42201-1883300-5</t>
  </si>
  <si>
    <t>34528982</t>
  </si>
  <si>
    <t>03336060334</t>
  </si>
  <si>
    <t>36682779</t>
  </si>
  <si>
    <t xml:space="preserve">HOUSE NO 161-D BLOCK 3 P.E.C.H.S KARACHI </t>
  </si>
  <si>
    <t>65483/00028/12/2022</t>
  </si>
  <si>
    <t>12917353</t>
  </si>
  <si>
    <t>R020528</t>
  </si>
  <si>
    <t>BJW-506</t>
  </si>
  <si>
    <t>OLUKHI300091241</t>
  </si>
  <si>
    <t>9660/12/2022/ITFM</t>
  </si>
  <si>
    <t>9976AP2213540010</t>
  </si>
  <si>
    <t>IMRAN YAQOOB RAJA</t>
  </si>
  <si>
    <t>61101-1879757-3</t>
  </si>
  <si>
    <t>92-4442097</t>
  </si>
  <si>
    <t>0321-5175844</t>
  </si>
  <si>
    <t>051-2855986-8</t>
  </si>
  <si>
    <t xml:space="preserve">REAL SOLUTIONS PRIVATE LIMITED MEDIA FOUNDATION BUILDING LOWER GROUND G-8 MARKAZ ISB </t>
  </si>
  <si>
    <t>57132/00116/12/2021</t>
  </si>
  <si>
    <t>F082063</t>
  </si>
  <si>
    <t>16929482</t>
  </si>
  <si>
    <t>HONDA CIVIC VTI ORIEAL P/T</t>
  </si>
  <si>
    <t>OLDISD300082046</t>
  </si>
  <si>
    <t>5881/12/2021</t>
  </si>
  <si>
    <t>9976AP2213510007</t>
  </si>
  <si>
    <t>MUHAMMAD AAQIB ARAIN</t>
  </si>
  <si>
    <t>42301-6378698-9</t>
  </si>
  <si>
    <t>03362364748</t>
  </si>
  <si>
    <t xml:space="preserve">VILLA NO 250 STREET 3 PRECIENT 10-A BAHRIA TOWN KARACHI PK </t>
  </si>
  <si>
    <t>57132/0115/12/2021</t>
  </si>
  <si>
    <t>71401777</t>
  </si>
  <si>
    <t>R005798</t>
  </si>
  <si>
    <t>OLUKHI300082119</t>
  </si>
  <si>
    <t>DIB0032776</t>
  </si>
  <si>
    <t>9976AP1213540001</t>
  </si>
  <si>
    <t>SYED MOIZ UDDIN</t>
  </si>
  <si>
    <t>42101-8742216-7</t>
  </si>
  <si>
    <t>03373191494</t>
  </si>
  <si>
    <t xml:space="preserve">B-195 BLOCK A NORTH NAZIMABAD KARACHI PK </t>
  </si>
  <si>
    <t>57132/00118/12/2021</t>
  </si>
  <si>
    <t>R18Z12916745</t>
  </si>
  <si>
    <t>NFBFC6668HR020112</t>
  </si>
  <si>
    <t>BJZ-415</t>
  </si>
  <si>
    <t>HONDA CIVIC 1.8 L ORIEL</t>
  </si>
  <si>
    <t>OLUKHI300082123</t>
  </si>
  <si>
    <t>DIB0032778</t>
  </si>
  <si>
    <t>997AAD2203250009</t>
  </si>
  <si>
    <t>MUHAMMAD FAISAL RAFIQ</t>
  </si>
  <si>
    <t>42101-6696969-5</t>
  </si>
  <si>
    <t>03227059297</t>
  </si>
  <si>
    <t>03227059297, 03227059297</t>
  </si>
  <si>
    <t xml:space="preserve">HOUSE # R-314 SECTOR 15-A/2 BUFFERZ ONE NORTH KARACHI NEAR TAHA GROUND KARACHI PK </t>
  </si>
  <si>
    <t>DIB/T/BT/29928/KHI/1220</t>
  </si>
  <si>
    <t>17542493</t>
  </si>
  <si>
    <t>265885</t>
  </si>
  <si>
    <t>POAKHI300061531</t>
  </si>
  <si>
    <t>3768/12/2020/ITFM</t>
  </si>
  <si>
    <t>05-DEC-2020</t>
  </si>
  <si>
    <t>9976AP1213560008</t>
  </si>
  <si>
    <t>HUMA ALI</t>
  </si>
  <si>
    <t>34101-6131280-2</t>
  </si>
  <si>
    <t>03215611296/0553050488</t>
  </si>
  <si>
    <t>03017173030</t>
  </si>
  <si>
    <t xml:space="preserve">HOUSE NO 9-D SATELLIATE TOWN GUJRANWALA </t>
  </si>
  <si>
    <t>57132/00113/12/2021</t>
  </si>
  <si>
    <t>2A42676</t>
  </si>
  <si>
    <t>9515870</t>
  </si>
  <si>
    <t>TOYOTA COROLLA ATIV X CVT</t>
  </si>
  <si>
    <t>OLDGWL300082059</t>
  </si>
  <si>
    <t>DIB0032775</t>
  </si>
  <si>
    <t>9976AP1213550012</t>
  </si>
  <si>
    <t>ZAUREZ LODHI</t>
  </si>
  <si>
    <t>35202-0721664-1</t>
  </si>
  <si>
    <t>03244133319</t>
  </si>
  <si>
    <t xml:space="preserve">H NO 120/F MODEL TOWN LAHORE </t>
  </si>
  <si>
    <t>57132/00109/12/2021</t>
  </si>
  <si>
    <t>6R124260</t>
  </si>
  <si>
    <t>1024213</t>
  </si>
  <si>
    <t>AAG-617</t>
  </si>
  <si>
    <t>OLULHR300082008</t>
  </si>
  <si>
    <t>DIB0032768</t>
  </si>
  <si>
    <t>9976AP1213540003</t>
  </si>
  <si>
    <t>MUHAMMAD SHEHROZ</t>
  </si>
  <si>
    <t>42201-8670538-5</t>
  </si>
  <si>
    <t>03360848233</t>
  </si>
  <si>
    <t xml:space="preserve">H 50-C SHEET 20 MODEL COLONY KARACHI PK </t>
  </si>
  <si>
    <t>57132/00107/12/2021</t>
  </si>
  <si>
    <t>L13Z17454117</t>
  </si>
  <si>
    <t>R196321</t>
  </si>
  <si>
    <t>BHG-062</t>
  </si>
  <si>
    <t>HONDA CITY M/T</t>
  </si>
  <si>
    <t>OLUKHI300082052</t>
  </si>
  <si>
    <t>DIB0032770</t>
  </si>
  <si>
    <t>997APD2193500002</t>
  </si>
  <si>
    <t>AHSAN HUSSAIN</t>
  </si>
  <si>
    <t>34101-2323655-9</t>
  </si>
  <si>
    <t>03345357201</t>
  </si>
  <si>
    <t>0515176390</t>
  </si>
  <si>
    <t xml:space="preserve">H # 177 ST # 6 SECTOR # F-1 PHASE # 8 BAHRIA TOWN RAWALPINDI PK </t>
  </si>
  <si>
    <t>2019-12-205-V01501DP0003431</t>
  </si>
  <si>
    <t>7536231</t>
  </si>
  <si>
    <t>KR257067</t>
  </si>
  <si>
    <t>APY-981</t>
  </si>
  <si>
    <t>21-DEC-2019</t>
  </si>
  <si>
    <t>PODRWP300051561</t>
  </si>
  <si>
    <t>DIB0028045</t>
  </si>
  <si>
    <t>16-DEC-2019</t>
  </si>
  <si>
    <t>9976AD1212450063</t>
  </si>
  <si>
    <t>MAHAR MUHAMMAD AHSAN</t>
  </si>
  <si>
    <t>31201-5660880-5</t>
  </si>
  <si>
    <t>03202007755</t>
  </si>
  <si>
    <t>03202007755, 03202007755</t>
  </si>
  <si>
    <t xml:space="preserve">ST NO 10 FAISAL ESTATE ALI TOWN SAR GODHA ROAD MAIN BAWACHAK FAISALABAD PK </t>
  </si>
  <si>
    <t>2021-12-205-V01501DP003108</t>
  </si>
  <si>
    <t>PK10B225446</t>
  </si>
  <si>
    <t>A1J310PK10125452</t>
  </si>
  <si>
    <t>OLAFSD300072921</t>
  </si>
  <si>
    <t>DIB0032763</t>
  </si>
  <si>
    <t>9976AP1213540004</t>
  </si>
  <si>
    <t>FARAH NAZ</t>
  </si>
  <si>
    <t>42401-3805204-2</t>
  </si>
  <si>
    <t>03453246181</t>
  </si>
  <si>
    <t>03453246181, 03453246181</t>
  </si>
  <si>
    <t xml:space="preserve">HOUSE # L/487 1ST FLOOR SEC 4/B SCH 41 SURJANI TOWN NEAR NOOR-E-MUSTAF KARACHI PK </t>
  </si>
  <si>
    <t>57132/00110/12/2021</t>
  </si>
  <si>
    <t>PK10B169103</t>
  </si>
  <si>
    <t>AIJ310PK10069103</t>
  </si>
  <si>
    <t>BPD-524</t>
  </si>
  <si>
    <t>SUZUKI WAGNOR VXR</t>
  </si>
  <si>
    <t>OLUKHI300082053</t>
  </si>
  <si>
    <t>DIB0032774</t>
  </si>
  <si>
    <t>9976AP2213570008</t>
  </si>
  <si>
    <t>ASLAM</t>
  </si>
  <si>
    <t>41306-8098417-1</t>
  </si>
  <si>
    <t>03443801171</t>
  </si>
  <si>
    <t xml:space="preserve">MUHALLAH NEAR KHAN CHANG P.O QASIMA BAD MIRZAPUR TEHSIL QASIMABAD DISTT HYDERABAD PK </t>
  </si>
  <si>
    <t>57132/00130/12/2021</t>
  </si>
  <si>
    <t>6R140195</t>
  </si>
  <si>
    <t>NF1AET306H1040194</t>
  </si>
  <si>
    <t>BSL-056</t>
  </si>
  <si>
    <t>OLUHHY300081929</t>
  </si>
  <si>
    <t>5912/12/2021</t>
  </si>
  <si>
    <t>9976AP1213540002</t>
  </si>
  <si>
    <t>SHEHMEER ALI KHAN-ASAAN ACCOUNT</t>
  </si>
  <si>
    <t>41304-0519608-3</t>
  </si>
  <si>
    <t>03400200009</t>
  </si>
  <si>
    <t xml:space="preserve">HOUSE NO 137 BLOCK D UNIT NO 07 LATIFABAD HYDERABAD PAKISTAN </t>
  </si>
  <si>
    <t>57132/00120/12/2021</t>
  </si>
  <si>
    <t>137417</t>
  </si>
  <si>
    <t>1037786</t>
  </si>
  <si>
    <t>BRZ-288</t>
  </si>
  <si>
    <t>OLUHYD300082069</t>
  </si>
  <si>
    <t>5891/12/2021</t>
  </si>
  <si>
    <t>18-DEC-2021</t>
  </si>
  <si>
    <t>9976AP1233530011</t>
  </si>
  <si>
    <t>WAHEED</t>
  </si>
  <si>
    <t>42301-3961469-7</t>
  </si>
  <si>
    <t>03222741646</t>
  </si>
  <si>
    <t xml:space="preserve">FLAT # 01 BLOCK Q MUHALLA KALA KORT POLICE LINE LIYARI OPP NABEEL GABO KARACHI PK </t>
  </si>
  <si>
    <t>78992/00022/12/2023</t>
  </si>
  <si>
    <t>14-DEC-2024</t>
  </si>
  <si>
    <t>287017</t>
  </si>
  <si>
    <t>1186679</t>
  </si>
  <si>
    <t>OLDKHI300098598</t>
  </si>
  <si>
    <t>DIB0035517</t>
  </si>
  <si>
    <t>9976AP1233530009</t>
  </si>
  <si>
    <t>MOMIN ALI</t>
  </si>
  <si>
    <t>42101-2562144-3</t>
  </si>
  <si>
    <t>03213958688</t>
  </si>
  <si>
    <t>03218958688</t>
  </si>
  <si>
    <t xml:space="preserve">PLOT NO FL- 03 FLAT NO B1 - 429 4 R TH FLOOR BLOCK GHAZI COUNTRY COMFOR KARACHI PK </t>
  </si>
  <si>
    <t>78992/00018/12/2023</t>
  </si>
  <si>
    <t>079536</t>
  </si>
  <si>
    <t>6057022</t>
  </si>
  <si>
    <t>BUJ-732</t>
  </si>
  <si>
    <t>OLUKHI300098578</t>
  </si>
  <si>
    <t>10640/12/2023/ITFM</t>
  </si>
  <si>
    <t>15-DEC-2023</t>
  </si>
  <si>
    <t>9976AP1223350070</t>
  </si>
  <si>
    <t>MINHAJ AHMED SHEIKH</t>
  </si>
  <si>
    <t>42501-6919447-1</t>
  </si>
  <si>
    <t xml:space="preserve">TRADING AVENUES SUIT NO.412,4TH FLOOR,UNI CENTRE I.I CHUNDRIGAR ROAD KARACHI </t>
  </si>
  <si>
    <t>64794/00090/11/2022</t>
  </si>
  <si>
    <t>P074088</t>
  </si>
  <si>
    <t>710752</t>
  </si>
  <si>
    <t>01-DEC-2022</t>
  </si>
  <si>
    <t>OLDKHI300091069</t>
  </si>
  <si>
    <t>9512/11/2022/ITFM</t>
  </si>
  <si>
    <t>9976AP1233530008</t>
  </si>
  <si>
    <t>JAMEEL KHAN</t>
  </si>
  <si>
    <t>42501-1566031-1</t>
  </si>
  <si>
    <t>03138753876</t>
  </si>
  <si>
    <t xml:space="preserve">HOUSE # 1253,1254 SECTOR # F-1 KDA SCHEME-4 LABOUR COLONY LANDHI HUSSA KARACHI PK </t>
  </si>
  <si>
    <t>78992/00020/12/2023</t>
  </si>
  <si>
    <t>Q090056</t>
  </si>
  <si>
    <t>6067532</t>
  </si>
  <si>
    <t>BWA-176</t>
  </si>
  <si>
    <t>OLUKHI300098488</t>
  </si>
  <si>
    <t>10643/12/2023</t>
  </si>
  <si>
    <t>9976AP1233520004</t>
  </si>
  <si>
    <t>ZAMEER AHMED</t>
  </si>
  <si>
    <t>38302-1111062-9</t>
  </si>
  <si>
    <t>03002034281</t>
  </si>
  <si>
    <t xml:space="preserve">ZAMEER CARGO CARRIER PLOT NO 645 A,GOAL MARKET NEAR KHAWAJA ISMAIL HOTEL GATE NO 3 HAWKSBAY ROAD KARACHI </t>
  </si>
  <si>
    <t>78992/00019/12/2023</t>
  </si>
  <si>
    <t>229726</t>
  </si>
  <si>
    <t>10129738</t>
  </si>
  <si>
    <t>BXM-313</t>
  </si>
  <si>
    <t>OLUKHI300098539</t>
  </si>
  <si>
    <t>9976AP1233520003</t>
  </si>
  <si>
    <t>NASEEB ULLAH</t>
  </si>
  <si>
    <t>54301-6238329-5</t>
  </si>
  <si>
    <t>03002695194</t>
  </si>
  <si>
    <t>03002695194, 03002695194</t>
  </si>
  <si>
    <t xml:space="preserve">HOUSE # KS-308 BLOCK 10 QALANDARABA D GULISTAN-E-JOHAR NEAR AR HOSPITAL KARACHI PK </t>
  </si>
  <si>
    <t>78992/00023/12/2023</t>
  </si>
  <si>
    <t>Q059550</t>
  </si>
  <si>
    <t>R-6037047</t>
  </si>
  <si>
    <t>BQN-480</t>
  </si>
  <si>
    <t>OLUKHI300098589</t>
  </si>
  <si>
    <t>DIB0035516</t>
  </si>
  <si>
    <t>9976AD1233280003</t>
  </si>
  <si>
    <t>ZEESHAN ALI</t>
  </si>
  <si>
    <t>42201-8022561-3</t>
  </si>
  <si>
    <t>03342110768, 03211999006</t>
  </si>
  <si>
    <t>02134681768</t>
  </si>
  <si>
    <t xml:space="preserve">A-315 BLOCK 7 SAADI TOWN SCHEEM # 3 3 NEAR PARK KARACHI PK </t>
  </si>
  <si>
    <t>78992/00021/12/2023</t>
  </si>
  <si>
    <t>6R290586</t>
  </si>
  <si>
    <t>1190661</t>
  </si>
  <si>
    <t>OLAKHI300098131</t>
  </si>
  <si>
    <t>DIB0035510</t>
  </si>
  <si>
    <t>9976AP1213550020</t>
  </si>
  <si>
    <t>MUHAMMAD WAQAS</t>
  </si>
  <si>
    <t>34101-2634970-5</t>
  </si>
  <si>
    <t>055-4290660</t>
  </si>
  <si>
    <t>0321-6442708</t>
  </si>
  <si>
    <t xml:space="preserve">H NO 55 B-BLOCK GT ROAD G MANGOLIA PARK GUJRANWALA </t>
  </si>
  <si>
    <t>57132/00103/12/2021</t>
  </si>
  <si>
    <t>6929513</t>
  </si>
  <si>
    <t>MR082109</t>
  </si>
  <si>
    <t>HONDA CIVIC 1.8</t>
  </si>
  <si>
    <t>OLDGWL300082055</t>
  </si>
  <si>
    <t>DIB0032767</t>
  </si>
  <si>
    <t>9976AD2213340016</t>
  </si>
  <si>
    <t>OWAIS RIAZ-ASAAN ACCOUNT</t>
  </si>
  <si>
    <t>42301-7776753-7</t>
  </si>
  <si>
    <t>03222766136</t>
  </si>
  <si>
    <t xml:space="preserve">HOUSE NO 44, MUHALLAH SAIFI BULDING CHIRYA GHAR NISHTAR ROAD, KARACHI. </t>
  </si>
  <si>
    <t>57132/00105/12/2021</t>
  </si>
  <si>
    <t>L12B5-1004742</t>
  </si>
  <si>
    <t>NFBGM8520MR006790</t>
  </si>
  <si>
    <t>CITY I-VTEC 1.2L CVT</t>
  </si>
  <si>
    <t>OLAKHI300080904</t>
  </si>
  <si>
    <t>5840/12/2021</t>
  </si>
  <si>
    <t>07-DEC-2021</t>
  </si>
  <si>
    <t>997AAD1202120038</t>
  </si>
  <si>
    <t>KAMAL AHMED CHEEMA</t>
  </si>
  <si>
    <t>34201-9862989-1</t>
  </si>
  <si>
    <t>03034342302</t>
  </si>
  <si>
    <t xml:space="preserve">OFFICE NO 11 2ND FLOOR CENTER POINT PLAZA MAIN BOULEVARD GULBERG III LAHORE </t>
  </si>
  <si>
    <t>53326/00062/12/2020</t>
  </si>
  <si>
    <t>2A12501</t>
  </si>
  <si>
    <t>9505170</t>
  </si>
  <si>
    <t>TOYOTA YARIS ATIV X CVT 1.6</t>
  </si>
  <si>
    <t>POALHR300056167</t>
  </si>
  <si>
    <t>3825/12/2020/ITFM</t>
  </si>
  <si>
    <t>16-DEC-2020</t>
  </si>
  <si>
    <t>9976AP1213500022</t>
  </si>
  <si>
    <t>OMER</t>
  </si>
  <si>
    <t>42201-5275488-9</t>
  </si>
  <si>
    <t xml:space="preserve">HOUSE # 175-H BLOCK # 02 PECHS NEAR MACDONALDS AND TV # 01 OFFICE KARACHI CELL 03332141676 </t>
  </si>
  <si>
    <t>57132/00096/12/2021</t>
  </si>
  <si>
    <t>17513505</t>
  </si>
  <si>
    <t>JR-227162</t>
  </si>
  <si>
    <t>BMQ-234</t>
  </si>
  <si>
    <t>OLUKHI300082022</t>
  </si>
  <si>
    <t>DIB0032751</t>
  </si>
  <si>
    <t>9976AD2212450014</t>
  </si>
  <si>
    <t>FARMAN ALI ABBASI</t>
  </si>
  <si>
    <t>35202-9883416-1</t>
  </si>
  <si>
    <t>03004001962</t>
  </si>
  <si>
    <t xml:space="preserve">19-ALKHUSH BUILDING BANK SQUARE NEL A GUMBAD LAHORE </t>
  </si>
  <si>
    <t>57132/00091/12/2021</t>
  </si>
  <si>
    <t>PK10K189561</t>
  </si>
  <si>
    <t>NF1AVK310H10089538</t>
  </si>
  <si>
    <t>OLALHR300073010</t>
  </si>
  <si>
    <t>DIB0032746</t>
  </si>
  <si>
    <t>15-DEC-2021</t>
  </si>
  <si>
    <t>9976AP2213540005</t>
  </si>
  <si>
    <t>OBAID ULLAH</t>
  </si>
  <si>
    <t>31205-9498050-5</t>
  </si>
  <si>
    <t>03028653131</t>
  </si>
  <si>
    <t>03028653131, 03028653131</t>
  </si>
  <si>
    <t>0418530043</t>
  </si>
  <si>
    <t xml:space="preserve">H NO 236 ST NO 2 JARANWALA ROAD FSD NEAR OPP GULSHAN SWEET ALI TOWN FS FAISALABAD PK </t>
  </si>
  <si>
    <t>57132/00094/12/2021</t>
  </si>
  <si>
    <t>119650</t>
  </si>
  <si>
    <t>10019655</t>
  </si>
  <si>
    <t>LE-16A-2068</t>
  </si>
  <si>
    <t>OLUFSD300082033</t>
  </si>
  <si>
    <t>5875/12/2021</t>
  </si>
  <si>
    <t>9976AP1203520055</t>
  </si>
  <si>
    <t>KHALID WAHEED</t>
  </si>
  <si>
    <t>37405-9169549-9</t>
  </si>
  <si>
    <t>03455304676</t>
  </si>
  <si>
    <t>0515767388</t>
  </si>
  <si>
    <t xml:space="preserve">H # 10/3 ST # 1 COB LANE GULNAR COL ONY NEAR AAJ CNG RAWALPINDI PK </t>
  </si>
  <si>
    <t>53326/00061/12/2020</t>
  </si>
  <si>
    <t>147314</t>
  </si>
  <si>
    <t>1047224</t>
  </si>
  <si>
    <t>PODRWP300063862</t>
  </si>
  <si>
    <t>3812/12/2020/ITFM</t>
  </si>
  <si>
    <t>15-DEC-2020</t>
  </si>
  <si>
    <t>9976AP1203500041</t>
  </si>
  <si>
    <t>MEHWISH NAZ</t>
  </si>
  <si>
    <t>42101-1670153-4</t>
  </si>
  <si>
    <t>03219248277</t>
  </si>
  <si>
    <t xml:space="preserve">1322 BLOCK 14 FB AREA JAVED NEHARI KARACHI PK </t>
  </si>
  <si>
    <t>53326/00057/12/2020</t>
  </si>
  <si>
    <t>144671</t>
  </si>
  <si>
    <t>1044643</t>
  </si>
  <si>
    <t>PODKHI300063881</t>
  </si>
  <si>
    <t>3807/12/2020/ITFM</t>
  </si>
  <si>
    <t>9976AP1233530010</t>
  </si>
  <si>
    <t>FAHAD GHANI</t>
  </si>
  <si>
    <t>42101-5799191-1</t>
  </si>
  <si>
    <t>03155313003 03333494734</t>
  </si>
  <si>
    <t xml:space="preserve">FLAT NO 403 BLOCK 8 THE COMFORT NEAR AL SHAMIM APARTEMENT GULSHAN E IQBAL KARACHI </t>
  </si>
  <si>
    <t>78992/00017/12/2023</t>
  </si>
  <si>
    <t>13-DEC-2024</t>
  </si>
  <si>
    <t>6R261631</t>
  </si>
  <si>
    <t>1161624</t>
  </si>
  <si>
    <t>BYA-327</t>
  </si>
  <si>
    <t>OLUKHI300098528</t>
  </si>
  <si>
    <t>DIB0035509</t>
  </si>
  <si>
    <t>9976AP1233490003</t>
  </si>
  <si>
    <t>WASEEM ALI</t>
  </si>
  <si>
    <t>42501-2572380-5</t>
  </si>
  <si>
    <t>03003995357</t>
  </si>
  <si>
    <t xml:space="preserve">110 STORE SHOP NO B30 BLOCK 6 GULSHAN E IQBAL NEPA CHORANGI KARACHI </t>
  </si>
  <si>
    <t>78992/00016/12/2023</t>
  </si>
  <si>
    <t>287097</t>
  </si>
  <si>
    <t>1186909</t>
  </si>
  <si>
    <t>OLDKHI300098559</t>
  </si>
  <si>
    <t>DIB0035508</t>
  </si>
  <si>
    <t>9976AP2223490008</t>
  </si>
  <si>
    <t>SYED JAHANZEB AHMED</t>
  </si>
  <si>
    <t>42201-4693108-3</t>
  </si>
  <si>
    <t>03362457928</t>
  </si>
  <si>
    <t xml:space="preserve">H # 08 BLOCK 3 JINNAH HOUSING SOCIE TY SHAHEED E MILLAT ROAD KARACHI PK </t>
  </si>
  <si>
    <t>65483/00027/12/2022</t>
  </si>
  <si>
    <t>2904493</t>
  </si>
  <si>
    <t>006392</t>
  </si>
  <si>
    <t>BGY-668</t>
  </si>
  <si>
    <t>OLUKHI300091226</t>
  </si>
  <si>
    <t>9637/12/2022/ITFM</t>
  </si>
  <si>
    <t>14-DEC-2022</t>
  </si>
  <si>
    <t>9976AP1213540009</t>
  </si>
  <si>
    <t>ZEESHAN AHMAD</t>
  </si>
  <si>
    <t>35202-3466765-9</t>
  </si>
  <si>
    <t>00971557482209 03324457617</t>
  </si>
  <si>
    <t xml:space="preserve">609 SKYCOURT TOWERS DUBAI 120876 UNITED ARAB EMIRATES </t>
  </si>
  <si>
    <t>57132/00084/12/2021</t>
  </si>
  <si>
    <t>16929208</t>
  </si>
  <si>
    <t>R081721</t>
  </si>
  <si>
    <t>HONDA CIVIC ORIEL</t>
  </si>
  <si>
    <t>OLDLHR300081972</t>
  </si>
  <si>
    <t>DIB0032739</t>
  </si>
  <si>
    <t>14-DEC-2021</t>
  </si>
  <si>
    <t>9976AD2203440006</t>
  </si>
  <si>
    <t>WALID AHMED</t>
  </si>
  <si>
    <t>31104-6921120-5</t>
  </si>
  <si>
    <t>03475409769</t>
  </si>
  <si>
    <t xml:space="preserve">H # 10-D LANE # 7 SECTOR # G JOCARA NDA CLUB DHA PHASE II ISLAMABAD PK </t>
  </si>
  <si>
    <t>DIB/T/BT/29916/ISB/1220</t>
  </si>
  <si>
    <t>7541905</t>
  </si>
  <si>
    <t>LR265073</t>
  </si>
  <si>
    <t>POAISD300063562</t>
  </si>
  <si>
    <t>TDIDIB0028857</t>
  </si>
  <si>
    <t>9976AP2213340026</t>
  </si>
  <si>
    <t>ZAFAR ABBAS</t>
  </si>
  <si>
    <t>37201-1713966-3</t>
  </si>
  <si>
    <t>03015771454</t>
  </si>
  <si>
    <t>0543594204</t>
  </si>
  <si>
    <t xml:space="preserve">MOH MEDAN V.P.O MUREED TEHSIL and DIS T NEAR GOVT HIGH SCHOOL CHAKWAL PK </t>
  </si>
  <si>
    <t>56607/00202/11/2021</t>
  </si>
  <si>
    <t>158945</t>
  </si>
  <si>
    <t>1058930</t>
  </si>
  <si>
    <t>ATJ-646</t>
  </si>
  <si>
    <t>OLUCHW300080923</t>
  </si>
  <si>
    <t>5760/11/2021</t>
  </si>
  <si>
    <t>9976AP1213340054</t>
  </si>
  <si>
    <t>HUMZA EJAZ</t>
  </si>
  <si>
    <t>35202-1027761-5</t>
  </si>
  <si>
    <t>03234277580</t>
  </si>
  <si>
    <t>04235211812</t>
  </si>
  <si>
    <t xml:space="preserve">295 D 2 JOHAR TOWN LAHORE </t>
  </si>
  <si>
    <t>56607/00161/11/2021</t>
  </si>
  <si>
    <t>6R126778</t>
  </si>
  <si>
    <t>1026798</t>
  </si>
  <si>
    <t>AAE-682</t>
  </si>
  <si>
    <t>OLALHR300080832</t>
  </si>
  <si>
    <t>5747/11/2021</t>
  </si>
  <si>
    <t>9976AP1213510033</t>
  </si>
  <si>
    <t>JAVED ALI</t>
  </si>
  <si>
    <t>45208-9240423-5</t>
  </si>
  <si>
    <t>03457775588</t>
  </si>
  <si>
    <t>3241215556</t>
  </si>
  <si>
    <t xml:space="preserve">HOUSE # 76 STREET # 6 ABBASI MARKET MODEL COLONY NAR LEE BROST KARACHI PK </t>
  </si>
  <si>
    <t>57132/00090/12/2021</t>
  </si>
  <si>
    <t>123747</t>
  </si>
  <si>
    <t>10023741</t>
  </si>
  <si>
    <t>BHC-976</t>
  </si>
  <si>
    <t>OLUKHI30081942</t>
  </si>
  <si>
    <t>DIB0032743</t>
  </si>
  <si>
    <t>9976AP1183510005</t>
  </si>
  <si>
    <t>ABDUL MAJEED</t>
  </si>
  <si>
    <t>35201-9519963-9</t>
  </si>
  <si>
    <t>03215054993</t>
  </si>
  <si>
    <t>03215054092</t>
  </si>
  <si>
    <t>111633926</t>
  </si>
  <si>
    <t xml:space="preserve">H# E -5 / 39 ST# 9 MOH ABID ROAD IS LAM NAGAR WALTON ROAD LAHORE PK </t>
  </si>
  <si>
    <t>50159/00016/12/2018</t>
  </si>
  <si>
    <t>PKB661055</t>
  </si>
  <si>
    <t>SB308PK01199565</t>
  </si>
  <si>
    <t>LEH-16-9878</t>
  </si>
  <si>
    <t>POULHR300041186</t>
  </si>
  <si>
    <t>16927/12/2018</t>
  </si>
  <si>
    <t>9976AP1213340050</t>
  </si>
  <si>
    <t>NABEEL</t>
  </si>
  <si>
    <t>35202-2848005-9</t>
  </si>
  <si>
    <t>03224526612</t>
  </si>
  <si>
    <t xml:space="preserve">10-COMMERCIAL ZONE HUMAIRA SHOPPING CENTER LIBERTY MARKET GULBERG III LAHORE </t>
  </si>
  <si>
    <t>56607/00187/11/2021</t>
  </si>
  <si>
    <t>2A28024</t>
  </si>
  <si>
    <t>9510814</t>
  </si>
  <si>
    <t>OLULHR300080902</t>
  </si>
  <si>
    <t>5773/11/2021</t>
  </si>
  <si>
    <t>9976AP1213490005</t>
  </si>
  <si>
    <t>AMMAR ASLAM</t>
  </si>
  <si>
    <t>33102-4196294-5</t>
  </si>
  <si>
    <t>03143030345</t>
  </si>
  <si>
    <t>03143030345, 03143030345</t>
  </si>
  <si>
    <t xml:space="preserve">H NO 179 E BLOCK MODEL CITY FSD NEA R EDEN GARDENS FSD FAISALABAD PK </t>
  </si>
  <si>
    <t>57132/00079/12/2021</t>
  </si>
  <si>
    <t>PK10B147045</t>
  </si>
  <si>
    <t>A1J310PK10046931</t>
  </si>
  <si>
    <t>LEA-18-2613</t>
  </si>
  <si>
    <t>WAGONR VXR</t>
  </si>
  <si>
    <t>OLUFSD300081824</t>
  </si>
  <si>
    <t>DIB0032726</t>
  </si>
  <si>
    <t>13-DEC-2021</t>
  </si>
  <si>
    <t>9976AP1223340068</t>
  </si>
  <si>
    <t>NAZIM RAZA</t>
  </si>
  <si>
    <t>42000-4729585-7</t>
  </si>
  <si>
    <t>03350711114</t>
  </si>
  <si>
    <t>02136060237</t>
  </si>
  <si>
    <t xml:space="preserve">R 626 BLOCK 14 FB AREA KHI NEAR MOHAMMADI SHEMAL HOUSE </t>
  </si>
  <si>
    <t>64794/00095/11/2022</t>
  </si>
  <si>
    <t>503556</t>
  </si>
  <si>
    <t>1010700</t>
  </si>
  <si>
    <t>CZ-6397</t>
  </si>
  <si>
    <t>CHANGAN KARVAAN</t>
  </si>
  <si>
    <t>OLUKHI300091086</t>
  </si>
  <si>
    <t>9540/11/2022/ITFM</t>
  </si>
  <si>
    <t>997APD1193340029</t>
  </si>
  <si>
    <t>MAHMOOD JAFAR</t>
  </si>
  <si>
    <t>33100-3160017-7</t>
  </si>
  <si>
    <t>03336501762</t>
  </si>
  <si>
    <t>0333-6501762</t>
  </si>
  <si>
    <t>8501882</t>
  </si>
  <si>
    <t xml:space="preserve">H NO P-424-B BLOCK NO 1 PEOPLES COLONY NO 1 FAISALABAD </t>
  </si>
  <si>
    <t>51449/00115/11/2019</t>
  </si>
  <si>
    <t>Z185079</t>
  </si>
  <si>
    <t>NZE170R-4017930</t>
  </si>
  <si>
    <t>DH-187</t>
  </si>
  <si>
    <t>POUFSD300051232</t>
  </si>
  <si>
    <t>2089/11/2019/ITFM</t>
  </si>
  <si>
    <t>9976AP1213340033</t>
  </si>
  <si>
    <t>ADNAN AFZAL</t>
  </si>
  <si>
    <t>33100-0459910-3</t>
  </si>
  <si>
    <t>03063955057</t>
  </si>
  <si>
    <t>03063955057, 03063955057</t>
  </si>
  <si>
    <t xml:space="preserve">P-221 ST NO 10 GHAZI ABAD NO 01 FSD NEAR NISHAT MILL CORNOR FAISALABAD PK </t>
  </si>
  <si>
    <t>56607/00166/11/2021</t>
  </si>
  <si>
    <t>136748</t>
  </si>
  <si>
    <t>10036745</t>
  </si>
  <si>
    <t>LEA-19-6312</t>
  </si>
  <si>
    <t>OLUFSD300080833</t>
  </si>
  <si>
    <t>5750/11/2021</t>
  </si>
  <si>
    <t>9976AP2233480002</t>
  </si>
  <si>
    <t>MUHAMMAD SHOAIB KHAN</t>
  </si>
  <si>
    <t>42101-8993887-5</t>
  </si>
  <si>
    <t>03152843309</t>
  </si>
  <si>
    <t xml:space="preserve">R-394 SECTOR 7D-3 NORTH KARACHI KARACHI PK </t>
  </si>
  <si>
    <t>78992/00015/12/2023</t>
  </si>
  <si>
    <t>12-DEC-2024</t>
  </si>
  <si>
    <t>6R289965</t>
  </si>
  <si>
    <t>1190201</t>
  </si>
  <si>
    <t>OLDKHI300098498</t>
  </si>
  <si>
    <t>DIB0035504</t>
  </si>
  <si>
    <t>14-DEC-2023</t>
  </si>
  <si>
    <t>9976AD1221500097</t>
  </si>
  <si>
    <t>CHAUDHRY SHAKEEL AMANAT</t>
  </si>
  <si>
    <t>35202-4918143-5</t>
  </si>
  <si>
    <t>03218473737</t>
  </si>
  <si>
    <t>04235323738</t>
  </si>
  <si>
    <t xml:space="preserve">8-KM RAIWIND ROAD SAKKA STREET NEAR BRIGHTO PAINT LAHORE </t>
  </si>
  <si>
    <t>65483/00024/12/2022</t>
  </si>
  <si>
    <t>6R260690</t>
  </si>
  <si>
    <t>1160700</t>
  </si>
  <si>
    <t>OLALHR300087545</t>
  </si>
  <si>
    <t>9626/12/2022/ITFM</t>
  </si>
  <si>
    <t>13-DEC-2022</t>
  </si>
  <si>
    <t>9976AD2212800004</t>
  </si>
  <si>
    <t>MUHAMMAD IMRAN SALEEM FARIDI</t>
  </si>
  <si>
    <t>33100-3918891-3</t>
  </si>
  <si>
    <t>0300-9659294</t>
  </si>
  <si>
    <t xml:space="preserve">HNO. P-59 TAKON GROUND RAB NAWAZ CHOWK NARIWALA ROAD GULSHAN COLONY FAISALABAD </t>
  </si>
  <si>
    <t>57132/00076/12/2021</t>
  </si>
  <si>
    <t>2A42311</t>
  </si>
  <si>
    <t>R-9515718</t>
  </si>
  <si>
    <t>OLAFSD300074694</t>
  </si>
  <si>
    <t>DIB0032725</t>
  </si>
  <si>
    <t>9976AP1213340043</t>
  </si>
  <si>
    <t>WASEEM SOHAIL</t>
  </si>
  <si>
    <t>35302-2017418-9</t>
  </si>
  <si>
    <t>030000400788</t>
  </si>
  <si>
    <t>03000400788</t>
  </si>
  <si>
    <t xml:space="preserve">STREET NO 02 MOHALLAH CHAMRA MANDI OKARA OKARA PK </t>
  </si>
  <si>
    <t>56607/00163/11/2021</t>
  </si>
  <si>
    <t>69U501280</t>
  </si>
  <si>
    <t>1001448</t>
  </si>
  <si>
    <t>LEB-20-9511</t>
  </si>
  <si>
    <t>OLUOKR300080815</t>
  </si>
  <si>
    <t>DIB0032578</t>
  </si>
  <si>
    <t>9976AP1213500020</t>
  </si>
  <si>
    <t>FALK SHAR</t>
  </si>
  <si>
    <t>34101-2680716-3</t>
  </si>
  <si>
    <t>03006449374</t>
  </si>
  <si>
    <t xml:space="preserve">DHULLAY GALI NO 2 MOH AFZAL PURA GUJRANWALA PK </t>
  </si>
  <si>
    <t>57132/00068/12/2021</t>
  </si>
  <si>
    <t>L12B51005223</t>
  </si>
  <si>
    <t>NFBGN8526MR007619</t>
  </si>
  <si>
    <t>CITY I-VTEC 1.2L M/T</t>
  </si>
  <si>
    <t>OLDGWL300081906</t>
  </si>
  <si>
    <t>DIB0032718</t>
  </si>
  <si>
    <t>9976AP1213540010</t>
  </si>
  <si>
    <t>ARSHIA AKBAR</t>
  </si>
  <si>
    <t>61101-1190786-2</t>
  </si>
  <si>
    <t>03340033315</t>
  </si>
  <si>
    <t>04235763059</t>
  </si>
  <si>
    <t xml:space="preserve">HIJAZ HOSPITAL 27 D 1 SIR SYED ROAD GULBERG III LAHORE </t>
  </si>
  <si>
    <t>2524/02795/00025/12/2021</t>
  </si>
  <si>
    <t>516793</t>
  </si>
  <si>
    <t>1004997</t>
  </si>
  <si>
    <t>OLDLHR300081930</t>
  </si>
  <si>
    <t>DIB0032729</t>
  </si>
  <si>
    <t>9976AP2213510006</t>
  </si>
  <si>
    <t>GULZAIB</t>
  </si>
  <si>
    <t>35201-4053046-5</t>
  </si>
  <si>
    <t>03101474008</t>
  </si>
  <si>
    <t xml:space="preserve">ROYAL GARDEN BEHIND AMERICAN SCHOOL HARBANSPURA LAHORE </t>
  </si>
  <si>
    <t>57132/00073/12/2021</t>
  </si>
  <si>
    <t>Z562334</t>
  </si>
  <si>
    <t>NZE170R4188109</t>
  </si>
  <si>
    <t>LEA-20-8160</t>
  </si>
  <si>
    <t>OLULHR300081652</t>
  </si>
  <si>
    <t>DIB0032722</t>
  </si>
  <si>
    <t>9976AP1213500013</t>
  </si>
  <si>
    <t>MUHAMMAD UMAR HAYAT</t>
  </si>
  <si>
    <t>35302-2004659-3</t>
  </si>
  <si>
    <t>03216953918</t>
  </si>
  <si>
    <t>03136953918, 03216953918</t>
  </si>
  <si>
    <t>03136953918</t>
  </si>
  <si>
    <t xml:space="preserve">HOUSE NN 75 MOHALLAH ALREHMAN TOWN NEAR GOVT COLONY ROAD OKARA OKARA PK </t>
  </si>
  <si>
    <t>57132/00075/12/2021</t>
  </si>
  <si>
    <t>149897</t>
  </si>
  <si>
    <t>10050227</t>
  </si>
  <si>
    <t>LEC-18-5845</t>
  </si>
  <si>
    <t>OLUOKR300081917</t>
  </si>
  <si>
    <t>DIB0032724</t>
  </si>
  <si>
    <t>9976AP1213480030</t>
  </si>
  <si>
    <t>42201-5826328-9</t>
  </si>
  <si>
    <t>03323599520</t>
  </si>
  <si>
    <t xml:space="preserve">SURVEY NO 80 OPP 1865 RASHAN SHOP M ASTER BUX JAMA MASJID TOHID ROAD NE KARACHI PK </t>
  </si>
  <si>
    <t>57132/00072/12/2021</t>
  </si>
  <si>
    <t>1016897</t>
  </si>
  <si>
    <t>1133402</t>
  </si>
  <si>
    <t>OLDKHI300081893</t>
  </si>
  <si>
    <t>DIB0032721</t>
  </si>
  <si>
    <t>9976AP2233470001</t>
  </si>
  <si>
    <t>SHAKEEL HAROON PUNJWANI</t>
  </si>
  <si>
    <t>42101-1423602-1</t>
  </si>
  <si>
    <t>36641022</t>
  </si>
  <si>
    <t>03223397894</t>
  </si>
  <si>
    <t>32460742</t>
  </si>
  <si>
    <t xml:space="preserve">FLAT NO 802 8TH FLOOR SAFA RESIDENCY BLOCK F NORTH NAZIMABAD KARACHI </t>
  </si>
  <si>
    <t>78992/00014/12/2023</t>
  </si>
  <si>
    <t>11-DEC-2024</t>
  </si>
  <si>
    <t>23085</t>
  </si>
  <si>
    <t>48605</t>
  </si>
  <si>
    <t>BMH-802</t>
  </si>
  <si>
    <t>TOYOTA COROLLA GLI A/T</t>
  </si>
  <si>
    <t>OLUKHI300098489</t>
  </si>
  <si>
    <t>DIB0035501</t>
  </si>
  <si>
    <t>13-DEC-2023</t>
  </si>
  <si>
    <t>9976AP1233340046</t>
  </si>
  <si>
    <t>NASEEM JAN</t>
  </si>
  <si>
    <t>42401-5136645-5</t>
  </si>
  <si>
    <t>03101029569</t>
  </si>
  <si>
    <t>03101029569, 03101029569</t>
  </si>
  <si>
    <t xml:space="preserve">HOUSE # 338 SECTOR 4-E METROVILLE S ITE ORANGI NEAR JAMIL BIRYANI KARACHI PK </t>
  </si>
  <si>
    <t>77638/00028/11/2023</t>
  </si>
  <si>
    <t>29-NOV-2024</t>
  </si>
  <si>
    <t>16917240</t>
  </si>
  <si>
    <t>R069337</t>
  </si>
  <si>
    <t>BSZ-274</t>
  </si>
  <si>
    <t>OLUKHI300098290</t>
  </si>
  <si>
    <t>DIB0035470</t>
  </si>
  <si>
    <t>9976AP2233340026</t>
  </si>
  <si>
    <t>SOHAIB</t>
  </si>
  <si>
    <t>42201-9381303-3</t>
  </si>
  <si>
    <t xml:space="preserve">FIRST FLOOR BAHRIA COMPLEX 3 MT KHAN ROAD KHI </t>
  </si>
  <si>
    <t>77638/00029/11/2023</t>
  </si>
  <si>
    <t>13031511</t>
  </si>
  <si>
    <t>10031504</t>
  </si>
  <si>
    <t>BFL-664</t>
  </si>
  <si>
    <t>SUZUKI SWIFT DLX ABS</t>
  </si>
  <si>
    <t>OLUKHI300098279</t>
  </si>
  <si>
    <t>DIB0035475</t>
  </si>
  <si>
    <t>9976AP1233340048</t>
  </si>
  <si>
    <t>IRFAN AHMED KHAN</t>
  </si>
  <si>
    <t>42201-0799922-7</t>
  </si>
  <si>
    <t>03212042306</t>
  </si>
  <si>
    <t>03212042306, 03212042306</t>
  </si>
  <si>
    <t xml:space="preserve">A-38 1/1 SUNSET STREET # 8 PHASE 2 EXT DHA NEAR NAVEED PIYALA HOTEL / KARACHI PK </t>
  </si>
  <si>
    <t>77638/00026/11/2023</t>
  </si>
  <si>
    <t>214556</t>
  </si>
  <si>
    <t>1114592</t>
  </si>
  <si>
    <t>BWM-119</t>
  </si>
  <si>
    <t>OLUKHI300098288</t>
  </si>
  <si>
    <t>DIB0035469</t>
  </si>
  <si>
    <t>9976AP1233340049</t>
  </si>
  <si>
    <t>ALAM ZAIB KHAN</t>
  </si>
  <si>
    <t>42501-2177128-9</t>
  </si>
  <si>
    <t>03023728855</t>
  </si>
  <si>
    <t xml:space="preserve">JANAT GUL TOWN HOUSE NO 39 AREA ASIF SQUARE SOHRAB GOTH MALIR KARACHI </t>
  </si>
  <si>
    <t>77638/00030/11/2023</t>
  </si>
  <si>
    <t>287107</t>
  </si>
  <si>
    <t>1186820</t>
  </si>
  <si>
    <t>SUZUKI ALTO AGS EURO II</t>
  </si>
  <si>
    <t>OLDKHI300098328</t>
  </si>
  <si>
    <t>DIB0035478</t>
  </si>
  <si>
    <t>9976AD1233340008</t>
  </si>
  <si>
    <t>NAJEEB ASLAM</t>
  </si>
  <si>
    <t>37303-6334460-7</t>
  </si>
  <si>
    <t>00971521935474</t>
  </si>
  <si>
    <t xml:space="preserve">LAGO VISTA TOWER C 12 A 01 PRODUCTION CITY DUBAI UNITED ARAB EMIRATES </t>
  </si>
  <si>
    <t>78992/00012/12/2023</t>
  </si>
  <si>
    <t>10-DEC-2024</t>
  </si>
  <si>
    <t>2A62731</t>
  </si>
  <si>
    <t>9522187</t>
  </si>
  <si>
    <t>TOYOTA YARIS AERO</t>
  </si>
  <si>
    <t>OLAJHM300098298</t>
  </si>
  <si>
    <t>DIB0035499</t>
  </si>
  <si>
    <t>11-DEC-2023</t>
  </si>
  <si>
    <t>9976AP1233460003</t>
  </si>
  <si>
    <t>42201-9098436-3</t>
  </si>
  <si>
    <t>03082060364</t>
  </si>
  <si>
    <t xml:space="preserve">HOUSE NO # 545 H BEHIND JACAB LINE AREA B KHI KARACHI PK </t>
  </si>
  <si>
    <t>78992/00013/12/2023</t>
  </si>
  <si>
    <t>Z444834</t>
  </si>
  <si>
    <t>4078563</t>
  </si>
  <si>
    <t>BFW-096</t>
  </si>
  <si>
    <t>TOYOTA COROLLA XLI</t>
  </si>
  <si>
    <t>OLUKHI300098478</t>
  </si>
  <si>
    <t>DIB0035500</t>
  </si>
  <si>
    <t>12-DEC-2023</t>
  </si>
  <si>
    <t>997AAD1203050083</t>
  </si>
  <si>
    <t>MUHAMMAD MEHDI RAZA</t>
  </si>
  <si>
    <t>35202-4609990-5</t>
  </si>
  <si>
    <t>03331453227</t>
  </si>
  <si>
    <t>04235137164</t>
  </si>
  <si>
    <t xml:space="preserve">OFFICE NO 361-N BASEMENT (BURAQ AUT O MOBILE) OPPOSITE BORJAN JOHAR TOW N LAHORE </t>
  </si>
  <si>
    <t>53326/00050/12/2020</t>
  </si>
  <si>
    <t>L15Z14803305</t>
  </si>
  <si>
    <t>NFBDG1834LR019937</t>
  </si>
  <si>
    <t>BRV-IVTEC -S</t>
  </si>
  <si>
    <t>POALHR300059701</t>
  </si>
  <si>
    <t>DIB0029177</t>
  </si>
  <si>
    <t>9976AP2183470006</t>
  </si>
  <si>
    <t>BILAL AKRAM</t>
  </si>
  <si>
    <t>33100-9577771-1</t>
  </si>
  <si>
    <t>03007771717</t>
  </si>
  <si>
    <t>03007771717, 03007771717</t>
  </si>
  <si>
    <t xml:space="preserve">H NO 88 ST NO 8 NEAR MANZOOR PARK N ISHATABAD FSD FAISALABAD PK </t>
  </si>
  <si>
    <t>50159/00011/12/2018</t>
  </si>
  <si>
    <t>178789</t>
  </si>
  <si>
    <t>10078782</t>
  </si>
  <si>
    <t>LE-19-3453</t>
  </si>
  <si>
    <t>11-DEC-2018</t>
  </si>
  <si>
    <t>PODFSD300041124</t>
  </si>
  <si>
    <t>16906/12/2018</t>
  </si>
  <si>
    <t>997AAD1202440045</t>
  </si>
  <si>
    <t>SYED TOUQEER AHMAD</t>
  </si>
  <si>
    <t>36302-0396174-1</t>
  </si>
  <si>
    <t>03018734699</t>
  </si>
  <si>
    <t>0614543003</t>
  </si>
  <si>
    <t xml:space="preserve">H NO 31 AHSAN COLONY CHUNGI NO 1 SU RAJ MIANI ROAD MULTAN PK </t>
  </si>
  <si>
    <t>DIB/T/29905/LHR/1220</t>
  </si>
  <si>
    <t>331599</t>
  </si>
  <si>
    <t>506925</t>
  </si>
  <si>
    <t>POAMUX300056943</t>
  </si>
  <si>
    <t>9976AD1213030062</t>
  </si>
  <si>
    <t>NAJEEB UL AMBIA</t>
  </si>
  <si>
    <t>42101-1682402-7</t>
  </si>
  <si>
    <t>03222335971</t>
  </si>
  <si>
    <t>34559190</t>
  </si>
  <si>
    <t xml:space="preserve">44/2 F BLOCK 6 RAZI ROAD PECHS SHAHRAH E FAISAL KARACHI </t>
  </si>
  <si>
    <t>57132/00022/12/2021</t>
  </si>
  <si>
    <t>MU910915</t>
  </si>
  <si>
    <t>MMN302058</t>
  </si>
  <si>
    <t>OLAFSD300077835</t>
  </si>
  <si>
    <t>10-DEC-2021</t>
  </si>
  <si>
    <t>9976AD1212250017</t>
  </si>
  <si>
    <t>FARMAN ALI MALIK</t>
  </si>
  <si>
    <t>35201-9952801-5</t>
  </si>
  <si>
    <t>03214901808</t>
  </si>
  <si>
    <t xml:space="preserve">OFFICE 3RD FLOOR 274-MB PHASE 6 DHA LAHORE </t>
  </si>
  <si>
    <t>57132/00056/12/2021</t>
  </si>
  <si>
    <t>G4NAMH319656</t>
  </si>
  <si>
    <t>NNAQLPAZKP308000</t>
  </si>
  <si>
    <t>KIA SPORTGE AWD</t>
  </si>
  <si>
    <t>OLALHR300071889</t>
  </si>
  <si>
    <t>9976AP2213500004</t>
  </si>
  <si>
    <t>FAISAL ZAFAR</t>
  </si>
  <si>
    <t>35202-0604697-5</t>
  </si>
  <si>
    <t>03008885465</t>
  </si>
  <si>
    <t xml:space="preserve">FAISAL POULTRY FARM MOZA DALWAN TEH SIL PATTOKI NAGAR PATTOKI </t>
  </si>
  <si>
    <t>57132/00059/12/2021</t>
  </si>
  <si>
    <t>17446609</t>
  </si>
  <si>
    <t>R187627</t>
  </si>
  <si>
    <t>LED-16-7182</t>
  </si>
  <si>
    <t>OLULHR300081862</t>
  </si>
  <si>
    <t>DIB0032708</t>
  </si>
  <si>
    <t>997APD2203500009</t>
  </si>
  <si>
    <t>SYED SARAHAT SHEHRIYAR</t>
  </si>
  <si>
    <t>42101-8335996-5</t>
  </si>
  <si>
    <t>03219288518</t>
  </si>
  <si>
    <t xml:space="preserve">HOUSE # R-635 SEC # 8 BARA DARI NOR TH KHI NEAR BILAL MASJID KARACHI PK </t>
  </si>
  <si>
    <t>53326/00041/12/2020</t>
  </si>
  <si>
    <t>Z574771</t>
  </si>
  <si>
    <t>NZE170R-4198688</t>
  </si>
  <si>
    <t>BRM-328</t>
  </si>
  <si>
    <t>COROLLA XLI A/T</t>
  </si>
  <si>
    <t>POUKHI300063714</t>
  </si>
  <si>
    <t>3806/12/2020/ITFM</t>
  </si>
  <si>
    <t>14-DEC-2020</t>
  </si>
  <si>
    <t>9976AP1233340058</t>
  </si>
  <si>
    <t>SANA DURVESH</t>
  </si>
  <si>
    <t>42201-6394707-8</t>
  </si>
  <si>
    <t>03235525356</t>
  </si>
  <si>
    <t xml:space="preserve">79/3 CP BERAR SOCIETY ALAMGIR ROAD UNITED KING BAKERS KARACHI PK </t>
  </si>
  <si>
    <t>77638/00031/11/2023</t>
  </si>
  <si>
    <t>281002459</t>
  </si>
  <si>
    <t>007741</t>
  </si>
  <si>
    <t>BUJ-655</t>
  </si>
  <si>
    <t>HONDA CITY 1.5 CVT</t>
  </si>
  <si>
    <t>OLUKHI300098333</t>
  </si>
  <si>
    <t>DIB0035480</t>
  </si>
  <si>
    <t>9976AP2213540008</t>
  </si>
  <si>
    <t>LIAQAT ALI</t>
  </si>
  <si>
    <t>35201-1217112-1</t>
  </si>
  <si>
    <t>03214964713</t>
  </si>
  <si>
    <t>99205066</t>
  </si>
  <si>
    <t xml:space="preserve">PAKISTAN WAPDA FOUNDATION 10-TEMPLE ROAD HALEEM PLAZA NEAR FIA OFFICE LAHORE </t>
  </si>
  <si>
    <t>57132/00062/12/2021</t>
  </si>
  <si>
    <t>Z380895</t>
  </si>
  <si>
    <t>R-4059212</t>
  </si>
  <si>
    <t>LE-16-682</t>
  </si>
  <si>
    <t>OLULHR300081842</t>
  </si>
  <si>
    <t>DIB0032712</t>
  </si>
  <si>
    <t>9976AP1213500009</t>
  </si>
  <si>
    <t>HUSNAIN RAZA</t>
  </si>
  <si>
    <t>33100-7776848-9</t>
  </si>
  <si>
    <t>03000070372</t>
  </si>
  <si>
    <t>03117128888</t>
  </si>
  <si>
    <t xml:space="preserve">90-B HALI ROAD BLOCK B GULBERG II C ENTRAL PLAZA 3RD FLOOR LAHORE </t>
  </si>
  <si>
    <t>57132/00064/12/2021</t>
  </si>
  <si>
    <t>17511194</t>
  </si>
  <si>
    <t>R224242</t>
  </si>
  <si>
    <t>LEH-18-1028</t>
  </si>
  <si>
    <t>OLULHR300081903</t>
  </si>
  <si>
    <t>DIB0032711</t>
  </si>
  <si>
    <t>997APD1203490003</t>
  </si>
  <si>
    <t>MUHAMMAD MUBEEN AKHTAR</t>
  </si>
  <si>
    <t>32303-6601411-9</t>
  </si>
  <si>
    <t>03316006822</t>
  </si>
  <si>
    <t xml:space="preserve">MEDICAL UNIT 2 SERVICES HOSPITAL LA HORE NEAR JAIL ROAD LAHORE </t>
  </si>
  <si>
    <t>53326/00038/12/2020</t>
  </si>
  <si>
    <t>L13Z17426801</t>
  </si>
  <si>
    <t>NFBGM1543FR164524</t>
  </si>
  <si>
    <t>LE-15A-3159</t>
  </si>
  <si>
    <t>11-Dec-2026</t>
  </si>
  <si>
    <t>POULHR300063641</t>
  </si>
  <si>
    <t>3792/12/2020/ITFM</t>
  </si>
  <si>
    <t>10-DEC-2020</t>
  </si>
  <si>
    <t>9976AD1232120002</t>
  </si>
  <si>
    <t>MUHAMMAD FAZAL</t>
  </si>
  <si>
    <t>42101-8667054-9</t>
  </si>
  <si>
    <t>03212194104</t>
  </si>
  <si>
    <t xml:space="preserve">1103 FALAK HOMES ALAMGIR ROAD KARAC HI KARACHI PK </t>
  </si>
  <si>
    <t>77638/00025/11/2023</t>
  </si>
  <si>
    <t>283552</t>
  </si>
  <si>
    <t>1183508</t>
  </si>
  <si>
    <t>31-JUL-2023</t>
  </si>
  <si>
    <t>11-Dec-2027</t>
  </si>
  <si>
    <t>OLAKHI300095683</t>
  </si>
  <si>
    <t>10511/09/2023/ITFM</t>
  </si>
  <si>
    <t>25-SEP-2023</t>
  </si>
  <si>
    <t>9976AP2213470017</t>
  </si>
  <si>
    <t>MUHAMMAD NAVEED HUSSAIN</t>
  </si>
  <si>
    <t>42201-9693723-3</t>
  </si>
  <si>
    <t>03453149013</t>
  </si>
  <si>
    <t xml:space="preserve">HOUSE NO 5/158 BARELI SHAH FAISAL C OLONY NO 5 BLOCK 5 AQSA MASJID KARACHI PK </t>
  </si>
  <si>
    <t>57132/00061/12/2021</t>
  </si>
  <si>
    <t>Q025388</t>
  </si>
  <si>
    <t>6002831</t>
  </si>
  <si>
    <t>BDP-268</t>
  </si>
  <si>
    <t>OLUKHI300081902</t>
  </si>
  <si>
    <t>DIB0032713</t>
  </si>
  <si>
    <t>997APD2203350037</t>
  </si>
  <si>
    <t>CHRISTOPHER SHEHZAD</t>
  </si>
  <si>
    <t>42401-1780671-7</t>
  </si>
  <si>
    <t>03465309876</t>
  </si>
  <si>
    <t xml:space="preserve">H # 145 and 146 SECTER 9/B SAEEDABAD BALDIA LAGHARI MARKET KARACHI PK </t>
  </si>
  <si>
    <t>53157/00130/11/2020</t>
  </si>
  <si>
    <t>623665</t>
  </si>
  <si>
    <t>530528</t>
  </si>
  <si>
    <t>BFS-892</t>
  </si>
  <si>
    <t>POUKHI300063034</t>
  </si>
  <si>
    <t>DIB0029121</t>
  </si>
  <si>
    <t>9976AP1213560016</t>
  </si>
  <si>
    <t>SAAD JAVED AKRAM</t>
  </si>
  <si>
    <t>35202-6575190-7</t>
  </si>
  <si>
    <t>03008448010</t>
  </si>
  <si>
    <t>35758664 35764392</t>
  </si>
  <si>
    <t xml:space="preserve">H.NO.15 C 11 MM ALAM ROAD GULBERG III LAHORE </t>
  </si>
  <si>
    <t>57132/00060/12/2021</t>
  </si>
  <si>
    <t>17457134</t>
  </si>
  <si>
    <t>R199599</t>
  </si>
  <si>
    <t>LEB-17-8485</t>
  </si>
  <si>
    <t>HONDA CITY I-VTRC</t>
  </si>
  <si>
    <t>OLULHR300081872</t>
  </si>
  <si>
    <t>DIB0032710</t>
  </si>
  <si>
    <t>11-DEC-2021</t>
  </si>
  <si>
    <t>9976AP2213340033</t>
  </si>
  <si>
    <t>ATEEQ UR REHMAN</t>
  </si>
  <si>
    <t>Jhang</t>
  </si>
  <si>
    <t>33202-8265213-5</t>
  </si>
  <si>
    <t>03337505113</t>
  </si>
  <si>
    <t xml:space="preserve">SARGODHA ROAD NEAR ADHIWAL MOHALLAH ALI TOWN JHANG </t>
  </si>
  <si>
    <t>56607/00210/11/2021</t>
  </si>
  <si>
    <t>17507560</t>
  </si>
  <si>
    <t>219847</t>
  </si>
  <si>
    <t>AHE-796</t>
  </si>
  <si>
    <t>HONDA CITY I-V TEC-2018</t>
  </si>
  <si>
    <t>OLUJHG300081136</t>
  </si>
  <si>
    <t>DIB0032589</t>
  </si>
  <si>
    <t>997APD1203350039</t>
  </si>
  <si>
    <t>RANA MAJID AZIZ</t>
  </si>
  <si>
    <t>34101-5128939-7</t>
  </si>
  <si>
    <t>03322656500</t>
  </si>
  <si>
    <t>37811343</t>
  </si>
  <si>
    <t xml:space="preserve">H# 82 G BLOCK SABZAZAR SCHEME LAHORE PK </t>
  </si>
  <si>
    <t>53157/00128/11/2020</t>
  </si>
  <si>
    <t>R18Z12908502</t>
  </si>
  <si>
    <t>NFBFC6668HR011510</t>
  </si>
  <si>
    <t>ADG-865</t>
  </si>
  <si>
    <t>CIVIC VTI P/R S/R</t>
  </si>
  <si>
    <t>POULHR300063002</t>
  </si>
  <si>
    <t>3718/11/2020/ITFM</t>
  </si>
  <si>
    <t>9976AP1213340073</t>
  </si>
  <si>
    <t>MUHAMMAD RIZWAN HAMEED</t>
  </si>
  <si>
    <t>33100-5389835-1</t>
  </si>
  <si>
    <t>03226262491</t>
  </si>
  <si>
    <t>03226262491, 03226262491</t>
  </si>
  <si>
    <t xml:space="preserve">H NO 18 ST NO 5 HUSSAIN ABAD MARZI PURA NARWALA ROAD FSD FAISALABAD PK </t>
  </si>
  <si>
    <t>56607/00217/11/2021</t>
  </si>
  <si>
    <t>1752819</t>
  </si>
  <si>
    <t>246105</t>
  </si>
  <si>
    <t>AMY-184</t>
  </si>
  <si>
    <t>HONDA CITY I-V TEC M/T</t>
  </si>
  <si>
    <t>OLUFSD300081151</t>
  </si>
  <si>
    <t>5805/11/2021</t>
  </si>
  <si>
    <t>9976AP2213350009</t>
  </si>
  <si>
    <t>JAWED AKHTER</t>
  </si>
  <si>
    <t>41306-7033846-7</t>
  </si>
  <si>
    <t>03009379365</t>
  </si>
  <si>
    <t xml:space="preserve">HOUSE NO A-51 NEAR HDA OFFICE PHASE -1 QASIMABAD HYDERABAD CELL:03009379365 </t>
  </si>
  <si>
    <t>56607/00225/11/2021</t>
  </si>
  <si>
    <t>6R134487</t>
  </si>
  <si>
    <t>1034503</t>
  </si>
  <si>
    <t>OLUHYD30081117</t>
  </si>
  <si>
    <t>5820/11/2021</t>
  </si>
  <si>
    <t>9976AP2203490026</t>
  </si>
  <si>
    <t>MUHAMMAD AYOUB</t>
  </si>
  <si>
    <t>33100-2301117-1</t>
  </si>
  <si>
    <t>03216822244</t>
  </si>
  <si>
    <t>03216822244, 03216822244</t>
  </si>
  <si>
    <t xml:space="preserve">H NO P-345 ABU BAKAR STREET SEGHAL CITY SAMUNDRI ROAD FAISALABAD PK </t>
  </si>
  <si>
    <t>01-2012-PO-MTR-PCCM-D-002085</t>
  </si>
  <si>
    <t>204415</t>
  </si>
  <si>
    <t>10104409</t>
  </si>
  <si>
    <t>PODFSD300063763</t>
  </si>
  <si>
    <t>DIB0029169</t>
  </si>
  <si>
    <t>997AAD1202200006</t>
  </si>
  <si>
    <t>MUHAMMAD IRFAN UL HAQ</t>
  </si>
  <si>
    <t>31304-2104217-9</t>
  </si>
  <si>
    <t>03006752910</t>
  </si>
  <si>
    <t>0519290309</t>
  </si>
  <si>
    <t xml:space="preserve">SAEED KHAN HOUSE UPER PORTION ROSE LANE-5 NEW LALAZAR PHASE II RAWALPINDI PK </t>
  </si>
  <si>
    <t>53157/00087/11/2020</t>
  </si>
  <si>
    <t>164288</t>
  </si>
  <si>
    <t>10064372</t>
  </si>
  <si>
    <t>07-AUG-2020</t>
  </si>
  <si>
    <t>POARWP300056294</t>
  </si>
  <si>
    <t>DIB0029062</t>
  </si>
  <si>
    <t>01-DEC-2020</t>
  </si>
  <si>
    <t>9976AP1223470007</t>
  </si>
  <si>
    <t>SABA MUMTAZ</t>
  </si>
  <si>
    <t>36501-3834723-2</t>
  </si>
  <si>
    <t>0096566206754</t>
  </si>
  <si>
    <t xml:space="preserve">FLAT NO 9 5TH FLOOR BUILDING 124 AL JAHRA NURSING HOSTEL KUWAIT </t>
  </si>
  <si>
    <t>65483/00020/12/2022</t>
  </si>
  <si>
    <t>508092</t>
  </si>
  <si>
    <t>1004931</t>
  </si>
  <si>
    <t>OLDLHR300091180</t>
  </si>
  <si>
    <t>108908/12/2022</t>
  </si>
  <si>
    <t>09-DEC-2022</t>
  </si>
  <si>
    <t>9976AD2211720005</t>
  </si>
  <si>
    <t>MUHAMMAD ZOHAIR</t>
  </si>
  <si>
    <t>61101-7889950-5</t>
  </si>
  <si>
    <t>03315041593</t>
  </si>
  <si>
    <t xml:space="preserve">HOUSE NO 526 STREET NO 10, SECTOR G-10/1, ISLAMABAD 0331-5041593 </t>
  </si>
  <si>
    <t>2021/11/VLFTTPCDP01286</t>
  </si>
  <si>
    <t>354625</t>
  </si>
  <si>
    <t>R-7053809</t>
  </si>
  <si>
    <t>TOYOTA COROLLA ALTIS GRANDE CVT</t>
  </si>
  <si>
    <t>21-JUN-2021</t>
  </si>
  <si>
    <t>11-Dec-2028</t>
  </si>
  <si>
    <t>OLAISD300069648</t>
  </si>
  <si>
    <t>5824/12/2021</t>
  </si>
  <si>
    <t>9976AD1223260004</t>
  </si>
  <si>
    <t>KHIAL HAMEED</t>
  </si>
  <si>
    <t>Peshawar</t>
  </si>
  <si>
    <t>14101-5837554-9</t>
  </si>
  <si>
    <t>00971506577489</t>
  </si>
  <si>
    <t xml:space="preserve">SHEIKH ZAYED ROAD CITY TOWER 2 SUIT 301 DUBAI 12276 UNITED ARAB EMRIATES </t>
  </si>
  <si>
    <t>65483/00003/12/2022</t>
  </si>
  <si>
    <t>259573</t>
  </si>
  <si>
    <t>1159656</t>
  </si>
  <si>
    <t>OLAPEW300090833</t>
  </si>
  <si>
    <t>108894/12/2022</t>
  </si>
  <si>
    <t>9976AD1221510117</t>
  </si>
  <si>
    <t>FAISAL NADEEM</t>
  </si>
  <si>
    <t>35201-2706231-3</t>
  </si>
  <si>
    <t>03218485281</t>
  </si>
  <si>
    <t xml:space="preserve">H NO 286 BLOCK C PHASE 9 DHA LAHORE PK </t>
  </si>
  <si>
    <t>65483/00002/12/2022</t>
  </si>
  <si>
    <t>259776</t>
  </si>
  <si>
    <t>1159568</t>
  </si>
  <si>
    <t>31-MAY-2022</t>
  </si>
  <si>
    <t>OLALHR300087761</t>
  </si>
  <si>
    <t>9551/12/2022/ITFM</t>
  </si>
  <si>
    <t>997APD1203370005</t>
  </si>
  <si>
    <t>JUNAID KHAN</t>
  </si>
  <si>
    <t>35202-2252209-5</t>
  </si>
  <si>
    <t>03211111292</t>
  </si>
  <si>
    <t xml:space="preserve">AL KHAN TELECOM SHOP NO 04 HAJI CHAND MARKET NEAR BARI PARK BAGBANPURA LAHORE </t>
  </si>
  <si>
    <t>53326/00001/12/2020</t>
  </si>
  <si>
    <t>208174</t>
  </si>
  <si>
    <t>10108167</t>
  </si>
  <si>
    <t>02-DEC-2020</t>
  </si>
  <si>
    <t>PODLHR300063071</t>
  </si>
  <si>
    <t>3741/12/2020/ITFM</t>
  </si>
  <si>
    <t>9976AD2221850005</t>
  </si>
  <si>
    <t>UNEEBA ANWER</t>
  </si>
  <si>
    <t>42101-2600217-2</t>
  </si>
  <si>
    <t>03332431342</t>
  </si>
  <si>
    <t xml:space="preserve">HOUSE # D-38/1 BLOCK H NORTH NAZIMA BAD KARACHI PK </t>
  </si>
  <si>
    <t>65483/00021/12/2022</t>
  </si>
  <si>
    <t>6R262992</t>
  </si>
  <si>
    <t>1163082</t>
  </si>
  <si>
    <t>OLAKHI300088576</t>
  </si>
  <si>
    <t>9600/12/2022/ITFM</t>
  </si>
  <si>
    <t>08-DEC-2022</t>
  </si>
  <si>
    <t>9976AP1213510031</t>
  </si>
  <si>
    <t>USMAN MURTAZA</t>
  </si>
  <si>
    <t>38403-2666774-3</t>
  </si>
  <si>
    <t>03219664267</t>
  </si>
  <si>
    <t>03219664267, 03219664267</t>
  </si>
  <si>
    <t xml:space="preserve">MS TEXTILE OFFICE 01 UPPER FLOOR AF ZAL ICE FACTORY AREA FSD FAISALABAD </t>
  </si>
  <si>
    <t>57132/00042/12/2021</t>
  </si>
  <si>
    <t>Q354134</t>
  </si>
  <si>
    <t>7053315</t>
  </si>
  <si>
    <t>OLDFSD300081704</t>
  </si>
  <si>
    <t>DIB0032684</t>
  </si>
  <si>
    <t>09-DEC-2021</t>
  </si>
  <si>
    <t>997APD1193470001</t>
  </si>
  <si>
    <t>MUHAMMAD AMIN</t>
  </si>
  <si>
    <t>42101-1542591-5</t>
  </si>
  <si>
    <t>03218203684</t>
  </si>
  <si>
    <t>03218203684, 03218203684</t>
  </si>
  <si>
    <t xml:space="preserve">FLAT # 804, BLOCK # 4, SKY SHAMIM TOWER YASEENABAD KARACHI PAKISTAN </t>
  </si>
  <si>
    <t>51531/00018/12/2019</t>
  </si>
  <si>
    <t>12954864</t>
  </si>
  <si>
    <t>058595</t>
  </si>
  <si>
    <t>PODKHI300051343</t>
  </si>
  <si>
    <t>DIB0028039</t>
  </si>
  <si>
    <t>12-DEC-2019</t>
  </si>
  <si>
    <t>9976AD1212430054</t>
  </si>
  <si>
    <t>SUMAIR FAYYAZ</t>
  </si>
  <si>
    <t>31202-2663332-1</t>
  </si>
  <si>
    <t>0515762101</t>
  </si>
  <si>
    <t>03335132767 03325777333</t>
  </si>
  <si>
    <t>0515777333</t>
  </si>
  <si>
    <t xml:space="preserve">NAGINA MANZIL, HOUSE NO. G-114 ST NO.5, USMAN PURA, RAJA BAZAR RWP.CONTACT: 03325777333 03335132767 </t>
  </si>
  <si>
    <t>DIB/T/34736/ISB/1221</t>
  </si>
  <si>
    <t>2A40867</t>
  </si>
  <si>
    <t>R-7025579</t>
  </si>
  <si>
    <t>OLARWP300072596</t>
  </si>
  <si>
    <t>DIB0032664</t>
  </si>
  <si>
    <t>9976AP1201400008</t>
  </si>
  <si>
    <t>35201-0604715-7</t>
  </si>
  <si>
    <t>03231410567</t>
  </si>
  <si>
    <t>32703000</t>
  </si>
  <si>
    <t xml:space="preserve">H# 18 B PARADISE SOCIETY CHANDRAI R OAD CHUNGI AMER SIDHU NEAR THE SMAR LAHORE PK </t>
  </si>
  <si>
    <t>50025/00125/11/2018</t>
  </si>
  <si>
    <t>177171</t>
  </si>
  <si>
    <t>10077171</t>
  </si>
  <si>
    <t>LE-19-4803</t>
  </si>
  <si>
    <t>19-MAY-2020</t>
  </si>
  <si>
    <t>PODLHR300040701</t>
  </si>
  <si>
    <t>DIB0026431</t>
  </si>
  <si>
    <t>9976AP1183390001</t>
  </si>
  <si>
    <t>9976AD2212440006</t>
  </si>
  <si>
    <t>MUHAMMAD ARSLAN SADAQAT</t>
  </si>
  <si>
    <t>37405-4056152-7</t>
  </si>
  <si>
    <t>03005390870</t>
  </si>
  <si>
    <t>0519208240</t>
  </si>
  <si>
    <t xml:space="preserve">H # 53 ALI STREET BOSTAN TOWN RIFF AT SHAHEEN ROAD NEAR FAZAIA HOUSING RAWALPINDI PK </t>
  </si>
  <si>
    <t>DIB/T/34737/ISB/1221</t>
  </si>
  <si>
    <t>Q085372</t>
  </si>
  <si>
    <t>6062867</t>
  </si>
  <si>
    <t>OLARWP300072872</t>
  </si>
  <si>
    <t>DIB0032666</t>
  </si>
  <si>
    <t>997AAD2202720013</t>
  </si>
  <si>
    <t>ALIYA TABASSUM</t>
  </si>
  <si>
    <t>44103-0304893-0</t>
  </si>
  <si>
    <t>03352296199</t>
  </si>
  <si>
    <t xml:space="preserve">HOUSE NO 359 BLOCK-19 MOHALA SATELITE TOWN MIRPURKHAS MIRPURKHAS 0335-2296199 </t>
  </si>
  <si>
    <t>01-2011-PO-MTR-PCCM-D-002052</t>
  </si>
  <si>
    <t>164365</t>
  </si>
  <si>
    <t>10064293</t>
  </si>
  <si>
    <t>POAMPK300057671</t>
  </si>
  <si>
    <t>DIB0029078</t>
  </si>
  <si>
    <t>997AAD1202740057</t>
  </si>
  <si>
    <t>ASAD MUBARAK</t>
  </si>
  <si>
    <t>37405-0251792-9</t>
  </si>
  <si>
    <t>03335472392</t>
  </si>
  <si>
    <t>0515566816</t>
  </si>
  <si>
    <t xml:space="preserve">H # 226 ST # 09 MOHALLAH HAFIZABAD DHOKE MANGTAL RAWALPINDI PK </t>
  </si>
  <si>
    <t>2524/02243/00003/12/2020</t>
  </si>
  <si>
    <t>9800062</t>
  </si>
  <si>
    <t>LR265725</t>
  </si>
  <si>
    <t>POARWP300057971</t>
  </si>
  <si>
    <t>DIB0029128</t>
  </si>
  <si>
    <t>9976AD1212860015</t>
  </si>
  <si>
    <t>SHAHZAD DANISH</t>
  </si>
  <si>
    <t>33100-0695683-7</t>
  </si>
  <si>
    <t>03000330133</t>
  </si>
  <si>
    <t xml:space="preserve">HOUSE NO 745/2, PEOPLES COLONY NO 01, BLOCK-B, FAISALABAD CELL NO: 0300-0330133 </t>
  </si>
  <si>
    <t>DIB/T/34712/LHR/1221</t>
  </si>
  <si>
    <t>81001878</t>
  </si>
  <si>
    <t>R006500</t>
  </si>
  <si>
    <t>CITY I-VTEC P/T 1.5L</t>
  </si>
  <si>
    <t>OLAFSD300074827</t>
  </si>
  <si>
    <t>DIB0032610</t>
  </si>
  <si>
    <t>9976AD2213020005</t>
  </si>
  <si>
    <t>ZAFAR IQBAL</t>
  </si>
  <si>
    <t>38201-4010051-1</t>
  </si>
  <si>
    <t>03004045881</t>
  </si>
  <si>
    <t xml:space="preserve">OFFICE # 4 2ND FLOOR, SANWAR CENTRE MOR SAMANABAD LAHORE 0300-4045881 </t>
  </si>
  <si>
    <t>57132/00048/12/2021</t>
  </si>
  <si>
    <t>PKT1017867</t>
  </si>
  <si>
    <t>SV308PK01134395</t>
  </si>
  <si>
    <t>OLALHR300077102</t>
  </si>
  <si>
    <t>DIB0032691</t>
  </si>
  <si>
    <t>9976AP2223390002</t>
  </si>
  <si>
    <t>AYESHA FARAZ</t>
  </si>
  <si>
    <t>35202-2114695-6</t>
  </si>
  <si>
    <t>03224244794</t>
  </si>
  <si>
    <t>99090000</t>
  </si>
  <si>
    <t xml:space="preserve">HOUSE NO 429 BLOCK M-1 LAKE CITY RA IWIND ROAD STREET NO 14 LAHORE PK </t>
  </si>
  <si>
    <t>65483/00006/12/2022</t>
  </si>
  <si>
    <t>241820</t>
  </si>
  <si>
    <t>211170</t>
  </si>
  <si>
    <t>HYUNDAI TUCSON FWD</t>
  </si>
  <si>
    <t>11-DEC-2022</t>
  </si>
  <si>
    <t>OLDLHR300091124</t>
  </si>
  <si>
    <t>108896/12/2022</t>
  </si>
  <si>
    <t>02-DEC-2022</t>
  </si>
  <si>
    <t>9976AP1233460002</t>
  </si>
  <si>
    <t>FAHAD ALI</t>
  </si>
  <si>
    <t>41308-7386090-5</t>
  </si>
  <si>
    <t>03033505719</t>
  </si>
  <si>
    <t>03033505719- 03033505713</t>
  </si>
  <si>
    <t xml:space="preserve">FLAT # 404 4TH FLOOR NAREEN HEAVEN APRT NEW PORT QASIM KARACHI PK </t>
  </si>
  <si>
    <t>78992/00010/12/2023</t>
  </si>
  <si>
    <t>07-DEC-2024</t>
  </si>
  <si>
    <t>074005</t>
  </si>
  <si>
    <t>710911</t>
  </si>
  <si>
    <t>BXQ-243</t>
  </si>
  <si>
    <t>OLUKHI300098469</t>
  </si>
  <si>
    <t>DIB0035497</t>
  </si>
  <si>
    <t>9976AP1233450005</t>
  </si>
  <si>
    <t>UMER RAZA BROHI</t>
  </si>
  <si>
    <t>45402-0738549-9</t>
  </si>
  <si>
    <t>03332366238</t>
  </si>
  <si>
    <t xml:space="preserve">HOUSE # A-109 SEC Z-2 GULSHAN-E-MAY MAR NEAR MERTIN MERIT COLLEGE KARACHI PK </t>
  </si>
  <si>
    <t>78992/00011/12/2023</t>
  </si>
  <si>
    <t>127773</t>
  </si>
  <si>
    <t>10027776</t>
  </si>
  <si>
    <t>BNF-054</t>
  </si>
  <si>
    <t>OLUKHI300098448</t>
  </si>
  <si>
    <t>DIB0035496</t>
  </si>
  <si>
    <t>9976AD1221500089</t>
  </si>
  <si>
    <t>MUHAMMAD BILAL SIDDIQI</t>
  </si>
  <si>
    <t>35202-3772419-1</t>
  </si>
  <si>
    <t>03034290201</t>
  </si>
  <si>
    <t xml:space="preserve">H NO 170-H1 ST NO 1-B MEHRAN PARK S HALIMAR TOWN LAHORE PK </t>
  </si>
  <si>
    <t>65483/0005/12/2022</t>
  </si>
  <si>
    <t>6R260728</t>
  </si>
  <si>
    <t>1160710</t>
  </si>
  <si>
    <t>OLALHR300087663</t>
  </si>
  <si>
    <t>9560/12/2022/ITFM</t>
  </si>
  <si>
    <t>9976AD1221600002</t>
  </si>
  <si>
    <t>35201-8126632-1</t>
  </si>
  <si>
    <t>03164301125</t>
  </si>
  <si>
    <t xml:space="preserve">ENGLISH CABLES SHOP#18, NEW AL-MADINA MARKET SHAH ALAM MARKET LAHORE. 0316-4301125 </t>
  </si>
  <si>
    <t>65483/0004/12/2022</t>
  </si>
  <si>
    <t>6R260182</t>
  </si>
  <si>
    <t>1160114</t>
  </si>
  <si>
    <t>OLALHR300087952</t>
  </si>
  <si>
    <t>9561/12/2022/ITFM</t>
  </si>
  <si>
    <t>9976AD1223320003</t>
  </si>
  <si>
    <t>ASFENDYAR AHMED</t>
  </si>
  <si>
    <t>42000-4280309-5</t>
  </si>
  <si>
    <t>03008555628</t>
  </si>
  <si>
    <t xml:space="preserve">H # 250 ST # 23 SECTOR E-7 ISLAMABAD PK </t>
  </si>
  <si>
    <t>65483/00017/12/2022</t>
  </si>
  <si>
    <t>7915407</t>
  </si>
  <si>
    <t>005406</t>
  </si>
  <si>
    <t>HONDA CIVIC ORIEL 1.5L TURBO M-CVT</t>
  </si>
  <si>
    <t>OLAISD300091010</t>
  </si>
  <si>
    <t>108903/12/2022</t>
  </si>
  <si>
    <t>9976AD1221850010</t>
  </si>
  <si>
    <t>MUHAMMAD KAMIL</t>
  </si>
  <si>
    <t>35201-9846771-3</t>
  </si>
  <si>
    <t>03226653762</t>
  </si>
  <si>
    <t xml:space="preserve">H NO 27-A ST NO 2 BLOCK A AL FAISAL TOWN LAHORE PK </t>
  </si>
  <si>
    <t>65483/00016/12/2022</t>
  </si>
  <si>
    <t>AQNH01799</t>
  </si>
  <si>
    <t>1900891</t>
  </si>
  <si>
    <t>CHERRY TIGGO 4 PRO 1.5 DEX+</t>
  </si>
  <si>
    <t>OLALHR300088332</t>
  </si>
  <si>
    <t>9602/12/2022/ITFM</t>
  </si>
  <si>
    <t>9976AD1221470073</t>
  </si>
  <si>
    <t>SHEIKH AKIF IMRAN</t>
  </si>
  <si>
    <t>33100-1017204-5</t>
  </si>
  <si>
    <t>03008662008</t>
  </si>
  <si>
    <t>03008662008, 03207964915</t>
  </si>
  <si>
    <t>0418542009</t>
  </si>
  <si>
    <t xml:space="preserve">P-15 ST NO 1 KAREEM BLOCK AL FAYAZ COLONY SATYANA ROAD FAISALABAD PK </t>
  </si>
  <si>
    <t>64794/00074/11/2022</t>
  </si>
  <si>
    <t>6R259874</t>
  </si>
  <si>
    <t>1159874</t>
  </si>
  <si>
    <t>OLAFSD300087554</t>
  </si>
  <si>
    <t>9464/11/2022/ITFM</t>
  </si>
  <si>
    <t>997AAD2202340002</t>
  </si>
  <si>
    <t>MUHAMMAD FAROOQ MALIK</t>
  </si>
  <si>
    <t>37405-6135233-7</t>
  </si>
  <si>
    <t>0300-8558197</t>
  </si>
  <si>
    <t>5540314</t>
  </si>
  <si>
    <t xml:space="preserve">H # 621 ST # 08 CHAKLALA SCHEME III RAWALPINDI </t>
  </si>
  <si>
    <t>53326/00030/12/2020</t>
  </si>
  <si>
    <t>0893774</t>
  </si>
  <si>
    <t>1094034</t>
  </si>
  <si>
    <t>POARWP300056654</t>
  </si>
  <si>
    <t>3779/12/2020/ITFM</t>
  </si>
  <si>
    <t>08-DEC-2020</t>
  </si>
  <si>
    <t>9976AD1212650016</t>
  </si>
  <si>
    <t>AHMAR BUTT</t>
  </si>
  <si>
    <t>35200-1430666-9</t>
  </si>
  <si>
    <t>03334887696</t>
  </si>
  <si>
    <t>042366230056-8</t>
  </si>
  <si>
    <t xml:space="preserve">65 RASOOL PARK SHAMA ROAD ICHRA LAHORE 0333-4887696 </t>
  </si>
  <si>
    <t>57132/00032/12/2021</t>
  </si>
  <si>
    <t>16929296</t>
  </si>
  <si>
    <t>MR081811</t>
  </si>
  <si>
    <t>OLALHR300073582</t>
  </si>
  <si>
    <t>DIB0032665</t>
  </si>
  <si>
    <t>08-DEC-2021</t>
  </si>
  <si>
    <t>997APD2203450005</t>
  </si>
  <si>
    <t>MUHAMMAD KHALID</t>
  </si>
  <si>
    <t>35201-1463150-7</t>
  </si>
  <si>
    <t>03077778053</t>
  </si>
  <si>
    <t>04232174756</t>
  </si>
  <si>
    <t xml:space="preserve">7TH FLOOR 75/76 D-1 ASKARI DEVELOPM ENT and HOLDING PVT LTD MAIN BOULEVAR D GULBERG III LAHORE </t>
  </si>
  <si>
    <t>53326/00029/12/2020</t>
  </si>
  <si>
    <t>17518025</t>
  </si>
  <si>
    <t>JR233287</t>
  </si>
  <si>
    <t>LE-19-5035</t>
  </si>
  <si>
    <t>POULHR300063553</t>
  </si>
  <si>
    <t>3787/12/2020/ITFM</t>
  </si>
  <si>
    <t>09-DEC-2020</t>
  </si>
  <si>
    <t>9976AD2210910041</t>
  </si>
  <si>
    <t>MUHAMMAD ISMAIL</t>
  </si>
  <si>
    <t>42201-2226690-1</t>
  </si>
  <si>
    <t>03332210776</t>
  </si>
  <si>
    <t xml:space="preserve">HOUSE # S-579 KORANGI # 1NEAR TITAN IC HOSUING KORANGI NEAR RABBANI MAS KARACHI PK </t>
  </si>
  <si>
    <t>57132/00034/12/2021</t>
  </si>
  <si>
    <t>131322</t>
  </si>
  <si>
    <t>708177</t>
  </si>
  <si>
    <t>KIA PICANTO A/T 1.0L</t>
  </si>
  <si>
    <t>OLAKHI300067500</t>
  </si>
  <si>
    <t>DIB0032630</t>
  </si>
  <si>
    <t>9976AD1212420026</t>
  </si>
  <si>
    <t>HURR RAZA</t>
  </si>
  <si>
    <t>35201-1645762-3</t>
  </si>
  <si>
    <t>03211489894</t>
  </si>
  <si>
    <t xml:space="preserve">SHER RUBBANI MARKET MAIN BAZAR CHUN GI AMER SIDHU LAHORE </t>
  </si>
  <si>
    <t>57132/00031/12/2021</t>
  </si>
  <si>
    <t>225213</t>
  </si>
  <si>
    <t>10125215</t>
  </si>
  <si>
    <t>OLALHR30072703</t>
  </si>
  <si>
    <t>DIB0032661</t>
  </si>
  <si>
    <t>9976AD2212080011</t>
  </si>
  <si>
    <t>AQIB AHMAD</t>
  </si>
  <si>
    <t>36601-9523626-7</t>
  </si>
  <si>
    <t>03045377103</t>
  </si>
  <si>
    <t xml:space="preserve">CIVIL PARK NEAR NEAR SHEIKH MAQSOOD HOSPITAL BUREWALA PK </t>
  </si>
  <si>
    <t>01-2111-PO-MTR-PCCM-D-001637</t>
  </si>
  <si>
    <t>189472</t>
  </si>
  <si>
    <t>10089467</t>
  </si>
  <si>
    <t>OLABRW300071071</t>
  </si>
  <si>
    <t>5830/12/2021</t>
  </si>
  <si>
    <t>9976AP1203430002</t>
  </si>
  <si>
    <t>SYED RAHEEL IMAM ABDI</t>
  </si>
  <si>
    <t>42101-6175624-1</t>
  </si>
  <si>
    <t>36002100</t>
  </si>
  <si>
    <t>03463232949</t>
  </si>
  <si>
    <t>36634922</t>
  </si>
  <si>
    <t xml:space="preserve">PLOT NO 142 2ND FLOOR BLOCK A NORTH NAZIMABAD KARACHI </t>
  </si>
  <si>
    <t>53326/00012/12/2020</t>
  </si>
  <si>
    <t>17534818</t>
  </si>
  <si>
    <t>254769</t>
  </si>
  <si>
    <t>BRH-261</t>
  </si>
  <si>
    <t>CITY IVTEC P/T</t>
  </si>
  <si>
    <t>POUKHI300063271</t>
  </si>
  <si>
    <t>3763/12/2020/ITFM</t>
  </si>
  <si>
    <t>04-DEC-2020</t>
  </si>
  <si>
    <t>997AAD1202440047</t>
  </si>
  <si>
    <t>MUHAMMAD-ASAAN ACCOUNT</t>
  </si>
  <si>
    <t>42301-2670438-9</t>
  </si>
  <si>
    <t>03242426643</t>
  </si>
  <si>
    <t xml:space="preserve">SHOP NO 4 CM GLOBAL CENTER NEAR MEMON MASJID KARACHI </t>
  </si>
  <si>
    <t>2524/02243/00020/12/2020</t>
  </si>
  <si>
    <t>060522</t>
  </si>
  <si>
    <t>703485</t>
  </si>
  <si>
    <t>POAKHI300056998</t>
  </si>
  <si>
    <t>DIB0029132</t>
  </si>
  <si>
    <t>997AAD1202050032</t>
  </si>
  <si>
    <t>RABIA BILAL LAGHARI</t>
  </si>
  <si>
    <t>41408-4953972-4</t>
  </si>
  <si>
    <t>03332481250</t>
  </si>
  <si>
    <t>0229200657</t>
  </si>
  <si>
    <t xml:space="preserve">HOUSE # A-74 KALHORA COLONY IMAM BA RGAH STREET NEAR EYE HOSPITAL HYDERABAD PK </t>
  </si>
  <si>
    <t>53326/00007/12/2020</t>
  </si>
  <si>
    <t>2A13362</t>
  </si>
  <si>
    <t>9505439</t>
  </si>
  <si>
    <t>POAHYD300055551</t>
  </si>
  <si>
    <t>DIB0029131</t>
  </si>
  <si>
    <t>9976AD2212710005</t>
  </si>
  <si>
    <t>MUHAMMAD JAFFER</t>
  </si>
  <si>
    <t>17301-2037557-9</t>
  </si>
  <si>
    <t>03214162191</t>
  </si>
  <si>
    <t xml:space="preserve">OFFCIE NO 126 C-BLOCK IQBAL AVENUE PHASE III CANAL BANK ROAD LAHORE </t>
  </si>
  <si>
    <t>DIB/T/34726/LHR/1221</t>
  </si>
  <si>
    <t>2A41466</t>
  </si>
  <si>
    <t>7025995</t>
  </si>
  <si>
    <t>OLALHR300074169</t>
  </si>
  <si>
    <t>TDIDIB0029855</t>
  </si>
  <si>
    <t>9976AD1211200045</t>
  </si>
  <si>
    <t>MUHAMMAD RAZA</t>
  </si>
  <si>
    <t>35202-5176975-1</t>
  </si>
  <si>
    <t>03454744495</t>
  </si>
  <si>
    <t>04237143305</t>
  </si>
  <si>
    <t xml:space="preserve">2 SONI MANZIL AL KARIM MARKET URDU BAZAR NEAR DUBAI ISLAMIC BANK LAHORE </t>
  </si>
  <si>
    <t>2524/02795/0005/12/2021</t>
  </si>
  <si>
    <t>507542</t>
  </si>
  <si>
    <t>1004742</t>
  </si>
  <si>
    <t>ALSVIN 1.5 LUMIERE</t>
  </si>
  <si>
    <t>OLALHR300068496</t>
  </si>
  <si>
    <t>DIB0032621</t>
  </si>
  <si>
    <t>06-DEC-2021</t>
  </si>
  <si>
    <t>997AAD2202440009</t>
  </si>
  <si>
    <t>HAFIZ MUHAMMAD YAQOOB</t>
  </si>
  <si>
    <t>33100-0992331-1</t>
  </si>
  <si>
    <t>041-2553261</t>
  </si>
  <si>
    <t>0301-7073261</t>
  </si>
  <si>
    <t xml:space="preserve">P # 476-A BLOCK ST # 07 NAZIMABAD NR JINNAH DEAL SCHOOL FAISALABAD </t>
  </si>
  <si>
    <t>53326/00004/12/2020</t>
  </si>
  <si>
    <t>Q069032</t>
  </si>
  <si>
    <t>ZRE171R-6046570</t>
  </si>
  <si>
    <t>POAFSD300056917</t>
  </si>
  <si>
    <t>3738/12/2020</t>
  </si>
  <si>
    <t>997APD1203390002</t>
  </si>
  <si>
    <t>MUHAMMAD TALAL ILYAS</t>
  </si>
  <si>
    <t>34603-3689646-7</t>
  </si>
  <si>
    <t>03217141815</t>
  </si>
  <si>
    <t xml:space="preserve">MUMTAZ ARCADE SHOP NO 4 NEW IQBAL P ARK DHA LAHORE CANTT LAHORE </t>
  </si>
  <si>
    <t>53326/00008/12/2020</t>
  </si>
  <si>
    <t>2ZR-3JM-D301031</t>
  </si>
  <si>
    <t>ZVW30-1836534</t>
  </si>
  <si>
    <t>AJU-675</t>
  </si>
  <si>
    <t>PRIUS</t>
  </si>
  <si>
    <t>POULHR300063068</t>
  </si>
  <si>
    <t>3743/12/2020/ITFM</t>
  </si>
  <si>
    <t>9976AD2212390004</t>
  </si>
  <si>
    <t>NABEEL MUGHAL</t>
  </si>
  <si>
    <t>35201-9159431-1</t>
  </si>
  <si>
    <t>03048955558</t>
  </si>
  <si>
    <t xml:space="preserve">SIRAJ PARK NEAR MADARSA (JAMIA JALA LIYA) MOMAN PURA ROAD LAHORE </t>
  </si>
  <si>
    <t>57132/00033/12/2021</t>
  </si>
  <si>
    <t>PK10B225066</t>
  </si>
  <si>
    <t>A1J310PK10125089</t>
  </si>
  <si>
    <t>OLALHR300072487</t>
  </si>
  <si>
    <t>DIB0032675</t>
  </si>
  <si>
    <t>997AAD2202740025</t>
  </si>
  <si>
    <t>MUHAMMAD IJAZ</t>
  </si>
  <si>
    <t>34101-7637898-7</t>
  </si>
  <si>
    <t>0321-9646307</t>
  </si>
  <si>
    <t xml:space="preserve">H# 186 ALI HAJI MUHAMMAD WALI MOH BAGBANPURA HAFIZABAD GUJRANWAL </t>
  </si>
  <si>
    <t>01-2012-PO-MTR-PCCM-D-002055</t>
  </si>
  <si>
    <t>L13Z1754253</t>
  </si>
  <si>
    <t>NFBGM1646LR265938</t>
  </si>
  <si>
    <t>POAGWL300057863</t>
  </si>
  <si>
    <t>3754/12/2020/ITMM</t>
  </si>
  <si>
    <t>9976AD1203350063</t>
  </si>
  <si>
    <t>MUHAMMAD QASIM</t>
  </si>
  <si>
    <t>36601-1268163-5</t>
  </si>
  <si>
    <t>03006997279</t>
  </si>
  <si>
    <t xml:space="preserve">HOUSE NO 68 BLOCK N JOIYA ROAD BUREWALA PK </t>
  </si>
  <si>
    <t>01-2012-PO-MTR-PCCM-D-002054</t>
  </si>
  <si>
    <t>164687</t>
  </si>
  <si>
    <t>10064705</t>
  </si>
  <si>
    <t>CULTUS</t>
  </si>
  <si>
    <t>POABRW300063038</t>
  </si>
  <si>
    <t>DIB0029137</t>
  </si>
  <si>
    <t>9976AP2213410001</t>
  </si>
  <si>
    <t>MUHAMMAD ASHRAF TAI</t>
  </si>
  <si>
    <t>42201-9852334-3</t>
  </si>
  <si>
    <t>03009222006</t>
  </si>
  <si>
    <t xml:space="preserve">103 1ST FLOOR ZAM ZAM ARCADE PARSI COLONY NISHTAR PARK KARACHI PK </t>
  </si>
  <si>
    <t>57132/000006/12/2021</t>
  </si>
  <si>
    <t>13514323</t>
  </si>
  <si>
    <t>R014324</t>
  </si>
  <si>
    <t>BH-2902</t>
  </si>
  <si>
    <t>HONDA BRV -IVTEC</t>
  </si>
  <si>
    <t>OLUKHI300081242</t>
  </si>
  <si>
    <t>5832/12/2021</t>
  </si>
  <si>
    <t>04-DEC-2021</t>
  </si>
  <si>
    <t>9976AP1233420002</t>
  </si>
  <si>
    <t>TAUSEEF TAHIR</t>
  </si>
  <si>
    <t>42101-0613181-5</t>
  </si>
  <si>
    <t>35844212</t>
  </si>
  <si>
    <t>03212425780</t>
  </si>
  <si>
    <t>34327521</t>
  </si>
  <si>
    <t xml:space="preserve">HOUSE # 31/2,KHAYABAN-E- BEHRIA,PHASE-05, DHA,KARACHI KARACHI </t>
  </si>
  <si>
    <t>78992/00009/12/2023</t>
  </si>
  <si>
    <t>06-DEC-2024</t>
  </si>
  <si>
    <t>6R221976</t>
  </si>
  <si>
    <t>H1122004</t>
  </si>
  <si>
    <t>BYB-514</t>
  </si>
  <si>
    <t>OLUKHI300098423</t>
  </si>
  <si>
    <t>DIB0035494</t>
  </si>
  <si>
    <t>08-DEC-2023</t>
  </si>
  <si>
    <t>9976AD2212360010</t>
  </si>
  <si>
    <t>MUHAMMAD RASHID</t>
  </si>
  <si>
    <t>35201-1652349-1</t>
  </si>
  <si>
    <t>03214143876</t>
  </si>
  <si>
    <t xml:space="preserve">MOMIN PURA ROAD NEAR MG FACTORYNEAR SOOFI SIDDIQUE KI FACTORY LAHORE </t>
  </si>
  <si>
    <t>57132/00004/12/2021</t>
  </si>
  <si>
    <t>21753123</t>
  </si>
  <si>
    <t>PDF580PALR21K2643</t>
  </si>
  <si>
    <t>PRINCE PRINCE GLORY 580 RHD</t>
  </si>
  <si>
    <t>OLALHR300072155</t>
  </si>
  <si>
    <t>DIB0032613</t>
  </si>
  <si>
    <t>997AAD2203050031</t>
  </si>
  <si>
    <t>ANUM</t>
  </si>
  <si>
    <t>31202-9168398-2</t>
  </si>
  <si>
    <t xml:space="preserve">MOHALLAH QURESHIAN STREET NO 1 HOUSE NO 2 IIIB BAHAWALPUR MOB# 03451875184 </t>
  </si>
  <si>
    <t>0000000667/1220/109-0</t>
  </si>
  <si>
    <t>147051</t>
  </si>
  <si>
    <t>1047028</t>
  </si>
  <si>
    <t>ALTO VXR</t>
  </si>
  <si>
    <t>POABHP300059146</t>
  </si>
  <si>
    <t>TDIDIB0028844</t>
  </si>
  <si>
    <t>9976AP1233420001</t>
  </si>
  <si>
    <t>SYED SHAHEEN SHAH</t>
  </si>
  <si>
    <t>41801-0631359-5</t>
  </si>
  <si>
    <t>03182666733</t>
  </si>
  <si>
    <t xml:space="preserve">OFFICE # 2ND FLOOR NEAR BY RIAZ HOTEL M.T KHAN ROAD SULTANABAD KARACHI </t>
  </si>
  <si>
    <t>78992/00008/12/2023</t>
  </si>
  <si>
    <t>6R200660</t>
  </si>
  <si>
    <t>6H1100645</t>
  </si>
  <si>
    <t>BVU-928</t>
  </si>
  <si>
    <t>OLUKHI300098409</t>
  </si>
  <si>
    <t>DIB0035493</t>
  </si>
  <si>
    <t>997AAD1202320013</t>
  </si>
  <si>
    <t>MUHAMMAD ANIS UR REHMAN</t>
  </si>
  <si>
    <t>37405-3154438-9</t>
  </si>
  <si>
    <t>03009562957</t>
  </si>
  <si>
    <t>0512808160</t>
  </si>
  <si>
    <t xml:space="preserve">H # F-14 PTCL COLONY RAWALPINDI CAN TT RAWALPINDI PK </t>
  </si>
  <si>
    <t>DIB/T/BT/29835/ISB/1220</t>
  </si>
  <si>
    <t>164972</t>
  </si>
  <si>
    <t>10064948</t>
  </si>
  <si>
    <t>CULTUS VXL EURO-II</t>
  </si>
  <si>
    <t>POARWP300056623</t>
  </si>
  <si>
    <t>3759/12/2020/ITFM</t>
  </si>
  <si>
    <t>997AAD1202100007</t>
  </si>
  <si>
    <t>DIB/T/BT/29836/LHR/1220</t>
  </si>
  <si>
    <t>2A13505</t>
  </si>
  <si>
    <t>NSP151R-9505533</t>
  </si>
  <si>
    <t>POAMUX300055771</t>
  </si>
  <si>
    <t>DIB0029142</t>
  </si>
  <si>
    <t>997AAD1203310010</t>
  </si>
  <si>
    <t>NABEEL BIN SHAHID</t>
  </si>
  <si>
    <t>35202-5705595-7</t>
  </si>
  <si>
    <t>03344022007</t>
  </si>
  <si>
    <t xml:space="preserve">HOUSE NO 65-L DHA PHASE 8 LAHORE </t>
  </si>
  <si>
    <t>DIB/T/29838/LHR/1220</t>
  </si>
  <si>
    <t>G4NALH330837</t>
  </si>
  <si>
    <t>NNAQL51AZKP303914</t>
  </si>
  <si>
    <t>POALHR300062387</t>
  </si>
  <si>
    <t>997AAD1203020048</t>
  </si>
  <si>
    <t>KAMRAN SHAFAQAT</t>
  </si>
  <si>
    <t>42101-4760062-5</t>
  </si>
  <si>
    <t>03219423300</t>
  </si>
  <si>
    <t>04237392818</t>
  </si>
  <si>
    <t xml:space="preserve">OFF NO 131-A KACHA RAHEEM ROAD MISR I SHAH LAHORE </t>
  </si>
  <si>
    <t>53326/00015/12/2020</t>
  </si>
  <si>
    <t>6915401</t>
  </si>
  <si>
    <t>LR067386</t>
  </si>
  <si>
    <t>POALHR300059099</t>
  </si>
  <si>
    <t>DIB0029140</t>
  </si>
  <si>
    <t>997AAD1202950008</t>
  </si>
  <si>
    <t>MUHAMMAD USMAN SARWAR</t>
  </si>
  <si>
    <t>35201-5184287-1</t>
  </si>
  <si>
    <t>0302-8481948 / 0300-355375110</t>
  </si>
  <si>
    <t>041-111926336</t>
  </si>
  <si>
    <t xml:space="preserve">H NO 571 D-BLOCK FAISAL TOWN LAHORE </t>
  </si>
  <si>
    <t>53326/00019/12/2020</t>
  </si>
  <si>
    <t>R18Z16915558</t>
  </si>
  <si>
    <t>NFBFC6662LR067516</t>
  </si>
  <si>
    <t>POALHR300058985</t>
  </si>
  <si>
    <t>DIB0029144</t>
  </si>
  <si>
    <t>997AAD1202440027</t>
  </si>
  <si>
    <t>AMEETAB BACHAN</t>
  </si>
  <si>
    <t>42301-3082829-9</t>
  </si>
  <si>
    <t>03313621555</t>
  </si>
  <si>
    <t>32500161</t>
  </si>
  <si>
    <t xml:space="preserve">FLAT # 401 5TH FLOOR AL WAHEED HOME S FREER TOWN CLIFTON NEAR OPP CHURC KARACHI PK </t>
  </si>
  <si>
    <t>DIB/T/29839/KHI/1220</t>
  </si>
  <si>
    <t>332539</t>
  </si>
  <si>
    <t>506793</t>
  </si>
  <si>
    <t>POAKHI300056842</t>
  </si>
  <si>
    <t>9976AP1203430005</t>
  </si>
  <si>
    <t>MUHAMMAD AFZAL MAHMOOD</t>
  </si>
  <si>
    <t>35202-8381354-9</t>
  </si>
  <si>
    <t>03008466162</t>
  </si>
  <si>
    <t xml:space="preserve">OFFICE NO 7 HABIB TOWER BLOCK A-3 M AIN BOULEVARD VALANCIA TOWN LAHORE </t>
  </si>
  <si>
    <t>53326/00016/12/2020</t>
  </si>
  <si>
    <t>2TR7588219</t>
  </si>
  <si>
    <t>TGN51R9401059</t>
  </si>
  <si>
    <t>LEA-14-589</t>
  </si>
  <si>
    <t>POULHR300063181</t>
  </si>
  <si>
    <t>3758/12/2020/ITFM</t>
  </si>
  <si>
    <t>9976AP2233420001</t>
  </si>
  <si>
    <t>TAYYABA HASSAN</t>
  </si>
  <si>
    <t>42101-6681706-4</t>
  </si>
  <si>
    <t>03432204813</t>
  </si>
  <si>
    <t>03132553456</t>
  </si>
  <si>
    <t xml:space="preserve">HNO 182 SECTOR 13-H ORANGI TOWN KHI KARACHI PK </t>
  </si>
  <si>
    <t>78992/00002/12/2023</t>
  </si>
  <si>
    <t>03-DEC-2024</t>
  </si>
  <si>
    <t>288403</t>
  </si>
  <si>
    <t>1188331</t>
  </si>
  <si>
    <t>OLDKHI300098349</t>
  </si>
  <si>
    <t>DIB0035484</t>
  </si>
  <si>
    <t>05-DEC-2023</t>
  </si>
  <si>
    <t>9976AP2183460002</t>
  </si>
  <si>
    <t>HUMAYUN JAVED</t>
  </si>
  <si>
    <t>42101-6874371-5</t>
  </si>
  <si>
    <t>03118282700</t>
  </si>
  <si>
    <t xml:space="preserve">HOUSE # A-39 SECTOR # U-1 GULSHAN E MAYMAR CENTRAL PARK NEAR QUBA MASJ KARACHI PK </t>
  </si>
  <si>
    <t>50159/00002/12/2018</t>
  </si>
  <si>
    <t>PKF-608242</t>
  </si>
  <si>
    <t>SF410PK-515154</t>
  </si>
  <si>
    <t>BDP-508</t>
  </si>
  <si>
    <t>POUKHI300040971</t>
  </si>
  <si>
    <t>TDIDIB0026115</t>
  </si>
  <si>
    <t>12-DEC-2018</t>
  </si>
  <si>
    <t>9976AD2223190002</t>
  </si>
  <si>
    <t>AZHAR HUSSAIN</t>
  </si>
  <si>
    <t>44206-8130327-3</t>
  </si>
  <si>
    <t>03482087680</t>
  </si>
  <si>
    <t>03482087680, 03482087680</t>
  </si>
  <si>
    <t xml:space="preserve">PLOT # 2-C LANE 6 DHA PHASE 6 ITTEH AD COMMERCIAL NEAR BANK AL HABIB KARACHI PK </t>
  </si>
  <si>
    <t>65483/00015/12/2022</t>
  </si>
  <si>
    <t>227779</t>
  </si>
  <si>
    <t>1002122</t>
  </si>
  <si>
    <t>OLAKHI300090808</t>
  </si>
  <si>
    <t>9598/12/2022/ITFM</t>
  </si>
  <si>
    <t>9976AP1213500024</t>
  </si>
  <si>
    <t>ALI</t>
  </si>
  <si>
    <t>34602-4952028-1</t>
  </si>
  <si>
    <t>03096245763</t>
  </si>
  <si>
    <t xml:space="preserve">CHENAB RANGER ROAD NEAR ORA CHOWK K INGRA ROAD SIALKOT PK </t>
  </si>
  <si>
    <t>2524/02795/00012/12/2021</t>
  </si>
  <si>
    <t>811628</t>
  </si>
  <si>
    <t>700261</t>
  </si>
  <si>
    <t>STONIX EX +</t>
  </si>
  <si>
    <t>OLDSKT300081202</t>
  </si>
  <si>
    <t>DIB0032654</t>
  </si>
  <si>
    <t>9976AD1212440006</t>
  </si>
  <si>
    <t>IFTIKHAR UL HASSAN</t>
  </si>
  <si>
    <t>33100-1701289-5</t>
  </si>
  <si>
    <t>03003752222</t>
  </si>
  <si>
    <t>03003752222, 03336567638</t>
  </si>
  <si>
    <t>0412641200</t>
  </si>
  <si>
    <t xml:space="preserve">H NO P-694 ST NO 12 MUNIR ABAD ROA D MADINA ABAD FAISALABAD PK </t>
  </si>
  <si>
    <t>2021-12-205-V01501OP00003065</t>
  </si>
  <si>
    <t>81002021</t>
  </si>
  <si>
    <t>R006630</t>
  </si>
  <si>
    <t>OLAFSD300072908</t>
  </si>
  <si>
    <t>DIB0032639</t>
  </si>
  <si>
    <t>9976AD1212180172</t>
  </si>
  <si>
    <t>SYED MUHAMMAD SAQLAIN</t>
  </si>
  <si>
    <t>33100-0108735-9</t>
  </si>
  <si>
    <t>03122766646</t>
  </si>
  <si>
    <t>03122766646, 03122766646</t>
  </si>
  <si>
    <t xml:space="preserve">H NO P-896 105 ROAD Y BLOCK NEAR AB BAS CHOWK MADINA TOWN FSD NEAR GOA FAISALABAD PK </t>
  </si>
  <si>
    <t>DIB/T/34687/LHR/1221</t>
  </si>
  <si>
    <t>81001808</t>
  </si>
  <si>
    <t>R006499</t>
  </si>
  <si>
    <t>OLAFSD300071672</t>
  </si>
  <si>
    <t>5823/12/2021</t>
  </si>
  <si>
    <t>997AAD2202810003</t>
  </si>
  <si>
    <t>AHMAD SAEED</t>
  </si>
  <si>
    <t>31202-0263321-5</t>
  </si>
  <si>
    <t>37183246</t>
  </si>
  <si>
    <t>0300-8471065</t>
  </si>
  <si>
    <t xml:space="preserve">H# 69 ST# 02 BLOCK-B PHASE-5 DHA LAHORE </t>
  </si>
  <si>
    <t>DIB/T/BT/29845/LHR/1220</t>
  </si>
  <si>
    <t>Q346496</t>
  </si>
  <si>
    <t>ZRE172R-7045657</t>
  </si>
  <si>
    <t>POALHR300058225</t>
  </si>
  <si>
    <t>TDIDIB0028847</t>
  </si>
  <si>
    <t>07-DEC-2020</t>
  </si>
  <si>
    <t>9976AD1212670018</t>
  </si>
  <si>
    <t>MUHAMMAD KHAWAR MEHMOOD</t>
  </si>
  <si>
    <t>33102-7940106-7</t>
  </si>
  <si>
    <t>03237603422</t>
  </si>
  <si>
    <t>03237603422, 03237603422</t>
  </si>
  <si>
    <t xml:space="preserve">H NO 1044 -45 KALEEM SHAHEED COLONY NO 01 FSD NEAR KABOOTAR WALA CHOWK FAISALABAD PK </t>
  </si>
  <si>
    <t>57132/00018/12/2021</t>
  </si>
  <si>
    <t>2A42057</t>
  </si>
  <si>
    <t>R7026436</t>
  </si>
  <si>
    <t>OLAFSD300073907</t>
  </si>
  <si>
    <t>DIB0032638</t>
  </si>
  <si>
    <t>9976AP1213440014</t>
  </si>
  <si>
    <t>FAREEHA JABEEN</t>
  </si>
  <si>
    <t>33203-6810696-0</t>
  </si>
  <si>
    <t>03084420270</t>
  </si>
  <si>
    <t xml:space="preserve">28 BURJ E ABBAS PLAZA NISHTER BLOCK COMMERCIAL BAHRIA TOWN NEAR GOHRA CASE LAHORE </t>
  </si>
  <si>
    <t>2524/027958/00013/12/2021</t>
  </si>
  <si>
    <t>189673</t>
  </si>
  <si>
    <t>10089662</t>
  </si>
  <si>
    <t>OLDLHR300081542</t>
  </si>
  <si>
    <t>DIB0032656</t>
  </si>
  <si>
    <t>9976AD1212730131</t>
  </si>
  <si>
    <t>FARHAT RASHEED</t>
  </si>
  <si>
    <t>33100-9320531-9</t>
  </si>
  <si>
    <t>03018669332</t>
  </si>
  <si>
    <t>03018669332, 03018669332</t>
  </si>
  <si>
    <t>0418403541</t>
  </si>
  <si>
    <t xml:space="preserve">104-F SATYANA ROAD FSD NEAR FISH FO RM FAISALABAD PK </t>
  </si>
  <si>
    <t>57132/00019/12/2021</t>
  </si>
  <si>
    <t>2A41961</t>
  </si>
  <si>
    <t>9515570</t>
  </si>
  <si>
    <t>OLAFSD300074485</t>
  </si>
  <si>
    <t>DIB0032641</t>
  </si>
  <si>
    <t>9976AD1211970016</t>
  </si>
  <si>
    <t>SARFRAZ ALI</t>
  </si>
  <si>
    <t>34602-0754559-1</t>
  </si>
  <si>
    <t>03008618722</t>
  </si>
  <si>
    <t xml:space="preserve">SUBLIME CHOWK MOH GREEN TOWN SIALKOT PK </t>
  </si>
  <si>
    <t>57132/00025/12/2021</t>
  </si>
  <si>
    <t>227380</t>
  </si>
  <si>
    <t>10123805</t>
  </si>
  <si>
    <t>11-MAR-2022</t>
  </si>
  <si>
    <t>11-Mar-2027</t>
  </si>
  <si>
    <t>OLASKT300070594</t>
  </si>
  <si>
    <t>DIB0032600</t>
  </si>
  <si>
    <t>9976AP2213420004</t>
  </si>
  <si>
    <t>SHAHROZE KASHIF</t>
  </si>
  <si>
    <t>33102-5371249-3</t>
  </si>
  <si>
    <t>03248669777</t>
  </si>
  <si>
    <t>03248661777, 03248661777</t>
  </si>
  <si>
    <t>0418522227</t>
  </si>
  <si>
    <t xml:space="preserve">P-134 EAST CANAL ROAD NEW GREEN TOW N FSD FAISALABAD PK </t>
  </si>
  <si>
    <t>57132/00021/12/2021</t>
  </si>
  <si>
    <t>112919</t>
  </si>
  <si>
    <t>10012897</t>
  </si>
  <si>
    <t>LEA-18-2064</t>
  </si>
  <si>
    <t>OLUFSD300081482</t>
  </si>
  <si>
    <t>DIB0032646</t>
  </si>
  <si>
    <t>997AAD1202440026</t>
  </si>
  <si>
    <t>ELLAHI BUKSH QURESHI</t>
  </si>
  <si>
    <t>43104-1218419-9</t>
  </si>
  <si>
    <t>03337123927</t>
  </si>
  <si>
    <t xml:space="preserve">HOUSE NO D 101/A BLOCK 2 OPP ZIA UDDIN HOSPITAL CLIFTON KARACHI </t>
  </si>
  <si>
    <t>2524/0243/00014/12/2020</t>
  </si>
  <si>
    <t>060675</t>
  </si>
  <si>
    <t>703445</t>
  </si>
  <si>
    <t>POAKHI300056837</t>
  </si>
  <si>
    <t>3761/12/2020/ITFM</t>
  </si>
  <si>
    <t>9976AP1213470022</t>
  </si>
  <si>
    <t>ZAIN HUSSAIN QURESHI</t>
  </si>
  <si>
    <t>42201-5676505-7</t>
  </si>
  <si>
    <t xml:space="preserve">HOUSE NO: 94B, 16TH CENTRAL STREET PHASE 02, DHA, KARACHI KARACHI </t>
  </si>
  <si>
    <t>57132/00028/12/2021</t>
  </si>
  <si>
    <t>K151089</t>
  </si>
  <si>
    <t>H10051072</t>
  </si>
  <si>
    <t>BRH-310</t>
  </si>
  <si>
    <t>OLUISD300081512</t>
  </si>
  <si>
    <t>DIB0032685</t>
  </si>
  <si>
    <t>9976AD1233040002</t>
  </si>
  <si>
    <t>KHURRAM BASHIR</t>
  </si>
  <si>
    <t>33100-6256076-3</t>
  </si>
  <si>
    <t>03008662212</t>
  </si>
  <si>
    <t xml:space="preserve">P 21 2ND FLOOR MALIK PLAZA OPP HOCKEY STADIUM FAISALABAD CRI INTERNATIONAL 03008662212 </t>
  </si>
  <si>
    <t>78992/00004/12/2023</t>
  </si>
  <si>
    <t>04-DEC-2024</t>
  </si>
  <si>
    <t>288533</t>
  </si>
  <si>
    <t>1188543</t>
  </si>
  <si>
    <t>OLAFSD300097680</t>
  </si>
  <si>
    <t>10631/12/2023/ITFM</t>
  </si>
  <si>
    <t>9976AP2213430009</t>
  </si>
  <si>
    <t>MIAN ARSHAD ALI</t>
  </si>
  <si>
    <t>Kasur</t>
  </si>
  <si>
    <t>35102-4917647-3</t>
  </si>
  <si>
    <t>03226586805</t>
  </si>
  <si>
    <t xml:space="preserve">JAMAL PURA RASOOL PUR ROAD KASUR </t>
  </si>
  <si>
    <t>DIB/T/34732/LHR/1221</t>
  </si>
  <si>
    <t>224966</t>
  </si>
  <si>
    <t>10124967</t>
  </si>
  <si>
    <t>OLDKSR300081353</t>
  </si>
  <si>
    <t>TDIDIB0029862</t>
  </si>
  <si>
    <t>9976AP1213430005</t>
  </si>
  <si>
    <t>MARYAM MASOOD</t>
  </si>
  <si>
    <t>42101-2916493-4</t>
  </si>
  <si>
    <t>03412443496</t>
  </si>
  <si>
    <t xml:space="preserve">PLOT NO BS- 13 FLAT NO 702 7 TH FLO OR AL GHAFOOR BLESSING BLOCK 7 FB A KARACHI PK </t>
  </si>
  <si>
    <t>57132/00020/12/2021</t>
  </si>
  <si>
    <t>6R119491</t>
  </si>
  <si>
    <t>H1019747</t>
  </si>
  <si>
    <t>BRA-564</t>
  </si>
  <si>
    <t>OLUKHI300081443</t>
  </si>
  <si>
    <t>5839/12/2021</t>
  </si>
  <si>
    <t>9976AP2213410003</t>
  </si>
  <si>
    <t>JAMSHAD HASHMI</t>
  </si>
  <si>
    <t>35202-9659409-7</t>
  </si>
  <si>
    <t>03214286867</t>
  </si>
  <si>
    <t xml:space="preserve">GROUND FLOOR H 18 TARIQ STREET NO 3 ISLAMIA PARK CHUBURJI LAHORE </t>
  </si>
  <si>
    <t>57132/00015/12/2021</t>
  </si>
  <si>
    <t>6R106558</t>
  </si>
  <si>
    <t>1006619</t>
  </si>
  <si>
    <t>LEH-19-3743</t>
  </si>
  <si>
    <t>OLULHR300081404</t>
  </si>
  <si>
    <t>DIB0032636</t>
  </si>
  <si>
    <t>997AAD1202040011</t>
  </si>
  <si>
    <t>MUHAMMAD YOUSAF</t>
  </si>
  <si>
    <t>34101-6043975-7</t>
  </si>
  <si>
    <t>03216466387</t>
  </si>
  <si>
    <t xml:space="preserve">STREET NO 5 MUHALLA MUHAMMAD NAGAR NOSHEHRA ROAD DAKKHANA KHAS GUJRANWALA PK </t>
  </si>
  <si>
    <t>2524/00243/00015/12/2020</t>
  </si>
  <si>
    <t>164908</t>
  </si>
  <si>
    <t>10064826</t>
  </si>
  <si>
    <t>CULTUS VXL AGS EURO-II</t>
  </si>
  <si>
    <t>POALHR300055523</t>
  </si>
  <si>
    <t>3774/12/2020/ITFM</t>
  </si>
  <si>
    <t>9976AD1212710018</t>
  </si>
  <si>
    <t>SYED HAMMAD MUNIR</t>
  </si>
  <si>
    <t>35202-1375715-1</t>
  </si>
  <si>
    <t>03434417420</t>
  </si>
  <si>
    <t>99201055</t>
  </si>
  <si>
    <t xml:space="preserve">H# 652 C MOH FAISAL TOWN NEAR VIRTU AL UNIVERSITY LAHORE PK </t>
  </si>
  <si>
    <t>2524/02795/00008/12/2021</t>
  </si>
  <si>
    <t>2841770</t>
  </si>
  <si>
    <t>R-7026242</t>
  </si>
  <si>
    <t>TOYOTA YARIS GLI MT 1.3</t>
  </si>
  <si>
    <t>OLALHR300074252</t>
  </si>
  <si>
    <t>DIB0032635</t>
  </si>
  <si>
    <t>9976AP1213430006</t>
  </si>
  <si>
    <t>KHAWAJA REHAN UL HASAN</t>
  </si>
  <si>
    <t>42201-4262838-1</t>
  </si>
  <si>
    <t>03042225454</t>
  </si>
  <si>
    <t xml:space="preserve">RENAISSANCE INSPECTION AND CERTIFIC HOUSE NO D-13 AL-HILAL SOCIETY UNIVERSITY ROAD OPP ASKARI PARK KHI </t>
  </si>
  <si>
    <t>57132/00026/12/2021</t>
  </si>
  <si>
    <t>118229</t>
  </si>
  <si>
    <t>10018215</t>
  </si>
  <si>
    <t>BMD-908</t>
  </si>
  <si>
    <t>OLUKHI300081472</t>
  </si>
  <si>
    <t>5841/12/2021</t>
  </si>
  <si>
    <t>9976AD1212720022</t>
  </si>
  <si>
    <t>ABDUL RAHMAN SALEEM</t>
  </si>
  <si>
    <t>33102-7172080-1</t>
  </si>
  <si>
    <t>03067886772</t>
  </si>
  <si>
    <t>03067886772, 03067886772</t>
  </si>
  <si>
    <t xml:space="preserve">P-41-Y ST NO 11 MADINA TOWN FSD NEA R ALI ZAIB FOUNDATION FAISALABAD PK </t>
  </si>
  <si>
    <t>2021-12-205-V01501OP00003066</t>
  </si>
  <si>
    <t>2A42048</t>
  </si>
  <si>
    <t>R-7026424</t>
  </si>
  <si>
    <t>OLAFSD3000074249</t>
  </si>
  <si>
    <t>DIB0032640</t>
  </si>
  <si>
    <t>9976AD2212120052</t>
  </si>
  <si>
    <t>IMRAN SOHAIL</t>
  </si>
  <si>
    <t>34603-1775316-5</t>
  </si>
  <si>
    <t>03006152620</t>
  </si>
  <si>
    <t xml:space="preserve">DANMBRIAN WALA KHOO MOH HAJI PURA N EAR MC GIRLS SCHOOL SIALKOT PK </t>
  </si>
  <si>
    <t>57132/00029/12/2021</t>
  </si>
  <si>
    <t>223957</t>
  </si>
  <si>
    <t>10123967</t>
  </si>
  <si>
    <t>OLASKT300071459</t>
  </si>
  <si>
    <t>5826/12/2021</t>
  </si>
  <si>
    <t>9976AP1213410002</t>
  </si>
  <si>
    <t>IMRAN IFTIKHAR</t>
  </si>
  <si>
    <t>35201-3917515-1</t>
  </si>
  <si>
    <t>03228890509</t>
  </si>
  <si>
    <t xml:space="preserve">SHOP NO G-62 GROUND FLOOR GULBERG 3 HAFEEZ CENTRE NEAR PACE LAHORE </t>
  </si>
  <si>
    <t>57132/00016/12/2021</t>
  </si>
  <si>
    <t>R18Z12926719</t>
  </si>
  <si>
    <t>R030025</t>
  </si>
  <si>
    <t>LEC-18-9238</t>
  </si>
  <si>
    <t>OLULHR300081422</t>
  </si>
  <si>
    <t>DIB0032637</t>
  </si>
  <si>
    <t>9976AP2213440014</t>
  </si>
  <si>
    <t>NASEER AHMAD</t>
  </si>
  <si>
    <t>SHEIKUPURA</t>
  </si>
  <si>
    <t>34501-2449510-3</t>
  </si>
  <si>
    <t>03004875216</t>
  </si>
  <si>
    <t xml:space="preserve">ITTEHAD CHEMICAL LIMITED G.T ROAD K ALA SHAH KAKU MURIDKAY </t>
  </si>
  <si>
    <t>57132/00014/12/2021</t>
  </si>
  <si>
    <t>137197</t>
  </si>
  <si>
    <t>10037149</t>
  </si>
  <si>
    <t>LE-17A-5699</t>
  </si>
  <si>
    <t>OLUSHK30081283</t>
  </si>
  <si>
    <t>DIB0032634</t>
  </si>
  <si>
    <t>997AAD2203050036</t>
  </si>
  <si>
    <t>ZAKA UR REHMAN</t>
  </si>
  <si>
    <t>36302-5761930-9</t>
  </si>
  <si>
    <t>0333-0303-5880707</t>
  </si>
  <si>
    <t>061-6771006</t>
  </si>
  <si>
    <t xml:space="preserve">H# 55 T-BLOCK NEW MULTAN COLONY NEAR NOOKHAS PUBLIC SCHOOL MULTAN </t>
  </si>
  <si>
    <t>UWT/D/T002/0000000668/1220/109-0</t>
  </si>
  <si>
    <t>L13Z17542424</t>
  </si>
  <si>
    <t>NFBGM1643LR265850</t>
  </si>
  <si>
    <t>POAMUX300059906</t>
  </si>
  <si>
    <t>3775/12/2020/ITFM</t>
  </si>
  <si>
    <t>9976AP2223410001</t>
  </si>
  <si>
    <t>SYED MAAZ UDDIN AHMED JAFFRI</t>
  </si>
  <si>
    <t>42201-0176997-9</t>
  </si>
  <si>
    <t xml:space="preserve">HOUSE NO A-1974 BLOCK 2 METROVILL 3RD ABUL HASAN ASPHANI ROAD PK </t>
  </si>
  <si>
    <t>65500/00013/12/2022</t>
  </si>
  <si>
    <t>1007637</t>
  </si>
  <si>
    <t>18546</t>
  </si>
  <si>
    <t>HONDA CITY ASPIRE P/T</t>
  </si>
  <si>
    <t>BWX-878</t>
  </si>
  <si>
    <t>9585/12/2022/ITFM</t>
  </si>
  <si>
    <t>06-DEC-2022</t>
  </si>
  <si>
    <t>9976AP2233450007</t>
  </si>
  <si>
    <t>AHSAN ALI KHAN</t>
  </si>
  <si>
    <t>42000-0556712-9</t>
  </si>
  <si>
    <t>03102221847</t>
  </si>
  <si>
    <t xml:space="preserve">HOUSE # C-125/1 BLOCK D NORTH NAZIM ABAD KHI KARACHI PK </t>
  </si>
  <si>
    <t>78992/0006/12/2023</t>
  </si>
  <si>
    <t>05-DEC-2024</t>
  </si>
  <si>
    <t>6R171950</t>
  </si>
  <si>
    <t>1071915</t>
  </si>
  <si>
    <t>BTY-794</t>
  </si>
  <si>
    <t>OLUKHI300098398</t>
  </si>
  <si>
    <t>DIB0035487</t>
  </si>
  <si>
    <t>07-DEC-2023</t>
  </si>
  <si>
    <t>9976AD1221510126</t>
  </si>
  <si>
    <t>MUHAMMAD ABDUL ALI</t>
  </si>
  <si>
    <t>42201-0514560-7</t>
  </si>
  <si>
    <t>03332332103</t>
  </si>
  <si>
    <t>34984418</t>
  </si>
  <si>
    <t xml:space="preserve">HOUSE # 395 AL HIRA NEW CITY SAFOOR A CHOWRANGI SCHEME-33 NEAR RIM JHIM KARACHI PK </t>
  </si>
  <si>
    <t>65483/00011/12/2022</t>
  </si>
  <si>
    <t>203330</t>
  </si>
  <si>
    <t>10103326</t>
  </si>
  <si>
    <t>OLAKHI300087766</t>
  </si>
  <si>
    <t>9559/12/2022/ITFM</t>
  </si>
  <si>
    <t>9976AD2220250004</t>
  </si>
  <si>
    <t>MUHAMMAD TAYYAB IDREES</t>
  </si>
  <si>
    <t>37301-6966486-7</t>
  </si>
  <si>
    <t>051-2263428 4434383</t>
  </si>
  <si>
    <t>03315019122 03005257930</t>
  </si>
  <si>
    <t>0512263428</t>
  </si>
  <si>
    <t xml:space="preserve">HOUSE NO 422 STREET 31 I-10/4 ISLAMABAD </t>
  </si>
  <si>
    <t>65483/00012/12/2022</t>
  </si>
  <si>
    <t>364371</t>
  </si>
  <si>
    <t>7063451</t>
  </si>
  <si>
    <t>TOYOTA COROLLA GRANDE X</t>
  </si>
  <si>
    <t>OLAISD300083433</t>
  </si>
  <si>
    <t>9581/12/2022</t>
  </si>
  <si>
    <t>9976AD1223040002</t>
  </si>
  <si>
    <t>SHAHRUKH SALEEM</t>
  </si>
  <si>
    <t>35202-8575622-9</t>
  </si>
  <si>
    <t>03330641156</t>
  </si>
  <si>
    <t xml:space="preserve">KICK START BUILDING 8A CANAL ROAD N EW MUSLIM TOWN LAHORE </t>
  </si>
  <si>
    <t>65483/00013/12/2022</t>
  </si>
  <si>
    <t>6R259445</t>
  </si>
  <si>
    <t>1159586</t>
  </si>
  <si>
    <t>OLALHR300090572</t>
  </si>
  <si>
    <t>9586/12/2022/ITFM</t>
  </si>
  <si>
    <t>9976AD1221750024</t>
  </si>
  <si>
    <t>UMAR FAROOQ KHAN</t>
  </si>
  <si>
    <t>35404-5188989-3</t>
  </si>
  <si>
    <t>0016822082839</t>
  </si>
  <si>
    <t xml:space="preserve">ADDRESS 113 NONESUCH PL IRVING TX 75061 UNITED STATES </t>
  </si>
  <si>
    <t>65483/00009/12/2022</t>
  </si>
  <si>
    <t>6R256066</t>
  </si>
  <si>
    <t>1156088</t>
  </si>
  <si>
    <t>SUZUKI ALTO VAL AGS EURO II</t>
  </si>
  <si>
    <t>OLALHR300088174</t>
  </si>
  <si>
    <t>9579/12/2022/ITFM</t>
  </si>
  <si>
    <t>9976AD1221060002</t>
  </si>
  <si>
    <t>MUHAMMAD KAMRAN NAZ</t>
  </si>
  <si>
    <t>35202-9034582-1</t>
  </si>
  <si>
    <t>03216638430</t>
  </si>
  <si>
    <t>03216638430, 03216638430</t>
  </si>
  <si>
    <t xml:space="preserve">P-120 F BLOCK WAPDA TOWN FSD FAISALABAD PK </t>
  </si>
  <si>
    <t>64794/00093/11/2022</t>
  </si>
  <si>
    <t>1011573</t>
  </si>
  <si>
    <t>111562</t>
  </si>
  <si>
    <t>OLAFSD300086551</t>
  </si>
  <si>
    <t>9527/11/2022</t>
  </si>
  <si>
    <t>CLOSED</t>
  </si>
  <si>
    <t>9976AP2173620005</t>
  </si>
  <si>
    <t>MUHAMMAD SAAD NISAR SHEIKH</t>
  </si>
  <si>
    <t>42101-8965492-1</t>
  </si>
  <si>
    <t>03312620066</t>
  </si>
  <si>
    <t>1111265</t>
  </si>
  <si>
    <t xml:space="preserve">D-89 RUFI SPPRING FLOWER SCHEEME 33 ABDUL HASSAN ASPHANI ROAD NEAR GUL KARACHI PK </t>
  </si>
  <si>
    <t>DIB/T/19682/KHI/1217</t>
  </si>
  <si>
    <t>PK10B108252</t>
  </si>
  <si>
    <t>PK10008244</t>
  </si>
  <si>
    <t>BEQ-373</t>
  </si>
  <si>
    <t>WAGON R</t>
  </si>
  <si>
    <t>27-DEC-2017</t>
  </si>
  <si>
    <t>27-Dec-2024</t>
  </si>
  <si>
    <t>POUKHI300028805</t>
  </si>
  <si>
    <t>14294/12/2017/FTSM</t>
  </si>
  <si>
    <t>26-DEC-2017</t>
  </si>
  <si>
    <t>9976AP1173640015</t>
  </si>
  <si>
    <t>FARRUKH AHMAD AWAN</t>
  </si>
  <si>
    <t>35201-7171215-3</t>
  </si>
  <si>
    <t>03334959229</t>
  </si>
  <si>
    <t>99211305</t>
  </si>
  <si>
    <t xml:space="preserve">H# 38 ST# 1 GREEN PARK SHALIMAR TOW N LAHORE PK </t>
  </si>
  <si>
    <t>DIB/T/19688/LHR/1217</t>
  </si>
  <si>
    <t>148610</t>
  </si>
  <si>
    <t>10048590</t>
  </si>
  <si>
    <t>LEA-18-6238</t>
  </si>
  <si>
    <t>03-JAN-2018</t>
  </si>
  <si>
    <t>03-Jan-2025</t>
  </si>
  <si>
    <t>PODLHR300028897</t>
  </si>
  <si>
    <t>14342/12/2017/FTSM</t>
  </si>
  <si>
    <t>28-DEC-2017</t>
  </si>
  <si>
    <t>997APD2193600003</t>
  </si>
  <si>
    <t>ASIM MAHMOOD</t>
  </si>
  <si>
    <t>35201-2730692-3</t>
  </si>
  <si>
    <t>042-36666823 / 0333-4302277</t>
  </si>
  <si>
    <t>03334302277</t>
  </si>
  <si>
    <t>336670097-9</t>
  </si>
  <si>
    <t xml:space="preserve">GLOBAL WASTE MANAGEMENT 2ND FLOOR 4 AND 5 COMMERCIAL AREA CAVALRY GROUND LAHORE </t>
  </si>
  <si>
    <t>DIB/T/BT/26301/LHR/1219</t>
  </si>
  <si>
    <t>17130161</t>
  </si>
  <si>
    <t>A055889</t>
  </si>
  <si>
    <t>AQA-109</t>
  </si>
  <si>
    <t>PRINCE C-37</t>
  </si>
  <si>
    <t>PODLHR300051953</t>
  </si>
  <si>
    <t>TDIDIB0027442</t>
  </si>
  <si>
    <t>997APD1193580005</t>
  </si>
  <si>
    <t>37104-0944370-1</t>
  </si>
  <si>
    <t>0333-5289574</t>
  </si>
  <si>
    <t xml:space="preserve">H#08,JUSTICE ABDUL RASHEED ROAD, 7TH AVENUE,F-6/1,ISLAMABAD </t>
  </si>
  <si>
    <t>51531/00044/12/2019</t>
  </si>
  <si>
    <t>R06A-A701880</t>
  </si>
  <si>
    <t>MH34S-388874</t>
  </si>
  <si>
    <t>AEJ-596</t>
  </si>
  <si>
    <t>SUZUKI WAGONR IMPORTED</t>
  </si>
  <si>
    <t>POURWP300051942</t>
  </si>
  <si>
    <t>2155/12/2019/ITFM</t>
  </si>
  <si>
    <t>9976AP1203580005</t>
  </si>
  <si>
    <t>GHULAM ABBAS</t>
  </si>
  <si>
    <t>38403-2062070-1</t>
  </si>
  <si>
    <t>03458886767</t>
  </si>
  <si>
    <t xml:space="preserve">HOUSE NO 95/A STREET NO 5 MOHALLA AZIZ BHATTI TOWN SARGODHA </t>
  </si>
  <si>
    <t>01-2012-PO-MTR-PCCM-D-002113</t>
  </si>
  <si>
    <t>Q323434</t>
  </si>
  <si>
    <t>7022539</t>
  </si>
  <si>
    <t>AGA-330</t>
  </si>
  <si>
    <t>POUSGH300064251</t>
  </si>
  <si>
    <t>TDIDIB0028867</t>
  </si>
  <si>
    <t>997APD1173610015</t>
  </si>
  <si>
    <t>ZOHIB AHMED</t>
  </si>
  <si>
    <t>21303-1131446-7</t>
  </si>
  <si>
    <t>021-99651500 (7182)</t>
  </si>
  <si>
    <t>03330202329</t>
  </si>
  <si>
    <t>021-399551500 (7181)</t>
  </si>
  <si>
    <t xml:space="preserve">OFFICER MESS PAF BASE KORANGI CREEK KARACHI </t>
  </si>
  <si>
    <t>DIB/T/19643/KHI/1217</t>
  </si>
  <si>
    <t>Z509186</t>
  </si>
  <si>
    <t>4135096</t>
  </si>
  <si>
    <t>AGS-739</t>
  </si>
  <si>
    <t>PODKHI300028699</t>
  </si>
  <si>
    <t>TDIDIB0021519</t>
  </si>
  <si>
    <t>22-DEC-2017</t>
  </si>
  <si>
    <t>3.2%</t>
  </si>
  <si>
    <t>9976AD1171740003</t>
  </si>
  <si>
    <t>EHSAN UL HAQ DAR</t>
  </si>
  <si>
    <t>35202-2572179-7</t>
  </si>
  <si>
    <t>03334481911</t>
  </si>
  <si>
    <t>35972042</t>
  </si>
  <si>
    <t xml:space="preserve">H# 187 REHMAN ROAD NABI PARK RAVI R OAD NEAR ROTI PLANT WALI ROAD and M LAHORE PK </t>
  </si>
  <si>
    <t>DIB/T/19470/LHR/1217</t>
  </si>
  <si>
    <t>146698</t>
  </si>
  <si>
    <t>10046499</t>
  </si>
  <si>
    <t>LEA-18-3073</t>
  </si>
  <si>
    <t>POALHR300023127</t>
  </si>
  <si>
    <t>DIB0023329</t>
  </si>
  <si>
    <t>19-DEC-2017</t>
  </si>
  <si>
    <t>997AAD2181810008</t>
  </si>
  <si>
    <t>61101-1890235-9</t>
  </si>
  <si>
    <t>03065016034</t>
  </si>
  <si>
    <t>0306-5016034, 051-9106062</t>
  </si>
  <si>
    <t>051-9106062</t>
  </si>
  <si>
    <t xml:space="preserve">FLAT # 14 BLOCK # 26 G-11/4 ISLAMABAD PK </t>
  </si>
  <si>
    <t>50159/00023/12/2018</t>
  </si>
  <si>
    <t>180297</t>
  </si>
  <si>
    <t>10080292</t>
  </si>
  <si>
    <t>ALY-463</t>
  </si>
  <si>
    <t>21-Dec-2024</t>
  </si>
  <si>
    <t>POAISD300035768</t>
  </si>
  <si>
    <t>DIB0026589</t>
  </si>
  <si>
    <t>19-DEC-2018</t>
  </si>
  <si>
    <t>9976AP1213550013</t>
  </si>
  <si>
    <t>HASNAIN HATIM</t>
  </si>
  <si>
    <t>42101-9621942-3</t>
  </si>
  <si>
    <t>03351350674</t>
  </si>
  <si>
    <t xml:space="preserve">B- 105 SAMAR PARK VIEW NORTH NAZIMA BAD BLOCK E AL KARAM EYE CLINIC KARACHI PK </t>
  </si>
  <si>
    <t>57132/00124/12/2021</t>
  </si>
  <si>
    <t>522210</t>
  </si>
  <si>
    <t>1005066</t>
  </si>
  <si>
    <t>OLDKHI300081944</t>
  </si>
  <si>
    <t>DIB0032782</t>
  </si>
  <si>
    <t>9976AP1213500012</t>
  </si>
  <si>
    <t>AADIL</t>
  </si>
  <si>
    <t>41101-1519277-9</t>
  </si>
  <si>
    <t>03323892728</t>
  </si>
  <si>
    <t xml:space="preserve">FLAT G- 08 BLCK B CITY TOWER and SHOO PING MALL GULISTAN JOUHAR AL JADEED KARACHI PK </t>
  </si>
  <si>
    <t>57132/00095/12/2021</t>
  </si>
  <si>
    <t>PK10K135242</t>
  </si>
  <si>
    <t>10035236</t>
  </si>
  <si>
    <t>BQB-558</t>
  </si>
  <si>
    <t>SUZUKI CULTUS VXL M/T</t>
  </si>
  <si>
    <t>OLUKHI300081943</t>
  </si>
  <si>
    <t>DIB0032750</t>
  </si>
  <si>
    <t>9976AD1212120128</t>
  </si>
  <si>
    <t>NASIR MAHMOOD SHAHID</t>
  </si>
  <si>
    <t>33303-2168994-5</t>
  </si>
  <si>
    <t>03002374124</t>
  </si>
  <si>
    <t xml:space="preserve">DP -674 SETOR 16 B NORTH KARACHI INDUSTRIAL AREA KARACHI </t>
  </si>
  <si>
    <t>57132/00087/12/2021</t>
  </si>
  <si>
    <t>225002</t>
  </si>
  <si>
    <t>10125034</t>
  </si>
  <si>
    <t>OLAKHI300071562</t>
  </si>
  <si>
    <t>DIB0032696</t>
  </si>
  <si>
    <t>9976AD2172430020</t>
  </si>
  <si>
    <t>ASHFAQUE ALI FAISAL</t>
  </si>
  <si>
    <t>45203-6338951-5</t>
  </si>
  <si>
    <t>02135380500</t>
  </si>
  <si>
    <t>03342771295</t>
  </si>
  <si>
    <t>35881851</t>
  </si>
  <si>
    <t xml:space="preserve">16 J/II 4TH LANE GIZRI PHASE IV DHA KARACHI </t>
  </si>
  <si>
    <t>DIB/T/19244/KHI/1217</t>
  </si>
  <si>
    <t>Q327005</t>
  </si>
  <si>
    <t>7026130</t>
  </si>
  <si>
    <t>BLD-595</t>
  </si>
  <si>
    <t>21-DEC-2017</t>
  </si>
  <si>
    <t>POAKHI300025293</t>
  </si>
  <si>
    <t>TDIDIB0021471</t>
  </si>
  <si>
    <t>07-DEC-2017</t>
  </si>
  <si>
    <t>997AAD1193040003</t>
  </si>
  <si>
    <t>MUHAMMAD AHMED SIDDIQUI</t>
  </si>
  <si>
    <t>42201-9734511-3</t>
  </si>
  <si>
    <t>03228222231</t>
  </si>
  <si>
    <t>02134971330</t>
  </si>
  <si>
    <t xml:space="preserve">NAYBBLE TECH PLOT NO B-3 2ND FLORR BLOCK 15 GULSHAN E IQBAL KARACHI </t>
  </si>
  <si>
    <t>51531/00017/12/2019</t>
  </si>
  <si>
    <t>12954133</t>
  </si>
  <si>
    <t>KR057743</t>
  </si>
  <si>
    <t>BRN-652</t>
  </si>
  <si>
    <t>POAKHI300050420</t>
  </si>
  <si>
    <t>DIB0028033</t>
  </si>
  <si>
    <t>09-DEC-2019</t>
  </si>
  <si>
    <t>997AAD1193290001</t>
  </si>
  <si>
    <t>42301-2291495-1</t>
  </si>
  <si>
    <t>03218250492</t>
  </si>
  <si>
    <t xml:space="preserve">PLOT F-421 SITE KARACHI NEAR ZIA MO </t>
  </si>
  <si>
    <t>51531/00012/12/2019</t>
  </si>
  <si>
    <t>G4NAKH037668</t>
  </si>
  <si>
    <t>NNAQL51AKP501002</t>
  </si>
  <si>
    <t>BH-4926</t>
  </si>
  <si>
    <t>POAKHI300050918</t>
  </si>
  <si>
    <t>9976AP1213500019</t>
  </si>
  <si>
    <t>IMRAN SAFDAR</t>
  </si>
  <si>
    <t>34603-9282872-3</t>
  </si>
  <si>
    <t>03228478825</t>
  </si>
  <si>
    <t>0523242641</t>
  </si>
  <si>
    <t xml:space="preserve">PACIFIC WORLDWIDE SHIPPING C6 JAWAD CENTRE DEFENCE ROAD SAILKOT </t>
  </si>
  <si>
    <t>57132/00053/12/2021</t>
  </si>
  <si>
    <t>Q034646</t>
  </si>
  <si>
    <t>ZRE171R6012114</t>
  </si>
  <si>
    <t>LEA-17-7325</t>
  </si>
  <si>
    <t>OLUSKT300081783</t>
  </si>
  <si>
    <t>DIB0032702</t>
  </si>
  <si>
    <t>997AAD1202440055</t>
  </si>
  <si>
    <t>JABEEN ZAHID HUSSENI</t>
  </si>
  <si>
    <t>42101-1426764-6</t>
  </si>
  <si>
    <t>03002271604</t>
  </si>
  <si>
    <t xml:space="preserve">B-549 BLOCK-13 F.B.AREA KARACHI PK </t>
  </si>
  <si>
    <t>2524/02243/00021/12/2020</t>
  </si>
  <si>
    <t>16915523</t>
  </si>
  <si>
    <t>663LR067508</t>
  </si>
  <si>
    <t>POAKHI300056980</t>
  </si>
  <si>
    <t>DIB0029138</t>
  </si>
  <si>
    <t>9976AD2210740002</t>
  </si>
  <si>
    <t>SHEIKH MUHAMMAD YASEEN</t>
  </si>
  <si>
    <t>35201-1321862-5</t>
  </si>
  <si>
    <t>03217071228</t>
  </si>
  <si>
    <t xml:space="preserve">ALI HAJVERY PARK NEAR BLUE STAR FAC TORY MOMIN PURA ROAD DAROGAWALA LAHORE </t>
  </si>
  <si>
    <t>57132/00041/12/2021</t>
  </si>
  <si>
    <t>131386</t>
  </si>
  <si>
    <t>707972</t>
  </si>
  <si>
    <t>KIA PICANTO 1.0 A/T</t>
  </si>
  <si>
    <t>OLALHR300066718</t>
  </si>
  <si>
    <t>DIB0032672</t>
  </si>
  <si>
    <t>9976AD1171430002</t>
  </si>
  <si>
    <t>MUKARAM HARISS-ASAAN</t>
  </si>
  <si>
    <t>35201-5303133-3</t>
  </si>
  <si>
    <t>03314667306</t>
  </si>
  <si>
    <t xml:space="preserve">OFFICE NO 205,2ND FLOOR SIDDIQUE TRADE CENTRE LAHORE </t>
  </si>
  <si>
    <t>DIB/T/19216/LHR/1217</t>
  </si>
  <si>
    <t>144831</t>
  </si>
  <si>
    <t>10044831</t>
  </si>
  <si>
    <t>LEC-18-5210</t>
  </si>
  <si>
    <t>11-DEC-2017</t>
  </si>
  <si>
    <t>11-Dec-2024</t>
  </si>
  <si>
    <t>POALHR300022145</t>
  </si>
  <si>
    <t>TDIDIB0021475</t>
  </si>
  <si>
    <t>08-DEC-2017</t>
  </si>
  <si>
    <t>9976AP2233420002</t>
  </si>
  <si>
    <t>MOHAMMAD SHAHID SALEEM</t>
  </si>
  <si>
    <t>42301-0831440-7</t>
  </si>
  <si>
    <t>35873170</t>
  </si>
  <si>
    <t>03242875593</t>
  </si>
  <si>
    <t xml:space="preserve">FLAT NO 507 5TH FLOOR PLOT NO FL7 BLOCK-2 MARINA ELIVATION CLIFTON NEAR INDUS VELLY SCHOOL OF ART KARACHI </t>
  </si>
  <si>
    <t>78992/00007/12/2023</t>
  </si>
  <si>
    <t>6R240742</t>
  </si>
  <si>
    <t>1140741</t>
  </si>
  <si>
    <t>BXP-271</t>
  </si>
  <si>
    <t>OLUKHI300098422</t>
  </si>
  <si>
    <t>DIB0035490</t>
  </si>
  <si>
    <t>9976AP1213410003</t>
  </si>
  <si>
    <t>ABDULLAH ALTAF</t>
  </si>
  <si>
    <t>42000-4060446-3</t>
  </si>
  <si>
    <t>03218725726</t>
  </si>
  <si>
    <t>32421787 32428872</t>
  </si>
  <si>
    <t xml:space="preserve">NAZ INTERNATIONAL,SHOP NO 17, SALAM CENTER NEAR DENSO HALL, M.A.JINAH ROAD,KHI </t>
  </si>
  <si>
    <t>57132/00009/12/2021</t>
  </si>
  <si>
    <t>Q030880</t>
  </si>
  <si>
    <t>R-6008359</t>
  </si>
  <si>
    <t>BGX-971</t>
  </si>
  <si>
    <t>OLUKHI300081293</t>
  </si>
  <si>
    <t>5833/12/2021</t>
  </si>
  <si>
    <t>997AAD1193340001</t>
  </si>
  <si>
    <t>SYED MUHAMMAD SHABBIR JILANI</t>
  </si>
  <si>
    <t>33100-1624702-5</t>
  </si>
  <si>
    <t>03008651768</t>
  </si>
  <si>
    <t>0418544094</t>
  </si>
  <si>
    <t xml:space="preserve">JILANI GLASS SAIF SHAHEED ROAD BANK MORE MADINA TOWN FAISAL ABAD 03008651768 </t>
  </si>
  <si>
    <t>DIB/T/26098/LHR/1219</t>
  </si>
  <si>
    <t>KH019027</t>
  </si>
  <si>
    <t>KP300241</t>
  </si>
  <si>
    <t>APY-280</t>
  </si>
  <si>
    <t>11-DEC-2019</t>
  </si>
  <si>
    <t>POAFSD300051178</t>
  </si>
  <si>
    <t>9976AD1212590038</t>
  </si>
  <si>
    <t>33100-0191052-5</t>
  </si>
  <si>
    <t>0321-9668439</t>
  </si>
  <si>
    <t>041-2638439</t>
  </si>
  <si>
    <t xml:space="preserve">H# 95 C/2 EDEN GARDEN FAISALABAD </t>
  </si>
  <si>
    <t>2021-11-205-V01501OP0002898</t>
  </si>
  <si>
    <t>51004510</t>
  </si>
  <si>
    <t>R006197</t>
  </si>
  <si>
    <t>OLAFSD300073584</t>
  </si>
  <si>
    <t>DIB0032553</t>
  </si>
  <si>
    <t>9976AP1201710031</t>
  </si>
  <si>
    <t>MUHAMMAD FAISAL</t>
  </si>
  <si>
    <t>35201-8076500-3</t>
  </si>
  <si>
    <t>03229444611</t>
  </si>
  <si>
    <t>37301438</t>
  </si>
  <si>
    <t xml:space="preserve">H# 174 ST# 35 MOH ALLAMA IQBAL ROAD MUSTAFA BAD CANTT LAHORE PK </t>
  </si>
  <si>
    <t>DIB/T/18616/LHR/1117</t>
  </si>
  <si>
    <t>9787230</t>
  </si>
  <si>
    <t>213429</t>
  </si>
  <si>
    <t>LEA-18-3826</t>
  </si>
  <si>
    <t>15-NOV-2017</t>
  </si>
  <si>
    <t>21-NOV-2017</t>
  </si>
  <si>
    <t>21-Nov-2024</t>
  </si>
  <si>
    <t>PODLHR300027403</t>
  </si>
  <si>
    <t>DIB0022939</t>
  </si>
  <si>
    <t>9976AP1173190010</t>
  </si>
  <si>
    <t>9976AD2212430038</t>
  </si>
  <si>
    <t>SYED WALI RAZA RIZVI</t>
  </si>
  <si>
    <t>42501-9454504-9</t>
  </si>
  <si>
    <t>03453100882</t>
  </si>
  <si>
    <t xml:space="preserve">PLOT # A-11 SURVEY 908 JAFFAR E TAY YAR SOCIETY MALIR KARACHI PK </t>
  </si>
  <si>
    <t>2524/02742/00121/11/2021</t>
  </si>
  <si>
    <t>2A41164</t>
  </si>
  <si>
    <t>9515279</t>
  </si>
  <si>
    <t>03-Dec-2024</t>
  </si>
  <si>
    <t>OLAKHI300072855</t>
  </si>
  <si>
    <t>DIB0032544</t>
  </si>
  <si>
    <t>997APD1193340027</t>
  </si>
  <si>
    <t>MUHAMMAD AHSAN TAQVEEM</t>
  </si>
  <si>
    <t>33104-2248571-3</t>
  </si>
  <si>
    <t>03008662195</t>
  </si>
  <si>
    <t>03008662195, 03218662195</t>
  </si>
  <si>
    <t xml:space="preserve">P-96-A SATYANA ROAD MODEL CITY PHAS E II FSD FAISALABAD PK </t>
  </si>
  <si>
    <t>DIB/T/BT/26083/LHR/1119</t>
  </si>
  <si>
    <t>1NZ-7123159</t>
  </si>
  <si>
    <t>NHP10-6292669</t>
  </si>
  <si>
    <t>AHB-677</t>
  </si>
  <si>
    <t>AQUA HYBRID</t>
  </si>
  <si>
    <t>POUFSD300051231</t>
  </si>
  <si>
    <t>2087/11/2019/ITFM</t>
  </si>
  <si>
    <t>9976AP1183340009</t>
  </si>
  <si>
    <t>ADIL MEHMOOD</t>
  </si>
  <si>
    <t>35202-6897042-3</t>
  </si>
  <si>
    <t>03244565827</t>
  </si>
  <si>
    <t xml:space="preserve">ADIL TILES SHOP NO 5 BLOCK 2 SECTOR C 1 LAJNA CHOWK COLLEGE ROAD TOWNSHIP LAHORE </t>
  </si>
  <si>
    <t>DIB/T/BT/23244/LHR/1118</t>
  </si>
  <si>
    <t>PKS13018060</t>
  </si>
  <si>
    <t>RS413PK10018061</t>
  </si>
  <si>
    <t>LED-13-8600</t>
  </si>
  <si>
    <t>SWIFT DLX A/T</t>
  </si>
  <si>
    <t>2013</t>
  </si>
  <si>
    <t>POULHR300040770</t>
  </si>
  <si>
    <t>TDIDIB0026078</t>
  </si>
  <si>
    <t>29-NOV-2018</t>
  </si>
  <si>
    <t>997APD1193340001</t>
  </si>
  <si>
    <t>MUHAMMAD ASHFAQ</t>
  </si>
  <si>
    <t>33102-1822138-7</t>
  </si>
  <si>
    <t>03008670767</t>
  </si>
  <si>
    <t>03008670767, 03007606123</t>
  </si>
  <si>
    <t>2605900</t>
  </si>
  <si>
    <t xml:space="preserve">H NO P-62 ST NO 04 GULISTAN COLONY NO 01 SHERAZ PARK FAISALABAD PK </t>
  </si>
  <si>
    <t>51449/00104/11/2019</t>
  </si>
  <si>
    <t>152695</t>
  </si>
  <si>
    <t>10052706</t>
  </si>
  <si>
    <t>APW-767</t>
  </si>
  <si>
    <t>PODFSD300051161</t>
  </si>
  <si>
    <t>2071/11/2019/ITFM</t>
  </si>
  <si>
    <t>29-NOV-2019</t>
  </si>
  <si>
    <t>997APD2193340009</t>
  </si>
  <si>
    <t>NAVEED SHAHZAD</t>
  </si>
  <si>
    <t>35202-3008591-9</t>
  </si>
  <si>
    <t>03314766109</t>
  </si>
  <si>
    <t>04237668116, 03314766109</t>
  </si>
  <si>
    <t>04237668116</t>
  </si>
  <si>
    <t xml:space="preserve">HOUSE NO 1214-D SOOTAR MANDI BAZAR LOHARI GATE RANG MAHAL LAHORE </t>
  </si>
  <si>
    <t>51449/00098/11/2019</t>
  </si>
  <si>
    <t>6R122449</t>
  </si>
  <si>
    <t>NF1AET306H1022431</t>
  </si>
  <si>
    <t>LE-20-8473</t>
  </si>
  <si>
    <t>ALTO VXL EURO-II</t>
  </si>
  <si>
    <t>PODLHR300051098</t>
  </si>
  <si>
    <t>DIB0028007</t>
  </si>
  <si>
    <t>9976AP2233340027</t>
  </si>
  <si>
    <t>MUHAMMAD IMMAD UDDIN</t>
  </si>
  <si>
    <t>42301-6556906-7</t>
  </si>
  <si>
    <t>35310985</t>
  </si>
  <si>
    <t>03463154433</t>
  </si>
  <si>
    <t xml:space="preserve">M J JEWEL COLLECTION ROOM NO 317-319-321 3RD FLOOR GOLD CENTRE RAJA GHAZANFAR ALI KHAN ROAD SADDAR KHI </t>
  </si>
  <si>
    <t>518358</t>
  </si>
  <si>
    <t>1003547</t>
  </si>
  <si>
    <t>BVJ-407</t>
  </si>
  <si>
    <t>OLUKHI300098149</t>
  </si>
  <si>
    <t>DIB0035476</t>
  </si>
  <si>
    <t>997APD2193340002</t>
  </si>
  <si>
    <t>35403-2119887-7</t>
  </si>
  <si>
    <t>03486699642</t>
  </si>
  <si>
    <t xml:space="preserve">P-24, BLOCK-H, WEST CANAL ROAD, WAPDA CITY, FAISALABAD </t>
  </si>
  <si>
    <t>DIB/T/BT/26063/LHR/1119</t>
  </si>
  <si>
    <t>13047983</t>
  </si>
  <si>
    <t>10047978</t>
  </si>
  <si>
    <t>LE-20-3876</t>
  </si>
  <si>
    <t>PODFSD300050936</t>
  </si>
  <si>
    <t>TDIDIB0027409</t>
  </si>
  <si>
    <t>9976AP1173330010</t>
  </si>
  <si>
    <t>TALIB HUSSAIN</t>
  </si>
  <si>
    <t>35200-8396166-7</t>
  </si>
  <si>
    <t>03024456066</t>
  </si>
  <si>
    <t xml:space="preserve">FAZAL E HAQ COLONY MUJAHID ROAD BAN K STOP MOH FEROZEPUR ROAD CHUNGI AM LAHORE PK </t>
  </si>
  <si>
    <t>DIB/T/19090/LHR/1117</t>
  </si>
  <si>
    <t>969237</t>
  </si>
  <si>
    <t>1085740</t>
  </si>
  <si>
    <t>LE-18-2314</t>
  </si>
  <si>
    <t>BOLAN VX EURO-II</t>
  </si>
  <si>
    <t>29-NOV-2017</t>
  </si>
  <si>
    <t>03-DEC-2017</t>
  </si>
  <si>
    <t>PODLHR300027898</t>
  </si>
  <si>
    <t>13973/11/2017</t>
  </si>
  <si>
    <t>28-NOV-2017</t>
  </si>
  <si>
    <t>9976AD1210900079</t>
  </si>
  <si>
    <t>SEEMA KHAN</t>
  </si>
  <si>
    <t>42201-4457813-0</t>
  </si>
  <si>
    <t>021-34550805</t>
  </si>
  <si>
    <t>03332119192</t>
  </si>
  <si>
    <t>34914139-34893722</t>
  </si>
  <si>
    <t xml:space="preserve">SEEMA S TRADERS SHOP NO 5/5 SILVER LINE BMCHS BLOCK 3 JAMALUDDIN AFGHANI KARACHI </t>
  </si>
  <si>
    <t>2524/02742/00087/11/2021</t>
  </si>
  <si>
    <t>Q083844</t>
  </si>
  <si>
    <t>6061315</t>
  </si>
  <si>
    <t>31-MAR-2021</t>
  </si>
  <si>
    <t>OLAKHI300067348</t>
  </si>
  <si>
    <t>DIB0032511</t>
  </si>
  <si>
    <t>9976AP1213270012</t>
  </si>
  <si>
    <t>SYED YAHYA SHERAZ</t>
  </si>
  <si>
    <t>61101-1847282-5</t>
  </si>
  <si>
    <t>0518435601</t>
  </si>
  <si>
    <t>03435000500</t>
  </si>
  <si>
    <t>0518435601 03</t>
  </si>
  <si>
    <t xml:space="preserve">INTERNATIONAL RESEARCH FORCE 21 LEHTRAR ROAD PO TARLAI ISLAMABAD </t>
  </si>
  <si>
    <t>56607/00072/11/2021</t>
  </si>
  <si>
    <t>69U505123</t>
  </si>
  <si>
    <t>M1009704</t>
  </si>
  <si>
    <t>27-Nov-2024</t>
  </si>
  <si>
    <t>OLDISD300079472</t>
  </si>
  <si>
    <t>5657/11/2021</t>
  </si>
  <si>
    <t>997APD2193320009</t>
  </si>
  <si>
    <t>MUHAMMAD YAR AWAN</t>
  </si>
  <si>
    <t>61101-1966836-1</t>
  </si>
  <si>
    <t>03335292114</t>
  </si>
  <si>
    <t xml:space="preserve">FLAT NO 05 BLOCK 5B GALI NO 01 SECTOR I-8/1 ISLAMABAD </t>
  </si>
  <si>
    <t>51449/00071/11/2019</t>
  </si>
  <si>
    <t>121611</t>
  </si>
  <si>
    <t>1021621</t>
  </si>
  <si>
    <t>APW-715</t>
  </si>
  <si>
    <t>PODOSD300050952</t>
  </si>
  <si>
    <t>DIB0027987</t>
  </si>
  <si>
    <t>23-NOV-2019</t>
  </si>
  <si>
    <t>997APD2193250008</t>
  </si>
  <si>
    <t>SAJIDA PERVEEN</t>
  </si>
  <si>
    <t>37105-0249780-0</t>
  </si>
  <si>
    <t>051-4476712</t>
  </si>
  <si>
    <t>0311-8881816</t>
  </si>
  <si>
    <t>051-9290302-8</t>
  </si>
  <si>
    <t xml:space="preserve">H NO B-III-257 STREET 4 MUSLIM TOWN KHURRAM COLONY RAWALPINDI </t>
  </si>
  <si>
    <t>51449/00064/11/2019</t>
  </si>
  <si>
    <t>120949</t>
  </si>
  <si>
    <t>1020921</t>
  </si>
  <si>
    <t>APY-863</t>
  </si>
  <si>
    <t>PODRWP300050711</t>
  </si>
  <si>
    <t>DIB0027974</t>
  </si>
  <si>
    <t>9976AP1173270003</t>
  </si>
  <si>
    <t>MUHAMMAD SIBTAIN</t>
  </si>
  <si>
    <t>35202-7041289-1</t>
  </si>
  <si>
    <t>03004266899</t>
  </si>
  <si>
    <t>03008146562</t>
  </si>
  <si>
    <t>335911303</t>
  </si>
  <si>
    <t xml:space="preserve">H# 121 A BLOCK BOP HOUSING SOCIETY BEDIAN ROAD LAHORE PK </t>
  </si>
  <si>
    <t>DIB/T/18930/LHR/1117</t>
  </si>
  <si>
    <t>146174</t>
  </si>
  <si>
    <t>10046149</t>
  </si>
  <si>
    <t>LE-18-2315</t>
  </si>
  <si>
    <t>23-NOV-2017</t>
  </si>
  <si>
    <t>PODLHR300027170</t>
  </si>
  <si>
    <t>13920/11/2017</t>
  </si>
  <si>
    <t>9976AD2212450039</t>
  </si>
  <si>
    <t>MOHSIN RIAZ-ASAAN ACCOUNT</t>
  </si>
  <si>
    <t>Mirpur</t>
  </si>
  <si>
    <t>81302-6445579-5</t>
  </si>
  <si>
    <t>03464142429</t>
  </si>
  <si>
    <t xml:space="preserve">C/O MOHSIN RIAZ, NEW ABADI STAFF COLONY, AKBAR ROAD MIRPUR AK 0346-4142429 </t>
  </si>
  <si>
    <t>UWT/D/T002/0000001136/1121/109-0</t>
  </si>
  <si>
    <t>1016046</t>
  </si>
  <si>
    <t>01132565</t>
  </si>
  <si>
    <t>OLAMPR300072594</t>
  </si>
  <si>
    <t>DIB0032516</t>
  </si>
  <si>
    <t>9976AD1211510041</t>
  </si>
  <si>
    <t>MOHSAN MOHAMMAD</t>
  </si>
  <si>
    <t>34603-6317964-3</t>
  </si>
  <si>
    <t>03316137080</t>
  </si>
  <si>
    <t xml:space="preserve">HAYAT PURA ZAFARWAL ROAD SIALKOT </t>
  </si>
  <si>
    <t>PL-1121-1101010102-V14-D-00546</t>
  </si>
  <si>
    <t>6R193143</t>
  </si>
  <si>
    <t>H1093020</t>
  </si>
  <si>
    <t>OLASKT300069020</t>
  </si>
  <si>
    <t>DIB0032507</t>
  </si>
  <si>
    <t>997APD1193180007</t>
  </si>
  <si>
    <t>ASIA PERVEEN</t>
  </si>
  <si>
    <t>33100-0811516-4</t>
  </si>
  <si>
    <t>03360502621</t>
  </si>
  <si>
    <t>03360502621, 03360502621</t>
  </si>
  <si>
    <t xml:space="preserve">P-890-891 G BLOCK GULISTAN COLONY N O 1 AKBAR CHOWK FSD FAISALABAD PK </t>
  </si>
  <si>
    <t>51449/00030/11/2019</t>
  </si>
  <si>
    <t>PK10B107605</t>
  </si>
  <si>
    <t>A1J310PK10007600</t>
  </si>
  <si>
    <t>LEE-15-3685</t>
  </si>
  <si>
    <t>14-NOV-2019</t>
  </si>
  <si>
    <t>POUFSD300050714</t>
  </si>
  <si>
    <t>TDIDIB0027394</t>
  </si>
  <si>
    <t>997APD1193180006</t>
  </si>
  <si>
    <t>WAHAB ALAM</t>
  </si>
  <si>
    <t>42101-6599675-3</t>
  </si>
  <si>
    <t>03225912427</t>
  </si>
  <si>
    <t xml:space="preserve">HOUSE # 1/13 2-A NAZIMABAD # 2 NEAR PAKISTAN POST OFFICE KARACHI PK </t>
  </si>
  <si>
    <t>51449/00024/11/2019</t>
  </si>
  <si>
    <t>L13Z1-6425364</t>
  </si>
  <si>
    <t>NFBGM1540ER153186</t>
  </si>
  <si>
    <t>BCD-605</t>
  </si>
  <si>
    <t>POUKHI300050687</t>
  </si>
  <si>
    <t>2009/11/2019/ITFM</t>
  </si>
  <si>
    <t>13-NOV-2019</t>
  </si>
  <si>
    <t>9976AP1173170003</t>
  </si>
  <si>
    <t>42201-3082993-9</t>
  </si>
  <si>
    <t>03222722633</t>
  </si>
  <si>
    <t xml:space="preserve">PLOT NO A/287 BLOCK 19 NEAR SIDDIQ-E-ABU BAKAR MASJID GULSHAN-E-IQBAL KARACHI </t>
  </si>
  <si>
    <t>DIB/T/18589/KHI/1117</t>
  </si>
  <si>
    <t>112341</t>
  </si>
  <si>
    <t>10012313</t>
  </si>
  <si>
    <t>BKZ-907</t>
  </si>
  <si>
    <t>13-NOV-2017</t>
  </si>
  <si>
    <t>PODKHI300027280</t>
  </si>
  <si>
    <t>MTRK</t>
  </si>
  <si>
    <t>DIB/MXK-00001747</t>
  </si>
  <si>
    <t>11-NOV-2017</t>
  </si>
  <si>
    <t>9976AD1211460023</t>
  </si>
  <si>
    <t>SYED MUHAMMAD IBRAHIM</t>
  </si>
  <si>
    <t>41307-3290437-1</t>
  </si>
  <si>
    <t>03453711666</t>
  </si>
  <si>
    <t>03002022224</t>
  </si>
  <si>
    <t xml:space="preserve">PAK STAR FEED SURVEY 118 NEAR BY PASS HYDERABAD ROAD TANDOALLAHYAR </t>
  </si>
  <si>
    <t>UWT/D/T002/0000001127/1121/109-0</t>
  </si>
  <si>
    <t>1GD5065151</t>
  </si>
  <si>
    <t>GUN126R-5548187</t>
  </si>
  <si>
    <t>HILUX REVO V DC A/T 4X4</t>
  </si>
  <si>
    <t>26-MAY-2021</t>
  </si>
  <si>
    <t>11-Nov-2024</t>
  </si>
  <si>
    <t>OLATNA300068767</t>
  </si>
  <si>
    <t>DIB0032292</t>
  </si>
  <si>
    <t>HOLD</t>
  </si>
  <si>
    <t>9976AP1201710064</t>
  </si>
  <si>
    <t>MAROOF SARWAR</t>
  </si>
  <si>
    <t>35201-3955165-3</t>
  </si>
  <si>
    <t>03334385389</t>
  </si>
  <si>
    <t>37392837</t>
  </si>
  <si>
    <t xml:space="preserve">H# 221 /B ST# 06 RAILWAY OFFICERS C OLONY WALTON ROAD CANTT LAHORE PK </t>
  </si>
  <si>
    <t>2524/02023/00061/07/2020</t>
  </si>
  <si>
    <t>PK10K105853</t>
  </si>
  <si>
    <t>NF1AVK31H10005848</t>
  </si>
  <si>
    <t>21-SEP-2020</t>
  </si>
  <si>
    <t>21-Jan-2025</t>
  </si>
  <si>
    <t>PODLHR300023648</t>
  </si>
  <si>
    <t>12636/07/2017/SPD</t>
  </si>
  <si>
    <t>15-JUL-2017</t>
  </si>
  <si>
    <t>9976AD1201680002</t>
  </si>
  <si>
    <t>MUHAMMAD RIAZ</t>
  </si>
  <si>
    <t>33100-5716872-1</t>
  </si>
  <si>
    <t>03216671025</t>
  </si>
  <si>
    <t xml:space="preserve">RIPHAH MAIN CAFETERIA C/O RIPHAH INTERNATIONAL UNIVERSITY ADJACENT FISH FARM SATIANA ROAD FAISALABAD </t>
  </si>
  <si>
    <t>52456/00025/07/2020</t>
  </si>
  <si>
    <t>12-JUL-2021</t>
  </si>
  <si>
    <t>6A0262-J2</t>
  </si>
  <si>
    <t>AHFAMVA117PD004834</t>
  </si>
  <si>
    <t>FAW XPV</t>
  </si>
  <si>
    <t>POAFSD300022217</t>
  </si>
  <si>
    <t>TDIDIB0020822</t>
  </si>
  <si>
    <t>11-JUL-2017</t>
  </si>
  <si>
    <t>9976AD1211830097</t>
  </si>
  <si>
    <t>MUHAMMAD DANISH BUTT</t>
  </si>
  <si>
    <t>35202-2363277-1</t>
  </si>
  <si>
    <t>03234410733</t>
  </si>
  <si>
    <t xml:space="preserve">SHOP NO 3 130/C-3 INSIDE SHAH ALAM SHOE MARKET LAHORE </t>
  </si>
  <si>
    <t>2021-10-205-V01501OP0002487</t>
  </si>
  <si>
    <t>Q082246</t>
  </si>
  <si>
    <t>R-6059698</t>
  </si>
  <si>
    <t>OLALHR300070346</t>
  </si>
  <si>
    <t>5548/10/2021</t>
  </si>
  <si>
    <t>23-OCT-2021</t>
  </si>
  <si>
    <t>997AAD1203050085</t>
  </si>
  <si>
    <t>GHULAM MURTAZA</t>
  </si>
  <si>
    <t>61101-1792198-5</t>
  </si>
  <si>
    <t xml:space="preserve">H # 18 ST # 5 SECTOR G-13/3  ISLAMABAD PK </t>
  </si>
  <si>
    <t>2524/02288/00001/01/2021</t>
  </si>
  <si>
    <t>LR020046</t>
  </si>
  <si>
    <t>11-JAN-2021</t>
  </si>
  <si>
    <t>11-Jan-2026</t>
  </si>
  <si>
    <t>POAISD300059793</t>
  </si>
  <si>
    <t>DIB0029295</t>
  </si>
  <si>
    <t>997APD1193650030</t>
  </si>
  <si>
    <t>FAHAD AHMED</t>
  </si>
  <si>
    <t>41304-8243376-7</t>
  </si>
  <si>
    <t>03223038886</t>
  </si>
  <si>
    <t xml:space="preserve">SHOP # 51/52 GUL CENTRE CANTT. NEAR UBL BANK HYDERABAD </t>
  </si>
  <si>
    <t>51531/00039/12/2019</t>
  </si>
  <si>
    <t>L13Z17435808</t>
  </si>
  <si>
    <t>NFBGM1544FR175144</t>
  </si>
  <si>
    <t>BEN-358</t>
  </si>
  <si>
    <t>03-JAN-2020</t>
  </si>
  <si>
    <t>POUHYD300052391</t>
  </si>
  <si>
    <t>2217/12/2019</t>
  </si>
  <si>
    <t>31-DEC-2019</t>
  </si>
  <si>
    <t>9976AP2213650073</t>
  </si>
  <si>
    <t>AMANULLAH BHANGWAR</t>
  </si>
  <si>
    <t>Nawab Shah</t>
  </si>
  <si>
    <t>45402-0952954-3</t>
  </si>
  <si>
    <t>03048457467</t>
  </si>
  <si>
    <t xml:space="preserve">PEOPLES MEDICAL COLLEGE HO HEALTH DEPTT PMC HOSPITAL NAWABSHAH DISTT SBA 0304-8457467 </t>
  </si>
  <si>
    <t>57132/00320/12/2021</t>
  </si>
  <si>
    <t>Z528182</t>
  </si>
  <si>
    <t>NZE170R-1054056</t>
  </si>
  <si>
    <t>BMV-295</t>
  </si>
  <si>
    <t>03-JAN-2022</t>
  </si>
  <si>
    <t>03-Jan-2027</t>
  </si>
  <si>
    <t>OLUNWB300082774</t>
  </si>
  <si>
    <t>6033/12/2021</t>
  </si>
  <si>
    <t>31-DEC-2021</t>
  </si>
  <si>
    <t>9976AP1203660044</t>
  </si>
  <si>
    <t>38403-7381818-9</t>
  </si>
  <si>
    <t>03075043307</t>
  </si>
  <si>
    <t xml:space="preserve">MOHALLAH AKBAR GHOURI TOWN PHASE 1 ISLAMABAD </t>
  </si>
  <si>
    <t>53326/00126/12/2020</t>
  </si>
  <si>
    <t>070297</t>
  </si>
  <si>
    <t>6047766</t>
  </si>
  <si>
    <t>03-JAN-2021</t>
  </si>
  <si>
    <t>03-Jan-2026</t>
  </si>
  <si>
    <t>OLDISD300064685</t>
  </si>
  <si>
    <t>3932/12/2020/ITFM</t>
  </si>
  <si>
    <t>9976AP1223650042</t>
  </si>
  <si>
    <t>RANA ARSLAN ZAFAR</t>
  </si>
  <si>
    <t>54401-9696683-3</t>
  </si>
  <si>
    <t>03008317668</t>
  </si>
  <si>
    <t>03008317668, 03008317668</t>
  </si>
  <si>
    <t xml:space="preserve">CHAK NO 68 RAJPOOT HOUSE SHEIKHUPUR A ROAD ADDA JOHAL FAISALABAD PK </t>
  </si>
  <si>
    <t>65483/00055/12/2022</t>
  </si>
  <si>
    <t>118310</t>
  </si>
  <si>
    <t>10018506</t>
  </si>
  <si>
    <t>LEC-18-8380</t>
  </si>
  <si>
    <t>03-JAN-2023</t>
  </si>
  <si>
    <t>03-Jan-2028</t>
  </si>
  <si>
    <t>OLUFSD300091462</t>
  </si>
  <si>
    <t>9723/12/2022</t>
  </si>
  <si>
    <t>31-DEC-2022</t>
  </si>
  <si>
    <t>9976AP1223650032</t>
  </si>
  <si>
    <t>MUHAMMAD WAQAS AKRAM</t>
  </si>
  <si>
    <t>35302-0726893-1</t>
  </si>
  <si>
    <t>03006681096</t>
  </si>
  <si>
    <t>03006681096, 03006681096</t>
  </si>
  <si>
    <t xml:space="preserve">ST NO 3 HAMAYUN TOWN FSD NEAR MUMTA Z GRAMMAR HIGH SCHOOL FAISALABAD PK </t>
  </si>
  <si>
    <t>65483/00058/12/2022</t>
  </si>
  <si>
    <t>173902</t>
  </si>
  <si>
    <t>10073885</t>
  </si>
  <si>
    <t>FDA-18-244</t>
  </si>
  <si>
    <t>OLUFSD300091480</t>
  </si>
  <si>
    <t>9727/12/2022</t>
  </si>
  <si>
    <t>9976AP1223650051</t>
  </si>
  <si>
    <t>SYED ALI MURTAZA ZAIDI</t>
  </si>
  <si>
    <t>61101-9788983-3</t>
  </si>
  <si>
    <t>00407497358373</t>
  </si>
  <si>
    <t xml:space="preserve">48 OLD CRABTREE LANE HP24EX HEMEL HEMPSTEAD UNITED KINGDOM </t>
  </si>
  <si>
    <t>65483/00060/12/2022</t>
  </si>
  <si>
    <t>281012895</t>
  </si>
  <si>
    <t>029762</t>
  </si>
  <si>
    <t>03-Jan-2030</t>
  </si>
  <si>
    <t>OLDISD300091492</t>
  </si>
  <si>
    <t>109038/12/2022</t>
  </si>
  <si>
    <t>9976AP1220040161</t>
  </si>
  <si>
    <t>AMRITA VENOZ GILL</t>
  </si>
  <si>
    <t>Abotabad</t>
  </si>
  <si>
    <t>13101-6645750-6</t>
  </si>
  <si>
    <t>03365504525</t>
  </si>
  <si>
    <t>0992403549</t>
  </si>
  <si>
    <t xml:space="preserve">SPRING GILL MONTESSORI SCHOOL JHANGI SYEDIAN ABBOTTABAD </t>
  </si>
  <si>
    <t>57132/00347/12/2021</t>
  </si>
  <si>
    <t>530154</t>
  </si>
  <si>
    <t>4156502</t>
  </si>
  <si>
    <t>AJT-097</t>
  </si>
  <si>
    <t>TOYOTA GLI A/T</t>
  </si>
  <si>
    <t>OLUABD300082848</t>
  </si>
  <si>
    <t>6040/12/2021</t>
  </si>
  <si>
    <t>9976AP1203660059</t>
  </si>
  <si>
    <t>JAMAL ALI MIRZA</t>
  </si>
  <si>
    <t>42201-2147828-7</t>
  </si>
  <si>
    <t>0333247114</t>
  </si>
  <si>
    <t>03332471114</t>
  </si>
  <si>
    <t xml:space="preserve">2602 PIB COLONY JAMAL GENERAL STORE KARACHI PK </t>
  </si>
  <si>
    <t>2524/02243/00088/12/2020</t>
  </si>
  <si>
    <t>3B20-LB6651</t>
  </si>
  <si>
    <t>0338389</t>
  </si>
  <si>
    <t>BKS-521</t>
  </si>
  <si>
    <t>NISSAN DAYS HIGHWAY STAR</t>
  </si>
  <si>
    <t>OLUKHI300064634</t>
  </si>
  <si>
    <t>3933/12/2020/ITFM</t>
  </si>
  <si>
    <t>9976AP1213650129</t>
  </si>
  <si>
    <t>SYED AZAM ALI SHAH RIZVI</t>
  </si>
  <si>
    <t>45502-8732960-9</t>
  </si>
  <si>
    <t>03213104006</t>
  </si>
  <si>
    <t xml:space="preserve">HOUSE # B-15 ABDULLAH VILLAS NEAR B ILAL MASJID QASIMABAD HYDERABAD PK </t>
  </si>
  <si>
    <t>57132/00318/12/2021</t>
  </si>
  <si>
    <t>638224</t>
  </si>
  <si>
    <t>545095</t>
  </si>
  <si>
    <t>BJV-376</t>
  </si>
  <si>
    <t>SUZUK CULTUS VXR CNG</t>
  </si>
  <si>
    <t>OLUKHI300082789</t>
  </si>
  <si>
    <t>DIB0032990</t>
  </si>
  <si>
    <t>9976AP1223650046</t>
  </si>
  <si>
    <t>SYED USAMA ALI SHAH</t>
  </si>
  <si>
    <t>33102-6824894-1</t>
  </si>
  <si>
    <t>03202075588</t>
  </si>
  <si>
    <t>03202075588, 03202075588</t>
  </si>
  <si>
    <t xml:space="preserve">P-170-ACANAL ROAD PHASE I EDEN GARD ENS FSD NEAR OPP PARK FAISALABAD PK </t>
  </si>
  <si>
    <t>65483/00056/12/2022</t>
  </si>
  <si>
    <t>273327</t>
  </si>
  <si>
    <t>306078</t>
  </si>
  <si>
    <t>HYUNDAI ELENTRA</t>
  </si>
  <si>
    <t>OLDFSD300091475</t>
  </si>
  <si>
    <t>9726/12/2022</t>
  </si>
  <si>
    <t>9976AP1223650045</t>
  </si>
  <si>
    <t>31303-8682978-9</t>
  </si>
  <si>
    <t>03127788700</t>
  </si>
  <si>
    <t xml:space="preserve">P NO 17 BLOCK QUAID E AZAM ALLAMA COLONY FAISALABAD </t>
  </si>
  <si>
    <t>65483/00061/12/2022</t>
  </si>
  <si>
    <t>6R214379</t>
  </si>
  <si>
    <t>1114370</t>
  </si>
  <si>
    <t>AJT-713</t>
  </si>
  <si>
    <t>OLUFSD300091497</t>
  </si>
  <si>
    <t>9730/12/2022</t>
  </si>
  <si>
    <t>9976AP1223650030</t>
  </si>
  <si>
    <t>REHMAT ALI</t>
  </si>
  <si>
    <t>33100-9667888-5</t>
  </si>
  <si>
    <t>03226502244</t>
  </si>
  <si>
    <t>03226502244, 03226502244</t>
  </si>
  <si>
    <t xml:space="preserve">P-29-A A BLOCK BARKAT PURA FAISALABAD PK </t>
  </si>
  <si>
    <t>65483/00054/12/2022</t>
  </si>
  <si>
    <t>6R213917</t>
  </si>
  <si>
    <t>113937</t>
  </si>
  <si>
    <t>AJG-468</t>
  </si>
  <si>
    <t>OLUFSD300091457</t>
  </si>
  <si>
    <t>9722/12/2022</t>
  </si>
  <si>
    <t>9976AP1223650029</t>
  </si>
  <si>
    <t>MUHAMMAD ADNAN AMIR</t>
  </si>
  <si>
    <t>33100-8007590-1</t>
  </si>
  <si>
    <t>03006620687</t>
  </si>
  <si>
    <t>03006620687, 03006620687</t>
  </si>
  <si>
    <t xml:space="preserve">P-83 LASANI GARDENS SARGODHA ROAD F SD NEAR QUBA MASJID FAISALABAD PK </t>
  </si>
  <si>
    <t>65483/00053/12/2022</t>
  </si>
  <si>
    <t>204837</t>
  </si>
  <si>
    <t>10104844</t>
  </si>
  <si>
    <t>OLDFSD300091458</t>
  </si>
  <si>
    <t>9721/12/2022</t>
  </si>
  <si>
    <t>9976AP2223650039</t>
  </si>
  <si>
    <t>TARIQ MAWAZ</t>
  </si>
  <si>
    <t>33100-0647226-5</t>
  </si>
  <si>
    <t>03007647050</t>
  </si>
  <si>
    <t>03007647050, 03007647050</t>
  </si>
  <si>
    <t>0412600882</t>
  </si>
  <si>
    <t xml:space="preserve">H NO 30 ST NO 01 AL MASOOM TOWN FAISALABAD PK </t>
  </si>
  <si>
    <t>65483/00059/12/2022</t>
  </si>
  <si>
    <t>Q326481</t>
  </si>
  <si>
    <t>7025687</t>
  </si>
  <si>
    <t>AFJ-950</t>
  </si>
  <si>
    <t>OLUFSD300091478</t>
  </si>
  <si>
    <t>9728/12/2022</t>
  </si>
  <si>
    <t>9976AP1213650138</t>
  </si>
  <si>
    <t>MUHAMMAD ANEES</t>
  </si>
  <si>
    <t>41303-6600627-7</t>
  </si>
  <si>
    <t>03213071774</t>
  </si>
  <si>
    <t xml:space="preserve">HOUSE NO A/288 MOHALLA JAMIA MASJID ROAD TANDO WALI MOHAMMAD HYD </t>
  </si>
  <si>
    <t>57132/00350/12/2021</t>
  </si>
  <si>
    <t>547057</t>
  </si>
  <si>
    <t>4172790</t>
  </si>
  <si>
    <t>BPX-345</t>
  </si>
  <si>
    <t>OLUHYD300082748</t>
  </si>
  <si>
    <t>6043/12/2021</t>
  </si>
  <si>
    <t>9976AD2203490017</t>
  </si>
  <si>
    <t>35201-8787862-3</t>
  </si>
  <si>
    <t>042-36553009</t>
  </si>
  <si>
    <t>0333-4245650</t>
  </si>
  <si>
    <t>042-36524900</t>
  </si>
  <si>
    <t xml:space="preserve">H NO 6 STREET NO 18 MASKEEN PURA MUGHAL PURA LAHORE </t>
  </si>
  <si>
    <t>57132/00338/12/2021</t>
  </si>
  <si>
    <t>4113366</t>
  </si>
  <si>
    <t>MN205136</t>
  </si>
  <si>
    <t>11-Jan-2025</t>
  </si>
  <si>
    <t>POALHR300063752</t>
  </si>
  <si>
    <t>DIB0032998</t>
  </si>
  <si>
    <t>9976AP2220040096</t>
  </si>
  <si>
    <t>MUHAMMAD AHSAN MIR</t>
  </si>
  <si>
    <t>61101-1118384-7</t>
  </si>
  <si>
    <t>0515179507</t>
  </si>
  <si>
    <t>0512624800</t>
  </si>
  <si>
    <t xml:space="preserve">H # 134 ST # 22 ALI BLOCK BAHRIA TO WN PH-8 RAWALPINDI PK </t>
  </si>
  <si>
    <t>57132/00368/12/2021</t>
  </si>
  <si>
    <t>16913445</t>
  </si>
  <si>
    <t>065243</t>
  </si>
  <si>
    <t>AST-005</t>
  </si>
  <si>
    <t>HONDA CIVIC VTI</t>
  </si>
  <si>
    <t>OLUISD300082881</t>
  </si>
  <si>
    <t>6056/12/2021</t>
  </si>
  <si>
    <t>9976AD1212530032</t>
  </si>
  <si>
    <t>SHAHZAD MUREED</t>
  </si>
  <si>
    <t>36302-8603292-7</t>
  </si>
  <si>
    <t>03006320207</t>
  </si>
  <si>
    <t xml:space="preserve">POST OFFICE KHAS KHAKI PANJANI SHUJ ABAD MULTAN </t>
  </si>
  <si>
    <t>57132/00304/12/2021</t>
  </si>
  <si>
    <t>6930139</t>
  </si>
  <si>
    <t>082737</t>
  </si>
  <si>
    <t>APL-4</t>
  </si>
  <si>
    <t>OLALHR300073244</t>
  </si>
  <si>
    <t>DIB0032981</t>
  </si>
  <si>
    <t>9976AP1220040172</t>
  </si>
  <si>
    <t>DANISH</t>
  </si>
  <si>
    <t>35202-4154775-9</t>
  </si>
  <si>
    <t>03074363005</t>
  </si>
  <si>
    <t xml:space="preserve">HOUSE NO 53 STREET NO 53 MOHALLAH C HAH MERAN ROAD FAIZ BAGH LAHORE PK </t>
  </si>
  <si>
    <t>57132/00365/12/2021</t>
  </si>
  <si>
    <t>12905954</t>
  </si>
  <si>
    <t>R008418</t>
  </si>
  <si>
    <t>LEA-18-A-2812</t>
  </si>
  <si>
    <t>OLULHR300082889</t>
  </si>
  <si>
    <t>DIB0033023</t>
  </si>
  <si>
    <t>9976AP1213650113</t>
  </si>
  <si>
    <t>41306-4264727-5</t>
  </si>
  <si>
    <t>03133009846</t>
  </si>
  <si>
    <t xml:space="preserve">H NO B-34/1 HDA EDT 1 NORTH PHASE 1 QASIMABAD HYDERABAD PK </t>
  </si>
  <si>
    <t>57132/00321/12/2021</t>
  </si>
  <si>
    <t>Q040457</t>
  </si>
  <si>
    <t>6017962</t>
  </si>
  <si>
    <t>BKU-950</t>
  </si>
  <si>
    <t>OLUHYD300082761</t>
  </si>
  <si>
    <t>6034/12/2021</t>
  </si>
  <si>
    <t>9976AP2213650079</t>
  </si>
  <si>
    <t>GHULAM FAROOQ</t>
  </si>
  <si>
    <t>16101-4611758-7</t>
  </si>
  <si>
    <t>03444472038</t>
  </si>
  <si>
    <t xml:space="preserve">FLAT # B-33 GATE # 4 AGRICULTURE UN IVERSITY PESHAWAR PK </t>
  </si>
  <si>
    <t>57132/00344/12/2021</t>
  </si>
  <si>
    <t>2A42654</t>
  </si>
  <si>
    <t>NSP151R-9515828</t>
  </si>
  <si>
    <t>OLDPEW300082688</t>
  </si>
  <si>
    <t>DIB0033001</t>
  </si>
  <si>
    <t>9976AP2220040091</t>
  </si>
  <si>
    <t>ADEEL GHAFFAR</t>
  </si>
  <si>
    <t>33105-9136009-1</t>
  </si>
  <si>
    <t>03236193113</t>
  </si>
  <si>
    <t>03236193113, 03236193113</t>
  </si>
  <si>
    <t xml:space="preserve">P-297 FACTORY AREA LYALLPUR GARDENS FSD FAISALABAD PK </t>
  </si>
  <si>
    <t>57132/00375/12/2021</t>
  </si>
  <si>
    <t>2A16225</t>
  </si>
  <si>
    <t>R-7009660</t>
  </si>
  <si>
    <t>AST-645</t>
  </si>
  <si>
    <t>TOYOTA ALTIS ATIV</t>
  </si>
  <si>
    <t>OLUFSD300082892</t>
  </si>
  <si>
    <t>DIB0033024</t>
  </si>
  <si>
    <t>9976AP2213650068</t>
  </si>
  <si>
    <t>MUHAMMAD RAFAY</t>
  </si>
  <si>
    <t>35202-7591244-7</t>
  </si>
  <si>
    <t>03464394250</t>
  </si>
  <si>
    <t xml:space="preserve">209 PAK PWD OFFICE NEAR STOCK EXCHA NGE BRANCH MALL ROAD LAHORE </t>
  </si>
  <si>
    <t>57132/00332/12/2021</t>
  </si>
  <si>
    <t>12902993</t>
  </si>
  <si>
    <t>GR003739</t>
  </si>
  <si>
    <t>LEH-16-7134</t>
  </si>
  <si>
    <t>OLULHR300082823</t>
  </si>
  <si>
    <t>DIB0032995</t>
  </si>
  <si>
    <t>9976AP2220040097</t>
  </si>
  <si>
    <t>FAISAL AZIZ QURESHI</t>
  </si>
  <si>
    <t>61101-1574583-9</t>
  </si>
  <si>
    <t>03438848877</t>
  </si>
  <si>
    <t xml:space="preserve">AKBAR AND AL REHMAN PLAZA KHANNA EAST SERVICE ROAD GOURI TOWN ISB </t>
  </si>
  <si>
    <t>57132/00367/12/2021</t>
  </si>
  <si>
    <t>M3CAD504644</t>
  </si>
  <si>
    <t>M1003416</t>
  </si>
  <si>
    <t>CHANGAN ALSVIN LUMEIRE</t>
  </si>
  <si>
    <t>OLDISD300082867</t>
  </si>
  <si>
    <t>6054/12/2021</t>
  </si>
  <si>
    <t>9976AP1203660071</t>
  </si>
  <si>
    <t>MUGHEES UR REHMAN</t>
  </si>
  <si>
    <t>14301-3372040-9</t>
  </si>
  <si>
    <t>091-5705186</t>
  </si>
  <si>
    <t xml:space="preserve">H.NO-90,ASKARI V SHAHEEN COLONY PESHAWAR CANTT PESHAWAR </t>
  </si>
  <si>
    <t>53326/00137/12/2020</t>
  </si>
  <si>
    <t>404119</t>
  </si>
  <si>
    <t>R124964</t>
  </si>
  <si>
    <t>NZ-001</t>
  </si>
  <si>
    <t>OLUISD300064732</t>
  </si>
  <si>
    <t>DIB0029280</t>
  </si>
  <si>
    <t>9976AP2213650080</t>
  </si>
  <si>
    <t>SHAHZEB NAWAZ KHAN</t>
  </si>
  <si>
    <t>42101-7394020-5</t>
  </si>
  <si>
    <t>03218934107</t>
  </si>
  <si>
    <t xml:space="preserve">FLAT # 1104 11TH FLOOR AERO REGENT PLAZA BLOCK F NORTH NAZIMABAD KARAC KARACHI PK </t>
  </si>
  <si>
    <t>57132/00335/12/2021</t>
  </si>
  <si>
    <t>17455547</t>
  </si>
  <si>
    <t>197895</t>
  </si>
  <si>
    <t>BHQ-355</t>
  </si>
  <si>
    <t>HONDA CITY I-VTECH M/T</t>
  </si>
  <si>
    <t>OLUKHI300082792</t>
  </si>
  <si>
    <t>DIB0033018</t>
  </si>
  <si>
    <t>9976AP1203660045</t>
  </si>
  <si>
    <t>35302-4301442-9</t>
  </si>
  <si>
    <t>03336961578</t>
  </si>
  <si>
    <t xml:space="preserve">H # 03 ST # 74 GROUND FLOOR SECTOR # G-13/2 ISLAMABAD PK </t>
  </si>
  <si>
    <t>53326/00125/12/2020</t>
  </si>
  <si>
    <t>1901368</t>
  </si>
  <si>
    <t>2211412</t>
  </si>
  <si>
    <t>OLUISD300064689</t>
  </si>
  <si>
    <t>DIB0029263</t>
  </si>
  <si>
    <t>997APD1193650012</t>
  </si>
  <si>
    <t>ABDULLAH RIZWAN</t>
  </si>
  <si>
    <t>35202-7166493-5</t>
  </si>
  <si>
    <t>0333-4759153, 35854923</t>
  </si>
  <si>
    <t>03334759153</t>
  </si>
  <si>
    <t xml:space="preserve">HNO # 53, BLOCK # G, MODEL TOWN LAHORE PAKISTAN </t>
  </si>
  <si>
    <t>DIB/T/BT/26364/LHR/1219</t>
  </si>
  <si>
    <t>Z570010</t>
  </si>
  <si>
    <t>4198241</t>
  </si>
  <si>
    <t>LE-20-4903</t>
  </si>
  <si>
    <t>PODLHR300052309</t>
  </si>
  <si>
    <t>2205/12/2019/ITFM</t>
  </si>
  <si>
    <t>9976AP2203660028</t>
  </si>
  <si>
    <t>TAHIRA JABEEN</t>
  </si>
  <si>
    <t>42401-9040859-2</t>
  </si>
  <si>
    <t>03201253858</t>
  </si>
  <si>
    <t xml:space="preserve">HOUSE NO E-93 CANTT BAZAR MALIR CANTT KARACHI </t>
  </si>
  <si>
    <t>2524/02243/00087/12/2020</t>
  </si>
  <si>
    <t>Z528271</t>
  </si>
  <si>
    <t>NZE170R-4154190</t>
  </si>
  <si>
    <t>BMV-710</t>
  </si>
  <si>
    <t>OLUKHI300064599</t>
  </si>
  <si>
    <t>3930/12/2020/ITFM</t>
  </si>
  <si>
    <t>9976AP1213650127</t>
  </si>
  <si>
    <t>33100-4500898-9</t>
  </si>
  <si>
    <t>03009658170</t>
  </si>
  <si>
    <t>03009658170, 03009658170</t>
  </si>
  <si>
    <t xml:space="preserve">H NO 114-C MOHALLAH GULBERG C BLOC K FSD FAISALABAD PK </t>
  </si>
  <si>
    <t>57132/00340/12/2021</t>
  </si>
  <si>
    <t>PK10B189579</t>
  </si>
  <si>
    <t>A1J310PK10089576</t>
  </si>
  <si>
    <t>LED-19-4956</t>
  </si>
  <si>
    <t>OLUFSD300082743</t>
  </si>
  <si>
    <t>DIB0033003</t>
  </si>
  <si>
    <t>9976AP2220040090</t>
  </si>
  <si>
    <t>ADNAN ASHRAF</t>
  </si>
  <si>
    <t>33100-1838235-1</t>
  </si>
  <si>
    <t>03217940709</t>
  </si>
  <si>
    <t xml:space="preserve">POST OFFICE KHAS CHAK NO. 248 RB BISMILLAH PUR DALOWAL FSD 03217940709 PAKISTAN </t>
  </si>
  <si>
    <t>57132/00353/12/2021</t>
  </si>
  <si>
    <t>B212736</t>
  </si>
  <si>
    <t>PK10112751</t>
  </si>
  <si>
    <t>AFJ-263</t>
  </si>
  <si>
    <t>SUZUKI WAGNOR VXL</t>
  </si>
  <si>
    <t>OLUFSD300082876</t>
  </si>
  <si>
    <t>DIB-0033016</t>
  </si>
  <si>
    <t>9976AP2213650064</t>
  </si>
  <si>
    <t>GHULAM SHABIR</t>
  </si>
  <si>
    <t>Kotri Jamshoro</t>
  </si>
  <si>
    <t>41204-3839518-3</t>
  </si>
  <si>
    <t>03003790239</t>
  </si>
  <si>
    <t>03003790239, 03155863719</t>
  </si>
  <si>
    <t xml:space="preserve">H NO 55 BHIRYA JAMSHORO NEAR RESHAM BAZAR KOTRI JAMSHORO PK </t>
  </si>
  <si>
    <t>57132/00326/12/2021</t>
  </si>
  <si>
    <t>128382</t>
  </si>
  <si>
    <t>10028375</t>
  </si>
  <si>
    <t>BNX-378</t>
  </si>
  <si>
    <t>03-Jan-2029</t>
  </si>
  <si>
    <t>OLUKJM300082770</t>
  </si>
  <si>
    <t>6037/12/2021</t>
  </si>
  <si>
    <t>9976AP1203660072</t>
  </si>
  <si>
    <t>FAZAL UR REHMAN</t>
  </si>
  <si>
    <t>38302-7688904-1</t>
  </si>
  <si>
    <t>03110021040</t>
  </si>
  <si>
    <t>0512617385</t>
  </si>
  <si>
    <t xml:space="preserve">H # 2021 ST # F-8/2 BLOCK-F NATIONA L POLICE FOUNDATION O-9 BLOCK-F NEA ISLAMABAD PK </t>
  </si>
  <si>
    <t>53326/00135/12/2020</t>
  </si>
  <si>
    <t>7425864</t>
  </si>
  <si>
    <t>163342</t>
  </si>
  <si>
    <t>DX-561</t>
  </si>
  <si>
    <t>OLUISD300064751</t>
  </si>
  <si>
    <t>DIB0029285</t>
  </si>
  <si>
    <t>9976AP1213650152</t>
  </si>
  <si>
    <t>KASHIF MAHMOOD</t>
  </si>
  <si>
    <t>35202-3118581-1</t>
  </si>
  <si>
    <t>03004440226</t>
  </si>
  <si>
    <t xml:space="preserve">FRIENDS STATIONERS OFFICE NO 1 FEROZ CENTER 28 KABIR STREET URDU BAZAR LAHORE </t>
  </si>
  <si>
    <t>57132/00331/12/2021</t>
  </si>
  <si>
    <t>PK10K118826</t>
  </si>
  <si>
    <t>NE1AVK31H10018800</t>
  </si>
  <si>
    <t>LEF-18-806</t>
  </si>
  <si>
    <t>OLULHR300082745</t>
  </si>
  <si>
    <t>DIB0032994</t>
  </si>
  <si>
    <t>9976AP1213650139</t>
  </si>
  <si>
    <t>IRFAN AHMED SHAIKH</t>
  </si>
  <si>
    <t>41306-5752630-9</t>
  </si>
  <si>
    <t>03003043553</t>
  </si>
  <si>
    <t xml:space="preserve">BUNGALOW NO 324, BLOCK I CITIZEN COLONY JAMSHORO ROAD HYDERABAD </t>
  </si>
  <si>
    <t>57132/00355/12/2021</t>
  </si>
  <si>
    <t>602273</t>
  </si>
  <si>
    <t>1011735</t>
  </si>
  <si>
    <t>OLDHYD300082527</t>
  </si>
  <si>
    <t>6048/12/2021</t>
  </si>
  <si>
    <t>9976AP1220040173</t>
  </si>
  <si>
    <t>SHARAFAT ALI</t>
  </si>
  <si>
    <t>35202-2797937-9</t>
  </si>
  <si>
    <t>03214703399</t>
  </si>
  <si>
    <t xml:space="preserve">LAKHOKA P.O KHASS TAHSIL LAHORE CANTT DISTRICT LAHORE CANTT </t>
  </si>
  <si>
    <t>57132/00346/12/2021</t>
  </si>
  <si>
    <t>L13Z17439554</t>
  </si>
  <si>
    <t>NFBGM1543GR179428</t>
  </si>
  <si>
    <t>LEA-16-8434</t>
  </si>
  <si>
    <t>OLULHR300082846</t>
  </si>
  <si>
    <t>DIB0033011</t>
  </si>
  <si>
    <t>9976AP2220040089</t>
  </si>
  <si>
    <t>FAREEHA SAMAN</t>
  </si>
  <si>
    <t>33100-9604378-6</t>
  </si>
  <si>
    <t>03051734194</t>
  </si>
  <si>
    <t>03051734194, 03051734194</t>
  </si>
  <si>
    <t>0418719132</t>
  </si>
  <si>
    <t xml:space="preserve">NP-84, ST#06 JOHAR COLONY NEW GREEN TOWN MILLAT ROAD FSD FAISALABAD PK </t>
  </si>
  <si>
    <t>57132/00351/12/2021</t>
  </si>
  <si>
    <t>10B179706</t>
  </si>
  <si>
    <t>PK10079700</t>
  </si>
  <si>
    <t>LE-19-7833</t>
  </si>
  <si>
    <t>OLUFSD300082858</t>
  </si>
  <si>
    <t>DIB0033013</t>
  </si>
  <si>
    <t>9976AP2213650061</t>
  </si>
  <si>
    <t>GHULAM MUSTAFA KHAN</t>
  </si>
  <si>
    <t>42101-3872353-5</t>
  </si>
  <si>
    <t>03333564446</t>
  </si>
  <si>
    <t xml:space="preserve">R- 13 2ND FLOOR BLOCK 8 YASEENABAD FB AREA THE COMFORT HOME KARACHI PK </t>
  </si>
  <si>
    <t>57132/00315/12/2021</t>
  </si>
  <si>
    <t>13032552</t>
  </si>
  <si>
    <t>10032546</t>
  </si>
  <si>
    <t>BGS-641</t>
  </si>
  <si>
    <t>OLUKHI300082750</t>
  </si>
  <si>
    <t>6029/12/2021</t>
  </si>
  <si>
    <t>9976AP2220040092</t>
  </si>
  <si>
    <t>HAMMAD RAZA</t>
  </si>
  <si>
    <t>33100-2337268-5</t>
  </si>
  <si>
    <t>03214984000</t>
  </si>
  <si>
    <t>03214984000, 03214984000</t>
  </si>
  <si>
    <t xml:space="preserve">H # 212 , BLOCK-C , NEAR FAIZ MEDIC AL HALL , GULBERG COLONY FAISALABAD PK </t>
  </si>
  <si>
    <t>57132/00361/12/2021</t>
  </si>
  <si>
    <t>155643</t>
  </si>
  <si>
    <t>10055629</t>
  </si>
  <si>
    <t>AJB-808</t>
  </si>
  <si>
    <t>OLUFSD300082884</t>
  </si>
  <si>
    <t>DIB0033021</t>
  </si>
  <si>
    <t>9976AP1213650148</t>
  </si>
  <si>
    <t>FARZANA SARWAR</t>
  </si>
  <si>
    <t>42201-0866692-8</t>
  </si>
  <si>
    <t>03122425074</t>
  </si>
  <si>
    <t>03323177843</t>
  </si>
  <si>
    <t>34020055 03022182410</t>
  </si>
  <si>
    <t xml:space="preserve">FLAT D-203 ERUM HIGHTS AND SHOPPING MALL BLOCK 13 GULISTAN-E-JOHAR KARACHI </t>
  </si>
  <si>
    <t>57132/00354/12/2021</t>
  </si>
  <si>
    <t>13033449</t>
  </si>
  <si>
    <t>10033445</t>
  </si>
  <si>
    <t>BHB-472</t>
  </si>
  <si>
    <t>SUZIKI SWIFT DLX ABS WITH EBD A/T</t>
  </si>
  <si>
    <t>OLUKHI300082778</t>
  </si>
  <si>
    <t>DIB00330014</t>
  </si>
  <si>
    <t>9976AP1213650104</t>
  </si>
  <si>
    <t>SYED MUHAMMAD SAMI</t>
  </si>
  <si>
    <t>42101-5499664-7</t>
  </si>
  <si>
    <t>03312336449</t>
  </si>
  <si>
    <t xml:space="preserve">HOUSE # F-53 RIZVIA SOCIETY NAZIMAB AD KARACHI PK </t>
  </si>
  <si>
    <t>57132/00306/12/2021</t>
  </si>
  <si>
    <t>136739</t>
  </si>
  <si>
    <t>10036707</t>
  </si>
  <si>
    <t>BKC-027</t>
  </si>
  <si>
    <t>OLUKHI300082646</t>
  </si>
  <si>
    <t>6015/12/2021</t>
  </si>
  <si>
    <t>30-DEC-2021</t>
  </si>
  <si>
    <t>9976AP1213650128</t>
  </si>
  <si>
    <t>MUHAMMAD FAIZAN</t>
  </si>
  <si>
    <t>42101-0255137-3</t>
  </si>
  <si>
    <t>03363407357</t>
  </si>
  <si>
    <t xml:space="preserve">HNO:4C1 FLAT NO:217 NAZIMABAD 4 KARACHI </t>
  </si>
  <si>
    <t>57132/00323/12/2021</t>
  </si>
  <si>
    <t>6R101963</t>
  </si>
  <si>
    <t>306H1001948</t>
  </si>
  <si>
    <t>BSE-591</t>
  </si>
  <si>
    <t>OLUKHI30082781</t>
  </si>
  <si>
    <t>DIB0033008</t>
  </si>
  <si>
    <t>9976AP2210040005</t>
  </si>
  <si>
    <t>TARIQ HASSAN</t>
  </si>
  <si>
    <t>15202-7101128-3</t>
  </si>
  <si>
    <t xml:space="preserve">H # 205-A ST # 74 SECTOR # F-11/1  ISLAMABAD PK </t>
  </si>
  <si>
    <t>53326/00123/12/2020</t>
  </si>
  <si>
    <t>Q069949</t>
  </si>
  <si>
    <t>OLDISD300064504</t>
  </si>
  <si>
    <t>3925/12/2020/ITFM</t>
  </si>
  <si>
    <t>9976AP1213650120</t>
  </si>
  <si>
    <t>FAREEDA WASI KHAN</t>
  </si>
  <si>
    <t>42000-4551324-8</t>
  </si>
  <si>
    <t>03362602522</t>
  </si>
  <si>
    <t>03362602522, 03362602522</t>
  </si>
  <si>
    <t xml:space="preserve">HOUSE # IH 326 B EXT. PAF FALCON CO MPLEX NEW MALIR OPPOSITE MALIR CANT KARACHI PK </t>
  </si>
  <si>
    <t>57132/00303/12/2021</t>
  </si>
  <si>
    <t>6R156485</t>
  </si>
  <si>
    <t>1056488</t>
  </si>
  <si>
    <t>BTD-665</t>
  </si>
  <si>
    <t>OLUKHI300082732</t>
  </si>
  <si>
    <t>6025/12/2021</t>
  </si>
  <si>
    <t>9976AP1213650132</t>
  </si>
  <si>
    <t>MUHAMMAD SHAHZAD KHAN</t>
  </si>
  <si>
    <t>42201-8155519-3</t>
  </si>
  <si>
    <t>03002191461</t>
  </si>
  <si>
    <t xml:space="preserve">HOUSE NO.A-407 BLOCK 5 GULSHAN-E-IQBAL NEAR SIR SYED UNIVERSITY KARACHI </t>
  </si>
  <si>
    <t>57132/00329/12/2021</t>
  </si>
  <si>
    <t>13029173</t>
  </si>
  <si>
    <t>10029170</t>
  </si>
  <si>
    <t>BEG-507</t>
  </si>
  <si>
    <t>SUZUKI SWIFT DLX 1.3</t>
  </si>
  <si>
    <t>OLUKHI300082773</t>
  </si>
  <si>
    <t>DIB0033004</t>
  </si>
  <si>
    <t>9976AP2203660066</t>
  </si>
  <si>
    <t>SYED ABID ALI</t>
  </si>
  <si>
    <t>42201-0497263-5</t>
  </si>
  <si>
    <t>32780044</t>
  </si>
  <si>
    <t>03112309923</t>
  </si>
  <si>
    <t xml:space="preserve">H NO 4/6 BLOCK E JACOBA LINE HOUSING COMPLEX NR JAMIA MASJID THANVI KARACHI </t>
  </si>
  <si>
    <t>53326/00140/01/2021</t>
  </si>
  <si>
    <t>1KR-1621560</t>
  </si>
  <si>
    <t>KSP130-2171144</t>
  </si>
  <si>
    <t>OLUKHI300064837</t>
  </si>
  <si>
    <t>3977/12/2020/ITFM</t>
  </si>
  <si>
    <t>9976AP2203660050</t>
  </si>
  <si>
    <t>MUHAMMAD KHALIQ</t>
  </si>
  <si>
    <t>61101-9520014-3</t>
  </si>
  <si>
    <t>03325048845</t>
  </si>
  <si>
    <t>0519334617</t>
  </si>
  <si>
    <t xml:space="preserve">H # 494-A ST # 54 NEAR QAZIA MARKET SECTOR # G-7/3-4 NEAR IQBAL HALL ISLAMABAD PK </t>
  </si>
  <si>
    <t>53326/00134/12/2020</t>
  </si>
  <si>
    <t>2741366</t>
  </si>
  <si>
    <t>111615</t>
  </si>
  <si>
    <t>AX-763</t>
  </si>
  <si>
    <t>CIVIC VTI ORIEL M/T</t>
  </si>
  <si>
    <t>OLUISD300064733</t>
  </si>
  <si>
    <t>DIB0029281</t>
  </si>
  <si>
    <t>9976AP1213650131</t>
  </si>
  <si>
    <t>MUHAMMAD MUKARAM</t>
  </si>
  <si>
    <t>42201-0196338-7</t>
  </si>
  <si>
    <t>03458843780</t>
  </si>
  <si>
    <t xml:space="preserve">HOUSE # R-94 SECTOR-33E KORANGI # 2 /1 BEHIND ALI ASGHAR TEXTILE MILS N KARACHI PK </t>
  </si>
  <si>
    <t>57132/00316/12/2021</t>
  </si>
  <si>
    <t>B-129720</t>
  </si>
  <si>
    <t>10029956</t>
  </si>
  <si>
    <t>BHG-488</t>
  </si>
  <si>
    <t>OLUKHI300082709</t>
  </si>
  <si>
    <t>6030/12/2021</t>
  </si>
  <si>
    <t>9976AP1213650134</t>
  </si>
  <si>
    <t>TAHIR AKHTER HUSSAIN MITHAI WALA</t>
  </si>
  <si>
    <t>42301-6476475-5</t>
  </si>
  <si>
    <t>03012223239</t>
  </si>
  <si>
    <t xml:space="preserve">HOUSE NO A-221 BLOCK C HAIDERY NORTH NAZIMABAD KARACHI </t>
  </si>
  <si>
    <t>57132/00312/12/2021</t>
  </si>
  <si>
    <t>133205</t>
  </si>
  <si>
    <t>708687</t>
  </si>
  <si>
    <t>OLDKHI300082697</t>
  </si>
  <si>
    <t>6027/12/2021</t>
  </si>
  <si>
    <t>997APD2193650011</t>
  </si>
  <si>
    <t>ANJUM AJAZ</t>
  </si>
  <si>
    <t>35202-7377862-9</t>
  </si>
  <si>
    <t>0306-065558</t>
  </si>
  <si>
    <t>03425565556</t>
  </si>
  <si>
    <t>0306-0655558</t>
  </si>
  <si>
    <t xml:space="preserve">MOZA HAYER MAIN BAIDIAN ROAD HAJI M . NAWAL VILLAS SHARPUR LAHORE PAKISTAN </t>
  </si>
  <si>
    <t>DIB/T/BT/26355/LHR/1219</t>
  </si>
  <si>
    <t>Z570842</t>
  </si>
  <si>
    <t>4196878</t>
  </si>
  <si>
    <t>LE-20-6882</t>
  </si>
  <si>
    <t>PODLHR300052310</t>
  </si>
  <si>
    <t>2196/12/2019/ITFM</t>
  </si>
  <si>
    <t>9976AP2213650062</t>
  </si>
  <si>
    <t>MIR ASADULLAH TALPUR</t>
  </si>
  <si>
    <t>41104-2400835-9</t>
  </si>
  <si>
    <t>03454907919</t>
  </si>
  <si>
    <t xml:space="preserve">HOUSE # 06 MOONA VILLAS SINDH MUSLI M SOCEITY QASIMABAD HYDERABAD PK </t>
  </si>
  <si>
    <t>57132/00327/12/2021</t>
  </si>
  <si>
    <t>124791</t>
  </si>
  <si>
    <t>10024769</t>
  </si>
  <si>
    <t>BNS-630</t>
  </si>
  <si>
    <t>OLUHYD300082771</t>
  </si>
  <si>
    <t>6042/12/2021</t>
  </si>
  <si>
    <t>9976AP1220040168</t>
  </si>
  <si>
    <t>ASAD RAZA</t>
  </si>
  <si>
    <t>37405-6371415-7</t>
  </si>
  <si>
    <t>03115529589</t>
  </si>
  <si>
    <t xml:space="preserve">H. NO.1 ST NO.13 SEC B DHA PH 1 RWP </t>
  </si>
  <si>
    <t>57132/00370/12/2021</t>
  </si>
  <si>
    <t>6R161302</t>
  </si>
  <si>
    <t>NF1AET306H1061274</t>
  </si>
  <si>
    <t>ATU-698</t>
  </si>
  <si>
    <t>OLUISD300082890</t>
  </si>
  <si>
    <t>6058/12/2021</t>
  </si>
  <si>
    <t>9976AP1213650143</t>
  </si>
  <si>
    <t>MUHAMMAD SHAKIR</t>
  </si>
  <si>
    <t>42201-8312004-1</t>
  </si>
  <si>
    <t>03452346258</t>
  </si>
  <si>
    <t xml:space="preserve">PLOT # 60 SHOP 35-G KARACHI </t>
  </si>
  <si>
    <t>57132/00358/12/2021</t>
  </si>
  <si>
    <t>PKF626292</t>
  </si>
  <si>
    <t>PK533121</t>
  </si>
  <si>
    <t>BGE-581</t>
  </si>
  <si>
    <t>OLUKHI300082859</t>
  </si>
  <si>
    <t>6057/12/2021</t>
  </si>
  <si>
    <t>9976AP1213650122</t>
  </si>
  <si>
    <t>SADDAM SAEED</t>
  </si>
  <si>
    <t>35202-5058162-9</t>
  </si>
  <si>
    <t>03218768196</t>
  </si>
  <si>
    <t xml:space="preserve">HOUSE NO 145 B-BLOCK AUDIT and ACCOUN TS SOCIETY PHASE 1 NEAR UET SOCIETY LAHORE PK </t>
  </si>
  <si>
    <t>57132/00305/12/2021</t>
  </si>
  <si>
    <t>HH300072</t>
  </si>
  <si>
    <t>17000036</t>
  </si>
  <si>
    <t>LEB-17A-270</t>
  </si>
  <si>
    <t>FAW FAW V2</t>
  </si>
  <si>
    <t>OLULHR300082739</t>
  </si>
  <si>
    <t>DIB0032982</t>
  </si>
  <si>
    <t>9976AP1220040176</t>
  </si>
  <si>
    <t>MUHAMMAD AKBAR</t>
  </si>
  <si>
    <t>35201-9891775-9</t>
  </si>
  <si>
    <t>03014848460</t>
  </si>
  <si>
    <t xml:space="preserve">OFF NO 143-A BEGUMPURA LAHORE </t>
  </si>
  <si>
    <t>57132/00364/12/2021</t>
  </si>
  <si>
    <t>193535</t>
  </si>
  <si>
    <t>10093528</t>
  </si>
  <si>
    <t>LEE-19-5453</t>
  </si>
  <si>
    <t>OLULHR300082885</t>
  </si>
  <si>
    <t>DIB0033025</t>
  </si>
  <si>
    <t>997APD1193650018</t>
  </si>
  <si>
    <t>ABDUL RAUF</t>
  </si>
  <si>
    <t>Sukkar</t>
  </si>
  <si>
    <t>45203-8908210-3</t>
  </si>
  <si>
    <t xml:space="preserve">SINDH SMALL INDUSTRIES CORP. REGIONAL OFF GOLIMAR ROAD NEAR SSGC OFFICE SUKKUR 0310-2001173 </t>
  </si>
  <si>
    <t>51531/00061/12/2019</t>
  </si>
  <si>
    <t>Z483591</t>
  </si>
  <si>
    <t>NZE170R-4109923</t>
  </si>
  <si>
    <t>BJH-049</t>
  </si>
  <si>
    <t>POUSUK300052183</t>
  </si>
  <si>
    <t>TDIDIB0027452</t>
  </si>
  <si>
    <t>9976AP2203660027</t>
  </si>
  <si>
    <t>SYED SHAHZAMAN</t>
  </si>
  <si>
    <t>42101-3632605-9</t>
  </si>
  <si>
    <t>03333000119</t>
  </si>
  <si>
    <t xml:space="preserve">HOUSE NO A-2 PLOT BO B25 NORTH NAZIMABAD KARACHI NEAR SAIMA VILLAGE </t>
  </si>
  <si>
    <t>53326/00127/12/2020</t>
  </si>
  <si>
    <t>PKF617000</t>
  </si>
  <si>
    <t>SF410PK523876</t>
  </si>
  <si>
    <t>BET-468</t>
  </si>
  <si>
    <t>CULTUS VXR EURO II</t>
  </si>
  <si>
    <t>OLUKHI300064597</t>
  </si>
  <si>
    <t>DIB00229269</t>
  </si>
  <si>
    <t>9976AP2213650074</t>
  </si>
  <si>
    <t>HAFIZ MUHAMMAD ASAD ULLAH</t>
  </si>
  <si>
    <t>38403-6989855-3</t>
  </si>
  <si>
    <t>03138600877</t>
  </si>
  <si>
    <t>05190733518</t>
  </si>
  <si>
    <t xml:space="preserve">H # 186 CANYON STREET GREENS AVENUE PARK ROAD ISLAMABAD PK </t>
  </si>
  <si>
    <t>57132/00339/12/2021</t>
  </si>
  <si>
    <t>594131</t>
  </si>
  <si>
    <t>500988</t>
  </si>
  <si>
    <t>F-D-14-947</t>
  </si>
  <si>
    <t>OLUISD300082819</t>
  </si>
  <si>
    <t>6036/12/2021</t>
  </si>
  <si>
    <t>9976AP1233640017</t>
  </si>
  <si>
    <t>GHULAM</t>
  </si>
  <si>
    <t>42101-6210630-3</t>
  </si>
  <si>
    <t>03222259497</t>
  </si>
  <si>
    <t>03222259497, 03222259497</t>
  </si>
  <si>
    <t>02136644831</t>
  </si>
  <si>
    <t xml:space="preserve">PLOT # SC-15, 1ST FLOOR, NORTH NAZI MABAD BLOCK H NEAR FIVE STAR CHOWRA NGI KARACHI </t>
  </si>
  <si>
    <t>78992/00063/12/2023</t>
  </si>
  <si>
    <t>29-DEC-2024</t>
  </si>
  <si>
    <t>291455</t>
  </si>
  <si>
    <t>1191557</t>
  </si>
  <si>
    <t>03-JAN-2024</t>
  </si>
  <si>
    <t>OLDKHI300098943</t>
  </si>
  <si>
    <t>10694/12/2023/ITFM</t>
  </si>
  <si>
    <t>30-DEC-2023</t>
  </si>
  <si>
    <t>9976AP1233640016</t>
  </si>
  <si>
    <t>MUHAMMAD AFTAB AHMED KHAN</t>
  </si>
  <si>
    <t>42401-6196436-3</t>
  </si>
  <si>
    <t>03332149639</t>
  </si>
  <si>
    <t xml:space="preserve">HNO KS-521 SECTOR 16/C/2 GULSHAN E BIHAR ORANGI TOWN KHI KARACHI PK </t>
  </si>
  <si>
    <t>78992/00062/12/2023</t>
  </si>
  <si>
    <t>17516665</t>
  </si>
  <si>
    <t>R231572</t>
  </si>
  <si>
    <t>BNQ-897</t>
  </si>
  <si>
    <t>HOMDA CIVIC I-VTEC</t>
  </si>
  <si>
    <t>OLUKHI300098947</t>
  </si>
  <si>
    <t>10693/12/2023/ITFM</t>
  </si>
  <si>
    <t>9976AP1233640015</t>
  </si>
  <si>
    <t>SAAD ISMAIL SHAIKH</t>
  </si>
  <si>
    <t>42101-8003132-5</t>
  </si>
  <si>
    <t>03333004529</t>
  </si>
  <si>
    <t xml:space="preserve">HOUSE # A-445, NORTH NAZIMABAD, BLOCK-J, NEAR RAINBVOW BAKERY, 0333-3004529 </t>
  </si>
  <si>
    <t>78992/00061/12/2023</t>
  </si>
  <si>
    <t>12916729</t>
  </si>
  <si>
    <t>R0200099</t>
  </si>
  <si>
    <t>BJV-185</t>
  </si>
  <si>
    <t>OLUKHI300098948</t>
  </si>
  <si>
    <t>10683/12/2023/ITFM</t>
  </si>
  <si>
    <t>9976AP2233640011</t>
  </si>
  <si>
    <t>MUHAMMAD HAMMAD SHAHID</t>
  </si>
  <si>
    <t>41304-6583708-9</t>
  </si>
  <si>
    <t>03223114350</t>
  </si>
  <si>
    <t>03223114350, 03133114350</t>
  </si>
  <si>
    <t xml:space="preserve">HOUSE # 305 BLOCK E UNIT # 9 LATIFA BAD AIR PORT ROAD OPP NADRA OFFICE HYDERABAD PK </t>
  </si>
  <si>
    <t>78992/00066/12/2023</t>
  </si>
  <si>
    <t>2A25882</t>
  </si>
  <si>
    <t>7015461</t>
  </si>
  <si>
    <t>OLUHYD300098949</t>
  </si>
  <si>
    <t>10697/12/2023/ITFM</t>
  </si>
  <si>
    <t>9976AP2233640010</t>
  </si>
  <si>
    <t>MUHAMMAD TALHA SHAIKH</t>
  </si>
  <si>
    <t>41303-0157616-3</t>
  </si>
  <si>
    <t>03073167644</t>
  </si>
  <si>
    <t>03073167644, 03102703788</t>
  </si>
  <si>
    <t xml:space="preserve">HOUSE # D-44 - 2214 MOHALLA RESHAM STREET NEAR AL FAROOQ SCHOOL NEAR N HYDERABAD PK </t>
  </si>
  <si>
    <t>12934063</t>
  </si>
  <si>
    <t>037487</t>
  </si>
  <si>
    <t>OLUHYD300098951</t>
  </si>
  <si>
    <t>10696/12/2023/ITFM</t>
  </si>
  <si>
    <t>9976AP1233640012</t>
  </si>
  <si>
    <t>ASSADULLAH</t>
  </si>
  <si>
    <t>42301-1794981-7</t>
  </si>
  <si>
    <t>03412427708</t>
  </si>
  <si>
    <t>03412927708</t>
  </si>
  <si>
    <t xml:space="preserve">BUILDING 17-C 1ST FLOOR OFFICE NO 0 2 STADIUM LANE 2 DHA PHASE V KHADA MARKET KHI KARACHI </t>
  </si>
  <si>
    <t>78992/00059/12/2023</t>
  </si>
  <si>
    <t>53893</t>
  </si>
  <si>
    <t>53054</t>
  </si>
  <si>
    <t>BVT-101</t>
  </si>
  <si>
    <t>OLUKHI300098942</t>
  </si>
  <si>
    <t>10691/12/2023/ITFM</t>
  </si>
  <si>
    <t>9976AP1233640010</t>
  </si>
  <si>
    <t>MUHAMMAD RIZWAN</t>
  </si>
  <si>
    <t>42201-0392517-7</t>
  </si>
  <si>
    <t xml:space="preserve">HOUSE NO 523 SECTOR 33D GAREEB NAWAZ ROAD KORANGI 2 1/2 NEAR NOOR MASJID KARACHI </t>
  </si>
  <si>
    <t>78992/00056/12/2023</t>
  </si>
  <si>
    <t>14809359</t>
  </si>
  <si>
    <t>R-026037</t>
  </si>
  <si>
    <t>BK-4817</t>
  </si>
  <si>
    <t>HONDA BR-V IVTEC</t>
  </si>
  <si>
    <t>OLUKHI300098940</t>
  </si>
  <si>
    <t>10686/12/2023/ITFM</t>
  </si>
  <si>
    <t>9976AP2233640007</t>
  </si>
  <si>
    <t>IRFAN KHALIL</t>
  </si>
  <si>
    <t>42101-6321368-3</t>
  </si>
  <si>
    <t>02134161232</t>
  </si>
  <si>
    <t>03002366317</t>
  </si>
  <si>
    <t>02135121220</t>
  </si>
  <si>
    <t xml:space="preserve">PLOT NO 5/2 SECTER 15 KORANGI INDUS TRIAL AREA BABAR CNG PUMP KARACHI </t>
  </si>
  <si>
    <t>78992/00058/12/2023</t>
  </si>
  <si>
    <t>51020313</t>
  </si>
  <si>
    <t>R035183</t>
  </si>
  <si>
    <t>HONDA CIVIC I-VTEC</t>
  </si>
  <si>
    <t>OLDKHI300098939</t>
  </si>
  <si>
    <t>10688/12/2023/ITFM</t>
  </si>
  <si>
    <t>9976AP1233640008</t>
  </si>
  <si>
    <t>MUHAMMAD ADIL KHAN</t>
  </si>
  <si>
    <t>42501-1566836-3</t>
  </si>
  <si>
    <t>03118408373</t>
  </si>
  <si>
    <t xml:space="preserve">L-32 BLOCK A MILLAT GARDEN SOCIETY MALIR KALABOAT KARACHI KARACHI PK </t>
  </si>
  <si>
    <t>78992/00060/12/2023</t>
  </si>
  <si>
    <t>13513653</t>
  </si>
  <si>
    <t>013655</t>
  </si>
  <si>
    <t>BH-2394</t>
  </si>
  <si>
    <t>HONDA BRV-IVTEC</t>
  </si>
  <si>
    <t>OLUKHI300098938</t>
  </si>
  <si>
    <t>10689/12/2023/ITFM</t>
  </si>
  <si>
    <t>9976AP1233640007</t>
  </si>
  <si>
    <t>NIAZ ALI JANWRI</t>
  </si>
  <si>
    <t>45203-4157127-9</t>
  </si>
  <si>
    <t>03013409956</t>
  </si>
  <si>
    <t xml:space="preserve">D- 69 BLOCK D SUPARCO ROAD SACHAL G OTH GULZAR-E- HIJRI PCSIR LABORTORY KARACHI PK </t>
  </si>
  <si>
    <t>78992/00057/12/2023</t>
  </si>
  <si>
    <t>130026</t>
  </si>
  <si>
    <t>10030019</t>
  </si>
  <si>
    <t>BNR-129</t>
  </si>
  <si>
    <t>OLUKHI300098941</t>
  </si>
  <si>
    <t>10687/12/2023/ITFM</t>
  </si>
  <si>
    <t>9976AD2220900027</t>
  </si>
  <si>
    <t>GHULAM HASSAN HASHMI</t>
  </si>
  <si>
    <t>37405-7796948-3</t>
  </si>
  <si>
    <t>03330549029</t>
  </si>
  <si>
    <t>0519209032</t>
  </si>
  <si>
    <t xml:space="preserve">H # CB-2354 BAHADUR KHAN STREET ITE FAQ TOWN SAIM ROAD NEAR SEHAM EIDGH RAWALPINDI PK </t>
  </si>
  <si>
    <t>65483/00049/12/2022</t>
  </si>
  <si>
    <t>264826</t>
  </si>
  <si>
    <t>1164857</t>
  </si>
  <si>
    <t>11-JAN-2023</t>
  </si>
  <si>
    <t>11-Jan-2030</t>
  </si>
  <si>
    <t>OLAISD300086070</t>
  </si>
  <si>
    <t>DIB0034869</t>
  </si>
  <si>
    <t>30-DEC-2022</t>
  </si>
  <si>
    <t>9976AD1221740013</t>
  </si>
  <si>
    <t>SHOAIB AHMED</t>
  </si>
  <si>
    <t>43103-4860208-3</t>
  </si>
  <si>
    <t>03453477902</t>
  </si>
  <si>
    <t>03333255522</t>
  </si>
  <si>
    <t>02134386168</t>
  </si>
  <si>
    <t xml:space="preserve">FLAT NO. B-01 2ND FLOOR ZAHEER MANSION PLOT NO. 199/201 COMMERCIAL AREA PECHS BLOCK-2 KARACHI 0333-3255522 </t>
  </si>
  <si>
    <t>65483/00050/12/2022</t>
  </si>
  <si>
    <t>265204</t>
  </si>
  <si>
    <t>1165228</t>
  </si>
  <si>
    <t>OLAKHI300088205</t>
  </si>
  <si>
    <t>9696/12/2022/ITFM</t>
  </si>
  <si>
    <t>9976AD1222700002</t>
  </si>
  <si>
    <t>MOHAMMAD NABEEL ANJUM</t>
  </si>
  <si>
    <t>42101-3338633-7</t>
  </si>
  <si>
    <t>00966566245273</t>
  </si>
  <si>
    <t xml:space="preserve">PO BOX 9 ZIP CODE 31952 ZAMIL HOUSE FLR 10 PRINCE TURKY STR CORNICHE AL KHOBAR EASTERN SAUDI ARABIA </t>
  </si>
  <si>
    <t>65483/00051/12/2022</t>
  </si>
  <si>
    <t>972482</t>
  </si>
  <si>
    <t>0445332</t>
  </si>
  <si>
    <t>OLAKHI300090084</t>
  </si>
  <si>
    <t>9645/12/2022/ITFM</t>
  </si>
  <si>
    <t>15-DEC-2022</t>
  </si>
  <si>
    <t>9976AD2221750006</t>
  </si>
  <si>
    <t>SIDRA HABIB</t>
  </si>
  <si>
    <t>36603-2191008-6</t>
  </si>
  <si>
    <t>03336264201</t>
  </si>
  <si>
    <t>03336264201, 03336264201</t>
  </si>
  <si>
    <t xml:space="preserve">CHAK NO 557 ADDA MACHIWAL BUREWALA FAISALABAD PK </t>
  </si>
  <si>
    <t>65483/00047/12/2022</t>
  </si>
  <si>
    <t>6R266446</t>
  </si>
  <si>
    <t>1166420</t>
  </si>
  <si>
    <t>OLABRW300088301</t>
  </si>
  <si>
    <t>9702/12/2022/ITFM</t>
  </si>
  <si>
    <t>28-DEC-2022</t>
  </si>
  <si>
    <t>9976AP1203660062</t>
  </si>
  <si>
    <t>TAYYAB MANNAN</t>
  </si>
  <si>
    <t>35202-8643372-5</t>
  </si>
  <si>
    <t>03000771881</t>
  </si>
  <si>
    <t>04235465849</t>
  </si>
  <si>
    <t xml:space="preserve">HOUSE # 41 GARDEN BLOCK GARDEN TOWN LAHORE </t>
  </si>
  <si>
    <t>53326/00122/12/2020</t>
  </si>
  <si>
    <t>336041</t>
  </si>
  <si>
    <t>507158</t>
  </si>
  <si>
    <t>OLDLHR300064632</t>
  </si>
  <si>
    <t>9976AP1213650098</t>
  </si>
  <si>
    <t>HARIS MIAN</t>
  </si>
  <si>
    <t>42401-7140298-3</t>
  </si>
  <si>
    <t>03153040908</t>
  </si>
  <si>
    <t xml:space="preserve">HOUSE # L-113 SECTOR 5-A/1 NORTH KA RACHI KARACHI PK </t>
  </si>
  <si>
    <t>57134/00190/12/2021</t>
  </si>
  <si>
    <t>R18212930168</t>
  </si>
  <si>
    <t>NFBFC6665JR033609</t>
  </si>
  <si>
    <t>BML-808</t>
  </si>
  <si>
    <t>OLUKHI300082581</t>
  </si>
  <si>
    <t>6020/12/2021</t>
  </si>
  <si>
    <t>9976AP2213650044</t>
  </si>
  <si>
    <t>TAIMOOR TARIQ</t>
  </si>
  <si>
    <t>37101-9773756-3</t>
  </si>
  <si>
    <t>03004021273</t>
  </si>
  <si>
    <t xml:space="preserve">OFFICE NO 23 SECOND FLOOR MALL OF L AHORE LAHORE </t>
  </si>
  <si>
    <t>57132/0028/12/2021</t>
  </si>
  <si>
    <t>Q040337</t>
  </si>
  <si>
    <t>ZRE171R-6017832</t>
  </si>
  <si>
    <t>BKW-920</t>
  </si>
  <si>
    <t>OLULHR300082668</t>
  </si>
  <si>
    <t>DIB0032966</t>
  </si>
  <si>
    <t>9976AP1220040163</t>
  </si>
  <si>
    <t>SYED WAQAS FAHEEM</t>
  </si>
  <si>
    <t>35202-3651566-1</t>
  </si>
  <si>
    <t>03224281032</t>
  </si>
  <si>
    <t xml:space="preserve">34-J3 OPPO EXPO ENTER ABDUL HAQUE ROAD JOHAR TOWN LAHORE </t>
  </si>
  <si>
    <t>57132/00298/12/2021</t>
  </si>
  <si>
    <t>R18Z16926888</t>
  </si>
  <si>
    <t>NFBFC6660MR079472</t>
  </si>
  <si>
    <t>AFH-556</t>
  </si>
  <si>
    <t>OLULHR300082735</t>
  </si>
  <si>
    <t>DIB0032979</t>
  </si>
  <si>
    <t>9976AP1213650114</t>
  </si>
  <si>
    <t>MUNIR AHMED KHAN</t>
  </si>
  <si>
    <t>56302-0845281-3</t>
  </si>
  <si>
    <t>03002509192</t>
  </si>
  <si>
    <t xml:space="preserve">PLOT NO 3-C FLAT NO 301 KHAYABN E B ADAR COMMERCIAL PHASE 5 DHA NEAR 26 KARACHI PK </t>
  </si>
  <si>
    <t>57132/00290/12/2021</t>
  </si>
  <si>
    <t>2A03822</t>
  </si>
  <si>
    <t>9501848</t>
  </si>
  <si>
    <t>BTE-169</t>
  </si>
  <si>
    <t>TOYOTA YARIS A/T X CVT 1.5</t>
  </si>
  <si>
    <t>OLKHI300082656</t>
  </si>
  <si>
    <t>6022/12/2021</t>
  </si>
  <si>
    <t>9976AP1203660034</t>
  </si>
  <si>
    <t>AMEER HAMZA</t>
  </si>
  <si>
    <t>42301-7782126-7</t>
  </si>
  <si>
    <t>03153334034</t>
  </si>
  <si>
    <t xml:space="preserve">FLAT # 03 3rd FLOOR MADNI MANZIL LI GHT HOUSE NEAR USMAN GHANI MASJID KARACHI PK </t>
  </si>
  <si>
    <t>53326/00111/12/2020</t>
  </si>
  <si>
    <t>R55198</t>
  </si>
  <si>
    <t>6631400</t>
  </si>
  <si>
    <t>TOYOTA AQUA HYBRID S</t>
  </si>
  <si>
    <t>OLUKHI300064554</t>
  </si>
  <si>
    <t>DIB0029256</t>
  </si>
  <si>
    <t>9976AP1213650102</t>
  </si>
  <si>
    <t>ASAD MASOOD</t>
  </si>
  <si>
    <t>42000-1494840-3</t>
  </si>
  <si>
    <t>03462147431</t>
  </si>
  <si>
    <t xml:space="preserve">HOUSE 1168 FIRST FLOOR SECTER 9 BLO CK A SAEEDABAD BALDIA TOWN NEAR YAS KARACHI PK </t>
  </si>
  <si>
    <t>57132/00284/12/2021</t>
  </si>
  <si>
    <t>2A15317</t>
  </si>
  <si>
    <t>NSP150R-7009087</t>
  </si>
  <si>
    <t>BSU-106</t>
  </si>
  <si>
    <t>OLUKHI300082654</t>
  </si>
  <si>
    <t>6014/12/2021</t>
  </si>
  <si>
    <t>9976AP2213650048</t>
  </si>
  <si>
    <t>MUHAMMAD FAROOQ SIDDIQI</t>
  </si>
  <si>
    <t>42201-5585818-7</t>
  </si>
  <si>
    <t>03009263760</t>
  </si>
  <si>
    <t xml:space="preserve">HOUSE # B-119 BLOCK 14 GULISTAN E J OHAR KARACHI PK </t>
  </si>
  <si>
    <t>57134/00189/12/2021</t>
  </si>
  <si>
    <t>JL473QFM3CAD502173</t>
  </si>
  <si>
    <t>NKMA2ASE5M10011185</t>
  </si>
  <si>
    <t>OLUKHI300082700</t>
  </si>
  <si>
    <t>6019/12/2021</t>
  </si>
  <si>
    <t>997AAD1203000030</t>
  </si>
  <si>
    <t>NAEEM ABBAS MALIK</t>
  </si>
  <si>
    <t>35202-4634827-3</t>
  </si>
  <si>
    <t>03214507000</t>
  </si>
  <si>
    <t xml:space="preserve">11,12 CIVIC CENTER KAREEM ELAHI PLA ZA JOHAR TOWN LAHORE </t>
  </si>
  <si>
    <t>2524/02243/00082/12/2020</t>
  </si>
  <si>
    <t>9800255</t>
  </si>
  <si>
    <t>266286</t>
  </si>
  <si>
    <t>POALHR300059040</t>
  </si>
  <si>
    <t>DIB0029264</t>
  </si>
  <si>
    <t>9976AP1213650096</t>
  </si>
  <si>
    <t>ARBAZ ALI</t>
  </si>
  <si>
    <t>42301-4516282-5</t>
  </si>
  <si>
    <t>03212857784</t>
  </si>
  <si>
    <t>35879281</t>
  </si>
  <si>
    <t xml:space="preserve">FLAT #50 COLUBUS TOWER BUILDING 31 FT 3 MAIN TEEN TALWAR ROAD NEAR PS KARACHI PK </t>
  </si>
  <si>
    <t>57132/00288/12/2021</t>
  </si>
  <si>
    <t>168125</t>
  </si>
  <si>
    <t>10066122</t>
  </si>
  <si>
    <t>BSU-836</t>
  </si>
  <si>
    <t>OLUKHI300082653</t>
  </si>
  <si>
    <t>6018/12/2021</t>
  </si>
  <si>
    <t>9976AP2213650054</t>
  </si>
  <si>
    <t>YOUSUF HASAN JAFRI</t>
  </si>
  <si>
    <t>42101-7372872-1</t>
  </si>
  <si>
    <t>03322370731</t>
  </si>
  <si>
    <t>35881750</t>
  </si>
  <si>
    <t xml:space="preserve">A- 16 BLOCK 13-D /1 GULSHAN-E- IQBA L SARWAR STORE MARKET KARACHI PK </t>
  </si>
  <si>
    <t>57132/00278/12/2021</t>
  </si>
  <si>
    <t>9751412</t>
  </si>
  <si>
    <t>165959</t>
  </si>
  <si>
    <t>BDM-802</t>
  </si>
  <si>
    <t>OLUKHI300082636</t>
  </si>
  <si>
    <t>6006/12/2021</t>
  </si>
  <si>
    <t>9976AP1203660031</t>
  </si>
  <si>
    <t>MUJTABA AHMED</t>
  </si>
  <si>
    <t>37203-0138069-9</t>
  </si>
  <si>
    <t>03324090315</t>
  </si>
  <si>
    <t>0515955135</t>
  </si>
  <si>
    <t xml:space="preserve">OFF # 987 MAIN ROAD SECTOR # 04 AIR PORT HOUSING SOCIETY NEAR SECTOR # 4 GATE RAWALPINDI </t>
  </si>
  <si>
    <t>53326/00113/12/2020</t>
  </si>
  <si>
    <t>Z319318</t>
  </si>
  <si>
    <t>4045574</t>
  </si>
  <si>
    <t>FE-473</t>
  </si>
  <si>
    <t>OLURWP300064505</t>
  </si>
  <si>
    <t>3920/12/2020/ITFM</t>
  </si>
  <si>
    <t>30-DEC-2020</t>
  </si>
  <si>
    <t>997AAD2202550002</t>
  </si>
  <si>
    <t>SHEIKH MOIN UD DIN SABRI</t>
  </si>
  <si>
    <t>35202-6508090-5</t>
  </si>
  <si>
    <t>35833755 35838551</t>
  </si>
  <si>
    <t>03004011485</t>
  </si>
  <si>
    <t>04235290339 40</t>
  </si>
  <si>
    <t xml:space="preserve">H 99 H BLOCK MODEL TOWN LAHORE </t>
  </si>
  <si>
    <t>53326/00120/12/2020</t>
  </si>
  <si>
    <t>G3LALP077832</t>
  </si>
  <si>
    <t>NNATA52AXKP500643</t>
  </si>
  <si>
    <t>KIA PICANTO 1.0 L M/T</t>
  </si>
  <si>
    <t>POALHR300057199</t>
  </si>
  <si>
    <t>3923/12/2020/ITFM</t>
  </si>
  <si>
    <t>9976AP1213650109</t>
  </si>
  <si>
    <t>SYED MUNIR HUSSAIN SHAH</t>
  </si>
  <si>
    <t>37405-3067115-1</t>
  </si>
  <si>
    <t>0515789610</t>
  </si>
  <si>
    <t xml:space="preserve">H # 325 ST # 21 SECTOR B-1 DHA-1 RAWALPINDI PK </t>
  </si>
  <si>
    <t>57132/00292/12/2021</t>
  </si>
  <si>
    <t>6R177424</t>
  </si>
  <si>
    <t>H1077422</t>
  </si>
  <si>
    <t>OLDRWP300082690</t>
  </si>
  <si>
    <t>DIB0032973</t>
  </si>
  <si>
    <t>9976AP2213640038</t>
  </si>
  <si>
    <t>SUNEEL KUMAR</t>
  </si>
  <si>
    <t>45101-2427484-1</t>
  </si>
  <si>
    <t>03342530855</t>
  </si>
  <si>
    <t xml:space="preserve">G-6 GROUMD FLOR ST GELLINGH HOME NE AR CAFE AGAH JAN HOTEL DR DAWOOD PO KARACHI PK </t>
  </si>
  <si>
    <t>57132/00276/12/2021</t>
  </si>
  <si>
    <t>2A11475</t>
  </si>
  <si>
    <t>NSP151R-9504623</t>
  </si>
  <si>
    <t>BSM-205</t>
  </si>
  <si>
    <t>OLUKHI300082643</t>
  </si>
  <si>
    <t>6001/12/2021</t>
  </si>
  <si>
    <t>9976AP1220060003</t>
  </si>
  <si>
    <t>HAIDER ALI</t>
  </si>
  <si>
    <t>35202-2794881-1</t>
  </si>
  <si>
    <t>03219405645</t>
  </si>
  <si>
    <t>04235790031</t>
  </si>
  <si>
    <t xml:space="preserve">4TH FLOOR PLAZA NO 100 B-II MM ALAM ROAD GULBERG III LAHORE </t>
  </si>
  <si>
    <t>57132/00279/12/2021</t>
  </si>
  <si>
    <t>PK10B121260</t>
  </si>
  <si>
    <t>A1J310PK10021257</t>
  </si>
  <si>
    <t>LEA-16-A-4217</t>
  </si>
  <si>
    <t>OLULHR300082652</t>
  </si>
  <si>
    <t>DIB0032980</t>
  </si>
  <si>
    <t>997AAD1202900024</t>
  </si>
  <si>
    <t>MUHAMMAD SHAMS UR REHMAN</t>
  </si>
  <si>
    <t>35201-3889866-7</t>
  </si>
  <si>
    <t>35729119</t>
  </si>
  <si>
    <t>0300-4294634</t>
  </si>
  <si>
    <t>042-399203159</t>
  </si>
  <si>
    <t xml:space="preserve">H NO 190 BLOCK N STREET 135 PHASE I DHA CANTT LAHORE </t>
  </si>
  <si>
    <t>DIB/T/BT/30188/LHR/1220</t>
  </si>
  <si>
    <t>7542915</t>
  </si>
  <si>
    <t>266521</t>
  </si>
  <si>
    <t>CITY IVTEC M/T</t>
  </si>
  <si>
    <t>POALHR300058701</t>
  </si>
  <si>
    <t>TDIDIB0028891</t>
  </si>
  <si>
    <t>9976AP1213650105</t>
  </si>
  <si>
    <t>MUHAMMAD FAAIZ ADEEL</t>
  </si>
  <si>
    <t>42301-8223798-1</t>
  </si>
  <si>
    <t>03042228475</t>
  </si>
  <si>
    <t xml:space="preserve">HOUSE # 5C5/27 AL AQSA ARCADE 3RD F LOOR NAZIMABAD # 5 NEAR MCB BANK KARACHI PK </t>
  </si>
  <si>
    <t>57132/00283/12/2021</t>
  </si>
  <si>
    <t>132257</t>
  </si>
  <si>
    <t>10032257</t>
  </si>
  <si>
    <t>BJV-091</t>
  </si>
  <si>
    <t>OLUKHI300082587</t>
  </si>
  <si>
    <t>6013/12/2021</t>
  </si>
  <si>
    <t>9976AP1213650117</t>
  </si>
  <si>
    <t>SHAHBAZ AHMED</t>
  </si>
  <si>
    <t>35201-1184611-1</t>
  </si>
  <si>
    <t>03129299909</t>
  </si>
  <si>
    <t xml:space="preserve">SHOP NO 9 LINK NO 08 STREET DOGAR M ARKET MAIN BOULEVARD DHA OPPOSITE A DIL HOSPITAL NEAR CHUGHTAI LAB LAHORE </t>
  </si>
  <si>
    <t>57132/00289/12/2021</t>
  </si>
  <si>
    <t>Z408626</t>
  </si>
  <si>
    <t>R-4066567</t>
  </si>
  <si>
    <t>LEB-16-3492</t>
  </si>
  <si>
    <t>OYOTA COROLLA XLI</t>
  </si>
  <si>
    <t>OLULHR300082651</t>
  </si>
  <si>
    <t>DIB0032970</t>
  </si>
  <si>
    <t>997APD1193640003</t>
  </si>
  <si>
    <t>MUDASIR MUNIR</t>
  </si>
  <si>
    <t>33201-1445927-7</t>
  </si>
  <si>
    <t>03208688688</t>
  </si>
  <si>
    <t>03208688688, 03208688688</t>
  </si>
  <si>
    <t>02135121221</t>
  </si>
  <si>
    <t xml:space="preserve">S M PLASTIC INDUSTRIES 44C ASKARI 3 SCHOOL ROAD KARACHI CANTT NEAR JINNAH HOSPITAL KARACHI </t>
  </si>
  <si>
    <t>51531/00056/12/2019</t>
  </si>
  <si>
    <t>13048247</t>
  </si>
  <si>
    <t>10048236</t>
  </si>
  <si>
    <t>SWIFT DLX</t>
  </si>
  <si>
    <t>PODKHI300052221</t>
  </si>
  <si>
    <t>2183/12/2019/ITFM</t>
  </si>
  <si>
    <t>30-DEC-2019</t>
  </si>
  <si>
    <t>997APD1193640011</t>
  </si>
  <si>
    <t>TANZEEL AHMED QURESHI</t>
  </si>
  <si>
    <t>41306-1225132-1</t>
  </si>
  <si>
    <t>03332757955</t>
  </si>
  <si>
    <t>34553082, 0333275795</t>
  </si>
  <si>
    <t xml:space="preserve">H # A-62, OLD MEMON CITY QASIMABAD NEAR CITY SCHOOL AND LONDON TOWN HYDERABAD </t>
  </si>
  <si>
    <t>51531/00054/12/2019</t>
  </si>
  <si>
    <t>125088</t>
  </si>
  <si>
    <t>1025027</t>
  </si>
  <si>
    <t>PODHYD300052232</t>
  </si>
  <si>
    <t>DIB0028081</t>
  </si>
  <si>
    <t>997APD2193650007</t>
  </si>
  <si>
    <t>AMMARA ASHI</t>
  </si>
  <si>
    <t>33100-7593662-8</t>
  </si>
  <si>
    <t>0333-8389733</t>
  </si>
  <si>
    <t>041-9239131</t>
  </si>
  <si>
    <t xml:space="preserve">H NO 1044 BLOCK C USMANIA PARK NEAR NAZAKAT GEN STORE GHOUSIA CHOWK PEOPLE COLONY 2 FAISALABAD </t>
  </si>
  <si>
    <t>01-1912-PO-MTR-PCCM-D-003177</t>
  </si>
  <si>
    <t>PK10B113878</t>
  </si>
  <si>
    <t>A1J310PK10013906</t>
  </si>
  <si>
    <t>LEC-16-4959</t>
  </si>
  <si>
    <t>POUFSD300052311</t>
  </si>
  <si>
    <t>2192/12/2019/ITFM</t>
  </si>
  <si>
    <t>9976AP1213650123</t>
  </si>
  <si>
    <t>ANILA BANO</t>
  </si>
  <si>
    <t>61101-1898260-8</t>
  </si>
  <si>
    <t>03435200954</t>
  </si>
  <si>
    <t>0519100027</t>
  </si>
  <si>
    <t xml:space="preserve">H # 8 ST # 12-C GARDEN TOWN NEW SHA KRIYAL ZIA MASJID NEAR BABUL UL ISL ISLAMABAD PK </t>
  </si>
  <si>
    <t>57132/00295/12/2021</t>
  </si>
  <si>
    <t>PKB751320</t>
  </si>
  <si>
    <t>SB308PK01289863</t>
  </si>
  <si>
    <t>AMA-663</t>
  </si>
  <si>
    <t>OLUISD300082694</t>
  </si>
  <si>
    <t>DIB0032975</t>
  </si>
  <si>
    <t>9976AP2203660025</t>
  </si>
  <si>
    <t>ZAREER MEHMOOD</t>
  </si>
  <si>
    <t>37405-3933348-5</t>
  </si>
  <si>
    <t>03315215333</t>
  </si>
  <si>
    <t>0519270891</t>
  </si>
  <si>
    <t xml:space="preserve">H # 28 BLOCK - A CHAKLALA CANTT RAI LWAY COLONY RAWALPINDI PK </t>
  </si>
  <si>
    <t>53326/00118/12/2020</t>
  </si>
  <si>
    <t>678550</t>
  </si>
  <si>
    <t>01217069</t>
  </si>
  <si>
    <t>AFT-857</t>
  </si>
  <si>
    <t>MEHRAN VXR EURO-II CNG</t>
  </si>
  <si>
    <t>OLURWP300064574</t>
  </si>
  <si>
    <t>3921/12/2020/ITFM</t>
  </si>
  <si>
    <t>997AAD2202680009</t>
  </si>
  <si>
    <t>IMRAN AHMAD</t>
  </si>
  <si>
    <t>35302-1968209-7</t>
  </si>
  <si>
    <t>03006975119</t>
  </si>
  <si>
    <t>03136490006</t>
  </si>
  <si>
    <t xml:space="preserve">INFRONT OF DUBAI ISLAMIC BANK M A J INNAH ROAD OKARA </t>
  </si>
  <si>
    <t>2020/12/CLFTTPCDP00751</t>
  </si>
  <si>
    <t>G3LALP078009</t>
  </si>
  <si>
    <t>KP703918</t>
  </si>
  <si>
    <t>POAOKR300057514</t>
  </si>
  <si>
    <t>DIB0029242</t>
  </si>
  <si>
    <t>29-DEC-2020</t>
  </si>
  <si>
    <t>9976AP1233640011</t>
  </si>
  <si>
    <t>MUHAMMAD HASSAM KHATRI</t>
  </si>
  <si>
    <t>42201-4036845-5</t>
  </si>
  <si>
    <t>03422836118</t>
  </si>
  <si>
    <t xml:space="preserve">202 BLOCK I ROYAL CITY PHS 1 GULIST AN E JAUHAR KHI KARACHI PK </t>
  </si>
  <si>
    <t>78992/00052/12/2023</t>
  </si>
  <si>
    <t>28-DEC-2024</t>
  </si>
  <si>
    <t>149069</t>
  </si>
  <si>
    <t>10049054</t>
  </si>
  <si>
    <t>BQP-861</t>
  </si>
  <si>
    <t>OLUKHI300098920</t>
  </si>
  <si>
    <t>10678/12/2023/ITFM</t>
  </si>
  <si>
    <t>29-DEC-2023</t>
  </si>
  <si>
    <t>9976AP1233640009</t>
  </si>
  <si>
    <t>SYED RAZI WAHID</t>
  </si>
  <si>
    <t>42301-4925568-3</t>
  </si>
  <si>
    <t>03352626844</t>
  </si>
  <si>
    <t xml:space="preserve">R-868 SECTOR 15-A-2 BUFFERZONE NORTH KARACHI </t>
  </si>
  <si>
    <t>78992/00054/12/2023</t>
  </si>
  <si>
    <t>182702</t>
  </si>
  <si>
    <t>10082720</t>
  </si>
  <si>
    <t>BUM-742</t>
  </si>
  <si>
    <t>OLUKHI300098915</t>
  </si>
  <si>
    <t>10682/12/2023/ITFM</t>
  </si>
  <si>
    <t>9976AP1213640083</t>
  </si>
  <si>
    <t>MUHAMMAD AMIR AMIN</t>
  </si>
  <si>
    <t>42201-0971624-3</t>
  </si>
  <si>
    <t>03008275683</t>
  </si>
  <si>
    <t xml:space="preserve">FLAT # 010/4 BLOCK 16 ASHISH APT GU LISTAN E JOHAR KARACHI PK </t>
  </si>
  <si>
    <t>57132/00268/12/2021</t>
  </si>
  <si>
    <t>KP131811</t>
  </si>
  <si>
    <t>500075</t>
  </si>
  <si>
    <t>BRK-970</t>
  </si>
  <si>
    <t>OLUKHI300082610</t>
  </si>
  <si>
    <t>5996/12/2021</t>
  </si>
  <si>
    <t>29-DEC-2021</t>
  </si>
  <si>
    <t>997AAD2202590010</t>
  </si>
  <si>
    <t>FIYAZ AHMED</t>
  </si>
  <si>
    <t>43103-8960158-1</t>
  </si>
  <si>
    <t>03013337414</t>
  </si>
  <si>
    <t xml:space="preserve">H NO 112 ABDULLAH SPORTS CITY QASIM ABAD HYDERABAD PK </t>
  </si>
  <si>
    <t>2020-12-205-V01501DP0002883</t>
  </si>
  <si>
    <t>060660</t>
  </si>
  <si>
    <t>703750</t>
  </si>
  <si>
    <t>KIA PICANTO 1.0L M/T</t>
  </si>
  <si>
    <t>POAHYD300057165</t>
  </si>
  <si>
    <t>3841/12/2020/ITFM</t>
  </si>
  <si>
    <t>9976AP1223650014</t>
  </si>
  <si>
    <t>ZAHID MAHMOOD</t>
  </si>
  <si>
    <t>33100-3492406-3</t>
  </si>
  <si>
    <t>03206600603</t>
  </si>
  <si>
    <t xml:space="preserve">P-1364 STREET NO 3 PEOPLES COLONY NO 02 WARIS PURA FAISALABAD PAKISTAN 03206600603 </t>
  </si>
  <si>
    <t>65483/00042/12/2022</t>
  </si>
  <si>
    <t>10K179061</t>
  </si>
  <si>
    <t>10079085</t>
  </si>
  <si>
    <t>AEY-21-502</t>
  </si>
  <si>
    <t>OLUFSD300091420</t>
  </si>
  <si>
    <t>109008/12/2022</t>
  </si>
  <si>
    <t>29-DEC-2022</t>
  </si>
  <si>
    <t>9976AP1223650009</t>
  </si>
  <si>
    <t>MUHAMMAD TAHIR ILYAS</t>
  </si>
  <si>
    <t>33100-0919705-1</t>
  </si>
  <si>
    <t>03219664398</t>
  </si>
  <si>
    <t>03219664398, 03219664398</t>
  </si>
  <si>
    <t>0412620007</t>
  </si>
  <si>
    <t xml:space="preserve">H NO 4 ST NO 01 OLD SHAHZAD THEATHE R FSD NEAR U MART 03219664398 PK </t>
  </si>
  <si>
    <t>65483/00044/12/2022</t>
  </si>
  <si>
    <t>10B241765</t>
  </si>
  <si>
    <t>10141759</t>
  </si>
  <si>
    <t>OLDFSD300091419</t>
  </si>
  <si>
    <t>109010/12/2022</t>
  </si>
  <si>
    <t>9976AP2223640030</t>
  </si>
  <si>
    <t>MUHAMMAD ANEES UR REHMAN</t>
  </si>
  <si>
    <t>33301-8779311-5</t>
  </si>
  <si>
    <t>03427878796</t>
  </si>
  <si>
    <t>03427878796, 03427878796</t>
  </si>
  <si>
    <t xml:space="preserve">294-E BLOCK E CANAL ROAD EDEN VALLE Y FSD NEAR COMMERCIAL MARKET FAISALABAD PK </t>
  </si>
  <si>
    <t>65483/00023/12/2022</t>
  </si>
  <si>
    <t>6R235366</t>
  </si>
  <si>
    <t>1135051</t>
  </si>
  <si>
    <t>ALY-645</t>
  </si>
  <si>
    <t>OLUFSD300091412</t>
  </si>
  <si>
    <t>109007/12/2022</t>
  </si>
  <si>
    <t>9976AP1223630056</t>
  </si>
  <si>
    <t>NASIR MEHMOOD</t>
  </si>
  <si>
    <t>33106-0330484-3</t>
  </si>
  <si>
    <t>03005009433</t>
  </si>
  <si>
    <t>03005009433, 03005009433</t>
  </si>
  <si>
    <t xml:space="preserve">P-268 RACHNA TOWN FSD NEAR TAWAKAL KARYANA STORE FAISALABAD PK </t>
  </si>
  <si>
    <t>65483/00041/12/2022</t>
  </si>
  <si>
    <t>204412</t>
  </si>
  <si>
    <t>1004416</t>
  </si>
  <si>
    <t>OLDFSD300091361</t>
  </si>
  <si>
    <t>108979/12/2022</t>
  </si>
  <si>
    <t>9976AD1212800002</t>
  </si>
  <si>
    <t>MUHAMMAD ANJUM BILAL</t>
  </si>
  <si>
    <t>38401-0320202-1</t>
  </si>
  <si>
    <t>03006035130</t>
  </si>
  <si>
    <t>03006035130, 03006035130</t>
  </si>
  <si>
    <t xml:space="preserve">281-282 COLONY NO 1 KALEEM SHAHEED COLONY FSD FAISALABAD PK </t>
  </si>
  <si>
    <t>DIB/T/35084/LHR/1221</t>
  </si>
  <si>
    <t>SFGI5T-21028882</t>
  </si>
  <si>
    <t>PDF580PALR22A2915</t>
  </si>
  <si>
    <t>PRINCE GLORY 580</t>
  </si>
  <si>
    <t>OLAFSD300074568</t>
  </si>
  <si>
    <t>TDIDIB0029921</t>
  </si>
  <si>
    <t>9976AP2213650060</t>
  </si>
  <si>
    <t>MIAN MUHAMMAD JUNAID AALAM</t>
  </si>
  <si>
    <t>37405-1014758-9</t>
  </si>
  <si>
    <t>03462019500</t>
  </si>
  <si>
    <t>02134328447</t>
  </si>
  <si>
    <t xml:space="preserve">H # 27-A LINE # 01 ST # 16 GULREZ P HASE II NEARALLAH WALI MASJID RAWALPINDI PK </t>
  </si>
  <si>
    <t>57132/00261/12/2021</t>
  </si>
  <si>
    <t>18216910607</t>
  </si>
  <si>
    <t>R062148</t>
  </si>
  <si>
    <t>AQW-229</t>
  </si>
  <si>
    <t>OLURWP300082625</t>
  </si>
  <si>
    <t>6007/12/2021</t>
  </si>
  <si>
    <t>9976AP1213640070</t>
  </si>
  <si>
    <t>ABDUL SIDDIQUI</t>
  </si>
  <si>
    <t>45504-1326766-3</t>
  </si>
  <si>
    <t>03018293565</t>
  </si>
  <si>
    <t xml:space="preserve">H # A1/3 AL MUSLIM SOCIETY SCHEM 33 MEMON HOSPITAL KARACHI PK </t>
  </si>
  <si>
    <t>57132/00265/12/2021</t>
  </si>
  <si>
    <t>12932828</t>
  </si>
  <si>
    <t>036241</t>
  </si>
  <si>
    <t>BNW-191</t>
  </si>
  <si>
    <t>OLUKHI300082616</t>
  </si>
  <si>
    <t>5992/12/2021</t>
  </si>
  <si>
    <t>9976AP1213640060</t>
  </si>
  <si>
    <t>MUHAMMAD HAYAT SOLANGI</t>
  </si>
  <si>
    <t>61101-7302378-9</t>
  </si>
  <si>
    <t>03332652475</t>
  </si>
  <si>
    <t xml:space="preserve">H NO C-299 MUHALLA PHASE 1 QASIMABA D HYDERABAD PK </t>
  </si>
  <si>
    <t>57132/00271/12/2021</t>
  </si>
  <si>
    <t>51005442</t>
  </si>
  <si>
    <t>MR008214</t>
  </si>
  <si>
    <t>OLDHYD300082605</t>
  </si>
  <si>
    <t>5985/12/2021</t>
  </si>
  <si>
    <t>9976AP1213640082</t>
  </si>
  <si>
    <t>SHAHID</t>
  </si>
  <si>
    <t>42501-9245990-5</t>
  </si>
  <si>
    <t>03172779928</t>
  </si>
  <si>
    <t xml:space="preserve">R-584 SECTOR 17-A SHAH LATIF TOWN S CHEME 25 BIN QASIM MALIR KARACHI PK </t>
  </si>
  <si>
    <t>57132/00266/12/2021</t>
  </si>
  <si>
    <t>184413</t>
  </si>
  <si>
    <t>700999</t>
  </si>
  <si>
    <t>BRM 686</t>
  </si>
  <si>
    <t>KIA PICANTO 1.0L A/T</t>
  </si>
  <si>
    <t>OLUKHI300082583</t>
  </si>
  <si>
    <t>5995/12/2021</t>
  </si>
  <si>
    <t>9976AP2213650059</t>
  </si>
  <si>
    <t>SHAGUFTA NAZ</t>
  </si>
  <si>
    <t>34202-0104918-4</t>
  </si>
  <si>
    <t>03315489781</t>
  </si>
  <si>
    <t xml:space="preserve">H # 28/4 ST # 5 SECTOR E-9 NEAR P.F COMPLEX ISLAMABAD PK </t>
  </si>
  <si>
    <t>57132/00263/12/2021</t>
  </si>
  <si>
    <t>159468</t>
  </si>
  <si>
    <t>79750506</t>
  </si>
  <si>
    <t>CY-772</t>
  </si>
  <si>
    <t>OLUISD300082549</t>
  </si>
  <si>
    <t>6005/12/2021</t>
  </si>
  <si>
    <t>9976AP2203660042</t>
  </si>
  <si>
    <t>MUNIR AHMED</t>
  </si>
  <si>
    <t>42301-4034878-7</t>
  </si>
  <si>
    <t>35370329</t>
  </si>
  <si>
    <t>03018232679</t>
  </si>
  <si>
    <t>32446445-7</t>
  </si>
  <si>
    <t xml:space="preserve">SUITE NO 1208 1210 12TH FLOOR CHAPAL PLAZA HASRAT MOHANI ROAD I I CHUNDRIGAR ROAD KARACHI </t>
  </si>
  <si>
    <t>53326/00108/12/2020</t>
  </si>
  <si>
    <t>12908281</t>
  </si>
  <si>
    <t>011101</t>
  </si>
  <si>
    <t>BHQ-987</t>
  </si>
  <si>
    <t>HONDA CIVICI IVTEC P/T</t>
  </si>
  <si>
    <t>POUKHI300064533</t>
  </si>
  <si>
    <t>DIB0029246</t>
  </si>
  <si>
    <t>9976AP2213650056</t>
  </si>
  <si>
    <t>SAMI UL HAQUE</t>
  </si>
  <si>
    <t>42101-3120782-3</t>
  </si>
  <si>
    <t>03002216171</t>
  </si>
  <si>
    <t xml:space="preserve">R-460 BLOCK 9 YASEENABAD 2 GULSHAN E FAIZAN BEHIND JAVED NIHARI HOUSE F.B. AREA KARACHI PK </t>
  </si>
  <si>
    <t>57132/00267/12/2021</t>
  </si>
  <si>
    <t>153783</t>
  </si>
  <si>
    <t>1053790</t>
  </si>
  <si>
    <t>BTA-455</t>
  </si>
  <si>
    <t>SUZUKI ALTO VXR AGS EURO II</t>
  </si>
  <si>
    <t>OLUKHI300082602</t>
  </si>
  <si>
    <t>5994/12/2021</t>
  </si>
  <si>
    <t>9976AP1213630057</t>
  </si>
  <si>
    <t>SAQIB ABDUL MAJEED</t>
  </si>
  <si>
    <t>37405-4153219-9</t>
  </si>
  <si>
    <t>03338504445</t>
  </si>
  <si>
    <t>0515700130</t>
  </si>
  <si>
    <t xml:space="preserve">H # 678 ST # 1 SHERZAMAN COLONY LA LAZAR RAWALPINDI PK </t>
  </si>
  <si>
    <t>57132/00254/12/2021</t>
  </si>
  <si>
    <t>13040425</t>
  </si>
  <si>
    <t>10040428</t>
  </si>
  <si>
    <t>AHF-644</t>
  </si>
  <si>
    <t>OLUISD300082547</t>
  </si>
  <si>
    <t>5984/12/2021</t>
  </si>
  <si>
    <t>9976AP1213650092</t>
  </si>
  <si>
    <t>NAUMAN LATIF</t>
  </si>
  <si>
    <t>35201-6989987-1</t>
  </si>
  <si>
    <t>03004898560</t>
  </si>
  <si>
    <t xml:space="preserve">HOUSE NO E-54 STREET NO 1 MOHALLAH JUTT BROTHERS NEAR DECENT MOBILE SH LAHORE PK </t>
  </si>
  <si>
    <t>57132/00257/12/2021</t>
  </si>
  <si>
    <t>10B144701</t>
  </si>
  <si>
    <t>10044679</t>
  </si>
  <si>
    <t>LE-18-7442</t>
  </si>
  <si>
    <t>OLULHR300082572</t>
  </si>
  <si>
    <t>DIB0032948</t>
  </si>
  <si>
    <t>9976AP1213640073</t>
  </si>
  <si>
    <t>DAWOOD MUHAMMAD KHAN</t>
  </si>
  <si>
    <t>42101-6890132-3</t>
  </si>
  <si>
    <t>03219233796</t>
  </si>
  <si>
    <t>32775833</t>
  </si>
  <si>
    <t xml:space="preserve">HUSSAIN BHAI BANDOOQ WALA ROAD OLD HAJI CAMP KARACHI </t>
  </si>
  <si>
    <t>57132/00269/12/2021</t>
  </si>
  <si>
    <t>6R164659</t>
  </si>
  <si>
    <t>NFAET306H1064661</t>
  </si>
  <si>
    <t>OLUKHI300082509</t>
  </si>
  <si>
    <t>5997/12/2021</t>
  </si>
  <si>
    <t>9976AD2212420004</t>
  </si>
  <si>
    <t>SHAHBZADA UZAIR SHAHID</t>
  </si>
  <si>
    <t>34101-3597245-5</t>
  </si>
  <si>
    <t>03034547307</t>
  </si>
  <si>
    <t xml:space="preserve">FAQEER PURA FEROZ WALA ROAD ST NO 1 3 MOH KOT HABIB ULLAH GUJRANWALA PK </t>
  </si>
  <si>
    <t>57132/00262/12/2021</t>
  </si>
  <si>
    <t>226994</t>
  </si>
  <si>
    <t>10126984</t>
  </si>
  <si>
    <t>OLAGWL300072522</t>
  </si>
  <si>
    <t>DIB0032950</t>
  </si>
  <si>
    <t>997AAD1203160001</t>
  </si>
  <si>
    <t>MUHAMMAD ABBAS</t>
  </si>
  <si>
    <t>36302-0310219-7</t>
  </si>
  <si>
    <t>03009634961</t>
  </si>
  <si>
    <t xml:space="preserve">HOUSE NO 03 STREET NO 03 GULNAR COL ONY MULTAN MULTAN PK </t>
  </si>
  <si>
    <t>2020/12/CLFTTPCDP00752</t>
  </si>
  <si>
    <t>149208</t>
  </si>
  <si>
    <t>1049235</t>
  </si>
  <si>
    <t>ALTO VXL A/T</t>
  </si>
  <si>
    <t>POAMUX300060325</t>
  </si>
  <si>
    <t>DIB0029243</t>
  </si>
  <si>
    <t>9976AP2183650007</t>
  </si>
  <si>
    <t>37405-3189111-2</t>
  </si>
  <si>
    <t>03365291817</t>
  </si>
  <si>
    <t>0519218300</t>
  </si>
  <si>
    <t xml:space="preserve">H # 10 ST # 2 SHAROOM COLONY PHASE -II SAWAN ADDA NEAR SOS SCHOOL RAWALPINDI PK </t>
  </si>
  <si>
    <t>2018-12-205-V01501DP0004177</t>
  </si>
  <si>
    <t>180868</t>
  </si>
  <si>
    <t>10080848</t>
  </si>
  <si>
    <t>ACZ-697</t>
  </si>
  <si>
    <t>03-JAN-2019</t>
  </si>
  <si>
    <t>PODRWP300041762</t>
  </si>
  <si>
    <t>DIB0026645</t>
  </si>
  <si>
    <t>29-DEC-2018</t>
  </si>
  <si>
    <t>9976AP2213630025</t>
  </si>
  <si>
    <t>SYED AHMED ALI GILLANI</t>
  </si>
  <si>
    <t>Muzaffarabad</t>
  </si>
  <si>
    <t>82203-2828333-5</t>
  </si>
  <si>
    <t>03335559786</t>
  </si>
  <si>
    <t xml:space="preserve">HOUSE NUMBER 80, STREET NO 55 SECTOR I 11/3 ISLAMABAD 03335559786 </t>
  </si>
  <si>
    <t>57132/00242/12/2021</t>
  </si>
  <si>
    <t>Q051612</t>
  </si>
  <si>
    <t>R-6029104</t>
  </si>
  <si>
    <t>AJK-004</t>
  </si>
  <si>
    <t>OLUMFD300082305</t>
  </si>
  <si>
    <t>DIB0032907</t>
  </si>
  <si>
    <t>9976AP1233630019</t>
  </si>
  <si>
    <t>MUHAMMAD AMJADULLAH</t>
  </si>
  <si>
    <t>42201-9204662-3</t>
  </si>
  <si>
    <t>03092869450</t>
  </si>
  <si>
    <t xml:space="preserve">HOUSE # 271 STREET 1 AREA 36 G SHAR EEF COLONY LANDHI KARACHI PK </t>
  </si>
  <si>
    <t>78992/00050/12/2023</t>
  </si>
  <si>
    <t>27-DEC-2024</t>
  </si>
  <si>
    <t>13500847</t>
  </si>
  <si>
    <t>000844</t>
  </si>
  <si>
    <t>BG-2992</t>
  </si>
  <si>
    <t>OLUKHI300098858</t>
  </si>
  <si>
    <t>10669/12/2023/ITFM</t>
  </si>
  <si>
    <t>28-DEC-2023</t>
  </si>
  <si>
    <t>9976AP1233630018</t>
  </si>
  <si>
    <t>SHAGUFTA GULZAR</t>
  </si>
  <si>
    <t>42201-0607585-0</t>
  </si>
  <si>
    <t>03003379722</t>
  </si>
  <si>
    <t>02135862937</t>
  </si>
  <si>
    <t xml:space="preserve">DR ZIA UDDIN HOSPITAL CLIFTON CAMPU S ST-4/B BLOCK 06 CLIFTON FIRST FLO ORKARACHI KARACHI </t>
  </si>
  <si>
    <t>78992/00049/12/2023</t>
  </si>
  <si>
    <t>6R147578</t>
  </si>
  <si>
    <t>1047572</t>
  </si>
  <si>
    <t>BSW-937</t>
  </si>
  <si>
    <t>OLUKHI300098889</t>
  </si>
  <si>
    <t>10667/12/2023/ITFM</t>
  </si>
  <si>
    <t>9976AP1213650085</t>
  </si>
  <si>
    <t>NOSHEEN AMBER</t>
  </si>
  <si>
    <t>35201-1334212-2</t>
  </si>
  <si>
    <t>03244078707</t>
  </si>
  <si>
    <t xml:space="preserve">MANZOOR COLONY HARBANSPURA NEAR FAN DUNIA LAHORE PK </t>
  </si>
  <si>
    <t>57132/00247/12/2021</t>
  </si>
  <si>
    <t>719610</t>
  </si>
  <si>
    <t>01258097</t>
  </si>
  <si>
    <t>LEC-18-9504</t>
  </si>
  <si>
    <t>OLULHR300082510</t>
  </si>
  <si>
    <t>DIB0032930</t>
  </si>
  <si>
    <t>9976AD1211830092</t>
  </si>
  <si>
    <t>SUHRAB KHAN TUNIO</t>
  </si>
  <si>
    <t>45402-7432328-7</t>
  </si>
  <si>
    <t>03007005868</t>
  </si>
  <si>
    <t xml:space="preserve">AL HAMZA ENGINEERING MAGSI COLONY SOCITY NEAR HOUSING NAWABSHA NAWABSHA </t>
  </si>
  <si>
    <t>UWT/D/T002/00001215/1221/109-0</t>
  </si>
  <si>
    <t>224703</t>
  </si>
  <si>
    <t>10124719</t>
  </si>
  <si>
    <t>OLANWB300070382</t>
  </si>
  <si>
    <t>DIB0032748</t>
  </si>
  <si>
    <t>9976AD1220680008</t>
  </si>
  <si>
    <t>BILAL AHMED</t>
  </si>
  <si>
    <t>42201-1102531-3</t>
  </si>
  <si>
    <t>03332158799</t>
  </si>
  <si>
    <t xml:space="preserve">BILAL ENTERPRISES SHOP NO-19 SALAR STREET BHIM PURA KHI NEAR GULSHAN-E-BILAL MASJID </t>
  </si>
  <si>
    <t>65483/00040/12/2022</t>
  </si>
  <si>
    <t>Q102515</t>
  </si>
  <si>
    <t>6079996</t>
  </si>
  <si>
    <t>OLAKHI300085342</t>
  </si>
  <si>
    <t>DIB0034859</t>
  </si>
  <si>
    <t>9976AP1213630044</t>
  </si>
  <si>
    <t>FAISAL SHAHZAD MALIK</t>
  </si>
  <si>
    <t>13101-1998075-7</t>
  </si>
  <si>
    <t>0321-5551551</t>
  </si>
  <si>
    <t>03215551551</t>
  </si>
  <si>
    <t>051-8733455</t>
  </si>
  <si>
    <t xml:space="preserve">HNO # 15, STREET # 24, SECTOR A DHA -2, NEAR GIGA MALL ISLAMABAD PAKISTAN </t>
  </si>
  <si>
    <t>57132/00244/12/2021</t>
  </si>
  <si>
    <t>313513</t>
  </si>
  <si>
    <t>308562</t>
  </si>
  <si>
    <t>OLDISD300082576</t>
  </si>
  <si>
    <t>9976AP1213650087</t>
  </si>
  <si>
    <t>MUHAMMAD UMER FAROOQ</t>
  </si>
  <si>
    <t>33102-2494438-9</t>
  </si>
  <si>
    <t>03005147882</t>
  </si>
  <si>
    <t xml:space="preserve">153/5-A 2ND FLOOR COMMERCIAL BROADW AY PHASE 8 LAHORE </t>
  </si>
  <si>
    <t>57132/00240/12/2021</t>
  </si>
  <si>
    <t>12945891</t>
  </si>
  <si>
    <t>R049316</t>
  </si>
  <si>
    <t>LED-18A-517</t>
  </si>
  <si>
    <t>OLULHR300082410</t>
  </si>
  <si>
    <t>DIB0032923</t>
  </si>
  <si>
    <t>9976AD2212630003</t>
  </si>
  <si>
    <t>KAUSAR PARVEEN</t>
  </si>
  <si>
    <t>33102-7013972-4</t>
  </si>
  <si>
    <t>03097186008</t>
  </si>
  <si>
    <t>03097186008, 03097186008</t>
  </si>
  <si>
    <t xml:space="preserve">P-136 ST NO 2 CHANDNI STREET AL NAJ AF COLONY FSD NEAR ASR MART FAISALABAD PK </t>
  </si>
  <si>
    <t>2021-12-205-V01501OP0003130</t>
  </si>
  <si>
    <t>R18216930017</t>
  </si>
  <si>
    <t>NFBFC6663MR082608</t>
  </si>
  <si>
    <t>OLAFSD300073763</t>
  </si>
  <si>
    <t>DIB0032835</t>
  </si>
  <si>
    <t>9976AD1211810062</t>
  </si>
  <si>
    <t>MIAN NOVAIR</t>
  </si>
  <si>
    <t>61101-8304019-1</t>
  </si>
  <si>
    <t>03475908990</t>
  </si>
  <si>
    <t xml:space="preserve">PLOT # 1/3 ST # 14 SECTOR G-7/2 ISLAMABAD PK </t>
  </si>
  <si>
    <t>PL-1221-1101010102-V14-D00619</t>
  </si>
  <si>
    <t>JL473QFM3CAD515963</t>
  </si>
  <si>
    <t>NKMA2ASE5M1005248</t>
  </si>
  <si>
    <t>OLAISD3600070254</t>
  </si>
  <si>
    <t>5974/12/2021</t>
  </si>
  <si>
    <t>9976AP1203640008</t>
  </si>
  <si>
    <t>MUHAMMAD QASIM YAQOOB RAJA</t>
  </si>
  <si>
    <t>37401-7448258-1</t>
  </si>
  <si>
    <t>0315-5000113</t>
  </si>
  <si>
    <t xml:space="preserve">H# 23/31GALI # 25 ZAHEER STREET MOH MULTANI DHOKA SYEDA RAOD ASLAM MARKET RAWALPINDI </t>
  </si>
  <si>
    <t>53326/00104/12/2020</t>
  </si>
  <si>
    <t>Z547565</t>
  </si>
  <si>
    <t>4173453</t>
  </si>
  <si>
    <t>ALH-238</t>
  </si>
  <si>
    <t>OLURWP300064446</t>
  </si>
  <si>
    <t>3901/12/2020/ITFM</t>
  </si>
  <si>
    <t>28-DEC-2020</t>
  </si>
  <si>
    <t>9976AP1213630056</t>
  </si>
  <si>
    <t>WAQAS ALI AWAN</t>
  </si>
  <si>
    <t>13101-2982112-1</t>
  </si>
  <si>
    <t>0992337646</t>
  </si>
  <si>
    <t>03005614084</t>
  </si>
  <si>
    <t>0992342289</t>
  </si>
  <si>
    <t xml:space="preserve">VILLAGE AND P/O BANDA PHAGWARIAN, TEHSIL AND DISTT ABBOTTABAD </t>
  </si>
  <si>
    <t>57132/00252/12/2021</t>
  </si>
  <si>
    <t>L13Z17539044</t>
  </si>
  <si>
    <t>NFBGM1548LR260953</t>
  </si>
  <si>
    <t>ASJ-175</t>
  </si>
  <si>
    <t>OLUABD300082548</t>
  </si>
  <si>
    <t>5981/12/2021</t>
  </si>
  <si>
    <t>9976AP2213640035</t>
  </si>
  <si>
    <t>MUHAMMAD DANISH KHAN</t>
  </si>
  <si>
    <t>35201-2821954-7</t>
  </si>
  <si>
    <t>03334403903</t>
  </si>
  <si>
    <t>04235782721</t>
  </si>
  <si>
    <t xml:space="preserve">HOUSE NO 8 STREET NO 35-A NAFEERABA D BAGHBANPURA NEAR DHOBHI GHAT STOP LAHORE PK </t>
  </si>
  <si>
    <t>57132/00235/12/2021</t>
  </si>
  <si>
    <t>213525</t>
  </si>
  <si>
    <t>10113487</t>
  </si>
  <si>
    <t>ADF-461</t>
  </si>
  <si>
    <t>OLULHR300082525</t>
  </si>
  <si>
    <t>DIB0032917</t>
  </si>
  <si>
    <t>9976AP1213630046</t>
  </si>
  <si>
    <t>MUHAMMAD SHEERAZ TABISH</t>
  </si>
  <si>
    <t>35403-6105603-5</t>
  </si>
  <si>
    <t>03155421139</t>
  </si>
  <si>
    <t xml:space="preserve">HOUSE NO 750 ST NO 51 I-10/1, ISLAMABAD 0315-5421139 </t>
  </si>
  <si>
    <t>57132/00241/12/2021</t>
  </si>
  <si>
    <t>102233</t>
  </si>
  <si>
    <t>10002250</t>
  </si>
  <si>
    <t>AEW-563</t>
  </si>
  <si>
    <t>OLUISD300082550</t>
  </si>
  <si>
    <t>5975/12/2021</t>
  </si>
  <si>
    <t>9976AP1213630041</t>
  </si>
  <si>
    <t>61101-0608958-9</t>
  </si>
  <si>
    <t>0300-5040468</t>
  </si>
  <si>
    <t>2212468</t>
  </si>
  <si>
    <t xml:space="preserve">HOUSE NO 279 STREET 74 G-11/2 ISLAMABAD </t>
  </si>
  <si>
    <t>57132/00246/12/2021</t>
  </si>
  <si>
    <t>7979235</t>
  </si>
  <si>
    <t>R235103</t>
  </si>
  <si>
    <t>AKW-887</t>
  </si>
  <si>
    <t>OLSISD300082551</t>
  </si>
  <si>
    <t>5976/12/2021</t>
  </si>
  <si>
    <t>9976AP2213640037</t>
  </si>
  <si>
    <t>EJAZ HUSSAIN</t>
  </si>
  <si>
    <t>42201-0333012-1</t>
  </si>
  <si>
    <t>03008221346</t>
  </si>
  <si>
    <t xml:space="preserve">FLAT # 201 2ND FLOOR PEARL GARDEN P LOT # 171 E 1 BLOCK 3 PECHS NEAR BE KARACHI PK </t>
  </si>
  <si>
    <t>57132/00139/12/2021</t>
  </si>
  <si>
    <t>506786</t>
  </si>
  <si>
    <t>1011139</t>
  </si>
  <si>
    <t>OLDKHI300082531</t>
  </si>
  <si>
    <t>5977/12/2021</t>
  </si>
  <si>
    <t>9976AP1213630048</t>
  </si>
  <si>
    <t>SARA SIDDIQUE</t>
  </si>
  <si>
    <t>37101-7983703-8</t>
  </si>
  <si>
    <t>03065430143</t>
  </si>
  <si>
    <t>0515178536</t>
  </si>
  <si>
    <t xml:space="preserve">H # 1 OSAMA STREET DEFENCE ROAD NEA R YOUSAFZAI USMAN MASJID ADYALA RO RAWALPINDI PK </t>
  </si>
  <si>
    <t>57132/00236/12/2021</t>
  </si>
  <si>
    <t>100827</t>
  </si>
  <si>
    <t>1000808</t>
  </si>
  <si>
    <t>ANW-226</t>
  </si>
  <si>
    <t>OLURWP300082497</t>
  </si>
  <si>
    <t>5964/12/2021</t>
  </si>
  <si>
    <t>9976AP1203640001</t>
  </si>
  <si>
    <t>HAROON RASHEED</t>
  </si>
  <si>
    <t>42000-7140231-1</t>
  </si>
  <si>
    <t>03212000036</t>
  </si>
  <si>
    <t>02134539618</t>
  </si>
  <si>
    <t xml:space="preserve">104 ANUM ESTATE MAIN SHAHRAH-E- FAI SAL BALOCH COLONY KARACHI </t>
  </si>
  <si>
    <t>53326/00102/12/2020</t>
  </si>
  <si>
    <t>6R147902</t>
  </si>
  <si>
    <t>NF1AET306H1047910</t>
  </si>
  <si>
    <t>OLDKHI300064342</t>
  </si>
  <si>
    <t>3898/12/2020/ITFM</t>
  </si>
  <si>
    <t>9976AP1213650093</t>
  </si>
  <si>
    <t>MONA BURKE</t>
  </si>
  <si>
    <t>35200-1485889-2</t>
  </si>
  <si>
    <t>03161428269</t>
  </si>
  <si>
    <t>04235463650</t>
  </si>
  <si>
    <t xml:space="preserve">15 A WARIS ROAD LAHORE </t>
  </si>
  <si>
    <t>57132/00249/12/2021</t>
  </si>
  <si>
    <t>6R167920</t>
  </si>
  <si>
    <t>1067857</t>
  </si>
  <si>
    <t>AEP-586</t>
  </si>
  <si>
    <t>OLULHR300082503</t>
  </si>
  <si>
    <t>DIB0032934</t>
  </si>
  <si>
    <t>9976AD1212380032</t>
  </si>
  <si>
    <t>IQRA AZEEM</t>
  </si>
  <si>
    <t>34101-7908924-8</t>
  </si>
  <si>
    <t>03036758032</t>
  </si>
  <si>
    <t xml:space="preserve">ST NO 7 GILL ROAD MOH WAZIR GUJRANWALA PK </t>
  </si>
  <si>
    <t>01-2112-PO-MTR-PCCM-D-001793</t>
  </si>
  <si>
    <t>226670</t>
  </si>
  <si>
    <t>10126677</t>
  </si>
  <si>
    <t>OLAGWL300072351</t>
  </si>
  <si>
    <t>DIB0032941</t>
  </si>
  <si>
    <t>9976AD2212240005</t>
  </si>
  <si>
    <t>SYED MOHSIN RAZA BUKHARI</t>
  </si>
  <si>
    <t>33100-5974660-9</t>
  </si>
  <si>
    <t>03018658696</t>
  </si>
  <si>
    <t>03018658696, 03018658696</t>
  </si>
  <si>
    <t>0419200592</t>
  </si>
  <si>
    <t xml:space="preserve">P-5 ST NO 4 FARID COLONY FSD FAISALABAD PK </t>
  </si>
  <si>
    <t>DIB/T/35049/LHR/1221</t>
  </si>
  <si>
    <t>201334</t>
  </si>
  <si>
    <t>1101353</t>
  </si>
  <si>
    <t>OLAFSD300071803</t>
  </si>
  <si>
    <t>DIB0032889</t>
  </si>
  <si>
    <t>9976AP1213650125</t>
  </si>
  <si>
    <t>MUHAMMAD NOMAN JAVED</t>
  </si>
  <si>
    <t>36601-6343262-5</t>
  </si>
  <si>
    <t>03457090602</t>
  </si>
  <si>
    <t xml:space="preserve">S/O MUHAMMAD JAVED CHAK NO 497/EB P.O SAME TEHSIL BUREWALA DISTRICT VEHARI </t>
  </si>
  <si>
    <t>57132/00243/12/2021</t>
  </si>
  <si>
    <t>PKB688100</t>
  </si>
  <si>
    <t>SB308PK01226614</t>
  </si>
  <si>
    <t>LE-17A-8857</t>
  </si>
  <si>
    <t>SUZUKI MEHRAN VX-EURO-II</t>
  </si>
  <si>
    <t>OLUBRW300082537</t>
  </si>
  <si>
    <t>DIB0032927</t>
  </si>
  <si>
    <t>9976AP1213630033</t>
  </si>
  <si>
    <t>IRFAN JAMIL</t>
  </si>
  <si>
    <t>35202-0677600-1</t>
  </si>
  <si>
    <t>03222008877 03224928612</t>
  </si>
  <si>
    <t>03224928672</t>
  </si>
  <si>
    <t xml:space="preserve">HOUSE NO 10 BLOCK P PHASE 1 DHA LAHORE CANTT </t>
  </si>
  <si>
    <t>57132/00219/12/2021</t>
  </si>
  <si>
    <t>12946327</t>
  </si>
  <si>
    <t>R049760</t>
  </si>
  <si>
    <t>LEA-19-3677</t>
  </si>
  <si>
    <t>OLULHR300082473</t>
  </si>
  <si>
    <t>DIB0032911</t>
  </si>
  <si>
    <t>9976AP2213640036</t>
  </si>
  <si>
    <t>SAEED AHMAD</t>
  </si>
  <si>
    <t>35202-2753361-3</t>
  </si>
  <si>
    <t>03214759360</t>
  </si>
  <si>
    <t xml:space="preserve">GOVT ISLAMIA COLLEGE RAILWAY ROAD LAHORE </t>
  </si>
  <si>
    <t>57132/00215/12/2021</t>
  </si>
  <si>
    <t>17533188</t>
  </si>
  <si>
    <t>R252413</t>
  </si>
  <si>
    <t>LEF-19-3888</t>
  </si>
  <si>
    <t>OLULHR300082406</t>
  </si>
  <si>
    <t>DIB0032904</t>
  </si>
  <si>
    <t>9976AP1233620013</t>
  </si>
  <si>
    <t>MUHAMMAD IFTIKHAR-ASAAN ACCOUNT</t>
  </si>
  <si>
    <t>33303-2096268-3</t>
  </si>
  <si>
    <t>03333923291</t>
  </si>
  <si>
    <t xml:space="preserve">HOUSE NO A-166 UPPER GIZRI KARACHI NO 6 KARACHI </t>
  </si>
  <si>
    <t>78992/00045/12/2023</t>
  </si>
  <si>
    <t>686250</t>
  </si>
  <si>
    <t>01224786</t>
  </si>
  <si>
    <t>BQL-697</t>
  </si>
  <si>
    <t>OLUKHI300098818</t>
  </si>
  <si>
    <t>DIB0035545</t>
  </si>
  <si>
    <t>9976AP1233620012</t>
  </si>
  <si>
    <t>SYED MUHAMMAD SHAMIM</t>
  </si>
  <si>
    <t>42401-6246199-5</t>
  </si>
  <si>
    <t>03139000359 -MOB NO: 0313-9000359</t>
  </si>
  <si>
    <t xml:space="preserve">AL HADI TRADING COMPANY OFF 508, POONAWALA TRADE TOWER DANDLA BAZAR, CITY COURTS KARACHI. </t>
  </si>
  <si>
    <t>78992/00047/12/2023</t>
  </si>
  <si>
    <t>Z671404</t>
  </si>
  <si>
    <t>R4196841</t>
  </si>
  <si>
    <t>BRD-101</t>
  </si>
  <si>
    <t>OLUKHI300098850</t>
  </si>
  <si>
    <t>10661/12/2023/ITFM</t>
  </si>
  <si>
    <t>9976AP2233620007</t>
  </si>
  <si>
    <t>SAMA ALI-ASAAN ACCOUNT</t>
  </si>
  <si>
    <t>42301-8753522-2</t>
  </si>
  <si>
    <t>03333458641</t>
  </si>
  <si>
    <t xml:space="preserve">HOUSE NO 7-B, CENTRAL LANE PHASE 2, DHA KARACHI </t>
  </si>
  <si>
    <t>78992/00048/12/2023</t>
  </si>
  <si>
    <t>291203</t>
  </si>
  <si>
    <t>1191336</t>
  </si>
  <si>
    <t>OLDKHI300098860</t>
  </si>
  <si>
    <t>10663/12/2023/ITFM</t>
  </si>
  <si>
    <t>9976AP1213640076</t>
  </si>
  <si>
    <t>MUHAMMAD AYUB</t>
  </si>
  <si>
    <t>35302-8095853-7</t>
  </si>
  <si>
    <t>03085340381</t>
  </si>
  <si>
    <t>03085340381, 03057341246</t>
  </si>
  <si>
    <t>03057341246</t>
  </si>
  <si>
    <t xml:space="preserve">HOUSE NO 33 MOHALLAH JINNAH ABAD KO T NEHAL SINGH GT ROAD OKARA OKARA PK </t>
  </si>
  <si>
    <t>57132/00227/12/2021</t>
  </si>
  <si>
    <t>2A43355</t>
  </si>
  <si>
    <t>7027196</t>
  </si>
  <si>
    <t>OLDOKR300082471</t>
  </si>
  <si>
    <t>DIB0032909</t>
  </si>
  <si>
    <t>9976AP2213630021</t>
  </si>
  <si>
    <t>SADIA SARWAR</t>
  </si>
  <si>
    <t>33102-6079339-6</t>
  </si>
  <si>
    <t>03156096186</t>
  </si>
  <si>
    <t xml:space="preserve">HOUSE NO 301 MUHALLAH WEAVERS COLONY NO 2 FAISALABAD </t>
  </si>
  <si>
    <t>57132/00222/12/2021</t>
  </si>
  <si>
    <t>207792</t>
  </si>
  <si>
    <t>10107801</t>
  </si>
  <si>
    <t>AAX-097</t>
  </si>
  <si>
    <t>OLUFSD300082505</t>
  </si>
  <si>
    <t>5947/12/2021</t>
  </si>
  <si>
    <t>9976AP1213630050</t>
  </si>
  <si>
    <t>ZOHAIB MAQSOOD</t>
  </si>
  <si>
    <t>44101-8530273-1</t>
  </si>
  <si>
    <t>03003638235</t>
  </si>
  <si>
    <t xml:space="preserve">FLAT NO F 19 SULAIMAN PLAZA OPPOSITE ALADIN PARK GULSHAN-E-IQBAL KARACHI 0300-3638235 </t>
  </si>
  <si>
    <t>57132/00231/12/2021</t>
  </si>
  <si>
    <t>L13Z17512141</t>
  </si>
  <si>
    <t>NFBGM1648JR225549</t>
  </si>
  <si>
    <t>BMK-159</t>
  </si>
  <si>
    <t>OLUKHI300082512</t>
  </si>
  <si>
    <t>5969/12/2021</t>
  </si>
  <si>
    <t>9976AP1213640063</t>
  </si>
  <si>
    <t>AHMAD SAJJAD</t>
  </si>
  <si>
    <t>41306-6246180-3</t>
  </si>
  <si>
    <t>03117610119</t>
  </si>
  <si>
    <t xml:space="preserve">STREET NO 1 MIAN KHAN WALI MOHALLAH RAJKOT GONDLANWALA ROAD GUJRANWALA </t>
  </si>
  <si>
    <t>57132/00228/12/2021</t>
  </si>
  <si>
    <t>R18Z12945996</t>
  </si>
  <si>
    <t>NFBFC6669JR049415</t>
  </si>
  <si>
    <t>AMD-612</t>
  </si>
  <si>
    <t>OLUGWL300082511</t>
  </si>
  <si>
    <t>5967/12/2021</t>
  </si>
  <si>
    <t>9976AP1213630043</t>
  </si>
  <si>
    <t>FAIZAN ABDUL WAHAB</t>
  </si>
  <si>
    <t>42301-9346396-1</t>
  </si>
  <si>
    <t>03112262506</t>
  </si>
  <si>
    <t xml:space="preserve">FLAT # 22 6th FLOOR SANA ARCADE BLO CK-C PLOT # 17 SHEET GRW-1 HUDA DAS KARACHI PK </t>
  </si>
  <si>
    <t>57132/00229/12/2021</t>
  </si>
  <si>
    <t>2464270</t>
  </si>
  <si>
    <t>NZE170R-4090616</t>
  </si>
  <si>
    <t>BGQ-357</t>
  </si>
  <si>
    <t>OLUKHI300082520</t>
  </si>
  <si>
    <t>5970/12/2021</t>
  </si>
  <si>
    <t>9976AP1213620020</t>
  </si>
  <si>
    <t>MUHAMMAD ASIF NAEEM</t>
  </si>
  <si>
    <t>33100-1191636-5</t>
  </si>
  <si>
    <t>03009666803</t>
  </si>
  <si>
    <t>03009666803, 03009666803</t>
  </si>
  <si>
    <t xml:space="preserve">P-81 ST NO 3 NEMAT COLONY NO 02 JAR ANWALA ROAD FSD NEAR TEZAIB MILL FAISALABAD PK </t>
  </si>
  <si>
    <t>57132/00221/12/2021</t>
  </si>
  <si>
    <t>L13217517267</t>
  </si>
  <si>
    <t>NFBGM1648JR232534</t>
  </si>
  <si>
    <t>FD-18-931</t>
  </si>
  <si>
    <t>OLUFSD300082514</t>
  </si>
  <si>
    <t>DIB0032912</t>
  </si>
  <si>
    <t>9976AP1213630058</t>
  </si>
  <si>
    <t>ABDUL SAMAD</t>
  </si>
  <si>
    <t>45203-7517795-9</t>
  </si>
  <si>
    <t>03212266062</t>
  </si>
  <si>
    <t xml:space="preserve">FLAT NO. F-103, SAIMA PRIDE NEAR JOHAR NOR RASHID MINHAS BLOCK 10A, GULSHAN-E-IQBAL KARACHI </t>
  </si>
  <si>
    <t>57132/00230/12/2021</t>
  </si>
  <si>
    <t>6R147607</t>
  </si>
  <si>
    <t>NF1AET306H1047512</t>
  </si>
  <si>
    <t>BTE-780</t>
  </si>
  <si>
    <t>OLUKHI300082479</t>
  </si>
  <si>
    <t>5958/12/2021</t>
  </si>
  <si>
    <t>997APD2193640002</t>
  </si>
  <si>
    <t>FAHAD RIAZ</t>
  </si>
  <si>
    <t>42201-3510362-7</t>
  </si>
  <si>
    <t>0213-4014577, 0321-8239073</t>
  </si>
  <si>
    <t>03218239073</t>
  </si>
  <si>
    <t>35292329-30</t>
  </si>
  <si>
    <t xml:space="preserve">FLAT NO A-18 3RD FLOOR NOMAN HEAVEN, BLOCK # 15 GULISTAN-E-JOHAR KARACHI PAKISTAN </t>
  </si>
  <si>
    <t>51531/00052/12/2019</t>
  </si>
  <si>
    <t>124152</t>
  </si>
  <si>
    <t>1023875</t>
  </si>
  <si>
    <t>PODKHI300052191</t>
  </si>
  <si>
    <t>DIB0028076</t>
  </si>
  <si>
    <t>28-DEC-2019</t>
  </si>
  <si>
    <t>9976AP2213650072</t>
  </si>
  <si>
    <t>MUHAMMAD AMJAD</t>
  </si>
  <si>
    <t>35302-2119533-7</t>
  </si>
  <si>
    <t>03457503018</t>
  </si>
  <si>
    <t xml:space="preserve">HOSE NO 14STREET NO 7 MOHALLAH FAIS AL MEHMOOD COLONY OKARA PK </t>
  </si>
  <si>
    <t>57132/00226/12/2021</t>
  </si>
  <si>
    <t>6R138865</t>
  </si>
  <si>
    <t>NF1AET306H1038836</t>
  </si>
  <si>
    <t>ABD 846</t>
  </si>
  <si>
    <t>OLUOKR300082475</t>
  </si>
  <si>
    <t>9976AD1212440018</t>
  </si>
  <si>
    <t>KHURRAM AKRAM</t>
  </si>
  <si>
    <t>35201-3572164-9</t>
  </si>
  <si>
    <t>03457323230</t>
  </si>
  <si>
    <t xml:space="preserve">DHA PHASE II NEAR WAPDA OFFICE ALFA LAH TOWN BADIAN ROAD LAHORE </t>
  </si>
  <si>
    <t>57132/00232/12/2021</t>
  </si>
  <si>
    <t>6R201735</t>
  </si>
  <si>
    <t>NF1AET306H1101749</t>
  </si>
  <si>
    <t>OLALHR300072667</t>
  </si>
  <si>
    <t>DIB0032926</t>
  </si>
  <si>
    <t>9976AP2213620015</t>
  </si>
  <si>
    <t>MUBASHIR MIRAJ</t>
  </si>
  <si>
    <t>33102-1909471-5</t>
  </si>
  <si>
    <t>03447900083</t>
  </si>
  <si>
    <t>03447900083, 03447900083</t>
  </si>
  <si>
    <t xml:space="preserve">P-3 ST NO 20 ABDULLAH PUR FSD NEAR HABIB PRINT MILL FAISALABAD PK </t>
  </si>
  <si>
    <t>57132/00216/12/2021</t>
  </si>
  <si>
    <t>604669</t>
  </si>
  <si>
    <t>511535</t>
  </si>
  <si>
    <t>FD-15-508</t>
  </si>
  <si>
    <t>OLUFSD300082460</t>
  </si>
  <si>
    <t>5042/12/2021</t>
  </si>
  <si>
    <t>9976AP2213630019</t>
  </si>
  <si>
    <t>37405-4416907-7</t>
  </si>
  <si>
    <t>03054761704</t>
  </si>
  <si>
    <t>03054761704, 03054761704</t>
  </si>
  <si>
    <t xml:space="preserve">H NO 323-1 CITY MUSLIM SCHOOL AMIN TOWN FSD NEAR APTMA HOUSE FAISALABAD PK </t>
  </si>
  <si>
    <t>57132/00218/12/2021</t>
  </si>
  <si>
    <t>16424652</t>
  </si>
  <si>
    <t>R152242</t>
  </si>
  <si>
    <t>LED-14-7790</t>
  </si>
  <si>
    <t>OLUFSD300082467</t>
  </si>
  <si>
    <t>5950/12/2021</t>
  </si>
  <si>
    <t>9976AD2221660006</t>
  </si>
  <si>
    <t>35402-9254113-1</t>
  </si>
  <si>
    <t>03091056548</t>
  </si>
  <si>
    <t xml:space="preserve">H NO B3 WATER MANAGEMENT COLONY THO KER NIAZ BAIG LAHORE PK </t>
  </si>
  <si>
    <t>65483/00038/12/2022</t>
  </si>
  <si>
    <t>6R265602</t>
  </si>
  <si>
    <t>1165580</t>
  </si>
  <si>
    <t>OLALHR300088072</t>
  </si>
  <si>
    <t>9692/12/2022/ITFM</t>
  </si>
  <si>
    <t>997AAD1202370004</t>
  </si>
  <si>
    <t>35201-7698944-3</t>
  </si>
  <si>
    <t>03334403280</t>
  </si>
  <si>
    <t xml:space="preserve">H NO 01 OPP HAMAD PARK TOKAY WALA C HOWK SHERSHAH ROAD SHADBAGH LAHORE PK </t>
  </si>
  <si>
    <t>53326/00101/12/2020</t>
  </si>
  <si>
    <t>G4NALH336273</t>
  </si>
  <si>
    <t>NNAQL51AZKP507454</t>
  </si>
  <si>
    <t>POALHR300056754</t>
  </si>
  <si>
    <t>9976AP1213630038</t>
  </si>
  <si>
    <t>SALMAN SHAFI</t>
  </si>
  <si>
    <t>42000-7932206-9</t>
  </si>
  <si>
    <t>03219099123</t>
  </si>
  <si>
    <t xml:space="preserve">PLOT # D-147 SECTOR 31-D P AND T COOPERATIVE HOUSING SOCIETY KARACHI 03219099123 </t>
  </si>
  <si>
    <t>57132/00205/12/2021</t>
  </si>
  <si>
    <t>R18Z16925842</t>
  </si>
  <si>
    <t>NFBFC6660MR078368</t>
  </si>
  <si>
    <t>BUU 266</t>
  </si>
  <si>
    <t>OLUKHI300082380</t>
  </si>
  <si>
    <t>5983/12/2021</t>
  </si>
  <si>
    <t>9976AP1213620021</t>
  </si>
  <si>
    <t>FARRUKH ZEB</t>
  </si>
  <si>
    <t>54400-0552536-7</t>
  </si>
  <si>
    <t>03458331303</t>
  </si>
  <si>
    <t xml:space="preserve">HOUSE NO 1.5 KM MAIN RAIWAIND ROAD OPP DENTAL HOSPITAL U.O.L LAHORE </t>
  </si>
  <si>
    <t>57132/00201/12/2021</t>
  </si>
  <si>
    <t>12936668</t>
  </si>
  <si>
    <t>R040100</t>
  </si>
  <si>
    <t>LE-18A-1359</t>
  </si>
  <si>
    <t>OLULHR300082414</t>
  </si>
  <si>
    <t>DIB0032890</t>
  </si>
  <si>
    <t>9976AP1213630035</t>
  </si>
  <si>
    <t>MUHAMMAD ADNAN - ASAAN ACCOUNT</t>
  </si>
  <si>
    <t>42401-5716100-9</t>
  </si>
  <si>
    <t>03212038314</t>
  </si>
  <si>
    <t xml:space="preserve">HOUSE NO 315 SEC 9-E JINA COLONY NEAR JAMA MASJID GOSH-UL-AZAM ORANGI TOWN KARACHI - 03212038314 </t>
  </si>
  <si>
    <t>57132/00211/12/2021</t>
  </si>
  <si>
    <t>Q-334101</t>
  </si>
  <si>
    <t>ZRE172R-7033229</t>
  </si>
  <si>
    <t>BNL-724</t>
  </si>
  <si>
    <t>OLUKHI300082417</t>
  </si>
  <si>
    <t>5978/12/2021</t>
  </si>
  <si>
    <t>9976AP2213630020</t>
  </si>
  <si>
    <t>AMJAD KHAN</t>
  </si>
  <si>
    <t>42401-5559713-9</t>
  </si>
  <si>
    <t>03452461030</t>
  </si>
  <si>
    <t>03452461030, 03452461030</t>
  </si>
  <si>
    <t xml:space="preserve">H. NO. 323 FIRST FLOOR KATCHI PARA YAQOOB MONDA CHOWK QASIM SHAH ROAD KARACHI PK </t>
  </si>
  <si>
    <t>57132/00200/12/2021</t>
  </si>
  <si>
    <t>81002416</t>
  </si>
  <si>
    <t>007860</t>
  </si>
  <si>
    <t>OLDKHI300082376</t>
  </si>
  <si>
    <t>DIB0032887</t>
  </si>
  <si>
    <t>9976AP1213620030</t>
  </si>
  <si>
    <t>MUHAMMAD SHAHID SHABIR</t>
  </si>
  <si>
    <t>33104-1727958-5</t>
  </si>
  <si>
    <t>03216603719</t>
  </si>
  <si>
    <t xml:space="preserve">CHAK NO.266/R.B KURIANWALA TEHSIL JARANWALA DISTT FAISALABAD </t>
  </si>
  <si>
    <t>37132/00196/12/2021</t>
  </si>
  <si>
    <t>R18Z12900316</t>
  </si>
  <si>
    <t>NFBFC6668GR000456</t>
  </si>
  <si>
    <t>LEH-16-278</t>
  </si>
  <si>
    <t>OLUFSD300082390</t>
  </si>
  <si>
    <t>5951/12/2021</t>
  </si>
  <si>
    <t>9976AP1213620025</t>
  </si>
  <si>
    <t>ZEESHAN HAIDER ASLAM</t>
  </si>
  <si>
    <t>33105-2336671-7</t>
  </si>
  <si>
    <t>03227754577</t>
  </si>
  <si>
    <t>03227754577, 03227754577</t>
  </si>
  <si>
    <t xml:space="preserve">P-364 ST NO 4/A AHMED ABAD GULISTAN COLONY NO 1 FSD FAISALABAD PK </t>
  </si>
  <si>
    <t>57132/00193/12/2021</t>
  </si>
  <si>
    <t>2A09163</t>
  </si>
  <si>
    <t>R9503856</t>
  </si>
  <si>
    <t>AAQ-593</t>
  </si>
  <si>
    <t>OLUFSD300082377</t>
  </si>
  <si>
    <t>5929/12/2021</t>
  </si>
  <si>
    <t>997AAD1203050119</t>
  </si>
  <si>
    <t>IMRAN KHALID</t>
  </si>
  <si>
    <t>33100-0895263-1</t>
  </si>
  <si>
    <t>041-2665443</t>
  </si>
  <si>
    <t>0321-6601925</t>
  </si>
  <si>
    <t>041-9200661</t>
  </si>
  <si>
    <t xml:space="preserve">HOUSE NO P-1712 STREET NO. 12 SAMANABAD FAISALABAD </t>
  </si>
  <si>
    <t>2524/02243/00060/12/2020</t>
  </si>
  <si>
    <t>Q069972</t>
  </si>
  <si>
    <t>6047391</t>
  </si>
  <si>
    <t>COROLLA ALTIS 1.6 A/T</t>
  </si>
  <si>
    <t>POAFSD300059917</t>
  </si>
  <si>
    <t>3868/12/2020/ITFM</t>
  </si>
  <si>
    <t>9976AP1213620015</t>
  </si>
  <si>
    <t>NAEEM KHAN</t>
  </si>
  <si>
    <t>42101-2966381-3</t>
  </si>
  <si>
    <t>03158318057</t>
  </si>
  <si>
    <t xml:space="preserve">HOUSE NO 308 SEC 11-E ISLAMIA COLON Y NORTH KHI HARI MAJSID KARACHI PK </t>
  </si>
  <si>
    <t>57132/00203/12/2021</t>
  </si>
  <si>
    <t>6R149504</t>
  </si>
  <si>
    <t>H1049492</t>
  </si>
  <si>
    <t>BSW-486</t>
  </si>
  <si>
    <t>OLUKHI300082299</t>
  </si>
  <si>
    <t>DIB0032896</t>
  </si>
  <si>
    <t>997AAD2202520002</t>
  </si>
  <si>
    <t>SHAFQAT JAHAN</t>
  </si>
  <si>
    <t>TOBA TEK SINGH</t>
  </si>
  <si>
    <t>33100-0780213-0</t>
  </si>
  <si>
    <t>03358282559</t>
  </si>
  <si>
    <t>03358282559, 03358282559</t>
  </si>
  <si>
    <t>0462512536</t>
  </si>
  <si>
    <t xml:space="preserve">ARAIN STREET MUSTAFA ABAD TTS PK </t>
  </si>
  <si>
    <t>DIB/T/BT/29957/LHR/1220</t>
  </si>
  <si>
    <t>G3LALP072444</t>
  </si>
  <si>
    <t>NNATA52AZKP703694</t>
  </si>
  <si>
    <t>POATTS300057139</t>
  </si>
  <si>
    <t>3869/12/2020</t>
  </si>
  <si>
    <t>9976AD2212520009</t>
  </si>
  <si>
    <t>SAFDAR SAMDANI</t>
  </si>
  <si>
    <t>42101-1816660-9</t>
  </si>
  <si>
    <t>02134170627</t>
  </si>
  <si>
    <t>03223433043</t>
  </si>
  <si>
    <t xml:space="preserve">OFFICE # 1504 15TH FLOOR EMERALD TO WER CLIFON BLOCK 5 DO TALWAR KARACHI </t>
  </si>
  <si>
    <t>57132/00197/12/2021</t>
  </si>
  <si>
    <t>16930047</t>
  </si>
  <si>
    <t>082631</t>
  </si>
  <si>
    <t>OLAKHI300073307</t>
  </si>
  <si>
    <t>DIB0032859</t>
  </si>
  <si>
    <t>9976AP1213630034</t>
  </si>
  <si>
    <t>FAHAD MAHMOOD BUTT</t>
  </si>
  <si>
    <t>34101-6700791-7</t>
  </si>
  <si>
    <t>03217512101</t>
  </si>
  <si>
    <t xml:space="preserve">HOUSE Z-725, STREET 03 GURUNANAK PURA GUJRANWALA </t>
  </si>
  <si>
    <t>57132/00209/12/2021</t>
  </si>
  <si>
    <t>183046</t>
  </si>
  <si>
    <t>10083039</t>
  </si>
  <si>
    <t>LEB-19-1821</t>
  </si>
  <si>
    <t>OLUGWL300082398</t>
  </si>
  <si>
    <t>5948/12/2021</t>
  </si>
  <si>
    <t>9976AD2212370006</t>
  </si>
  <si>
    <t>MEHRNAZ BARRY</t>
  </si>
  <si>
    <t>42301-4961018-4</t>
  </si>
  <si>
    <t>3212071354</t>
  </si>
  <si>
    <t>03242126236</t>
  </si>
  <si>
    <t xml:space="preserve">43/3 10TH STREET KHY-E-SHAHBAZ OPP ALVI DENTAL PHASE 6 DHA KARACHI </t>
  </si>
  <si>
    <t>57132/00191/12/2021</t>
  </si>
  <si>
    <t>6R200930</t>
  </si>
  <si>
    <t>1100926</t>
  </si>
  <si>
    <t>OLAKHI300072313</t>
  </si>
  <si>
    <t>DIB0032829</t>
  </si>
  <si>
    <t>9976AD1212420021</t>
  </si>
  <si>
    <t>HASEEB ASHFAQ</t>
  </si>
  <si>
    <t>33103-4252061-9</t>
  </si>
  <si>
    <t>03110620262</t>
  </si>
  <si>
    <t xml:space="preserve">1ST FLOOR SHAHEEN COMPLEX ABBOT ROA D LAHORE </t>
  </si>
  <si>
    <t>57132/00187/12/2021</t>
  </si>
  <si>
    <t>201175</t>
  </si>
  <si>
    <t>1101172</t>
  </si>
  <si>
    <t>OLALHR300072665</t>
  </si>
  <si>
    <t>DIB0032874</t>
  </si>
  <si>
    <t>9976AP1213630051</t>
  </si>
  <si>
    <t>HAJI KHAN</t>
  </si>
  <si>
    <t>41204-7619914-1</t>
  </si>
  <si>
    <t>03332662501</t>
  </si>
  <si>
    <t xml:space="preserve">H NO C-17/2 MUHALLA ANWER VILLAZ PH ASE 2 QASIMABAD HYDERABAD PK </t>
  </si>
  <si>
    <t>57132/00198/12/2021</t>
  </si>
  <si>
    <t>PKF625645</t>
  </si>
  <si>
    <t>SF410PK532534</t>
  </si>
  <si>
    <t>BGA-945</t>
  </si>
  <si>
    <t>SUZUKI CULTUS VXRI EURO II</t>
  </si>
  <si>
    <t>OLUHYD300082402</t>
  </si>
  <si>
    <t>5932/12/2021</t>
  </si>
  <si>
    <t>9976AD2212380008</t>
  </si>
  <si>
    <t>MOHAMMAD USMAN</t>
  </si>
  <si>
    <t>41306-8218981-7</t>
  </si>
  <si>
    <t>03003012705</t>
  </si>
  <si>
    <t>0222109500</t>
  </si>
  <si>
    <t xml:space="preserve">296 ABDULLAH GARDEN PHASE 2 QASIMAB AD PEARL RESIDENCY HYDERABAD HYDERABAD PK </t>
  </si>
  <si>
    <t>57132/00212/12/2021</t>
  </si>
  <si>
    <t>200851</t>
  </si>
  <si>
    <t>1100821</t>
  </si>
  <si>
    <t>OLAKHI300072399</t>
  </si>
  <si>
    <t>DIB0032861</t>
  </si>
  <si>
    <t>9976AP1213620019</t>
  </si>
  <si>
    <t>FARAH DEEBA</t>
  </si>
  <si>
    <t>45304-2371022-4</t>
  </si>
  <si>
    <t>03333991187</t>
  </si>
  <si>
    <t xml:space="preserve">FLAT # 1003 101 FLOOR BLOCK B ALPIN E TOWER GULISTAN E JOHAR BLOCK 10 KARACHI PK </t>
  </si>
  <si>
    <t>57132/00199/12/2021</t>
  </si>
  <si>
    <t>6R136998</t>
  </si>
  <si>
    <t>1036997</t>
  </si>
  <si>
    <t>BRR-807</t>
  </si>
  <si>
    <t>OLUKHI300082418</t>
  </si>
  <si>
    <t>5954/12/2021</t>
  </si>
  <si>
    <t>9976AD2212630005</t>
  </si>
  <si>
    <t>SHAHZAD AHMED</t>
  </si>
  <si>
    <t>33102-1748119-1</t>
  </si>
  <si>
    <t>0412430806</t>
  </si>
  <si>
    <t>03008650717, 03008650717</t>
  </si>
  <si>
    <t>03008650717</t>
  </si>
  <si>
    <t xml:space="preserve">40-J J BLOCK PARADISE VALLEY I GATW ALA PULL SHEIKHUPURA ROAD FSD FAISALABAD PK </t>
  </si>
  <si>
    <t>2021-12-205-V01501OP0003240</t>
  </si>
  <si>
    <t>PK10K190464</t>
  </si>
  <si>
    <t>NF1AVK31H10090447</t>
  </si>
  <si>
    <t>OLAFSD300073706</t>
  </si>
  <si>
    <t>DIB0032886</t>
  </si>
  <si>
    <t>9976AP2203650015</t>
  </si>
  <si>
    <t>SYED MUHAMMAD HARIS</t>
  </si>
  <si>
    <t>42301-6308281-2</t>
  </si>
  <si>
    <t>03462021891</t>
  </si>
  <si>
    <t xml:space="preserve">FLAT # 603 6TH FLOOR FATIMA ARCADE YOUNG HOUSING ROAD KHARADAR NEAR EX KARACHI PK </t>
  </si>
  <si>
    <t>53326/00095/12/2020</t>
  </si>
  <si>
    <t>8454864</t>
  </si>
  <si>
    <t>2030873</t>
  </si>
  <si>
    <t>TOYOTA VITZ</t>
  </si>
  <si>
    <t>OLUKHI300064157</t>
  </si>
  <si>
    <t>3880/12/2020/ITFM</t>
  </si>
  <si>
    <t>9976AP1223620044</t>
  </si>
  <si>
    <t>MUHAMMAD SHAHBAZ AHMAD</t>
  </si>
  <si>
    <t>33301-2055405-5</t>
  </si>
  <si>
    <t>03366632066</t>
  </si>
  <si>
    <t>03366632066, 03366632066</t>
  </si>
  <si>
    <t xml:space="preserve">P-217/B SARGODHA ROAD LASANI TOWN F SD NEAR SB STORE FAISALABAD </t>
  </si>
  <si>
    <t>65483/00035/12/2022</t>
  </si>
  <si>
    <t>504236</t>
  </si>
  <si>
    <t>1017175</t>
  </si>
  <si>
    <t>OLDFSD300091330</t>
  </si>
  <si>
    <t>108960/12/2022</t>
  </si>
  <si>
    <t>23-DEC-2022</t>
  </si>
  <si>
    <t>9976AP1213630059</t>
  </si>
  <si>
    <t>MUKHTAR AHMED</t>
  </si>
  <si>
    <t>45402-0921932-7</t>
  </si>
  <si>
    <t>03145555506</t>
  </si>
  <si>
    <t xml:space="preserve">AL RAYAN COMMUNICATION GOLWALA COMPLEX KACHERI ROAD NAWABSHAH </t>
  </si>
  <si>
    <t>57132/00182/12/2021</t>
  </si>
  <si>
    <t>Q085331</t>
  </si>
  <si>
    <t>R-6062804</t>
  </si>
  <si>
    <t>TOYOTA COROLLA</t>
  </si>
  <si>
    <t>OLDNWB300082343</t>
  </si>
  <si>
    <t>5924/12/2021</t>
  </si>
  <si>
    <t>9976AP1213630036</t>
  </si>
  <si>
    <t>TAYYAB SARWAR</t>
  </si>
  <si>
    <t>34603-9205400-1</t>
  </si>
  <si>
    <t>03351654722</t>
  </si>
  <si>
    <t xml:space="preserve">BAJWA COLONY NEAR SINGHAR MARRAIGE HALL AMINA ABAD ROAD SIALKOT PK </t>
  </si>
  <si>
    <t>57132/00175/12/2021</t>
  </si>
  <si>
    <t>Z498267</t>
  </si>
  <si>
    <t>R4124220</t>
  </si>
  <si>
    <t>LEH-17-5088</t>
  </si>
  <si>
    <t>OLUSKT300082242</t>
  </si>
  <si>
    <t>5943/12/2021</t>
  </si>
  <si>
    <t>9976AP1213620012</t>
  </si>
  <si>
    <t>MUBIN UR REHMAN</t>
  </si>
  <si>
    <t>42201-0608870-1</t>
  </si>
  <si>
    <t>03452162404</t>
  </si>
  <si>
    <t>0214812219</t>
  </si>
  <si>
    <t xml:space="preserve">E R SOLUTIONS OFFICE NO 11 UNIT TRADE CENTER BLOCK 6 GULSHAN E IQBAL KARACHI </t>
  </si>
  <si>
    <t>57132/00186/12/2021</t>
  </si>
  <si>
    <t>819323</t>
  </si>
  <si>
    <t>700425</t>
  </si>
  <si>
    <t>STONIC EX+</t>
  </si>
  <si>
    <t>OLDKHI300082373</t>
  </si>
  <si>
    <t>5940/12/2021</t>
  </si>
  <si>
    <t>9976AP1213630055</t>
  </si>
  <si>
    <t>ABDUL WAHID</t>
  </si>
  <si>
    <t>37405-1689029-3</t>
  </si>
  <si>
    <t>03335903375</t>
  </si>
  <si>
    <t xml:space="preserve">H # 612/46 ST # 6 DHERI HASSANABAD NEAR PATHANON WALI MASJID RAWALPINDI PK </t>
  </si>
  <si>
    <t>57132/00178/12/2021</t>
  </si>
  <si>
    <t>100514</t>
  </si>
  <si>
    <t>MR008285</t>
  </si>
  <si>
    <t>OLDRWP300082356</t>
  </si>
  <si>
    <t>DIB0032860</t>
  </si>
  <si>
    <t>997AAD1202390006</t>
  </si>
  <si>
    <t>KHADIJA MUZAFFAR</t>
  </si>
  <si>
    <t>35201-6756194-2</t>
  </si>
  <si>
    <t>03018436801</t>
  </si>
  <si>
    <t xml:space="preserve">PEPSI COLA , PLOT 413 , SUNDAR INDU STRIAL ESTATE RAIWIND SUNDAR ROAD, NEAR SHELL PUMP LAHORE </t>
  </si>
  <si>
    <t>2524/02243/00064/12/2020</t>
  </si>
  <si>
    <t>G3LALP077786</t>
  </si>
  <si>
    <t>NNATA52AXKP500598</t>
  </si>
  <si>
    <t>KIA PICANTO 1.0 M/T</t>
  </si>
  <si>
    <t>POALHR300056766</t>
  </si>
  <si>
    <t>DIB0029216</t>
  </si>
  <si>
    <t>9976AD2210290003</t>
  </si>
  <si>
    <t>MUHAMMAD ARBAB DOGAR</t>
  </si>
  <si>
    <t>33102-1809797-5</t>
  </si>
  <si>
    <t>03216600218</t>
  </si>
  <si>
    <t xml:space="preserve">P 17 C BLOCK WAPDA CITY FAISALABAD </t>
  </si>
  <si>
    <t>2021-10-205-V015010P0002401</t>
  </si>
  <si>
    <t>15E4E5MGM7150028</t>
  </si>
  <si>
    <t>LSJA24U95MN122889</t>
  </si>
  <si>
    <t>OLAFSD300065386</t>
  </si>
  <si>
    <t>DIB0032040</t>
  </si>
  <si>
    <t>9976AP1233610005</t>
  </si>
  <si>
    <t>MUHAMMAD SAAD</t>
  </si>
  <si>
    <t>42101-3635885-3</t>
  </si>
  <si>
    <t>03491306794</t>
  </si>
  <si>
    <t xml:space="preserve">PLOT # 450, 2ND FLOOR, BLOCK-2, AZIZABAD, NEAR AZIZABAD POLICE STATION, KARACHI. (0349-1306794) </t>
  </si>
  <si>
    <t>78992/00043/12/2023</t>
  </si>
  <si>
    <t>1017513</t>
  </si>
  <si>
    <t>00200360</t>
  </si>
  <si>
    <t>OLDKLHI300098779</t>
  </si>
  <si>
    <t>DIB0035541</t>
  </si>
  <si>
    <t>9976AD1212570025</t>
  </si>
  <si>
    <t>MUHAMMAD ARSHAD AMIR</t>
  </si>
  <si>
    <t>35101-2727378-1</t>
  </si>
  <si>
    <t>03002132619</t>
  </si>
  <si>
    <t>04235111044-56</t>
  </si>
  <si>
    <t xml:space="preserve">HOUSE # 114-B PHASE-II SHAUKAT KHANAM CHOWK PCSIR LAHORE </t>
  </si>
  <si>
    <t>DIB/T/34891/ISB/1221</t>
  </si>
  <si>
    <t>082724</t>
  </si>
  <si>
    <t>6930144</t>
  </si>
  <si>
    <t>APF</t>
  </si>
  <si>
    <t>OLAISD300073345</t>
  </si>
  <si>
    <t>TDIDIB0029894</t>
  </si>
  <si>
    <t>9976AP1213640061</t>
  </si>
  <si>
    <t>SYED ALI HAMZA</t>
  </si>
  <si>
    <t>34603-0897183-7</t>
  </si>
  <si>
    <t>03311412515</t>
  </si>
  <si>
    <t>03166667111, 03311412515</t>
  </si>
  <si>
    <t xml:space="preserve">BHARATH GONDAL ROAD NEAR IMAM BARGA H SIALKOT PK </t>
  </si>
  <si>
    <t>57132/00160/12/2021</t>
  </si>
  <si>
    <t>Q355848</t>
  </si>
  <si>
    <t>7054998</t>
  </si>
  <si>
    <t>OLDSKT300082266</t>
  </si>
  <si>
    <t>5916/12/2021</t>
  </si>
  <si>
    <t>9976AD1212740158</t>
  </si>
  <si>
    <t>KAMRAN SAEED</t>
  </si>
  <si>
    <t>33100-8654701-7</t>
  </si>
  <si>
    <t>03247704681</t>
  </si>
  <si>
    <t>03247704681, 03247704681</t>
  </si>
  <si>
    <t xml:space="preserve">P-232 HAJVERI ROAD GULSHAN RAFIQUE COLONY NEAR RANA SANA ULLAH DERA FAISALABAD PK </t>
  </si>
  <si>
    <t>57132/00170/12/2021</t>
  </si>
  <si>
    <t>2A42978</t>
  </si>
  <si>
    <t>9515974</t>
  </si>
  <si>
    <t>OLAFSD300074580</t>
  </si>
  <si>
    <t>DIB0032844</t>
  </si>
  <si>
    <t>9976AP1213620028</t>
  </si>
  <si>
    <t>WAQAS</t>
  </si>
  <si>
    <t>34603-5033041-5</t>
  </si>
  <si>
    <t>03072304652</t>
  </si>
  <si>
    <t xml:space="preserve">ZAFARWAL ROAD MUHALLAH NIZAM ABAD N EAR AL NOOR MARRAIGE SIALKOT </t>
  </si>
  <si>
    <t>57132/00159/12/2021</t>
  </si>
  <si>
    <t>224463</t>
  </si>
  <si>
    <t>10124479</t>
  </si>
  <si>
    <t>OLDSKT300082225</t>
  </si>
  <si>
    <t>5926/12/2021</t>
  </si>
  <si>
    <t>997AAD2202930001</t>
  </si>
  <si>
    <t>BILAL QASIM ALI</t>
  </si>
  <si>
    <t>33102-0457669-5</t>
  </si>
  <si>
    <t>03457772820</t>
  </si>
  <si>
    <t xml:space="preserve">46-KM MULTAN ROAD, NATHAY KHALSA CP FEED MILL NEAR MANGA MANDI LAHORE </t>
  </si>
  <si>
    <t>2524/02243/00059/12/2020</t>
  </si>
  <si>
    <t>165751</t>
  </si>
  <si>
    <t>10065780</t>
  </si>
  <si>
    <t>POALHR300058852</t>
  </si>
  <si>
    <t>DIB0029212</t>
  </si>
  <si>
    <t>9976AP2213620009</t>
  </si>
  <si>
    <t>KHURRAM SHAHBAZ-ASAAN ACCOUNT</t>
  </si>
  <si>
    <t>33302-6778392-5</t>
  </si>
  <si>
    <t>03125936703</t>
  </si>
  <si>
    <t xml:space="preserve">HOUSE NO.1963 NO STREET F7/2 BLOCK F SECTOR O-9 NPF ISLAMABAD </t>
  </si>
  <si>
    <t>DIB/T/34899/ISB/1221</t>
  </si>
  <si>
    <t>224537</t>
  </si>
  <si>
    <t>10124537</t>
  </si>
  <si>
    <t>OLDISD300082307</t>
  </si>
  <si>
    <t>TDIDIB0029895</t>
  </si>
  <si>
    <t>9976AP2213620013</t>
  </si>
  <si>
    <t>38403-2128052-9</t>
  </si>
  <si>
    <t>03016758382</t>
  </si>
  <si>
    <t xml:space="preserve">CHAK NO 82 NB P/O KHAS TEHSIL DISTRICT SARGODHA 0301-6758382 </t>
  </si>
  <si>
    <t>57132/00162/12/2021</t>
  </si>
  <si>
    <t>HF300211</t>
  </si>
  <si>
    <t>15590</t>
  </si>
  <si>
    <t>OOLUSGD300082288</t>
  </si>
  <si>
    <t>DIB0032848</t>
  </si>
  <si>
    <t>9976AD1212650017</t>
  </si>
  <si>
    <t>ARSLAN JAVAID</t>
  </si>
  <si>
    <t>35201-4722707-7</t>
  </si>
  <si>
    <t>03231420328</t>
  </si>
  <si>
    <t xml:space="preserve">HOUSE NO 69/20 STREET NO 16-D OLD M EHRAN PARK SHALIMAR TOWN NEAR MADIN A PROPERTY DEALER LAHORE </t>
  </si>
  <si>
    <t>57132/00152/12/2021</t>
  </si>
  <si>
    <t>2A41279</t>
  </si>
  <si>
    <t>R-7025891</t>
  </si>
  <si>
    <t>YARIS ATIV M/T 1.3</t>
  </si>
  <si>
    <t>OLALHR300073833</t>
  </si>
  <si>
    <t>DIB0032832</t>
  </si>
  <si>
    <t>9976AD2212700004</t>
  </si>
  <si>
    <t>MUHAMMAD ATIF HUSSAIN JAMI</t>
  </si>
  <si>
    <t>35201-1679382-5</t>
  </si>
  <si>
    <t>03008433267</t>
  </si>
  <si>
    <t>04237181781</t>
  </si>
  <si>
    <t xml:space="preserve">HOUSE NO 51 STREET NO 05 AHMAD STRE ET LAAL PUL MUGHALPURA LAHORE </t>
  </si>
  <si>
    <t>57132/00142/12/2021</t>
  </si>
  <si>
    <t>2A42528</t>
  </si>
  <si>
    <t>NSP151R-9515734</t>
  </si>
  <si>
    <t>OLALHR300073916</t>
  </si>
  <si>
    <t>DIB0032816</t>
  </si>
  <si>
    <t>9976AP2213620014</t>
  </si>
  <si>
    <t>FARHANA ABRAR</t>
  </si>
  <si>
    <t>38403-6276161-2</t>
  </si>
  <si>
    <t>03065816996</t>
  </si>
  <si>
    <t xml:space="preserve">HOUSE NO 1/2/21/61 MOHALLA GULBERG PARK NEAR KHAYYAM CHOWK SARGODHA </t>
  </si>
  <si>
    <t>57132/00135/12/2021</t>
  </si>
  <si>
    <t>HE300236</t>
  </si>
  <si>
    <t>ESB38021</t>
  </si>
  <si>
    <t>EW-757</t>
  </si>
  <si>
    <t>OLUSGD300082116</t>
  </si>
  <si>
    <t>DIB0032805</t>
  </si>
  <si>
    <t>9976AD1213200011</t>
  </si>
  <si>
    <t>33100-5317706-5</t>
  </si>
  <si>
    <t>0412554274</t>
  </si>
  <si>
    <t>03217656463</t>
  </si>
  <si>
    <t xml:space="preserve">HOUSE # P-1396 STREET # 11, RAHMANIA ROAD FAISALABAD </t>
  </si>
  <si>
    <t>57132/00101/12/2021</t>
  </si>
  <si>
    <t>L12B51005148</t>
  </si>
  <si>
    <t>NFBGN8621MR007557</t>
  </si>
  <si>
    <t>HONDA CITY I-VTEC 1.2 L CVT</t>
  </si>
  <si>
    <t>OLAFSD300078922</t>
  </si>
  <si>
    <t>DIB0032764</t>
  </si>
  <si>
    <t>9976AD2233340003</t>
  </si>
  <si>
    <t>AIESHA IQBAL</t>
  </si>
  <si>
    <t>32301-9524105-8</t>
  </si>
  <si>
    <t>03338324222</t>
  </si>
  <si>
    <t>03186725340</t>
  </si>
  <si>
    <t xml:space="preserve">HOUSE NO 57 STREET NO 05 AJWA GARDE N JHANGI WALA ROAD BAHAWALPUR BAHAWALPUR PK </t>
  </si>
  <si>
    <t>78992/00026/12/2023</t>
  </si>
  <si>
    <t>6R290119</t>
  </si>
  <si>
    <t>H1190249</t>
  </si>
  <si>
    <t>OLABHP300098330</t>
  </si>
  <si>
    <t>DIB0035520</t>
  </si>
  <si>
    <t>9976AP2203560002</t>
  </si>
  <si>
    <t>IHSAN JAHANGIR BHATTI</t>
  </si>
  <si>
    <t>37405-6617630-5</t>
  </si>
  <si>
    <t>03460100007</t>
  </si>
  <si>
    <t xml:space="preserve">BHATTI HOUSE CORNOR HOUSE RIFFAT SH AHEEN ROAD ST # 7 DHOKE GANGAL CHAK RAWALPINDI PK </t>
  </si>
  <si>
    <t>53326/00082/12/2020</t>
  </si>
  <si>
    <t>6915751</t>
  </si>
  <si>
    <t>LR067742</t>
  </si>
  <si>
    <t>OLDRWP300064134</t>
  </si>
  <si>
    <t>3848/12/2020/ITFM</t>
  </si>
  <si>
    <t>9976AP2213540011</t>
  </si>
  <si>
    <t>AZAM</t>
  </si>
  <si>
    <t>42501-3063418-1</t>
  </si>
  <si>
    <t>03422294054</t>
  </si>
  <si>
    <t xml:space="preserve">AL NOORANI PAKWAN AND BIRYANI CENTER PLOT 16 SECTOR 31 A ALLAH WALA TOWN KORANGI CROSSING KARACHI </t>
  </si>
  <si>
    <t>57132/00123/12/2021</t>
  </si>
  <si>
    <t>Z469601</t>
  </si>
  <si>
    <t>NZE170R-4095312</t>
  </si>
  <si>
    <t>BHJ-747</t>
  </si>
  <si>
    <t>OLUKHI00082164</t>
  </si>
  <si>
    <t>DIB0032781</t>
  </si>
  <si>
    <t>9976AP1213640068</t>
  </si>
  <si>
    <t>45504-1145672-1</t>
  </si>
  <si>
    <t>03222316297</t>
  </si>
  <si>
    <t xml:space="preserve">L- 535 SECTER 5 A NORTH KHI BABUL I SLAM MASJID KARACHI PK </t>
  </si>
  <si>
    <t>57132/00102/12/2021</t>
  </si>
  <si>
    <t>6R105154</t>
  </si>
  <si>
    <t>306H1005141</t>
  </si>
  <si>
    <t>BQS-449</t>
  </si>
  <si>
    <t>OLUKHI300082054</t>
  </si>
  <si>
    <t>DIB0032949</t>
  </si>
  <si>
    <t>9976AD2212040001</t>
  </si>
  <si>
    <t>SERENA AGHA</t>
  </si>
  <si>
    <t>35201-1428225-6</t>
  </si>
  <si>
    <t>03008469848</t>
  </si>
  <si>
    <t xml:space="preserve">PCB QADDAFI STADIUM LAHORE </t>
  </si>
  <si>
    <t>57132/00078/12/2021</t>
  </si>
  <si>
    <t>312251</t>
  </si>
  <si>
    <t>308349</t>
  </si>
  <si>
    <t>KIA SPORTGE</t>
  </si>
  <si>
    <t>OLALHR300070975</t>
  </si>
  <si>
    <t>5865/12/2021</t>
  </si>
  <si>
    <t>997APD2193520001</t>
  </si>
  <si>
    <t>AHSAN MUSLIM ALMASQATI</t>
  </si>
  <si>
    <t>42201-2428972-5</t>
  </si>
  <si>
    <t>03009299298</t>
  </si>
  <si>
    <t>03009299298, 03009299298</t>
  </si>
  <si>
    <t>111946873 355</t>
  </si>
  <si>
    <t xml:space="preserve">5th FLOOR BAHRIA COMPLEX IV CHOUDHR Y KHALEEQ UZ ZAMAN ROAD GIZRI NEAR KOSAR MEDICAL KARACHI </t>
  </si>
  <si>
    <t>51531/00027/12/2019</t>
  </si>
  <si>
    <t>S07A-1686099</t>
  </si>
  <si>
    <t>JF1-1454313</t>
  </si>
  <si>
    <t>BKW-325</t>
  </si>
  <si>
    <t>HONDA N BOX</t>
  </si>
  <si>
    <t>POUKHI300051642</t>
  </si>
  <si>
    <t>2132/12/2019/ITFM</t>
  </si>
  <si>
    <t>17-DEC-2019</t>
  </si>
  <si>
    <t>9976AD1212700039</t>
  </si>
  <si>
    <t>13503-9932898-5</t>
  </si>
  <si>
    <t>0333-3688338</t>
  </si>
  <si>
    <t>5771104</t>
  </si>
  <si>
    <t xml:space="preserve">EID GAH WALI GALI NEAR SIDDIQUE KARYANA STORE EIDGAH RAWALPINDI </t>
  </si>
  <si>
    <t>56607/00042/11/2021</t>
  </si>
  <si>
    <t>G4AMH316962</t>
  </si>
  <si>
    <t>ZKP514243</t>
  </si>
  <si>
    <t>OLARWP300074134</t>
  </si>
  <si>
    <t>9976AP1213540007</t>
  </si>
  <si>
    <t>SARA QASIM</t>
  </si>
  <si>
    <t>61101-6202189-0</t>
  </si>
  <si>
    <t>03215330130</t>
  </si>
  <si>
    <t xml:space="preserve">PUNJAB MEDICAL CENTRE GUJRAT </t>
  </si>
  <si>
    <t>57132/00051/12/2021</t>
  </si>
  <si>
    <t>306971</t>
  </si>
  <si>
    <t>306333</t>
  </si>
  <si>
    <t>ADM-940</t>
  </si>
  <si>
    <t>OLUGJR300082071</t>
  </si>
  <si>
    <t>DIB0032698</t>
  </si>
  <si>
    <t>9976AD1210770027</t>
  </si>
  <si>
    <t>RIZWAN HAIDER</t>
  </si>
  <si>
    <t>35201-0900984-5</t>
  </si>
  <si>
    <t>03004515963</t>
  </si>
  <si>
    <t>04236532127</t>
  </si>
  <si>
    <t xml:space="preserve">GROUND FLOOR JAHANGIR ROAD LAL PUL NEAR SINDH BANK MUGHALPURA AZIZ BHA TTI TOWN LAHORE </t>
  </si>
  <si>
    <t>57132/00058/12/2021</t>
  </si>
  <si>
    <t>503442</t>
  </si>
  <si>
    <t>1000605</t>
  </si>
  <si>
    <t>B NEW</t>
  </si>
  <si>
    <t>CHANGAN ALSVIN 1.37L</t>
  </si>
  <si>
    <t>OLALHR300066805</t>
  </si>
  <si>
    <t>DIB0032705</t>
  </si>
  <si>
    <t>9976AD1232990001</t>
  </si>
  <si>
    <t>35202-3339666-9</t>
  </si>
  <si>
    <t>00491708031479</t>
  </si>
  <si>
    <t xml:space="preserve">VELLERNER STR 24 BACKUM BELIFEILD 59269 BEILIFEILD GERMANY </t>
  </si>
  <si>
    <t>78992/0005/12/2023</t>
  </si>
  <si>
    <t>51020057</t>
  </si>
  <si>
    <t>R034953</t>
  </si>
  <si>
    <t>OLSLHR300097567</t>
  </si>
  <si>
    <t>10632/12/2023/ITFM</t>
  </si>
  <si>
    <t>06-DEC-2023</t>
  </si>
  <si>
    <t>9976AD1232280002</t>
  </si>
  <si>
    <t>35202-7943592-3</t>
  </si>
  <si>
    <t>03154292395</t>
  </si>
  <si>
    <t xml:space="preserve">HOUSE 173 BLOCK A EXTENTION PCSIR STAFF SOCIETY LAHORE 03004292395 </t>
  </si>
  <si>
    <t>78992/00003/12/2023</t>
  </si>
  <si>
    <t>51020150</t>
  </si>
  <si>
    <t>PR035030</t>
  </si>
  <si>
    <t>OLALHR300096203</t>
  </si>
  <si>
    <t>DIB0035483</t>
  </si>
  <si>
    <t>9976AD1211750044</t>
  </si>
  <si>
    <t>SAJID LIAQAT ALI</t>
  </si>
  <si>
    <t>35202-3509243-3</t>
  </si>
  <si>
    <t>03349936480</t>
  </si>
  <si>
    <t xml:space="preserve">LIAQAT COPY HOUSE, HAQ STREET SULTANI MOUHALAH NEAR KIRAN PUBLISHERS URDU BAZAR LAHORE </t>
  </si>
  <si>
    <t>56607/00158/11/2021</t>
  </si>
  <si>
    <t>5094587</t>
  </si>
  <si>
    <t>R-1097454</t>
  </si>
  <si>
    <t>24-JUN-2021</t>
  </si>
  <si>
    <t>OLALHR300069668</t>
  </si>
  <si>
    <t>DIB0032575</t>
  </si>
  <si>
    <t>9976AD2221190008</t>
  </si>
  <si>
    <t>MOMINAH</t>
  </si>
  <si>
    <t>42101-9504757-6</t>
  </si>
  <si>
    <t>03129235312</t>
  </si>
  <si>
    <t xml:space="preserve">E-3-1 HILL PARK APRT BLOCK 7/8 KMCH S KARACHI PK </t>
  </si>
  <si>
    <t>64794/00027/11/2022</t>
  </si>
  <si>
    <t>254951</t>
  </si>
  <si>
    <t>1154917</t>
  </si>
  <si>
    <t>29-APR-2022</t>
  </si>
  <si>
    <t>11-Nov-2029</t>
  </si>
  <si>
    <t>OLAKHI300087031</t>
  </si>
  <si>
    <t>9315/11/2022</t>
  </si>
  <si>
    <t>MATURE</t>
  </si>
  <si>
    <t>9976AP1201810058</t>
  </si>
  <si>
    <t>ALI AKBAR</t>
  </si>
  <si>
    <t>35202-2703420-5</t>
  </si>
  <si>
    <t>03224765851</t>
  </si>
  <si>
    <t xml:space="preserve">H# 46 B PUNJAB SOCIETY GHAZI ROAD LAHORE PK </t>
  </si>
  <si>
    <t>DIB/T/BT/23366/LHR/1218</t>
  </si>
  <si>
    <t>176142</t>
  </si>
  <si>
    <t>10076096</t>
  </si>
  <si>
    <t>LEA-19-1488</t>
  </si>
  <si>
    <t>03-Jun-2024</t>
  </si>
  <si>
    <t>PODLHR300041312</t>
  </si>
  <si>
    <t>16952/12/2018/SPD</t>
  </si>
  <si>
    <t>18-DEC-2018</t>
  </si>
  <si>
    <t>9976AP1183550006</t>
  </si>
  <si>
    <t>9976AP1201640017</t>
  </si>
  <si>
    <t>MASOOD ALAM BHATTI</t>
  </si>
  <si>
    <t>35202-6165369-3</t>
  </si>
  <si>
    <t>0335-4216509</t>
  </si>
  <si>
    <t>03024710912</t>
  </si>
  <si>
    <t xml:space="preserve">H#5 ST#13 MOHALLA BAGH GULL BEGUM NEW MASANG LAHORE </t>
  </si>
  <si>
    <t>DIB/T/19219/LHR/1217</t>
  </si>
  <si>
    <t>PKS13021280</t>
  </si>
  <si>
    <t>RS413PK10021284</t>
  </si>
  <si>
    <t>LEF-13-3393</t>
  </si>
  <si>
    <t>11-SEP-2020</t>
  </si>
  <si>
    <t>11-Jun-2025</t>
  </si>
  <si>
    <t>POULHR300028306</t>
  </si>
  <si>
    <t>14109/12/2017</t>
  </si>
  <si>
    <t>9976AP1173450004</t>
  </si>
  <si>
    <t>9976AD1201810014</t>
  </si>
  <si>
    <t>35201-5191706-7</t>
  </si>
  <si>
    <t>03454646206</t>
  </si>
  <si>
    <t>37594933</t>
  </si>
  <si>
    <t xml:space="preserve">H# 46 A ST# 04 AL FAISAL TOWN ZARAR SHAHEED ROAD CANTT LAHORE PK </t>
  </si>
  <si>
    <t>DIB/T/19214/LHR/1217</t>
  </si>
  <si>
    <t>145099</t>
  </si>
  <si>
    <t>10045131</t>
  </si>
  <si>
    <t>LEA-18-2861</t>
  </si>
  <si>
    <t>03-Jun-2025</t>
  </si>
  <si>
    <t>POALHR300022594</t>
  </si>
  <si>
    <t>TDIDIB0021474</t>
  </si>
  <si>
    <t>9976AD1171510021</t>
  </si>
  <si>
    <t>997APD2201640020</t>
  </si>
  <si>
    <t>SEHRISH TIMER</t>
  </si>
  <si>
    <t>42301-9414361-0</t>
  </si>
  <si>
    <t>03452131934</t>
  </si>
  <si>
    <t>0345-2131934</t>
  </si>
  <si>
    <t>35213441</t>
  </si>
  <si>
    <t xml:space="preserve">CENTRAL BOOKS MEMORIAL CHURCH 74 GARDEN ROAD SADAR KARACHI </t>
  </si>
  <si>
    <t>51531/00003/12/2019</t>
  </si>
  <si>
    <t>Z529255</t>
  </si>
  <si>
    <t>NZE170R-4155386</t>
  </si>
  <si>
    <t>BPM-241</t>
  </si>
  <si>
    <t>21-Jul-2025</t>
  </si>
  <si>
    <t>POUKHI300051292</t>
  </si>
  <si>
    <t>DIB0028029</t>
  </si>
  <si>
    <t>06-DEC-2019</t>
  </si>
  <si>
    <t>997APD2193400002</t>
  </si>
  <si>
    <t>9976AP2173640018</t>
  </si>
  <si>
    <t>RAO DANISH SALEEM</t>
  </si>
  <si>
    <t>42501-3533215-5</t>
  </si>
  <si>
    <t>03453049141</t>
  </si>
  <si>
    <t xml:space="preserve">HOUSE # R-55 BOSTAN E RAFI SOCIETY MALIR CITY NEAR NISHAN E HAIDER SCH KARACHI PK </t>
  </si>
  <si>
    <t>DIB/T/19711/KHI/1217</t>
  </si>
  <si>
    <t>Z454926</t>
  </si>
  <si>
    <t>NZE170R-4083439</t>
  </si>
  <si>
    <t>BGC-933</t>
  </si>
  <si>
    <t>03-Jan-2024</t>
  </si>
  <si>
    <t>POUKHI300028922</t>
  </si>
  <si>
    <t>14348/12/2017</t>
  </si>
  <si>
    <t>29-DEC-2017</t>
  </si>
  <si>
    <t>9976AP1173620010</t>
  </si>
  <si>
    <t>USMAN TARIQ</t>
  </si>
  <si>
    <t>35401-0920942-7</t>
  </si>
  <si>
    <t>03224013414</t>
  </si>
  <si>
    <t xml:space="preserve">H # 216 J BLOCK IZMIR TOWN CANAL BA NK ROAD LAHORE PK </t>
  </si>
  <si>
    <t>DIB/T/19681/LHR/1217</t>
  </si>
  <si>
    <t>113988</t>
  </si>
  <si>
    <t>10013912</t>
  </si>
  <si>
    <t>LE-18-8628</t>
  </si>
  <si>
    <t>PODLHR300028875</t>
  </si>
  <si>
    <t>14324/12/2017/FTSM</t>
  </si>
  <si>
    <t>997APD2193600002</t>
  </si>
  <si>
    <t>MOHAMMAD QASIM</t>
  </si>
  <si>
    <t>43206-9128857-3</t>
  </si>
  <si>
    <t>03337507752</t>
  </si>
  <si>
    <t>0499268803, 03337507752</t>
  </si>
  <si>
    <t>0499268803</t>
  </si>
  <si>
    <t xml:space="preserve">ROOM NO 18 DOCTOR HOSTEL GENERAL HOSPITAL LAHORE </t>
  </si>
  <si>
    <t>51531/00048/12/2019</t>
  </si>
  <si>
    <t>201419</t>
  </si>
  <si>
    <t>10101412</t>
  </si>
  <si>
    <t>LE-20-5529</t>
  </si>
  <si>
    <t>PODLHR300051971</t>
  </si>
  <si>
    <t>DIB0028071</t>
  </si>
  <si>
    <t>24-DEC-2019</t>
  </si>
  <si>
    <t>9976AP2213570011</t>
  </si>
  <si>
    <t>NAEEMA SULEMAN</t>
  </si>
  <si>
    <t>42301-5571889-8</t>
  </si>
  <si>
    <t>03452753102</t>
  </si>
  <si>
    <t xml:space="preserve">HOUSE # 2 HUSSAIN MAZIL STREET # 3 NEAR TODDLER SCHOOL FRERE ROAD SADD KARACHI PK </t>
  </si>
  <si>
    <t>57132/00176/12/2021</t>
  </si>
  <si>
    <t>PKS13043445</t>
  </si>
  <si>
    <t>RS413PK10043461</t>
  </si>
  <si>
    <t>BNV-527</t>
  </si>
  <si>
    <t>OLUKHI300082273</t>
  </si>
  <si>
    <t>DIB0032846</t>
  </si>
  <si>
    <t>9976AP1213610008</t>
  </si>
  <si>
    <t>AWAIS USMANI</t>
  </si>
  <si>
    <t>33102-8007106-3</t>
  </si>
  <si>
    <t>03027192966</t>
  </si>
  <si>
    <t>03027192966, 03027192966</t>
  </si>
  <si>
    <t xml:space="preserve">H NO. P-61 ST# 03 SAMUNDRI ROAD NEA R SHELL PETROL PUMP JINNAH ABAD FAISALABAD PK </t>
  </si>
  <si>
    <t>57132/00179/12/2021</t>
  </si>
  <si>
    <t>17500324</t>
  </si>
  <si>
    <t>208703</t>
  </si>
  <si>
    <t>LEA-17-A7006</t>
  </si>
  <si>
    <t>OLUFSD300082329</t>
  </si>
  <si>
    <t>5925/12/2021</t>
  </si>
  <si>
    <t>997AAD1171730001</t>
  </si>
  <si>
    <t>ARSALAN ANWAR</t>
  </si>
  <si>
    <t>32202-6421897-7</t>
  </si>
  <si>
    <t>0346-9993271</t>
  </si>
  <si>
    <t>37449002</t>
  </si>
  <si>
    <t xml:space="preserve">H# 3 ST# 13 NEW SHALIMAR COLONY GULSHAN RAVI NEAR NAWAZ MEDICAL STORE LAHORE </t>
  </si>
  <si>
    <t>DIB/T/19662/LHR/1217</t>
  </si>
  <si>
    <t>PK10B148038</t>
  </si>
  <si>
    <t>AIJ310PK10048042</t>
  </si>
  <si>
    <t>LE-18-3430</t>
  </si>
  <si>
    <t>POALHR300022921</t>
  </si>
  <si>
    <t>TDIDIB0021531</t>
  </si>
  <si>
    <t>997AAD1202730038</t>
  </si>
  <si>
    <t>MUBEEN TAHIR</t>
  </si>
  <si>
    <t>35202-2699806-1</t>
  </si>
  <si>
    <t xml:space="preserve">H NO#77-B-1 PUNJAB GOVT SOCIETY COLLEGE ROAD LAHORE </t>
  </si>
  <si>
    <t>53326/00085/12/2020</t>
  </si>
  <si>
    <t>315247</t>
  </si>
  <si>
    <t>304137</t>
  </si>
  <si>
    <t>POALHR300057832</t>
  </si>
  <si>
    <t>9976AP1233560024</t>
  </si>
  <si>
    <t>AHMED KAMAL KHAN</t>
  </si>
  <si>
    <t>42101-0786647-7</t>
  </si>
  <si>
    <t>03153114819</t>
  </si>
  <si>
    <t>02134322332</t>
  </si>
  <si>
    <t xml:space="preserve">SUITE # 101 10th FLOOR B-6th FLOOR BUSINESS AVENUE MAIN SHARA E FAISAL NEAR PAK QATAR TAKAFUL KARACHI </t>
  </si>
  <si>
    <t>78992/00034/12/2023</t>
  </si>
  <si>
    <t>12951046</t>
  </si>
  <si>
    <t>054465</t>
  </si>
  <si>
    <t>BQR-417</t>
  </si>
  <si>
    <t>OLUKHI300098708</t>
  </si>
  <si>
    <t>DIB0035531</t>
  </si>
  <si>
    <t>9976AP2213560007</t>
  </si>
  <si>
    <t>HAMMAD RAFIQ</t>
  </si>
  <si>
    <t>33104-4698008-9</t>
  </si>
  <si>
    <t>03055010212</t>
  </si>
  <si>
    <t xml:space="preserve">H # 803 ST # 30 SECTOR I-14/1 NEAR POLICE STATION NOON ISLAMABAD PK </t>
  </si>
  <si>
    <t>57132/00138/12/2021</t>
  </si>
  <si>
    <t>533653</t>
  </si>
  <si>
    <t>4159330</t>
  </si>
  <si>
    <t>AVA-843</t>
  </si>
  <si>
    <t>OLUISD300082003</t>
  </si>
  <si>
    <t>DIB0032677</t>
  </si>
  <si>
    <t>997APD2193580003</t>
  </si>
  <si>
    <t>KIRAN NAUSHAD</t>
  </si>
  <si>
    <t>61101-6730263-0</t>
  </si>
  <si>
    <t>0304-5100037</t>
  </si>
  <si>
    <t>03045100037</t>
  </si>
  <si>
    <t>051-111-555-555</t>
  </si>
  <si>
    <t xml:space="preserve">H NO 205,ST NO 13,PHASE 07 BAHRIA TOWN,ISLAMABAD. </t>
  </si>
  <si>
    <t>51531/00043/12/2019</t>
  </si>
  <si>
    <t>4800797</t>
  </si>
  <si>
    <t>017494</t>
  </si>
  <si>
    <t>APY-912</t>
  </si>
  <si>
    <t>PODRWP300051881</t>
  </si>
  <si>
    <t>DIB0028067</t>
  </si>
  <si>
    <t>9976AP1213560009</t>
  </si>
  <si>
    <t>HAFIZ MUHAMMAD AWAIS</t>
  </si>
  <si>
    <t>34603-6135837-3</t>
  </si>
  <si>
    <t>03456856270</t>
  </si>
  <si>
    <t xml:space="preserve">OPPOSITE APS SCHOOL UGOKI MODEL TOW N NEAR APS SCHOOL SIALKOT </t>
  </si>
  <si>
    <t>UWT/D/T002/000001195/1221/109-0</t>
  </si>
  <si>
    <t>6R195199</t>
  </si>
  <si>
    <t>1095180</t>
  </si>
  <si>
    <t>OLDSKT300081432</t>
  </si>
  <si>
    <t>DIB0032798</t>
  </si>
  <si>
    <t>9976AP2203560006</t>
  </si>
  <si>
    <t>RIAZ AHMED</t>
  </si>
  <si>
    <t>42401-7689631-7</t>
  </si>
  <si>
    <t>03002574868</t>
  </si>
  <si>
    <t xml:space="preserve">HOUSE # S-466 BISMILLAH COLONY SECT OR 10 ORANGI TOWN NEAR AQSA MASJID KARACHI PK </t>
  </si>
  <si>
    <t>53326/00078/12/2020</t>
  </si>
  <si>
    <t>Q017327</t>
  </si>
  <si>
    <t>ZRE141-4516372</t>
  </si>
  <si>
    <t>AZW-731</t>
  </si>
  <si>
    <t>OLUKHI300064071</t>
  </si>
  <si>
    <t>DIB0029199</t>
  </si>
  <si>
    <t>9976AP1183530015</t>
  </si>
  <si>
    <t>FARYAL RIAZ</t>
  </si>
  <si>
    <t>34101-8326661-2</t>
  </si>
  <si>
    <t>03067933204</t>
  </si>
  <si>
    <t xml:space="preserve">CIVIL HOSPITAL ROAD NEAR MUNIR CHOW K GUJRANWALA </t>
  </si>
  <si>
    <t>2524/01150/00040/12/2018</t>
  </si>
  <si>
    <t>875</t>
  </si>
  <si>
    <t>DA17V-112651</t>
  </si>
  <si>
    <t>LE-19-3557</t>
  </si>
  <si>
    <t>SUZUKI EVERY</t>
  </si>
  <si>
    <t>POUGWL300041313</t>
  </si>
  <si>
    <t>16949/12/2018</t>
  </si>
  <si>
    <t>9976AP1213510034</t>
  </si>
  <si>
    <t>RAFIQUE AHMAD JAN</t>
  </si>
  <si>
    <t>33100-7124413-3</t>
  </si>
  <si>
    <t>03006655366</t>
  </si>
  <si>
    <t>03006655366, 03006655366</t>
  </si>
  <si>
    <t xml:space="preserve">P-22 ST NO 13 MAHAL CENIMA COLONY T ARIQ ABAD FSD NEAR TOTI PEHALWAN DE FAISALABAD PK </t>
  </si>
  <si>
    <t>57132/00121/12/2021</t>
  </si>
  <si>
    <t>13511878</t>
  </si>
  <si>
    <t>R011794</t>
  </si>
  <si>
    <t>AJY-925</t>
  </si>
  <si>
    <t>OLUFSD300082118</t>
  </si>
  <si>
    <t>5885/12/2021</t>
  </si>
  <si>
    <t>9976AP1213510032</t>
  </si>
  <si>
    <t>QAIZER KHAN</t>
  </si>
  <si>
    <t>QUETTA</t>
  </si>
  <si>
    <t>54400-4170178-1</t>
  </si>
  <si>
    <t>03338444652</t>
  </si>
  <si>
    <t xml:space="preserve">SHOP NO 21ZHOB BUILDERS MAIN SAMUNGLI ROAD NEAR BOARD OFFICE QUETTA </t>
  </si>
  <si>
    <t>57132/00108/12/2021</t>
  </si>
  <si>
    <t>16927679</t>
  </si>
  <si>
    <t>080323</t>
  </si>
  <si>
    <t>HONDA CIVIC IVTEC P/T</t>
  </si>
  <si>
    <t>OLDQUT300081941</t>
  </si>
  <si>
    <t>DIB0032771</t>
  </si>
  <si>
    <t>9976AD1211800003</t>
  </si>
  <si>
    <t>UMAIR RAFIQ</t>
  </si>
  <si>
    <t>33100-9278450-1</t>
  </si>
  <si>
    <t>03236031860</t>
  </si>
  <si>
    <t>03236031860, 03236031860</t>
  </si>
  <si>
    <t xml:space="preserve">H NO 172 D-BLOCK G.M ABAD FAISALABAD PK </t>
  </si>
  <si>
    <t>2021/12/CLFTTPCDP01203</t>
  </si>
  <si>
    <t>D507362</t>
  </si>
  <si>
    <t>M1004723</t>
  </si>
  <si>
    <t>OLAFSD300070034</t>
  </si>
  <si>
    <t>DIB0032631</t>
  </si>
  <si>
    <t>9976AP1213500010</t>
  </si>
  <si>
    <t>MUNAWAR SIDDIQUE</t>
  </si>
  <si>
    <t>42301-1060648-5</t>
  </si>
  <si>
    <t>00971509291082</t>
  </si>
  <si>
    <t>03008044445</t>
  </si>
  <si>
    <t xml:space="preserve">MUNAWAR SIDDIQUE S/O SYED DILLAWAR SHAH VILLAGE SIRI KOT P.O SIRIKOT TEH GHAZI DISTT HARIPUR MOB 03008044445. </t>
  </si>
  <si>
    <t>57132/00099/12/2021</t>
  </si>
  <si>
    <t>Z005167</t>
  </si>
  <si>
    <t>2188031</t>
  </si>
  <si>
    <t>BBK-292</t>
  </si>
  <si>
    <t>OLUKHI300082010</t>
  </si>
  <si>
    <t>DIB0032759</t>
  </si>
  <si>
    <t>997AAD1203300004</t>
  </si>
  <si>
    <t>SADAF ZAIB</t>
  </si>
  <si>
    <t>42201-6000485-0</t>
  </si>
  <si>
    <t>03323077975</t>
  </si>
  <si>
    <t xml:space="preserve">H NO 496 GG PHASE 4 DHA LAHORE </t>
  </si>
  <si>
    <t>DIB/T/BT/29913/LHR/1220</t>
  </si>
  <si>
    <t>4803274</t>
  </si>
  <si>
    <t>019922</t>
  </si>
  <si>
    <t>POALHR300062201</t>
  </si>
  <si>
    <t>TDIDIB0028856</t>
  </si>
  <si>
    <t>9976AD1213130114</t>
  </si>
  <si>
    <t>NADEEM JAWAID</t>
  </si>
  <si>
    <t>61101-7854594-9</t>
  </si>
  <si>
    <t>03145167146</t>
  </si>
  <si>
    <t xml:space="preserve">H # 2, ST NO 1, MODEL TOWN HUMAK OP P COCA COLA FACTORY ISLAMABAD PK </t>
  </si>
  <si>
    <t>57132/00085/12/2021</t>
  </si>
  <si>
    <t>939162</t>
  </si>
  <si>
    <t>302241</t>
  </si>
  <si>
    <t>OLAISD300078353</t>
  </si>
  <si>
    <t>DIB0032737</t>
  </si>
  <si>
    <t>9976AD1211200046</t>
  </si>
  <si>
    <t>MUHAMMAD YOUSUF LODHI</t>
  </si>
  <si>
    <t>42101-7643612-7</t>
  </si>
  <si>
    <t>03012966964</t>
  </si>
  <si>
    <t xml:space="preserve">PLOT NO 400-401 SEC 16-C NORTH KARACHI INDUSTRIAL AREA NEAR GABOOL TOWN POLICE STATION KARACHI,PAKISTAN. </t>
  </si>
  <si>
    <t>57132/00083/12/2021</t>
  </si>
  <si>
    <t>119363</t>
  </si>
  <si>
    <t>708153</t>
  </si>
  <si>
    <t>OLAKHI300068491</t>
  </si>
  <si>
    <t>DIB0032604</t>
  </si>
  <si>
    <t>997AAD1203320020</t>
  </si>
  <si>
    <t>CHAUDHRY AIZAD ALI</t>
  </si>
  <si>
    <t>33100-7810679-1</t>
  </si>
  <si>
    <t>041-8711748</t>
  </si>
  <si>
    <t>0321-8666631</t>
  </si>
  <si>
    <t xml:space="preserve">HOUSE NO P-19K SUSAN ROAD MADINA TOWN NEAR WARID OFFICE FAISALABAD </t>
  </si>
  <si>
    <t>2524/02243/00030/12/2020</t>
  </si>
  <si>
    <t>334691</t>
  </si>
  <si>
    <t>304198</t>
  </si>
  <si>
    <t>POAFSD300062554</t>
  </si>
  <si>
    <t>997APD2193510001</t>
  </si>
  <si>
    <t>ISRAR AHMAD</t>
  </si>
  <si>
    <t>35102-8199340-5</t>
  </si>
  <si>
    <t>0300-6961791, 0321-6961791</t>
  </si>
  <si>
    <t>0442524501</t>
  </si>
  <si>
    <t xml:space="preserve">ISRAR AUTOES AND OIL STORES 8 BABA FARID SUPER MARKET G T ROAD OKARA </t>
  </si>
  <si>
    <t>51531/00022/12/2109</t>
  </si>
  <si>
    <t>125179</t>
  </si>
  <si>
    <t>1025082</t>
  </si>
  <si>
    <t>APX-986</t>
  </si>
  <si>
    <t>PODOKR300051511</t>
  </si>
  <si>
    <t>2126/12/2019/ITFM</t>
  </si>
  <si>
    <t>13-DEC-2019</t>
  </si>
  <si>
    <t>9976AD1212450027</t>
  </si>
  <si>
    <t>MUHAMMAD FAROOQ</t>
  </si>
  <si>
    <t>35202-5274730-1</t>
  </si>
  <si>
    <t>35866787</t>
  </si>
  <si>
    <t>0300-8473464</t>
  </si>
  <si>
    <t>35202072 35941987</t>
  </si>
  <si>
    <t xml:space="preserve">H NO 112 H BLOCK MODEL TOWN LAHORE </t>
  </si>
  <si>
    <t>57132/00066/12/2021</t>
  </si>
  <si>
    <t>1002170</t>
  </si>
  <si>
    <t>R007164</t>
  </si>
  <si>
    <t>OLALHR300072975</t>
  </si>
  <si>
    <t>DIB0032717</t>
  </si>
  <si>
    <t>9976AD2213350007</t>
  </si>
  <si>
    <t>AKHTAR HUSSAIN</t>
  </si>
  <si>
    <t>33100-3563636-5</t>
  </si>
  <si>
    <t>2627079</t>
  </si>
  <si>
    <t xml:space="preserve">P-1084 BLOCK-B CIVIL QUATER GHULAM MUHAMMAD ABAD FAISALABAD </t>
  </si>
  <si>
    <t>57132/00082/12/2021</t>
  </si>
  <si>
    <t>L15Z81002120</t>
  </si>
  <si>
    <t>NFBGN9669MR007119</t>
  </si>
  <si>
    <t>OLAFSD300080952</t>
  </si>
  <si>
    <t>5868/12/2021</t>
  </si>
  <si>
    <t>997APD1193500005</t>
  </si>
  <si>
    <t>MUHAMMAD YOUSAF KHAN</t>
  </si>
  <si>
    <t>35202-2057617-7</t>
  </si>
  <si>
    <t>03360728140</t>
  </si>
  <si>
    <t xml:space="preserve">HOUSE NO 313 A-BLOCK UET HOUSING SO CIETY DADEER PALACE LAHORE </t>
  </si>
  <si>
    <t>51531/00026/12/2019</t>
  </si>
  <si>
    <t>3B20HR4383</t>
  </si>
  <si>
    <t>B11W-0218761</t>
  </si>
  <si>
    <t>LEA-19A-3306</t>
  </si>
  <si>
    <t>EK WAGON</t>
  </si>
  <si>
    <t>POULHR300051451</t>
  </si>
  <si>
    <t>DIB0028044</t>
  </si>
  <si>
    <t>997APD2173470001</t>
  </si>
  <si>
    <t>RIAZ MASIH</t>
  </si>
  <si>
    <t>61101-0866270-1</t>
  </si>
  <si>
    <t>03125524704</t>
  </si>
  <si>
    <t>5733674</t>
  </si>
  <si>
    <t xml:space="preserve">H # 26/11 PAF E-9 ISLAMABAD PK </t>
  </si>
  <si>
    <t>2524/00574/00039/12/2017</t>
  </si>
  <si>
    <t>1477743</t>
  </si>
  <si>
    <t>0185636</t>
  </si>
  <si>
    <t>AGB-815</t>
  </si>
  <si>
    <t>POUISD300028385</t>
  </si>
  <si>
    <t>14143/12/2017</t>
  </si>
  <si>
    <t>12-DEC-2017</t>
  </si>
  <si>
    <t>997AAD1193250002</t>
  </si>
  <si>
    <t>AYESHA TAHIR</t>
  </si>
  <si>
    <t>33100-2225279-6</t>
  </si>
  <si>
    <t>0333-6512674</t>
  </si>
  <si>
    <t xml:space="preserve">HOUSE NO 146 BLOCK D WAPDA CITY RAOD FAISLABAD </t>
  </si>
  <si>
    <t>51531/00014/12/2019</t>
  </si>
  <si>
    <t>KH029961</t>
  </si>
  <si>
    <t>KP300536</t>
  </si>
  <si>
    <t>APY-146</t>
  </si>
  <si>
    <t>POAFSD300050849</t>
  </si>
  <si>
    <t>9976AP2213550015</t>
  </si>
  <si>
    <t>MUHAMMAD ANSAR KHAN</t>
  </si>
  <si>
    <t>82102-7158026-5</t>
  </si>
  <si>
    <t>03004446250</t>
  </si>
  <si>
    <t>0512800023</t>
  </si>
  <si>
    <t xml:space="preserve">FLAT # 4 4TH FLOOR GREEN VALLEY APP ARTMENT FAIZABAD RAWALPINDI PK </t>
  </si>
  <si>
    <t>57132/00052/12/2021</t>
  </si>
  <si>
    <t>17449584</t>
  </si>
  <si>
    <t>191199</t>
  </si>
  <si>
    <t>AAY-654</t>
  </si>
  <si>
    <t>OLURWP300081856</t>
  </si>
  <si>
    <t>DIB0032700</t>
  </si>
  <si>
    <t>9976AP1213500021</t>
  </si>
  <si>
    <t>MALIK MAZHAR HUSSAIN</t>
  </si>
  <si>
    <t>34104-4430309-3</t>
  </si>
  <si>
    <t>03024114632</t>
  </si>
  <si>
    <t xml:space="preserve">H NO 1 SHARIF STREET GILL ROAD GUJRANWALA PK </t>
  </si>
  <si>
    <t>57132/00065/12/2021</t>
  </si>
  <si>
    <t>503452</t>
  </si>
  <si>
    <t>1010896</t>
  </si>
  <si>
    <t>OLDGWL300081919</t>
  </si>
  <si>
    <t>DIB0032714</t>
  </si>
  <si>
    <t>997APD1193400001</t>
  </si>
  <si>
    <t>RANA MUHAMMAD NADEEM</t>
  </si>
  <si>
    <t>35201-7789265-7</t>
  </si>
  <si>
    <t>03238422999</t>
  </si>
  <si>
    <t xml:space="preserve">HOUSE # 25-V PHASE 2, DHA LAHORE CANTT. 0323-8422999 </t>
  </si>
  <si>
    <t>001-KHI/HO/P/51572/12/2019</t>
  </si>
  <si>
    <t>1UR-0340470</t>
  </si>
  <si>
    <t>URJ202-4040972</t>
  </si>
  <si>
    <t>UK-333</t>
  </si>
  <si>
    <t>LAND CRUISER V-8</t>
  </si>
  <si>
    <t>POULHR300051333</t>
  </si>
  <si>
    <t>2.25%</t>
  </si>
  <si>
    <t>997AAD1202170001</t>
  </si>
  <si>
    <t>SHAHZAD FAISAL</t>
  </si>
  <si>
    <t>33100-7578530-1</t>
  </si>
  <si>
    <t>0300-0939922</t>
  </si>
  <si>
    <t>03008609922</t>
  </si>
  <si>
    <t xml:space="preserve">P-546 ST NO 10 NEMAT COLONY NO 1 FS D FAISALABAD PK </t>
  </si>
  <si>
    <t>DIB/T/29833/LHR/1220</t>
  </si>
  <si>
    <t>G4NALH332616</t>
  </si>
  <si>
    <t>NNAQL51AZKP506734</t>
  </si>
  <si>
    <t>POAFSD300056027</t>
  </si>
  <si>
    <t>997APD1201790067</t>
  </si>
  <si>
    <t>ZAHID MEHMOOD</t>
  </si>
  <si>
    <t>35202-5595102-7</t>
  </si>
  <si>
    <t>03244775833</t>
  </si>
  <si>
    <t xml:space="preserve">HOUSE NO 205/107 KHALID STREET SAEE D PARK SHAHDARA LAHORE </t>
  </si>
  <si>
    <t>51449/00117/11/2019</t>
  </si>
  <si>
    <t>R06AB169365</t>
  </si>
  <si>
    <t>MH34S446018</t>
  </si>
  <si>
    <t>LEB-19-5641</t>
  </si>
  <si>
    <t>POULHR300051214</t>
  </si>
  <si>
    <t>DIB0028019</t>
  </si>
  <si>
    <t>997APD1193340017</t>
  </si>
  <si>
    <t>997APD1201350008</t>
  </si>
  <si>
    <t>USMAN GHANI</t>
  </si>
  <si>
    <t>42101-8485885-1</t>
  </si>
  <si>
    <t>03322166246</t>
  </si>
  <si>
    <t>34536614</t>
  </si>
  <si>
    <t xml:space="preserve">HOUSE # R-875 1st FLOOR BLOCK-17 F. B.AREA NEAR MAMJEE HOSPITAL KARACHI PK </t>
  </si>
  <si>
    <t>DIB/T/19164/KHI/1117</t>
  </si>
  <si>
    <t>PK10B245581</t>
  </si>
  <si>
    <t>A1J301PK10045552</t>
  </si>
  <si>
    <t>BLD-209</t>
  </si>
  <si>
    <t>14-MAY-2020</t>
  </si>
  <si>
    <t>PODKHI300028040</t>
  </si>
  <si>
    <t>14033/11/2017</t>
  </si>
  <si>
    <t>30-NOV-2017</t>
  </si>
  <si>
    <t>997APD1173380001</t>
  </si>
  <si>
    <t>9976AP1201790220</t>
  </si>
  <si>
    <t>GULZAR AHMAD</t>
  </si>
  <si>
    <t>35201-1674532-5</t>
  </si>
  <si>
    <t>03224939401</t>
  </si>
  <si>
    <t>03224039401</t>
  </si>
  <si>
    <t xml:space="preserve">KAHNA KACHA NEAR JAMIYA MASJID NORA NI OPP MUKHTAR MILK SHOP LAHORE PK </t>
  </si>
  <si>
    <t>DIB/T/19091/LHR/1117</t>
  </si>
  <si>
    <t>969021</t>
  </si>
  <si>
    <t>1085453</t>
  </si>
  <si>
    <t>LE-18-6288</t>
  </si>
  <si>
    <t>BOLAN VX</t>
  </si>
  <si>
    <t>PODLHR300027768</t>
  </si>
  <si>
    <t>TDIDIB0021394</t>
  </si>
  <si>
    <t>9976AP1173330008</t>
  </si>
  <si>
    <t>997APD2201770029</t>
  </si>
  <si>
    <t>RAIS MAIN</t>
  </si>
  <si>
    <t>42101-2972421-7</t>
  </si>
  <si>
    <t>03472748389</t>
  </si>
  <si>
    <t xml:space="preserve">HOUSE NO L- 571 2ND FLOOR SECTOR 5C /1 NORTH KHI NEAR NOOR MASJID KARACHI PK </t>
  </si>
  <si>
    <t>51449/00089/11/2019</t>
  </si>
  <si>
    <t>PKB654705</t>
  </si>
  <si>
    <t>PK01193185</t>
  </si>
  <si>
    <t>BGM-592</t>
  </si>
  <si>
    <t>POUKHI300051061</t>
  </si>
  <si>
    <t>DIB0027995</t>
  </si>
  <si>
    <t>997APD2193320007</t>
  </si>
  <si>
    <t>997APD2201510010</t>
  </si>
  <si>
    <t>USMAN SAJJAD</t>
  </si>
  <si>
    <t>37405-8927424-3</t>
  </si>
  <si>
    <t>03355660031</t>
  </si>
  <si>
    <t>051111182265</t>
  </si>
  <si>
    <t xml:space="preserve">H # N/P 194 NAI ABADI KAK SEHALA HU MAK ROAD NEAR CADET COLLEGE SEHALA ISLAMABAD PK </t>
  </si>
  <si>
    <t>51449/00076/11/2019</t>
  </si>
  <si>
    <t>117627</t>
  </si>
  <si>
    <t>1017619</t>
  </si>
  <si>
    <t>APY-248</t>
  </si>
  <si>
    <t>30-MAY-2020</t>
  </si>
  <si>
    <t>PODISD300051021</t>
  </si>
  <si>
    <t>DIB0027989</t>
  </si>
  <si>
    <t>26-NOV-2019</t>
  </si>
  <si>
    <t>997APD2193320003</t>
  </si>
  <si>
    <t>997APD2201770030</t>
  </si>
  <si>
    <t>MOHAMMAD ANIS</t>
  </si>
  <si>
    <t>42201-8350835-3</t>
  </si>
  <si>
    <t>03142102909</t>
  </si>
  <si>
    <t xml:space="preserve">PLOT 336 BAIT UL AMINA SINHA STREET NAZRATH RD GARDEN EAST KHI NEAR SOLDIER BAZAR </t>
  </si>
  <si>
    <t>51449/00070/11/2019</t>
  </si>
  <si>
    <t>Z477587</t>
  </si>
  <si>
    <t>NZE170R-4103361</t>
  </si>
  <si>
    <t>BJB-242</t>
  </si>
  <si>
    <t>25-NOV-2019</t>
  </si>
  <si>
    <t>POUKHI300050919</t>
  </si>
  <si>
    <t>DOB0027985</t>
  </si>
  <si>
    <t>997APD2193290002</t>
  </si>
  <si>
    <t>997APD2201710009</t>
  </si>
  <si>
    <t>AMJAD YOUSAF DAR</t>
  </si>
  <si>
    <t>35202-6126412-7</t>
  </si>
  <si>
    <t>03365822944</t>
  </si>
  <si>
    <t xml:space="preserve">SHOP NO 2 MEHTAB MARKET PCHS SHANGA I ROAD KAMAHAN LAHORE </t>
  </si>
  <si>
    <t>51449/00060/11/2019</t>
  </si>
  <si>
    <t>K04603306W</t>
  </si>
  <si>
    <t>PKUM350RF19MT01207</t>
  </si>
  <si>
    <t>LEH-19-7117</t>
  </si>
  <si>
    <t>BRAVO</t>
  </si>
  <si>
    <t>POULHR300050843</t>
  </si>
  <si>
    <t>2040/11/2019/ITFM</t>
  </si>
  <si>
    <t>997APD2193250006</t>
  </si>
  <si>
    <t>9976AP1201640013</t>
  </si>
  <si>
    <t>HAMZA MANSHA</t>
  </si>
  <si>
    <t>42201-4768083-9</t>
  </si>
  <si>
    <t>03225290000</t>
  </si>
  <si>
    <t xml:space="preserve">CANAL ROAD TAJ BAGH NEAR BALKI SHAD I HALL HARBANCEPURA LAHORE </t>
  </si>
  <si>
    <t>DIB/T/18571/LHR/1117</t>
  </si>
  <si>
    <t>111975</t>
  </si>
  <si>
    <t>1001195</t>
  </si>
  <si>
    <t>LEA-18-6391</t>
  </si>
  <si>
    <t>08-NOV-2017</t>
  </si>
  <si>
    <t>PODLHR300027219</t>
  </si>
  <si>
    <t>13808/11/2017/FTSM</t>
  </si>
  <si>
    <t>9976AP1173120006</t>
  </si>
  <si>
    <t>9976AD2212440002</t>
  </si>
  <si>
    <t>BABAR KHAN</t>
  </si>
  <si>
    <t>17301-8053947-1</t>
  </si>
  <si>
    <t>03125533229</t>
  </si>
  <si>
    <t xml:space="preserve">PESHAWAR SPECIAL BRICKS COMPANY VILLAGE MOONAN SOKA.TEHSIL AND DISTRICT HARIPUR.MOB NUM:0312-5533229. </t>
  </si>
  <si>
    <t>UWT/D/T002/0000001182/1221/109-0</t>
  </si>
  <si>
    <t>Q354756</t>
  </si>
  <si>
    <t>R-7053939</t>
  </si>
  <si>
    <t>OLAHRP300072905</t>
  </si>
  <si>
    <t>DIB0032598</t>
  </si>
  <si>
    <t>9976AP1213340037</t>
  </si>
  <si>
    <t>MANSOOR AHMED MANGI</t>
  </si>
  <si>
    <t>42000-0560814-7</t>
  </si>
  <si>
    <t>03218999942</t>
  </si>
  <si>
    <t xml:space="preserve">FLAT # D-103 CHAPAL OCEN CENTRE CLI FOTN BLOCK 4 NEAR CHASE UP KARACHI PK </t>
  </si>
  <si>
    <t>56607/00173/11/2021</t>
  </si>
  <si>
    <t>2544649</t>
  </si>
  <si>
    <t>108085</t>
  </si>
  <si>
    <t>HONDA CIVIC VTI P/T</t>
  </si>
  <si>
    <t>OLUKHI300080782</t>
  </si>
  <si>
    <t>5754/11/2021</t>
  </si>
  <si>
    <t>997APD1193340018</t>
  </si>
  <si>
    <t>MAQSOOD HUSSAIN</t>
  </si>
  <si>
    <t>35202-2635336-9</t>
  </si>
  <si>
    <t>300-4786065</t>
  </si>
  <si>
    <t>0322-5100033 0300-4786065</t>
  </si>
  <si>
    <t>322-5100033</t>
  </si>
  <si>
    <t xml:space="preserve">H NO 154 J1 PHASE WAPDA TOWN LAHORE </t>
  </si>
  <si>
    <t>51449/00116/11/2019</t>
  </si>
  <si>
    <t>2954172</t>
  </si>
  <si>
    <t>057634</t>
  </si>
  <si>
    <t>APU-977</t>
  </si>
  <si>
    <t>CIVIC VTI ORIEL P/T WITH NAV &amp; LEATHER SEATS</t>
  </si>
  <si>
    <t>PODLHR300051216</t>
  </si>
  <si>
    <t>2088/11/2019/ITFM</t>
  </si>
  <si>
    <t>997APD1173340032</t>
  </si>
  <si>
    <t>MUHAMMAD ATIF KHAN</t>
  </si>
  <si>
    <t>42101-8134249-9</t>
  </si>
  <si>
    <t>03153052671</t>
  </si>
  <si>
    <t xml:space="preserve">KHAN ELECTRONICS LIAQAT MARKET NAWABSHAH </t>
  </si>
  <si>
    <t>01-1711-PO-MTR-PCCM-D-003176</t>
  </si>
  <si>
    <t>Z472173</t>
  </si>
  <si>
    <t>4098536</t>
  </si>
  <si>
    <t>BHC-082</t>
  </si>
  <si>
    <t>COROLLA GLI</t>
  </si>
  <si>
    <t>POUNWB300027825</t>
  </si>
  <si>
    <t>DIB0023196</t>
  </si>
  <si>
    <t>997APD2193340016</t>
  </si>
  <si>
    <t>AAMAR ZAFAR</t>
  </si>
  <si>
    <t>37405-7493149-9</t>
  </si>
  <si>
    <t>03009791412</t>
  </si>
  <si>
    <t xml:space="preserve">RAHIM TOWN SHAKRIAL H NO 57 STREET 4 RAWALPINDI </t>
  </si>
  <si>
    <t>51449/00120/11/2019</t>
  </si>
  <si>
    <t>Z571211</t>
  </si>
  <si>
    <t>4196638</t>
  </si>
  <si>
    <t>APZ-053</t>
  </si>
  <si>
    <t>PODISD300051253</t>
  </si>
  <si>
    <t>2091/11/2019/ITFM</t>
  </si>
  <si>
    <t>9976AP1173340042</t>
  </si>
  <si>
    <t>IMRAN AHMED</t>
  </si>
  <si>
    <t>35201-0590143-1</t>
  </si>
  <si>
    <t>03215040022</t>
  </si>
  <si>
    <t>25400455</t>
  </si>
  <si>
    <t xml:space="preserve">H# 41 / 4 GREEN PARK HOUSING SOCIET Y BHATTA CHOWK LAHORE PK </t>
  </si>
  <si>
    <t>DIB/T/19132/LHR/1117</t>
  </si>
  <si>
    <t>146852</t>
  </si>
  <si>
    <t>10046834</t>
  </si>
  <si>
    <t>LE-18-2312</t>
  </si>
  <si>
    <t>PODLHR300027979</t>
  </si>
  <si>
    <t>14017/11/2017</t>
  </si>
  <si>
    <t>9976AP2213340014</t>
  </si>
  <si>
    <t>MUHAMMAD NAKAASH</t>
  </si>
  <si>
    <t>33102-5472868-1</t>
  </si>
  <si>
    <t>03217698803</t>
  </si>
  <si>
    <t xml:space="preserve">NAKAASH WASEEM ARTS P-122, USMANIA BLOCK, MAKKI MARKET, RAIL BAZAR, FSD. 03217698803 </t>
  </si>
  <si>
    <t>56607/00144/11/2021q</t>
  </si>
  <si>
    <t>194984</t>
  </si>
  <si>
    <t>1094957</t>
  </si>
  <si>
    <t>OLDFSD300080688</t>
  </si>
  <si>
    <t>5737/11/2021</t>
  </si>
  <si>
    <t>9976AP2223340017</t>
  </si>
  <si>
    <t>RIMSHA ZARIF</t>
  </si>
  <si>
    <t>37403-2869330-4</t>
  </si>
  <si>
    <t>03105088721</t>
  </si>
  <si>
    <t xml:space="preserve">ECO NEX, OFFICE 14 B-2 1ST FLOOR TAJ MAHAL PLAZA 6TH ROAD RWP. 03105088721 </t>
  </si>
  <si>
    <t>64794/00088/11/2022</t>
  </si>
  <si>
    <t>5604155</t>
  </si>
  <si>
    <t>MT01398</t>
  </si>
  <si>
    <t>LEA-20-9477</t>
  </si>
  <si>
    <t>UNITED BRAVO</t>
  </si>
  <si>
    <t>OLUISD300091018</t>
  </si>
  <si>
    <t>108870/11/2022</t>
  </si>
  <si>
    <t>997AAD2193170001</t>
  </si>
  <si>
    <t>MAJID HUSSAIN</t>
  </si>
  <si>
    <t>42301-5854790-9</t>
  </si>
  <si>
    <t>03321616595 03042047468</t>
  </si>
  <si>
    <t>03042047468</t>
  </si>
  <si>
    <t xml:space="preserve">MAJID HUSSAIN AND BROTHERS PLOT NO 4-C OFFICE NO 302 3RD FLOOR KH E RIZWAN PHASE 7 DHA KARACHI </t>
  </si>
  <si>
    <t>51449/00088/11/2019</t>
  </si>
  <si>
    <t>Q063244</t>
  </si>
  <si>
    <t>ZRE171R-6040736</t>
  </si>
  <si>
    <t>BRD-105</t>
  </si>
  <si>
    <t>POAKHI300050560</t>
  </si>
  <si>
    <t>2057/11/2019/ITFM</t>
  </si>
  <si>
    <t>997APD1193330001</t>
  </si>
  <si>
    <t>JEHANZEB HAIDER</t>
  </si>
  <si>
    <t>61101-5933596-1</t>
  </si>
  <si>
    <t>03018567653</t>
  </si>
  <si>
    <t>0512728828</t>
  </si>
  <si>
    <t xml:space="preserve">H # 620 ST # 31 BLOCK-D PWD HOUSING SOCIETY ISLAMABAD PK </t>
  </si>
  <si>
    <t>51449/00092/11/2019</t>
  </si>
  <si>
    <t>1542874</t>
  </si>
  <si>
    <t>R102835</t>
  </si>
  <si>
    <t>WX-416</t>
  </si>
  <si>
    <t>2012</t>
  </si>
  <si>
    <t>POUISD300051081</t>
  </si>
  <si>
    <t>2068/11/2019/ITFM</t>
  </si>
  <si>
    <t>9976AD2212660009</t>
  </si>
  <si>
    <t>MUHAMMAD ASLAM KHAN</t>
  </si>
  <si>
    <t>42000-0469654-9</t>
  </si>
  <si>
    <t>03340292816</t>
  </si>
  <si>
    <t>03340292816, 03340292816</t>
  </si>
  <si>
    <t xml:space="preserve">HOUSE # R-449 BLOCK 18 F.B. AREA NE AR NOOR HOSPITAL KARACHI PK </t>
  </si>
  <si>
    <t>DIB/T/34515/KHI/1121</t>
  </si>
  <si>
    <t>2A40573</t>
  </si>
  <si>
    <t>NSP150R-7025467</t>
  </si>
  <si>
    <t>23-SEP-2021</t>
  </si>
  <si>
    <t>OLAKHI300073933</t>
  </si>
  <si>
    <t>TDIDIB0029839</t>
  </si>
  <si>
    <t>9976AD1211520083</t>
  </si>
  <si>
    <t>ATTA ULLAH CH</t>
  </si>
  <si>
    <t>33100-0689375-7</t>
  </si>
  <si>
    <t>03034047771</t>
  </si>
  <si>
    <t>03034047771, 03034047771</t>
  </si>
  <si>
    <t>0419210033</t>
  </si>
  <si>
    <t xml:space="preserve">H NO 03 B-BLOCK GULSHAN E MADINA PA HSE 2 FAISALABAD PK </t>
  </si>
  <si>
    <t>01-2111-PO-MTR-PCCM-D-001577</t>
  </si>
  <si>
    <t>CAD52207</t>
  </si>
  <si>
    <t>M1004573</t>
  </si>
  <si>
    <t>OLAFSD300069230</t>
  </si>
  <si>
    <t>108664/11/2021</t>
  </si>
  <si>
    <t>9976AD1212450044</t>
  </si>
  <si>
    <t>MUHAMMAD BURHAN UDDIN</t>
  </si>
  <si>
    <t>42401-7443427-9</t>
  </si>
  <si>
    <t>03442564225</t>
  </si>
  <si>
    <t>0344-2564225</t>
  </si>
  <si>
    <t xml:space="preserve">B-25 SECTOR 11-C1 NORTH KHI NEAR BI MMA PARK KARACHI PK </t>
  </si>
  <si>
    <t>2524/02742/00090/11/2021</t>
  </si>
  <si>
    <t>R18Z169228403</t>
  </si>
  <si>
    <t>NFBFC66XRMR080984</t>
  </si>
  <si>
    <t>OLAKHI300073048</t>
  </si>
  <si>
    <t>TDIDIB0029832</t>
  </si>
  <si>
    <t>997AAD1183030001</t>
  </si>
  <si>
    <t>SHAHID RAMZAN SINDHU</t>
  </si>
  <si>
    <t>33100-8662416-7</t>
  </si>
  <si>
    <t>03218669501</t>
  </si>
  <si>
    <t>03218669501, 03218669501</t>
  </si>
  <si>
    <t>2421860</t>
  </si>
  <si>
    <t xml:space="preserve">P-19 VIP BLOCK SAITARA VALLEY PHASE 2 SHEIKHUPURA ROAD FSD FAISALABAD PK </t>
  </si>
  <si>
    <t>50025/00076/11/2018</t>
  </si>
  <si>
    <t>7522542</t>
  </si>
  <si>
    <t>JR239352</t>
  </si>
  <si>
    <t>ALS-346</t>
  </si>
  <si>
    <t>30-OCT-2018</t>
  </si>
  <si>
    <t>POAFSD300039768</t>
  </si>
  <si>
    <t>DIB0026282</t>
  </si>
  <si>
    <t>23-NOV-2018</t>
  </si>
  <si>
    <t>9976AD1212390017</t>
  </si>
  <si>
    <t>NABEEL AHMED</t>
  </si>
  <si>
    <t>36301-4270693-9</t>
  </si>
  <si>
    <t>03006387285</t>
  </si>
  <si>
    <t>03007378178</t>
  </si>
  <si>
    <t>0518434400</t>
  </si>
  <si>
    <t xml:space="preserve">HOUSE NO 9 STREET NO 2 HILLSIDE BANNIGALA ISLAMABAD </t>
  </si>
  <si>
    <t>01-2111-PO-MTR-PCCM-D-001564</t>
  </si>
  <si>
    <t>6928570</t>
  </si>
  <si>
    <t>MR081149</t>
  </si>
  <si>
    <t>OLAISD300072502</t>
  </si>
  <si>
    <t>DIB0032522</t>
  </si>
  <si>
    <t>997APD2193260004</t>
  </si>
  <si>
    <t>MUNAWER NAWAB</t>
  </si>
  <si>
    <t>42101-2588095-7</t>
  </si>
  <si>
    <t>03313551229</t>
  </si>
  <si>
    <t xml:space="preserve">H.NO L-684, SECTOR 11-E, U.P SOCIETY NORTH KARACHI </t>
  </si>
  <si>
    <t>51449/00067/11/2019</t>
  </si>
  <si>
    <t>PKF596717</t>
  </si>
  <si>
    <t>PK503990</t>
  </si>
  <si>
    <t>BCA-970</t>
  </si>
  <si>
    <t>22-NOV-2019</t>
  </si>
  <si>
    <t>POUKHI300050892</t>
  </si>
  <si>
    <t>DIB0027980</t>
  </si>
  <si>
    <t>997APD1193290004</t>
  </si>
  <si>
    <t>HASNAIN ALI</t>
  </si>
  <si>
    <t>35404-1990631-1</t>
  </si>
  <si>
    <t>03214103544</t>
  </si>
  <si>
    <t>03214103544, 03204375137</t>
  </si>
  <si>
    <t xml:space="preserve">HOUSE NO 624-D CANAL VIEW HOUSING S OCIETY LAHORE </t>
  </si>
  <si>
    <t>51449/00056/11/2019</t>
  </si>
  <si>
    <t>122927</t>
  </si>
  <si>
    <t>1022942</t>
  </si>
  <si>
    <t>LEA-20-1329</t>
  </si>
  <si>
    <t>PODLHR300050811</t>
  </si>
  <si>
    <t>2037/11/2019/ITFM</t>
  </si>
  <si>
    <t>9976AP2183260001</t>
  </si>
  <si>
    <t>MOEEN KHUSHI</t>
  </si>
  <si>
    <t>35202-5989885-1</t>
  </si>
  <si>
    <t>03214610026</t>
  </si>
  <si>
    <t xml:space="preserve">OFF# 10 MADINA CENTER KACHA HALL RO AD LIAQAT PARK NEAR WAQAS BIRYANI LAHORE </t>
  </si>
  <si>
    <t>2524/01107/00049/11/2018</t>
  </si>
  <si>
    <t>K6A-9146571</t>
  </si>
  <si>
    <t>DA64V-575828</t>
  </si>
  <si>
    <t>LEC-18A-8209</t>
  </si>
  <si>
    <t>EVERY</t>
  </si>
  <si>
    <t>22-NOV-2018</t>
  </si>
  <si>
    <t>POULHR300040411</t>
  </si>
  <si>
    <t>DIB0026292</t>
  </si>
  <si>
    <t>20-NOV-2018</t>
  </si>
  <si>
    <t>9976AD2211800003</t>
  </si>
  <si>
    <t>ABID JAVED</t>
  </si>
  <si>
    <t>13302-1771842-7</t>
  </si>
  <si>
    <t>03340588711</t>
  </si>
  <si>
    <t xml:space="preserve">S/O ABDUL QAYUM.ABID PLAZA CIRCULAR ROAD NEW FAWARA MASJID.HARIPUR CITY TEHSIL AND DISTRICT HARIPUR.MOB:0334-0588711 </t>
  </si>
  <si>
    <t>UWT/D/T002/0000001134/1121/109-0</t>
  </si>
  <si>
    <t>6928220</t>
  </si>
  <si>
    <t>MR080799</t>
  </si>
  <si>
    <t>OLAHRP3300069706</t>
  </si>
  <si>
    <t>DIB0032512</t>
  </si>
  <si>
    <t>997AAD1202820009</t>
  </si>
  <si>
    <t>NASARULLAH KHAN</t>
  </si>
  <si>
    <t>35202-8756597-1</t>
  </si>
  <si>
    <t>35421541</t>
  </si>
  <si>
    <t>03354488188 03214488188</t>
  </si>
  <si>
    <t>04235422541</t>
  </si>
  <si>
    <t xml:space="preserve">BIO MARK PHARMACEUTICALS PLOT NO 527 SUNDER INDUSTRIAL RAIWIND ROAD LAHORE </t>
  </si>
  <si>
    <t>DIB/T/BT/29505/LHR/1120</t>
  </si>
  <si>
    <t>6914804</t>
  </si>
  <si>
    <t>066726</t>
  </si>
  <si>
    <t>08-OCT-2020</t>
  </si>
  <si>
    <t>POALHR300058341</t>
  </si>
  <si>
    <t>TDIDIB0028778</t>
  </si>
  <si>
    <t>9976AD1212120089</t>
  </si>
  <si>
    <t>MUHAMMAD JAMEEL EJAZ</t>
  </si>
  <si>
    <t>35202-2039846-3</t>
  </si>
  <si>
    <t>03009408412</t>
  </si>
  <si>
    <t xml:space="preserve">SHOP NO 3 SADIQ CENTER 16 HALL ROAD LAHORE </t>
  </si>
  <si>
    <t>56607/00047/11/2021</t>
  </si>
  <si>
    <t>518317</t>
  </si>
  <si>
    <t>1004529</t>
  </si>
  <si>
    <t>OLALHR300071440</t>
  </si>
  <si>
    <t>5658/11/2021</t>
  </si>
  <si>
    <t>9976AD2172680001</t>
  </si>
  <si>
    <t>35202-7056890-9</t>
  </si>
  <si>
    <t>03249400743</t>
  </si>
  <si>
    <t>35421206</t>
  </si>
  <si>
    <t xml:space="preserve">H # 380 A 3 MOH JOHAR TOWN LAHORE PK </t>
  </si>
  <si>
    <t>DIB/T/18798/LHR/1117</t>
  </si>
  <si>
    <t>17503392</t>
  </si>
  <si>
    <t>HR214109</t>
  </si>
  <si>
    <t>LEB-17A-6856</t>
  </si>
  <si>
    <t>25-SEP-2017</t>
  </si>
  <si>
    <t>POALHR300025779</t>
  </si>
  <si>
    <t>TDIDIB0021339</t>
  </si>
  <si>
    <t>27-NOV-2017</t>
  </si>
  <si>
    <t>9976AP1183320001</t>
  </si>
  <si>
    <t>GHULAM HAIDER</t>
  </si>
  <si>
    <t>38403-4423310-1</t>
  </si>
  <si>
    <t>03350664332</t>
  </si>
  <si>
    <t xml:space="preserve">HOUSE NO 74 GULSHAN HAYAT COLONY NO 2 FACTORY AREA SARGODHA PK </t>
  </si>
  <si>
    <t>50025/00083/11/2018</t>
  </si>
  <si>
    <t>132374</t>
  </si>
  <si>
    <t>10032358</t>
  </si>
  <si>
    <t>ALT-483</t>
  </si>
  <si>
    <t>27-NOV-2018</t>
  </si>
  <si>
    <t>27-Nov-2023</t>
  </si>
  <si>
    <t>PODSGD300040344</t>
  </si>
  <si>
    <t>16811/11/2018</t>
  </si>
  <si>
    <t>16-NOV-2018</t>
  </si>
  <si>
    <t>9976AD2211510018</t>
  </si>
  <si>
    <t>MALIK GHAZANFAR HUSSAIN</t>
  </si>
  <si>
    <t>61101-6940854-1</t>
  </si>
  <si>
    <t>0514491810</t>
  </si>
  <si>
    <t>03219555253</t>
  </si>
  <si>
    <t>5533375</t>
  </si>
  <si>
    <t xml:space="preserve">H NO 1 STREET NO 1 JAWA JASGIAN HUMAK ISLAMABAD </t>
  </si>
  <si>
    <t>2021/11/CLFTTPCDP01245</t>
  </si>
  <si>
    <t>Q351468</t>
  </si>
  <si>
    <t>7053350</t>
  </si>
  <si>
    <t>COROLLA GRANDE X</t>
  </si>
  <si>
    <t>OLAISD300069072</t>
  </si>
  <si>
    <t>108625/11/2021</t>
  </si>
  <si>
    <t>997AAD1202120046</t>
  </si>
  <si>
    <t>SHAHID HAMEED</t>
  </si>
  <si>
    <t>33100-0527908-5</t>
  </si>
  <si>
    <t>03006606309</t>
  </si>
  <si>
    <t>03006606309, 03006606309</t>
  </si>
  <si>
    <t xml:space="preserve">429-C OFFICERS COLONY NO 02 MADINA TOWN FSD NEAR HAQ BAHO PARK FAISALABAD PK </t>
  </si>
  <si>
    <t>2524/02208/00018/11/2020</t>
  </si>
  <si>
    <t>Q068648</t>
  </si>
  <si>
    <t>6046139</t>
  </si>
  <si>
    <t>POAFSD300056180</t>
  </si>
  <si>
    <t>TDIDIB0028754</t>
  </si>
  <si>
    <t>9976AD1192030003</t>
  </si>
  <si>
    <t>YOUSUF TARIQ</t>
  </si>
  <si>
    <t>42301-0987403-5</t>
  </si>
  <si>
    <t>35846159</t>
  </si>
  <si>
    <t>03002024275</t>
  </si>
  <si>
    <t xml:space="preserve">H NO 52/B/2 MAIN KHAYABAN-E-SHAHBAZ PHASE 7 DHA KARACHI </t>
  </si>
  <si>
    <t>DIB/T/BT/25867/KHI/1119</t>
  </si>
  <si>
    <t>119059</t>
  </si>
  <si>
    <t>1019076</t>
  </si>
  <si>
    <t>BRB-128</t>
  </si>
  <si>
    <t>22-JUL-2019</t>
  </si>
  <si>
    <t>POAKHI300047661</t>
  </si>
  <si>
    <t>TDIDIB0027370</t>
  </si>
  <si>
    <t>9976AD1212730085</t>
  </si>
  <si>
    <t>SAMI ULLAH HASHMI</t>
  </si>
  <si>
    <t>31202-2311960-9</t>
  </si>
  <si>
    <t>03051173091</t>
  </si>
  <si>
    <t xml:space="preserve">HOUSE NO 414 MOH GHOUSIA JHAN CHOWK NEAR TIBA BADAR SHER BAHAWALPUR BAHAWALPUR PK </t>
  </si>
  <si>
    <t>UWT/D/T002/000001128/1121/109-0</t>
  </si>
  <si>
    <t>2A40359</t>
  </si>
  <si>
    <t>7025250</t>
  </si>
  <si>
    <t>OLABHP300074338</t>
  </si>
  <si>
    <t>DIB0032427</t>
  </si>
  <si>
    <t>997APD2193110001</t>
  </si>
  <si>
    <t>SYED HAIDER ALI</t>
  </si>
  <si>
    <t>35202-6741932-5</t>
  </si>
  <si>
    <t>03214043049</t>
  </si>
  <si>
    <t xml:space="preserve">HOUSE NO 28-EDEN FARM HOUSING SCHEM E NEAR SAFARI PARK RAIWIND ROAD LAHORE PK </t>
  </si>
  <si>
    <t>DIB/T/25855/LHR/1119</t>
  </si>
  <si>
    <t>L157352</t>
  </si>
  <si>
    <t>LA150S0026434</t>
  </si>
  <si>
    <t>LE-19-397</t>
  </si>
  <si>
    <t>DAIHATSU MOVE</t>
  </si>
  <si>
    <t>POULHR300050565</t>
  </si>
  <si>
    <t>1976/11/2019/IFTM</t>
  </si>
  <si>
    <t>06-NOV-2019</t>
  </si>
  <si>
    <t>997APD2193120001</t>
  </si>
  <si>
    <t>ZUBAIR LATIF</t>
  </si>
  <si>
    <t>42201-3065326-5</t>
  </si>
  <si>
    <t>34631165</t>
  </si>
  <si>
    <t>0301-8268724</t>
  </si>
  <si>
    <t>35824331</t>
  </si>
  <si>
    <t xml:space="preserve">HOUSE # C-19 STREET NO FL8 HOOR PALACE GULSHAN-E-IQBAL BLOCK-11 NEAR SIFARI PARK KARACHI </t>
  </si>
  <si>
    <t>51449/00002/11/2019</t>
  </si>
  <si>
    <t>750319</t>
  </si>
  <si>
    <t>01288853</t>
  </si>
  <si>
    <t>BRB-926</t>
  </si>
  <si>
    <t>08-NOV-2019</t>
  </si>
  <si>
    <t>PODKHI300050542</t>
  </si>
  <si>
    <t>TDIDIB0027386</t>
  </si>
  <si>
    <t>9976AD1211200067</t>
  </si>
  <si>
    <t>FAHAD QAISAR</t>
  </si>
  <si>
    <t>33100-8560210-7</t>
  </si>
  <si>
    <t>0412633315</t>
  </si>
  <si>
    <t>03222220385, 03028661188</t>
  </si>
  <si>
    <t>0412623385</t>
  </si>
  <si>
    <t xml:space="preserve">P-17 C BLOCK MODEL TOWN NEAR SAEED AUTOS FAISALABAD PK </t>
  </si>
  <si>
    <t>DIB/T/34287/LHR/1121</t>
  </si>
  <si>
    <t>77766</t>
  </si>
  <si>
    <t>1097038</t>
  </si>
  <si>
    <t>OLAFSD300068569</t>
  </si>
  <si>
    <t>DIB0032396</t>
  </si>
  <si>
    <t>9976AD1212120103</t>
  </si>
  <si>
    <t>SHER ALI</t>
  </si>
  <si>
    <t>54400-8908724-1</t>
  </si>
  <si>
    <t>02135306976</t>
  </si>
  <si>
    <t>03139389944</t>
  </si>
  <si>
    <t xml:space="preserve">FLAT NO. 1108, ASHIYANA APARTMENTS, CLIFTON NEAR, FORUM MALL. </t>
  </si>
  <si>
    <t>DIB/T/34288/KHI/1121</t>
  </si>
  <si>
    <t>317235</t>
  </si>
  <si>
    <t>513667</t>
  </si>
  <si>
    <t>OLAQUT300071412</t>
  </si>
  <si>
    <t>9976AD1212120113</t>
  </si>
  <si>
    <t>MUHAMMAD WASIM</t>
  </si>
  <si>
    <t>61101-8853189-5</t>
  </si>
  <si>
    <t>03455203457</t>
  </si>
  <si>
    <t>9252860</t>
  </si>
  <si>
    <t xml:space="preserve">H # 5/2-E ST # 10 G-7 / 2 ISLAMABAD PK </t>
  </si>
  <si>
    <t>01-2111-PO-MTR-PCCM-D-001501</t>
  </si>
  <si>
    <t>190629</t>
  </si>
  <si>
    <t>1090543</t>
  </si>
  <si>
    <t>OLAISD300071374</t>
  </si>
  <si>
    <t>5574/11/2021</t>
  </si>
  <si>
    <t>Policy #</t>
  </si>
  <si>
    <t>Tms prem</t>
  </si>
  <si>
    <t>Difference</t>
  </si>
  <si>
    <t>Tagging</t>
  </si>
  <si>
    <t>KHI/HO/D/MO/PC COMP/C/102086/2/11/2024</t>
  </si>
  <si>
    <t>KHI/HO/D/MO/PC COMP/C/102086/3/11/2024</t>
  </si>
  <si>
    <t>KHI/HO/D/MO/PC COMP/C/102086/5/11/2024</t>
  </si>
  <si>
    <t>KHI/HO/D/MO/PC COMP/C/102086/6/11/2024</t>
  </si>
  <si>
    <t>KHI/HO/D/MO/PC COMP/C/102086/7/11/2024</t>
  </si>
  <si>
    <t>KHI/HO/D/MO/PC COMP/C/102086/8/11/2024</t>
  </si>
  <si>
    <t>KHI/HO/D/MO/PC COMP/C/102086/10/11/2024</t>
  </si>
  <si>
    <t>KHI/HO/D/MO/PC COMP/C/102086/11/11/2024</t>
  </si>
  <si>
    <t>KHI/HO/D/MO/PC COMP/C/102086/12/11/2024</t>
  </si>
  <si>
    <t>KHI/HO/D/MO/PC COMP/C/102086/13/11/2024</t>
  </si>
  <si>
    <t>KHI/HO/D/MO/PC COMP/C/102086/14/11/2024</t>
  </si>
  <si>
    <t>KHI/HO/D/MO/PC COMP/C/102086/15/11/2024</t>
  </si>
  <si>
    <t>KHI/HO/D/MO/PC COMP/C/102086/16/11/2024</t>
  </si>
  <si>
    <t>KHI/HO/D/MO/PC COMP/C/102086/17/11/2024</t>
  </si>
  <si>
    <t>KHI/HO/D/MO/PC COMP/C/102086/20/11/2024</t>
  </si>
  <si>
    <t>KHI/HO/D/MO/PC COMP/C/102086/21/11/2024</t>
  </si>
  <si>
    <t>KHI/HO/D/MO/PC COMP/C/102086/22/11/2024</t>
  </si>
  <si>
    <t>KHI/HO/D/MO/PC COMP/C/102086/23/11/2024</t>
  </si>
  <si>
    <t>KHI/HO/D/MO/PC COMP/C/102086/24/11/2024</t>
  </si>
  <si>
    <t>KHI/HO/D/MO/PC COMP/C/102086/26/11/2024</t>
  </si>
  <si>
    <t>KHI/HO/D/MO/PC COMP/C/102086/28/11/2024</t>
  </si>
  <si>
    <t>KHI/HO/D/MO/PC COMP/C/102086/31/11/2024</t>
  </si>
  <si>
    <t>KHI/HO/D/MO/PC COMP/C/102086/36/11/2024</t>
  </si>
  <si>
    <t>KHI/HO/D/MO/PC COMP/C/102086/37/11/2024</t>
  </si>
  <si>
    <t>KHI/HO/D/MO/PC COMP/C/102086/38/11/2024</t>
  </si>
  <si>
    <t>KHI/HO/D/MO/PC COMP/C/102086/39/11/2024</t>
  </si>
  <si>
    <t>KHI/HO/D/MO/PC COMP/C/102086/40/11/2024</t>
  </si>
  <si>
    <t>KHI/HO/D/MO/PC COMP/C/102086/42/11/2024</t>
  </si>
  <si>
    <t>KHI/HO/D/MO/PC COMP/C/102086/44/11/2024</t>
  </si>
  <si>
    <t>KHI/HO/D/MO/PC COMP/C/102086/45/11/2024</t>
  </si>
  <si>
    <t>KHI/HO/D/MO/PC COMP/C/102086/47/11/2024</t>
  </si>
  <si>
    <t>KHI/HO/D/MO/PC COMP/C/102086/48/11/2024</t>
  </si>
  <si>
    <t>KHI/HO/D/MO/PC COMP/C/102086/49/11/2024</t>
  </si>
  <si>
    <t>KHI/HO/D/MO/PC COMP/C/102086/50/11/2024</t>
  </si>
  <si>
    <t>KHI/HO/D/MO/PC COMP/C/102086/51/11/2024</t>
  </si>
  <si>
    <t>KHI/HO/D/MO/PC COMP/C/102086/52/11/2024</t>
  </si>
  <si>
    <t>KHI/HO/D/MO/PC COMP/C/102086/53/11/2024</t>
  </si>
  <si>
    <t>KHI/HO/D/MO/PC COMP/C/102086/54/11/2024</t>
  </si>
  <si>
    <t>KHI/HO/D/MO/PC COMP/C/102086/55/11/2024</t>
  </si>
  <si>
    <t>KHI/HO/D/MO/PC COMP/P/103649/12/2024</t>
  </si>
  <si>
    <t>KHI/HO/D/MO/PC COMP/C/102086/407/11/2024</t>
  </si>
  <si>
    <t>KHI/HO/D/MO/PC COMP/C/102086/60/11/2024</t>
  </si>
  <si>
    <t>KHI/HO/D/MO/PC COMP/C/102086/61/11/2024</t>
  </si>
  <si>
    <t>KHI/HO/D/MO/PC COMP/C/102086/62/11/2024</t>
  </si>
  <si>
    <t>KHI/HO/D/MO/PC COMP/C/102086/63/11/2024</t>
  </si>
  <si>
    <t>KHI/HO/D/MO/PC COMP/C/102086/67/11/2024</t>
  </si>
  <si>
    <t>KHI/HO/D/MO/PC COMP/C/102086/68/11/2024</t>
  </si>
  <si>
    <t>KHI/HO/D/MO/PC COMP/C/102086/69/11/2024</t>
  </si>
  <si>
    <t>KHI/HO/D/MO/PC COMP/C/102086/74/11/2024</t>
  </si>
  <si>
    <t>KHI/HO/D/MO/PC COMP/C/102086/75/11/2024</t>
  </si>
  <si>
    <t>KHI/HO/D/MO/PC COMP/C/102086/76/11/2024</t>
  </si>
  <si>
    <t>KHI/HO/D/MO/PC COMP/C/102086/77/11/2024</t>
  </si>
  <si>
    <t>KHI/HO/D/MO/PC COMP/C/102086/78/11/2024</t>
  </si>
  <si>
    <t>KHI/HO/D/MO/PC COMP/C/102086/80/11/2024</t>
  </si>
  <si>
    <t>KHI/HO/D/MO/PC COMP/C/102086/83/11/2024</t>
  </si>
  <si>
    <t>KHI/HO/D/MO/PC COMP/C/102086/85/11/2024</t>
  </si>
  <si>
    <t>KHI/HO/D/MO/PC COMP/C/102086/86/11/2024</t>
  </si>
  <si>
    <t>KHI/HO/D/MO/PC COMP/C/102086/87/11/2024</t>
  </si>
  <si>
    <t>KHI/HO/D/MO/PC COMP/C/102086/88/11/2024</t>
  </si>
  <si>
    <t>KHI/HO/D/MO/PC COMP/C/102086/89/11/2024</t>
  </si>
  <si>
    <t>KHI/HO/D/MO/PC COMP/C/102086/94/11/2024</t>
  </si>
  <si>
    <t>KHI/HO/D/MO/PC COMP/C/102086/96/11/2024</t>
  </si>
  <si>
    <t>KHI/HO/D/MO/PC COMP/C/102086/97/11/2024</t>
  </si>
  <si>
    <t>KHI/HO/D/MO/PC COMP/C/102086/98/11/2024</t>
  </si>
  <si>
    <t>KHI/HO/D/MO/PC COMP/C/102086/99/11/2024</t>
  </si>
  <si>
    <t>KHI/HO/D/MO/PC COMP/C/102086/100/11/2024</t>
  </si>
  <si>
    <t>KHI/HO/D/MO/PC COMP/C/102086/103/11/2024</t>
  </si>
  <si>
    <t>KHI/HO/D/MO/PC COMP/C/102086/108/11/2024</t>
  </si>
  <si>
    <t>KHI/HO/D/MO/PC COMP/C/102086/109/11/2024</t>
  </si>
  <si>
    <t>KHI/HO/D/MO/PC COMP/C/102086/113/11/2024</t>
  </si>
  <si>
    <t>KHI/HO/D/MO/PC COMP/C/102086/114/11/2024</t>
  </si>
  <si>
    <t>KHI/HO/D/MO/PC COMP/C/102086/115/11/2024</t>
  </si>
  <si>
    <t>KHI/HO/D/MO/PC COMP/C/102086/117/11/2024</t>
  </si>
  <si>
    <t>KHI/HO/D/MO/PC COMP/C/102086/122/11/2024</t>
  </si>
  <si>
    <t>KHI/HO/D/MO/PC COMP/C/102086/126/11/2024</t>
  </si>
  <si>
    <t>KHI/HO/D/MO/PC COMP/C/102086/127/11/2024</t>
  </si>
  <si>
    <t>KHI/HO/D/MO/PC COMP/C/102086/130/11/2024</t>
  </si>
  <si>
    <t>KHI/HO/D/MO/PC COMP/C/102086/131/11/2024</t>
  </si>
  <si>
    <t>KHI/HO/D/MO/PC COMP/C/102086/138/11/2024</t>
  </si>
  <si>
    <t>KHI/HO/D/MO/PC COMP/C/102086/144/11/2024</t>
  </si>
  <si>
    <t>KHI/HO/D/MO/PC COMP/C/102086/145/11/2024</t>
  </si>
  <si>
    <t>KHI/HO/D/MO/PC COMP/C/102086/150/11/2024</t>
  </si>
  <si>
    <t>KHI/HO/D/MO/PC COMP/C/102086/151/11/2024</t>
  </si>
  <si>
    <t>KHI/HO/D/MO/PC COMP/C/102086/152/11/2024</t>
  </si>
  <si>
    <t>KHI/HO/D/MO/PC COMP/C/102086/153/11/2024</t>
  </si>
  <si>
    <t>KHI/HO/D/MO/PC COMP/C/102086/155/11/2024</t>
  </si>
  <si>
    <t>KHI/HO/D/MO/PC COMP/C/102086/156/11/2024</t>
  </si>
  <si>
    <t>KHI/HO/D/MO/PC COMP/C/102086/158/11/2024</t>
  </si>
  <si>
    <t>KHI/HO/D/MO/PC COMP/C/102086/159/11/2024</t>
  </si>
  <si>
    <t>KHI/HO/D/MO/PC COMP/C/102086/160/11/2024</t>
  </si>
  <si>
    <t>KHI/HO/D/MO/PC COMP/C/104052/1/12/2024</t>
  </si>
  <si>
    <t>KHI/HO/D/MO/PC COMP/C/102086/162/11/2024</t>
  </si>
  <si>
    <t>KHI/HO/D/MO/PC COMP/C/102086/165/11/2024</t>
  </si>
  <si>
    <t>KHI/HO/D/MO/PC COMP/C/102086/166/11/2024</t>
  </si>
  <si>
    <t>KHI/HO/D/MO/PC COMP/C/102086/167/11/2024</t>
  </si>
  <si>
    <t>KHI/HO/D/MO/PC COMP/C/102086/170/11/2024</t>
  </si>
  <si>
    <t>KHI/HO/D/MO/PC COMP/C/102086/171/11/2024</t>
  </si>
  <si>
    <t>KHI/HO/D/MO/PC COMP/C/102086/172/11/2024</t>
  </si>
  <si>
    <t>KHI/HO/D/MO/PC COMP/C/102086/175/11/2024</t>
  </si>
  <si>
    <t>KHI/HO/D/MO/PC COMP/C/102086/176/11/2024</t>
  </si>
  <si>
    <t>KHI/HO/D/MO/PC COMP/C/102086/177/11/2024</t>
  </si>
  <si>
    <t>KHI/HO/D/MO/PC COMP/C/102086/1/11/2024</t>
  </si>
  <si>
    <t>KHI/HO/D/MO/PC COMP/C/102086/181/11/2024</t>
  </si>
  <si>
    <t>KHI/HO/D/MO/PC COMP/C/102086/186/11/2024</t>
  </si>
  <si>
    <t>KHI/HO/D/MO/PC COMP/C/102086/191/11/2024</t>
  </si>
  <si>
    <t>KHI/HO/D/MO/PC COMP/C/102086/193/11/2024</t>
  </si>
  <si>
    <t>KHI/HO/D/MO/PC COMP/C/102086/194/11/2024</t>
  </si>
  <si>
    <t>KHI/HO/D/MO/PC COMP/C/102086/195/11/2024</t>
  </si>
  <si>
    <t>KHI/HO/D/MO/PC COMP/C/102086/204/11/2024</t>
  </si>
  <si>
    <t>KHI/HO/D/MO/PC COMP/C/102086/205/11/2024</t>
  </si>
  <si>
    <t>KHI/HO/D/MO/PC COMP/C/102086/207/11/2024</t>
  </si>
  <si>
    <t>KHI/HO/D/MO/PC COMP/C/102086/209/11/2024</t>
  </si>
  <si>
    <t>KHI/HO/D/MO/PC COMP/C/102086/210/11/2024</t>
  </si>
  <si>
    <t>KHI/HO/D/MO/PC COMP/C/102086/211/11/2024</t>
  </si>
  <si>
    <t>KHI/HO/D/MO/PC COMP/C/102086/212/11/2024</t>
  </si>
  <si>
    <t>KHI/HO/D/MO/PC COMP/C/102086/216/11/2024</t>
  </si>
  <si>
    <t>KHI/HO/D/MO/PC COMP/C/102086/217/11/2024</t>
  </si>
  <si>
    <t>KHI/HO/D/MO/PC COMP/C/102086/219/11/2024</t>
  </si>
  <si>
    <t>KHI/HO/D/MO/PC COMP/C/102086/220/11/2024</t>
  </si>
  <si>
    <t>KHI/HO/D/MO/PC COMP/C/102086/221/11/2024</t>
  </si>
  <si>
    <t>KHI/HO/D/MO/PC COMP/C/102086/222/11/2024</t>
  </si>
  <si>
    <t>KHI/HO/D/MO/PC COMP/C/102086/227/11/2024</t>
  </si>
  <si>
    <t>KHI/HO/D/MO/PC COMP/C/102086/229/11/2024</t>
  </si>
  <si>
    <t>KHI/HO/D/MO/PC COMP/C/102086/240/11/2024</t>
  </si>
  <si>
    <t>KHI/HO/D/MO/PC COMP/C/102086/242/11/2024</t>
  </si>
  <si>
    <t>KHI/HO/D/MO/PC COMP/C/102086/246/11/2024</t>
  </si>
  <si>
    <t>KHI/HO/D/MO/PC COMP/C/102086/247/11/2024</t>
  </si>
  <si>
    <t>KHI/HO/D/MO/PC COMP/C/102086/248/11/2024</t>
  </si>
  <si>
    <t>KHI/HO/D/MO/PC COMP/C/102086/250/11/2024</t>
  </si>
  <si>
    <t>KHI/HO/D/MO/PC COMP/C/102086/251/11/2024</t>
  </si>
  <si>
    <t>KHI/HO/D/MO/PC COMP/C/102086/258/11/2024</t>
  </si>
  <si>
    <t>KHI/HO/D/MO/PC COMP/C/102086/259/11/2024</t>
  </si>
  <si>
    <t>KHI/HO/D/MO/PC COMP/C/102086/260/11/2024</t>
  </si>
  <si>
    <t>KHI/HO/D/MO/PC COMP/C/102086/263/11/2024</t>
  </si>
  <si>
    <t>KHI/HO/D/MO/PC COMP/C/102086/265/11/2024</t>
  </si>
  <si>
    <t>KHI/HO/D/MO/PC COMP/C/102086/268/11/2024</t>
  </si>
  <si>
    <t>KHI/HO/D/MO/PC COMP/C/102086/270/11/2024</t>
  </si>
  <si>
    <t>KHI/HO/D/MO/PC COMP/C/102086/273/11/2024</t>
  </si>
  <si>
    <t>KHI/HO/D/MO/PC COMP/C/102086/277/11/2024</t>
  </si>
  <si>
    <t>KHI/HO/D/MO/PC COMP/C/102086/278/11/2024</t>
  </si>
  <si>
    <t>KHI/HO/D/MO/PC COMP/C/102086/282/11/2024</t>
  </si>
  <si>
    <t>KHI/HO/D/MO/PC COMP/C/102086/283/11/2024</t>
  </si>
  <si>
    <t>KHI/HO/D/MO/PC COMP/C/102086/284/11/2024</t>
  </si>
  <si>
    <t>KHI/HO/D/MO/PC COMP/C/102086/285/11/2024</t>
  </si>
  <si>
    <t>KHI/HO/D/MO/PC COMP/C/102086/286/11/2024</t>
  </si>
  <si>
    <t>KHI/HO/D/MO/PC COMP/C/102086/287/11/2024</t>
  </si>
  <si>
    <t>KHI/HO/D/MO/PC COMP/C/102086/292/11/2024</t>
  </si>
  <si>
    <t>KHI/HO/D/MO/PC COMP/C/102086/295/11/2024</t>
  </si>
  <si>
    <t>KHI/HO/D/MO/PC COMP/C/102086/296/11/2024</t>
  </si>
  <si>
    <t>KHI/HO/D/MO/PC COMP/C/102086/305/11/2024</t>
  </si>
  <si>
    <t>KHI/HO/D/MO/PC COMP/C/102086/311/11/2024</t>
  </si>
  <si>
    <t>KHI/HO/D/MO/PC COMP/C/102086/313/11/2024</t>
  </si>
  <si>
    <t>KHI/HO/D/MO/PC COMP/C/102086/314/11/2024</t>
  </si>
  <si>
    <t>KHI/HO/D/MO/PC COMP/C/102086/315/11/2024</t>
  </si>
  <si>
    <t>KHI/HO/D/MO/PC COMP/C/102086/317/11/2024</t>
  </si>
  <si>
    <t>KHI/HO/D/MO/PC COMP/C/102086/318/11/2024</t>
  </si>
  <si>
    <t>KHI/HO/D/MO/PC COMP/C/102086/319/11/2024</t>
  </si>
  <si>
    <t>KHI/HO/D/MO/PC COMP/C/102086/320/11/2024</t>
  </si>
  <si>
    <t>KHI/HO/D/MO/PC COMP/C/102086/321/11/2024</t>
  </si>
  <si>
    <t>KHI/HO/D/MO/PC COMP/C/102086/322/11/2024</t>
  </si>
  <si>
    <t>KHI/HO/D/MO/PC COMP/C/102086/323/11/2024</t>
  </si>
  <si>
    <t>KHI/HO/D/MO/PC COMP/C/102086/327/11/2024</t>
  </si>
  <si>
    <t>KHI/HO/D/MO/PC COMP/C/102086/328/11/2024</t>
  </si>
  <si>
    <t>KHI/HO/D/MO/PC COMP/C/102086/338/11/2024</t>
  </si>
  <si>
    <t>KHI/HO/D/MO/PC COMP/C/102086/341/11/2024</t>
  </si>
  <si>
    <t>KHI/HO/D/MO/PC COMP/C/102086/342/11/2024</t>
  </si>
  <si>
    <t>KHI/HO/D/MO/PC COMP/C/102086/345/11/2024</t>
  </si>
  <si>
    <t>KHI/HO/D/MO/PC COMP/C/102086/346/11/2024</t>
  </si>
  <si>
    <t>KHI/HO/D/MO/PC COMP/C/102086/347/11/2024</t>
  </si>
  <si>
    <t>KHI/HO/D/MO/PC COMP/C/102086/352/11/2024</t>
  </si>
  <si>
    <t>KHI/HO/D/MO/PC COMP/C/102086/360/11/2024</t>
  </si>
  <si>
    <t>KHI/HO/D/MO/PC COMP/C/102086/366/11/2024</t>
  </si>
  <si>
    <t>KHI/HO/D/MO/PC COMP/C/102086/367/11/2024</t>
  </si>
  <si>
    <t>KHI/HO/D/MO/PC COMP/C/102086/369/11/2024</t>
  </si>
  <si>
    <t>KHI/HO/D/MO/PC COMP/C/102086/370/11/2024</t>
  </si>
  <si>
    <t>KHI/HO/D/MO/PC COMP/C/102086/371/11/2024</t>
  </si>
  <si>
    <t>KHI/HO/D/MO/PC COMP/C/102086/372/11/2024</t>
  </si>
  <si>
    <t>KHI/HO/D/MO/PC COMP/C/102086/374/11/2024</t>
  </si>
  <si>
    <t>KHI/HO/D/MO/PC COMP/C/102086/376/11/2024</t>
  </si>
  <si>
    <t>KHI/HO/D/MO/PC COMP/C/102086/378/11/2024</t>
  </si>
  <si>
    <t>KHI/HO/D/MO/PC COMP/C/102086/379/11/2024</t>
  </si>
  <si>
    <t>KHI/HO/D/MO/PC COMP/C/102086/381/11/2024</t>
  </si>
  <si>
    <t>KHI/HO/D/MO/PC COMP/C/102086/384/11/2024</t>
  </si>
  <si>
    <t>KHI/HO/D/MO/PC COMP/C/102086/386/11/2024</t>
  </si>
  <si>
    <t>KHI/HO/D/MO/PC COMP/C/102086/390/11/2024</t>
  </si>
  <si>
    <t>KHI/HO/D/MO/PC COMP/C/102086/391/11/2024</t>
  </si>
  <si>
    <t>KHI/HO/D/MO/PC COMP/C/102086/392/11/2024</t>
  </si>
  <si>
    <t>KHI/HO/D/MO/PC COMP/C/102086/393/11/2024</t>
  </si>
  <si>
    <t>KHI/HO/D/MO/PC COMP/C/102086/394/11/2024</t>
  </si>
  <si>
    <t>KHI/HO/D/MO/PC COMP/C/102086/396/11/2024</t>
  </si>
  <si>
    <t>KHI/HO/D/MO/PC COMP/C/102086/401/11/2024</t>
  </si>
  <si>
    <t>KHI/HO/D/MO/PC COMP/C/102086/402/11/2024</t>
  </si>
  <si>
    <t>KHI/HO/D/MO/PC COMP/C/102086/405/11/2024</t>
  </si>
  <si>
    <t>KHI/HO/D/MO/PC COMP/C/102086/406/11/2024</t>
  </si>
  <si>
    <t>KHI/HO/D/MO/PC COMP/C/102086/404/11/2024</t>
  </si>
  <si>
    <t>KHI/HO/D/MO/PC COMP/C/102086/403/11/2024</t>
  </si>
  <si>
    <t>KHI/HO/D/MO/PC COMP/C/102086/400/11/2024</t>
  </si>
  <si>
    <t>KHI/HO/D/MO/PC COMP/C/102086/399/11/2024</t>
  </si>
  <si>
    <t>KHI/HO/D/MO/PC COMP/C/102086/398/11/2024</t>
  </si>
  <si>
    <t>KHI/HO/D/MO/PC COMP/C/102086/397/11/2024</t>
  </si>
  <si>
    <t>KHI/HO/D/MO/PC COMP/C/102086/395/11/2024</t>
  </si>
  <si>
    <t>KHI/HO/D/MO/PC COMP/C/102086/389/11/2024</t>
  </si>
  <si>
    <t>KHI/HO/D/MO/PC COMP/C/102086/388/11/2024</t>
  </si>
  <si>
    <t>KHI/HO/D/MO/PC COMP/C/102086/387/11/2024</t>
  </si>
  <si>
    <t>KHI/HO/D/MO/PC COMP/C/102086/385/11/2024</t>
  </si>
  <si>
    <t>KHI/HO/D/MO/PC COMP/C/102086/383/11/2024</t>
  </si>
  <si>
    <t>KHI/HO/D/MO/PC COMP/C/102086/382/11/2024</t>
  </si>
  <si>
    <t>KHI/HO/D/MO/PC COMP/C/102086/380/11/2024</t>
  </si>
  <si>
    <t>KHI/HO/D/MO/PC COMP/C/102086/377/11/2024</t>
  </si>
  <si>
    <t>KHI/HO/D/MO/PC COMP/C/102086/375/11/2024</t>
  </si>
  <si>
    <t>KHI/HO/D/MO/PC COMP/C/102086/373/11/2024</t>
  </si>
  <si>
    <t>KHI/HO/D/MO/PC COMP/C/102086/368/11/2024</t>
  </si>
  <si>
    <t>KHI/HO/D/MO/PC COMP/C/102086/365/11/2024</t>
  </si>
  <si>
    <t>KHI/HO/D/MO/PC COMP/C/102086/364/11/2024</t>
  </si>
  <si>
    <t>KHI/HO/D/MO/PC COMP/C/102086/362/11/2024</t>
  </si>
  <si>
    <t>KHI/HO/D/MO/PC COMP/C/102086/361/11/2024</t>
  </si>
  <si>
    <t>KHI/HO/D/MO/PC COMP/C/102086/359/11/2024</t>
  </si>
  <si>
    <t>KHI/HO/D/MO/PC COMP/C/102086/358/11/2024</t>
  </si>
  <si>
    <t>KHI/HO/D/MO/PC COMP/C/102086/357/11/2024</t>
  </si>
  <si>
    <t>KHI/HO/D/MO/PC COMP/C/102086/356/11/2024</t>
  </si>
  <si>
    <t>KHI/HO/D/MO/PC COMP/C/102086/355/11/2024</t>
  </si>
  <si>
    <t>KHI/HO/D/MO/PC COMP/C/102086/354/11/2024</t>
  </si>
  <si>
    <t>KHI/HO/D/MO/PC COMP/C/102086/353/11/2024</t>
  </si>
  <si>
    <t>KHI/HO/D/MO/PC COMP/C/102086/351/11/2024</t>
  </si>
  <si>
    <t>KHI/HO/D/MO/PC COMP/C/102086/350/11/2024</t>
  </si>
  <si>
    <t>KHI/HO/D/MO/PC COMP/C/102086/349/11/2024</t>
  </si>
  <si>
    <t>KHI/HO/D/MO/PC COMP/C/102086/344/11/2024</t>
  </si>
  <si>
    <t>KHI/HO/D/MO/PC COMP/C/102086/343/11/2024</t>
  </si>
  <si>
    <t>KHI/HO/D/MO/PC COMP/C/102086/340/11/2024</t>
  </si>
  <si>
    <t>KHI/HO/D/MO/PC COMP/C/102086/339/11/2024</t>
  </si>
  <si>
    <t>KHI/HO/D/MO/PC COMP/C/102086/337/11/2024</t>
  </si>
  <si>
    <t>KHI/HO/D/MO/PC COMP/C/102086/336/11/2024</t>
  </si>
  <si>
    <t>KHI/HO/D/MO/PC COMP/C/102086/335/11/2024</t>
  </si>
  <si>
    <t>KHI/HO/D/MO/PC COMP/C/102086/334/11/2024</t>
  </si>
  <si>
    <t>KHI/HO/D/MO/PC COMP/C/102086/333/11/2024</t>
  </si>
  <si>
    <t>KHI/HO/D/MO/PC COMP/C/102086/332/11/2024</t>
  </si>
  <si>
    <t>KHI/HO/D/MO/PC COMP/C/102086/331/11/2024</t>
  </si>
  <si>
    <t>KHI/HO/D/MO/PC COMP/C/102086/330/11/2024</t>
  </si>
  <si>
    <t>KHI/HO/D/MO/PC COMP/C/102086/329/11/2024</t>
  </si>
  <si>
    <t>KHI/HO/D/MO/PC COMP/C/102086/326/11/2024</t>
  </si>
  <si>
    <t>KHI/HO/D/MO/PC COMP/C/102086/325/11/2024</t>
  </si>
  <si>
    <t>KHI/HO/D/MO/PC COMP/C/102086/324/11/2024</t>
  </si>
  <si>
    <t>KHI/HO/D/MO/PC COMP/C/102086/316/11/2024</t>
  </si>
  <si>
    <t>KHI/HO/D/MO/PC COMP/C/102086/310/11/2024</t>
  </si>
  <si>
    <t>KHI/HO/D/MO/PC COMP/C/102086/309/11/2024</t>
  </si>
  <si>
    <t>KHI/HO/D/MO/PC COMP/C/102086/308/11/2024</t>
  </si>
  <si>
    <t>KHI/HO/D/MO/PC COMP/C/102086/307/11/2024</t>
  </si>
  <si>
    <t>KHI/HO/D/MO/PC COMP/C/102086/306/11/2024</t>
  </si>
  <si>
    <t>KHI/HO/D/MO/PC COMP/C/102086/304/11/2024</t>
  </si>
  <si>
    <t>KHI/HO/D/MO/PC COMP/C/102086/303/11/2024</t>
  </si>
  <si>
    <t>KHI/HO/D/MO/PC COMP/C/102086/302/11/2024</t>
  </si>
  <si>
    <t>KHI/HO/D/MO/PC COMP/C/102086/301/11/2024</t>
  </si>
  <si>
    <t>KHI/HO/D/MO/PC COMP/C/102086/300/11/2024</t>
  </si>
  <si>
    <t>KHI/HO/D/MO/PC COMP/C/102086/299/11/2024</t>
  </si>
  <si>
    <t>KHI/HO/D/MO/PC COMP/C/102086/297/11/2024</t>
  </si>
  <si>
    <t>KHI/HO/D/MO/PC COMP/C/102086/294/11/2024</t>
  </si>
  <si>
    <t>KHI/HO/D/MO/PC COMP/C/102086/293/11/2024</t>
  </si>
  <si>
    <t>KHI/HO/D/MO/PC COMP/C/102086/291/11/2024</t>
  </si>
  <si>
    <t>KHI/HO/D/MO/PC COMP/C/102086/290/11/2024</t>
  </si>
  <si>
    <t>KHI/HO/D/MO/PC COMP/C/102086/289/11/2024</t>
  </si>
  <si>
    <t>KHI/HO/D/MO/PC COMP/C/102086/288/11/2024</t>
  </si>
  <si>
    <t>KHI/HO/D/MO/PC COMP/C/102086/281/11/2024</t>
  </si>
  <si>
    <t>KHI/HO/D/MO/PC COMP/C/102086/280/11/2024</t>
  </si>
  <si>
    <t>KHI/HO/D/MO/PC COMP/C/102086/279/11/2024</t>
  </si>
  <si>
    <t>KHI/HO/D/MO/PC COMP/C/102086/276/11/2024</t>
  </si>
  <si>
    <t>KHI/HO/D/MO/PC COMP/C/102086/275/11/2024</t>
  </si>
  <si>
    <t>KHI/HO/D/MO/PC COMP/C/102086/274/11/2024</t>
  </si>
  <si>
    <t>KHI/HO/D/MO/PC COMP/C/102086/272/11/2024</t>
  </si>
  <si>
    <t>KHI/HO/D/MO/PC COMP/C/102086/271/11/2024</t>
  </si>
  <si>
    <t>KHI/HO/D/MO/PC COMP/C/102086/269/11/2024</t>
  </si>
  <si>
    <t>KHI/HO/D/MO/PC COMP/C/102086/267/11/2024</t>
  </si>
  <si>
    <t>KHI/HO/D/MO/PC COMP/C/102086/266/11/2024</t>
  </si>
  <si>
    <t>KHI/HO/D/MO/PC COMP/C/102086/264/11/2024</t>
  </si>
  <si>
    <t>KHI/HO/D/MO/PC COMP/C/102086/262/11/2024</t>
  </si>
  <si>
    <t>KHI/HO/D/MO/PC COMP/C/102086/261/11/2024</t>
  </si>
  <si>
    <t>KHI/HO/D/MO/PC COMP/C/102086/257/11/2024</t>
  </si>
  <si>
    <t>KHI/HO/D/MO/PC COMP/C/102086/256/11/2024</t>
  </si>
  <si>
    <t>KHI/HO/D/MO/PC COMP/C/102086/255/11/2024</t>
  </si>
  <si>
    <t>KHI/HO/D/MO/PC COMP/C/102086/254/11/2024</t>
  </si>
  <si>
    <t>KHI/HO/D/MO/PC COMP/C/102086/253/11/2024</t>
  </si>
  <si>
    <t>KHI/HO/D/MO/PC COMP/C/102086/252/11/2024</t>
  </si>
  <si>
    <t>KHI/HO/D/MO/PC COMP/C/102086/249/11/2024</t>
  </si>
  <si>
    <t>KHI/HO/D/MO/PC COMP/C/102086/245/11/2024</t>
  </si>
  <si>
    <t>KHI/HO/D/MO/PC COMP/C/99821/291/10/2024</t>
  </si>
  <si>
    <t>KHI/HO/D/MO/PC COMP/C/102086/244/11/2024</t>
  </si>
  <si>
    <t>KHI/HO/D/MO/PC COMP/C/102086/243/11/2024</t>
  </si>
  <si>
    <t>KHI/HO/D/MO/PC COMP/C/97805/11/09/2024</t>
  </si>
  <si>
    <t>KHI/HO/D/MO/PC COMP/C/99821/3/10/2024</t>
  </si>
  <si>
    <t>KHI/HO/D/MO/PC COMP/C/99821/50/10/2024</t>
  </si>
  <si>
    <t>KHI/HO/D/MO/PC COMP/C/99821/51/10/2024</t>
  </si>
  <si>
    <t>KHI/HO/D/MO/PC COMP/C/99821/58/10/2024</t>
  </si>
  <si>
    <t>KHI/HO/D/MO/PC COMP/C/102086/241/11/2024</t>
  </si>
  <si>
    <t>KHI/HO/D/MO/PC COMP/C/99821/89/10/2024</t>
  </si>
  <si>
    <t>KHI/HO/D/MO/PC COMP/C/99821/91/10/2024</t>
  </si>
  <si>
    <t>KHI/HO/D/MO/PC COMP/C/99821/95/10/2024</t>
  </si>
  <si>
    <t>KHI/HO/D/MO/PC COMP/C/99821/102/10/2024</t>
  </si>
  <si>
    <t>KHI/HO/D/MO/PC COMP/C/102086/239/11/2024</t>
  </si>
  <si>
    <t>KHI/HO/D/MO/PC COMP/C/102086/238/11/2024</t>
  </si>
  <si>
    <t>KHI/HO/D/MO/PC COMP/C/99821/125/10/2024</t>
  </si>
  <si>
    <t>KHI/HO/D/MO/PC COMP/C/99821/129/10/2024</t>
  </si>
  <si>
    <t>KHI/HO/D/MO/PC COMP/C/99821/134/10/2024</t>
  </si>
  <si>
    <t>KHI/HO/D/MO/PC COMP/C/99821/147/10/2024</t>
  </si>
  <si>
    <t>KHI/HO/D/MO/PC COMP/C/99821/174/10/2024</t>
  </si>
  <si>
    <t>KHI/HO/D/MO/PC COMP/C/102086/237/11/2024</t>
  </si>
  <si>
    <t>KHI/HO/D/MO/PC COMP/C/102086/236/11/2024</t>
  </si>
  <si>
    <t>KHI/HO/D/MO/PC COMP/C/102086/235/11/2024</t>
  </si>
  <si>
    <t>KHI/HO/D/MO/PC COMP/C/99821/183/10/2024</t>
  </si>
  <si>
    <t>KHI/HO/D/MO/PC COMP/C/99821/196/10/2024</t>
  </si>
  <si>
    <t>KHI/HO/D/MO/PC COMP/C/99821/212/10/2024</t>
  </si>
  <si>
    <t>KHI/HO/D/MO/PC COMP/C/102086/234/11/2024</t>
  </si>
  <si>
    <t>KHI/HO/D/MO/PC COMP/C/99821/264/10/2024</t>
  </si>
  <si>
    <t>KHI/HO/D/MO/PC COMP/C/102086/233/11/2024</t>
  </si>
  <si>
    <t>KHI/HO/D/MO/PC COMP/C/103702/7/12/2024</t>
  </si>
  <si>
    <t>KHI/HO/D/MO/PC COMP/C/103702/10/12/2024</t>
  </si>
  <si>
    <t>KHI/HO/D/MO/PC COMP/C/102086/232/11/2024</t>
  </si>
  <si>
    <t>KHI/HO/D/MO/PC COMP/C/103702/268/12/2024</t>
  </si>
  <si>
    <t>KHI/HO/D/MO/PC COMP/C/103702/285/12/2024</t>
  </si>
  <si>
    <t>KHI/HO/D/MO/PC COMP/C/103702/287/12/2024</t>
  </si>
  <si>
    <t>KHI/HO/D/MO/PC COMP/C/103702/288/12/2024</t>
  </si>
  <si>
    <t>KHI/HO/D/MO/PC COMP/C/103702/305/12/2024</t>
  </si>
  <si>
    <t>KHI/HO/D/MO/PC COMP/C/103702/318/12/2024</t>
  </si>
  <si>
    <t>KHI/HO/D/MO/PC COMP/C/102086/231/11/2024</t>
  </si>
  <si>
    <t>KHI/HO/D/MO/PC COMP/C/103702/324/12/2024</t>
  </si>
  <si>
    <t>KHI/HO/D/MO/PC COMP/C/102086/230/11/2024</t>
  </si>
  <si>
    <t>KHI/HO/D/MO/PC COMP/C/103702/327/12/2024</t>
  </si>
  <si>
    <t>KHI/HO/D/MO/PC COMP/C/103702/328/12/2024</t>
  </si>
  <si>
    <t>KHI/HO/D/MO/PC COMP/C/103702/331/12/2024</t>
  </si>
  <si>
    <t>KHI/HO/D/MO/PC COMP/C/102086/228/11/2024</t>
  </si>
  <si>
    <t>KHI/HO/D/MO/PC COMP/C/102086/226/11/2024</t>
  </si>
  <si>
    <t>KHI/HO/D/MO/PC COMP/C/102086/225/11/2024</t>
  </si>
  <si>
    <t>KHI/HO/D/MO/PC COMP/C/102086/224/11/2024</t>
  </si>
  <si>
    <t>KHI/HO/D/MO/PC COMP/C/102086/223/11/2024</t>
  </si>
  <si>
    <t>KHI/HO/D/MO/PC COMP/C/103702/338/12/2024</t>
  </si>
  <si>
    <t>KHI/HO/D/MO/PC COMP/C/102086/218/11/2024</t>
  </si>
  <si>
    <t>KHI/HO/D/MO/PC COMP/C/102086/215/11/2024</t>
  </si>
  <si>
    <t>KHI/HO/D/MO/PC COMP/C/102086/214/11/2024</t>
  </si>
  <si>
    <t>KHI/HO/D/MO/PC COMP/C/102086/208/11/2024</t>
  </si>
  <si>
    <t>KHI/HO/D/MO/PC COMP/C/102086/206/11/2024</t>
  </si>
  <si>
    <t>KHI/HO/D/MO/PC COMP/C/102086/203/11/2024</t>
  </si>
  <si>
    <t>KHI/HO/D/MO/PC COMP/C/102086/202/11/2024</t>
  </si>
  <si>
    <t>KHI/HO/D/MO/PC COMP/C/102086/201/11/2024</t>
  </si>
  <si>
    <t>KHI/HO/D/MO/PC COMP/C/102086/200/11/2024</t>
  </si>
  <si>
    <t>KHI/HO/D/MO/PC COMP/C/102086/198/11/2024</t>
  </si>
  <si>
    <t>KHI/HO/D/MO/PC COMP/C/102086/197/11/2024</t>
  </si>
  <si>
    <t>KHI/HO/D/MO/PC COMP/C/102086/190/11/2024</t>
  </si>
  <si>
    <t>KHI/HO/D/MO/PC COMP/C/102086/189/11/2024</t>
  </si>
  <si>
    <t>KHI/HO/D/MO/PC COMP/C/103702/340/12/2024</t>
  </si>
  <si>
    <t>KHI/HO/D/MO/PC COMP/C/102086/188/11/2024</t>
  </si>
  <si>
    <t>KHI/HO/D/MO/PC COMP/C/103702/342/12/2024</t>
  </si>
  <si>
    <t>KHI/HO/D/MO/PC COMP/C/102086/187/11/2024</t>
  </si>
  <si>
    <t>KHI/HO/D/MO/PC COMP/C/102086/185/11/2024</t>
  </si>
  <si>
    <t>KHI/HO/D/MO/PC COMP/C/102086/184/11/2024</t>
  </si>
  <si>
    <t>KHI/HO/D/MO/PC COMP/C/102086/183/11/2024</t>
  </si>
  <si>
    <t>KHI/HO/D/MO/PC COMP/C/102086/182/11/2024</t>
  </si>
  <si>
    <t>KHI/HO/D/MO/PC COMP/C/102086/179/11/2024</t>
  </si>
  <si>
    <t>KHI/HO/D/MO/PC COMP/C/103702/348/12/2024</t>
  </si>
  <si>
    <t>KHI/HO/D/MO/PC COMP/C/103702/356/12/2024</t>
  </si>
  <si>
    <t>KHI/HO/D/MO/PC COMP/C/102086/178/11/2024</t>
  </si>
  <si>
    <t>KHI/HO/D/MO/PC COMP/C/103702/359/12/2024</t>
  </si>
  <si>
    <t>KHI/HO/D/MO/PC COMP/C/103702/360/12/2024</t>
  </si>
  <si>
    <t>KHI/HO/D/MO/PC COMP/C/103702/361/12/2024</t>
  </si>
  <si>
    <t>KHI/HO/D/MO/PC COMP/C/102086/173/11/2024</t>
  </si>
  <si>
    <t>KHI/HO/D/MO/PC COMP/C/103702/366/12/2024</t>
  </si>
  <si>
    <t>KHI/HO/D/MO/PC COMP/C/103702/369/12/2024</t>
  </si>
  <si>
    <t>KHI/HO/D/MO/PC COMP/C/103702/370/12/2024</t>
  </si>
  <si>
    <t>KHI/HO/D/MO/PC COMP/C/103702/374/12/2024</t>
  </si>
  <si>
    <t>KHI/HO/D/MO/PC COMP/C/103702/377/12/2024</t>
  </si>
  <si>
    <t>KHI/HO/D/MO/PC COMP/C/103702/379/12/2024</t>
  </si>
  <si>
    <t>KHI/HO/D/MO/PC COMP/C/103702/382/12/2024</t>
  </si>
  <si>
    <t>KHI/HO/D/MO/PC COMP/C/103702/383/12/2024</t>
  </si>
  <si>
    <t>KHI/HO/D/MO/PC COMP/C/103702/384/12/2024</t>
  </si>
  <si>
    <t>KHI/HO/D/MO/PC COMP/C/103702/391/12/2024</t>
  </si>
  <si>
    <t>KHI/HO/D/MO/PC COMP/C/103702/395/12/2024</t>
  </si>
  <si>
    <t>KHI/HO/D/MO/PC COMP/C/103702/396/12/2024</t>
  </si>
  <si>
    <t>KHI/HO/D/MO/PC COMP/C/102086/169/11/2024</t>
  </si>
  <si>
    <t>KHI/HO/D/MO/PC COMP/C/102086/168/11/2024</t>
  </si>
  <si>
    <t>KHI/HO/D/MO/PC COMP/C/103702/397/12/2024</t>
  </si>
  <si>
    <t>KHI/HO/D/MO/PC COMP/C/103702/398/12/2024</t>
  </si>
  <si>
    <t>KHI/HO/D/MO/PC COMP/C/102086/164/11/2024</t>
  </si>
  <si>
    <t>KHI/HO/D/MO/PC COMP/C/103702/399/12/2024</t>
  </si>
  <si>
    <t>KHI/HO/D/MO/PC COMP/C/103702/400/12/2024</t>
  </si>
  <si>
    <t>KHI/HO/D/MO/PC COMP/C/103702/401/12/2024</t>
  </si>
  <si>
    <t>KHI/HO/D/MO/PC COMP/C/103702/403/12/2024</t>
  </si>
  <si>
    <t>KHI/HO/D/MO/PC COMP/C/102086/161/11/2024</t>
  </si>
  <si>
    <t>KHI/HO/D/MO/PC COMP/C/102086/157/11/2024</t>
  </si>
  <si>
    <t>KHI/HO/D/MO/PC COMP/C/102086/154/11/2024</t>
  </si>
  <si>
    <t>KHI/HO/D/MO/PC COMP/C/103702/406/12/2024</t>
  </si>
  <si>
    <t>KHI/HO/D/MO/PC COMP/C/103702/410/12/2024</t>
  </si>
  <si>
    <t>KHI/HO/D/MO/PC COMP/C/103702/411/12/2024</t>
  </si>
  <si>
    <t>KHI/HO/D/MO/PC COMP/C/102086/149/11/2024</t>
  </si>
  <si>
    <t>KHI/HO/D/MO/PC COMP/C/103702/413/12/2024</t>
  </si>
  <si>
    <t>KHI/HO/D/MO/PC COMP/C/103702/415/12/2024</t>
  </si>
  <si>
    <t>KHI/HO/D/MO/PC COMP/C/102086/148/11/2024</t>
  </si>
  <si>
    <t>KHI/HO/D/MO/PC COMP/C/103702/417/12/2024</t>
  </si>
  <si>
    <t>KHI/HO/D/MO/PC COMP/C/103702/419/12/2024</t>
  </si>
  <si>
    <t>KHI/HO/D/MO/PC COMP/C/102086/147/11/2024</t>
  </si>
  <si>
    <t>KHI/HO/D/MO/PC COMP/C/102086/146/11/2024</t>
  </si>
  <si>
    <t>KHI/HO/D/MO/PC COMP/C/102086/143/11/2024</t>
  </si>
  <si>
    <t>KHI/HO/D/MO/PC COMP/C/103702/422/12/2024</t>
  </si>
  <si>
    <t>KHI/HO/D/MO/PC COMP/C/102086/142/11/2024</t>
  </si>
  <si>
    <t>KHI/HO/D/MO/PC COMP/C/102086/141/11/2024</t>
  </si>
  <si>
    <t>KHI/HO/D/MO/PC COMP/C/102086/140/11/2024</t>
  </si>
  <si>
    <t>KHI/HO/D/MO/PC COMP/C/102086/139/11/2024</t>
  </si>
  <si>
    <t>KHI/HO/D/MO/PC COMP/C/102086/137/11/2024</t>
  </si>
  <si>
    <t>KHI/HO/D/MO/PC COMP/C/102086/136/11/2024</t>
  </si>
  <si>
    <t>KHI/HO/D/MO/PC COMP/C/102086/135/11/2024</t>
  </si>
  <si>
    <t>KHI/HO/D/MO/PC COMP/C/102086/134/11/2024</t>
  </si>
  <si>
    <t>KHI/HO/D/MO/PC COMP/C/102086/133/11/2024</t>
  </si>
  <si>
    <t>KHI/HO/D/MO/PC COMP/C/102086/132/11/2024</t>
  </si>
  <si>
    <t>KHI/HO/D/MO/PC COMP/C/102086/129/11/2024</t>
  </si>
  <si>
    <t>KHI/HO/D/MO/PC COMP/C/102086/128/11/2024</t>
  </si>
  <si>
    <t>KHI/HO/D/MO/PC COMP/C/102086/125/11/2024</t>
  </si>
  <si>
    <t>KHI/HO/D/MO/PC COMP/C/103702/423/12/2024</t>
  </si>
  <si>
    <t>KHI/HO/D/MO/PC COMP/C/102086/124/11/2024</t>
  </si>
  <si>
    <t>KHI/HO/D/MO/PC COMP/C/103702/424/12/2024</t>
  </si>
  <si>
    <t>KHI/HO/D/MO/PC COMP/C/103702/420/12/2024</t>
  </si>
  <si>
    <t>KHI/HO/D/MO/PC COMP/C/103702/418/12/2024</t>
  </si>
  <si>
    <t>KHI/HO/D/MO/PC COMP/C/102086/123/11/2024</t>
  </si>
  <si>
    <t>KHI/HO/D/MO/PC COMP/C/102086/121/11/2024</t>
  </si>
  <si>
    <t>KHI/HO/D/MO/PC COMP/C/102086/120/11/2024</t>
  </si>
  <si>
    <t>KHI/HO/D/MO/PC COMP/C/103702/414/12/2024</t>
  </si>
  <si>
    <t>KHI/HO/D/MO/PC COMP/C/102086/119/11/2024</t>
  </si>
  <si>
    <t>KHI/HO/D/MO/PC COMP/C/102086/118/11/2024</t>
  </si>
  <si>
    <t>KHI/HO/D/MO/PC COMP/C/103702/412/12/2024</t>
  </si>
  <si>
    <t>KHI/HO/D/MO/PC COMP/C/102086/116/11/2024</t>
  </si>
  <si>
    <t>KHI/HO/D/MO/PC COMP/C/103702/409/12/2024</t>
  </si>
  <si>
    <t>KHI/HO/D/MO/PC COMP/C/102086/112/11/2024</t>
  </si>
  <si>
    <t>KHI/HO/D/MO/PC COMP/C/102086/111/11/2024</t>
  </si>
  <si>
    <t>KHI/HO/D/MO/PC COMP/C/102086/110/11/2024</t>
  </si>
  <si>
    <t>KHI/HO/D/MO/PC COMP/C/102086/107/11/2024</t>
  </si>
  <si>
    <t>KHI/HO/D/MO/PC COMP/C/102086/106/11/2024</t>
  </si>
  <si>
    <t>KHI/HO/D/MO/PC COMP/C/102086/105/11/2024</t>
  </si>
  <si>
    <t>KHI/HO/D/MO/PC COMP/C/102086/104/11/2024</t>
  </si>
  <si>
    <t>KHI/HO/D/MO/PC COMP/C/102086/102/11/2024</t>
  </si>
  <si>
    <t>KHI/HO/D/MO/PC COMP/C/102086/101/11/2024</t>
  </si>
  <si>
    <t>KHI/HO/D/MO/PC COMP/C/102086/95/11/2024</t>
  </si>
  <si>
    <t>KHI/HO/D/MO/PC COMP/C/103702/405/12/2024</t>
  </si>
  <si>
    <t>KHI/HO/D/MO/PC COMP/C/102086/93/11/2024</t>
  </si>
  <si>
    <t>KHI/HO/D/MO/PC COMP/C/102086/92/11/2024</t>
  </si>
  <si>
    <t>KHI/HO/D/MO/PC COMP/C/103702/394/12/2024</t>
  </si>
  <si>
    <t>KHI/HO/D/MO/PC COMP/C/102086/91/11/2024</t>
  </si>
  <si>
    <t>KHI/HO/D/MO/PC COMP/C/102086/90/11/2024</t>
  </si>
  <si>
    <t>KHI/HO/D/MO/PC COMP/C/103702/393/12/2024</t>
  </si>
  <si>
    <t>KHI/HO/D/MO/PC COMP/C/102086/84/11/2024</t>
  </si>
  <si>
    <t>KHI/HO/D/MO/PC COMP/C/102086/82/11/2024</t>
  </si>
  <si>
    <t>KHI/HO/D/MO/PC COMP/C/103702/392/12/2024</t>
  </si>
  <si>
    <t>KHI/HO/D/MO/PC COMP/C/103702/390/12/2024</t>
  </si>
  <si>
    <t>KHI/HO/D/MO/PC COMP/C/103702/387/12/2024</t>
  </si>
  <si>
    <t>KHI/HO/D/MO/PC COMP/C/102086/81/11/2024</t>
  </si>
  <si>
    <t>KHI/HO/D/MO/PC COMP/C/103702/381/12/2024</t>
  </si>
  <si>
    <t>KHI/HO/D/MO/PC COMP/C/103702/380/12/2024</t>
  </si>
  <si>
    <t>KHI/HO/D/MO/PC COMP/C/103702/378/12/2024</t>
  </si>
  <si>
    <t>KHI/HO/D/MO/PC COMP/C/103702/376/12/2024</t>
  </si>
  <si>
    <t>KHI/HO/D/MO/PC COMP/C/103702/371/12/2024</t>
  </si>
  <si>
    <t>KHI/HO/D/MO/PC COMP/C/103702/367/12/2024</t>
  </si>
  <si>
    <t>KHI/HO/D/MO/PC COMP/C/103702/365/12/2024</t>
  </si>
  <si>
    <t>KHI/HO/D/MO/PC COMP/C/103702/363/12/2024</t>
  </si>
  <si>
    <t>KHI/HO/D/MO/PC COMP/C/103702/362/12/2024</t>
  </si>
  <si>
    <t>KHI/HO/D/MO/PC COMP/C/103702/355/12/2024</t>
  </si>
  <si>
    <t>KHI/HO/D/MO/PC COMP/C/103702/354/12/2024</t>
  </si>
  <si>
    <t>KHI/HO/D/MO/PC COMP/C/103702/353/12/2024</t>
  </si>
  <si>
    <t>KHI/HO/D/MO/PC COMP/C/103702/352/12/2024</t>
  </si>
  <si>
    <t>KHI/HO/D/MO/PC COMP/C/103702/350/12/2024</t>
  </si>
  <si>
    <t>KHI/HO/D/MO/PC COMP/C/103702/349/12/2024</t>
  </si>
  <si>
    <t>KHI/HO/D/MO/PC COMP/C/103702/347/12/2024</t>
  </si>
  <si>
    <t>KHI/HO/D/MO/PC COMP/C/103702/346/12/2024</t>
  </si>
  <si>
    <t>KHI/HO/D/MO/PC COMP/C/103702/345/12/2024</t>
  </si>
  <si>
    <t>KHI/HO/D/MO/PC COMP/C/103702/344/12/2024</t>
  </si>
  <si>
    <t>KHI/HO/D/MO/PC COMP/C/103702/343/12/2024</t>
  </si>
  <si>
    <t>KHI/HO/D/MO/PC COMP/C/103702/341/12/2024</t>
  </si>
  <si>
    <t>KHI/HO/D/MO/PC COMP/C/103702/336/12/2024</t>
  </si>
  <si>
    <t>KHI/HO/D/MO/PC COMP/C/102086/79/11/2024</t>
  </si>
  <si>
    <t>KHI/HO/D/MO/PC COMP/C/103702/334/12/2024</t>
  </si>
  <si>
    <t>KHI/HO/D/MO/PC COMP/C/103702/333/12/2024</t>
  </si>
  <si>
    <t>KHI/HO/D/MO/PC COMP/C/103702/332/12/2024</t>
  </si>
  <si>
    <t>KHI/HO/D/MO/PC COMP/C/103702/330/12/2024</t>
  </si>
  <si>
    <t>KHI/HO/D/MO/PC COMP/C/103702/319/12/2024</t>
  </si>
  <si>
    <t>KHI/HO/D/MO/PC COMP/C/103702/317/12/2024</t>
  </si>
  <si>
    <t>KHI/HO/D/MO/PC COMP/C/103702/315/12/2024</t>
  </si>
  <si>
    <t>KHI/HO/D/MO/PC COMP/C/103702/310/12/2024</t>
  </si>
  <si>
    <t>KHI/HO/D/MO/PC COMP/C/103702/306/12/2024</t>
  </si>
  <si>
    <t>KHI/HO/D/MO/PC COMP/C/103702/303/12/2024</t>
  </si>
  <si>
    <t>KHI/HO/D/MO/PC COMP/C/103702/302/12/2024</t>
  </si>
  <si>
    <t>KHI/HO/D/MO/PC COMP/C/103702/301/12/2024</t>
  </si>
  <si>
    <t>KHI/HO/D/MO/PC COMP/C/103702/293/12/2024</t>
  </si>
  <si>
    <t>KHI/HO/D/MO/PC COMP/C/103702/292/12/2024</t>
  </si>
  <si>
    <t>KHI/HO/D/MO/PC COMP/C/103702/284/12/2024</t>
  </si>
  <si>
    <t>KHI/HO/D/MO/PC COMP/C/103702/282/12/2024</t>
  </si>
  <si>
    <t>KHI/HO/D/MO/PC COMP/C/103702/275/12/2024</t>
  </si>
  <si>
    <t>KHI/HO/D/MO/PC COMP/C/102086/73/11/2024</t>
  </si>
  <si>
    <t>KHI/HO/D/MO/PC COMP/C/102086/72/11/2024</t>
  </si>
  <si>
    <t>KHI/HO/D/MO/PC COMP/C/103702/271/12/2024</t>
  </si>
  <si>
    <t>KHI/HO/D/MO/PC COMP/C/103702/265/12/2024</t>
  </si>
  <si>
    <t>KHI/HO/D/MO/PC COMP/C/102086/71/11/2024</t>
  </si>
  <si>
    <t>KHI/HO/D/MO/PC COMP/C/103702/263/12/2024</t>
  </si>
  <si>
    <t>KHI/HO/D/MO/PC COMP/C/102086/70/11/2024</t>
  </si>
  <si>
    <t>KHI/HO/D/MO/PC COMP/C/102086/66/11/2024</t>
  </si>
  <si>
    <t>KHI/HO/D/MO/PC COMP/C/102086/65/11/2024</t>
  </si>
  <si>
    <t>KHI/HO/D/MO/PC COMP/C/103702/260/12/2024</t>
  </si>
  <si>
    <t>KHI/HO/D/MO/PC COMP/C/103702/253/12/2024</t>
  </si>
  <si>
    <t>KHI/HO/D/MO/PC COMP/C/103702/245/12/2024</t>
  </si>
  <si>
    <t>KHI/HO/D/MO/PC COMP/C/102086/64/11/2024</t>
  </si>
  <si>
    <t>KHI/HO/D/MO/PC COMP/C/103702/244/12/2024</t>
  </si>
  <si>
    <t>KHI/HO/D/MO/PC COMP/C/103702/242/12/2024</t>
  </si>
  <si>
    <t>KHI/HO/D/MO/PC COMP/C/103702/241/12/2024</t>
  </si>
  <si>
    <t>KHI/HO/D/MO/PC COMP/C/103702/239/12/2024</t>
  </si>
  <si>
    <t>KHI/HO/D/MO/PC COMP/C/103702/238/12/2024</t>
  </si>
  <si>
    <t>KHI/HO/D/MO/PC COMP/C/102086/59/11/2024</t>
  </si>
  <si>
    <t>KHI/HO/D/MO/PC COMP/C/102086/58/11/2024</t>
  </si>
  <si>
    <t>KHI/HO/D/MO/PC COMP/C/102086/56/11/2024</t>
  </si>
  <si>
    <t>KHI/HO/D/MO/PC COMP/C/102086/46/11/2024</t>
  </si>
  <si>
    <t>KHI/HO/D/MO/PC COMP/C/103702/225/12/2024</t>
  </si>
  <si>
    <t>KHI/HO/D/MO/PC COMP/C/103702/224/12/2024</t>
  </si>
  <si>
    <t>KHI/HO/D/MO/PC COMP/C/103702/223/12/2024</t>
  </si>
  <si>
    <t>KHI/HO/D/MO/PC COMP/C/103702/219/12/2024</t>
  </si>
  <si>
    <t>KHI/HO/D/MO/PC COMP/C/103702/212/12/2024</t>
  </si>
  <si>
    <t>KHI/HO/D/MO/PC COMP/C/103702/211/12/2024</t>
  </si>
  <si>
    <t>KHI/HO/D/MO/PC COMP/C/103702/208/12/2024</t>
  </si>
  <si>
    <t>KHI/HO/D/MO/PC COMP/C/103702/204/12/2024</t>
  </si>
  <si>
    <t>KHI/HO/D/MO/PC COMP/C/103702/203/12/2024</t>
  </si>
  <si>
    <t>KHI/HO/D/MO/PC COMP/C/102086/43/11/2024</t>
  </si>
  <si>
    <t>KHI/HO/D/MO/PC COMP/C/103702/202/12/2024</t>
  </si>
  <si>
    <t>KHI/HO/D/MO/PC COMP/C/103702/201/12/2024</t>
  </si>
  <si>
    <t>KHI/HO/D/MO/PC COMP/C/103702/199/12/2024</t>
  </si>
  <si>
    <t>KHI/HO/D/MO/PC COMP/C/102086/41/11/2024</t>
  </si>
  <si>
    <t>KHI/HO/D/MO/PC COMP/C/103702/196/12/2024</t>
  </si>
  <si>
    <t>KHI/HO/D/MO/PC COMP/C/102086/35/11/2024</t>
  </si>
  <si>
    <t>KHI/HO/D/MO/PC COMP/C/103702/195/12/2024</t>
  </si>
  <si>
    <t>KHI/HO/D/MO/PC COMP/C/102086/34/11/2024</t>
  </si>
  <si>
    <t>KHI/HO/D/MO/PC COMP/C/102086/33/11/2024</t>
  </si>
  <si>
    <t>KHI/HO/D/MO/PC COMP/C/102086/32/11/2024</t>
  </si>
  <si>
    <t>KHI/HO/D/MO/PC COMP/C/102086/30/11/2024</t>
  </si>
  <si>
    <t>KHI/HO/D/MO/PC COMP/C/103702/194/12/2024</t>
  </si>
  <si>
    <t>KHI/HO/D/MO/PC COMP/C/102086/29/11/2024</t>
  </si>
  <si>
    <t>KHI/HO/D/MO/PC COMP/C/103702/193/12/2024</t>
  </si>
  <si>
    <t>KHI/HO/D/MO/PC COMP/C/102086/27/11/2024</t>
  </si>
  <si>
    <t>KHI/HO/D/MO/PC COMP/C/102086/25/11/2024</t>
  </si>
  <si>
    <t>KHI/HO/D/MO/PC COMP/C/102086/19/11/2024</t>
  </si>
  <si>
    <t>KHI/HO/D/MO/PC COMP/C/102086/18/11/2024</t>
  </si>
  <si>
    <t>KHI/HO/D/MO/PC COMP/C/103702/185/12/2024</t>
  </si>
  <si>
    <t>KHI/HO/D/MO/PC COMP/C/103702/178/12/2024</t>
  </si>
  <si>
    <t>KHI/HO/D/MO/PC COMP/C/103702/177/12/2024</t>
  </si>
  <si>
    <t>KHI/HO/D/MO/PC COMP/C/103702/176/12/2024</t>
  </si>
  <si>
    <t>KHI/HO/D/MO/PC COMP/C/102086/9/11/2024</t>
  </si>
  <si>
    <t>KHI/HO/D/MO/PC COMP/C/103702/175/12/2024</t>
  </si>
  <si>
    <t>KHI/HO/D/MO/PC COMP/C/103702/2/12/2024</t>
  </si>
  <si>
    <t>KHI/HO/D/MO/PC COMP/C/103702/3/12/2024</t>
  </si>
  <si>
    <t>KHI/HO/D/MO/PC COMP/C/103702/4/12/2024</t>
  </si>
  <si>
    <t>KHI/HO/D/MO/PC COMP/C/103702/168/12/2024</t>
  </si>
  <si>
    <t>KHI/HO/D/MO/PC COMP/C/103702/6/12/2024</t>
  </si>
  <si>
    <t>KHI/HO/D/MO/PC COMP/C/103702/164/12/2024</t>
  </si>
  <si>
    <t>KHI/HO/D/MO/PC COMP/C/103702/8/12/2024</t>
  </si>
  <si>
    <t>KHI/HO/D/MO/PC COMP/C/103702/9/12/2024</t>
  </si>
  <si>
    <t>KHI/HO/D/MO/PC COMP/C/103702/161/12/2024</t>
  </si>
  <si>
    <t>KHI/HO/D/MO/PC COMP/C/103702/160/12/2024</t>
  </si>
  <si>
    <t>KHI/HO/D/MO/PC COMP/C/103702/11/12/2024</t>
  </si>
  <si>
    <t>KHI/HO/D/MO/PC COMP/C/103702/147/12/2024</t>
  </si>
  <si>
    <t>KHI/HO/D/MO/PC COMP/C/103702/143/12/2024</t>
  </si>
  <si>
    <t>KHI/HO/D/MO/PC COMP/C/103702/142/12/2024</t>
  </si>
  <si>
    <t>KHI/HO/D/MO/PC COMP/C/103702/140/12/2024</t>
  </si>
  <si>
    <t>KHI/HO/D/MO/PC COMP/C/103702/17/12/2024</t>
  </si>
  <si>
    <t>KHI/HO/D/MO/PC COMP/C/103702/18/12/2024</t>
  </si>
  <si>
    <t>KHI/HO/D/MO/PC COMP/C/103702/20/12/2024</t>
  </si>
  <si>
    <t>KHI/HO/D/MO/PC COMP/C/103702/21/12/2024</t>
  </si>
  <si>
    <t>KHI/HO/D/MO/PC COMP/C/103702/22/12/2024</t>
  </si>
  <si>
    <t>KHI/HO/D/MO/PC COMP/C/103702/23/12/2024</t>
  </si>
  <si>
    <t>KHI/HO/D/MO/PC COMP/C/103702/24/12/2024</t>
  </si>
  <si>
    <t>KHI/HO/D/MO/PC COMP/C/103702/138/12/2024</t>
  </si>
  <si>
    <t>KHI/HO/D/MO/PC COMP/C/103702/26/12/2024</t>
  </si>
  <si>
    <t>KHI/HO/D/MO/PC COMP/C/103702/27/12/2024</t>
  </si>
  <si>
    <t>KHI/HO/D/MO/PC COMP/C/103702/28/12/2024</t>
  </si>
  <si>
    <t>KHI/HO/D/MO/PC COMP/C/103702/133/12/2024</t>
  </si>
  <si>
    <t>KHI/HO/D/MO/PC COMP/C/103702/30/12/2024</t>
  </si>
  <si>
    <t>KHI/HO/D/MO/PC COMP/C/103702/33/12/2024</t>
  </si>
  <si>
    <t>KHI/HO/D/MO/PC COMP/C/103702/131/12/2024</t>
  </si>
  <si>
    <t>KHI/HO/D/MO/PC COMP/C/103702/35/12/2024</t>
  </si>
  <si>
    <t>KHI/HO/D/MO/PC COMP/C/103702/36/12/2024</t>
  </si>
  <si>
    <t>KHI/HO/D/MO/PC COMP/C/103702/37/12/2024</t>
  </si>
  <si>
    <t>KHI/HO/D/MO/PC COMP/C/103702/38/12/2024</t>
  </si>
  <si>
    <t>KHI/HO/D/MO/PC COMP/C/103702/39/12/2024</t>
  </si>
  <si>
    <t>KHI/HO/D/MO/PC COMP/C/103702/40/12/2024</t>
  </si>
  <si>
    <t>KHI/HO/D/MO/PC COMP/C/103702/41/12/2024</t>
  </si>
  <si>
    <t>KHI/HO/D/MO/PC COMP/C/103702/43/12/2024</t>
  </si>
  <si>
    <t>KHI/HO/D/MO/PC COMP/C/103702/45/12/2024</t>
  </si>
  <si>
    <t>KHI/HO/D/MO/PC COMP/C/103702/124/12/2024</t>
  </si>
  <si>
    <t>KHI/HO/D/MO/PC COMP/C/103702/116/12/2024</t>
  </si>
  <si>
    <t>KHI/HO/D/MO/PC COMP/C/103702/115/12/2024</t>
  </si>
  <si>
    <t>KHI/HO/D/MO/PC COMP/C/103702/114/12/2024</t>
  </si>
  <si>
    <t>KHI/HO/D/MO/PC COMP/C/103702/112/12/2024</t>
  </si>
  <si>
    <t>KHI/HO/D/MO/PC COMP/C/103702/110/12/2024</t>
  </si>
  <si>
    <t>KHI/HO/D/MO/PC COMP/C/103702/109/12/2024</t>
  </si>
  <si>
    <t>KHI/HO/D/MO/PC COMP/C/103702/108/12/2024</t>
  </si>
  <si>
    <t>KHI/HO/D/MO/PC COMP/C/103702/105/12/2024</t>
  </si>
  <si>
    <t>KHI/HO/D/MO/PC COMP/C/103702/104/12/2024</t>
  </si>
  <si>
    <t>KHI/HO/D/MO/PC COMP/C/103702/102/12/2024</t>
  </si>
  <si>
    <t>KHI/HO/D/MO/PC COMP/C/103702/60/12/2024</t>
  </si>
  <si>
    <t>KHI/HO/D/MO/PC COMP/C/103702/101/12/2024</t>
  </si>
  <si>
    <t>KHI/HO/D/MO/PC COMP/C/103702/63/12/2024</t>
  </si>
  <si>
    <t>KHI/HO/D/MO/PC COMP/C/103702/64/12/2024</t>
  </si>
  <si>
    <t>KHI/HO/D/MO/PC COMP/C/103702/100/12/2024</t>
  </si>
  <si>
    <t>KHI/HO/D/MO/PC COMP/C/103702/66/12/2024</t>
  </si>
  <si>
    <t>KHI/HO/D/MO/PC COMP/C/103702/99/12/2024</t>
  </si>
  <si>
    <t>KHI/HO/D/MO/PC COMP/C/103702/69/12/2024</t>
  </si>
  <si>
    <t>KHI/HO/D/MO/PC COMP/C/103702/97/12/2024</t>
  </si>
  <si>
    <t>KHI/HO/D/MO/PC COMP/C/103702/1/12/2024</t>
  </si>
  <si>
    <t>KHI/HO/D/MO/PC COMP/C/103702/72/12/2024</t>
  </si>
  <si>
    <t>KHI/HO/D/MO/PC COMP/C/103702/95/12/2024</t>
  </si>
  <si>
    <t>KHI/HO/D/MO/PC COMP/C/103702/74/12/2024</t>
  </si>
  <si>
    <t>KHI/HO/D/MO/PC COMP/C/103702/93/12/2024</t>
  </si>
  <si>
    <t>KHI/HO/D/MO/PC COMP/C/103702/76/12/2024</t>
  </si>
  <si>
    <t>KHI/HO/D/MO/PC COMP/C/103702/88/12/2024</t>
  </si>
  <si>
    <t>KHI/HO/D/MO/PC COMP/C/103702/86/12/2024</t>
  </si>
  <si>
    <t>KHI/HO/D/MO/PC COMP/C/103702/85/12/2024</t>
  </si>
  <si>
    <t>KHI/HO/D/MO/PC COMP/C/103702/82/12/2024</t>
  </si>
  <si>
    <t>KHI/HO/D/MO/PC COMP/C/103702/421/12/2024</t>
  </si>
  <si>
    <t>KHI/HO/D/MO/PC COMP/C/103702/335/12/2024</t>
  </si>
  <si>
    <t>KHI/HO/D/MO/PC COMP/C/103702/233/12/2024</t>
  </si>
  <si>
    <t>KHI/HO/D/MO/PC COMP/C/103702/166/12/2024</t>
  </si>
  <si>
    <t>KHI/HO/D/MO/PC COMP/C/103702/150/12/2024</t>
  </si>
  <si>
    <t>KHI/HO/D/MO/PC COMP/C/103702/139/12/2024</t>
  </si>
  <si>
    <t>KHI/HO/D/MO/PC COMP/C/103702/103/12/2024</t>
  </si>
  <si>
    <t>KHI/HO/D/MO/PC COMP/C/104052/2/12/2024</t>
  </si>
  <si>
    <t>End. #</t>
  </si>
  <si>
    <t>REN</t>
  </si>
  <si>
    <t>KHI/HO/D/MO/PC COMP/C/93577/7/07/2024</t>
  </si>
  <si>
    <t>KHI/HO/D/MO/PC COMP/C/93577/8/07/2024</t>
  </si>
  <si>
    <t>KHI/HO/D/MO/PC COMP/C/99821/332/10/2024</t>
  </si>
  <si>
    <t>KHI/HO/D/MO/PC COMP/C/103702/13/12/2024</t>
  </si>
  <si>
    <t>KHI/HO/D/MO/PC COMP/C/103702/14/12/2024</t>
  </si>
  <si>
    <t>KHI/HO/D/MO/PC COMP/C/103702/15/12/2024</t>
  </si>
  <si>
    <t>KHI/HO/D/MO/PC COMP/C/103702/16/12/2024</t>
  </si>
  <si>
    <t>KHI/HO/D/MO/PC COMP/C/103702/19/12/2024</t>
  </si>
  <si>
    <t>KHI/HO/D/MO/PC COMP/C/103702/25/12/2024</t>
  </si>
  <si>
    <t>KHI/HO/D/MO/PC COMP/C/103702/29/12/2024</t>
  </si>
  <si>
    <t>KHI/HO/D/MO/PC COMP/C/103702/31/12/2024</t>
  </si>
  <si>
    <t>KHI/HO/D/MO/PC COMP/C/103702/32/12/2024</t>
  </si>
  <si>
    <t>KHI/HO/D/MO/PC COMP/C/103702/34/12/2024</t>
  </si>
  <si>
    <t>KHI/HO/D/MO/PC COMP/C/103702/42/12/2024</t>
  </si>
  <si>
    <t>KHI/HO/D/MO/PC COMP/C/103702/44/12/2024</t>
  </si>
  <si>
    <t>KHI/HO/D/MO/PC COMP/C/103702/46/12/2024</t>
  </si>
  <si>
    <t>KHI/HO/D/MO/PC COMP/C/103702/47/12/2024</t>
  </si>
  <si>
    <t>KHI/HO/D/MO/PC COMP/C/103702/48/12/2024</t>
  </si>
  <si>
    <t>KHI/HO/D/MO/PC COMP/C/103702/49/12/2024</t>
  </si>
  <si>
    <t>KHI/HO/D/MO/PC COMP/C/103702/50/12/2024</t>
  </si>
  <si>
    <t>KHI/HO/D/MO/PC COMP/C/103702/51/12/2024</t>
  </si>
  <si>
    <t>KHI/HO/D/MO/PC COMP/C/103702/52/12/2024</t>
  </si>
  <si>
    <t>KHI/HO/D/MO/PC COMP/C/103702/53/12/2024</t>
  </si>
  <si>
    <t>KHI/HO/D/MO/PC COMP/C/103702/54/12/2024</t>
  </si>
  <si>
    <t>KHI/HO/D/MO/PC COMP/C/103702/56/12/2024</t>
  </si>
  <si>
    <t>KHI/HO/D/MO/PC COMP/C/103702/57/12/2024</t>
  </si>
  <si>
    <t>KHI/HO/D/MO/PC COMP/C/103702/58/12/2024</t>
  </si>
  <si>
    <t>KHI/HO/D/MO/PC COMP/C/103702/59/12/2024</t>
  </si>
  <si>
    <t>KHI/HO/D/MO/PC COMP/C/103702/61/12/2024</t>
  </si>
  <si>
    <t>KHI/HO/D/MO/PC COMP/C/103702/62/12/2024</t>
  </si>
  <si>
    <t>KHI/HO/D/MO/PC COMP/C/103702/65/12/2024</t>
  </si>
  <si>
    <t>KHI/HO/D/MO/PC COMP/C/103702/67/12/2024</t>
  </si>
  <si>
    <t>KHI/HO/D/MO/PC COMP/C/103702/68/12/2024</t>
  </si>
  <si>
    <t>KHI/HO/D/MO/PC COMP/C/103702/70/12/2024</t>
  </si>
  <si>
    <t>KHI/HO/D/MO/PC COMP/C/103702/71/12/2024</t>
  </si>
  <si>
    <t>KHI/HO/D/MO/PC COMP/C/103702/73/12/2024</t>
  </si>
  <si>
    <t>KHI/HO/D/MO/PC COMP/C/103702/75/12/2024</t>
  </si>
  <si>
    <t>KHI/HO/D/MO/PC COMP/C/103702/77/12/2024</t>
  </si>
  <si>
    <t>KHI/HO/D/MO/PC COMP/C/103702/78/12/2024</t>
  </si>
  <si>
    <t>KHI/HO/D/MO/PC COMP/C/103702/79/12/2024</t>
  </si>
  <si>
    <t>KHI/HO/D/MO/PC COMP/C/103702/80/12/2024</t>
  </si>
  <si>
    <t>KHI/HO/D/MO/PC COMP/C/103702/81/12/2024</t>
  </si>
  <si>
    <t>KHI/HO/D/MO/PC COMP/C/103702/83/12/2024</t>
  </si>
  <si>
    <t>KHI/HO/D/MO/PC COMP/C/103702/84/12/2024</t>
  </si>
  <si>
    <t>KHI/HO/D/MO/PC COMP/C/103702/87/12/2024</t>
  </si>
  <si>
    <t>KHI/HO/D/MO/PC COMP/C/103702/89/12/2024</t>
  </si>
  <si>
    <t>KHI/HO/D/MO/PC COMP/C/103702/90/12/2024</t>
  </si>
  <si>
    <t>KHI/HO/D/MO/PC COMP/C/103702/91/12/2024</t>
  </si>
  <si>
    <t>KHI/HO/D/MO/PC COMP/C/103702/92/12/2024</t>
  </si>
  <si>
    <t>KHI/HO/D/MO/PC COMP/C/103702/96/12/2024</t>
  </si>
  <si>
    <t>KHI/HO/D/MO/PC COMP/C/103702/98/12/2024</t>
  </si>
  <si>
    <t>KHI/HO/D/MO/PC COMP/C/103702/106/12/2024</t>
  </si>
  <si>
    <t>KHI/HO/D/MO/PC COMP/C/103702/107/12/2024</t>
  </si>
  <si>
    <t>KHI/HO/D/MO/PC COMP/C/103702/111/12/2024</t>
  </si>
  <si>
    <t>KHI/HO/D/MO/PC COMP/C/103702/113/12/2024</t>
  </si>
  <si>
    <t>KHI/HO/D/MO/PC COMP/C/103702/117/12/2024</t>
  </si>
  <si>
    <t>KHI/HO/D/MO/PC COMP/C/103702/118/12/2024</t>
  </si>
  <si>
    <t>KHI/HO/D/MO/PC COMP/C/103702/119/12/2024</t>
  </si>
  <si>
    <t>KHI/HO/D/MO/PC COMP/C/103702/120/12/2024</t>
  </si>
  <si>
    <t>KHI/HO/D/MO/PC COMP/C/103702/121/12/2024</t>
  </si>
  <si>
    <t>KHI/HO/D/MO/PC COMP/C/103702/122/12/2024</t>
  </si>
  <si>
    <t>KHI/HO/D/MO/PC COMP/C/103702/123/12/2024</t>
  </si>
  <si>
    <t>KHI/HO/D/MO/PC COMP/C/103702/126/12/2024</t>
  </si>
  <si>
    <t>KHI/HO/D/MO/PC COMP/C/103702/127/12/2024</t>
  </si>
  <si>
    <t>KHI/HO/D/MO/PC COMP/C/103702/128/12/2024</t>
  </si>
  <si>
    <t>KHI/HO/D/MO/PC COMP/C/103702/129/12/2024</t>
  </si>
  <si>
    <t>KHI/HO/D/MO/PC COMP/C/103702/130/12/2024</t>
  </si>
  <si>
    <t>KHI/HO/D/MO/PC COMP/C/103702/132/12/2024</t>
  </si>
  <si>
    <t>KHI/HO/D/MO/PC COMP/C/103702/134/12/2024</t>
  </si>
  <si>
    <t>KHI/HO/D/MO/PC COMP/C/103702/135/12/2024</t>
  </si>
  <si>
    <t>KHI/HO/D/MO/PC COMP/C/103702/136/12/2024</t>
  </si>
  <si>
    <t>KHI/HO/D/MO/PC COMP/C/103702/137/12/2024</t>
  </si>
  <si>
    <t>KHI/HO/D/MO/PC COMP/C/103702/141/12/2024</t>
  </si>
  <si>
    <t>KHI/HO/D/MO/PC COMP/C/103702/144/12/2024</t>
  </si>
  <si>
    <t>KHI/HO/D/MO/PC COMP/C/103702/145/12/2024</t>
  </si>
  <si>
    <t>KHI/HO/D/MO/PC COMP/C/103702/146/12/2024</t>
  </si>
  <si>
    <t>KHI/HO/D/MO/PC COMP/C/103702/148/12/2024</t>
  </si>
  <si>
    <t>KHI/HO/D/MO/PC COMP/C/103702/149/12/2024</t>
  </si>
  <si>
    <t>KHI/HO/D/MO/PC COMP/C/103702/151/12/2024</t>
  </si>
  <si>
    <t>KHI/HO/D/MO/PC COMP/C/103702/152/12/2024</t>
  </si>
  <si>
    <t>KHI/HO/D/MO/PC COMP/C/103702/153/12/2024</t>
  </si>
  <si>
    <t>KHI/HO/D/MO/PC COMP/C/103702/154/12/2024</t>
  </si>
  <si>
    <t>KHI/HO/D/MO/PC COMP/C/103702/155/12/2024</t>
  </si>
  <si>
    <t>KHI/HO/D/MO/PC COMP/C/103702/156/12/2024</t>
  </si>
  <si>
    <t>KHI/HO/D/MO/PC COMP/C/103702/157/12/2024</t>
  </si>
  <si>
    <t>KHI/HO/D/MO/PC COMP/C/103702/158/12/2024</t>
  </si>
  <si>
    <t>KHI/HO/D/MO/PC COMP/C/103702/159/12/2024</t>
  </si>
  <si>
    <t>KHI/HO/D/MO/PC COMP/C/103702/162/12/2024</t>
  </si>
  <si>
    <t>KHI/HO/D/MO/PC COMP/C/103702/163/12/2024</t>
  </si>
  <si>
    <t>KHI/HO/D/MO/PC COMP/C/103702/165/12/2024</t>
  </si>
  <si>
    <t>KHI/HO/D/MO/PC COMP/C/103702/169/12/2024</t>
  </si>
  <si>
    <t>KHI/HO/D/MO/PC COMP/C/103702/170/12/2024</t>
  </si>
  <si>
    <t>KHI/HO/D/MO/PC COMP/C/103702/171/12/2024</t>
  </si>
  <si>
    <t>KHI/HO/D/MO/PC COMP/C/103702/172/12/2024</t>
  </si>
  <si>
    <t>KHI/HO/D/MO/PC COMP/C/103702/173/12/2024</t>
  </si>
  <si>
    <t>KHI/HO/D/MO/PC COMP/C/103702/174/12/2024</t>
  </si>
  <si>
    <t>KHI/HO/D/MO/PC COMP/C/103702/179/12/2024</t>
  </si>
  <si>
    <t>KHI/HO/D/MO/PC COMP/C/103702/180/12/2024</t>
  </si>
  <si>
    <t>KHI/HO/D/MO/PC COMP/C/103702/181/12/2024</t>
  </si>
  <si>
    <t>KHI/HO/D/MO/PC COMP/C/103702/182/12/2024</t>
  </si>
  <si>
    <t>KHI/HO/D/MO/PC COMP/C/103702/183/12/2024</t>
  </si>
  <si>
    <t>KHI/HO/D/MO/PC COMP/C/103702/184/12/2024</t>
  </si>
  <si>
    <t>KHI/HO/D/MO/PC COMP/C/103702/187/12/2024</t>
  </si>
  <si>
    <t>KHI/HO/D/MO/PC COMP/C/103702/188/12/2024</t>
  </si>
  <si>
    <t>KHI/HO/D/MO/PC COMP/C/103702/189/12/2024</t>
  </si>
  <si>
    <t>KHI/HO/D/MO/PC COMP/C/103702/190/12/2024</t>
  </si>
  <si>
    <t>KHI/HO/D/MO/PC COMP/C/103702/192/12/2024</t>
  </si>
  <si>
    <t>KHI/HO/D/MO/PC COMP/C/103702/197/12/2024</t>
  </si>
  <si>
    <t>KHI/HO/D/MO/PC COMP/C/103702/198/12/2024</t>
  </si>
  <si>
    <t>KHI/HO/D/MO/PC COMP/C/103702/200/12/2024</t>
  </si>
  <si>
    <t>KHI/HO/D/MO/PC COMP/C/103702/207/12/2024</t>
  </si>
  <si>
    <t>KHI/HO/D/MO/PC COMP/C/103702/210/12/2024</t>
  </si>
  <si>
    <t>KHI/HO/D/MO/PC COMP/C/103702/213/12/2024</t>
  </si>
  <si>
    <t>KHI/HO/D/MO/PC COMP/C/103702/215/12/2024</t>
  </si>
  <si>
    <t>KHI/HO/D/MO/PC COMP/C/103702/217/12/2024</t>
  </si>
  <si>
    <t>KHI/HO/D/MO/PC COMP/C/103702/218/12/2024</t>
  </si>
  <si>
    <t>KHI/HO/D/MO/PC COMP/C/103702/220/12/2024</t>
  </si>
  <si>
    <t>KHI/HO/D/MO/PC COMP/C/103702/221/12/2024</t>
  </si>
  <si>
    <t>KHI/HO/D/MO/PC COMP/C/103702/222/12/2024</t>
  </si>
  <si>
    <t>KHI/HO/D/MO/PC COMP/C/103702/226/12/2024</t>
  </si>
  <si>
    <t>KHI/HO/D/MO/PC COMP/C/103702/227/12/2024</t>
  </si>
  <si>
    <t>KHI/HO/D/MO/PC COMP/C/103702/228/12/2024</t>
  </si>
  <si>
    <t>KHI/HO/D/MO/PC COMP/C/103702/229/12/2024</t>
  </si>
  <si>
    <t>KHI/HO/D/MO/PC COMP/C/103702/230/12/2024</t>
  </si>
  <si>
    <t>KHI/HO/D/MO/PC COMP/C/103702/231/12/2024</t>
  </si>
  <si>
    <t>KHI/HO/D/MO/PC COMP/C/103702/232/12/2024</t>
  </si>
  <si>
    <t>KHI/HO/D/MO/PC COMP/C/103702/235/12/2024</t>
  </si>
  <si>
    <t>KHI/HO/D/MO/PC COMP/C/103702/236/12/2024</t>
  </si>
  <si>
    <t>KHI/HO/D/MO/PC COMP/C/103702/240/12/2024</t>
  </si>
  <si>
    <t>KHI/HO/D/MO/PC COMP/C/103702/243/12/2024</t>
  </si>
  <si>
    <t>KHI/HO/D/MO/PC COMP/C/103702/246/12/2024</t>
  </si>
  <si>
    <t>KHI/HO/D/MO/PC COMP/C/103702/247/12/2024</t>
  </si>
  <si>
    <t>KHI/HO/D/MO/PC COMP/C/103702/249/12/2024</t>
  </si>
  <si>
    <t>KHI/HO/D/MO/PC COMP/C/103702/250/12/2024</t>
  </si>
  <si>
    <t>KHI/HO/D/MO/PC COMP/C/103702/251/12/2024</t>
  </si>
  <si>
    <t>KHI/HO/D/MO/PC COMP/C/103702/252/12/2024</t>
  </si>
  <si>
    <t>KHI/HO/D/MO/PC COMP/C/103702/254/12/2024</t>
  </si>
  <si>
    <t>KHI/HO/D/MO/PC COMP/C/103702/255/12/2024</t>
  </si>
  <si>
    <t>KHI/HO/D/MO/PC COMP/C/103702/256/12/2024</t>
  </si>
  <si>
    <t>KHI/HO/D/MO/PC COMP/C/103702/257/12/2024</t>
  </si>
  <si>
    <t>KHI/HO/D/MO/PC COMP/C/103702/258/12/2024</t>
  </si>
  <si>
    <t>KHI/HO/D/MO/PC COMP/C/103702/259/12/2024</t>
  </si>
  <si>
    <t>KHI/HO/D/MO/PC COMP/C/103702/261/12/2024</t>
  </si>
  <si>
    <t>KHI/HO/D/MO/PC COMP/C/103702/262/12/2024</t>
  </si>
  <si>
    <t>KHI/HO/D/MO/PC COMP/C/103702/264/12/2024</t>
  </si>
  <si>
    <t>KHI/HO/D/MO/PC COMP/C/103702/266/12/2024</t>
  </si>
  <si>
    <t>KHI/HO/D/MO/PC COMP/C/103702/267/12/2024</t>
  </si>
  <si>
    <t>KHI/HO/D/MO/PC COMP/C/103702/269/12/2024</t>
  </si>
  <si>
    <t>KHI/HO/D/MO/PC COMP/C/103702/270/12/2024</t>
  </si>
  <si>
    <t>KHI/HO/D/MO/PC COMP/C/103702/272/12/2024</t>
  </si>
  <si>
    <t>KHI/HO/D/MO/PC COMP/C/103702/273/12/2024</t>
  </si>
  <si>
    <t>KHI/HO/D/MO/PC COMP/C/103702/274/12/2024</t>
  </si>
  <si>
    <t>KHI/HO/D/MO/PC COMP/C/103702/276/12/2024</t>
  </si>
  <si>
    <t>KHI/HO/D/MO/PC COMP/C/103702/277/12/2024</t>
  </si>
  <si>
    <t>KHI/HO/D/MO/PC COMP/C/103702/278/12/2024</t>
  </si>
  <si>
    <t>KHI/HO/D/MO/PC COMP/C/103702/279/12/2024</t>
  </si>
  <si>
    <t>KHI/HO/D/MO/PC COMP/C/103702/280/12/2024</t>
  </si>
  <si>
    <t>KHI/HO/D/MO/PC COMP/C/103702/281/12/2024</t>
  </si>
  <si>
    <t>KHI/HO/D/MO/PC COMP/C/103702/283/12/2024</t>
  </si>
  <si>
    <t>KHI/HO/D/MO/PC COMP/C/103702/286/12/2024</t>
  </si>
  <si>
    <t>KHI/HO/D/MO/PC COMP/C/103702/289/12/2024</t>
  </si>
  <si>
    <t>KHI/HO/D/MO/PC COMP/C/103702/290/12/2024</t>
  </si>
  <si>
    <t>KHI/HO/D/MO/PC COMP/C/103702/291/12/2024</t>
  </si>
  <si>
    <t>KHI/HO/D/MO/PC COMP/C/103702/294/12/2024</t>
  </si>
  <si>
    <t>KHI/HO/D/MO/PC COMP/C/103702/295/12/2024</t>
  </si>
  <si>
    <t>KHI/HO/D/MO/PC COMP/C/103702/296/12/2024</t>
  </si>
  <si>
    <t>KHI/HO/D/MO/PC COMP/C/103702/297/12/2024</t>
  </si>
  <si>
    <t>KHI/HO/D/MO/PC COMP/C/103702/298/12/2024</t>
  </si>
  <si>
    <t>KHI/HO/D/MO/PC COMP/C/103702/299/12/2024</t>
  </si>
  <si>
    <t>KHI/HO/D/MO/PC COMP/C/103702/300/12/2024</t>
  </si>
  <si>
    <t>KHI/HO/D/MO/PC COMP/C/103702/304/12/2024</t>
  </si>
  <si>
    <t>KHI/HO/D/MO/PC COMP/C/103702/307/12/2024</t>
  </si>
  <si>
    <t>KHI/HO/D/MO/PC COMP/C/103702/308/12/2024</t>
  </si>
  <si>
    <t>KHI/HO/D/MO/PC COMP/C/103702/309/12/2024</t>
  </si>
  <si>
    <t>KHI/HO/D/MO/PC COMP/C/103702/311/12/2024</t>
  </si>
  <si>
    <t>KHI/HO/D/MO/PC COMP/C/103702/313/12/2024</t>
  </si>
  <si>
    <t>KHI/HO/D/MO/PC COMP/C/103702/314/12/2024</t>
  </si>
  <si>
    <t>KHI/HO/D/MO/PC COMP/C/103702/316/12/2024</t>
  </si>
  <si>
    <t>KHI/HO/D/MO/PC COMP/C/103702/320/12/2024</t>
  </si>
  <si>
    <t>KHI/HO/D/MO/PC COMP/C/103702/321/12/2024</t>
  </si>
  <si>
    <t>KHI/HO/D/MO/PC COMP/C/103702/322/12/2024</t>
  </si>
  <si>
    <t>KHI/HO/D/MO/PC COMP/C/103702/323/12/2024</t>
  </si>
  <si>
    <t>KHI/HO/D/MO/PC COMP/C/103702/325/12/2024</t>
  </si>
  <si>
    <t>KHI/HO/D/MO/PC COMP/C/103702/326/12/2024</t>
  </si>
  <si>
    <t>KHI/HO/D/MO/PC COMP/C/103702/329/12/2024</t>
  </si>
  <si>
    <t>KHI/HO/D/MO/PC COMP/C/103702/337/12/2024</t>
  </si>
  <si>
    <t>KHI/HO/D/MO/PC COMP/C/103702/339/12/2024</t>
  </si>
  <si>
    <t>KHI/HO/D/MO/PC COMP/C/80441/98/12/2023</t>
  </si>
  <si>
    <t>KHI/HO/D/MO/PC COMP/C/103702/357/12/2024</t>
  </si>
  <si>
    <t>KHI/HO/D/MO/PC COMP/C/103702/358/12/2024</t>
  </si>
  <si>
    <t>KHI/HO/D/MO/PC COMP/C/103702/368/12/2024</t>
  </si>
  <si>
    <t>KHI/HO/D/MO/PC COMP/C/103702/372/12/2024</t>
  </si>
  <si>
    <t>KHI/HO/D/MO/PC COMP/C/103702/373/12/2024</t>
  </si>
  <si>
    <t>KHI/HO/D/MO/PC COMP/C/103702/375/12/2024</t>
  </si>
  <si>
    <t>KHI/HO/D/MO/PC COMP/C/103702/385/12/2024</t>
  </si>
  <si>
    <t>KHI/HO/D/MO/PC COMP/C/103702/386/12/2024</t>
  </si>
  <si>
    <t>KHI/HO/D/MO/PC COMP/C/103702/402/12/2024</t>
  </si>
  <si>
    <t>KHI/HO/D/MO/PC COMP/C/103702/404/12/2024</t>
  </si>
  <si>
    <t>KHI/HO/D/MO/PC COMP/C/103702/416/12/2024</t>
  </si>
  <si>
    <t>KHI/HO/D/MO/PC COMP/C/103702/408/12/2024</t>
  </si>
  <si>
    <t>KHI/HO/D/MO/PC COMP/C/103702/388/12/2024</t>
  </si>
  <si>
    <t>KHI/HO/D/MO/PC COMP/C/103702/312/12/2024</t>
  </si>
  <si>
    <t>KHI/HO/D/MO/PC COMP/C/103702/248/12/2024</t>
  </si>
  <si>
    <t>KHI/HO/D/MO/PC COMP/C/103702/237/12/2024</t>
  </si>
  <si>
    <t>KHI/HO/D/MO/PC COMP/C/103702/216/12/2024</t>
  </si>
  <si>
    <t>KHI/HO/D/MO/PC COMP/C/103702/209/12/2024</t>
  </si>
  <si>
    <t>KHI/HO/D/MO/PC COMP/C/103702/205/12/2024</t>
  </si>
  <si>
    <t>KHI/HO/D/MO/PC COMP/C/103702/55/12/2024</t>
  </si>
  <si>
    <t>KHI/HO/D/MO/PC COMP/C/102086/180/11/2024</t>
  </si>
  <si>
    <t>KHI/HO/D/MO/PC COMP/C/102086/174/11/2024</t>
  </si>
  <si>
    <t>KHI/HO/D/MO/PC COMP/C/103702/12/12/2024</t>
  </si>
  <si>
    <t>KHI/HO/D/MO/PC COMP/C/103702/125/12/2024</t>
  </si>
  <si>
    <t>KHI/HO/D/MO/PC COMP/C/103702/186/12/2024</t>
  </si>
  <si>
    <t>KHI/HO/D/MO/PC COMP/C/103702/94/12/2024</t>
  </si>
  <si>
    <t>KHI/HO/D/MO/PC COMP/E/49863/00015/12/2024</t>
  </si>
  <si>
    <t>KHI/HO/D/MO/PC COMP/E/49863/00088/12/2024</t>
  </si>
  <si>
    <t>KHI/HO/D/MO/PC COMP/E/49863/00151/12/2024</t>
  </si>
  <si>
    <t>KHI/HO/D/MO/PC COMP/E/49863/00220/12/2024</t>
  </si>
  <si>
    <t>KHI/HO/D/MO/PC COMP/E/49863/00268/12/2024</t>
  </si>
  <si>
    <t>KHI/HO/D/MO/PC COMP/E/49863/00369/12/2024</t>
  </si>
  <si>
    <t>KHI/HO/D/MO/PC COMP/E/49863/00381/12/2024</t>
  </si>
  <si>
    <t>KHI/HO/D/MO/PC COMP/E/49863/00357/12/2024</t>
  </si>
  <si>
    <t>KHI/HO/D/MO/PC COMP/E/49863/00306/12/2024</t>
  </si>
  <si>
    <t>KHI/HO/D/MO/PC COMP/E/49646/00291/12/2024</t>
  </si>
  <si>
    <t>KHI/HO/D/MO/PC COMP/E/50145/00011/12/2024</t>
  </si>
  <si>
    <t>KHI/HO/D/MO/PC COMP/E/49646/00050/12/2024</t>
  </si>
  <si>
    <t>KHI/HO/D/MO/PC COMP/E/49646/00051/12/2024</t>
  </si>
  <si>
    <t>KHI/HO/D/MO/PC COMP/E/49646/00058/12/2024</t>
  </si>
  <si>
    <t>KHI/HO/D/MO/PC COMP/E/49646/00089/12/2024</t>
  </si>
  <si>
    <t>KHI/HO/D/MO/PC COMP/E/49646/00091/12/2024</t>
  </si>
  <si>
    <t>KHI/HO/D/MO/PC COMP/E/49646/00095/12/2024</t>
  </si>
  <si>
    <t>KHI/HO/D/MO/PC COMP/E/49646/00102/12/2024</t>
  </si>
  <si>
    <t>KHI/HO/D/MO/PC COMP/E/49646/00125/12/2024</t>
  </si>
  <si>
    <t>KHI/HO/D/MO/PC COMP/E/49646/00129/12/2024</t>
  </si>
  <si>
    <t>KHI/HO/D/MO/PC COMP/E/49646/00134/12/2024</t>
  </si>
  <si>
    <t>KHI/HO/D/MO/PC COMP/E/49646/00147/12/2024</t>
  </si>
  <si>
    <t>KHI/HO/D/MO/PC COMP/E/49646/00174/12/2024</t>
  </si>
  <si>
    <t>KHI/HO/D/MO/PC COMP/E/49646/00183/12/2024</t>
  </si>
  <si>
    <t>KHI/HO/D/MO/PC COMP/E/49646/00196/12/2024</t>
  </si>
  <si>
    <t>KHI/HO/D/MO/PC COMP/E/49646/00212/12/2024</t>
  </si>
  <si>
    <t>KHI/HO/D/MO/PC COMP/E/49863/00161/12/2024</t>
  </si>
  <si>
    <t>KHI/HO/D/MO/PC COMP/E/49863/00107/12/2024</t>
  </si>
  <si>
    <t>KHI/HO/D/MO/PC COMP/E/49863/00066/12/2024</t>
  </si>
  <si>
    <t>-11-2024</t>
  </si>
  <si>
    <t>-12-2024</t>
  </si>
  <si>
    <t>-10-2024</t>
  </si>
  <si>
    <t>-09-2024</t>
  </si>
  <si>
    <t>A</t>
  </si>
  <si>
    <t>00002</t>
  </si>
  <si>
    <t>00003</t>
  </si>
  <si>
    <t>00005</t>
  </si>
  <si>
    <t>00006</t>
  </si>
  <si>
    <t>00007</t>
  </si>
  <si>
    <t>00008</t>
  </si>
  <si>
    <t>00010</t>
  </si>
  <si>
    <t>00011</t>
  </si>
  <si>
    <t>00012</t>
  </si>
  <si>
    <t>00013</t>
  </si>
  <si>
    <t>00014</t>
  </si>
  <si>
    <t>00015</t>
  </si>
  <si>
    <t>00016</t>
  </si>
  <si>
    <t>00017</t>
  </si>
  <si>
    <t>00020</t>
  </si>
  <si>
    <t>00021</t>
  </si>
  <si>
    <t>00022</t>
  </si>
  <si>
    <t>00023</t>
  </si>
  <si>
    <t>00024</t>
  </si>
  <si>
    <t>00026</t>
  </si>
  <si>
    <t>00028</t>
  </si>
  <si>
    <t>00031</t>
  </si>
  <si>
    <t>00036</t>
  </si>
  <si>
    <t>00037</t>
  </si>
  <si>
    <t>00038</t>
  </si>
  <si>
    <t>00039</t>
  </si>
  <si>
    <t>00040</t>
  </si>
  <si>
    <t>00042</t>
  </si>
  <si>
    <t>00044</t>
  </si>
  <si>
    <t>00045</t>
  </si>
  <si>
    <t>00047</t>
  </si>
  <si>
    <t>00048</t>
  </si>
  <si>
    <t>00049</t>
  </si>
  <si>
    <t>00050</t>
  </si>
  <si>
    <t>00051</t>
  </si>
  <si>
    <t>00052</t>
  </si>
  <si>
    <t>00053</t>
  </si>
  <si>
    <t>00054</t>
  </si>
  <si>
    <t>00055</t>
  </si>
  <si>
    <t>00407</t>
  </si>
  <si>
    <t>00060</t>
  </si>
  <si>
    <t>00061</t>
  </si>
  <si>
    <t>00062</t>
  </si>
  <si>
    <t>00063</t>
  </si>
  <si>
    <t>00067</t>
  </si>
  <si>
    <t>00068</t>
  </si>
  <si>
    <t>00069</t>
  </si>
  <si>
    <t>00074</t>
  </si>
  <si>
    <t>00075</t>
  </si>
  <si>
    <t>00076</t>
  </si>
  <si>
    <t>00077</t>
  </si>
  <si>
    <t>00078</t>
  </si>
  <si>
    <t>00080</t>
  </si>
  <si>
    <t>00083</t>
  </si>
  <si>
    <t>00085</t>
  </si>
  <si>
    <t>00086</t>
  </si>
  <si>
    <t>00087</t>
  </si>
  <si>
    <t>00088</t>
  </si>
  <si>
    <t>00089</t>
  </si>
  <si>
    <t>00094</t>
  </si>
  <si>
    <t>00096</t>
  </si>
  <si>
    <t>00097</t>
  </si>
  <si>
    <t>00098</t>
  </si>
  <si>
    <t>00099</t>
  </si>
  <si>
    <t>00100</t>
  </si>
  <si>
    <t>00103</t>
  </si>
  <si>
    <t>00108</t>
  </si>
  <si>
    <t>00109</t>
  </si>
  <si>
    <t>00113</t>
  </si>
  <si>
    <t>00114</t>
  </si>
  <si>
    <t>00115</t>
  </si>
  <si>
    <t>00117</t>
  </si>
  <si>
    <t>00122</t>
  </si>
  <si>
    <t>00126</t>
  </si>
  <si>
    <t>00127</t>
  </si>
  <si>
    <t>00130</t>
  </si>
  <si>
    <t>00131</t>
  </si>
  <si>
    <t>00138</t>
  </si>
  <si>
    <t>00144</t>
  </si>
  <si>
    <t>00145</t>
  </si>
  <si>
    <t>00150</t>
  </si>
  <si>
    <t>00151</t>
  </si>
  <si>
    <t>00152</t>
  </si>
  <si>
    <t>00153</t>
  </si>
  <si>
    <t>00155</t>
  </si>
  <si>
    <t>00156</t>
  </si>
  <si>
    <t>00158</t>
  </si>
  <si>
    <t>00159</t>
  </si>
  <si>
    <t>00160</t>
  </si>
  <si>
    <t>00001</t>
  </si>
  <si>
    <t>00162</t>
  </si>
  <si>
    <t>00165</t>
  </si>
  <si>
    <t>00166</t>
  </si>
  <si>
    <t>00167</t>
  </si>
  <si>
    <t>00170</t>
  </si>
  <si>
    <t>00171</t>
  </si>
  <si>
    <t>00172</t>
  </si>
  <si>
    <t>00175</t>
  </si>
  <si>
    <t>00176</t>
  </si>
  <si>
    <t>00177</t>
  </si>
  <si>
    <t>00181</t>
  </si>
  <si>
    <t>00186</t>
  </si>
  <si>
    <t>00191</t>
  </si>
  <si>
    <t>00193</t>
  </si>
  <si>
    <t>00194</t>
  </si>
  <si>
    <t>00195</t>
  </si>
  <si>
    <t>00204</t>
  </si>
  <si>
    <t>00205</t>
  </si>
  <si>
    <t>00207</t>
  </si>
  <si>
    <t>00209</t>
  </si>
  <si>
    <t>00210</t>
  </si>
  <si>
    <t>00211</t>
  </si>
  <si>
    <t>00212</t>
  </si>
  <si>
    <t>00216</t>
  </si>
  <si>
    <t>00217</t>
  </si>
  <si>
    <t>00219</t>
  </si>
  <si>
    <t>00220</t>
  </si>
  <si>
    <t>00221</t>
  </si>
  <si>
    <t>00222</t>
  </si>
  <si>
    <t>00227</t>
  </si>
  <si>
    <t>00229</t>
  </si>
  <si>
    <t>00240</t>
  </si>
  <si>
    <t>00242</t>
  </si>
  <si>
    <t>00246</t>
  </si>
  <si>
    <t>00247</t>
  </si>
  <si>
    <t>00248</t>
  </si>
  <si>
    <t>00250</t>
  </si>
  <si>
    <t>00251</t>
  </si>
  <si>
    <t>00258</t>
  </si>
  <si>
    <t>00259</t>
  </si>
  <si>
    <t>00260</t>
  </si>
  <si>
    <t>00263</t>
  </si>
  <si>
    <t>00265</t>
  </si>
  <si>
    <t>00268</t>
  </si>
  <si>
    <t>00270</t>
  </si>
  <si>
    <t>00273</t>
  </si>
  <si>
    <t>00277</t>
  </si>
  <si>
    <t>00278</t>
  </si>
  <si>
    <t>00282</t>
  </si>
  <si>
    <t>00283</t>
  </si>
  <si>
    <t>00284</t>
  </si>
  <si>
    <t>00285</t>
  </si>
  <si>
    <t>00286</t>
  </si>
  <si>
    <t>00287</t>
  </si>
  <si>
    <t>00292</t>
  </si>
  <si>
    <t>00295</t>
  </si>
  <si>
    <t>00296</t>
  </si>
  <si>
    <t>00305</t>
  </si>
  <si>
    <t>00311</t>
  </si>
  <si>
    <t>00313</t>
  </si>
  <si>
    <t>00314</t>
  </si>
  <si>
    <t>00315</t>
  </si>
  <si>
    <t>00317</t>
  </si>
  <si>
    <t>00318</t>
  </si>
  <si>
    <t>00319</t>
  </si>
  <si>
    <t>00320</t>
  </si>
  <si>
    <t>00321</t>
  </si>
  <si>
    <t>00322</t>
  </si>
  <si>
    <t>00323</t>
  </si>
  <si>
    <t>00327</t>
  </si>
  <si>
    <t>00328</t>
  </si>
  <si>
    <t>00338</t>
  </si>
  <si>
    <t>00341</t>
  </si>
  <si>
    <t>00342</t>
  </si>
  <si>
    <t>00345</t>
  </si>
  <si>
    <t>00346</t>
  </si>
  <si>
    <t>00347</t>
  </si>
  <si>
    <t>00352</t>
  </si>
  <si>
    <t>00360</t>
  </si>
  <si>
    <t>00366</t>
  </si>
  <si>
    <t>00367</t>
  </si>
  <si>
    <t>00369</t>
  </si>
  <si>
    <t>00370</t>
  </si>
  <si>
    <t>00371</t>
  </si>
  <si>
    <t>00372</t>
  </si>
  <si>
    <t>00374</t>
  </si>
  <si>
    <t>00376</t>
  </si>
  <si>
    <t>00378</t>
  </si>
  <si>
    <t>00379</t>
  </si>
  <si>
    <t>00381</t>
  </si>
  <si>
    <t>00384</t>
  </si>
  <si>
    <t>00386</t>
  </si>
  <si>
    <t>00390</t>
  </si>
  <si>
    <t>00391</t>
  </si>
  <si>
    <t>00392</t>
  </si>
  <si>
    <t>00393</t>
  </si>
  <si>
    <t>00394</t>
  </si>
  <si>
    <t>00396</t>
  </si>
  <si>
    <t>00401</t>
  </si>
  <si>
    <t>00402</t>
  </si>
  <si>
    <t>00405</t>
  </si>
  <si>
    <t>00406</t>
  </si>
  <si>
    <t>00404</t>
  </si>
  <si>
    <t>00403</t>
  </si>
  <si>
    <t>00400</t>
  </si>
  <si>
    <t>00399</t>
  </si>
  <si>
    <t>00398</t>
  </si>
  <si>
    <t>00397</t>
  </si>
  <si>
    <t>00395</t>
  </si>
  <si>
    <t>00389</t>
  </si>
  <si>
    <t>00388</t>
  </si>
  <si>
    <t>00387</t>
  </si>
  <si>
    <t>00385</t>
  </si>
  <si>
    <t>00383</t>
  </si>
  <si>
    <t>00382</t>
  </si>
  <si>
    <t>00380</t>
  </si>
  <si>
    <t>00377</t>
  </si>
  <si>
    <t>00375</t>
  </si>
  <si>
    <t>00373</t>
  </si>
  <si>
    <t>00368</t>
  </si>
  <si>
    <t>00365</t>
  </si>
  <si>
    <t>00364</t>
  </si>
  <si>
    <t>00362</t>
  </si>
  <si>
    <t>00361</t>
  </si>
  <si>
    <t>00359</t>
  </si>
  <si>
    <t>00358</t>
  </si>
  <si>
    <t>00357</t>
  </si>
  <si>
    <t>00356</t>
  </si>
  <si>
    <t>00355</t>
  </si>
  <si>
    <t>00354</t>
  </si>
  <si>
    <t>00353</t>
  </si>
  <si>
    <t>00351</t>
  </si>
  <si>
    <t>00350</t>
  </si>
  <si>
    <t>00349</t>
  </si>
  <si>
    <t>00344</t>
  </si>
  <si>
    <t>00343</t>
  </si>
  <si>
    <t>00340</t>
  </si>
  <si>
    <t>00339</t>
  </si>
  <si>
    <t>00337</t>
  </si>
  <si>
    <t>00336</t>
  </si>
  <si>
    <t>00335</t>
  </si>
  <si>
    <t>00334</t>
  </si>
  <si>
    <t>00333</t>
  </si>
  <si>
    <t>00332</t>
  </si>
  <si>
    <t>00331</t>
  </si>
  <si>
    <t>00330</t>
  </si>
  <si>
    <t>00329</t>
  </si>
  <si>
    <t>00326</t>
  </si>
  <si>
    <t>00325</t>
  </si>
  <si>
    <t>00324</t>
  </si>
  <si>
    <t>00316</t>
  </si>
  <si>
    <t>00310</t>
  </si>
  <si>
    <t>00309</t>
  </si>
  <si>
    <t>00308</t>
  </si>
  <si>
    <t>00307</t>
  </si>
  <si>
    <t>00306</t>
  </si>
  <si>
    <t>00304</t>
  </si>
  <si>
    <t>00303</t>
  </si>
  <si>
    <t>00302</t>
  </si>
  <si>
    <t>00301</t>
  </si>
  <si>
    <t>00300</t>
  </si>
  <si>
    <t>00299</t>
  </si>
  <si>
    <t>00297</t>
  </si>
  <si>
    <t>00294</t>
  </si>
  <si>
    <t>00293</t>
  </si>
  <si>
    <t>00291</t>
  </si>
  <si>
    <t>00290</t>
  </si>
  <si>
    <t>00289</t>
  </si>
  <si>
    <t>00288</t>
  </si>
  <si>
    <t>00281</t>
  </si>
  <si>
    <t>00280</t>
  </si>
  <si>
    <t>00279</t>
  </si>
  <si>
    <t>00276</t>
  </si>
  <si>
    <t>00275</t>
  </si>
  <si>
    <t>00274</t>
  </si>
  <si>
    <t>00272</t>
  </si>
  <si>
    <t>00271</t>
  </si>
  <si>
    <t>00269</t>
  </si>
  <si>
    <t>00267</t>
  </si>
  <si>
    <t>00266</t>
  </si>
  <si>
    <t>00264</t>
  </si>
  <si>
    <t>00262</t>
  </si>
  <si>
    <t>00261</t>
  </si>
  <si>
    <t>00257</t>
  </si>
  <si>
    <t>00256</t>
  </si>
  <si>
    <t>00255</t>
  </si>
  <si>
    <t>00254</t>
  </si>
  <si>
    <t>00253</t>
  </si>
  <si>
    <t>00252</t>
  </si>
  <si>
    <t>00249</t>
  </si>
  <si>
    <t>00245</t>
  </si>
  <si>
    <t>00244</t>
  </si>
  <si>
    <t>00243</t>
  </si>
  <si>
    <t>00058</t>
  </si>
  <si>
    <t>00241</t>
  </si>
  <si>
    <t>00091</t>
  </si>
  <si>
    <t>00095</t>
  </si>
  <si>
    <t>00102</t>
  </si>
  <si>
    <t>00239</t>
  </si>
  <si>
    <t>00238</t>
  </si>
  <si>
    <t>00125</t>
  </si>
  <si>
    <t>00129</t>
  </si>
  <si>
    <t>00134</t>
  </si>
  <si>
    <t>00147</t>
  </si>
  <si>
    <t>00174</t>
  </si>
  <si>
    <t>00237</t>
  </si>
  <si>
    <t>00236</t>
  </si>
  <si>
    <t>00235</t>
  </si>
  <si>
    <t>00183</t>
  </si>
  <si>
    <t>00196</t>
  </si>
  <si>
    <t>00234</t>
  </si>
  <si>
    <t>00233</t>
  </si>
  <si>
    <t>00232</t>
  </si>
  <si>
    <t>00231</t>
  </si>
  <si>
    <t>00230</t>
  </si>
  <si>
    <t>00228</t>
  </si>
  <si>
    <t>00226</t>
  </si>
  <si>
    <t>00225</t>
  </si>
  <si>
    <t>00224</t>
  </si>
  <si>
    <t>00223</t>
  </si>
  <si>
    <t>00218</t>
  </si>
  <si>
    <t>00215</t>
  </si>
  <si>
    <t>00214</t>
  </si>
  <si>
    <t>00208</t>
  </si>
  <si>
    <t>00206</t>
  </si>
  <si>
    <t>00203</t>
  </si>
  <si>
    <t>00202</t>
  </si>
  <si>
    <t>00201</t>
  </si>
  <si>
    <t>00200</t>
  </si>
  <si>
    <t>00198</t>
  </si>
  <si>
    <t>00197</t>
  </si>
  <si>
    <t>00190</t>
  </si>
  <si>
    <t>00189</t>
  </si>
  <si>
    <t>00188</t>
  </si>
  <si>
    <t>00187</t>
  </si>
  <si>
    <t>00185</t>
  </si>
  <si>
    <t>00184</t>
  </si>
  <si>
    <t>00182</t>
  </si>
  <si>
    <t>00179</t>
  </si>
  <si>
    <t>00348</t>
  </si>
  <si>
    <t>00178</t>
  </si>
  <si>
    <t>00173</t>
  </si>
  <si>
    <t>00169</t>
  </si>
  <si>
    <t>00168</t>
  </si>
  <si>
    <t>00164</t>
  </si>
  <si>
    <t>00161</t>
  </si>
  <si>
    <t>00157</t>
  </si>
  <si>
    <t>00154</t>
  </si>
  <si>
    <t>00410</t>
  </si>
  <si>
    <t>00411</t>
  </si>
  <si>
    <t>00149</t>
  </si>
  <si>
    <t>00413</t>
  </si>
  <si>
    <t>00415</t>
  </si>
  <si>
    <t>00148</t>
  </si>
  <si>
    <t>00417</t>
  </si>
  <si>
    <t>00419</t>
  </si>
  <si>
    <t>00146</t>
  </si>
  <si>
    <t>00421</t>
  </si>
  <si>
    <t>00143</t>
  </si>
  <si>
    <t>00422</t>
  </si>
  <si>
    <t>00142</t>
  </si>
  <si>
    <t>00141</t>
  </si>
  <si>
    <t>00140</t>
  </si>
  <si>
    <t>00139</t>
  </si>
  <si>
    <t>00137</t>
  </si>
  <si>
    <t>00136</t>
  </si>
  <si>
    <t>00135</t>
  </si>
  <si>
    <t>00133</t>
  </si>
  <si>
    <t>00132</t>
  </si>
  <si>
    <t>00128</t>
  </si>
  <si>
    <t>00423</t>
  </si>
  <si>
    <t>00124</t>
  </si>
  <si>
    <t>00424</t>
  </si>
  <si>
    <t>00420</t>
  </si>
  <si>
    <t>00418</t>
  </si>
  <si>
    <t>00123</t>
  </si>
  <si>
    <t>00121</t>
  </si>
  <si>
    <t>00120</t>
  </si>
  <si>
    <t>00414</t>
  </si>
  <si>
    <t>00119</t>
  </si>
  <si>
    <t>00118</t>
  </si>
  <si>
    <t>00412</t>
  </si>
  <si>
    <t>00116</t>
  </si>
  <si>
    <t>00409</t>
  </si>
  <si>
    <t>00112</t>
  </si>
  <si>
    <t>00111</t>
  </si>
  <si>
    <t>00110</t>
  </si>
  <si>
    <t>00107</t>
  </si>
  <si>
    <t>00106</t>
  </si>
  <si>
    <t>00105</t>
  </si>
  <si>
    <t>00104</t>
  </si>
  <si>
    <t>00101</t>
  </si>
  <si>
    <t>00093</t>
  </si>
  <si>
    <t>00092</t>
  </si>
  <si>
    <t>00090</t>
  </si>
  <si>
    <t>00084</t>
  </si>
  <si>
    <t>00082</t>
  </si>
  <si>
    <t>00081</t>
  </si>
  <si>
    <t>00363</t>
  </si>
  <si>
    <t>00079</t>
  </si>
  <si>
    <t>00073</t>
  </si>
  <si>
    <t>00072</t>
  </si>
  <si>
    <t>00071</t>
  </si>
  <si>
    <t>00070</t>
  </si>
  <si>
    <t>00066</t>
  </si>
  <si>
    <t>00065</t>
  </si>
  <si>
    <t>00064</t>
  </si>
  <si>
    <t>00059</t>
  </si>
  <si>
    <t>00056</t>
  </si>
  <si>
    <t>00046</t>
  </si>
  <si>
    <t>00043</t>
  </si>
  <si>
    <t>00199</t>
  </si>
  <si>
    <t>00041</t>
  </si>
  <si>
    <t>00035</t>
  </si>
  <si>
    <t>00034</t>
  </si>
  <si>
    <t>00033</t>
  </si>
  <si>
    <t>00032</t>
  </si>
  <si>
    <t>00030</t>
  </si>
  <si>
    <t>00029</t>
  </si>
  <si>
    <t>00027</t>
  </si>
  <si>
    <t>00025</t>
  </si>
  <si>
    <t>00019</t>
  </si>
  <si>
    <t>00018</t>
  </si>
  <si>
    <t>00009</t>
  </si>
  <si>
    <t>00004</t>
  </si>
  <si>
    <t xml:space="preserve"> </t>
  </si>
  <si>
    <t xml:space="preserve">   </t>
  </si>
  <si>
    <t>FUNC_ASSORTED_STRING(IA.ASSORTED_CODE)</t>
  </si>
  <si>
    <t>ASSORTED_CODE</t>
  </si>
  <si>
    <t>070000168101</t>
  </si>
  <si>
    <t>070000168105</t>
  </si>
  <si>
    <t>070000168123</t>
  </si>
  <si>
    <t>070000168150</t>
  </si>
  <si>
    <t>070000168159</t>
  </si>
  <si>
    <t>070000168172</t>
  </si>
  <si>
    <t>070000168188</t>
  </si>
  <si>
    <t>070000168240</t>
  </si>
  <si>
    <t>070000168267</t>
  </si>
  <si>
    <t>070000167979</t>
  </si>
  <si>
    <t>070000168026</t>
  </si>
  <si>
    <t>070000168027</t>
  </si>
  <si>
    <t>070000168034</t>
  </si>
  <si>
    <t>070000168065</t>
  </si>
  <si>
    <t>070000168067</t>
  </si>
  <si>
    <t>070000168071</t>
  </si>
  <si>
    <t>070000168078</t>
  </si>
  <si>
    <t>070000165786</t>
  </si>
  <si>
    <t>070000168110</t>
  </si>
  <si>
    <t>070000170665</t>
  </si>
  <si>
    <t>070000170666</t>
  </si>
  <si>
    <t>070000170667</t>
  </si>
  <si>
    <t>070000170668</t>
  </si>
  <si>
    <t>070000170669</t>
  </si>
  <si>
    <t>070000170670</t>
  </si>
  <si>
    <t>070000170671</t>
  </si>
  <si>
    <t>070000170673</t>
  </si>
  <si>
    <t>070000170674</t>
  </si>
  <si>
    <t>070000170675</t>
  </si>
  <si>
    <t>070000170677</t>
  </si>
  <si>
    <t>070000170678</t>
  </si>
  <si>
    <t>070000170680</t>
  </si>
  <si>
    <t>070000170681</t>
  </si>
  <si>
    <t>070000170682</t>
  </si>
  <si>
    <t>070000170684</t>
  </si>
  <si>
    <t>070000170685</t>
  </si>
  <si>
    <t>070000170687</t>
  </si>
  <si>
    <t>070000170688</t>
  </si>
  <si>
    <t>070000170690</t>
  </si>
  <si>
    <t>070000170691</t>
  </si>
  <si>
    <t>040000191350</t>
  </si>
  <si>
    <t>070000170692</t>
  </si>
  <si>
    <t>070000170693</t>
  </si>
  <si>
    <t>070000170694</t>
  </si>
  <si>
    <t>070000170695</t>
  </si>
  <si>
    <t>070000170696</t>
  </si>
  <si>
    <t>070000170697</t>
  </si>
  <si>
    <t>070000170698</t>
  </si>
  <si>
    <t>070000170700</t>
  </si>
  <si>
    <t>070000170701</t>
  </si>
  <si>
    <t>070000170702</t>
  </si>
  <si>
    <t>070000170704</t>
  </si>
  <si>
    <t>070000170705</t>
  </si>
  <si>
    <t>070000170707</t>
  </si>
  <si>
    <t>070000170708</t>
  </si>
  <si>
    <t>070000170709</t>
  </si>
  <si>
    <t>070000170711</t>
  </si>
  <si>
    <t>070000170712</t>
  </si>
  <si>
    <t>070000170714</t>
  </si>
  <si>
    <t>070000170715</t>
  </si>
  <si>
    <t>070000170717</t>
  </si>
  <si>
    <t>070000170718</t>
  </si>
  <si>
    <t>070000170633</t>
  </si>
  <si>
    <t>070000170636</t>
  </si>
  <si>
    <t>070000170645</t>
  </si>
  <si>
    <t>070000170649</t>
  </si>
  <si>
    <t>070000170652</t>
  </si>
  <si>
    <t>070000170656</t>
  </si>
  <si>
    <t>070000170659</t>
  </si>
  <si>
    <t>070000170662</t>
  </si>
  <si>
    <t>070000170672</t>
  </si>
  <si>
    <t>070000170676</t>
  </si>
  <si>
    <t>070000170679</t>
  </si>
  <si>
    <t>070000170719</t>
  </si>
  <si>
    <t>070000170720</t>
  </si>
  <si>
    <t>070000170721</t>
  </si>
  <si>
    <t>070000170722</t>
  </si>
  <si>
    <t>070000170723</t>
  </si>
  <si>
    <t>070000170724</t>
  </si>
  <si>
    <t>070000170725</t>
  </si>
  <si>
    <t>070000170727</t>
  </si>
  <si>
    <t>070000170729</t>
  </si>
  <si>
    <t>070000170731</t>
  </si>
  <si>
    <t>070000170732</t>
  </si>
  <si>
    <t>070000170734</t>
  </si>
  <si>
    <t>070000170735</t>
  </si>
  <si>
    <t>070000170736</t>
  </si>
  <si>
    <t>070000170738</t>
  </si>
  <si>
    <t>070000170741</t>
  </si>
  <si>
    <t>070000170742</t>
  </si>
  <si>
    <t>070000170744</t>
  </si>
  <si>
    <t>070000170683</t>
  </si>
  <si>
    <t>070000170686</t>
  </si>
  <si>
    <t>070000170689</t>
  </si>
  <si>
    <t>070000170699</t>
  </si>
  <si>
    <t>070000170703</t>
  </si>
  <si>
    <t>070000170706</t>
  </si>
  <si>
    <t>070000170710</t>
  </si>
  <si>
    <t>070000170713</t>
  </si>
  <si>
    <t>070000170716</t>
  </si>
  <si>
    <t>070000170726</t>
  </si>
  <si>
    <t>070000170730</t>
  </si>
  <si>
    <t>070000170733</t>
  </si>
  <si>
    <t>070000170737</t>
  </si>
  <si>
    <t>070000170740</t>
  </si>
  <si>
    <t>070000170743</t>
  </si>
  <si>
    <t>070000170753</t>
  </si>
  <si>
    <t>070000170922</t>
  </si>
  <si>
    <t>070000170926</t>
  </si>
  <si>
    <t>070000170929</t>
  </si>
  <si>
    <t>070000170746</t>
  </si>
  <si>
    <t>070000170747</t>
  </si>
  <si>
    <t>070000170748</t>
  </si>
  <si>
    <t>070000170749</t>
  </si>
  <si>
    <t>070000170750</t>
  </si>
  <si>
    <t>070000170751</t>
  </si>
  <si>
    <t>070000170752</t>
  </si>
  <si>
    <t>070000170754</t>
  </si>
  <si>
    <t>070000170755</t>
  </si>
  <si>
    <t>070000170756</t>
  </si>
  <si>
    <t>070000170758</t>
  </si>
  <si>
    <t>070000170759</t>
  </si>
  <si>
    <t>070000170762</t>
  </si>
  <si>
    <t>070000170763</t>
  </si>
  <si>
    <t>070000170765</t>
  </si>
  <si>
    <t>070000170766</t>
  </si>
  <si>
    <t>070000170768</t>
  </si>
  <si>
    <t>070000170769</t>
  </si>
  <si>
    <t>070000170771</t>
  </si>
  <si>
    <t>070000170772</t>
  </si>
  <si>
    <t>070000170760</t>
  </si>
  <si>
    <t>070000170767</t>
  </si>
  <si>
    <t>070000170770</t>
  </si>
  <si>
    <t>070000170780</t>
  </si>
  <si>
    <t>070000170784</t>
  </si>
  <si>
    <t>070000170787</t>
  </si>
  <si>
    <t>070000170791</t>
  </si>
  <si>
    <t>070000170794</t>
  </si>
  <si>
    <t>070000170797</t>
  </si>
  <si>
    <t>070000170807</t>
  </si>
  <si>
    <t>070000170811</t>
  </si>
  <si>
    <t>070000170814</t>
  </si>
  <si>
    <t>070000170818</t>
  </si>
  <si>
    <t>070000170821</t>
  </si>
  <si>
    <t>070000170824</t>
  </si>
  <si>
    <t>070000170834</t>
  </si>
  <si>
    <t>070000170838</t>
  </si>
  <si>
    <t>070000170932</t>
  </si>
  <si>
    <t>070000170942</t>
  </si>
  <si>
    <t>070000170946</t>
  </si>
  <si>
    <t>070000170949</t>
  </si>
  <si>
    <t>070000170953</t>
  </si>
  <si>
    <t>070000170956</t>
  </si>
  <si>
    <t>070000170959</t>
  </si>
  <si>
    <t>070000170967</t>
  </si>
  <si>
    <t>070000170970</t>
  </si>
  <si>
    <t>070000170773</t>
  </si>
  <si>
    <t>070000170774</t>
  </si>
  <si>
    <t>070000170775</t>
  </si>
  <si>
    <t>070000170776</t>
  </si>
  <si>
    <t>070000170777</t>
  </si>
  <si>
    <t>070000170779</t>
  </si>
  <si>
    <t>070000170781</t>
  </si>
  <si>
    <t>070000170782</t>
  </si>
  <si>
    <t>070000170783</t>
  </si>
  <si>
    <t>070000170785</t>
  </si>
  <si>
    <t>070000170786</t>
  </si>
  <si>
    <t>070000170788</t>
  </si>
  <si>
    <t>070000170789</t>
  </si>
  <si>
    <t>070000170790</t>
  </si>
  <si>
    <t>070000170792</t>
  </si>
  <si>
    <t>070000170793</t>
  </si>
  <si>
    <t>070000170795</t>
  </si>
  <si>
    <t>070000170796</t>
  </si>
  <si>
    <t>070000170798</t>
  </si>
  <si>
    <t>070000170799</t>
  </si>
  <si>
    <t>070000170841</t>
  </si>
  <si>
    <t>070000170845</t>
  </si>
  <si>
    <t>070000170848</t>
  </si>
  <si>
    <t>070000170851</t>
  </si>
  <si>
    <t>070000170861</t>
  </si>
  <si>
    <t>070000170865</t>
  </si>
  <si>
    <t>070000170868</t>
  </si>
  <si>
    <t>070000170872</t>
  </si>
  <si>
    <t>070000170875</t>
  </si>
  <si>
    <t>070000170878</t>
  </si>
  <si>
    <t>070000170888</t>
  </si>
  <si>
    <t>070000170892</t>
  </si>
  <si>
    <t>070000170895</t>
  </si>
  <si>
    <t>070000170899</t>
  </si>
  <si>
    <t>070000170902</t>
  </si>
  <si>
    <t>070000170905</t>
  </si>
  <si>
    <t>070000170915</t>
  </si>
  <si>
    <t>070000170919</t>
  </si>
  <si>
    <t>070000170800</t>
  </si>
  <si>
    <t>070000170801</t>
  </si>
  <si>
    <t>070000170802</t>
  </si>
  <si>
    <t>070000170803</t>
  </si>
  <si>
    <t>070000170804</t>
  </si>
  <si>
    <t>070000170805</t>
  </si>
  <si>
    <t>070000170806</t>
  </si>
  <si>
    <t>070000170808</t>
  </si>
  <si>
    <t>070000170809</t>
  </si>
  <si>
    <t>070000170810</t>
  </si>
  <si>
    <t>070000170812</t>
  </si>
  <si>
    <t>070000170813</t>
  </si>
  <si>
    <t>070000170815</t>
  </si>
  <si>
    <t>070000170816</t>
  </si>
  <si>
    <t>070000170817</t>
  </si>
  <si>
    <t>070000170819</t>
  </si>
  <si>
    <t>070000170820</t>
  </si>
  <si>
    <t>070000170822</t>
  </si>
  <si>
    <t>070000170823</t>
  </si>
  <si>
    <t>070000170825</t>
  </si>
  <si>
    <t>070000170826</t>
  </si>
  <si>
    <t>070000170827</t>
  </si>
  <si>
    <t>070000170828</t>
  </si>
  <si>
    <t>070000170829</t>
  </si>
  <si>
    <t>070000170830</t>
  </si>
  <si>
    <t>070000170831</t>
  </si>
  <si>
    <t>070000170832</t>
  </si>
  <si>
    <t>070000170833</t>
  </si>
  <si>
    <t>070000170835</t>
  </si>
  <si>
    <t>070000170836</t>
  </si>
  <si>
    <t>070000170837</t>
  </si>
  <si>
    <t>070000170839</t>
  </si>
  <si>
    <t>070000170840</t>
  </si>
  <si>
    <t>070000170842</t>
  </si>
  <si>
    <t>070000170843</t>
  </si>
  <si>
    <t>070000170844</t>
  </si>
  <si>
    <t>070000170846</t>
  </si>
  <si>
    <t>070000170847</t>
  </si>
  <si>
    <t>070000170849</t>
  </si>
  <si>
    <t>070000170850</t>
  </si>
  <si>
    <t>070000170852</t>
  </si>
  <si>
    <t>070000170853</t>
  </si>
  <si>
    <t>070000170854</t>
  </si>
  <si>
    <t>070000170855</t>
  </si>
  <si>
    <t>070000170856</t>
  </si>
  <si>
    <t>070000170857</t>
  </si>
  <si>
    <t>070000170858</t>
  </si>
  <si>
    <t>070000170859</t>
  </si>
  <si>
    <t>070000170860</t>
  </si>
  <si>
    <t>070000170862</t>
  </si>
  <si>
    <t>070000170864</t>
  </si>
  <si>
    <t>070000170866</t>
  </si>
  <si>
    <t>070000170867</t>
  </si>
  <si>
    <t>070000170869</t>
  </si>
  <si>
    <t>070000170870</t>
  </si>
  <si>
    <t>070000170871</t>
  </si>
  <si>
    <t>070000170873</t>
  </si>
  <si>
    <t>070000170874</t>
  </si>
  <si>
    <t>070000170876</t>
  </si>
  <si>
    <t>070000170879</t>
  </si>
  <si>
    <t>070000170880</t>
  </si>
  <si>
    <t>070000170881</t>
  </si>
  <si>
    <t>070000170882</t>
  </si>
  <si>
    <t>070000170883</t>
  </si>
  <si>
    <t>070000170884</t>
  </si>
  <si>
    <t>070000170885</t>
  </si>
  <si>
    <t>070000170886</t>
  </si>
  <si>
    <t>070000170887</t>
  </si>
  <si>
    <t>070000170889</t>
  </si>
  <si>
    <t>070000170890</t>
  </si>
  <si>
    <t>070000170891</t>
  </si>
  <si>
    <t>070000170893</t>
  </si>
  <si>
    <t>070000170894</t>
  </si>
  <si>
    <t>070000170896</t>
  </si>
  <si>
    <t>070000170897</t>
  </si>
  <si>
    <t>070000170898</t>
  </si>
  <si>
    <t>070000170900</t>
  </si>
  <si>
    <t>070000170901</t>
  </si>
  <si>
    <t>070000170903</t>
  </si>
  <si>
    <t>070000170904</t>
  </si>
  <si>
    <t>070000170906</t>
  </si>
  <si>
    <t>070000170907</t>
  </si>
  <si>
    <t>070000170908</t>
  </si>
  <si>
    <t>070000170909</t>
  </si>
  <si>
    <t>070000170910</t>
  </si>
  <si>
    <t>070000170911</t>
  </si>
  <si>
    <t>070000170912</t>
  </si>
  <si>
    <t>070000170914</t>
  </si>
  <si>
    <t>070000170916</t>
  </si>
  <si>
    <t>070000170917</t>
  </si>
  <si>
    <t>070000170918</t>
  </si>
  <si>
    <t>070000170920</t>
  </si>
  <si>
    <t>070000170921</t>
  </si>
  <si>
    <t>070000170923</t>
  </si>
  <si>
    <t>070000170924</t>
  </si>
  <si>
    <t>070000170925</t>
  </si>
  <si>
    <t>070000170927</t>
  </si>
  <si>
    <t>070000170930</t>
  </si>
  <si>
    <t>070000170931</t>
  </si>
  <si>
    <t>070000170933</t>
  </si>
  <si>
    <t>070000170934</t>
  </si>
  <si>
    <t>070000170935</t>
  </si>
  <si>
    <t>070000170936</t>
  </si>
  <si>
    <t>070000170937</t>
  </si>
  <si>
    <t>070000170938</t>
  </si>
  <si>
    <t>070000170939</t>
  </si>
  <si>
    <t>070000170940</t>
  </si>
  <si>
    <t>070000170941</t>
  </si>
  <si>
    <t>070000170943</t>
  </si>
  <si>
    <t>070000170944</t>
  </si>
  <si>
    <t>070000170945</t>
  </si>
  <si>
    <t>070000170947</t>
  </si>
  <si>
    <t>070000170948</t>
  </si>
  <si>
    <t>070000170950</t>
  </si>
  <si>
    <t>070000170951</t>
  </si>
  <si>
    <t>070000170952</t>
  </si>
  <si>
    <t>070000170954</t>
  </si>
  <si>
    <t>070000170955</t>
  </si>
  <si>
    <t>070000170957</t>
  </si>
  <si>
    <t>070000170958</t>
  </si>
  <si>
    <t>070000170960</t>
  </si>
  <si>
    <t>070000170961</t>
  </si>
  <si>
    <t>070000170962</t>
  </si>
  <si>
    <t>070000170963</t>
  </si>
  <si>
    <t>070000170964</t>
  </si>
  <si>
    <t>070000170965</t>
  </si>
  <si>
    <t>070000170966</t>
  </si>
  <si>
    <t>070000170968</t>
  </si>
  <si>
    <t>070000170969</t>
  </si>
  <si>
    <t>070000170971</t>
  </si>
  <si>
    <t>070000170625</t>
  </si>
  <si>
    <t>070000170626</t>
  </si>
  <si>
    <t>070000170627</t>
  </si>
  <si>
    <t>070000170628</t>
  </si>
  <si>
    <t>070000170629</t>
  </si>
  <si>
    <t>070000170630</t>
  </si>
  <si>
    <t>070000170631</t>
  </si>
  <si>
    <t>070000170632</t>
  </si>
  <si>
    <t>070000170634</t>
  </si>
  <si>
    <t>070000170635</t>
  </si>
  <si>
    <t>070000170637</t>
  </si>
  <si>
    <t>070000170638</t>
  </si>
  <si>
    <t>070000170639</t>
  </si>
  <si>
    <t>070000170640</t>
  </si>
  <si>
    <t>070000170641</t>
  </si>
  <si>
    <t>070000170642</t>
  </si>
  <si>
    <t>070000170643</t>
  </si>
  <si>
    <t>070000170644</t>
  </si>
  <si>
    <t>070000170646</t>
  </si>
  <si>
    <t>070000170647</t>
  </si>
  <si>
    <t>070000170648</t>
  </si>
  <si>
    <t>070000170650</t>
  </si>
  <si>
    <t>070000170651</t>
  </si>
  <si>
    <t>070000170653</t>
  </si>
  <si>
    <t>070000170654</t>
  </si>
  <si>
    <t>070000170655</t>
  </si>
  <si>
    <t>070000170657</t>
  </si>
  <si>
    <t>070000170658</t>
  </si>
  <si>
    <t>070000170660</t>
  </si>
  <si>
    <t>070000170661</t>
  </si>
  <si>
    <t>070000170663</t>
  </si>
  <si>
    <t>070000170664</t>
  </si>
  <si>
    <t>070000171909</t>
  </si>
  <si>
    <t>070000171912</t>
  </si>
  <si>
    <t>070000171915</t>
  </si>
  <si>
    <t>070000171918</t>
  </si>
  <si>
    <t>070000171921</t>
  </si>
  <si>
    <t>070000171925</t>
  </si>
  <si>
    <t>070000171931</t>
  </si>
  <si>
    <t>070000171934</t>
  </si>
  <si>
    <t>070000171935</t>
  </si>
  <si>
    <t>070000171937</t>
  </si>
  <si>
    <t>070000171942</t>
  </si>
  <si>
    <t>070000171944</t>
  </si>
  <si>
    <t>070000171946</t>
  </si>
  <si>
    <t>070000171948</t>
  </si>
  <si>
    <t>070000171949</t>
  </si>
  <si>
    <t>070000171951</t>
  </si>
  <si>
    <t>070000171952</t>
  </si>
  <si>
    <t>070000171953</t>
  </si>
  <si>
    <t>070000171958</t>
  </si>
  <si>
    <t>070000171959</t>
  </si>
  <si>
    <t>070000171961</t>
  </si>
  <si>
    <t>070000171963</t>
  </si>
  <si>
    <t>070000171964</t>
  </si>
  <si>
    <t>070000171965</t>
  </si>
  <si>
    <t>070000171973</t>
  </si>
  <si>
    <t>070000171980</t>
  </si>
  <si>
    <t>070000171982</t>
  </si>
  <si>
    <t>070000171987</t>
  </si>
  <si>
    <t>070000171988</t>
  </si>
  <si>
    <t>070000171989</t>
  </si>
  <si>
    <t>070000171991</t>
  </si>
  <si>
    <t>070000171992</t>
  </si>
  <si>
    <t>070000171996</t>
  </si>
  <si>
    <t>070000171999</t>
  </si>
  <si>
    <t>070000172009</t>
  </si>
  <si>
    <t>070000172010</t>
  </si>
  <si>
    <t>070000171859</t>
  </si>
  <si>
    <t>070000171886</t>
  </si>
  <si>
    <t>070000171889</t>
  </si>
  <si>
    <t>070000171913</t>
  </si>
  <si>
    <t>070000171923</t>
  </si>
  <si>
    <t>070000172159</t>
  </si>
  <si>
    <t>070000171950</t>
  </si>
  <si>
    <t>070000171954</t>
  </si>
  <si>
    <t>070000171957</t>
  </si>
  <si>
    <t>070000172013</t>
  </si>
  <si>
    <t>070000172015</t>
  </si>
  <si>
    <t>070000172017</t>
  </si>
  <si>
    <t>070000172025</t>
  </si>
  <si>
    <t>070000172026</t>
  </si>
  <si>
    <t>070000172027</t>
  </si>
  <si>
    <t>070000172034</t>
  </si>
  <si>
    <t>070000172024</t>
  </si>
  <si>
    <t>070000172051</t>
  </si>
  <si>
    <t>070000172136</t>
  </si>
  <si>
    <t>070000172166</t>
  </si>
  <si>
    <t>070000172048</t>
  </si>
  <si>
    <t>070000172082</t>
  </si>
  <si>
    <t>070000172102</t>
  </si>
  <si>
    <t>070000172109</t>
  </si>
  <si>
    <t>070000172112</t>
  </si>
  <si>
    <t>070000172042</t>
  </si>
  <si>
    <t>070000172043</t>
  </si>
  <si>
    <t>070000172044</t>
  </si>
  <si>
    <t>070000172045</t>
  </si>
  <si>
    <t>070000172050</t>
  </si>
  <si>
    <t>070000172052</t>
  </si>
  <si>
    <t>070000172053</t>
  </si>
  <si>
    <t>070000172057</t>
  </si>
  <si>
    <t>070000172060</t>
  </si>
  <si>
    <t>070000172061</t>
  </si>
  <si>
    <t>070000172173</t>
  </si>
  <si>
    <t>070000172183</t>
  </si>
  <si>
    <t>070000172190</t>
  </si>
  <si>
    <t>070000172193</t>
  </si>
  <si>
    <t>070000172197</t>
  </si>
  <si>
    <t>070000172210</t>
  </si>
  <si>
    <t>070000172227</t>
  </si>
  <si>
    <t>070000172254</t>
  </si>
  <si>
    <t>070000172264</t>
  </si>
  <si>
    <t>070000172220</t>
  </si>
  <si>
    <t>070000172240</t>
  </si>
  <si>
    <t>070000172244</t>
  </si>
  <si>
    <t>070000172247</t>
  </si>
  <si>
    <t>070000172268</t>
  </si>
  <si>
    <t>070000172271</t>
  </si>
  <si>
    <t>070000172068</t>
  </si>
  <si>
    <t>070000172072</t>
  </si>
  <si>
    <t>070000172073</t>
  </si>
  <si>
    <t>070000172074</t>
  </si>
  <si>
    <t>070000172087</t>
  </si>
  <si>
    <t>070000172088</t>
  </si>
  <si>
    <t>070000172090</t>
  </si>
  <si>
    <t>070000172091</t>
  </si>
  <si>
    <t>070000172093</t>
  </si>
  <si>
    <t>070000172094</t>
  </si>
  <si>
    <t>070000172114</t>
  </si>
  <si>
    <t>070000172117</t>
  </si>
  <si>
    <t>070000172120</t>
  </si>
  <si>
    <t>070000172124</t>
  </si>
  <si>
    <t>070000172131</t>
  </si>
  <si>
    <t>070000172133</t>
  </si>
  <si>
    <t>070000172134</t>
  </si>
  <si>
    <t>070000172137</t>
  </si>
  <si>
    <t>070000172141</t>
  </si>
  <si>
    <t>070000172142</t>
  </si>
  <si>
    <t>070000172150</t>
  </si>
  <si>
    <t>070000172151</t>
  </si>
  <si>
    <t>070000172152</t>
  </si>
  <si>
    <t>070000172154</t>
  </si>
  <si>
    <t>070000172155</t>
  </si>
  <si>
    <t>070000172164</t>
  </si>
  <si>
    <t>070000172167</t>
  </si>
  <si>
    <t>070000172168</t>
  </si>
  <si>
    <t>070000172176</t>
  </si>
  <si>
    <t>070000172177</t>
  </si>
  <si>
    <t>070000172179</t>
  </si>
  <si>
    <t>070000172180</t>
  </si>
  <si>
    <t>070000172181</t>
  </si>
  <si>
    <t>070000172182</t>
  </si>
  <si>
    <t>070000172184</t>
  </si>
  <si>
    <t>070000172185</t>
  </si>
  <si>
    <t>070000172187</t>
  </si>
  <si>
    <t>070000172189</t>
  </si>
  <si>
    <t>070000172191</t>
  </si>
  <si>
    <t>070000172192</t>
  </si>
  <si>
    <t>070000172194</t>
  </si>
  <si>
    <t>070000172195</t>
  </si>
  <si>
    <t>070000172196</t>
  </si>
  <si>
    <t>070000172198</t>
  </si>
  <si>
    <t>070000172199</t>
  </si>
  <si>
    <t>070000172201</t>
  </si>
  <si>
    <t>070000172202</t>
  </si>
  <si>
    <t>070000172203</t>
  </si>
  <si>
    <t>070000172204</t>
  </si>
  <si>
    <t>070000172205</t>
  </si>
  <si>
    <t>070000172208</t>
  </si>
  <si>
    <t>070000172209</t>
  </si>
  <si>
    <t>070000172211</t>
  </si>
  <si>
    <t>070000172212</t>
  </si>
  <si>
    <t>070000172214</t>
  </si>
  <si>
    <t>070000172215</t>
  </si>
  <si>
    <t>070000172216</t>
  </si>
  <si>
    <t>070000172218</t>
  </si>
  <si>
    <t>070000172219</t>
  </si>
  <si>
    <t>070000172223</t>
  </si>
  <si>
    <t>070000172225</t>
  </si>
  <si>
    <t>070000172226</t>
  </si>
  <si>
    <t>070000172228</t>
  </si>
  <si>
    <t>070000172229</t>
  </si>
  <si>
    <t>070000172230</t>
  </si>
  <si>
    <t>070000172231</t>
  </si>
  <si>
    <t>070000172232</t>
  </si>
  <si>
    <t>070000172233</t>
  </si>
  <si>
    <t>070000172236</t>
  </si>
  <si>
    <t>070000172239</t>
  </si>
  <si>
    <t>070000172241</t>
  </si>
  <si>
    <t>070000172242</t>
  </si>
  <si>
    <t>070000172243</t>
  </si>
  <si>
    <t>070000172245</t>
  </si>
  <si>
    <t>070000172246</t>
  </si>
  <si>
    <t>070000172248</t>
  </si>
  <si>
    <t>070000172249</t>
  </si>
  <si>
    <t>070000172250</t>
  </si>
  <si>
    <t>070000172252</t>
  </si>
  <si>
    <t>070000172255</t>
  </si>
  <si>
    <t>070000172258</t>
  </si>
  <si>
    <t>070000172259</t>
  </si>
  <si>
    <t>070000172260</t>
  </si>
  <si>
    <t>070000172261</t>
  </si>
  <si>
    <t>070000172262</t>
  </si>
  <si>
    <t>070000172263</t>
  </si>
  <si>
    <t>070000172266</t>
  </si>
  <si>
    <t>070000172267</t>
  </si>
  <si>
    <t>070000172269</t>
  </si>
  <si>
    <t>070000172270</t>
  </si>
  <si>
    <t>070000172272</t>
  </si>
  <si>
    <t>070000172273</t>
  </si>
  <si>
    <t>070000171851</t>
  </si>
  <si>
    <t>070000171852</t>
  </si>
  <si>
    <t>070000171853</t>
  </si>
  <si>
    <t>070000171855</t>
  </si>
  <si>
    <t>070000171856</t>
  </si>
  <si>
    <t>070000171857</t>
  </si>
  <si>
    <t>070000171858</t>
  </si>
  <si>
    <t>070000171860</t>
  </si>
  <si>
    <t>070000171867</t>
  </si>
  <si>
    <t>070000171870</t>
  </si>
  <si>
    <t>070000171871</t>
  </si>
  <si>
    <t>070000171872</t>
  </si>
  <si>
    <t>070000171875</t>
  </si>
  <si>
    <t>070000171877</t>
  </si>
  <si>
    <t>070000171879</t>
  </si>
  <si>
    <t>070000171882</t>
  </si>
  <si>
    <t>070000171884</t>
  </si>
  <si>
    <t>070000171885</t>
  </si>
  <si>
    <t>070000171887</t>
  </si>
  <si>
    <t>070000171888</t>
  </si>
  <si>
    <t>070000171890</t>
  </si>
  <si>
    <t>070000171892</t>
  </si>
  <si>
    <t>070000171894</t>
  </si>
  <si>
    <t>070000171866</t>
  </si>
  <si>
    <t>070000171869</t>
  </si>
  <si>
    <t>070000171873</t>
  </si>
  <si>
    <t>070000171876</t>
  </si>
  <si>
    <t>070000171620</t>
  </si>
  <si>
    <t>070000170564</t>
  </si>
  <si>
    <t>070000170972</t>
  </si>
  <si>
    <t>070000171833</t>
  </si>
  <si>
    <t>070000171834</t>
  </si>
  <si>
    <t>070000170565</t>
  </si>
  <si>
    <t>070000170566</t>
  </si>
  <si>
    <t>070000170568</t>
  </si>
  <si>
    <t>070000170569</t>
  </si>
  <si>
    <t>070000170570</t>
  </si>
  <si>
    <t>070000170571</t>
  </si>
  <si>
    <t>070000170572</t>
  </si>
  <si>
    <t>070000170574</t>
  </si>
  <si>
    <t>070000170575</t>
  </si>
  <si>
    <t>070000170577</t>
  </si>
  <si>
    <t>070000170578</t>
  </si>
  <si>
    <t>070000170579</t>
  </si>
  <si>
    <t>070000170581</t>
  </si>
  <si>
    <t>070000170582</t>
  </si>
  <si>
    <t>070000170584</t>
  </si>
  <si>
    <t>070000170585</t>
  </si>
  <si>
    <t>070000170587</t>
  </si>
  <si>
    <t>070000170588</t>
  </si>
  <si>
    <t>070000170589</t>
  </si>
  <si>
    <t>070000170591</t>
  </si>
  <si>
    <t>070000170592</t>
  </si>
  <si>
    <t>070000170593</t>
  </si>
  <si>
    <t>070000170594</t>
  </si>
  <si>
    <t>070000170595</t>
  </si>
  <si>
    <t>070000170596</t>
  </si>
  <si>
    <t>070000170597</t>
  </si>
  <si>
    <t>070000170599</t>
  </si>
  <si>
    <t>070000170600</t>
  </si>
  <si>
    <t>070000170601</t>
  </si>
  <si>
    <t>070000170603</t>
  </si>
  <si>
    <t>070000170604</t>
  </si>
  <si>
    <t>070000170606</t>
  </si>
  <si>
    <t>070000170607</t>
  </si>
  <si>
    <t>070000170608</t>
  </si>
  <si>
    <t>070000170610</t>
  </si>
  <si>
    <t>070000170611</t>
  </si>
  <si>
    <t>070000170613</t>
  </si>
  <si>
    <t>070000170614</t>
  </si>
  <si>
    <t>070000170616</t>
  </si>
  <si>
    <t>070000170617</t>
  </si>
  <si>
    <t>070000170618</t>
  </si>
  <si>
    <t>070000170619</t>
  </si>
  <si>
    <t>070000170621</t>
  </si>
  <si>
    <t>070000170622</t>
  </si>
  <si>
    <t>070000170573</t>
  </si>
  <si>
    <t>070000170576</t>
  </si>
  <si>
    <t>070000170580</t>
  </si>
  <si>
    <t>070000170583</t>
  </si>
  <si>
    <t>070000170586</t>
  </si>
  <si>
    <t>070000170590</t>
  </si>
  <si>
    <t>070000170598</t>
  </si>
  <si>
    <t>070000170602</t>
  </si>
  <si>
    <t>070000170605</t>
  </si>
  <si>
    <t>070000170609</t>
  </si>
  <si>
    <t>070000170612</t>
  </si>
  <si>
    <t>070000170615</t>
  </si>
  <si>
    <t>POLICY NO.</t>
  </si>
  <si>
    <t>Assorted_code</t>
  </si>
  <si>
    <t>30Dec240042</t>
  </si>
  <si>
    <t>-07-2024</t>
  </si>
  <si>
    <t>-12-2023</t>
  </si>
  <si>
    <t>a</t>
  </si>
  <si>
    <t>00057</t>
  </si>
  <si>
    <t>00163</t>
  </si>
  <si>
    <t>00180</t>
  </si>
  <si>
    <t>00192</t>
  </si>
  <si>
    <t>00213</t>
  </si>
  <si>
    <t>00298</t>
  </si>
  <si>
    <t>00416</t>
  </si>
  <si>
    <t>00408</t>
  </si>
  <si>
    <t>00312</t>
  </si>
  <si>
    <t>070000148559</t>
  </si>
  <si>
    <t>070000168308</t>
  </si>
  <si>
    <t>070000162659</t>
  </si>
  <si>
    <t>070000162660</t>
  </si>
  <si>
    <t>070000170739</t>
  </si>
  <si>
    <t>070000170745</t>
  </si>
  <si>
    <t>070000171905</t>
  </si>
  <si>
    <t>070000171906</t>
  </si>
  <si>
    <t>070000171907</t>
  </si>
  <si>
    <t>070000171908</t>
  </si>
  <si>
    <t>070000171910</t>
  </si>
  <si>
    <t>070000171911</t>
  </si>
  <si>
    <t>070000171914</t>
  </si>
  <si>
    <t>070000171917</t>
  </si>
  <si>
    <t>070000171919</t>
  </si>
  <si>
    <t>070000171922</t>
  </si>
  <si>
    <t>070000171924</t>
  </si>
  <si>
    <t>070000171926</t>
  </si>
  <si>
    <t>070000171928</t>
  </si>
  <si>
    <t>070000171929</t>
  </si>
  <si>
    <t>070000171932</t>
  </si>
  <si>
    <t>070000171933</t>
  </si>
  <si>
    <t>070000171936</t>
  </si>
  <si>
    <t>070000171938</t>
  </si>
  <si>
    <t>070000171939</t>
  </si>
  <si>
    <t>070000171941</t>
  </si>
  <si>
    <t>070000171945</t>
  </si>
  <si>
    <t>070000171955</t>
  </si>
  <si>
    <t>070000171956</t>
  </si>
  <si>
    <t>070000171960</t>
  </si>
  <si>
    <t>070000171962</t>
  </si>
  <si>
    <t>070000171966</t>
  </si>
  <si>
    <t>070000171968</t>
  </si>
  <si>
    <t>070000171969</t>
  </si>
  <si>
    <t>070000171971</t>
  </si>
  <si>
    <t>070000171972</t>
  </si>
  <si>
    <t>070000171975</t>
  </si>
  <si>
    <t>070000171976</t>
  </si>
  <si>
    <t>070000171978</t>
  </si>
  <si>
    <t>070000171979</t>
  </si>
  <si>
    <t>070000171983</t>
  </si>
  <si>
    <t>070000171985</t>
  </si>
  <si>
    <t>070000171986</t>
  </si>
  <si>
    <t>070000171990</t>
  </si>
  <si>
    <t>070000171993</t>
  </si>
  <si>
    <t>070000171995</t>
  </si>
  <si>
    <t>070000171998</t>
  </si>
  <si>
    <t>070000172000</t>
  </si>
  <si>
    <t>070000172002</t>
  </si>
  <si>
    <t>070000172003</t>
  </si>
  <si>
    <t>070000172005</t>
  </si>
  <si>
    <t>070000172006</t>
  </si>
  <si>
    <t>070000172007</t>
  </si>
  <si>
    <t>070000172012</t>
  </si>
  <si>
    <t>070000171862</t>
  </si>
  <si>
    <t>070000171893</t>
  </si>
  <si>
    <t>070000171916</t>
  </si>
  <si>
    <t>070000171920</t>
  </si>
  <si>
    <t>070000171896</t>
  </si>
  <si>
    <t>070000171900</t>
  </si>
  <si>
    <t>070000171903</t>
  </si>
  <si>
    <t>070000172132</t>
  </si>
  <si>
    <t>070000172186</t>
  </si>
  <si>
    <t>070000171943</t>
  </si>
  <si>
    <t>070000171947</t>
  </si>
  <si>
    <t>070000171967</t>
  </si>
  <si>
    <t>070000171970</t>
  </si>
  <si>
    <t>070000171974</t>
  </si>
  <si>
    <t>070000171977</t>
  </si>
  <si>
    <t>070000171981</t>
  </si>
  <si>
    <t>070000171984</t>
  </si>
  <si>
    <t>070000171994</t>
  </si>
  <si>
    <t>070000172001</t>
  </si>
  <si>
    <t>070000172004</t>
  </si>
  <si>
    <t>070000172008</t>
  </si>
  <si>
    <t>070000172011</t>
  </si>
  <si>
    <t>070000172021</t>
  </si>
  <si>
    <t>070000172028</t>
  </si>
  <si>
    <t>070000172014</t>
  </si>
  <si>
    <t>070000172018</t>
  </si>
  <si>
    <t>070000172019</t>
  </si>
  <si>
    <t>070000172020</t>
  </si>
  <si>
    <t>070000172022</t>
  </si>
  <si>
    <t>070000172023</t>
  </si>
  <si>
    <t>070000172029</t>
  </si>
  <si>
    <t>070000172030</t>
  </si>
  <si>
    <t>070000172032</t>
  </si>
  <si>
    <t>070000172033</t>
  </si>
  <si>
    <t>070000172036</t>
  </si>
  <si>
    <t>070000172037</t>
  </si>
  <si>
    <t>070000172039</t>
  </si>
  <si>
    <t>070000171927</t>
  </si>
  <si>
    <t>070000171930</t>
  </si>
  <si>
    <t>070000171940</t>
  </si>
  <si>
    <t>070000171997</t>
  </si>
  <si>
    <t>070000172078</t>
  </si>
  <si>
    <t>070000172105</t>
  </si>
  <si>
    <t>070000172139</t>
  </si>
  <si>
    <t>070000172143</t>
  </si>
  <si>
    <t>070000172146</t>
  </si>
  <si>
    <t>070000172156</t>
  </si>
  <si>
    <t>070000172163</t>
  </si>
  <si>
    <t>070000172170</t>
  </si>
  <si>
    <t>070000172031</t>
  </si>
  <si>
    <t>070000172035</t>
  </si>
  <si>
    <t>070000172038</t>
  </si>
  <si>
    <t>070000172058</t>
  </si>
  <si>
    <t>070000172062</t>
  </si>
  <si>
    <t>070000172065</t>
  </si>
  <si>
    <t>070000172075</t>
  </si>
  <si>
    <t>070000172085</t>
  </si>
  <si>
    <t>070000172089</t>
  </si>
  <si>
    <t>070000172092</t>
  </si>
  <si>
    <t>070000172116</t>
  </si>
  <si>
    <t>070000172119</t>
  </si>
  <si>
    <t>070000172041</t>
  </si>
  <si>
    <t>070000172046</t>
  </si>
  <si>
    <t>070000172047</t>
  </si>
  <si>
    <t>070000172049</t>
  </si>
  <si>
    <t>070000172054</t>
  </si>
  <si>
    <t>070000172056</t>
  </si>
  <si>
    <t>070000172059</t>
  </si>
  <si>
    <t>070000172064</t>
  </si>
  <si>
    <t>070000172066</t>
  </si>
  <si>
    <t>070000172237</t>
  </si>
  <si>
    <t>070000172129</t>
  </si>
  <si>
    <t>070000172217</t>
  </si>
  <si>
    <t>070000172224</t>
  </si>
  <si>
    <t>070000172251</t>
  </si>
  <si>
    <t>070000172067</t>
  </si>
  <si>
    <t>070000172069</t>
  </si>
  <si>
    <t>070000172070</t>
  </si>
  <si>
    <t>070000172071</t>
  </si>
  <si>
    <t>070000172076</t>
  </si>
  <si>
    <t>070000172077</t>
  </si>
  <si>
    <t>070000172079</t>
  </si>
  <si>
    <t>070000172080</t>
  </si>
  <si>
    <t>070000172081</t>
  </si>
  <si>
    <t>070000172084</t>
  </si>
  <si>
    <t>070000172086</t>
  </si>
  <si>
    <t>070000172095</t>
  </si>
  <si>
    <t>070000172096</t>
  </si>
  <si>
    <t>070000172097</t>
  </si>
  <si>
    <t>070000172098</t>
  </si>
  <si>
    <t>070000172099</t>
  </si>
  <si>
    <t>070000172100</t>
  </si>
  <si>
    <t>070000172101</t>
  </si>
  <si>
    <t>070000172103</t>
  </si>
  <si>
    <t>070000172104</t>
  </si>
  <si>
    <t>070000172106</t>
  </si>
  <si>
    <t>070000172107</t>
  </si>
  <si>
    <t>070000172108</t>
  </si>
  <si>
    <t>070000172110</t>
  </si>
  <si>
    <t>070000172111</t>
  </si>
  <si>
    <t>070000172113</t>
  </si>
  <si>
    <t>070000172115</t>
  </si>
  <si>
    <t>070000172118</t>
  </si>
  <si>
    <t>070000172121</t>
  </si>
  <si>
    <t>070000172122</t>
  </si>
  <si>
    <t>070000172123</t>
  </si>
  <si>
    <t>070000172125</t>
  </si>
  <si>
    <t>070000172126</t>
  </si>
  <si>
    <t>070000172127</t>
  </si>
  <si>
    <t>070000172128</t>
  </si>
  <si>
    <t>070000172130</t>
  </si>
  <si>
    <t>070000172135</t>
  </si>
  <si>
    <t>070000172138</t>
  </si>
  <si>
    <t>070000172140</t>
  </si>
  <si>
    <t>070000172144</t>
  </si>
  <si>
    <t>070000172145</t>
  </si>
  <si>
    <t>070000172147</t>
  </si>
  <si>
    <t>070000172148</t>
  </si>
  <si>
    <t>070000172149</t>
  </si>
  <si>
    <t>070000172153</t>
  </si>
  <si>
    <t>070000172157</t>
  </si>
  <si>
    <t>070000172158</t>
  </si>
  <si>
    <t>070000172160</t>
  </si>
  <si>
    <t>070000172161</t>
  </si>
  <si>
    <t>070000172162</t>
  </si>
  <si>
    <t>070000172165</t>
  </si>
  <si>
    <t>070000172169</t>
  </si>
  <si>
    <t>070000172171</t>
  </si>
  <si>
    <t>070000172172</t>
  </si>
  <si>
    <t>070000172174</t>
  </si>
  <si>
    <t>070000172175</t>
  </si>
  <si>
    <t>070000172178</t>
  </si>
  <si>
    <t>070000172188</t>
  </si>
  <si>
    <t>070000172206</t>
  </si>
  <si>
    <t>070000172207</t>
  </si>
  <si>
    <t>070000172221</t>
  </si>
  <si>
    <t>070000172222</t>
  </si>
  <si>
    <t>070000172234</t>
  </si>
  <si>
    <t>070000172235</t>
  </si>
  <si>
    <t>070000172253</t>
  </si>
  <si>
    <t>070000172257</t>
  </si>
  <si>
    <t>070000172265</t>
  </si>
  <si>
    <t>070000171861</t>
  </si>
  <si>
    <t>070000171863</t>
  </si>
  <si>
    <t>070000171864</t>
  </si>
  <si>
    <t>070000171865</t>
  </si>
  <si>
    <t>070000171868</t>
  </si>
  <si>
    <t>070000171874</t>
  </si>
  <si>
    <t>070000171878</t>
  </si>
  <si>
    <t>070000171880</t>
  </si>
  <si>
    <t>070000171881</t>
  </si>
  <si>
    <t>070000171883</t>
  </si>
  <si>
    <t>070000171891</t>
  </si>
  <si>
    <t>070000171895</t>
  </si>
  <si>
    <t>070000171897</t>
  </si>
  <si>
    <t>070000171898</t>
  </si>
  <si>
    <t>070000171899</t>
  </si>
  <si>
    <t>070000171901</t>
  </si>
  <si>
    <t>070000171902</t>
  </si>
  <si>
    <t>070000171904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</si>
</sst>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6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0" borderId="0" xfId="0" applyAlignment="1">
      <alignment horizontal="center"/>
    </xf>
    <xf numFmtId="164" fontId="0" fillId="0" borderId="0" xfId="1" applyNumberFormat="1" applyFont="1"/>
    <xf numFmtId="164" fontId="3" fillId="5" borderId="1" xfId="1" applyNumberFormat="1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1" applyNumberFormat="1" applyFont="1" applyFill="1" applyBorder="1"/>
    <xf numFmtId="0" fontId="0" fillId="0" borderId="1" xfId="0" applyBorder="1"/>
    <xf numFmtId="164" fontId="0" fillId="0" borderId="1" xfId="1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5" borderId="1" xfId="0" applyFill="1" applyBorder="1"/>
    <xf numFmtId="0" fontId="0" fillId="5" borderId="0" xfId="0" applyFill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5" fillId="0" borderId="0" xfId="0" applyFont="1"/>
    <xf numFmtId="0" fontId="0" fillId="0" borderId="0" xfId="0" applyAlignment="1">
      <alignment vertical="top"/>
    </xf>
    <xf numFmtId="166" fontId="6" fillId="0" borderId="0" xfId="1" applyNumberFormat="1" applyFont="1" applyAlignment="1">
      <alignment vertical="top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left" vertical="top" wrapText="1"/>
    </xf>
    <xf numFmtId="0" fontId="0" fillId="5" borderId="0" xfId="0" applyFill="1" applyAlignment="1">
      <alignment wrapText="1"/>
    </xf>
    <xf numFmtId="164" fontId="0" fillId="0" borderId="0" xfId="0" applyNumberFormat="1"/>
  </cellXfs>
  <cellStyles count="2">
    <cellStyle name="Comma" xfId="1" builtinId="3"/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65" formatCode="m/d/yyyy"/>
    </dxf>
    <dxf>
      <numFmt numFmtId="165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baid.gulraiz\Downloads\Contribution_Register_New_Motor_(01-Jan-2018)_to_(30-Dec-2024).xls" TargetMode="External"/><Relationship Id="rId1" Type="http://schemas.openxmlformats.org/officeDocument/2006/relationships/externalLinkPath" Target="file:///C:\Users\obaid.gulraiz\Downloads\Contribution_Register_New_Motor_(01-Jan-2018)_to_(30-Dec-2024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Dubai Islamic Consumer"/>
      <sheetName val="DIB Negative"/>
    </sheetNames>
    <sheetDataSet>
      <sheetData sheetId="0" refreshError="1"/>
      <sheetData sheetId="1">
        <row r="3">
          <cell r="B3" t="str">
            <v>KHI/HO/D/MO/PC COMP/C/101257/51/11/2024</v>
          </cell>
          <cell r="Q3" t="str">
            <v>Z550721</v>
          </cell>
        </row>
        <row r="4">
          <cell r="B4" t="str">
            <v>KHI/HO/D/MO/PC COMP/C/101257/64/11/2024</v>
          </cell>
          <cell r="Q4" t="str">
            <v>1023913</v>
          </cell>
        </row>
        <row r="5">
          <cell r="B5" t="str">
            <v>KHI/HO/D/MO/PC COMP/C/102086/1/11/2024</v>
          </cell>
          <cell r="Q5" t="str">
            <v>1015930</v>
          </cell>
        </row>
        <row r="6">
          <cell r="B6" t="str">
            <v>KHI/HO/D/MO/PC COMP/C/102086/10/11/2024</v>
          </cell>
          <cell r="Q6" t="str">
            <v>246433</v>
          </cell>
        </row>
        <row r="7">
          <cell r="B7" t="str">
            <v>KHI/HO/D/MO/PC COMP/C/102086/100/11/2024</v>
          </cell>
          <cell r="Q7" t="str">
            <v>480532</v>
          </cell>
        </row>
        <row r="8">
          <cell r="B8" t="str">
            <v>KHI/HO/D/MO/PC COMP/C/102086/101/11/2024</v>
          </cell>
          <cell r="Q8" t="str">
            <v>2A07778</v>
          </cell>
        </row>
        <row r="9">
          <cell r="B9" t="str">
            <v>KHI/HO/D/MO/PC COMP/C/102086/102/11/2024</v>
          </cell>
          <cell r="Q9" t="str">
            <v>13512037</v>
          </cell>
        </row>
        <row r="10">
          <cell r="B10" t="str">
            <v>KHI/HO/D/MO/PC COMP/C/102086/103/11/2024</v>
          </cell>
          <cell r="Q10" t="str">
            <v>1009429</v>
          </cell>
        </row>
        <row r="11">
          <cell r="B11" t="str">
            <v>KHI/HO/D/MO/PC COMP/C/102086/104/11/2024</v>
          </cell>
          <cell r="Q11" t="str">
            <v>Q069133</v>
          </cell>
        </row>
        <row r="12">
          <cell r="B12" t="str">
            <v>KHI/HO/D/MO/PC COMP/C/102086/105/11/2024</v>
          </cell>
          <cell r="Q12" t="str">
            <v>2A13297</v>
          </cell>
        </row>
        <row r="13">
          <cell r="B13" t="str">
            <v>KHI/HO/D/MO/PC COMP/C/102086/106/11/2024</v>
          </cell>
          <cell r="Q13" t="str">
            <v>G4NALH344930</v>
          </cell>
        </row>
        <row r="14">
          <cell r="B14" t="str">
            <v>KHI/HO/D/MO/PC COMP/C/102086/107/11/2024</v>
          </cell>
          <cell r="Q14" t="str">
            <v>71400630</v>
          </cell>
        </row>
        <row r="15">
          <cell r="B15" t="str">
            <v>KHI/HO/D/MO/PC COMP/C/102086/108/11/2024</v>
          </cell>
          <cell r="Q15" t="str">
            <v>241050</v>
          </cell>
        </row>
        <row r="16">
          <cell r="B16" t="str">
            <v>KHI/HO/D/MO/PC COMP/C/102086/109/11/2024</v>
          </cell>
          <cell r="Q16" t="str">
            <v>81014737</v>
          </cell>
        </row>
        <row r="17">
          <cell r="B17" t="str">
            <v>KHI/HO/D/MO/PC COMP/C/102086/11/11/2024</v>
          </cell>
          <cell r="Q17" t="str">
            <v>2A10639</v>
          </cell>
        </row>
        <row r="18">
          <cell r="B18" t="str">
            <v>KHI/HO/D/MO/PC COMP/C/102086/110/11/2024</v>
          </cell>
          <cell r="Q18" t="str">
            <v>Q045404</v>
          </cell>
        </row>
        <row r="19">
          <cell r="B19" t="str">
            <v>KHI/HO/D/MO/PC COMP/C/102086/111/11/2024</v>
          </cell>
          <cell r="Q19" t="str">
            <v>3877541</v>
          </cell>
        </row>
        <row r="20">
          <cell r="B20" t="str">
            <v>KHI/HO/D/MO/PC COMP/C/102086/112/11/2024</v>
          </cell>
          <cell r="Q20" t="str">
            <v>Z522372</v>
          </cell>
        </row>
        <row r="21">
          <cell r="B21" t="str">
            <v>KHI/HO/D/MO/PC COMP/C/102086/113/11/2024</v>
          </cell>
          <cell r="Q21" t="str">
            <v>1016784</v>
          </cell>
        </row>
        <row r="22">
          <cell r="B22" t="str">
            <v>KHI/HO/D/MO/PC COMP/C/102086/114/11/2024</v>
          </cell>
          <cell r="Q22" t="str">
            <v>134290</v>
          </cell>
        </row>
        <row r="23">
          <cell r="B23" t="str">
            <v>KHI/HO/D/MO/PC COMP/C/102086/115/11/2024</v>
          </cell>
          <cell r="Q23" t="str">
            <v>6R191974</v>
          </cell>
        </row>
        <row r="24">
          <cell r="B24" t="str">
            <v>KHI/HO/D/MO/PC COMP/C/102086/116/11/2024</v>
          </cell>
          <cell r="Q24" t="str">
            <v>4142993</v>
          </cell>
        </row>
        <row r="25">
          <cell r="B25" t="str">
            <v>KHI/HO/D/MO/PC COMP/C/102086/117/11/2024</v>
          </cell>
          <cell r="Q25" t="str">
            <v>79755064</v>
          </cell>
        </row>
        <row r="26">
          <cell r="B26" t="str">
            <v>KHI/HO/D/MO/PC COMP/C/102086/118/11/2024</v>
          </cell>
          <cell r="Q26" t="str">
            <v>2A41388</v>
          </cell>
        </row>
        <row r="27">
          <cell r="B27" t="str">
            <v>KHI/HO/D/MO/PC COMP/C/102086/119/11/2024</v>
          </cell>
          <cell r="Q27" t="str">
            <v>504887</v>
          </cell>
        </row>
        <row r="28">
          <cell r="B28" t="str">
            <v>KHI/HO/D/MO/PC COMP/C/102086/12/11/2024</v>
          </cell>
          <cell r="Q28" t="str">
            <v>188029</v>
          </cell>
        </row>
        <row r="29">
          <cell r="B29" t="str">
            <v>KHI/HO/D/MO/PC COMP/C/102086/120/11/2024</v>
          </cell>
          <cell r="Q29" t="str">
            <v>PKS13049866</v>
          </cell>
        </row>
        <row r="30">
          <cell r="B30" t="str">
            <v>KHI/HO/D/MO/PC COMP/C/102086/121/11/2024</v>
          </cell>
          <cell r="Q30" t="str">
            <v>Z445618</v>
          </cell>
        </row>
        <row r="31">
          <cell r="B31" t="str">
            <v>KHI/HO/D/MO/PC COMP/C/102086/122/11/2024</v>
          </cell>
          <cell r="Q31" t="str">
            <v>518223</v>
          </cell>
        </row>
        <row r="32">
          <cell r="B32" t="str">
            <v>KHI/HO/D/MO/PC COMP/C/102086/123/11/2024</v>
          </cell>
          <cell r="Q32" t="str">
            <v>L13Z17518874</v>
          </cell>
        </row>
        <row r="33">
          <cell r="B33" t="str">
            <v>KHI/HO/D/MO/PC COMP/C/102086/124/11/2024</v>
          </cell>
          <cell r="Q33" t="str">
            <v>2A41181</v>
          </cell>
        </row>
        <row r="34">
          <cell r="B34" t="str">
            <v>KHI/HO/D/MO/PC COMP/C/102086/125/11/2024</v>
          </cell>
          <cell r="Q34" t="str">
            <v>1004518</v>
          </cell>
        </row>
        <row r="35">
          <cell r="B35" t="str">
            <v>KHI/HO/D/MO/PC COMP/C/102086/126/11/2024</v>
          </cell>
          <cell r="Q35" t="str">
            <v>5MGM6250379</v>
          </cell>
        </row>
        <row r="36">
          <cell r="B36" t="str">
            <v>KHI/HO/D/MO/PC COMP/C/102086/127/11/2024</v>
          </cell>
          <cell r="Q36" t="str">
            <v>1GD5065229</v>
          </cell>
        </row>
        <row r="37">
          <cell r="B37" t="str">
            <v>KHI/HO/D/MO/PC COMP/C/102086/128/11/2024</v>
          </cell>
          <cell r="Q37" t="str">
            <v>123872</v>
          </cell>
        </row>
        <row r="38">
          <cell r="B38" t="str">
            <v>KHI/HO/D/MO/PC COMP/C/102086/129/11/2024</v>
          </cell>
          <cell r="Q38" t="str">
            <v>159964</v>
          </cell>
        </row>
        <row r="39">
          <cell r="B39" t="str">
            <v>KHI/HO/D/MO/PC COMP/C/102086/13/11/2024</v>
          </cell>
          <cell r="Q39" t="str">
            <v>191149</v>
          </cell>
        </row>
        <row r="40">
          <cell r="B40" t="str">
            <v>KHI/HO/D/MO/PC COMP/C/102086/130/11/2024</v>
          </cell>
          <cell r="Q40" t="str">
            <v>1GD5078075</v>
          </cell>
        </row>
        <row r="41">
          <cell r="B41" t="str">
            <v>KHI/HO/D/MO/PC COMP/C/102086/131/11/2024</v>
          </cell>
          <cell r="Q41" t="str">
            <v>12908456</v>
          </cell>
        </row>
        <row r="42">
          <cell r="B42" t="str">
            <v>KHI/HO/D/MO/PC COMP/C/102086/132/11/2024</v>
          </cell>
          <cell r="Q42" t="str">
            <v>224127</v>
          </cell>
        </row>
        <row r="43">
          <cell r="B43" t="str">
            <v>KHI/HO/D/MO/PC COMP/C/102086/133/11/2024</v>
          </cell>
          <cell r="Q43" t="str">
            <v>100800</v>
          </cell>
        </row>
        <row r="44">
          <cell r="B44" t="str">
            <v>KHI/HO/D/MO/PC COMP/C/102086/134/11/2024</v>
          </cell>
          <cell r="Q44" t="str">
            <v>136448</v>
          </cell>
        </row>
        <row r="45">
          <cell r="B45" t="str">
            <v>KHI/HO/D/MO/PC COMP/C/102086/135/11/2024</v>
          </cell>
          <cell r="Q45" t="str">
            <v>172353</v>
          </cell>
        </row>
        <row r="46">
          <cell r="B46" t="str">
            <v>KHI/HO/D/MO/PC COMP/C/102086/136/11/2024</v>
          </cell>
          <cell r="Q46" t="str">
            <v>17445073</v>
          </cell>
        </row>
        <row r="47">
          <cell r="B47" t="str">
            <v>KHI/HO/D/MO/PC COMP/C/102086/137/11/2024</v>
          </cell>
          <cell r="Q47" t="str">
            <v>127963</v>
          </cell>
        </row>
        <row r="48">
          <cell r="B48" t="str">
            <v>KHI/HO/D/MO/PC COMP/C/102086/138/11/2024</v>
          </cell>
          <cell r="Q48" t="str">
            <v>607544</v>
          </cell>
        </row>
        <row r="49">
          <cell r="B49" t="str">
            <v>KHI/HO/D/MO/PC COMP/C/102086/139/11/2024</v>
          </cell>
          <cell r="Q49" t="str">
            <v>13036566</v>
          </cell>
        </row>
        <row r="50">
          <cell r="B50" t="str">
            <v>KHI/HO/D/MO/PC COMP/C/102086/14/11/2024</v>
          </cell>
          <cell r="Q50" t="str">
            <v>6R188933</v>
          </cell>
        </row>
        <row r="51">
          <cell r="B51" t="str">
            <v>KHI/HO/D/MO/PC COMP/C/102086/140/11/2024</v>
          </cell>
          <cell r="Q51" t="str">
            <v>6R133305</v>
          </cell>
        </row>
        <row r="52">
          <cell r="B52" t="str">
            <v>KHI/HO/D/MO/PC COMP/C/102086/141/11/2024</v>
          </cell>
          <cell r="Q52" t="str">
            <v>6R164503</v>
          </cell>
        </row>
        <row r="53">
          <cell r="B53" t="str">
            <v>KHI/HO/D/MO/PC COMP/C/102086/142/11/2024</v>
          </cell>
          <cell r="Q53" t="str">
            <v>Z423815</v>
          </cell>
        </row>
        <row r="54">
          <cell r="B54" t="str">
            <v>KHI/HO/D/MO/PC COMP/C/102086/143/11/2024</v>
          </cell>
          <cell r="Q54" t="str">
            <v>197563</v>
          </cell>
        </row>
        <row r="55">
          <cell r="B55" t="str">
            <v>KHI/HO/D/MO/PC COMP/C/102086/144/11/2024</v>
          </cell>
          <cell r="Q55" t="str">
            <v>1016963</v>
          </cell>
        </row>
        <row r="56">
          <cell r="B56" t="str">
            <v>KHI/HO/D/MO/PC COMP/C/102086/145/11/2024</v>
          </cell>
          <cell r="Q56" t="str">
            <v>191014</v>
          </cell>
        </row>
        <row r="57">
          <cell r="B57" t="str">
            <v>KHI/HO/D/MO/PC COMP/C/102086/146/11/2024</v>
          </cell>
          <cell r="Q57" t="str">
            <v>1528413</v>
          </cell>
        </row>
        <row r="58">
          <cell r="B58" t="str">
            <v>KHI/HO/D/MO/PC COMP/C/102086/147/11/2024</v>
          </cell>
          <cell r="Q58" t="str">
            <v>152180</v>
          </cell>
        </row>
        <row r="59">
          <cell r="B59" t="str">
            <v>KHI/HO/D/MO/PC COMP/C/102086/148/11/2024</v>
          </cell>
          <cell r="Q59" t="str">
            <v>PKS130291218</v>
          </cell>
        </row>
        <row r="60">
          <cell r="B60" t="str">
            <v>KHI/HO/D/MO/PC COMP/C/102086/149/11/2024</v>
          </cell>
          <cell r="Q60" t="str">
            <v>224619</v>
          </cell>
        </row>
        <row r="61">
          <cell r="B61" t="str">
            <v>KHI/HO/D/MO/PC COMP/C/102086/15/11/2024</v>
          </cell>
          <cell r="Q61" t="str">
            <v>207189</v>
          </cell>
        </row>
        <row r="62">
          <cell r="B62" t="str">
            <v>KHI/HO/D/MO/PC COMP/C/102086/150/11/2024</v>
          </cell>
          <cell r="Q62" t="str">
            <v>186931</v>
          </cell>
        </row>
        <row r="63">
          <cell r="B63" t="str">
            <v>KHI/HO/D/MO/PC COMP/C/102086/151/11/2024</v>
          </cell>
          <cell r="Q63" t="str">
            <v>Q030649</v>
          </cell>
        </row>
        <row r="64">
          <cell r="B64" t="str">
            <v>KHI/HO/D/MO/PC COMP/C/102086/152/11/2024</v>
          </cell>
          <cell r="Q64" t="str">
            <v>Z567033</v>
          </cell>
        </row>
        <row r="65">
          <cell r="B65" t="str">
            <v>KHI/HO/D/MO/PC COMP/C/102086/153/11/2024</v>
          </cell>
          <cell r="Q65" t="str">
            <v>36099</v>
          </cell>
        </row>
        <row r="66">
          <cell r="B66" t="str">
            <v>KHI/HO/D/MO/PC COMP/C/102086/154/11/2024</v>
          </cell>
          <cell r="Q66" t="str">
            <v>Z473815</v>
          </cell>
        </row>
        <row r="67">
          <cell r="B67" t="str">
            <v>KHI/HO/D/MO/PC COMP/C/102086/155/11/2024</v>
          </cell>
          <cell r="Q67" t="str">
            <v>1001234</v>
          </cell>
        </row>
        <row r="68">
          <cell r="B68" t="str">
            <v>KHI/HO/D/MO/PC COMP/C/102086/156/11/2024</v>
          </cell>
          <cell r="Q68" t="str">
            <v>1001391</v>
          </cell>
        </row>
        <row r="69">
          <cell r="B69" t="str">
            <v>KHI/HO/D/MO/PC COMP/C/102086/157/11/2024</v>
          </cell>
          <cell r="Q69" t="str">
            <v>696871</v>
          </cell>
        </row>
        <row r="70">
          <cell r="B70" t="str">
            <v>KHI/HO/D/MO/PC COMP/C/102086/158/11/2024</v>
          </cell>
          <cell r="Q70" t="str">
            <v>083421</v>
          </cell>
        </row>
        <row r="71">
          <cell r="B71" t="str">
            <v>KHI/HO/D/MO/PC COMP/C/102086/159/11/2024</v>
          </cell>
          <cell r="Q71" t="str">
            <v>Q083137</v>
          </cell>
        </row>
        <row r="72">
          <cell r="B72" t="str">
            <v>KHI/HO/D/MO/PC COMP/C/102086/16/11/2024</v>
          </cell>
          <cell r="Q72" t="str">
            <v>505771</v>
          </cell>
        </row>
        <row r="73">
          <cell r="B73" t="str">
            <v>KHI/HO/D/MO/PC COMP/C/102086/160/11/2024</v>
          </cell>
          <cell r="Q73" t="str">
            <v>5051718</v>
          </cell>
        </row>
        <row r="74">
          <cell r="B74" t="str">
            <v>KHI/HO/D/MO/PC COMP/C/102086/161/11/2024</v>
          </cell>
          <cell r="Q74" t="str">
            <v>3B20-KJ2754</v>
          </cell>
        </row>
        <row r="75">
          <cell r="B75" t="str">
            <v>KHI/HO/D/MO/PC COMP/C/102086/162/11/2024</v>
          </cell>
          <cell r="Q75" t="str">
            <v>877935</v>
          </cell>
        </row>
        <row r="76">
          <cell r="B76" t="str">
            <v>KHI/HO/D/MO/PC COMP/C/102086/163/11/2024</v>
          </cell>
          <cell r="Q76" t="str">
            <v>PKB675411</v>
          </cell>
        </row>
        <row r="77">
          <cell r="B77" t="str">
            <v>KHI/HO/D/MO/PC COMP/C/102086/164/11/2024</v>
          </cell>
          <cell r="Q77" t="str">
            <v>CAD518220</v>
          </cell>
        </row>
        <row r="78">
          <cell r="B78" t="str">
            <v>KHI/HO/D/MO/PC COMP/C/102086/165/11/2024</v>
          </cell>
          <cell r="Q78" t="str">
            <v>6R193082</v>
          </cell>
        </row>
        <row r="79">
          <cell r="B79" t="str">
            <v>KHI/HO/D/MO/PC COMP/C/102086/166/11/2024</v>
          </cell>
          <cell r="Q79" t="str">
            <v>506229</v>
          </cell>
        </row>
        <row r="80">
          <cell r="B80" t="str">
            <v>KHI/HO/D/MO/PC COMP/C/102086/167/11/2024</v>
          </cell>
          <cell r="Q80" t="str">
            <v>190806</v>
          </cell>
        </row>
        <row r="81">
          <cell r="B81" t="str">
            <v>KHI/HO/D/MO/PC COMP/C/102086/168/11/2024</v>
          </cell>
          <cell r="Q81" t="str">
            <v>6R144213</v>
          </cell>
        </row>
        <row r="82">
          <cell r="B82" t="str">
            <v>KHI/HO/D/MO/PC COMP/C/102086/169/11/2024</v>
          </cell>
          <cell r="Q82" t="str">
            <v>M05605795W</v>
          </cell>
        </row>
        <row r="83">
          <cell r="B83" t="str">
            <v>KHI/HO/D/MO/PC COMP/C/102086/17/11/2024</v>
          </cell>
          <cell r="Q83" t="str">
            <v>7541706</v>
          </cell>
        </row>
        <row r="84">
          <cell r="B84" t="str">
            <v>KHI/HO/D/MO/PC COMP/C/102086/170/11/2024</v>
          </cell>
          <cell r="Q84" t="str">
            <v>Z516627</v>
          </cell>
        </row>
        <row r="85">
          <cell r="B85" t="str">
            <v>KHI/HO/D/MO/PC COMP/C/102086/171/11/2024</v>
          </cell>
          <cell r="Q85" t="str">
            <v>521129</v>
          </cell>
        </row>
        <row r="86">
          <cell r="B86" t="str">
            <v>KHI/HO/D/MO/PC COMP/C/102086/172/11/2024</v>
          </cell>
          <cell r="Q86" t="str">
            <v>1002427</v>
          </cell>
        </row>
        <row r="87">
          <cell r="B87" t="str">
            <v>KHI/HO/D/MO/PC COMP/C/102086/173/11/2024</v>
          </cell>
          <cell r="Q87" t="str">
            <v>6R147045</v>
          </cell>
        </row>
        <row r="88">
          <cell r="B88" t="str">
            <v>KHI/HO/D/MO/PC COMP/C/102086/174/11/2024</v>
          </cell>
          <cell r="Q88" t="str">
            <v>254951</v>
          </cell>
        </row>
        <row r="89">
          <cell r="B89" t="str">
            <v>KHI/HO/D/MO/PC COMP/C/102086/175/11/2024</v>
          </cell>
          <cell r="Q89" t="str">
            <v>102170</v>
          </cell>
        </row>
        <row r="90">
          <cell r="B90" t="str">
            <v>KHI/HO/D/MO/PC COMP/C/102086/176/11/2024</v>
          </cell>
          <cell r="Q90" t="str">
            <v>137242</v>
          </cell>
        </row>
        <row r="91">
          <cell r="B91" t="str">
            <v>KHI/HO/D/MO/PC COMP/C/102086/177/11/2024</v>
          </cell>
          <cell r="Q91" t="str">
            <v>790647</v>
          </cell>
        </row>
        <row r="92">
          <cell r="B92" t="str">
            <v>KHI/HO/D/MO/PC COMP/C/102086/178/11/2024</v>
          </cell>
          <cell r="Q92" t="str">
            <v>107780</v>
          </cell>
        </row>
        <row r="93">
          <cell r="B93" t="str">
            <v>KHI/HO/D/MO/PC COMP/C/102086/179/11/2024</v>
          </cell>
          <cell r="Q93" t="str">
            <v>131433</v>
          </cell>
        </row>
        <row r="94">
          <cell r="B94" t="str">
            <v>KHI/HO/D/MO/PC COMP/C/102086/18/11/2024</v>
          </cell>
          <cell r="Q94" t="str">
            <v>208174</v>
          </cell>
        </row>
        <row r="95">
          <cell r="B95" t="str">
            <v>KHI/HO/D/MO/PC COMP/C/102086/180/11/2024</v>
          </cell>
          <cell r="Q95" t="str">
            <v>5094587</v>
          </cell>
        </row>
        <row r="96">
          <cell r="B96" t="str">
            <v>KHI/HO/D/MO/PC COMP/C/102086/181/11/2024</v>
          </cell>
          <cell r="Q96" t="str">
            <v>121379</v>
          </cell>
        </row>
        <row r="97">
          <cell r="B97" t="str">
            <v>KHI/HO/D/MO/PC COMP/C/102086/182/11/2024</v>
          </cell>
          <cell r="Q97" t="str">
            <v>R18Z16928436</v>
          </cell>
        </row>
        <row r="98">
          <cell r="B98" t="str">
            <v>KHI/HO/D/MO/PC COMP/C/102086/183/11/2024</v>
          </cell>
          <cell r="Q98" t="str">
            <v>16927731</v>
          </cell>
        </row>
        <row r="99">
          <cell r="B99" t="str">
            <v>KHI/HO/D/MO/PC COMP/C/102086/184/11/2024</v>
          </cell>
          <cell r="Q99" t="str">
            <v>Q354456</v>
          </cell>
        </row>
        <row r="100">
          <cell r="B100" t="str">
            <v>KHI/HO/D/MO/PC COMP/C/102086/185/11/2024</v>
          </cell>
          <cell r="Q100" t="str">
            <v>2A41133</v>
          </cell>
        </row>
        <row r="101">
          <cell r="B101" t="str">
            <v>KHI/HO/D/MO/PC COMP/C/102086/186/11/2024</v>
          </cell>
          <cell r="Q101" t="str">
            <v>R192511</v>
          </cell>
        </row>
        <row r="102">
          <cell r="B102" t="str">
            <v>KHI/HO/D/MO/PC COMP/C/102086/187/11/2024</v>
          </cell>
          <cell r="Q102" t="str">
            <v>51004356</v>
          </cell>
        </row>
        <row r="103">
          <cell r="B103" t="str">
            <v>KHI/HO/D/MO/PC COMP/C/102086/188/11/2024</v>
          </cell>
          <cell r="Q103" t="str">
            <v>2A41574</v>
          </cell>
        </row>
        <row r="104">
          <cell r="B104" t="str">
            <v>KHI/HO/D/MO/PC COMP/C/102086/189/11/2024</v>
          </cell>
          <cell r="Q104" t="str">
            <v>147167</v>
          </cell>
        </row>
        <row r="105">
          <cell r="B105" t="str">
            <v>KHI/HO/D/MO/PC COMP/C/102086/19/11/2024</v>
          </cell>
          <cell r="Q105" t="str">
            <v>259776</v>
          </cell>
        </row>
        <row r="106">
          <cell r="B106" t="str">
            <v>KHI/HO/D/MO/PC COMP/C/102086/190/11/2024</v>
          </cell>
          <cell r="Q106" t="str">
            <v>2A41211</v>
          </cell>
        </row>
        <row r="107">
          <cell r="B107" t="str">
            <v>KHI/HO/D/MO/PC COMP/C/102086/191/11/2024</v>
          </cell>
          <cell r="Q107" t="str">
            <v>2A10103</v>
          </cell>
        </row>
        <row r="108">
          <cell r="B108" t="str">
            <v>KHI/HO/D/MO/PC COMP/C/102086/192/11/2024</v>
          </cell>
          <cell r="Q108" t="str">
            <v>3A15Z14807149</v>
          </cell>
        </row>
        <row r="109">
          <cell r="B109" t="str">
            <v>KHI/HO/D/MO/PC COMP/C/102086/193/11/2024</v>
          </cell>
          <cell r="Q109" t="str">
            <v>Q083569</v>
          </cell>
        </row>
        <row r="110">
          <cell r="B110" t="str">
            <v>KHI/HO/D/MO/PC COMP/C/102086/194/11/2024</v>
          </cell>
          <cell r="Q110" t="str">
            <v>326238</v>
          </cell>
        </row>
        <row r="111">
          <cell r="B111" t="str">
            <v>KHI/HO/D/MO/PC COMP/C/102086/195/11/2024</v>
          </cell>
          <cell r="Q111" t="str">
            <v>245337</v>
          </cell>
        </row>
        <row r="112">
          <cell r="B112" t="str">
            <v>KHI/HO/D/MO/PC COMP/C/102086/196/11/2024</v>
          </cell>
          <cell r="Q112" t="str">
            <v>L15Z14807183</v>
          </cell>
        </row>
        <row r="113">
          <cell r="B113" t="str">
            <v>KHI/HO/D/MO/PC COMP/C/102086/197/11/2024</v>
          </cell>
          <cell r="Q113" t="str">
            <v>222005</v>
          </cell>
        </row>
        <row r="114">
          <cell r="B114" t="str">
            <v>KHI/HO/D/MO/PC COMP/C/102086/198/11/2024</v>
          </cell>
          <cell r="Q114" t="str">
            <v>37609</v>
          </cell>
        </row>
        <row r="115">
          <cell r="B115" t="str">
            <v>KHI/HO/D/MO/PC COMP/C/102086/199/11/2024</v>
          </cell>
          <cell r="Q115" t="str">
            <v>1025550</v>
          </cell>
        </row>
        <row r="116">
          <cell r="B116" t="str">
            <v>KHI/HO/D/MO/PC COMP/C/102086/2/11/2024</v>
          </cell>
          <cell r="Q116" t="str">
            <v>191006</v>
          </cell>
        </row>
        <row r="117">
          <cell r="B117" t="str">
            <v>KHI/HO/D/MO/PC COMP/C/102086/20/11/2024</v>
          </cell>
          <cell r="Q117" t="str">
            <v>6914492</v>
          </cell>
        </row>
        <row r="118">
          <cell r="B118" t="str">
            <v>KHI/HO/D/MO/PC COMP/C/102086/200/11/2024</v>
          </cell>
          <cell r="Q118" t="str">
            <v>135728</v>
          </cell>
        </row>
        <row r="119">
          <cell r="B119" t="str">
            <v>KHI/HO/D/MO/PC COMP/C/102086/201/11/2024</v>
          </cell>
          <cell r="Q119" t="str">
            <v>140314</v>
          </cell>
        </row>
        <row r="120">
          <cell r="B120" t="str">
            <v>KHI/HO/D/MO/PC COMP/C/102086/202/11/2024</v>
          </cell>
          <cell r="Q120" t="str">
            <v>132089</v>
          </cell>
        </row>
        <row r="121">
          <cell r="B121" t="str">
            <v>KHI/HO/D/MO/PC COMP/C/102086/203/11/2024</v>
          </cell>
          <cell r="Q121" t="str">
            <v>51001224</v>
          </cell>
        </row>
        <row r="122">
          <cell r="B122" t="str">
            <v>KHI/HO/D/MO/PC COMP/C/102086/204/11/2024</v>
          </cell>
          <cell r="Q122" t="str">
            <v>114053</v>
          </cell>
        </row>
        <row r="123">
          <cell r="B123" t="str">
            <v>KHI/HO/D/MO/PC COMP/C/102086/205/11/2024</v>
          </cell>
          <cell r="Q123" t="str">
            <v>141489</v>
          </cell>
        </row>
        <row r="124">
          <cell r="B124" t="str">
            <v>KHI/HO/D/MO/PC COMP/C/102086/206/11/2024</v>
          </cell>
          <cell r="Q124" t="str">
            <v>6R193264</v>
          </cell>
        </row>
        <row r="125">
          <cell r="B125" t="str">
            <v>KHI/HO/D/MO/PC COMP/C/102086/207/11/2024</v>
          </cell>
          <cell r="Q125" t="str">
            <v>6R191625</v>
          </cell>
        </row>
        <row r="126">
          <cell r="B126" t="str">
            <v>KHI/HO/D/MO/PC COMP/C/102086/208/11/2024</v>
          </cell>
          <cell r="Q126" t="str">
            <v>6427247</v>
          </cell>
        </row>
        <row r="127">
          <cell r="B127" t="str">
            <v>KHI/HO/D/MO/PC COMP/C/102086/209/11/2024</v>
          </cell>
          <cell r="Q127" t="str">
            <v>2A40162</v>
          </cell>
        </row>
        <row r="128">
          <cell r="B128" t="str">
            <v>KHI/HO/D/MO/PC COMP/C/102086/21/11/2024</v>
          </cell>
          <cell r="Q128" t="str">
            <v>L15Z81001399</v>
          </cell>
        </row>
        <row r="129">
          <cell r="B129" t="str">
            <v>KHI/HO/D/MO/PC COMP/C/102086/210/11/2024</v>
          </cell>
          <cell r="Q129" t="str">
            <v>911011</v>
          </cell>
        </row>
        <row r="130">
          <cell r="B130" t="str">
            <v>KHI/HO/D/MO/PC COMP/C/102086/211/11/2024</v>
          </cell>
          <cell r="Q130" t="str">
            <v>72600958</v>
          </cell>
        </row>
        <row r="131">
          <cell r="B131" t="str">
            <v>KHI/HO/D/MO/PC COMP/C/102086/212/11/2024</v>
          </cell>
          <cell r="Q131" t="str">
            <v>5074596</v>
          </cell>
        </row>
        <row r="132">
          <cell r="B132" t="str">
            <v>KHI/HO/D/MO/PC COMP/C/102086/213/11/2024</v>
          </cell>
          <cell r="Q132" t="str">
            <v>6R188092</v>
          </cell>
        </row>
        <row r="133">
          <cell r="B133" t="str">
            <v>KHI/HO/D/MO/PC COMP/C/102086/214/11/2024</v>
          </cell>
          <cell r="Q133" t="str">
            <v>6R191353</v>
          </cell>
        </row>
        <row r="134">
          <cell r="B134" t="str">
            <v>KHI/HO/D/MO/PC COMP/C/102086/215/11/2024</v>
          </cell>
          <cell r="Q134" t="str">
            <v>PKF-635689</v>
          </cell>
        </row>
        <row r="135">
          <cell r="B135" t="str">
            <v>KHI/HO/D/MO/PC COMP/C/102086/216/11/2024</v>
          </cell>
          <cell r="Q135" t="str">
            <v>6R190915</v>
          </cell>
        </row>
        <row r="136">
          <cell r="B136" t="str">
            <v>KHI/HO/D/MO/PC COMP/C/102086/217/11/2024</v>
          </cell>
          <cell r="Q136" t="str">
            <v>207050</v>
          </cell>
        </row>
        <row r="137">
          <cell r="B137" t="str">
            <v>KHI/HO/D/MO/PC COMP/C/102086/218/11/2024</v>
          </cell>
          <cell r="Q137" t="str">
            <v>743525</v>
          </cell>
        </row>
        <row r="138">
          <cell r="B138" t="str">
            <v>KHI/HO/D/MO/PC COMP/C/102086/219/11/2024</v>
          </cell>
          <cell r="Q138" t="str">
            <v>145063</v>
          </cell>
        </row>
        <row r="139">
          <cell r="B139" t="str">
            <v>KHI/HO/D/MO/PC COMP/C/102086/22/11/2024</v>
          </cell>
          <cell r="Q139" t="str">
            <v>327392</v>
          </cell>
        </row>
        <row r="140">
          <cell r="B140" t="str">
            <v>KHI/HO/D/MO/PC COMP/C/102086/220/11/2024</v>
          </cell>
          <cell r="Q140" t="str">
            <v>L13Z17449239</v>
          </cell>
        </row>
        <row r="141">
          <cell r="B141" t="str">
            <v>KHI/HO/D/MO/PC COMP/C/102086/221/11/2024</v>
          </cell>
          <cell r="Q141" t="str">
            <v>R18Z16914653</v>
          </cell>
        </row>
        <row r="142">
          <cell r="B142" t="str">
            <v>KHI/HO/D/MO/PC COMP/C/102086/222/11/2024</v>
          </cell>
          <cell r="Q142" t="str">
            <v>400926</v>
          </cell>
        </row>
        <row r="143">
          <cell r="B143" t="str">
            <v>KHI/HO/D/MO/PC COMP/C/102086/223/11/2024</v>
          </cell>
          <cell r="Q143" t="str">
            <v>146534</v>
          </cell>
        </row>
        <row r="144">
          <cell r="B144" t="str">
            <v>KHI/HO/D/MO/PC COMP/C/102086/224/11/2024</v>
          </cell>
          <cell r="Q144" t="str">
            <v>13048933</v>
          </cell>
        </row>
        <row r="145">
          <cell r="B145" t="str">
            <v>KHI/HO/D/MO/PC COMP/C/102086/225/11/2024</v>
          </cell>
          <cell r="Q145" t="str">
            <v>6R164836</v>
          </cell>
        </row>
        <row r="146">
          <cell r="B146" t="str">
            <v>KHI/HO/D/MO/PC COMP/C/102086/226/11/2024</v>
          </cell>
          <cell r="Q146" t="str">
            <v>2A28605</v>
          </cell>
        </row>
        <row r="147">
          <cell r="B147" t="str">
            <v>KHI/HO/D/MO/PC COMP/C/102086/227/11/2024</v>
          </cell>
          <cell r="Q147" t="str">
            <v>256731</v>
          </cell>
        </row>
        <row r="148">
          <cell r="B148" t="str">
            <v>KHI/HO/D/MO/PC COMP/C/102086/228/11/2024</v>
          </cell>
          <cell r="Q148" t="str">
            <v>210238</v>
          </cell>
        </row>
        <row r="149">
          <cell r="B149" t="str">
            <v>KHI/HO/D/MO/PC COMP/C/102086/229/11/2024</v>
          </cell>
          <cell r="Q149" t="str">
            <v>125297</v>
          </cell>
        </row>
        <row r="150">
          <cell r="B150" t="str">
            <v>KHI/HO/D/MO/PC COMP/C/102086/23/11/2024</v>
          </cell>
          <cell r="Q150" t="str">
            <v>324054</v>
          </cell>
        </row>
        <row r="151">
          <cell r="B151" t="str">
            <v>KHI/HO/D/MO/PC COMP/C/102086/230/11/2024</v>
          </cell>
          <cell r="Q151" t="str">
            <v>6R189499</v>
          </cell>
        </row>
        <row r="152">
          <cell r="B152" t="str">
            <v>KHI/HO/D/MO/PC COMP/C/102086/231/11/2024</v>
          </cell>
          <cell r="Q152" t="str">
            <v>17517525</v>
          </cell>
        </row>
        <row r="153">
          <cell r="B153" t="str">
            <v>KHI/HO/D/MO/PC COMP/C/102086/232/11/2024</v>
          </cell>
          <cell r="Q153" t="str">
            <v>1010912</v>
          </cell>
        </row>
        <row r="154">
          <cell r="B154" t="str">
            <v>KHI/HO/D/MO/PC COMP/C/102086/233/11/2024</v>
          </cell>
          <cell r="Q154" t="str">
            <v>12931273</v>
          </cell>
        </row>
        <row r="155">
          <cell r="B155" t="str">
            <v>KHI/HO/D/MO/PC COMP/C/102086/234/11/2024</v>
          </cell>
          <cell r="Q155" t="str">
            <v>1009071</v>
          </cell>
        </row>
        <row r="156">
          <cell r="B156" t="str">
            <v>KHI/HO/D/MO/PC COMP/C/102086/235/11/2024</v>
          </cell>
          <cell r="Q156" t="str">
            <v>Q068702</v>
          </cell>
        </row>
        <row r="157">
          <cell r="B157" t="str">
            <v>KHI/HO/D/MO/PC COMP/C/102086/236/11/2024</v>
          </cell>
          <cell r="Q157" t="str">
            <v>7542382</v>
          </cell>
        </row>
        <row r="158">
          <cell r="B158" t="str">
            <v>KHI/HO/D/MO/PC COMP/C/102086/237/11/2024</v>
          </cell>
          <cell r="Q158" t="str">
            <v>2A11283</v>
          </cell>
        </row>
        <row r="159">
          <cell r="B159" t="str">
            <v>KHI/HO/D/MO/PC COMP/C/102086/238/11/2024</v>
          </cell>
          <cell r="Q159" t="str">
            <v>208425</v>
          </cell>
        </row>
        <row r="160">
          <cell r="B160" t="str">
            <v>KHI/HO/D/MO/PC COMP/C/102086/239/11/2024</v>
          </cell>
          <cell r="Q160" t="str">
            <v>Q342522</v>
          </cell>
        </row>
        <row r="161">
          <cell r="B161" t="str">
            <v>KHI/HO/D/MO/PC COMP/C/102086/24/11/2024</v>
          </cell>
          <cell r="Q161" t="str">
            <v>10B239700</v>
          </cell>
        </row>
        <row r="162">
          <cell r="B162" t="str">
            <v>KHI/HO/D/MO/PC COMP/C/102086/240/11/2024</v>
          </cell>
          <cell r="Q162" t="str">
            <v>193113</v>
          </cell>
        </row>
        <row r="163">
          <cell r="B163" t="str">
            <v>KHI/HO/D/MO/PC COMP/C/102086/241/11/2024</v>
          </cell>
          <cell r="Q163" t="str">
            <v>143830</v>
          </cell>
        </row>
        <row r="164">
          <cell r="B164" t="str">
            <v>KHI/HO/D/MO/PC COMP/C/102086/242/11/2024</v>
          </cell>
          <cell r="Q164" t="str">
            <v>188492</v>
          </cell>
        </row>
        <row r="165">
          <cell r="B165" t="str">
            <v>KHI/HO/D/MO/PC COMP/C/102086/243/11/2024</v>
          </cell>
          <cell r="Q165" t="str">
            <v>627736</v>
          </cell>
        </row>
        <row r="166">
          <cell r="B166" t="str">
            <v>KHI/HO/D/MO/PC COMP/C/102086/244/11/2024</v>
          </cell>
          <cell r="Q166" t="str">
            <v>16920382</v>
          </cell>
        </row>
        <row r="167">
          <cell r="B167" t="str">
            <v>KHI/HO/D/MO/PC COMP/C/102086/245/11/2024</v>
          </cell>
          <cell r="Q167" t="str">
            <v>626759</v>
          </cell>
        </row>
        <row r="168">
          <cell r="B168" t="str">
            <v>KHI/HO/D/MO/PC COMP/C/102086/246/11/2024</v>
          </cell>
          <cell r="Q168" t="str">
            <v>168784</v>
          </cell>
        </row>
        <row r="169">
          <cell r="B169" t="str">
            <v>KHI/HO/D/MO/PC COMP/C/102086/247/11/2024</v>
          </cell>
          <cell r="Q169" t="str">
            <v>520088</v>
          </cell>
        </row>
        <row r="170">
          <cell r="B170" t="str">
            <v>KHI/HO/D/MO/PC COMP/C/102086/248/11/2024</v>
          </cell>
          <cell r="Q170" t="str">
            <v>1001154</v>
          </cell>
        </row>
        <row r="171">
          <cell r="B171" t="str">
            <v>KHI/HO/D/MO/PC COMP/C/102086/249/11/2024</v>
          </cell>
          <cell r="Q171" t="str">
            <v>12904654</v>
          </cell>
        </row>
        <row r="172">
          <cell r="B172" t="str">
            <v>KHI/HO/D/MO/PC COMP/C/102086/25/11/2024</v>
          </cell>
          <cell r="Q172" t="str">
            <v>259573</v>
          </cell>
        </row>
        <row r="173">
          <cell r="B173" t="str">
            <v>KHI/HO/D/MO/PC COMP/C/102086/250/11/2024</v>
          </cell>
          <cell r="Q173" t="str">
            <v>5UA3104017</v>
          </cell>
        </row>
        <row r="174">
          <cell r="B174" t="str">
            <v>KHI/HO/D/MO/PC COMP/C/102086/251/11/2024</v>
          </cell>
          <cell r="Q174" t="str">
            <v>5077912</v>
          </cell>
        </row>
        <row r="175">
          <cell r="B175" t="str">
            <v>KHI/HO/D/MO/PC COMP/C/102086/252/11/2024</v>
          </cell>
          <cell r="Q175" t="str">
            <v>Z561401</v>
          </cell>
        </row>
        <row r="176">
          <cell r="B176" t="str">
            <v>KHI/HO/D/MO/PC COMP/C/102086/253/11/2024</v>
          </cell>
          <cell r="Q176" t="str">
            <v>P083073</v>
          </cell>
        </row>
        <row r="177">
          <cell r="B177" t="str">
            <v>KHI/HO/D/MO/PC COMP/C/102086/254/11/2024</v>
          </cell>
          <cell r="Q177" t="str">
            <v>149658</v>
          </cell>
        </row>
        <row r="178">
          <cell r="B178" t="str">
            <v>KHI/HO/D/MO/PC COMP/C/102086/255/11/2024</v>
          </cell>
          <cell r="Q178" t="str">
            <v>17434548</v>
          </cell>
        </row>
        <row r="179">
          <cell r="B179" t="str">
            <v>KHI/HO/D/MO/PC COMP/C/102086/256/11/2024</v>
          </cell>
          <cell r="Q179" t="str">
            <v>193213</v>
          </cell>
        </row>
        <row r="180">
          <cell r="B180" t="str">
            <v>KHI/HO/D/MO/PC COMP/C/102086/257/11/2024</v>
          </cell>
          <cell r="Q180" t="str">
            <v>148302</v>
          </cell>
        </row>
        <row r="181">
          <cell r="B181" t="str">
            <v>KHI/HO/D/MO/PC COMP/C/102086/258/11/2024</v>
          </cell>
          <cell r="Q181" t="str">
            <v>115600</v>
          </cell>
        </row>
        <row r="182">
          <cell r="B182" t="str">
            <v>KHI/HO/D/MO/PC COMP/C/102086/259/11/2024</v>
          </cell>
          <cell r="Q182" t="str">
            <v>168835</v>
          </cell>
        </row>
        <row r="183">
          <cell r="B183" t="str">
            <v>KHI/HO/D/MO/PC COMP/C/102086/26/11/2024</v>
          </cell>
          <cell r="Q183" t="str">
            <v>122604</v>
          </cell>
        </row>
        <row r="184">
          <cell r="B184" t="str">
            <v>KHI/HO/D/MO/PC COMP/C/102086/260/11/2024</v>
          </cell>
          <cell r="Q184" t="str">
            <v>8752248</v>
          </cell>
        </row>
        <row r="185">
          <cell r="B185" t="str">
            <v>KHI/HO/D/MO/PC COMP/C/102086/261/11/2024</v>
          </cell>
          <cell r="Q185" t="str">
            <v>L15Z13511147</v>
          </cell>
        </row>
        <row r="186">
          <cell r="B186" t="str">
            <v>KHI/HO/D/MO/PC COMP/C/102086/262/11/2024</v>
          </cell>
          <cell r="Q186" t="str">
            <v>G4NALH326405</v>
          </cell>
        </row>
        <row r="187">
          <cell r="B187" t="str">
            <v>KHI/HO/D/MO/PC COMP/C/102086/263/11/2024</v>
          </cell>
          <cell r="Q187" t="str">
            <v>79797221</v>
          </cell>
        </row>
        <row r="188">
          <cell r="B188" t="str">
            <v>KHI/HO/D/MO/PC COMP/C/102086/264/11/2024</v>
          </cell>
          <cell r="Q188" t="str">
            <v>Q080900</v>
          </cell>
        </row>
        <row r="189">
          <cell r="B189" t="str">
            <v>KHI/HO/D/MO/PC COMP/C/102086/265/11/2024</v>
          </cell>
          <cell r="Q189" t="str">
            <v>3UA3101328</v>
          </cell>
        </row>
        <row r="190">
          <cell r="B190" t="str">
            <v>KHI/HO/D/MO/PC COMP/C/102086/266/11/2024</v>
          </cell>
          <cell r="Q190" t="str">
            <v>2A06124</v>
          </cell>
        </row>
        <row r="191">
          <cell r="B191" t="str">
            <v>KHI/HO/D/MO/PC COMP/C/102086/267/11/2024</v>
          </cell>
          <cell r="Q191" t="str">
            <v>L15A79796400</v>
          </cell>
        </row>
        <row r="192">
          <cell r="B192" t="str">
            <v>KHI/HO/D/MO/PC COMP/C/102086/268/11/2024</v>
          </cell>
          <cell r="Q192" t="str">
            <v>Q083497</v>
          </cell>
        </row>
        <row r="193">
          <cell r="B193" t="str">
            <v>KHI/HO/D/MO/PC COMP/C/102086/269/11/2024</v>
          </cell>
          <cell r="Q193" t="str">
            <v>13046413</v>
          </cell>
        </row>
        <row r="194">
          <cell r="B194" t="str">
            <v>KHI/HO/D/MO/PC COMP/C/102086/27/11/2024</v>
          </cell>
          <cell r="Q194" t="str">
            <v>354625</v>
          </cell>
        </row>
        <row r="195">
          <cell r="B195" t="str">
            <v>KHI/HO/D/MO/PC COMP/C/102086/270/11/2024</v>
          </cell>
          <cell r="Q195" t="str">
            <v>2A12207</v>
          </cell>
        </row>
        <row r="196">
          <cell r="B196" t="str">
            <v>KHI/HO/D/MO/PC COMP/C/102086/271/11/2024</v>
          </cell>
          <cell r="Q196" t="str">
            <v>6R149591</v>
          </cell>
        </row>
        <row r="197">
          <cell r="B197" t="str">
            <v>KHI/HO/D/MO/PC COMP/C/102086/272/11/2024</v>
          </cell>
          <cell r="Q197" t="str">
            <v>224469</v>
          </cell>
        </row>
        <row r="198">
          <cell r="B198" t="str">
            <v>KHI/HO/D/MO/PC COMP/C/102086/273/11/2024</v>
          </cell>
          <cell r="Q198" t="str">
            <v>503163</v>
          </cell>
        </row>
        <row r="199">
          <cell r="B199" t="str">
            <v>KHI/HO/D/MO/PC COMP/C/102086/274/11/2024</v>
          </cell>
          <cell r="Q199" t="str">
            <v>PK10K128807</v>
          </cell>
        </row>
        <row r="200">
          <cell r="B200" t="str">
            <v>KHI/HO/D/MO/PC COMP/C/102086/275/11/2024</v>
          </cell>
          <cell r="Q200" t="str">
            <v>79787379</v>
          </cell>
        </row>
        <row r="201">
          <cell r="B201" t="str">
            <v>KHI/HO/D/MO/PC COMP/C/102086/276/11/2024</v>
          </cell>
          <cell r="Q201" t="str">
            <v>Q025905</v>
          </cell>
        </row>
        <row r="202">
          <cell r="B202" t="str">
            <v>KHI/HO/D/MO/PC COMP/C/102086/277/11/2024</v>
          </cell>
          <cell r="Q202" t="str">
            <v>2A40398</v>
          </cell>
        </row>
        <row r="203">
          <cell r="B203" t="str">
            <v>KHI/HO/D/MO/PC COMP/C/102086/278/11/2024</v>
          </cell>
          <cell r="Q203" t="str">
            <v>79795504</v>
          </cell>
        </row>
        <row r="204">
          <cell r="B204" t="str">
            <v>KHI/HO/D/MO/PC COMP/C/102086/279/11/2024</v>
          </cell>
          <cell r="Q204" t="str">
            <v>722365</v>
          </cell>
        </row>
        <row r="205">
          <cell r="B205" t="str">
            <v>KHI/HO/D/MO/PC COMP/C/102086/28/11/2024</v>
          </cell>
          <cell r="Q205" t="str">
            <v>81012003</v>
          </cell>
        </row>
        <row r="206">
          <cell r="B206" t="str">
            <v>KHI/HO/D/MO/PC COMP/C/102086/280/11/2024</v>
          </cell>
          <cell r="Q206" t="str">
            <v>152077</v>
          </cell>
        </row>
        <row r="207">
          <cell r="B207" t="str">
            <v>KHI/HO/D/MO/PC COMP/C/102086/281/11/2024</v>
          </cell>
          <cell r="Q207" t="str">
            <v>171296</v>
          </cell>
        </row>
        <row r="208">
          <cell r="B208" t="str">
            <v>KHI/HO/D/MO/PC COMP/C/102086/282/11/2024</v>
          </cell>
          <cell r="Q208" t="str">
            <v>2A40236</v>
          </cell>
        </row>
        <row r="209">
          <cell r="B209" t="str">
            <v>KHI/HO/D/MO/PC COMP/C/102086/283/11/2024</v>
          </cell>
          <cell r="Q209" t="str">
            <v>518282</v>
          </cell>
        </row>
        <row r="210">
          <cell r="B210" t="str">
            <v>KHI/HO/D/MO/PC COMP/C/102086/284/11/2024</v>
          </cell>
          <cell r="Q210" t="str">
            <v>16914640</v>
          </cell>
        </row>
        <row r="211">
          <cell r="B211" t="str">
            <v>KHI/HO/D/MO/PC COMP/C/102086/285/11/2024</v>
          </cell>
          <cell r="Q211" t="str">
            <v>16914644</v>
          </cell>
        </row>
        <row r="212">
          <cell r="B212" t="str">
            <v>KHI/HO/D/MO/PC COMP/C/102086/286/11/2024</v>
          </cell>
          <cell r="Q212" t="str">
            <v>G4NALH330539</v>
          </cell>
        </row>
        <row r="213">
          <cell r="B213" t="str">
            <v>KHI/HO/D/MO/PC COMP/C/102086/287/11/2024</v>
          </cell>
          <cell r="Q213" t="str">
            <v>1GD5079758</v>
          </cell>
        </row>
        <row r="214">
          <cell r="B214" t="str">
            <v>KHI/HO/D/MO/PC COMP/C/102086/288/11/2024</v>
          </cell>
          <cell r="Q214" t="str">
            <v>Q345957</v>
          </cell>
        </row>
        <row r="215">
          <cell r="B215" t="str">
            <v>KHI/HO/D/MO/PC COMP/C/102086/289/11/2024</v>
          </cell>
          <cell r="Q215" t="str">
            <v>1GD5085577</v>
          </cell>
        </row>
        <row r="216">
          <cell r="B216" t="str">
            <v>KHI/HO/D/MO/PC COMP/C/102086/29/11/2024</v>
          </cell>
          <cell r="Q216" t="str">
            <v>164288</v>
          </cell>
        </row>
        <row r="217">
          <cell r="B217" t="str">
            <v>KHI/HO/D/MO/PC COMP/C/102086/290/11/2024</v>
          </cell>
          <cell r="Q217" t="str">
            <v>790645</v>
          </cell>
        </row>
        <row r="218">
          <cell r="B218" t="str">
            <v>KHI/HO/D/MO/PC COMP/C/102086/291/11/2024</v>
          </cell>
          <cell r="Q218" t="str">
            <v>L13217507338</v>
          </cell>
        </row>
        <row r="219">
          <cell r="B219" t="str">
            <v>KHI/HO/D/MO/PC COMP/C/102086/292/11/2024</v>
          </cell>
          <cell r="Q219" t="str">
            <v>6R257241</v>
          </cell>
        </row>
        <row r="220">
          <cell r="B220" t="str">
            <v>KHI/HO/D/MO/PC COMP/C/102086/293/11/2024</v>
          </cell>
          <cell r="Q220" t="str">
            <v>L15Z13500389</v>
          </cell>
        </row>
        <row r="221">
          <cell r="B221" t="str">
            <v>KHI/HO/D/MO/PC COMP/C/102086/294/11/2024</v>
          </cell>
          <cell r="Q221" t="str">
            <v>L15Z79786491</v>
          </cell>
        </row>
        <row r="222">
          <cell r="B222" t="str">
            <v>KHI/HO/D/MO/PC COMP/C/102086/295/11/2024</v>
          </cell>
          <cell r="Q222" t="str">
            <v>631786</v>
          </cell>
        </row>
        <row r="223">
          <cell r="B223" t="str">
            <v>KHI/HO/D/MO/PC COMP/C/102086/296/11/2024</v>
          </cell>
          <cell r="Q223" t="str">
            <v>1009813</v>
          </cell>
        </row>
        <row r="224">
          <cell r="B224" t="str">
            <v>KHI/HO/D/MO/PC COMP/C/102086/297/11/2024</v>
          </cell>
          <cell r="Q224" t="str">
            <v>CAD51833</v>
          </cell>
        </row>
        <row r="225">
          <cell r="B225" t="str">
            <v>KHI/HO/D/MO/PC COMP/C/102086/298/11/2024</v>
          </cell>
          <cell r="Q225" t="str">
            <v>108208251</v>
          </cell>
        </row>
        <row r="226">
          <cell r="B226" t="str">
            <v>KHI/HO/D/MO/PC COMP/C/102086/299/11/2024</v>
          </cell>
          <cell r="Q226" t="str">
            <v>194570</v>
          </cell>
        </row>
        <row r="227">
          <cell r="B227" t="str">
            <v>KHI/HO/D/MO/PC COMP/C/102086/3/11/2024</v>
          </cell>
          <cell r="Q227" t="str">
            <v>187626</v>
          </cell>
        </row>
        <row r="228">
          <cell r="B228" t="str">
            <v>KHI/HO/D/MO/PC COMP/C/102086/30/11/2024</v>
          </cell>
          <cell r="Q228" t="str">
            <v>6R134487</v>
          </cell>
        </row>
        <row r="229">
          <cell r="B229" t="str">
            <v>KHI/HO/D/MO/PC COMP/C/102086/300/11/2024</v>
          </cell>
          <cell r="Q229" t="str">
            <v>703593</v>
          </cell>
        </row>
        <row r="230">
          <cell r="B230" t="str">
            <v>KHI/HO/D/MO/PC COMP/C/102086/301/11/2024</v>
          </cell>
          <cell r="Q230" t="str">
            <v>PKT947133</v>
          </cell>
        </row>
        <row r="231">
          <cell r="B231" t="str">
            <v>KHI/HO/D/MO/PC COMP/C/102086/302/11/2024</v>
          </cell>
          <cell r="Q231" t="str">
            <v>6R126665</v>
          </cell>
        </row>
        <row r="232">
          <cell r="B232" t="str">
            <v>KHI/HO/D/MO/PC COMP/C/102086/303/11/2024</v>
          </cell>
          <cell r="Q232" t="str">
            <v>P074014</v>
          </cell>
        </row>
        <row r="233">
          <cell r="B233" t="str">
            <v>KHI/HO/D/MO/PC COMP/C/102086/304/11/2024</v>
          </cell>
          <cell r="Q233" t="str">
            <v>13031864</v>
          </cell>
        </row>
        <row r="234">
          <cell r="B234" t="str">
            <v>KHI/HO/D/MO/PC COMP/C/102086/305/11/2024</v>
          </cell>
          <cell r="Q234" t="str">
            <v>256586</v>
          </cell>
        </row>
        <row r="235">
          <cell r="B235" t="str">
            <v>KHI/HO/D/MO/PC COMP/C/102086/306/11/2024</v>
          </cell>
          <cell r="Q235" t="str">
            <v>1019908</v>
          </cell>
        </row>
        <row r="236">
          <cell r="B236" t="str">
            <v>KHI/HO/D/MO/PC COMP/C/102086/307/11/2024</v>
          </cell>
          <cell r="Q236" t="str">
            <v>Q354474</v>
          </cell>
        </row>
        <row r="237">
          <cell r="B237" t="str">
            <v>KHI/HO/D/MO/PC COMP/C/102086/308/11/2024</v>
          </cell>
          <cell r="Q237" t="str">
            <v>024817</v>
          </cell>
        </row>
        <row r="238">
          <cell r="B238" t="str">
            <v>KHI/HO/D/MO/PC COMP/C/102086/309/11/2024</v>
          </cell>
          <cell r="Q238" t="str">
            <v>1012167</v>
          </cell>
        </row>
        <row r="239">
          <cell r="B239" t="str">
            <v>KHI/HO/D/MO/PC COMP/C/102086/31/11/2024</v>
          </cell>
          <cell r="Q239" t="str">
            <v>085661</v>
          </cell>
        </row>
        <row r="240">
          <cell r="B240" t="str">
            <v>KHI/HO/D/MO/PC COMP/C/102086/310/11/2024</v>
          </cell>
          <cell r="Q240" t="str">
            <v>17444929</v>
          </cell>
        </row>
        <row r="241">
          <cell r="B241" t="str">
            <v>KHI/HO/D/MO/PC COMP/C/102086/311/11/2024</v>
          </cell>
          <cell r="Q241" t="str">
            <v>J473174</v>
          </cell>
        </row>
        <row r="242">
          <cell r="B242" t="str">
            <v>KHI/HO/D/MO/PC COMP/C/102086/312/11/2024</v>
          </cell>
          <cell r="Q242" t="str">
            <v>1GD5084628</v>
          </cell>
        </row>
        <row r="243">
          <cell r="B243" t="str">
            <v>KHI/HO/D/MO/PC COMP/C/102086/313/11/2024</v>
          </cell>
          <cell r="Q243" t="str">
            <v>17533256</v>
          </cell>
        </row>
        <row r="244">
          <cell r="B244" t="str">
            <v>KHI/HO/D/MO/PC COMP/C/102086/314/11/2024</v>
          </cell>
          <cell r="Q244" t="str">
            <v>198162</v>
          </cell>
        </row>
        <row r="245">
          <cell r="B245" t="str">
            <v>KHI/HO/D/MO/PC COMP/C/102086/315/11/2024</v>
          </cell>
          <cell r="Q245" t="str">
            <v>2A12332</v>
          </cell>
        </row>
        <row r="246">
          <cell r="B246" t="str">
            <v>KHI/HO/D/MO/PC COMP/C/102086/316/11/2024</v>
          </cell>
          <cell r="Q246" t="str">
            <v>21737902</v>
          </cell>
        </row>
        <row r="247">
          <cell r="B247" t="str">
            <v>KHI/HO/D/MO/PC COMP/C/102086/317/11/2024</v>
          </cell>
          <cell r="Q247" t="str">
            <v>D508093</v>
          </cell>
        </row>
        <row r="248">
          <cell r="B248" t="str">
            <v>KHI/HO/D/MO/PC COMP/C/102086/318/11/2024</v>
          </cell>
          <cell r="Q248" t="str">
            <v>6914634</v>
          </cell>
        </row>
        <row r="249">
          <cell r="B249" t="str">
            <v>KHI/HO/D/MO/PC COMP/C/102086/319/11/2024</v>
          </cell>
          <cell r="Q249" t="str">
            <v>R18Z16914654</v>
          </cell>
        </row>
        <row r="250">
          <cell r="B250" t="str">
            <v>KHI/HO/D/MO/PC COMP/C/102086/32/11/2024</v>
          </cell>
          <cell r="Q250" t="str">
            <v>1752819</v>
          </cell>
        </row>
        <row r="251">
          <cell r="B251" t="str">
            <v>KHI/HO/D/MO/PC COMP/C/102086/320/11/2024</v>
          </cell>
          <cell r="Q251" t="str">
            <v>16927862</v>
          </cell>
        </row>
        <row r="252">
          <cell r="B252" t="str">
            <v>KHI/HO/D/MO/PC COMP/C/102086/321/11/2024</v>
          </cell>
          <cell r="Q252" t="str">
            <v>R18Z16914544</v>
          </cell>
        </row>
        <row r="253">
          <cell r="B253" t="str">
            <v>KHI/HO/D/MO/PC COMP/C/102086/322/11/2024</v>
          </cell>
          <cell r="Q253" t="str">
            <v>16928260</v>
          </cell>
        </row>
        <row r="254">
          <cell r="B254" t="str">
            <v>KHI/HO/D/MO/PC COMP/C/102086/323/11/2024</v>
          </cell>
          <cell r="Q254" t="str">
            <v>255778</v>
          </cell>
        </row>
        <row r="255">
          <cell r="B255" t="str">
            <v>KHI/HO/D/MO/PC COMP/C/102086/324/11/2024</v>
          </cell>
          <cell r="Q255" t="str">
            <v>Q354422</v>
          </cell>
        </row>
        <row r="256">
          <cell r="B256" t="str">
            <v>KHI/HO/D/MO/PC COMP/C/102086/325/11/2024</v>
          </cell>
          <cell r="Q256" t="str">
            <v>5055630</v>
          </cell>
        </row>
        <row r="257">
          <cell r="B257" t="str">
            <v>KHI/HO/D/MO/PC COMP/C/102086/326/11/2024</v>
          </cell>
          <cell r="Q257" t="str">
            <v>Q068914</v>
          </cell>
        </row>
        <row r="258">
          <cell r="B258" t="str">
            <v>KHI/HO/D/MO/PC COMP/C/102086/327/11/2024</v>
          </cell>
          <cell r="Q258" t="str">
            <v>243339</v>
          </cell>
        </row>
        <row r="259">
          <cell r="B259" t="str">
            <v>KHI/HO/D/MO/PC COMP/C/102086/328/11/2024</v>
          </cell>
          <cell r="Q259" t="str">
            <v>251189</v>
          </cell>
        </row>
        <row r="260">
          <cell r="B260" t="str">
            <v>KHI/HO/D/MO/PC COMP/C/102086/329/11/2024</v>
          </cell>
          <cell r="Q260" t="str">
            <v>2A40132</v>
          </cell>
        </row>
        <row r="261">
          <cell r="B261" t="str">
            <v>KHI/HO/D/MO/PC COMP/C/102086/33/11/2024</v>
          </cell>
          <cell r="Q261" t="str">
            <v>R18Z12908502</v>
          </cell>
        </row>
        <row r="262">
          <cell r="B262" t="str">
            <v>KHI/HO/D/MO/PC COMP/C/102086/330/11/2024</v>
          </cell>
          <cell r="Q262" t="str">
            <v>148133</v>
          </cell>
        </row>
        <row r="263">
          <cell r="B263" t="str">
            <v>KHI/HO/D/MO/PC COMP/C/102086/331/11/2024</v>
          </cell>
          <cell r="Q263" t="str">
            <v>223089</v>
          </cell>
        </row>
        <row r="264">
          <cell r="B264" t="str">
            <v>KHI/HO/D/MO/PC COMP/C/102086/332/11/2024</v>
          </cell>
          <cell r="Q264" t="str">
            <v>PKS-13034775</v>
          </cell>
        </row>
        <row r="265">
          <cell r="B265" t="str">
            <v>KHI/HO/D/MO/PC COMP/C/102086/333/11/2024</v>
          </cell>
          <cell r="Q265" t="str">
            <v>17441945</v>
          </cell>
        </row>
        <row r="266">
          <cell r="B266" t="str">
            <v>KHI/HO/D/MO/PC COMP/C/102086/334/11/2024</v>
          </cell>
          <cell r="Q266" t="str">
            <v>287351</v>
          </cell>
        </row>
        <row r="267">
          <cell r="B267" t="str">
            <v>KHI/HO/D/MO/PC COMP/C/102086/335/11/2024</v>
          </cell>
          <cell r="Q267" t="str">
            <v>51019821</v>
          </cell>
        </row>
        <row r="268">
          <cell r="B268" t="str">
            <v>KHI/HO/D/MO/PC COMP/C/102086/336/11/2024</v>
          </cell>
          <cell r="Q268" t="str">
            <v>2A41045</v>
          </cell>
        </row>
        <row r="269">
          <cell r="B269" t="str">
            <v>KHI/HO/D/MO/PC COMP/C/102086/337/11/2024</v>
          </cell>
          <cell r="Q269" t="str">
            <v>6R258832</v>
          </cell>
        </row>
        <row r="270">
          <cell r="B270" t="str">
            <v>KHI/HO/D/MO/PC COMP/C/102086/338/11/2024</v>
          </cell>
          <cell r="Q270" t="str">
            <v>193223</v>
          </cell>
        </row>
        <row r="271">
          <cell r="B271" t="str">
            <v>KHI/HO/D/MO/PC COMP/C/102086/339/11/2024</v>
          </cell>
          <cell r="Q271" t="str">
            <v>682364</v>
          </cell>
        </row>
        <row r="272">
          <cell r="B272" t="str">
            <v>KHI/HO/D/MO/PC COMP/C/102086/34/11/2024</v>
          </cell>
          <cell r="Q272" t="str">
            <v>17507560</v>
          </cell>
        </row>
        <row r="273">
          <cell r="B273" t="str">
            <v>KHI/HO/D/MO/PC COMP/C/102086/340/11/2024</v>
          </cell>
          <cell r="Q273" t="str">
            <v>1GD0872398</v>
          </cell>
        </row>
        <row r="274">
          <cell r="B274" t="str">
            <v>KHI/HO/D/MO/PC COMP/C/102086/341/11/2024</v>
          </cell>
          <cell r="Q274" t="str">
            <v>L13Z17508522</v>
          </cell>
        </row>
        <row r="275">
          <cell r="B275" t="str">
            <v>KHI/HO/D/MO/PC COMP/C/102086/342/11/2024</v>
          </cell>
          <cell r="Q275" t="str">
            <v>Z124759</v>
          </cell>
        </row>
        <row r="276">
          <cell r="B276" t="str">
            <v>KHI/HO/D/MO/PC COMP/C/102086/343/11/2024</v>
          </cell>
          <cell r="Q276" t="str">
            <v>SFG15T-21753082</v>
          </cell>
        </row>
        <row r="277">
          <cell r="B277" t="str">
            <v>KHI/HO/D/MO/PC COMP/C/102086/344/11/2024</v>
          </cell>
          <cell r="Q277" t="str">
            <v>G4NAMU842506</v>
          </cell>
        </row>
        <row r="278">
          <cell r="B278" t="str">
            <v>KHI/HO/D/MO/PC COMP/C/102086/345/11/2024</v>
          </cell>
          <cell r="Q278" t="str">
            <v>521135</v>
          </cell>
        </row>
        <row r="279">
          <cell r="B279" t="str">
            <v>KHI/HO/D/MO/PC COMP/C/102086/346/11/2024</v>
          </cell>
          <cell r="Q279" t="str">
            <v>521465</v>
          </cell>
        </row>
        <row r="280">
          <cell r="B280" t="str">
            <v>KHI/HO/D/MO/PC COMP/C/102086/347/11/2024</v>
          </cell>
          <cell r="Q280" t="str">
            <v>6914641</v>
          </cell>
        </row>
        <row r="281">
          <cell r="B281" t="str">
            <v>KHI/HO/D/MO/PC COMP/C/102086/348/11/2024</v>
          </cell>
          <cell r="Q281" t="str">
            <v>R18Z16914489</v>
          </cell>
        </row>
        <row r="282">
          <cell r="B282" t="str">
            <v>KHI/HO/D/MO/PC COMP/C/102086/349/11/2024</v>
          </cell>
          <cell r="Q282" t="str">
            <v>40722</v>
          </cell>
        </row>
        <row r="283">
          <cell r="B283" t="str">
            <v>KHI/HO/D/MO/PC COMP/C/102086/35/11/2024</v>
          </cell>
          <cell r="Q283" t="str">
            <v>623665</v>
          </cell>
        </row>
        <row r="284">
          <cell r="B284" t="str">
            <v>KHI/HO/D/MO/PC COMP/C/102086/350/11/2024</v>
          </cell>
          <cell r="Q284" t="str">
            <v>Q0324285</v>
          </cell>
        </row>
        <row r="285">
          <cell r="B285" t="str">
            <v>KHI/HO/D/MO/PC COMP/C/102086/351/11/2024</v>
          </cell>
          <cell r="Q285" t="str">
            <v>4807307</v>
          </cell>
        </row>
        <row r="286">
          <cell r="B286" t="str">
            <v>KHI/HO/D/MO/PC COMP/C/102086/352/11/2024</v>
          </cell>
          <cell r="Q286" t="str">
            <v>255861</v>
          </cell>
        </row>
        <row r="287">
          <cell r="B287" t="str">
            <v>KHI/HO/D/MO/PC COMP/C/102086/353/11/2024</v>
          </cell>
          <cell r="Q287" t="str">
            <v>13508413</v>
          </cell>
        </row>
        <row r="288">
          <cell r="B288" t="str">
            <v>KHI/HO/D/MO/PC COMP/C/102086/354/11/2024</v>
          </cell>
          <cell r="Q288" t="str">
            <v>Z55431</v>
          </cell>
        </row>
        <row r="289">
          <cell r="B289" t="str">
            <v>KHI/HO/D/MO/PC COMP/C/102086/355/11/2024</v>
          </cell>
          <cell r="Q289" t="str">
            <v>D522103</v>
          </cell>
        </row>
        <row r="290">
          <cell r="B290" t="str">
            <v>KHI/HO/D/MO/PC COMP/C/102086/356/11/2024</v>
          </cell>
          <cell r="Q290" t="str">
            <v>Z420589</v>
          </cell>
        </row>
        <row r="291">
          <cell r="B291" t="str">
            <v>KHI/HO/D/MO/PC COMP/C/102086/357/11/2024</v>
          </cell>
          <cell r="Q291" t="str">
            <v>2A12566</v>
          </cell>
        </row>
        <row r="292">
          <cell r="B292" t="str">
            <v>KHI/HO/D/MO/PC COMP/C/102086/358/11/2024</v>
          </cell>
          <cell r="Q292" t="str">
            <v>6R193548</v>
          </cell>
        </row>
        <row r="293">
          <cell r="B293" t="str">
            <v>KHI/HO/D/MO/PC COMP/C/102086/359/11/2024</v>
          </cell>
          <cell r="Q293" t="str">
            <v>191924</v>
          </cell>
        </row>
        <row r="294">
          <cell r="B294" t="str">
            <v>KHI/HO/D/MO/PC COMP/C/102086/36/11/2024</v>
          </cell>
          <cell r="Q294" t="str">
            <v>6R241226</v>
          </cell>
        </row>
        <row r="295">
          <cell r="B295" t="str">
            <v>KHI/HO/D/MO/PC COMP/C/102086/360/11/2024</v>
          </cell>
          <cell r="Q295" t="str">
            <v>254005</v>
          </cell>
        </row>
        <row r="296">
          <cell r="B296" t="str">
            <v>KHI/HO/D/MO/PC COMP/C/102086/361/11/2024</v>
          </cell>
          <cell r="Q296" t="str">
            <v>162795</v>
          </cell>
        </row>
        <row r="297">
          <cell r="B297" t="str">
            <v>KHI/HO/D/MO/PC COMP/C/102086/362/11/2024</v>
          </cell>
          <cell r="Q297" t="str">
            <v>1016995</v>
          </cell>
        </row>
        <row r="298">
          <cell r="B298" t="str">
            <v>KHI/HO/D/MO/PC COMP/C/102086/363/11/2024</v>
          </cell>
          <cell r="Q298" t="str">
            <v>1002824</v>
          </cell>
        </row>
        <row r="299">
          <cell r="B299" t="str">
            <v>KHI/HO/D/MO/PC COMP/C/102086/364/11/2024</v>
          </cell>
          <cell r="Q299" t="str">
            <v>81010792</v>
          </cell>
        </row>
        <row r="300">
          <cell r="B300" t="str">
            <v>KHI/HO/D/MO/PC COMP/C/102086/365/11/2024</v>
          </cell>
          <cell r="Q300" t="str">
            <v>312566</v>
          </cell>
        </row>
        <row r="301">
          <cell r="B301" t="str">
            <v>KHI/HO/D/MO/PC COMP/C/102086/366/11/2024</v>
          </cell>
          <cell r="Q301" t="str">
            <v>PK10K113008</v>
          </cell>
        </row>
        <row r="302">
          <cell r="B302" t="str">
            <v>KHI/HO/D/MO/PC COMP/C/102086/367/11/2024</v>
          </cell>
          <cell r="Q302" t="str">
            <v>164171</v>
          </cell>
        </row>
        <row r="303">
          <cell r="B303" t="str">
            <v>KHI/HO/D/MO/PC COMP/C/102086/368/11/2024</v>
          </cell>
          <cell r="Q303" t="str">
            <v>81013394</v>
          </cell>
        </row>
        <row r="304">
          <cell r="B304" t="str">
            <v>KHI/HO/D/MO/PC COMP/C/102086/369/11/2024</v>
          </cell>
          <cell r="Q304" t="str">
            <v>7542143</v>
          </cell>
        </row>
        <row r="305">
          <cell r="B305" t="str">
            <v>KHI/HO/D/MO/PC COMP/C/102086/37/11/2024</v>
          </cell>
          <cell r="Q305" t="str">
            <v>6R286844</v>
          </cell>
        </row>
        <row r="306">
          <cell r="B306" t="str">
            <v>KHI/HO/D/MO/PC COMP/C/102086/370/11/2024</v>
          </cell>
          <cell r="Q306" t="str">
            <v>A083962</v>
          </cell>
        </row>
        <row r="307">
          <cell r="B307" t="str">
            <v>KHI/HO/D/MO/PC COMP/C/102086/371/11/2024</v>
          </cell>
          <cell r="Q307" t="str">
            <v>L15A79799899</v>
          </cell>
        </row>
        <row r="308">
          <cell r="B308" t="str">
            <v>KHI/HO/D/MO/PC COMP/C/102086/372/11/2024</v>
          </cell>
          <cell r="Q308" t="str">
            <v>G4NALH329533</v>
          </cell>
        </row>
        <row r="309">
          <cell r="B309" t="str">
            <v>KHI/HO/D/MO/PC COMP/C/102086/373/11/2024</v>
          </cell>
          <cell r="Q309" t="str">
            <v>769537</v>
          </cell>
        </row>
        <row r="310">
          <cell r="B310" t="str">
            <v>KHI/HO/D/MO/PC COMP/C/102086/374/11/2024</v>
          </cell>
          <cell r="Q310" t="str">
            <v>12938548</v>
          </cell>
        </row>
        <row r="311">
          <cell r="B311" t="str">
            <v>KHI/HO/D/MO/PC COMP/C/102086/375/11/2024</v>
          </cell>
          <cell r="Q311" t="str">
            <v>115438</v>
          </cell>
        </row>
        <row r="312">
          <cell r="B312" t="str">
            <v>KHI/HO/D/MO/PC COMP/C/102086/376/11/2024</v>
          </cell>
          <cell r="Q312" t="str">
            <v>G4NALH330208</v>
          </cell>
        </row>
        <row r="313">
          <cell r="B313" t="str">
            <v>KHI/HO/D/MO/PC COMP/C/102086/377/11/2024</v>
          </cell>
          <cell r="Q313" t="str">
            <v>79788875</v>
          </cell>
        </row>
        <row r="314">
          <cell r="B314" t="str">
            <v>KHI/HO/D/MO/PC COMP/C/102086/378/11/2024</v>
          </cell>
          <cell r="Q314" t="str">
            <v>EAS045090</v>
          </cell>
        </row>
        <row r="315">
          <cell r="B315" t="str">
            <v>KHI/HO/D/MO/PC COMP/C/102086/379/11/2024</v>
          </cell>
          <cell r="Q315" t="str">
            <v>Z542162</v>
          </cell>
        </row>
        <row r="316">
          <cell r="B316" t="str">
            <v>KHI/HO/D/MO/PC COMP/C/102086/38/11/2024</v>
          </cell>
          <cell r="Q316" t="str">
            <v>6R190275</v>
          </cell>
        </row>
        <row r="317">
          <cell r="B317" t="str">
            <v>KHI/HO/D/MO/PC COMP/C/102086/380/11/2024</v>
          </cell>
          <cell r="Q317" t="str">
            <v>151603</v>
          </cell>
        </row>
        <row r="318">
          <cell r="B318" t="str">
            <v>KHI/HO/D/MO/PC COMP/C/102086/381/11/2024</v>
          </cell>
          <cell r="Q318" t="str">
            <v>153442</v>
          </cell>
        </row>
        <row r="319">
          <cell r="B319" t="str">
            <v>KHI/HO/D/MO/PC COMP/C/102086/382/11/2024</v>
          </cell>
          <cell r="Q319" t="str">
            <v>030524</v>
          </cell>
        </row>
        <row r="320">
          <cell r="B320" t="str">
            <v>KHI/HO/D/MO/PC COMP/C/102086/383/11/2024</v>
          </cell>
          <cell r="Q320" t="str">
            <v>R18Z16928350</v>
          </cell>
        </row>
        <row r="321">
          <cell r="B321" t="str">
            <v>KHI/HO/D/MO/PC COMP/C/102086/384/11/2024</v>
          </cell>
          <cell r="Q321" t="str">
            <v>144865</v>
          </cell>
        </row>
        <row r="322">
          <cell r="B322" t="str">
            <v>KHI/HO/D/MO/PC COMP/C/102086/385/11/2024</v>
          </cell>
          <cell r="Q322" t="str">
            <v>R011553</v>
          </cell>
        </row>
        <row r="323">
          <cell r="B323" t="str">
            <v>KHI/HO/D/MO/PC COMP/C/102086/386/11/2024</v>
          </cell>
          <cell r="Q323" t="str">
            <v>145674</v>
          </cell>
        </row>
        <row r="324">
          <cell r="B324" t="str">
            <v>KHI/HO/D/MO/PC COMP/C/102086/387/11/2024</v>
          </cell>
          <cell r="Q324" t="str">
            <v>D521117</v>
          </cell>
        </row>
        <row r="325">
          <cell r="B325" t="str">
            <v>KHI/HO/D/MO/PC COMP/C/102086/388/11/2024</v>
          </cell>
          <cell r="Q325" t="str">
            <v>16928127</v>
          </cell>
        </row>
        <row r="326">
          <cell r="B326" t="str">
            <v>KHI/HO/D/MO/PC COMP/C/102086/389/11/2024</v>
          </cell>
          <cell r="Q326" t="str">
            <v>109082</v>
          </cell>
        </row>
        <row r="327">
          <cell r="B327" t="str">
            <v>KHI/HO/D/MO/PC COMP/C/102086/39/11/2024</v>
          </cell>
          <cell r="Q327" t="str">
            <v>142804</v>
          </cell>
        </row>
        <row r="328">
          <cell r="B328" t="str">
            <v>KHI/HO/D/MO/PC COMP/C/102086/390/11/2024</v>
          </cell>
          <cell r="Q328" t="str">
            <v>2A12845</v>
          </cell>
        </row>
        <row r="329">
          <cell r="B329" t="str">
            <v>KHI/HO/D/MO/PC COMP/C/102086/391/11/2024</v>
          </cell>
          <cell r="Q329" t="str">
            <v>330820</v>
          </cell>
        </row>
        <row r="330">
          <cell r="B330" t="str">
            <v>KHI/HO/D/MO/PC COMP/C/102086/392/11/2024</v>
          </cell>
          <cell r="Q330" t="str">
            <v>G4NALH330818</v>
          </cell>
        </row>
        <row r="331">
          <cell r="B331" t="str">
            <v>KHI/HO/D/MO/PC COMP/C/102086/393/11/2024</v>
          </cell>
          <cell r="Q331" t="str">
            <v>317930</v>
          </cell>
        </row>
        <row r="332">
          <cell r="B332" t="str">
            <v>KHI/HO/D/MO/PC COMP/C/102086/394/11/2024</v>
          </cell>
          <cell r="Q332" t="str">
            <v>329905</v>
          </cell>
        </row>
        <row r="333">
          <cell r="B333" t="str">
            <v>KHI/HO/D/MO/PC COMP/C/102086/395/11/2024</v>
          </cell>
          <cell r="Q333" t="str">
            <v>PKS13036598</v>
          </cell>
        </row>
        <row r="334">
          <cell r="B334" t="str">
            <v>KHI/HO/D/MO/PC COMP/C/102086/396/11/2024</v>
          </cell>
          <cell r="Q334" t="str">
            <v>1GD0886707</v>
          </cell>
        </row>
        <row r="335">
          <cell r="B335" t="str">
            <v>KHI/HO/D/MO/PC COMP/C/102086/397/11/2024</v>
          </cell>
          <cell r="Q335" t="str">
            <v>107768</v>
          </cell>
        </row>
        <row r="336">
          <cell r="B336" t="str">
            <v>KHI/HO/D/MO/PC COMP/C/102086/398/11/2024</v>
          </cell>
          <cell r="Q336" t="str">
            <v>13736587</v>
          </cell>
        </row>
        <row r="337">
          <cell r="B337" t="str">
            <v>KHI/HO/D/MO/PC COMP/C/102086/399/11/2024</v>
          </cell>
          <cell r="Q337" t="str">
            <v>258899</v>
          </cell>
        </row>
        <row r="338">
          <cell r="B338" t="str">
            <v>KHI/HO/D/MO/PC COMP/C/102086/4/11/2024</v>
          </cell>
          <cell r="Q338" t="str">
            <v>6914442</v>
          </cell>
        </row>
        <row r="339">
          <cell r="B339" t="str">
            <v>KHI/HO/D/MO/PC COMP/C/102086/40/11/2024</v>
          </cell>
          <cell r="Q339" t="str">
            <v>13045447</v>
          </cell>
        </row>
        <row r="340">
          <cell r="B340" t="str">
            <v>KHI/HO/D/MO/PC COMP/C/102086/400/11/2024</v>
          </cell>
          <cell r="Q340" t="str">
            <v>0592968</v>
          </cell>
        </row>
        <row r="341">
          <cell r="B341" t="str">
            <v>KHI/HO/D/MO/PC COMP/C/102086/401/11/2024</v>
          </cell>
          <cell r="Q341" t="str">
            <v>8107056</v>
          </cell>
        </row>
        <row r="342">
          <cell r="B342" t="str">
            <v>KHI/HO/D/MO/PC COMP/C/102086/402/11/2024</v>
          </cell>
          <cell r="Q342" t="str">
            <v>323164</v>
          </cell>
        </row>
        <row r="343">
          <cell r="B343" t="str">
            <v>KHI/HO/D/MO/PC COMP/C/102086/403/11/2024</v>
          </cell>
          <cell r="Q343" t="str">
            <v>6R273473</v>
          </cell>
        </row>
        <row r="344">
          <cell r="B344" t="str">
            <v>KHI/HO/D/MO/PC COMP/C/102086/404/11/2024</v>
          </cell>
          <cell r="Q344" t="str">
            <v>132062</v>
          </cell>
        </row>
        <row r="345">
          <cell r="B345" t="str">
            <v>KHI/HO/D/MO/PC COMP/C/102086/405/11/2024</v>
          </cell>
          <cell r="Q345" t="str">
            <v>6R256407</v>
          </cell>
        </row>
        <row r="346">
          <cell r="B346" t="str">
            <v>KHI/HO/D/MO/PC COMP/C/102086/406/11/2024</v>
          </cell>
          <cell r="Q346" t="str">
            <v>204857</v>
          </cell>
        </row>
        <row r="347">
          <cell r="B347" t="str">
            <v>KHI/HO/D/MO/PC COMP/C/102086/407/11/2024</v>
          </cell>
          <cell r="Q347" t="str">
            <v>12914524</v>
          </cell>
        </row>
        <row r="348">
          <cell r="B348" t="str">
            <v>KHI/HO/D/MO/PC COMP/C/102086/41/11/2024</v>
          </cell>
          <cell r="Q348" t="str">
            <v>283552</v>
          </cell>
        </row>
        <row r="349">
          <cell r="B349" t="str">
            <v>KHI/HO/D/MO/PC COMP/C/102086/42/11/2024</v>
          </cell>
          <cell r="Q349" t="str">
            <v>188067</v>
          </cell>
        </row>
        <row r="350">
          <cell r="B350" t="str">
            <v>KHI/HO/D/MO/PC COMP/C/102086/43/11/2024</v>
          </cell>
          <cell r="Q350" t="str">
            <v>281002459</v>
          </cell>
        </row>
        <row r="351">
          <cell r="B351" t="str">
            <v>KHI/HO/D/MO/PC COMP/C/102086/44/11/2024</v>
          </cell>
          <cell r="Q351" t="str">
            <v>2A11204</v>
          </cell>
        </row>
        <row r="352">
          <cell r="B352" t="str">
            <v>KHI/HO/D/MO/PC COMP/C/102086/45/11/2024</v>
          </cell>
          <cell r="Q352" t="str">
            <v>12917077</v>
          </cell>
        </row>
        <row r="353">
          <cell r="B353" t="str">
            <v>KHI/HO/D/MO/PC COMP/C/102086/46/11/2024</v>
          </cell>
          <cell r="Q353" t="str">
            <v>287107</v>
          </cell>
        </row>
        <row r="354">
          <cell r="B354" t="str">
            <v>KHI/HO/D/MO/PC COMP/C/102086/47/11/2024</v>
          </cell>
          <cell r="Q354" t="str">
            <v>7541647</v>
          </cell>
        </row>
        <row r="355">
          <cell r="B355" t="str">
            <v>KHI/HO/D/MO/PC COMP/C/102086/48/11/2024</v>
          </cell>
          <cell r="Q355" t="str">
            <v>L15A79789003</v>
          </cell>
        </row>
        <row r="356">
          <cell r="B356" t="str">
            <v>KHI/HO/D/MO/PC COMP/C/102086/49/11/2024</v>
          </cell>
          <cell r="Q356" t="str">
            <v>CAD517751</v>
          </cell>
        </row>
        <row r="357">
          <cell r="B357" t="str">
            <v>KHI/HO/D/MO/PC COMP/C/102086/5/11/2024</v>
          </cell>
          <cell r="Q357" t="str">
            <v>2A39606</v>
          </cell>
        </row>
        <row r="358">
          <cell r="B358" t="str">
            <v>KHI/HO/D/MO/PC COMP/C/102086/50/11/2024</v>
          </cell>
          <cell r="Q358" t="str">
            <v>G4NALH324032</v>
          </cell>
        </row>
        <row r="359">
          <cell r="B359" t="str">
            <v>KHI/HO/D/MO/PC COMP/C/102086/51/11/2024</v>
          </cell>
          <cell r="Q359" t="str">
            <v>327106</v>
          </cell>
        </row>
        <row r="360">
          <cell r="B360" t="str">
            <v>KHI/HO/D/MO/PC COMP/C/102086/52/11/2024</v>
          </cell>
          <cell r="Q360" t="str">
            <v>G4NALH313952</v>
          </cell>
        </row>
        <row r="361">
          <cell r="B361" t="str">
            <v>KHI/HO/D/MO/PC COMP/C/102086/53/11/2024</v>
          </cell>
          <cell r="Q361" t="str">
            <v>16914508</v>
          </cell>
        </row>
        <row r="362">
          <cell r="B362" t="str">
            <v>KHI/HO/D/MO/PC COMP/C/102086/54/11/2024</v>
          </cell>
          <cell r="Q362" t="str">
            <v>325988</v>
          </cell>
        </row>
        <row r="363">
          <cell r="B363" t="str">
            <v>KHI/HO/D/MO/PC COMP/C/102086/55/11/2024</v>
          </cell>
          <cell r="Q363" t="str">
            <v>576961</v>
          </cell>
        </row>
        <row r="364">
          <cell r="B364" t="str">
            <v>KHI/HO/D/MO/PC COMP/C/102086/56/11/2024</v>
          </cell>
          <cell r="Q364" t="str">
            <v>214556</v>
          </cell>
        </row>
        <row r="365">
          <cell r="B365" t="str">
            <v>KHI/HO/D/MO/PC COMP/C/102086/58/11/2024</v>
          </cell>
          <cell r="Q365" t="str">
            <v>13031511</v>
          </cell>
        </row>
        <row r="366">
          <cell r="B366" t="str">
            <v>KHI/HO/D/MO/PC COMP/C/102086/59/11/2024</v>
          </cell>
          <cell r="Q366" t="str">
            <v>16917240</v>
          </cell>
        </row>
        <row r="367">
          <cell r="B367" t="str">
            <v>KHI/HO/D/MO/PC COMP/C/102086/6/11/2024</v>
          </cell>
          <cell r="Q367" t="str">
            <v>914453</v>
          </cell>
        </row>
        <row r="368">
          <cell r="B368" t="str">
            <v>KHI/HO/D/MO/PC COMP/C/102086/60/11/2024</v>
          </cell>
          <cell r="Q368" t="str">
            <v>6R106184</v>
          </cell>
        </row>
        <row r="369">
          <cell r="B369" t="str">
            <v>KHI/HO/D/MO/PC COMP/C/102086/61/11/2024</v>
          </cell>
          <cell r="Q369" t="str">
            <v>1897309</v>
          </cell>
        </row>
        <row r="370">
          <cell r="B370" t="str">
            <v>KHI/HO/D/MO/PC COMP/C/102086/62/11/2024</v>
          </cell>
          <cell r="Q370" t="str">
            <v>724598</v>
          </cell>
        </row>
        <row r="371">
          <cell r="B371" t="str">
            <v>KHI/HO/D/MO/PC COMP/C/102086/63/11/2024</v>
          </cell>
          <cell r="Q371" t="str">
            <v>Q029872</v>
          </cell>
        </row>
        <row r="372">
          <cell r="B372" t="str">
            <v>KHI/HO/D/MO/PC COMP/C/102086/64/11/2024</v>
          </cell>
          <cell r="Q372" t="str">
            <v>69U501280</v>
          </cell>
        </row>
        <row r="373">
          <cell r="B373" t="str">
            <v>KHI/HO/D/MO/PC COMP/C/102086/65/11/2024</v>
          </cell>
          <cell r="Q373" t="str">
            <v>136748</v>
          </cell>
        </row>
        <row r="374">
          <cell r="B374" t="str">
            <v>KHI/HO/D/MO/PC COMP/C/102086/66/11/2024</v>
          </cell>
          <cell r="Q374" t="str">
            <v>Z185079</v>
          </cell>
        </row>
        <row r="375">
          <cell r="B375" t="str">
            <v>KHI/HO/D/MO/PC COMP/C/102086/67/11/2024</v>
          </cell>
          <cell r="Q375" t="str">
            <v>190390</v>
          </cell>
        </row>
        <row r="376">
          <cell r="B376" t="str">
            <v>KHI/HO/D/MO/PC COMP/C/102086/68/11/2024</v>
          </cell>
          <cell r="Q376" t="str">
            <v>6R189877</v>
          </cell>
        </row>
        <row r="377">
          <cell r="B377" t="str">
            <v>KHI/HO/D/MO/PC COMP/C/102086/69/11/2024</v>
          </cell>
          <cell r="Q377" t="str">
            <v>301240</v>
          </cell>
        </row>
        <row r="378">
          <cell r="B378" t="str">
            <v>KHI/HO/D/MO/PC COMP/C/102086/7/11/2024</v>
          </cell>
          <cell r="Q378" t="str">
            <v>318580</v>
          </cell>
        </row>
        <row r="379">
          <cell r="B379" t="str">
            <v>KHI/HO/D/MO/PC COMP/C/102086/70/11/2024</v>
          </cell>
          <cell r="Q379" t="str">
            <v>503556</v>
          </cell>
        </row>
        <row r="380">
          <cell r="B380" t="str">
            <v>KHI/HO/D/MO/PC COMP/C/102086/71/11/2024</v>
          </cell>
          <cell r="Q380" t="str">
            <v>2A28024</v>
          </cell>
        </row>
        <row r="381">
          <cell r="B381" t="str">
            <v>KHI/HO/D/MO/PC COMP/C/102086/72/11/2024</v>
          </cell>
          <cell r="Q381" t="str">
            <v>6R126778</v>
          </cell>
        </row>
        <row r="382">
          <cell r="B382" t="str">
            <v>KHI/HO/D/MO/PC COMP/C/102086/73/11/2024</v>
          </cell>
          <cell r="Q382" t="str">
            <v>158945</v>
          </cell>
        </row>
        <row r="383">
          <cell r="B383" t="str">
            <v>KHI/HO/D/MO/PC COMP/C/102086/74/11/2024</v>
          </cell>
          <cell r="Q383" t="str">
            <v>2A10756</v>
          </cell>
        </row>
        <row r="384">
          <cell r="B384" t="str">
            <v>KHI/HO/D/MO/PC COMP/C/102086/75/11/2024</v>
          </cell>
          <cell r="Q384" t="str">
            <v>3745777</v>
          </cell>
        </row>
        <row r="385">
          <cell r="B385" t="str">
            <v>KHI/HO/D/MO/PC COMP/C/102086/76/11/2024</v>
          </cell>
          <cell r="Q385" t="str">
            <v>R18Z16927609</v>
          </cell>
        </row>
        <row r="386">
          <cell r="B386" t="str">
            <v>KHI/HO/D/MO/PC COMP/C/102086/77/11/2024</v>
          </cell>
          <cell r="Q386" t="str">
            <v>H327353</v>
          </cell>
        </row>
        <row r="387">
          <cell r="B387" t="str">
            <v>KHI/HO/D/MO/PC COMP/C/102086/78/11/2024</v>
          </cell>
          <cell r="Q387" t="str">
            <v>318193</v>
          </cell>
        </row>
        <row r="388">
          <cell r="B388" t="str">
            <v>KHI/HO/D/MO/PC COMP/C/102086/79/11/2024</v>
          </cell>
          <cell r="Q388" t="str">
            <v>P074088</v>
          </cell>
        </row>
        <row r="389">
          <cell r="B389" t="str">
            <v>KHI/HO/D/MO/PC COMP/C/102086/8/11/2024</v>
          </cell>
          <cell r="Q389" t="str">
            <v>1GD-5077748</v>
          </cell>
        </row>
        <row r="390">
          <cell r="B390" t="str">
            <v>KHI/HO/D/MO/PC COMP/C/102086/80/11/2024</v>
          </cell>
          <cell r="Q390" t="str">
            <v>188065</v>
          </cell>
        </row>
        <row r="391">
          <cell r="B391" t="str">
            <v>KHI/HO/D/MO/PC COMP/C/102086/81/11/2024</v>
          </cell>
          <cell r="Q391" t="str">
            <v>1016669</v>
          </cell>
        </row>
        <row r="392">
          <cell r="B392" t="str">
            <v>KHI/HO/D/MO/PC COMP/C/102086/82/11/2024</v>
          </cell>
          <cell r="Q392" t="str">
            <v>5094161</v>
          </cell>
        </row>
        <row r="393">
          <cell r="B393" t="str">
            <v>KHI/HO/D/MO/PC COMP/C/102086/83/11/2024</v>
          </cell>
          <cell r="Q393" t="str">
            <v>PK10K152612</v>
          </cell>
        </row>
        <row r="394">
          <cell r="B394" t="str">
            <v>KHI/HO/D/MO/PC COMP/C/102086/84/11/2024</v>
          </cell>
          <cell r="Q394" t="str">
            <v>332000</v>
          </cell>
        </row>
        <row r="395">
          <cell r="B395" t="str">
            <v>KHI/HO/D/MO/PC COMP/C/102086/85/11/2024</v>
          </cell>
          <cell r="Q395" t="str">
            <v>6R119480</v>
          </cell>
        </row>
        <row r="396">
          <cell r="B396" t="str">
            <v>KHI/HO/D/MO/PC COMP/C/102086/86/11/2024</v>
          </cell>
          <cell r="Q396" t="str">
            <v>144342</v>
          </cell>
        </row>
        <row r="397">
          <cell r="B397" t="str">
            <v>KHI/HO/D/MO/PC COMP/C/102086/87/11/2024</v>
          </cell>
          <cell r="Q397" t="str">
            <v>144371</v>
          </cell>
        </row>
        <row r="398">
          <cell r="B398" t="str">
            <v>KHI/HO/D/MO/PC COMP/C/102086/88/11/2024</v>
          </cell>
          <cell r="Q398" t="str">
            <v>PK10B127808</v>
          </cell>
        </row>
        <row r="399">
          <cell r="B399" t="str">
            <v>KHI/HO/D/MO/PC COMP/C/102086/89/11/2024</v>
          </cell>
          <cell r="Q399" t="str">
            <v>6R142617</v>
          </cell>
        </row>
        <row r="400">
          <cell r="B400" t="str">
            <v>KHI/HO/D/MO/PC COMP/C/102086/9/11/2024</v>
          </cell>
          <cell r="Q400" t="str">
            <v>177171</v>
          </cell>
        </row>
        <row r="401">
          <cell r="B401" t="str">
            <v>KHI/HO/D/MO/PC COMP/C/102086/90/11/2024</v>
          </cell>
          <cell r="Q401" t="str">
            <v>7892146</v>
          </cell>
        </row>
        <row r="402">
          <cell r="B402" t="str">
            <v>KHI/HO/D/MO/PC COMP/C/102086/91/11/2024</v>
          </cell>
          <cell r="Q402" t="str">
            <v>2TRA787822</v>
          </cell>
        </row>
        <row r="403">
          <cell r="B403" t="str">
            <v>KHI/HO/D/MO/PC COMP/C/102086/92/11/2024</v>
          </cell>
          <cell r="Q403" t="str">
            <v>16917693</v>
          </cell>
        </row>
        <row r="404">
          <cell r="B404" t="str">
            <v>KHI/HO/D/MO/PC COMP/C/102086/93/11/2024</v>
          </cell>
          <cell r="Q404" t="str">
            <v>12938516</v>
          </cell>
        </row>
        <row r="405">
          <cell r="B405" t="str">
            <v>KHI/HO/D/MO/PC COMP/C/102086/94/11/2024</v>
          </cell>
          <cell r="Q405" t="str">
            <v>325789</v>
          </cell>
        </row>
        <row r="406">
          <cell r="B406" t="str">
            <v>KHI/HO/D/MO/PC COMP/C/102086/95/11/2024</v>
          </cell>
          <cell r="Q406" t="str">
            <v>12906992</v>
          </cell>
        </row>
        <row r="407">
          <cell r="B407" t="str">
            <v>KHI/HO/D/MO/PC COMP/C/102086/96/11/2024</v>
          </cell>
          <cell r="Q407" t="str">
            <v>PK10B220553</v>
          </cell>
        </row>
        <row r="408">
          <cell r="B408" t="str">
            <v>KHI/HO/D/MO/PC COMP/C/102086/97/11/2024</v>
          </cell>
          <cell r="Q408" t="str">
            <v>7520220</v>
          </cell>
        </row>
        <row r="409">
          <cell r="B409" t="str">
            <v>KHI/HO/D/MO/PC COMP/C/102086/98/11/2024</v>
          </cell>
          <cell r="Q409" t="str">
            <v>1009739</v>
          </cell>
        </row>
        <row r="410">
          <cell r="B410" t="str">
            <v>KHI/HO/D/MO/PC COMP/C/102086/99/11/2024</v>
          </cell>
          <cell r="Q410" t="str">
            <v>286677</v>
          </cell>
        </row>
        <row r="411">
          <cell r="B411" t="str">
            <v>KHI/HO/D/MO/PC COMP/C/103276/1/12/2024</v>
          </cell>
          <cell r="Q411" t="str">
            <v>329164</v>
          </cell>
        </row>
        <row r="412">
          <cell r="B412" t="str">
            <v>KHI/HO/D/MO/PC COMP/C/103276/10/12/2024</v>
          </cell>
          <cell r="Q412" t="str">
            <v>6R175436</v>
          </cell>
        </row>
        <row r="413">
          <cell r="B413" t="str">
            <v>KHI/HO/D/MO/PC COMP/C/103276/11/12/2024</v>
          </cell>
          <cell r="Q413" t="str">
            <v>Z566948</v>
          </cell>
        </row>
        <row r="414">
          <cell r="B414" t="str">
            <v>KHI/HO/D/MO/PC COMP/C/103276/12/12/2024</v>
          </cell>
          <cell r="Q414" t="str">
            <v>6R329945</v>
          </cell>
        </row>
        <row r="415">
          <cell r="B415" t="str">
            <v>KHI/HO/D/MO/PC COMP/C/103276/13/12/2024</v>
          </cell>
          <cell r="Q415" t="str">
            <v>2A71146</v>
          </cell>
        </row>
        <row r="416">
          <cell r="B416" t="str">
            <v>KHI/HO/D/MO/PC COMP/C/103276/14/12/2024</v>
          </cell>
          <cell r="Q416" t="str">
            <v>6R215933</v>
          </cell>
        </row>
        <row r="417">
          <cell r="B417" t="str">
            <v>KHI/HO/D/MO/PC COMP/C/103276/15/12/2024</v>
          </cell>
          <cell r="Q417" t="str">
            <v>6R330483</v>
          </cell>
        </row>
        <row r="418">
          <cell r="B418" t="str">
            <v>KHI/HO/D/MO/PC COMP/C/103276/16/12/2024</v>
          </cell>
          <cell r="Q418" t="str">
            <v>6R330410</v>
          </cell>
        </row>
        <row r="419">
          <cell r="B419" t="str">
            <v>KHI/HO/D/MO/PC COMP/C/103276/17/12/2024</v>
          </cell>
          <cell r="Q419" t="str">
            <v>L13Z17543384</v>
          </cell>
        </row>
        <row r="420">
          <cell r="B420" t="str">
            <v>KHI/HO/D/MO/PC COMP/C/103276/18/12/2024</v>
          </cell>
          <cell r="Q420" t="str">
            <v>06AR1001614</v>
          </cell>
        </row>
        <row r="421">
          <cell r="B421" t="str">
            <v>KHI/HO/D/MO/PC COMP/C/103276/19/12/2024</v>
          </cell>
          <cell r="Q421" t="str">
            <v>6R192545</v>
          </cell>
        </row>
        <row r="422">
          <cell r="B422" t="str">
            <v>KHI/HO/D/MO/PC COMP/C/103276/2/12/2024</v>
          </cell>
          <cell r="Q422" t="str">
            <v>327421</v>
          </cell>
        </row>
        <row r="423">
          <cell r="B423" t="str">
            <v>KHI/HO/D/MO/PC COMP/C/103276/20/12/2024</v>
          </cell>
          <cell r="Q423" t="str">
            <v>1029303</v>
          </cell>
        </row>
        <row r="424">
          <cell r="B424" t="str">
            <v>KHI/HO/D/MO/PC COMP/C/103276/21/12/2024</v>
          </cell>
          <cell r="Q424" t="str">
            <v>Z513123</v>
          </cell>
        </row>
        <row r="425">
          <cell r="B425" t="str">
            <v>KHI/HO/D/MO/PC COMP/C/103276/22/12/2024</v>
          </cell>
          <cell r="Q425" t="str">
            <v>329742</v>
          </cell>
        </row>
        <row r="426">
          <cell r="B426" t="str">
            <v>KHI/HO/D/MO/PC COMP/C/103276/23/12/2024</v>
          </cell>
          <cell r="Q426" t="str">
            <v>PKS13041445</v>
          </cell>
        </row>
        <row r="427">
          <cell r="B427" t="str">
            <v>KHI/HO/D/MO/PC COMP/C/103276/24/12/2024</v>
          </cell>
          <cell r="Q427" t="str">
            <v>6R189960</v>
          </cell>
        </row>
        <row r="428">
          <cell r="B428" t="str">
            <v>KHI/HO/D/MO/PC COMP/C/103276/25/12/2024</v>
          </cell>
          <cell r="Q428" t="str">
            <v>6R151826</v>
          </cell>
        </row>
        <row r="429">
          <cell r="B429" t="str">
            <v>KHI/HO/D/MO/PC COMP/C/103276/26/12/2024</v>
          </cell>
          <cell r="Q429" t="str">
            <v>Q083343</v>
          </cell>
        </row>
        <row r="430">
          <cell r="B430" t="str">
            <v>KHI/HO/D/MO/PC COMP/C/103276/27/12/2024</v>
          </cell>
          <cell r="Q430" t="str">
            <v>R329058</v>
          </cell>
        </row>
        <row r="431">
          <cell r="B431" t="str">
            <v>KHI/HO/D/MO/PC COMP/C/103276/28/12/2024</v>
          </cell>
          <cell r="Q431" t="str">
            <v>2A71260</v>
          </cell>
        </row>
        <row r="432">
          <cell r="B432" t="str">
            <v>KHI/HO/D/MO/PC COMP/C/103276/29/12/2024</v>
          </cell>
          <cell r="Q432" t="str">
            <v>24458525903</v>
          </cell>
        </row>
        <row r="433">
          <cell r="B433" t="str">
            <v>KHI/HO/D/MO/PC COMP/C/103276/3/12/2024</v>
          </cell>
          <cell r="Q433" t="str">
            <v>6R148115</v>
          </cell>
        </row>
        <row r="434">
          <cell r="B434" t="str">
            <v>KHI/HO/D/MO/PC COMP/C/103276/30/12/2024</v>
          </cell>
          <cell r="Q434" t="str">
            <v>6R312835</v>
          </cell>
        </row>
        <row r="435">
          <cell r="B435" t="str">
            <v>KHI/HO/D/MO/PC COMP/C/103276/31/12/2024</v>
          </cell>
          <cell r="Q435" t="str">
            <v>L13Z17515690</v>
          </cell>
        </row>
        <row r="436">
          <cell r="B436" t="str">
            <v>KHI/HO/D/MO/PC COMP/C/103276/32/12/2024</v>
          </cell>
          <cell r="Q436" t="str">
            <v>K12MR1024208</v>
          </cell>
        </row>
        <row r="437">
          <cell r="B437" t="str">
            <v>KHI/HO/D/MO/PC COMP/C/103276/33/12/2024</v>
          </cell>
          <cell r="Q437" t="str">
            <v>6R329022</v>
          </cell>
        </row>
        <row r="438">
          <cell r="B438" t="str">
            <v>KHI/HO/D/MO/PC COMP/C/103276/34/12/2024</v>
          </cell>
          <cell r="Q438" t="str">
            <v>2A71164</v>
          </cell>
        </row>
        <row r="439">
          <cell r="B439" t="str">
            <v>KHI/HO/D/MO/PC COMP/C/103276/35/12/2024</v>
          </cell>
          <cell r="Q439" t="str">
            <v>2A271164</v>
          </cell>
        </row>
        <row r="440">
          <cell r="B440" t="str">
            <v>KHI/HO/D/MO/PC COMP/C/103276/36/12/2024</v>
          </cell>
          <cell r="Q440" t="str">
            <v>6R332443</v>
          </cell>
        </row>
        <row r="441">
          <cell r="B441" t="str">
            <v>KHI/HO/D/MO/PC COMP/C/103276/37/12/2024</v>
          </cell>
          <cell r="Q441" t="str">
            <v>329341</v>
          </cell>
        </row>
        <row r="442">
          <cell r="B442" t="str">
            <v>KHI/HO/D/MO/PC COMP/C/103276/38/12/2024</v>
          </cell>
          <cell r="Q442" t="str">
            <v>G4NANH305768</v>
          </cell>
        </row>
        <row r="443">
          <cell r="B443" t="str">
            <v>KHI/HO/D/MO/PC COMP/C/103276/39/12/2024</v>
          </cell>
          <cell r="Q443" t="str">
            <v>L13Z17514668</v>
          </cell>
        </row>
        <row r="444">
          <cell r="B444" t="str">
            <v>KHI/HO/D/MO/PC COMP/C/103276/4/12/2024</v>
          </cell>
          <cell r="Q444" t="str">
            <v>6R121384</v>
          </cell>
        </row>
        <row r="445">
          <cell r="B445" t="str">
            <v>KHI/HO/D/MO/PC COMP/C/103276/40/12/2024</v>
          </cell>
          <cell r="Q445" t="str">
            <v>51029549</v>
          </cell>
        </row>
        <row r="446">
          <cell r="B446" t="str">
            <v>KHI/HO/D/MO/PC COMP/C/103276/41/12/2024</v>
          </cell>
          <cell r="Q446" t="str">
            <v>6R330748</v>
          </cell>
        </row>
        <row r="447">
          <cell r="B447" t="str">
            <v>KHI/HO/D/MO/PC COMP/C/103276/42/12/2024</v>
          </cell>
          <cell r="Q447" t="str">
            <v>G4NAMH300006</v>
          </cell>
        </row>
        <row r="448">
          <cell r="B448" t="str">
            <v>KHI/HO/D/MO/PC COMP/C/103276/43/12/2024</v>
          </cell>
          <cell r="Q448" t="str">
            <v>Q069312</v>
          </cell>
        </row>
        <row r="449">
          <cell r="B449" t="str">
            <v>KHI/HO/D/MO/PC COMP/C/103276/44/12/2024</v>
          </cell>
          <cell r="Q449" t="str">
            <v>Q100340</v>
          </cell>
        </row>
        <row r="450">
          <cell r="B450" t="str">
            <v>KHI/HO/D/MO/PC COMP/C/103276/45/12/2024</v>
          </cell>
          <cell r="Q450" t="str">
            <v>1009852</v>
          </cell>
        </row>
        <row r="451">
          <cell r="B451" t="str">
            <v>KHI/HO/D/MO/PC COMP/C/103276/46/12/2024</v>
          </cell>
          <cell r="Q451" t="str">
            <v>L13Z17535821</v>
          </cell>
        </row>
        <row r="452">
          <cell r="B452" t="str">
            <v>KHI/HO/D/MO/PC COMP/C/103276/47/12/2024</v>
          </cell>
          <cell r="Q452" t="str">
            <v>6R273178</v>
          </cell>
        </row>
        <row r="453">
          <cell r="B453" t="str">
            <v>KHI/HO/D/MO/PC COMP/C/103276/48/12/2024</v>
          </cell>
          <cell r="Q453" t="str">
            <v>G4NALU014772</v>
          </cell>
        </row>
        <row r="454">
          <cell r="B454" t="str">
            <v>KHI/HO/D/MO/PC COMP/C/103276/49/12/2024</v>
          </cell>
          <cell r="Q454" t="str">
            <v>K12MR1000906</v>
          </cell>
        </row>
        <row r="455">
          <cell r="B455" t="str">
            <v>KHI/HO/D/MO/PC COMP/C/103276/5/12/2024</v>
          </cell>
          <cell r="Q455" t="str">
            <v>PK10B112927</v>
          </cell>
        </row>
        <row r="456">
          <cell r="B456" t="str">
            <v>KHI/HO/D/MO/PC COMP/C/103276/50/12/2024</v>
          </cell>
          <cell r="Q456" t="str">
            <v>267447</v>
          </cell>
        </row>
        <row r="457">
          <cell r="B457" t="str">
            <v>KHI/HO/D/MO/PC COMP/C/103276/51/12/2024</v>
          </cell>
          <cell r="Q457" t="str">
            <v>6R330607</v>
          </cell>
        </row>
        <row r="458">
          <cell r="B458" t="str">
            <v>KHI/HO/D/MO/PC COMP/C/103276/52/12/2024</v>
          </cell>
          <cell r="Q458" t="str">
            <v>K12MR1024540</v>
          </cell>
        </row>
        <row r="459">
          <cell r="B459" t="str">
            <v>KHI/HO/D/MO/PC COMP/C/103276/53/12/2024</v>
          </cell>
          <cell r="Q459" t="str">
            <v>6R186519</v>
          </cell>
        </row>
        <row r="460">
          <cell r="B460" t="str">
            <v>KHI/HO/D/MO/PC COMP/C/103276/54/12/2024</v>
          </cell>
          <cell r="Q460" t="str">
            <v>331660</v>
          </cell>
        </row>
        <row r="461">
          <cell r="B461" t="str">
            <v>KHI/HO/D/MO/PC COMP/C/103276/55/12/2024</v>
          </cell>
          <cell r="Q461" t="str">
            <v>NF1AET306H1230624</v>
          </cell>
        </row>
        <row r="462">
          <cell r="B462" t="str">
            <v>KHI/HO/D/MO/PC COMP/C/103276/56/12/2024</v>
          </cell>
          <cell r="Q462" t="str">
            <v>221958</v>
          </cell>
        </row>
        <row r="463">
          <cell r="B463" t="str">
            <v>KHI/HO/D/MO/PC COMP/C/103276/57/12/2024</v>
          </cell>
          <cell r="Q463" t="str">
            <v>Q332692</v>
          </cell>
        </row>
        <row r="464">
          <cell r="B464" t="str">
            <v>KHI/HO/D/MO/PC COMP/C/103276/58/12/2024</v>
          </cell>
          <cell r="Q464" t="str">
            <v>L15ZG1001032</v>
          </cell>
        </row>
        <row r="465">
          <cell r="B465" t="str">
            <v>KHI/HO/D/MO/PC COMP/C/103276/59/12/2024</v>
          </cell>
          <cell r="Q465" t="str">
            <v>6R144893</v>
          </cell>
        </row>
        <row r="466">
          <cell r="B466" t="str">
            <v>KHI/HO/D/MO/PC COMP/C/103276/6/12/2024</v>
          </cell>
          <cell r="Q466" t="str">
            <v>6R172159</v>
          </cell>
        </row>
        <row r="467">
          <cell r="B467" t="str">
            <v>KHI/HO/D/MO/PC COMP/C/103276/60/12/2024</v>
          </cell>
          <cell r="Q467" t="str">
            <v>PKS13034881</v>
          </cell>
        </row>
        <row r="468">
          <cell r="B468" t="str">
            <v>KHI/HO/D/MO/PC COMP/C/103276/61/12/2024</v>
          </cell>
          <cell r="Q468" t="str">
            <v>6R239515</v>
          </cell>
        </row>
        <row r="469">
          <cell r="B469" t="str">
            <v>KHI/HO/D/MO/PC COMP/C/103276/62/12/2024</v>
          </cell>
          <cell r="Q469" t="str">
            <v>R18Z12917715</v>
          </cell>
        </row>
        <row r="470">
          <cell r="B470" t="str">
            <v>KHI/HO/D/MO/PC COMP/C/103276/63/12/2024</v>
          </cell>
          <cell r="Q470" t="str">
            <v>6R333267</v>
          </cell>
        </row>
        <row r="471">
          <cell r="B471" t="str">
            <v>KHI/HO/D/MO/PC COMP/C/103276/64/12/2024</v>
          </cell>
          <cell r="Q471" t="str">
            <v>6R268033</v>
          </cell>
        </row>
        <row r="472">
          <cell r="B472" t="str">
            <v>KHI/HO/D/MO/PC COMP/C/103276/65/12/2024</v>
          </cell>
          <cell r="Q472" t="str">
            <v>Q038255</v>
          </cell>
        </row>
        <row r="473">
          <cell r="B473" t="str">
            <v>KHI/HO/D/MO/PC COMP/C/103276/66/12/2024</v>
          </cell>
          <cell r="Q473" t="str">
            <v>L15B71400843</v>
          </cell>
        </row>
        <row r="474">
          <cell r="B474" t="str">
            <v>KHI/HO/D/MO/PC COMP/C/103276/67/12/2024</v>
          </cell>
          <cell r="Q474" t="str">
            <v>6R331845</v>
          </cell>
        </row>
        <row r="475">
          <cell r="B475" t="str">
            <v>KHI/HO/D/MO/PC COMP/C/103276/7/12/2024</v>
          </cell>
          <cell r="Q475" t="str">
            <v>Q087476</v>
          </cell>
        </row>
        <row r="476">
          <cell r="B476" t="str">
            <v>KHI/HO/D/MO/PC COMP/C/103276/8/12/2024</v>
          </cell>
          <cell r="Q476" t="str">
            <v>JL473QFM3CAD521109</v>
          </cell>
        </row>
        <row r="477">
          <cell r="B477" t="str">
            <v>KHI/HO/D/MO/PC COMP/C/103276/9/12/2024</v>
          </cell>
          <cell r="Q477" t="str">
            <v>Z572324</v>
          </cell>
        </row>
        <row r="478">
          <cell r="B478" t="str">
            <v>KHI/HO/D/MO/PC COMP/P/103649/12/2024</v>
          </cell>
          <cell r="Q478" t="str">
            <v>256930-30-371940</v>
          </cell>
        </row>
        <row r="479">
          <cell r="B479" t="str">
            <v>KHI/HO/D/MO/PC COMP/C/103702/1/12/2024</v>
          </cell>
          <cell r="Q479" t="str">
            <v>R18Z12926719</v>
          </cell>
        </row>
        <row r="480">
          <cell r="B480" t="str">
            <v>KHI/HO/D/MO/PC COMP/C/103702/10/12/2024</v>
          </cell>
          <cell r="Q480" t="str">
            <v>106119</v>
          </cell>
        </row>
        <row r="481">
          <cell r="B481" t="str">
            <v>KHI/HO/D/MO/PC COMP/C/103702/100/12/2024</v>
          </cell>
          <cell r="Q481" t="str">
            <v>164908</v>
          </cell>
        </row>
        <row r="482">
          <cell r="B482" t="str">
            <v>KHI/HO/D/MO/PC COMP/C/103702/101/12/2024</v>
          </cell>
          <cell r="Q482" t="str">
            <v>224966</v>
          </cell>
        </row>
        <row r="483">
          <cell r="B483" t="str">
            <v>KHI/HO/D/MO/PC COMP/C/103702/102/12/2024</v>
          </cell>
          <cell r="Q483" t="str">
            <v>K151089</v>
          </cell>
        </row>
        <row r="484">
          <cell r="B484" t="str">
            <v>KHI/HO/D/MO/PC COMP/C/103702/103/12/2024</v>
          </cell>
          <cell r="Q484" t="str">
            <v>60675</v>
          </cell>
        </row>
        <row r="485">
          <cell r="B485" t="str">
            <v>KHI/HO/D/MO/PC COMP/C/103702/104/12/2024</v>
          </cell>
          <cell r="Q485" t="str">
            <v>112919</v>
          </cell>
        </row>
        <row r="486">
          <cell r="B486" t="str">
            <v>KHI/HO/D/MO/PC COMP/C/103702/105/12/2024</v>
          </cell>
          <cell r="Q486" t="str">
            <v>227380</v>
          </cell>
        </row>
        <row r="487">
          <cell r="B487" t="str">
            <v>KHI/HO/D/MO/PC COMP/C/103702/106/12/2024</v>
          </cell>
          <cell r="Q487" t="str">
            <v>133205</v>
          </cell>
        </row>
        <row r="488">
          <cell r="B488" t="str">
            <v>KHI/HO/D/MO/PC COMP/C/103702/107/12/2024</v>
          </cell>
          <cell r="Q488" t="str">
            <v>Z570842</v>
          </cell>
        </row>
        <row r="489">
          <cell r="B489" t="str">
            <v>KHI/HO/D/MO/PC COMP/C/103702/108/12/2024</v>
          </cell>
          <cell r="Q489" t="str">
            <v>2A41961</v>
          </cell>
        </row>
        <row r="490">
          <cell r="B490" t="str">
            <v>KHI/HO/D/MO/PC COMP/C/103702/109/12/2024</v>
          </cell>
          <cell r="Q490" t="str">
            <v>189673</v>
          </cell>
        </row>
        <row r="491">
          <cell r="B491" t="str">
            <v>KHI/HO/D/MO/PC COMP/C/103702/11/12/2024</v>
          </cell>
          <cell r="Q491" t="str">
            <v>6R259874</v>
          </cell>
        </row>
        <row r="492">
          <cell r="B492" t="str">
            <v>KHI/HO/D/MO/PC COMP/C/103702/110/12/2024</v>
          </cell>
          <cell r="Q492" t="str">
            <v>2A42057</v>
          </cell>
        </row>
        <row r="493">
          <cell r="B493" t="str">
            <v>KHI/HO/D/MO/PC COMP/C/103702/111/12/2024</v>
          </cell>
          <cell r="Q493" t="str">
            <v>124791</v>
          </cell>
        </row>
        <row r="494">
          <cell r="B494" t="str">
            <v>KHI/HO/D/MO/PC COMP/C/103702/112/12/2024</v>
          </cell>
          <cell r="Q494" t="str">
            <v>Q346496</v>
          </cell>
        </row>
        <row r="495">
          <cell r="B495" t="str">
            <v>KHI/HO/D/MO/PC COMP/C/103702/113/12/2024</v>
          </cell>
          <cell r="Q495" t="str">
            <v>6R161302</v>
          </cell>
        </row>
        <row r="496">
          <cell r="B496" t="str">
            <v>KHI/HO/D/MO/PC COMP/C/103702/114/12/2024</v>
          </cell>
          <cell r="Q496" t="str">
            <v>81001808</v>
          </cell>
        </row>
        <row r="497">
          <cell r="B497" t="str">
            <v>KHI/HO/D/MO/PC COMP/C/103702/115/12/2024</v>
          </cell>
          <cell r="Q497" t="str">
            <v>81002021</v>
          </cell>
        </row>
        <row r="498">
          <cell r="B498" t="str">
            <v>KHI/HO/D/MO/PC COMP/C/103702/116/12/2024</v>
          </cell>
          <cell r="Q498" t="str">
            <v>811628</v>
          </cell>
        </row>
        <row r="499">
          <cell r="B499" t="str">
            <v>KHI/HO/D/MO/PC COMP/C/103702/117/12/2024</v>
          </cell>
          <cell r="Q499" t="str">
            <v>PKF626292</v>
          </cell>
        </row>
        <row r="500">
          <cell r="B500" t="str">
            <v>KHI/HO/D/MO/PC COMP/C/103702/118/12/2024</v>
          </cell>
          <cell r="Q500" t="str">
            <v>HH300072</v>
          </cell>
        </row>
        <row r="501">
          <cell r="B501" t="str">
            <v>KHI/HO/D/MO/PC COMP/C/103702/119/12/2024</v>
          </cell>
          <cell r="Q501" t="str">
            <v>193535</v>
          </cell>
        </row>
        <row r="502">
          <cell r="B502" t="str">
            <v>KHI/HO/D/MO/PC COMP/C/103702/12/12/2024</v>
          </cell>
          <cell r="Q502" t="str">
            <v>4803418</v>
          </cell>
        </row>
        <row r="503">
          <cell r="B503" t="str">
            <v>KHI/HO/D/MO/PC COMP/C/103702/120/12/2024</v>
          </cell>
          <cell r="Q503" t="str">
            <v>Z483591</v>
          </cell>
        </row>
        <row r="504">
          <cell r="B504" t="str">
            <v>KHI/HO/D/MO/PC COMP/C/103702/121/12/2024</v>
          </cell>
          <cell r="Q504" t="str">
            <v>PKF617000</v>
          </cell>
        </row>
        <row r="505">
          <cell r="B505" t="str">
            <v>KHI/HO/D/MO/PC COMP/C/103702/122/12/2024</v>
          </cell>
          <cell r="Q505" t="str">
            <v>594131</v>
          </cell>
        </row>
        <row r="506">
          <cell r="B506" t="str">
            <v>KHI/HO/D/MO/PC COMP/C/103702/123/12/2024</v>
          </cell>
          <cell r="Q506" t="str">
            <v>291455</v>
          </cell>
        </row>
        <row r="507">
          <cell r="B507" t="str">
            <v>KHI/HO/D/MO/PC COMP/C/103702/124/12/2024</v>
          </cell>
          <cell r="Q507" t="str">
            <v>227779</v>
          </cell>
        </row>
        <row r="508">
          <cell r="B508" t="str">
            <v>KHI/HO/D/MO/PC COMP/C/103702/125/12/2024</v>
          </cell>
          <cell r="Q508" t="str">
            <v>L13Z17516665</v>
          </cell>
        </row>
        <row r="509">
          <cell r="B509" t="str">
            <v>KHI/HO/D/MO/PC COMP/C/103702/126/12/2024</v>
          </cell>
          <cell r="Q509" t="str">
            <v>12916729</v>
          </cell>
        </row>
        <row r="510">
          <cell r="B510" t="str">
            <v>KHI/HO/D/MO/PC COMP/C/103702/127/12/2024</v>
          </cell>
          <cell r="Q510" t="str">
            <v>2A25882</v>
          </cell>
        </row>
        <row r="511">
          <cell r="B511" t="str">
            <v>KHI/HO/D/MO/PC COMP/C/103702/128/12/2024</v>
          </cell>
          <cell r="Q511" t="str">
            <v>12934063</v>
          </cell>
        </row>
        <row r="512">
          <cell r="B512" t="str">
            <v>KHI/HO/D/MO/PC COMP/C/103702/129/12/2024</v>
          </cell>
          <cell r="Q512" t="str">
            <v>53893</v>
          </cell>
        </row>
        <row r="513">
          <cell r="B513" t="str">
            <v>KHI/HO/D/MO/PC COMP/C/103702/13/12/2024</v>
          </cell>
          <cell r="Q513" t="str">
            <v>L13Z17435808</v>
          </cell>
        </row>
        <row r="514">
          <cell r="B514" t="str">
            <v>KHI/HO/D/MO/PC COMP/C/103702/130/12/2024</v>
          </cell>
          <cell r="Q514" t="str">
            <v>14809359</v>
          </cell>
        </row>
        <row r="515">
          <cell r="B515" t="str">
            <v>KHI/HO/D/MO/PC COMP/C/103702/131/12/2024</v>
          </cell>
          <cell r="Q515" t="str">
            <v>6R200660</v>
          </cell>
        </row>
        <row r="516">
          <cell r="B516" t="str">
            <v>KHI/HO/D/MO/PC COMP/C/103702/132/12/2024</v>
          </cell>
          <cell r="Q516" t="str">
            <v>51020313</v>
          </cell>
        </row>
        <row r="517">
          <cell r="B517" t="str">
            <v>KHI/HO/D/MO/PC COMP/C/103702/133/12/2024</v>
          </cell>
          <cell r="Q517" t="str">
            <v>6R221976</v>
          </cell>
        </row>
        <row r="518">
          <cell r="B518" t="str">
            <v>KHI/HO/D/MO/PC COMP/C/103702/134/12/2024</v>
          </cell>
          <cell r="Q518" t="str">
            <v>13513653</v>
          </cell>
        </row>
        <row r="519">
          <cell r="B519" t="str">
            <v>KHI/HO/D/MO/PC COMP/C/103702/135/12/2024</v>
          </cell>
          <cell r="Q519" t="str">
            <v>130026</v>
          </cell>
        </row>
        <row r="520">
          <cell r="B520" t="str">
            <v>KHI/HO/D/MO/PC COMP/C/103702/136/12/2024</v>
          </cell>
          <cell r="Q520" t="str">
            <v>264826</v>
          </cell>
        </row>
        <row r="521">
          <cell r="B521" t="str">
            <v>KHI/HO/D/MO/PC COMP/C/103702/137/12/2024</v>
          </cell>
          <cell r="Q521" t="str">
            <v>265204</v>
          </cell>
        </row>
        <row r="522">
          <cell r="B522" t="str">
            <v>KHI/HO/D/MO/PC COMP/C/103702/138/12/2024</v>
          </cell>
          <cell r="Q522" t="str">
            <v>PK10B225066</v>
          </cell>
        </row>
        <row r="523">
          <cell r="B523" t="str">
            <v>KHI/HO/D/MO/PC COMP/C/103702/139/12/2024</v>
          </cell>
          <cell r="Q523" t="str">
            <v>60522</v>
          </cell>
        </row>
        <row r="524">
          <cell r="B524" t="str">
            <v>KHI/HO/D/MO/PC COMP/C/103702/14/12/2024</v>
          </cell>
          <cell r="Q524" t="str">
            <v>Z528182</v>
          </cell>
        </row>
        <row r="525">
          <cell r="B525" t="str">
            <v>KHI/HO/D/MO/PC COMP/C/103702/140/12/2024</v>
          </cell>
          <cell r="Q525" t="str">
            <v>225213</v>
          </cell>
        </row>
        <row r="526">
          <cell r="B526" t="str">
            <v>KHI/HO/D/MO/PC COMP/C/103702/141/12/2024</v>
          </cell>
          <cell r="Q526" t="str">
            <v>972482</v>
          </cell>
        </row>
        <row r="527">
          <cell r="B527" t="str">
            <v>KHI/HO/D/MO/PC COMP/C/103702/142/12/2024</v>
          </cell>
          <cell r="Q527" t="str">
            <v>131322</v>
          </cell>
        </row>
        <row r="528">
          <cell r="B528" t="str">
            <v>KHI/HO/D/MO/PC COMP/C/103702/143/12/2024</v>
          </cell>
          <cell r="Q528" t="str">
            <v>17518025</v>
          </cell>
        </row>
        <row r="529">
          <cell r="B529" t="str">
            <v>KHI/HO/D/MO/PC COMP/C/103702/144/12/2024</v>
          </cell>
          <cell r="Q529" t="str">
            <v>6R266446</v>
          </cell>
        </row>
        <row r="530">
          <cell r="B530" t="str">
            <v>KHI/HO/D/MO/PC COMP/C/103702/145/12/2024</v>
          </cell>
          <cell r="Q530" t="str">
            <v>336041</v>
          </cell>
        </row>
        <row r="531">
          <cell r="B531" t="str">
            <v>KHI/HO/D/MO/PC COMP/C/103702/146/12/2024</v>
          </cell>
          <cell r="Q531" t="str">
            <v>R18212930168</v>
          </cell>
        </row>
        <row r="532">
          <cell r="B532" t="str">
            <v>KHI/HO/D/MO/PC COMP/C/103702/147/12/2024</v>
          </cell>
          <cell r="Q532" t="str">
            <v>16929296</v>
          </cell>
        </row>
        <row r="533">
          <cell r="B533" t="str">
            <v>KHI/HO/D/MO/PC COMP/C/103702/148/12/2024</v>
          </cell>
          <cell r="Q533" t="str">
            <v>Q040337</v>
          </cell>
        </row>
        <row r="534">
          <cell r="B534" t="str">
            <v>KHI/HO/D/MO/PC COMP/C/103702/149/12/2024</v>
          </cell>
          <cell r="Q534" t="str">
            <v>R18Z16926888</v>
          </cell>
        </row>
        <row r="535">
          <cell r="B535" t="str">
            <v>KHI/HO/D/MO/PC COMP/C/103702/15/12/2024</v>
          </cell>
          <cell r="Q535" t="str">
            <v>070297</v>
          </cell>
        </row>
        <row r="536">
          <cell r="B536" t="str">
            <v>KHI/HO/D/MO/PC COMP/C/103702/150/12/2024</v>
          </cell>
          <cell r="Q536" t="str">
            <v>893774</v>
          </cell>
        </row>
        <row r="537">
          <cell r="B537" t="str">
            <v>KHI/HO/D/MO/PC COMP/C/103702/151/12/2024</v>
          </cell>
          <cell r="Q537" t="str">
            <v>2A03822</v>
          </cell>
        </row>
        <row r="538">
          <cell r="B538" t="str">
            <v>KHI/HO/D/MO/PC COMP/C/103702/152/12/2024</v>
          </cell>
          <cell r="Q538" t="str">
            <v>R55198</v>
          </cell>
        </row>
        <row r="539">
          <cell r="B539" t="str">
            <v>KHI/HO/D/MO/PC COMP/C/103702/153/12/2024</v>
          </cell>
          <cell r="Q539" t="str">
            <v>2A15317</v>
          </cell>
        </row>
        <row r="540">
          <cell r="B540" t="str">
            <v>KHI/HO/D/MO/PC COMP/C/103702/154/12/2024</v>
          </cell>
          <cell r="Q540" t="str">
            <v>JL473QFM3CAD502173</v>
          </cell>
        </row>
        <row r="541">
          <cell r="B541" t="str">
            <v>KHI/HO/D/MO/PC COMP/C/103702/155/12/2024</v>
          </cell>
          <cell r="Q541" t="str">
            <v>9800255</v>
          </cell>
        </row>
        <row r="542">
          <cell r="B542" t="str">
            <v>KHI/HO/D/MO/PC COMP/C/103702/156/12/2024</v>
          </cell>
          <cell r="Q542" t="str">
            <v>168125</v>
          </cell>
        </row>
        <row r="543">
          <cell r="B543" t="str">
            <v>KHI/HO/D/MO/PC COMP/C/103702/157/12/2024</v>
          </cell>
          <cell r="Q543" t="str">
            <v>9751412</v>
          </cell>
        </row>
        <row r="544">
          <cell r="B544" t="str">
            <v>KHI/HO/D/MO/PC COMP/C/103702/158/12/2024</v>
          </cell>
          <cell r="Q544" t="str">
            <v>Z319318</v>
          </cell>
        </row>
        <row r="545">
          <cell r="B545" t="str">
            <v>KHI/HO/D/MO/PC COMP/C/103702/159/12/2024</v>
          </cell>
          <cell r="Q545" t="str">
            <v>G3LALP077832</v>
          </cell>
        </row>
        <row r="546">
          <cell r="B546" t="str">
            <v>KHI/HO/D/MO/PC COMP/C/103702/16/12/2024</v>
          </cell>
          <cell r="Q546" t="str">
            <v>118310</v>
          </cell>
        </row>
        <row r="547">
          <cell r="B547" t="str">
            <v>KHI/HO/D/MO/PC COMP/C/103702/160/12/2024</v>
          </cell>
          <cell r="Q547" t="str">
            <v>AQNH01799</v>
          </cell>
        </row>
        <row r="548">
          <cell r="B548" t="str">
            <v>KHI/HO/D/MO/PC COMP/C/103702/161/12/2024</v>
          </cell>
          <cell r="Q548" t="str">
            <v>7915407</v>
          </cell>
        </row>
        <row r="549">
          <cell r="B549" t="str">
            <v>KHI/HO/D/MO/PC COMP/C/103702/162/12/2024</v>
          </cell>
          <cell r="Q549" t="str">
            <v>6R177424</v>
          </cell>
        </row>
        <row r="550">
          <cell r="B550" t="str">
            <v>KHI/HO/D/MO/PC COMP/C/103702/163/12/2024</v>
          </cell>
          <cell r="Q550" t="str">
            <v>2A11475</v>
          </cell>
        </row>
        <row r="551">
          <cell r="B551" t="str">
            <v>KHI/HO/D/MO/PC COMP/C/103702/164/12/2024</v>
          </cell>
          <cell r="Q551" t="str">
            <v>127773</v>
          </cell>
        </row>
        <row r="552">
          <cell r="B552" t="str">
            <v>KHI/HO/D/MO/PC COMP/C/103702/165/12/2024</v>
          </cell>
          <cell r="Q552" t="str">
            <v>PK10B121260</v>
          </cell>
        </row>
        <row r="553">
          <cell r="B553" t="str">
            <v>KHI/HO/D/MO/PC COMP/C/103702/166/12/2024</v>
          </cell>
          <cell r="Q553" t="str">
            <v>74005</v>
          </cell>
        </row>
        <row r="554">
          <cell r="B554" t="str">
            <v>KHI/HO/D/MO/PC COMP/C/103702/167/12/2024</v>
          </cell>
          <cell r="Q554" t="str">
            <v>148831</v>
          </cell>
        </row>
        <row r="555">
          <cell r="B555" t="str">
            <v>KHI/HO/D/MO/PC COMP/C/103702/168/12/2024</v>
          </cell>
          <cell r="Q555" t="str">
            <v>PKT1017867</v>
          </cell>
        </row>
        <row r="556">
          <cell r="B556" t="str">
            <v>KHI/HO/D/MO/PC COMP/C/103702/169/12/2024</v>
          </cell>
          <cell r="Q556" t="str">
            <v>7542915</v>
          </cell>
        </row>
        <row r="557">
          <cell r="B557" t="str">
            <v>KHI/HO/D/MO/PC COMP/C/103702/17/12/2024</v>
          </cell>
          <cell r="Q557" t="str">
            <v>189472</v>
          </cell>
        </row>
        <row r="558">
          <cell r="B558" t="str">
            <v>KHI/HO/D/MO/PC COMP/C/103702/170/12/2024</v>
          </cell>
          <cell r="Q558" t="str">
            <v>132257</v>
          </cell>
        </row>
        <row r="559">
          <cell r="B559" t="str">
            <v>KHI/HO/D/MO/PC COMP/C/103702/171/12/2024</v>
          </cell>
          <cell r="Q559" t="str">
            <v>Z408626</v>
          </cell>
        </row>
        <row r="560">
          <cell r="B560" t="str">
            <v>KHI/HO/D/MO/PC COMP/C/103702/172/12/2024</v>
          </cell>
          <cell r="Q560" t="str">
            <v>13048247</v>
          </cell>
        </row>
        <row r="561">
          <cell r="B561" t="str">
            <v>KHI/HO/D/MO/PC COMP/C/103702/173/12/2024</v>
          </cell>
          <cell r="Q561" t="str">
            <v>125088</v>
          </cell>
        </row>
        <row r="562">
          <cell r="B562" t="str">
            <v>KHI/HO/D/MO/PC COMP/C/103702/174/12/2024</v>
          </cell>
          <cell r="Q562" t="str">
            <v>PK10B113878</v>
          </cell>
        </row>
        <row r="563">
          <cell r="B563" t="str">
            <v>KHI/HO/D/MO/PC COMP/C/103702/175/12/2024</v>
          </cell>
          <cell r="Q563" t="str">
            <v>Q085372</v>
          </cell>
        </row>
        <row r="564">
          <cell r="B564" t="str">
            <v>KHI/HO/D/MO/PC COMP/C/103702/176/12/2024</v>
          </cell>
          <cell r="Q564" t="str">
            <v>2A40867</v>
          </cell>
        </row>
        <row r="565">
          <cell r="B565" t="str">
            <v>KHI/HO/D/MO/PC COMP/C/103702/177/12/2024</v>
          </cell>
          <cell r="Q565" t="str">
            <v>12954864</v>
          </cell>
        </row>
        <row r="566">
          <cell r="B566" t="str">
            <v>KHI/HO/D/MO/PC COMP/C/103702/178/12/2024</v>
          </cell>
          <cell r="Q566" t="str">
            <v>Q354134</v>
          </cell>
        </row>
        <row r="567">
          <cell r="B567" t="str">
            <v>KHI/HO/D/MO/PC COMP/C/103702/179/12/2024</v>
          </cell>
          <cell r="Q567" t="str">
            <v>PKB751320</v>
          </cell>
        </row>
        <row r="568">
          <cell r="B568" t="str">
            <v>KHI/HO/D/MO/PC COMP/C/103702/18/12/2024</v>
          </cell>
          <cell r="Q568" t="str">
            <v>17534818</v>
          </cell>
        </row>
        <row r="569">
          <cell r="B569" t="str">
            <v>KHI/HO/D/MO/PC COMP/C/103702/180/12/2024</v>
          </cell>
          <cell r="Q569" t="str">
            <v>678550</v>
          </cell>
        </row>
        <row r="570">
          <cell r="B570" t="str">
            <v>KHI/HO/D/MO/PC COMP/C/103702/181/12/2024</v>
          </cell>
          <cell r="Q570" t="str">
            <v>G3LALP078009</v>
          </cell>
        </row>
        <row r="571">
          <cell r="B571" t="str">
            <v>KHI/HO/D/MO/PC COMP/C/103702/182/12/2024</v>
          </cell>
          <cell r="Q571" t="str">
            <v>149069</v>
          </cell>
        </row>
        <row r="572">
          <cell r="B572" t="str">
            <v>KHI/HO/D/MO/PC COMP/C/103702/183/12/2024</v>
          </cell>
          <cell r="Q572" t="str">
            <v>182702</v>
          </cell>
        </row>
        <row r="573">
          <cell r="B573" t="str">
            <v>KHI/HO/D/MO/PC COMP/C/103702/184/12/2024</v>
          </cell>
          <cell r="Q573" t="str">
            <v>KP131811</v>
          </cell>
        </row>
        <row r="574">
          <cell r="B574" t="str">
            <v>KHI/HO/D/MO/PC COMP/C/103702/185/12/2024</v>
          </cell>
          <cell r="Q574" t="str">
            <v>6R262992</v>
          </cell>
        </row>
        <row r="575">
          <cell r="B575" t="str">
            <v>KHI/HO/D/MO/PC COMP/C/103702/186/12/2024</v>
          </cell>
          <cell r="Q575" t="str">
            <v>60660</v>
          </cell>
        </row>
        <row r="576">
          <cell r="B576" t="str">
            <v>KHI/HO/D/MO/PC COMP/C/103702/187/12/2024</v>
          </cell>
          <cell r="Q576" t="str">
            <v>10K179061</v>
          </cell>
        </row>
        <row r="577">
          <cell r="B577" t="str">
            <v>KHI/HO/D/MO/PC COMP/C/103702/188/12/2024</v>
          </cell>
          <cell r="Q577" t="str">
            <v>10B241765</v>
          </cell>
        </row>
        <row r="578">
          <cell r="B578" t="str">
            <v>KHI/HO/D/MO/PC COMP/C/103702/189/12/2024</v>
          </cell>
          <cell r="Q578" t="str">
            <v>6R235366</v>
          </cell>
        </row>
        <row r="579">
          <cell r="B579" t="str">
            <v>KHI/HO/D/MO/PC COMP/C/103702/19/12/2024</v>
          </cell>
          <cell r="Q579" t="str">
            <v>173902</v>
          </cell>
        </row>
        <row r="580">
          <cell r="B580" t="str">
            <v>KHI/HO/D/MO/PC COMP/C/103702/190/12/2024</v>
          </cell>
          <cell r="Q580" t="str">
            <v>204412</v>
          </cell>
        </row>
        <row r="581">
          <cell r="B581" t="str">
            <v>KHI/HO/D/MO/PC COMP/C/103702/191/12/2024</v>
          </cell>
          <cell r="Q581" t="str">
            <v>2TRA796363</v>
          </cell>
        </row>
        <row r="582">
          <cell r="B582" t="str">
            <v>KHI/HO/D/MO/PC COMP/C/103702/192/12/2024</v>
          </cell>
          <cell r="Q582" t="str">
            <v>SFGI5T-21028882</v>
          </cell>
        </row>
        <row r="583">
          <cell r="B583" t="str">
            <v>KHI/HO/D/MO/PC COMP/C/103702/193/12/2024</v>
          </cell>
          <cell r="Q583" t="str">
            <v>508092</v>
          </cell>
        </row>
        <row r="584">
          <cell r="B584" t="str">
            <v>KHI/HO/D/MO/PC COMP/C/103702/194/12/2024</v>
          </cell>
          <cell r="Q584" t="str">
            <v>204415</v>
          </cell>
        </row>
        <row r="585">
          <cell r="B585" t="str">
            <v>KHI/HO/D/MO/PC COMP/C/103702/195/12/2024</v>
          </cell>
          <cell r="Q585" t="str">
            <v>17457134</v>
          </cell>
        </row>
        <row r="586">
          <cell r="B586" t="str">
            <v>KHI/HO/D/MO/PC COMP/C/103702/196/12/2024</v>
          </cell>
          <cell r="Q586" t="str">
            <v>Q025388</v>
          </cell>
        </row>
        <row r="587">
          <cell r="B587" t="str">
            <v>KHI/HO/D/MO/PC COMP/C/103702/197/12/2024</v>
          </cell>
          <cell r="Q587" t="str">
            <v>18216910607</v>
          </cell>
        </row>
        <row r="588">
          <cell r="B588" t="str">
            <v>KHI/HO/D/MO/PC COMP/C/103702/198/12/2024</v>
          </cell>
          <cell r="Q588" t="str">
            <v>12932828</v>
          </cell>
        </row>
        <row r="589">
          <cell r="B589" t="str">
            <v>KHI/HO/D/MO/PC COMP/C/103702/199/12/2024</v>
          </cell>
          <cell r="Q589" t="str">
            <v>L13Z17426801</v>
          </cell>
        </row>
        <row r="590">
          <cell r="B590" t="str">
            <v>KHI/HO/D/MO/PC COMP/C/103702/2/12/2024</v>
          </cell>
          <cell r="Q590" t="str">
            <v>164365</v>
          </cell>
        </row>
        <row r="591">
          <cell r="B591" t="str">
            <v>KHI/HO/D/MO/PC COMP/C/103702/20/12/2024</v>
          </cell>
          <cell r="Q591" t="str">
            <v>2A13362</v>
          </cell>
        </row>
        <row r="592">
          <cell r="B592" t="str">
            <v>KHI/HO/D/MO/PC COMP/C/103702/200/12/2024</v>
          </cell>
          <cell r="Q592" t="str">
            <v>51005442</v>
          </cell>
        </row>
        <row r="593">
          <cell r="B593" t="str">
            <v>KHI/HO/D/MO/PC COMP/C/103702/201/12/2024</v>
          </cell>
          <cell r="Q593" t="str">
            <v>17511194</v>
          </cell>
        </row>
        <row r="594">
          <cell r="B594" t="str">
            <v>KHI/HO/D/MO/PC COMP/C/103702/202/12/2024</v>
          </cell>
          <cell r="Q594" t="str">
            <v>Z380895</v>
          </cell>
        </row>
        <row r="595">
          <cell r="B595" t="str">
            <v>KHI/HO/D/MO/PC COMP/C/103702/203/12/2024</v>
          </cell>
          <cell r="Q595" t="str">
            <v>Z574771</v>
          </cell>
        </row>
        <row r="596">
          <cell r="B596" t="str">
            <v>KHI/HO/D/MO/PC COMP/C/103702/204/12/2024</v>
          </cell>
          <cell r="Q596" t="str">
            <v>17446609</v>
          </cell>
        </row>
        <row r="597">
          <cell r="B597" t="str">
            <v>KHI/HO/D/MO/PC COMP/C/103702/205/12/2024</v>
          </cell>
          <cell r="Q597" t="str">
            <v>503442</v>
          </cell>
        </row>
        <row r="598">
          <cell r="B598" t="str">
            <v>KHI/HO/D/MO/PC COMP/C/103702/206/12/2024</v>
          </cell>
          <cell r="Q598" t="str">
            <v>2A22223</v>
          </cell>
        </row>
        <row r="599">
          <cell r="B599" t="str">
            <v>KHI/HO/D/MO/PC COMP/C/103702/207/12/2024</v>
          </cell>
          <cell r="Q599" t="str">
            <v>184413</v>
          </cell>
        </row>
        <row r="600">
          <cell r="B600" t="str">
            <v>KHI/HO/D/MO/PC COMP/C/103702/208/12/2024</v>
          </cell>
          <cell r="Q600" t="str">
            <v>G4NAMH319656</v>
          </cell>
        </row>
        <row r="601">
          <cell r="B601" t="str">
            <v>KHI/HO/D/MO/PC COMP/C/103702/209/12/2024</v>
          </cell>
          <cell r="Q601" t="str">
            <v>306971</v>
          </cell>
        </row>
        <row r="602">
          <cell r="B602" t="str">
            <v>KHI/HO/D/MO/PC COMP/C/103702/21/12/2024</v>
          </cell>
          <cell r="Q602" t="str">
            <v>2A41466</v>
          </cell>
        </row>
        <row r="603">
          <cell r="B603" t="str">
            <v>KHI/HO/D/MO/PC COMP/C/103702/210/12/2024</v>
          </cell>
          <cell r="Q603" t="str">
            <v>159468</v>
          </cell>
        </row>
        <row r="604">
          <cell r="B604" t="str">
            <v>KHI/HO/D/MO/PC COMP/C/103702/211/12/2024</v>
          </cell>
          <cell r="Q604" t="str">
            <v>MU910915</v>
          </cell>
        </row>
        <row r="605">
          <cell r="B605" t="str">
            <v>KHI/HO/D/MO/PC COMP/C/103702/212/12/2024</v>
          </cell>
          <cell r="Q605" t="str">
            <v>331599</v>
          </cell>
        </row>
        <row r="606">
          <cell r="B606" t="str">
            <v>KHI/HO/D/MO/PC COMP/C/103702/213/12/2024</v>
          </cell>
          <cell r="Q606" t="str">
            <v>12908281</v>
          </cell>
        </row>
        <row r="607">
          <cell r="B607" t="str">
            <v>KHI/HO/D/MO/PC COMP/C/103702/214/12/2024</v>
          </cell>
          <cell r="Q607" t="str">
            <v>332854</v>
          </cell>
        </row>
        <row r="608">
          <cell r="B608" t="str">
            <v>KHI/HO/D/MO/PC COMP/C/103702/215/12/2024</v>
          </cell>
          <cell r="Q608" t="str">
            <v>153783</v>
          </cell>
        </row>
        <row r="609">
          <cell r="B609" t="str">
            <v>KHI/HO/D/MO/PC COMP/C/103702/216/12/2024</v>
          </cell>
          <cell r="Q609" t="str">
            <v>G4AMH316962</v>
          </cell>
        </row>
        <row r="610">
          <cell r="B610" t="str">
            <v>KHI/HO/D/MO/PC COMP/C/103702/217/12/2024</v>
          </cell>
          <cell r="Q610" t="str">
            <v>13040425</v>
          </cell>
        </row>
        <row r="611">
          <cell r="B611" t="str">
            <v>KHI/HO/D/MO/PC COMP/C/103702/218/12/2024</v>
          </cell>
          <cell r="Q611" t="str">
            <v>10B144701</v>
          </cell>
        </row>
        <row r="612">
          <cell r="B612" t="str">
            <v>KHI/HO/D/MO/PC COMP/C/103702/219/12/2024</v>
          </cell>
          <cell r="Q612" t="str">
            <v>178789</v>
          </cell>
        </row>
        <row r="613">
          <cell r="B613" t="str">
            <v>KHI/HO/D/MO/PC COMP/C/103702/22/12/2024</v>
          </cell>
          <cell r="Q613" t="str">
            <v>507542</v>
          </cell>
        </row>
        <row r="614">
          <cell r="B614" t="str">
            <v>KHI/HO/D/MO/PC COMP/C/103702/220/12/2024</v>
          </cell>
          <cell r="Q614" t="str">
            <v>6R164659</v>
          </cell>
        </row>
        <row r="615">
          <cell r="B615" t="str">
            <v>KHI/HO/D/MO/PC COMP/C/103702/221/12/2024</v>
          </cell>
          <cell r="Q615" t="str">
            <v>226994</v>
          </cell>
        </row>
        <row r="616">
          <cell r="B616" t="str">
            <v>KHI/HO/D/MO/PC COMP/C/103702/222/12/2024</v>
          </cell>
          <cell r="Q616" t="str">
            <v>149208</v>
          </cell>
        </row>
        <row r="617">
          <cell r="B617" t="str">
            <v>KHI/HO/D/MO/PC COMP/C/103702/223/12/2024</v>
          </cell>
          <cell r="Q617" t="str">
            <v>L15Z14803305</v>
          </cell>
        </row>
        <row r="618">
          <cell r="B618" t="str">
            <v>KHI/HO/D/MO/PC COMP/C/103702/224/12/2024</v>
          </cell>
          <cell r="Q618" t="str">
            <v>Z444834</v>
          </cell>
        </row>
        <row r="619">
          <cell r="B619" t="str">
            <v>KHI/HO/D/MO/PC COMP/C/103702/225/12/2024</v>
          </cell>
          <cell r="Q619" t="str">
            <v>2A62731</v>
          </cell>
        </row>
        <row r="620">
          <cell r="B620" t="str">
            <v>KHI/HO/D/MO/PC COMP/C/103702/226/12/2024</v>
          </cell>
          <cell r="Q620" t="str">
            <v>180868</v>
          </cell>
        </row>
        <row r="621">
          <cell r="B621" t="str">
            <v>KHI/HO/D/MO/PC COMP/C/103702/227/12/2024</v>
          </cell>
          <cell r="Q621" t="str">
            <v>Q051612</v>
          </cell>
        </row>
        <row r="622">
          <cell r="B622" t="str">
            <v>KHI/HO/D/MO/PC COMP/C/103702/228/12/2024</v>
          </cell>
          <cell r="Q622" t="str">
            <v>13500847</v>
          </cell>
        </row>
        <row r="623">
          <cell r="B623" t="str">
            <v>KHI/HO/D/MO/PC COMP/C/103702/229/12/2024</v>
          </cell>
          <cell r="Q623" t="str">
            <v>6R147578</v>
          </cell>
        </row>
        <row r="624">
          <cell r="B624" t="str">
            <v>KHI/HO/D/MO/PC COMP/C/103702/23/12/2024</v>
          </cell>
          <cell r="Q624" t="str">
            <v>Q069032</v>
          </cell>
        </row>
        <row r="625">
          <cell r="B625" t="str">
            <v>KHI/HO/D/MO/PC COMP/C/103702/230/12/2024</v>
          </cell>
          <cell r="Q625" t="str">
            <v>719610</v>
          </cell>
        </row>
        <row r="626">
          <cell r="B626" t="str">
            <v>KHI/HO/D/MO/PC COMP/C/103702/231/12/2024</v>
          </cell>
          <cell r="Q626" t="str">
            <v>224703</v>
          </cell>
        </row>
        <row r="627">
          <cell r="B627" t="str">
            <v>KHI/HO/D/MO/PC COMP/C/103702/232/12/2024</v>
          </cell>
          <cell r="Q627" t="str">
            <v>Q102515</v>
          </cell>
        </row>
        <row r="628">
          <cell r="B628" t="str">
            <v>KHI/HO/D/MO/PC COMP/C/103702/233/12/2024</v>
          </cell>
          <cell r="Q628" t="str">
            <v>523085</v>
          </cell>
        </row>
        <row r="629">
          <cell r="B629" t="str">
            <v>KHI/HO/D/MO/PC COMP/C/103702/234/12/2024</v>
          </cell>
          <cell r="Q629" t="str">
            <v>G4NALH336022</v>
          </cell>
        </row>
        <row r="630">
          <cell r="B630" t="str">
            <v>KHI/HO/D/MO/PC COMP/C/103702/235/12/2024</v>
          </cell>
          <cell r="Q630" t="str">
            <v>313513</v>
          </cell>
        </row>
        <row r="631">
          <cell r="B631" t="str">
            <v>KHI/HO/D/MO/PC COMP/C/103702/236/12/2024</v>
          </cell>
          <cell r="Q631" t="str">
            <v>12945891</v>
          </cell>
        </row>
        <row r="632">
          <cell r="B632" t="str">
            <v>KHI/HO/D/MO/PC COMP/C/103702/237/12/2024</v>
          </cell>
          <cell r="Q632" t="str">
            <v>S07A-1686099</v>
          </cell>
        </row>
        <row r="633">
          <cell r="B633" t="str">
            <v>KHI/HO/D/MO/PC COMP/C/103702/238/12/2024</v>
          </cell>
          <cell r="Q633" t="str">
            <v>1016897</v>
          </cell>
        </row>
        <row r="634">
          <cell r="B634" t="str">
            <v>KHI/HO/D/MO/PC COMP/C/103702/239/12/2024</v>
          </cell>
          <cell r="Q634" t="str">
            <v>149897</v>
          </cell>
        </row>
        <row r="635">
          <cell r="B635" t="str">
            <v>KHI/HO/D/MO/PC COMP/C/103702/24/12/2024</v>
          </cell>
          <cell r="Q635" t="str">
            <v>2ZR-3JM-D301031</v>
          </cell>
        </row>
        <row r="636">
          <cell r="B636" t="str">
            <v>KHI/HO/D/MO/PC COMP/C/103702/240/12/2024</v>
          </cell>
          <cell r="Q636" t="str">
            <v>R18216930017</v>
          </cell>
        </row>
        <row r="637">
          <cell r="B637" t="str">
            <v>KHI/HO/D/MO/PC COMP/C/103702/241/12/2024</v>
          </cell>
          <cell r="Q637" t="str">
            <v>Z562334</v>
          </cell>
        </row>
        <row r="638">
          <cell r="B638" t="str">
            <v>KHI/HO/D/MO/PC COMP/C/103702/242/12/2024</v>
          </cell>
          <cell r="Q638" t="str">
            <v>516793</v>
          </cell>
        </row>
        <row r="639">
          <cell r="B639" t="str">
            <v>KHI/HO/D/MO/PC COMP/C/103702/243/12/2024</v>
          </cell>
          <cell r="Q639" t="str">
            <v>JL473QFM3CAD515963</v>
          </cell>
        </row>
        <row r="640">
          <cell r="B640" t="str">
            <v>KHI/HO/D/MO/PC COMP/C/103702/244/12/2024</v>
          </cell>
          <cell r="Q640" t="str">
            <v>L12B51005223</v>
          </cell>
        </row>
        <row r="641">
          <cell r="B641" t="str">
            <v>KHI/HO/D/MO/PC COMP/C/103702/245/12/2024</v>
          </cell>
          <cell r="Q641" t="str">
            <v>2A42311</v>
          </cell>
        </row>
        <row r="642">
          <cell r="B642" t="str">
            <v>KHI/HO/D/MO/PC COMP/C/103702/246/12/2024</v>
          </cell>
          <cell r="Q642" t="str">
            <v>Z547565</v>
          </cell>
        </row>
        <row r="643">
          <cell r="B643" t="str">
            <v>KHI/HO/D/MO/PC COMP/C/103702/247/12/2024</v>
          </cell>
          <cell r="Q643" t="str">
            <v>L13Z17539044</v>
          </cell>
        </row>
        <row r="644">
          <cell r="B644" t="str">
            <v>KHI/HO/D/MO/PC COMP/C/103702/248/12/2024</v>
          </cell>
          <cell r="Q644" t="str">
            <v>312251</v>
          </cell>
        </row>
        <row r="645">
          <cell r="B645" t="str">
            <v>KHI/HO/D/MO/PC COMP/C/103702/249/12/2024</v>
          </cell>
          <cell r="Q645" t="str">
            <v>213525</v>
          </cell>
        </row>
        <row r="646">
          <cell r="B646" t="str">
            <v>KHI/HO/D/MO/PC COMP/C/103702/25/12/2024</v>
          </cell>
          <cell r="Q646" t="str">
            <v>281012895</v>
          </cell>
        </row>
        <row r="647">
          <cell r="B647" t="str">
            <v>KHI/HO/D/MO/PC COMP/C/103702/250/12/2024</v>
          </cell>
          <cell r="Q647" t="str">
            <v>102233</v>
          </cell>
        </row>
        <row r="648">
          <cell r="B648" t="str">
            <v>KHI/HO/D/MO/PC COMP/C/103702/251/12/2024</v>
          </cell>
          <cell r="Q648" t="str">
            <v>7979235</v>
          </cell>
        </row>
        <row r="649">
          <cell r="B649" t="str">
            <v>KHI/HO/D/MO/PC COMP/C/103702/252/12/2024</v>
          </cell>
          <cell r="Q649" t="str">
            <v>506786</v>
          </cell>
        </row>
        <row r="650">
          <cell r="B650" t="str">
            <v>KHI/HO/D/MO/PC COMP/C/103702/253/12/2024</v>
          </cell>
          <cell r="Q650" t="str">
            <v>6R260690</v>
          </cell>
        </row>
        <row r="651">
          <cell r="B651" t="str">
            <v>KHI/HO/D/MO/PC COMP/C/103702/254/12/2024</v>
          </cell>
          <cell r="Q651" t="str">
            <v>100827</v>
          </cell>
        </row>
        <row r="652">
          <cell r="B652" t="str">
            <v>KHI/HO/D/MO/PC COMP/C/103702/255/12/2024</v>
          </cell>
          <cell r="Q652" t="str">
            <v>6R147902</v>
          </cell>
        </row>
        <row r="653">
          <cell r="B653" t="str">
            <v>KHI/HO/D/MO/PC COMP/C/103702/256/12/2024</v>
          </cell>
          <cell r="Q653" t="str">
            <v>6R167920</v>
          </cell>
        </row>
        <row r="654">
          <cell r="B654" t="str">
            <v>KHI/HO/D/MO/PC COMP/C/103702/257/12/2024</v>
          </cell>
          <cell r="Q654" t="str">
            <v>226670</v>
          </cell>
        </row>
        <row r="655">
          <cell r="B655" t="str">
            <v>KHI/HO/D/MO/PC COMP/C/103702/258/12/2024</v>
          </cell>
          <cell r="Q655" t="str">
            <v>201334</v>
          </cell>
        </row>
        <row r="656">
          <cell r="B656" t="str">
            <v>KHI/HO/D/MO/PC COMP/C/103702/259/12/2024</v>
          </cell>
          <cell r="Q656" t="str">
            <v>PKB688100</v>
          </cell>
        </row>
        <row r="657">
          <cell r="B657" t="str">
            <v>KHI/HO/D/MO/PC COMP/C/103702/26/12/2024</v>
          </cell>
          <cell r="Q657" t="str">
            <v>L13Z1754253</v>
          </cell>
        </row>
        <row r="658">
          <cell r="B658" t="str">
            <v>KHI/HO/D/MO/PC COMP/C/103702/260/12/2024</v>
          </cell>
          <cell r="Q658" t="str">
            <v>6R289965</v>
          </cell>
        </row>
        <row r="659">
          <cell r="B659" t="str">
            <v>KHI/HO/D/MO/PC COMP/C/103702/261/12/2024</v>
          </cell>
          <cell r="Q659" t="str">
            <v>12946327</v>
          </cell>
        </row>
        <row r="660">
          <cell r="B660" t="str">
            <v>KHI/HO/D/MO/PC COMP/C/103702/262/12/2024</v>
          </cell>
          <cell r="Q660" t="str">
            <v>17533188</v>
          </cell>
        </row>
        <row r="661">
          <cell r="B661" t="str">
            <v>KHI/HO/D/MO/PC COMP/C/103702/263/12/2024</v>
          </cell>
          <cell r="Q661" t="str">
            <v>PK10B147045</v>
          </cell>
        </row>
        <row r="662">
          <cell r="B662" t="str">
            <v>KHI/HO/D/MO/PC COMP/C/103702/264/12/2024</v>
          </cell>
          <cell r="Q662" t="str">
            <v>686250</v>
          </cell>
        </row>
        <row r="663">
          <cell r="B663" t="str">
            <v>KHI/HO/D/MO/PC COMP/C/103702/265/12/2024</v>
          </cell>
          <cell r="Q663" t="str">
            <v>PKB661055</v>
          </cell>
        </row>
        <row r="664">
          <cell r="B664" t="str">
            <v>KHI/HO/D/MO/PC COMP/C/103702/266/12/2024</v>
          </cell>
          <cell r="Q664" t="str">
            <v>Z671404</v>
          </cell>
        </row>
        <row r="665">
          <cell r="B665" t="str">
            <v>KHI/HO/D/MO/PC COMP/C/103702/267/12/2024</v>
          </cell>
          <cell r="Q665" t="str">
            <v>291203</v>
          </cell>
        </row>
        <row r="666">
          <cell r="B666" t="str">
            <v>KHI/HO/D/MO/PC COMP/C/103702/268/12/2024</v>
          </cell>
          <cell r="Q666" t="str">
            <v>121859</v>
          </cell>
        </row>
        <row r="667">
          <cell r="B667" t="str">
            <v>KHI/HO/D/MO/PC COMP/C/103702/269/12/2024</v>
          </cell>
          <cell r="Q667" t="str">
            <v>2A43355</v>
          </cell>
        </row>
        <row r="668">
          <cell r="B668" t="str">
            <v>KHI/HO/D/MO/PC COMP/C/103702/27/12/2024</v>
          </cell>
          <cell r="Q668" t="str">
            <v>164687</v>
          </cell>
        </row>
        <row r="669">
          <cell r="B669" t="str">
            <v>KHI/HO/D/MO/PC COMP/C/103702/270/12/2024</v>
          </cell>
          <cell r="Q669" t="str">
            <v>207792</v>
          </cell>
        </row>
        <row r="670">
          <cell r="B670" t="str">
            <v>KHI/HO/D/MO/PC COMP/C/103702/271/12/2024</v>
          </cell>
          <cell r="Q670" t="str">
            <v>123747</v>
          </cell>
        </row>
        <row r="671">
          <cell r="B671" t="str">
            <v>KHI/HO/D/MO/PC COMP/C/103702/272/12/2024</v>
          </cell>
          <cell r="Q671" t="str">
            <v>L13Z17512141</v>
          </cell>
        </row>
        <row r="672">
          <cell r="B672" t="str">
            <v>KHI/HO/D/MO/PC COMP/C/103702/273/12/2024</v>
          </cell>
          <cell r="Q672" t="str">
            <v>R18Z12945996</v>
          </cell>
        </row>
        <row r="673">
          <cell r="B673" t="str">
            <v>KHI/HO/D/MO/PC COMP/C/103702/274/12/2024</v>
          </cell>
          <cell r="Q673" t="str">
            <v>2464270</v>
          </cell>
        </row>
        <row r="674">
          <cell r="B674" t="str">
            <v>KHI/HO/D/MO/PC COMP/C/103702/275/12/2024</v>
          </cell>
          <cell r="Q674" t="str">
            <v>7541905</v>
          </cell>
        </row>
        <row r="675">
          <cell r="B675" t="str">
            <v>KHI/HO/D/MO/PC COMP/C/103702/276/12/2024</v>
          </cell>
          <cell r="Q675" t="str">
            <v>L13217517267</v>
          </cell>
        </row>
        <row r="676">
          <cell r="B676" t="str">
            <v>KHI/HO/D/MO/PC COMP/C/103702/277/12/2024</v>
          </cell>
          <cell r="Q676" t="str">
            <v>6R147607</v>
          </cell>
        </row>
        <row r="677">
          <cell r="B677" t="str">
            <v>KHI/HO/D/MO/PC COMP/C/103702/278/12/2024</v>
          </cell>
          <cell r="Q677" t="str">
            <v>124152</v>
          </cell>
        </row>
        <row r="678">
          <cell r="B678" t="str">
            <v>KHI/HO/D/MO/PC COMP/C/103702/279/12/2024</v>
          </cell>
          <cell r="Q678" t="str">
            <v>6R138865</v>
          </cell>
        </row>
        <row r="679">
          <cell r="B679" t="str">
            <v>KHI/HO/D/MO/PC COMP/C/103702/28/12/2024</v>
          </cell>
          <cell r="Q679" t="str">
            <v>13514323</v>
          </cell>
        </row>
        <row r="680">
          <cell r="B680" t="str">
            <v>KHI/HO/D/MO/PC COMP/C/103702/280/12/2024</v>
          </cell>
          <cell r="Q680" t="str">
            <v>6R201735</v>
          </cell>
        </row>
        <row r="681">
          <cell r="B681" t="str">
            <v>KHI/HO/D/MO/PC COMP/C/103702/281/12/2024</v>
          </cell>
          <cell r="Q681" t="str">
            <v>604669</v>
          </cell>
        </row>
        <row r="682">
          <cell r="B682" t="str">
            <v>KHI/HO/D/MO/PC COMP/C/103702/282/12/2024</v>
          </cell>
          <cell r="Q682" t="str">
            <v>16929208</v>
          </cell>
        </row>
        <row r="683">
          <cell r="B683" t="str">
            <v>KHI/HO/D/MO/PC COMP/C/103702/283/12/2024</v>
          </cell>
          <cell r="Q683" t="str">
            <v>16424652</v>
          </cell>
        </row>
        <row r="684">
          <cell r="B684" t="str">
            <v>KHI/HO/D/MO/PC COMP/C/103702/284/12/2024</v>
          </cell>
          <cell r="Q684" t="str">
            <v>2904493</v>
          </cell>
        </row>
        <row r="685">
          <cell r="B685" t="str">
            <v>KHI/HO/D/MO/PC COMP/C/103702/285/12/2024</v>
          </cell>
          <cell r="Q685" t="str">
            <v>290746</v>
          </cell>
        </row>
        <row r="686">
          <cell r="B686" t="str">
            <v>KHI/HO/D/MO/PC COMP/C/103702/286/12/2024</v>
          </cell>
          <cell r="Q686" t="str">
            <v>6R265602</v>
          </cell>
        </row>
        <row r="687">
          <cell r="B687" t="str">
            <v>KHI/HO/D/MO/PC COMP/C/103702/287/12/2024</v>
          </cell>
          <cell r="Q687" t="str">
            <v>R263053</v>
          </cell>
        </row>
        <row r="688">
          <cell r="B688" t="str">
            <v>KHI/HO/D/MO/PC COMP/C/103702/288/12/2024</v>
          </cell>
          <cell r="Q688" t="str">
            <v>1UR-0683463</v>
          </cell>
        </row>
        <row r="689">
          <cell r="B689" t="str">
            <v>KHI/HO/D/MO/PC COMP/C/103702/289/12/2024</v>
          </cell>
          <cell r="Q689" t="str">
            <v>G4NALH336273</v>
          </cell>
        </row>
        <row r="690">
          <cell r="B690" t="str">
            <v>KHI/HO/D/MO/PC COMP/C/103702/29/12/2024</v>
          </cell>
          <cell r="Q690" t="str">
            <v>530154</v>
          </cell>
        </row>
        <row r="691">
          <cell r="B691" t="str">
            <v>KHI/HO/D/MO/PC COMP/C/103702/290/12/2024</v>
          </cell>
          <cell r="Q691" t="str">
            <v>R18Z16925842</v>
          </cell>
        </row>
        <row r="692">
          <cell r="B692" t="str">
            <v>KHI/HO/D/MO/PC COMP/C/103702/291/12/2024</v>
          </cell>
          <cell r="Q692" t="str">
            <v>12936668</v>
          </cell>
        </row>
        <row r="693">
          <cell r="B693" t="str">
            <v>KHI/HO/D/MO/PC COMP/C/103702/292/12/2024</v>
          </cell>
          <cell r="Q693" t="str">
            <v>287097</v>
          </cell>
        </row>
        <row r="694">
          <cell r="B694" t="str">
            <v>KHI/HO/D/MO/PC COMP/C/103702/293/12/2024</v>
          </cell>
          <cell r="Q694" t="str">
            <v>6R261631</v>
          </cell>
        </row>
        <row r="695">
          <cell r="B695" t="str">
            <v>KHI/HO/D/MO/PC COMP/C/103702/294/12/2024</v>
          </cell>
          <cell r="Q695" t="str">
            <v>Q-334101</v>
          </cell>
        </row>
        <row r="696">
          <cell r="B696" t="str">
            <v>KHI/HO/D/MO/PC COMP/C/103702/295/12/2024</v>
          </cell>
          <cell r="Q696" t="str">
            <v>81002416</v>
          </cell>
        </row>
        <row r="697">
          <cell r="B697" t="str">
            <v>KHI/HO/D/MO/PC COMP/C/103702/296/12/2024</v>
          </cell>
          <cell r="Q697" t="str">
            <v>R18Z12900316</v>
          </cell>
        </row>
        <row r="698">
          <cell r="B698" t="str">
            <v>KHI/HO/D/MO/PC COMP/C/103702/297/12/2024</v>
          </cell>
          <cell r="Q698" t="str">
            <v>2A09163</v>
          </cell>
        </row>
        <row r="699">
          <cell r="B699" t="str">
            <v>KHI/HO/D/MO/PC COMP/C/103702/298/12/2024</v>
          </cell>
          <cell r="Q699" t="str">
            <v>Q069972</v>
          </cell>
        </row>
        <row r="700">
          <cell r="B700" t="str">
            <v>KHI/HO/D/MO/PC COMP/C/103702/299/12/2024</v>
          </cell>
          <cell r="Q700" t="str">
            <v>6R149504</v>
          </cell>
        </row>
        <row r="701">
          <cell r="B701" t="str">
            <v>KHI/HO/D/MO/PC COMP/C/103702/3/12/2024</v>
          </cell>
          <cell r="Q701" t="str">
            <v>9800062</v>
          </cell>
        </row>
        <row r="702">
          <cell r="B702" t="str">
            <v>KHI/HO/D/MO/PC COMP/C/103702/30/12/2024</v>
          </cell>
          <cell r="Q702" t="str">
            <v>21753123</v>
          </cell>
        </row>
        <row r="703">
          <cell r="B703" t="str">
            <v>KHI/HO/D/MO/PC COMP/C/103702/300/12/2024</v>
          </cell>
          <cell r="Q703" t="str">
            <v>G3LALP072444</v>
          </cell>
        </row>
        <row r="704">
          <cell r="B704" t="str">
            <v>KHI/HO/D/MO/PC COMP/C/103702/301/12/2024</v>
          </cell>
          <cell r="Q704" t="str">
            <v>144671</v>
          </cell>
        </row>
        <row r="705">
          <cell r="B705" t="str">
            <v>KHI/HO/D/MO/PC COMP/C/103702/302/12/2024</v>
          </cell>
          <cell r="Q705" t="str">
            <v>147314</v>
          </cell>
        </row>
        <row r="706">
          <cell r="B706" t="str">
            <v>KHI/HO/D/MO/PC COMP/C/103702/303/12/2024</v>
          </cell>
          <cell r="Q706" t="str">
            <v>119650</v>
          </cell>
        </row>
        <row r="707">
          <cell r="B707" t="str">
            <v>KHI/HO/D/MO/PC COMP/C/103702/304/12/2024</v>
          </cell>
          <cell r="Q707" t="str">
            <v>16930047</v>
          </cell>
        </row>
        <row r="708">
          <cell r="B708" t="str">
            <v>KHI/HO/D/MO/PC COMP/C/103702/305/12/2024</v>
          </cell>
          <cell r="Q708" t="str">
            <v>PKS13034372</v>
          </cell>
        </row>
        <row r="709">
          <cell r="B709" t="str">
            <v>KHI/HO/D/MO/PC COMP/C/103702/306/12/2024</v>
          </cell>
          <cell r="Q709" t="str">
            <v>PK10K189561</v>
          </cell>
        </row>
        <row r="710">
          <cell r="B710" t="str">
            <v>KHI/HO/D/MO/PC COMP/C/103702/307/12/2024</v>
          </cell>
          <cell r="Q710" t="str">
            <v>183046</v>
          </cell>
        </row>
        <row r="711">
          <cell r="B711" t="str">
            <v>KHI/HO/D/MO/PC COMP/C/103702/308/12/2024</v>
          </cell>
          <cell r="Q711" t="str">
            <v>6R200930</v>
          </cell>
        </row>
        <row r="712">
          <cell r="B712" t="str">
            <v>KHI/HO/D/MO/PC COMP/C/103702/309/12/2024</v>
          </cell>
          <cell r="Q712" t="str">
            <v>201175</v>
          </cell>
        </row>
        <row r="713">
          <cell r="B713" t="str">
            <v>KHI/HO/D/MO/PC COMP/C/103702/31/12/2024</v>
          </cell>
          <cell r="Q713" t="str">
            <v>3B20-LB6651</v>
          </cell>
        </row>
        <row r="714">
          <cell r="B714" t="str">
            <v>KHI/HO/D/MO/PC COMP/C/103702/310/12/2024</v>
          </cell>
          <cell r="Q714" t="str">
            <v>17513505</v>
          </cell>
        </row>
        <row r="715">
          <cell r="B715" t="str">
            <v>KHI/HO/D/MO/PC COMP/C/103702/311/12/2024</v>
          </cell>
          <cell r="Q715" t="str">
            <v>PKF625645</v>
          </cell>
        </row>
        <row r="716">
          <cell r="B716" t="str">
            <v>KHI/HO/D/MO/PC COMP/C/103702/312/12/2024</v>
          </cell>
          <cell r="Q716" t="str">
            <v>6R105154</v>
          </cell>
        </row>
        <row r="717">
          <cell r="B717" t="str">
            <v>KHI/HO/D/MO/PC COMP/C/103702/313/12/2024</v>
          </cell>
          <cell r="Q717" t="str">
            <v>200851</v>
          </cell>
        </row>
        <row r="718">
          <cell r="B718" t="str">
            <v>KHI/HO/D/MO/PC COMP/C/103702/314/12/2024</v>
          </cell>
          <cell r="Q718" t="str">
            <v>6R136998</v>
          </cell>
        </row>
        <row r="719">
          <cell r="B719" t="str">
            <v>KHI/HO/D/MO/PC COMP/C/103702/315/12/2024</v>
          </cell>
          <cell r="Q719" t="str">
            <v>2A12501</v>
          </cell>
        </row>
        <row r="720">
          <cell r="B720" t="str">
            <v>KHI/HO/D/MO/PC COMP/C/103702/316/12/2024</v>
          </cell>
          <cell r="Q720" t="str">
            <v>PK10K190464</v>
          </cell>
        </row>
        <row r="721">
          <cell r="B721" t="str">
            <v>KHI/HO/D/MO/PC COMP/C/103702/317/12/2024</v>
          </cell>
          <cell r="Q721" t="str">
            <v>L12B5-1004742</v>
          </cell>
        </row>
        <row r="722">
          <cell r="B722" t="str">
            <v>KHI/HO/D/MO/PC COMP/C/103702/318/12/2024</v>
          </cell>
          <cell r="Q722" t="str">
            <v>203644</v>
          </cell>
        </row>
        <row r="723">
          <cell r="B723" t="str">
            <v>KHI/HO/D/MO/PC COMP/C/103702/319/12/2024</v>
          </cell>
          <cell r="Q723" t="str">
            <v>6929513</v>
          </cell>
        </row>
        <row r="724">
          <cell r="B724" t="str">
            <v>KHI/HO/D/MO/PC COMP/C/103702/32/12/2024</v>
          </cell>
          <cell r="Q724" t="str">
            <v>638224</v>
          </cell>
        </row>
        <row r="725">
          <cell r="B725" t="str">
            <v>KHI/HO/D/MO/PC COMP/C/103702/320/12/2024</v>
          </cell>
          <cell r="Q725" t="str">
            <v>8454864</v>
          </cell>
        </row>
        <row r="726">
          <cell r="B726" t="str">
            <v>KHI/HO/D/MO/PC COMP/C/103702/321/12/2024</v>
          </cell>
          <cell r="Q726" t="str">
            <v>504236</v>
          </cell>
        </row>
        <row r="727">
          <cell r="B727" t="str">
            <v>KHI/HO/D/MO/PC COMP/C/103702/322/12/2024</v>
          </cell>
          <cell r="Q727" t="str">
            <v>Q085331</v>
          </cell>
        </row>
        <row r="728">
          <cell r="B728" t="str">
            <v>KHI/HO/D/MO/PC COMP/C/103702/323/12/2024</v>
          </cell>
          <cell r="Q728" t="str">
            <v>Z498267</v>
          </cell>
        </row>
        <row r="729">
          <cell r="B729" t="str">
            <v>KHI/HO/D/MO/PC COMP/C/103702/324/12/2024</v>
          </cell>
          <cell r="Q729" t="str">
            <v>1027271</v>
          </cell>
        </row>
        <row r="730">
          <cell r="B730" t="str">
            <v>KHI/HO/D/MO/PC COMP/C/103702/325/12/2024</v>
          </cell>
          <cell r="Q730" t="str">
            <v>819323</v>
          </cell>
        </row>
        <row r="731">
          <cell r="B731" t="str">
            <v>KHI/HO/D/MO/PC COMP/C/103702/326/12/2024</v>
          </cell>
          <cell r="Q731" t="str">
            <v>100514</v>
          </cell>
        </row>
        <row r="732">
          <cell r="B732" t="str">
            <v>KHI/HO/D/MO/PC COMP/C/103702/327/12/2024</v>
          </cell>
          <cell r="Q732" t="str">
            <v>2261351</v>
          </cell>
        </row>
        <row r="733">
          <cell r="B733" t="str">
            <v>KHI/HO/D/MO/PC COMP/C/103702/328/12/2024</v>
          </cell>
          <cell r="Q733" t="str">
            <v>165294</v>
          </cell>
        </row>
        <row r="734">
          <cell r="B734" t="str">
            <v>KHI/HO/D/MO/PC COMP/C/103702/329/12/2024</v>
          </cell>
          <cell r="Q734" t="str">
            <v>G3LALP077786</v>
          </cell>
        </row>
        <row r="735">
          <cell r="B735" t="str">
            <v>KHI/HO/D/MO/PC COMP/C/103702/33/12/2024</v>
          </cell>
          <cell r="Q735" t="str">
            <v>147051</v>
          </cell>
        </row>
        <row r="736">
          <cell r="B736" t="str">
            <v>KHI/HO/D/MO/PC COMP/C/103702/330/12/2024</v>
          </cell>
          <cell r="Q736" t="str">
            <v>6R290586</v>
          </cell>
        </row>
        <row r="737">
          <cell r="B737" t="str">
            <v>KHI/HO/D/MO/PC COMP/C/103702/331/12/2024</v>
          </cell>
          <cell r="Q737" t="str">
            <v>6R200304</v>
          </cell>
        </row>
        <row r="738">
          <cell r="B738" t="str">
            <v>KHI/HO/D/MO/PC COMP/C/103702/332/12/2024</v>
          </cell>
          <cell r="Q738" t="str">
            <v>Q059550</v>
          </cell>
        </row>
        <row r="739">
          <cell r="B739" t="str">
            <v>KHI/HO/D/MO/PC COMP/C/103702/333/12/2024</v>
          </cell>
          <cell r="Q739" t="str">
            <v>229726</v>
          </cell>
        </row>
        <row r="740">
          <cell r="B740" t="str">
            <v>KHI/HO/D/MO/PC COMP/C/103702/334/12/2024</v>
          </cell>
          <cell r="Q740" t="str">
            <v>Q090056</v>
          </cell>
        </row>
        <row r="741">
          <cell r="B741" t="str">
            <v>KHI/HO/D/MO/PC COMP/C/103702/335/12/2024</v>
          </cell>
          <cell r="Q741" t="str">
            <v>79536</v>
          </cell>
        </row>
        <row r="742">
          <cell r="B742" t="str">
            <v>KHI/HO/D/MO/PC COMP/C/103702/336/12/2024</v>
          </cell>
          <cell r="Q742" t="str">
            <v>287017</v>
          </cell>
        </row>
        <row r="743">
          <cell r="B743" t="str">
            <v>KHI/HO/D/MO/PC COMP/C/103702/337/12/2024</v>
          </cell>
          <cell r="Q743" t="str">
            <v>15E4E5MGM7150028</v>
          </cell>
        </row>
        <row r="744">
          <cell r="B744" t="str">
            <v>KHI/HO/D/MO/PC COMP/C/103702/338/12/2024</v>
          </cell>
          <cell r="Q744" t="str">
            <v>6R199767</v>
          </cell>
        </row>
        <row r="745">
          <cell r="B745" t="str">
            <v>KHI/HO/D/MO/PC COMP/C/103702/339/12/2024</v>
          </cell>
          <cell r="Q745" t="str">
            <v>1017513</v>
          </cell>
        </row>
        <row r="746">
          <cell r="B746" t="str">
            <v>KHI/HO/D/MO/PC COMP/C/103702/34/12/2024</v>
          </cell>
          <cell r="Q746" t="str">
            <v>273327</v>
          </cell>
        </row>
        <row r="747">
          <cell r="B747" t="str">
            <v>KHI/HO/D/MO/PC COMP/C/103702/340/12/2024</v>
          </cell>
          <cell r="Q747" t="str">
            <v>1016788</v>
          </cell>
        </row>
        <row r="748">
          <cell r="B748" t="str">
            <v>KHI/HO/D/MO/PC COMP/C/103702/341/12/2024</v>
          </cell>
          <cell r="Q748" t="str">
            <v>137417</v>
          </cell>
        </row>
        <row r="749">
          <cell r="B749" t="str">
            <v>KHI/HO/D/MO/PC COMP/C/103702/342/12/2024</v>
          </cell>
          <cell r="Q749" t="str">
            <v>13044102</v>
          </cell>
        </row>
        <row r="750">
          <cell r="B750" t="str">
            <v>KHI/HO/D/MO/PC COMP/C/103702/343/12/2024</v>
          </cell>
          <cell r="Q750" t="str">
            <v>6R140195</v>
          </cell>
        </row>
        <row r="751">
          <cell r="B751" t="str">
            <v>KHI/HO/D/MO/PC COMP/C/103702/344/12/2024</v>
          </cell>
          <cell r="Q751" t="str">
            <v>PK10B169103</v>
          </cell>
        </row>
        <row r="752">
          <cell r="B752" t="str">
            <v>KHI/HO/D/MO/PC COMP/C/103702/345/12/2024</v>
          </cell>
          <cell r="Q752" t="str">
            <v>PK10B225446</v>
          </cell>
        </row>
        <row r="753">
          <cell r="B753" t="str">
            <v>KHI/HO/D/MO/PC COMP/C/103702/346/12/2024</v>
          </cell>
          <cell r="Q753" t="str">
            <v>7536231</v>
          </cell>
        </row>
        <row r="754">
          <cell r="B754" t="str">
            <v>KHI/HO/D/MO/PC COMP/C/103702/347/12/2024</v>
          </cell>
          <cell r="Q754" t="str">
            <v>L13Z17454117</v>
          </cell>
        </row>
        <row r="755">
          <cell r="B755" t="str">
            <v>KHI/HO/D/MO/PC COMP/C/103702/348/12/2024</v>
          </cell>
          <cell r="Q755" t="str">
            <v>R18Z14046635</v>
          </cell>
        </row>
        <row r="756">
          <cell r="B756" t="str">
            <v>KHI/HO/D/MO/PC COMP/C/103702/349/12/2024</v>
          </cell>
          <cell r="Q756" t="str">
            <v>6R124260</v>
          </cell>
        </row>
        <row r="757">
          <cell r="B757" t="str">
            <v>KHI/HO/D/MO/PC COMP/C/103702/35/12/2024</v>
          </cell>
          <cell r="Q757" t="str">
            <v>164972</v>
          </cell>
        </row>
        <row r="758">
          <cell r="B758" t="str">
            <v>KHI/HO/D/MO/PC COMP/C/103702/350/12/2024</v>
          </cell>
          <cell r="Q758" t="str">
            <v>2A42676</v>
          </cell>
        </row>
        <row r="759">
          <cell r="B759" t="str">
            <v>KHI/HO/D/MO/PC COMP/C/103702/351/12/2024</v>
          </cell>
          <cell r="Q759" t="str">
            <v>82724</v>
          </cell>
        </row>
        <row r="760">
          <cell r="B760" t="str">
            <v>KHI/HO/D/MO/PC COMP/C/103702/352/12/2024</v>
          </cell>
          <cell r="Q760" t="str">
            <v>17542493</v>
          </cell>
        </row>
        <row r="761">
          <cell r="B761" t="str">
            <v>KHI/HO/D/MO/PC COMP/C/103702/353/12/2024</v>
          </cell>
          <cell r="Q761" t="str">
            <v>R18Z12916745</v>
          </cell>
        </row>
        <row r="762">
          <cell r="B762" t="str">
            <v>KHI/HO/D/MO/PC COMP/C/103702/354/12/2024</v>
          </cell>
          <cell r="Q762" t="str">
            <v>71401777</v>
          </cell>
        </row>
        <row r="763">
          <cell r="B763" t="str">
            <v>KHI/HO/D/MO/PC COMP/C/103702/355/12/2024</v>
          </cell>
          <cell r="Q763" t="str">
            <v>F082063</v>
          </cell>
        </row>
        <row r="764">
          <cell r="B764" t="str">
            <v>KHI/HO/D/MO/PC COMP/C/103702/356/12/2024</v>
          </cell>
          <cell r="Q764" t="str">
            <v>813859</v>
          </cell>
        </row>
        <row r="765">
          <cell r="B765" t="str">
            <v>KHI/HO/D/MO/PC COMP/C/103702/357/12/2024</v>
          </cell>
          <cell r="Q765" t="str">
            <v>Q355848</v>
          </cell>
        </row>
        <row r="766">
          <cell r="B766" t="str">
            <v>KHI/HO/D/MO/PC COMP/C/103702/358/12/2024</v>
          </cell>
          <cell r="Q766" t="str">
            <v>2A42978</v>
          </cell>
        </row>
        <row r="767">
          <cell r="B767" t="str">
            <v>KHI/HO/D/MO/PC COMP/C/103702/359/12/2024</v>
          </cell>
          <cell r="Q767" t="str">
            <v>268307</v>
          </cell>
        </row>
        <row r="768">
          <cell r="B768" t="str">
            <v>KHI/HO/D/MO/PC COMP/C/103702/36/12/2024</v>
          </cell>
          <cell r="Q768" t="str">
            <v>2A13505</v>
          </cell>
        </row>
        <row r="769">
          <cell r="B769" t="str">
            <v>KHI/HO/D/MO/PC COMP/C/103702/360/12/2024</v>
          </cell>
          <cell r="Q769" t="str">
            <v>182616</v>
          </cell>
        </row>
        <row r="770">
          <cell r="B770" t="str">
            <v>KHI/HO/D/MO/PC COMP/C/103702/361/12/2024</v>
          </cell>
          <cell r="Q770" t="str">
            <v>189765</v>
          </cell>
        </row>
        <row r="771">
          <cell r="B771" t="str">
            <v>KHI/HO/D/MO/PC COMP/C/103702/362/12/2024</v>
          </cell>
          <cell r="Q771" t="str">
            <v>12917353</v>
          </cell>
        </row>
        <row r="772">
          <cell r="B772" t="str">
            <v>KHI/HO/D/MO/PC COMP/C/103702/363/12/2024</v>
          </cell>
          <cell r="Q772" t="str">
            <v>262843</v>
          </cell>
        </row>
        <row r="773">
          <cell r="B773" t="str">
            <v>KHI/HO/D/MO/PC COMP/C/103702/364/12/2024</v>
          </cell>
          <cell r="Q773" t="str">
            <v>2A42929</v>
          </cell>
        </row>
        <row r="774">
          <cell r="B774" t="str">
            <v>KHI/HO/D/MO/PC COMP/C/103702/365/12/2024</v>
          </cell>
          <cell r="Q774" t="str">
            <v>257662</v>
          </cell>
        </row>
        <row r="775">
          <cell r="B775" t="str">
            <v>KHI/HO/D/MO/PC COMP/C/103702/366/12/2024</v>
          </cell>
          <cell r="Q775" t="str">
            <v>L13Z17439795</v>
          </cell>
        </row>
        <row r="776">
          <cell r="B776" t="str">
            <v>KHI/HO/D/MO/PC COMP/C/103702/367/12/2024</v>
          </cell>
          <cell r="Q776" t="str">
            <v>150196</v>
          </cell>
        </row>
        <row r="777">
          <cell r="B777" t="str">
            <v>KHI/HO/D/MO/PC COMP/C/103702/368/12/2024</v>
          </cell>
          <cell r="Q777" t="str">
            <v>224463</v>
          </cell>
        </row>
        <row r="778">
          <cell r="B778" t="str">
            <v>KHI/HO/D/MO/PC COMP/C/103702/369/12/2024</v>
          </cell>
          <cell r="Q778" t="str">
            <v>K107120</v>
          </cell>
        </row>
        <row r="779">
          <cell r="B779" t="str">
            <v>KHI/HO/D/MO/PC COMP/C/103702/37/12/2024</v>
          </cell>
          <cell r="Q779" t="str">
            <v>G4NALH330837</v>
          </cell>
        </row>
        <row r="780">
          <cell r="B780" t="str">
            <v>KHI/HO/D/MO/PC COMP/C/103702/370/12/2024</v>
          </cell>
          <cell r="Q780" t="str">
            <v>105111</v>
          </cell>
        </row>
        <row r="781">
          <cell r="B781" t="str">
            <v>KHI/HO/D/MO/PC COMP/C/103702/371/12/2024</v>
          </cell>
          <cell r="Q781" t="str">
            <v>135325</v>
          </cell>
        </row>
        <row r="782">
          <cell r="B782" t="str">
            <v>KHI/HO/D/MO/PC COMP/C/103702/372/12/2024</v>
          </cell>
          <cell r="Q782" t="str">
            <v>165751</v>
          </cell>
        </row>
        <row r="783">
          <cell r="B783" t="str">
            <v>KHI/HO/D/MO/PC COMP/C/103702/373/12/2024</v>
          </cell>
          <cell r="Q783" t="str">
            <v>224537</v>
          </cell>
        </row>
        <row r="784">
          <cell r="B784" t="str">
            <v>KHI/HO/D/MO/PC COMP/C/103702/374/12/2024</v>
          </cell>
          <cell r="Q784" t="str">
            <v>243786</v>
          </cell>
        </row>
        <row r="785">
          <cell r="B785" t="str">
            <v>KHI/HO/D/MO/PC COMP/C/103702/375/12/2024</v>
          </cell>
          <cell r="Q785" t="str">
            <v>HF300211</v>
          </cell>
        </row>
        <row r="786">
          <cell r="B786" t="str">
            <v>KHI/HO/D/MO/PC COMP/C/103702/376/12/2024</v>
          </cell>
          <cell r="Q786" t="str">
            <v>603649</v>
          </cell>
        </row>
        <row r="787">
          <cell r="B787" t="str">
            <v>KHI/HO/D/MO/PC COMP/C/103702/377/12/2024</v>
          </cell>
          <cell r="Q787" t="str">
            <v>1018039</v>
          </cell>
        </row>
        <row r="788">
          <cell r="B788" t="str">
            <v>KHI/HO/D/MO/PC COMP/C/103702/378/12/2024</v>
          </cell>
          <cell r="Q788" t="str">
            <v>PK10B135876</v>
          </cell>
        </row>
        <row r="789">
          <cell r="B789" t="str">
            <v>KHI/HO/D/MO/PC COMP/C/103702/379/12/2024</v>
          </cell>
          <cell r="Q789" t="str">
            <v>17459053</v>
          </cell>
        </row>
        <row r="790">
          <cell r="B790" t="str">
            <v>KHI/HO/D/MO/PC COMP/C/103702/38/12/2024</v>
          </cell>
          <cell r="Q790" t="str">
            <v>6915401</v>
          </cell>
        </row>
        <row r="791">
          <cell r="B791" t="str">
            <v>KHI/HO/D/MO/PC COMP/C/103702/380/12/2024</v>
          </cell>
          <cell r="Q791" t="str">
            <v>PK10K121625</v>
          </cell>
        </row>
        <row r="792">
          <cell r="B792" t="str">
            <v>KHI/HO/D/MO/PC COMP/C/103702/381/12/2024</v>
          </cell>
          <cell r="Q792" t="str">
            <v>PK10K103841</v>
          </cell>
        </row>
        <row r="793">
          <cell r="B793" t="str">
            <v>KHI/HO/D/MO/PC COMP/C/103702/382/12/2024</v>
          </cell>
          <cell r="Q793" t="str">
            <v>12940740</v>
          </cell>
        </row>
        <row r="794">
          <cell r="B794" t="str">
            <v>KHI/HO/D/MO/PC COMP/C/103702/383/12/2024</v>
          </cell>
          <cell r="Q794" t="str">
            <v>12934706</v>
          </cell>
        </row>
        <row r="795">
          <cell r="B795" t="str">
            <v>KHI/HO/D/MO/PC COMP/C/103702/384/12/2024</v>
          </cell>
          <cell r="Q795" t="str">
            <v>Q059052</v>
          </cell>
        </row>
        <row r="796">
          <cell r="B796" t="str">
            <v>KHI/HO/D/MO/PC COMP/C/103702/385/12/2024</v>
          </cell>
          <cell r="Q796" t="str">
            <v>2A41279</v>
          </cell>
        </row>
        <row r="797">
          <cell r="B797" t="str">
            <v>KHI/HO/D/MO/PC COMP/C/103702/386/12/2024</v>
          </cell>
          <cell r="Q797" t="str">
            <v>2A42528</v>
          </cell>
        </row>
        <row r="798">
          <cell r="B798" t="str">
            <v>KHI/HO/D/MO/PC COMP/C/103702/387/12/2024</v>
          </cell>
          <cell r="Q798" t="str">
            <v>Z570514</v>
          </cell>
        </row>
        <row r="799">
          <cell r="B799" t="str">
            <v>KHI/HO/D/MO/PC COMP/C/103702/388/12/2024</v>
          </cell>
          <cell r="Q799" t="str">
            <v>Z469601</v>
          </cell>
        </row>
        <row r="800">
          <cell r="B800" t="str">
            <v>KHI/HO/D/MO/PC COMP/C/103702/389/12/2024</v>
          </cell>
          <cell r="Q800" t="str">
            <v>2A14416</v>
          </cell>
        </row>
        <row r="801">
          <cell r="B801" t="str">
            <v>KHI/HO/D/MO/PC COMP/C/103702/39/12/2024</v>
          </cell>
          <cell r="Q801" t="str">
            <v>R18Z16915558</v>
          </cell>
        </row>
        <row r="802">
          <cell r="B802" t="str">
            <v>KHI/HO/D/MO/PC COMP/C/103702/390/12/2024</v>
          </cell>
          <cell r="Q802" t="str">
            <v>2A11392</v>
          </cell>
        </row>
        <row r="803">
          <cell r="B803" t="str">
            <v>KHI/HO/D/MO/PC COMP/C/103702/391/12/2024</v>
          </cell>
          <cell r="Q803" t="str">
            <v>17456147</v>
          </cell>
        </row>
        <row r="804">
          <cell r="B804" t="str">
            <v>KHI/HO/D/MO/PC COMP/C/103702/392/12/2024</v>
          </cell>
          <cell r="Q804" t="str">
            <v>Q346777</v>
          </cell>
        </row>
        <row r="805">
          <cell r="B805" t="str">
            <v>KHI/HO/D/MO/PC COMP/C/103702/393/12/2024</v>
          </cell>
          <cell r="Q805" t="str">
            <v>Q346736</v>
          </cell>
        </row>
        <row r="806">
          <cell r="B806" t="str">
            <v>KHI/HO/D/MO/PC COMP/C/103702/394/12/2024</v>
          </cell>
          <cell r="Q806" t="str">
            <v>Q085965</v>
          </cell>
        </row>
        <row r="807">
          <cell r="B807" t="str">
            <v>KHI/HO/D/MO/PC COMP/C/103702/395/12/2024</v>
          </cell>
          <cell r="Q807" t="str">
            <v>Z505695</v>
          </cell>
        </row>
        <row r="808">
          <cell r="B808" t="str">
            <v>KHI/HO/D/MO/PC COMP/C/103702/396/12/2024</v>
          </cell>
          <cell r="Q808" t="str">
            <v>200358</v>
          </cell>
        </row>
        <row r="809">
          <cell r="B809" t="str">
            <v>KHI/HO/D/MO/PC COMP/C/103702/397/12/2024</v>
          </cell>
          <cell r="Q809" t="str">
            <v>185829</v>
          </cell>
        </row>
        <row r="810">
          <cell r="B810" t="str">
            <v>KHI/HO/D/MO/PC COMP/C/103702/398/12/2024</v>
          </cell>
          <cell r="Q810" t="str">
            <v>1018989</v>
          </cell>
        </row>
        <row r="811">
          <cell r="B811" t="str">
            <v>KHI/HO/D/MO/PC COMP/C/103702/399/12/2024</v>
          </cell>
          <cell r="Q811" t="str">
            <v>2A47013</v>
          </cell>
        </row>
        <row r="812">
          <cell r="B812" t="str">
            <v>KHI/HO/D/MO/PC COMP/C/103702/4/12/2024</v>
          </cell>
          <cell r="Q812" t="str">
            <v>81001878</v>
          </cell>
        </row>
        <row r="813">
          <cell r="B813" t="str">
            <v>KHI/HO/D/MO/PC COMP/C/103702/40/12/2024</v>
          </cell>
          <cell r="Q813" t="str">
            <v>332539</v>
          </cell>
        </row>
        <row r="814">
          <cell r="B814" t="str">
            <v>KHI/HO/D/MO/PC COMP/C/103702/400/12/2024</v>
          </cell>
          <cell r="Q814" t="str">
            <v>290732</v>
          </cell>
        </row>
        <row r="815">
          <cell r="B815" t="str">
            <v>KHI/HO/D/MO/PC COMP/C/103702/401/12/2024</v>
          </cell>
          <cell r="Q815" t="str">
            <v>530392</v>
          </cell>
        </row>
        <row r="816">
          <cell r="B816" t="str">
            <v>KHI/HO/D/MO/PC COMP/C/103702/402/12/2024</v>
          </cell>
          <cell r="Q816" t="str">
            <v>HE300236</v>
          </cell>
        </row>
        <row r="817">
          <cell r="B817" t="str">
            <v>KHI/HO/D/MO/PC COMP/C/103702/403/12/2024</v>
          </cell>
          <cell r="Q817" t="str">
            <v>6R264795</v>
          </cell>
        </row>
        <row r="818">
          <cell r="B818" t="str">
            <v>KHI/HO/D/MO/PC COMP/C/103702/404/12/2024</v>
          </cell>
          <cell r="Q818" t="str">
            <v>L12B51005148</v>
          </cell>
        </row>
        <row r="819">
          <cell r="B819" t="str">
            <v>KHI/HO/D/MO/PC COMP/C/103702/405/12/2024</v>
          </cell>
          <cell r="Q819" t="str">
            <v>6R105510</v>
          </cell>
        </row>
        <row r="820">
          <cell r="B820" t="str">
            <v>KHI/HO/D/MO/PC COMP/C/103702/406/12/2024</v>
          </cell>
          <cell r="Q820" t="str">
            <v>4040865</v>
          </cell>
        </row>
        <row r="821">
          <cell r="B821" t="str">
            <v>KHI/HO/D/MO/PC COMP/C/103702/407/12/2024</v>
          </cell>
          <cell r="Q821" t="str">
            <v>Q053487</v>
          </cell>
        </row>
        <row r="822">
          <cell r="B822" t="str">
            <v>KHI/HO/D/MO/PC COMP/C/103702/408/12/2024</v>
          </cell>
          <cell r="Q822" t="str">
            <v>6915751</v>
          </cell>
        </row>
        <row r="823">
          <cell r="B823" t="str">
            <v>KHI/HO/D/MO/PC COMP/C/103702/409/12/2024</v>
          </cell>
          <cell r="Q823" t="str">
            <v>Q069099</v>
          </cell>
        </row>
        <row r="824">
          <cell r="B824" t="str">
            <v>KHI/HO/D/MO/PC COMP/C/103702/41/12/2024</v>
          </cell>
          <cell r="Q824" t="str">
            <v>2TR7588219</v>
          </cell>
        </row>
        <row r="825">
          <cell r="B825" t="str">
            <v>KHI/HO/D/MO/PC COMP/C/103702/410/12/2024</v>
          </cell>
          <cell r="Q825" t="str">
            <v>119384</v>
          </cell>
        </row>
        <row r="826">
          <cell r="B826" t="str">
            <v>KHI/HO/D/MO/PC COMP/C/103702/411/12/2024</v>
          </cell>
          <cell r="Q826" t="str">
            <v>PKS13046723</v>
          </cell>
        </row>
        <row r="827">
          <cell r="B827" t="str">
            <v>KHI/HO/D/MO/PC COMP/C/103702/412/12/2024</v>
          </cell>
          <cell r="Q827" t="str">
            <v>85091</v>
          </cell>
        </row>
        <row r="828">
          <cell r="B828" t="str">
            <v>KHI/HO/D/MO/PC COMP/C/103702/413/12/2024</v>
          </cell>
          <cell r="Q828" t="str">
            <v>PKT1017434</v>
          </cell>
        </row>
        <row r="829">
          <cell r="B829" t="str">
            <v>KHI/HO/D/MO/PC COMP/C/103702/414/12/2024</v>
          </cell>
          <cell r="Q829" t="str">
            <v>537023</v>
          </cell>
        </row>
        <row r="830">
          <cell r="B830" t="str">
            <v>KHI/HO/D/MO/PC COMP/C/103702/415/12/2024</v>
          </cell>
          <cell r="Q830" t="str">
            <v>263269</v>
          </cell>
        </row>
        <row r="831">
          <cell r="B831" t="str">
            <v>KHI/HO/D/MO/PC COMP/C/103702/416/12/2024</v>
          </cell>
          <cell r="Q831" t="str">
            <v>6R290119</v>
          </cell>
        </row>
        <row r="832">
          <cell r="B832" t="str">
            <v>KHI/HO/D/MO/PC COMP/C/103702/417/12/2024</v>
          </cell>
          <cell r="Q832" t="str">
            <v>Q350090</v>
          </cell>
        </row>
        <row r="833">
          <cell r="B833" t="str">
            <v>KHI/HO/D/MO/PC COMP/C/103702/418/12/2024</v>
          </cell>
          <cell r="Q833" t="str">
            <v>210748</v>
          </cell>
        </row>
        <row r="834">
          <cell r="B834" t="str">
            <v>KHI/HO/D/MO/PC COMP/C/103702/419/12/2024</v>
          </cell>
          <cell r="Q834" t="str">
            <v>Z2386730</v>
          </cell>
        </row>
        <row r="835">
          <cell r="B835" t="str">
            <v>KHI/HO/D/MO/PC COMP/C/103702/42/12/2024</v>
          </cell>
          <cell r="Q835" t="str">
            <v>6R214379</v>
          </cell>
        </row>
        <row r="836">
          <cell r="B836" t="str">
            <v>KHI/HO/D/MO/PC COMP/C/103702/420/12/2024</v>
          </cell>
          <cell r="Q836" t="str">
            <v>R18Z12955345</v>
          </cell>
        </row>
        <row r="837">
          <cell r="B837" t="str">
            <v>KHI/HO/D/MO/PC COMP/C/103702/421/12/2024</v>
          </cell>
          <cell r="Q837" t="str">
            <v>82587</v>
          </cell>
        </row>
        <row r="838">
          <cell r="B838" t="str">
            <v>KHI/HO/D/MO/PC COMP/C/103702/422/12/2024</v>
          </cell>
          <cell r="Q838" t="str">
            <v>Q059811</v>
          </cell>
        </row>
        <row r="839">
          <cell r="B839" t="str">
            <v>KHI/HO/D/MO/PC COMP/C/103702/423/12/2024</v>
          </cell>
          <cell r="Q839" t="str">
            <v>141910</v>
          </cell>
        </row>
        <row r="840">
          <cell r="B840" t="str">
            <v>KHI/HO/D/MO/PC COMP/C/103702/424/12/2024</v>
          </cell>
          <cell r="Q840" t="str">
            <v>1012109</v>
          </cell>
        </row>
        <row r="841">
          <cell r="B841" t="str">
            <v>KHI/HO/D/MO/PC COMP/C/103702/425/12/2024</v>
          </cell>
          <cell r="Q841" t="str">
            <v>7541905</v>
          </cell>
        </row>
        <row r="842">
          <cell r="B842" t="str">
            <v>KHI/HO/D/MO/PC COMP/C/103702/43/12/2024</v>
          </cell>
          <cell r="Q842" t="str">
            <v>288403</v>
          </cell>
        </row>
        <row r="843">
          <cell r="B843" t="str">
            <v>KHI/HO/D/MO/PC COMP/C/103702/44/12/2024</v>
          </cell>
          <cell r="Q843" t="str">
            <v>6R213917</v>
          </cell>
        </row>
        <row r="844">
          <cell r="B844" t="str">
            <v>KHI/HO/D/MO/PC COMP/C/103702/45/12/2024</v>
          </cell>
          <cell r="Q844" t="str">
            <v>PKF-608242</v>
          </cell>
        </row>
        <row r="845">
          <cell r="B845" t="str">
            <v>KHI/HO/D/MO/PC COMP/C/103702/46/12/2024</v>
          </cell>
          <cell r="Q845" t="str">
            <v>204837</v>
          </cell>
        </row>
        <row r="846">
          <cell r="B846" t="str">
            <v>KHI/HO/D/MO/PC COMP/C/103702/47/12/2024</v>
          </cell>
          <cell r="Q846" t="str">
            <v>Q326481</v>
          </cell>
        </row>
        <row r="847">
          <cell r="B847" t="str">
            <v>KHI/HO/D/MO/PC COMP/C/103702/48/12/2024</v>
          </cell>
          <cell r="Q847" t="str">
            <v>547057</v>
          </cell>
        </row>
        <row r="848">
          <cell r="B848" t="str">
            <v>KHI/HO/D/MO/PC COMP/C/103702/49/12/2024</v>
          </cell>
          <cell r="Q848" t="str">
            <v>4113366</v>
          </cell>
        </row>
        <row r="849">
          <cell r="B849" t="str">
            <v>KHI/HO/D/MO/PC COMP/C/103702/5/12/2024</v>
          </cell>
          <cell r="Q849" t="str">
            <v>1003386</v>
          </cell>
        </row>
        <row r="850">
          <cell r="B850" t="str">
            <v>KHI/HO/D/MO/PC COMP/C/103702/50/12/2024</v>
          </cell>
          <cell r="Q850" t="str">
            <v>16913445</v>
          </cell>
        </row>
        <row r="851">
          <cell r="B851" t="str">
            <v>KHI/HO/D/MO/PC COMP/C/103702/51/12/2024</v>
          </cell>
          <cell r="Q851" t="str">
            <v>6930139</v>
          </cell>
        </row>
        <row r="852">
          <cell r="B852" t="str">
            <v>KHI/HO/D/MO/PC COMP/C/103702/52/12/2024</v>
          </cell>
          <cell r="Q852" t="str">
            <v>12905954</v>
          </cell>
        </row>
        <row r="853">
          <cell r="B853" t="str">
            <v>KHI/HO/D/MO/PC COMP/C/103702/53/12/2024</v>
          </cell>
          <cell r="Q853" t="str">
            <v>Q040457</v>
          </cell>
        </row>
        <row r="854">
          <cell r="B854" t="str">
            <v>KHI/HO/D/MO/PC COMP/C/103702/54/12/2024</v>
          </cell>
          <cell r="Q854" t="str">
            <v>2A42654</v>
          </cell>
        </row>
        <row r="855">
          <cell r="B855" t="str">
            <v>KHI/HO/D/MO/PC COMP/C/103702/55/12/2024</v>
          </cell>
          <cell r="Q855" t="str">
            <v>51020150</v>
          </cell>
        </row>
        <row r="856">
          <cell r="B856" t="str">
            <v>KHI/HO/D/MO/PC COMP/C/103702/56/12/2024</v>
          </cell>
          <cell r="Q856" t="str">
            <v>2A16225</v>
          </cell>
        </row>
        <row r="857">
          <cell r="B857" t="str">
            <v>KHI/HO/D/MO/PC COMP/C/103702/57/12/2024</v>
          </cell>
          <cell r="Q857" t="str">
            <v>12902993</v>
          </cell>
        </row>
        <row r="858">
          <cell r="B858" t="str">
            <v>KHI/HO/D/MO/PC COMP/C/103702/58/12/2024</v>
          </cell>
          <cell r="Q858" t="str">
            <v>M3CAD504644</v>
          </cell>
        </row>
        <row r="859">
          <cell r="B859" t="str">
            <v>KHI/HO/D/MO/PC COMP/C/103702/59/12/2024</v>
          </cell>
          <cell r="Q859" t="str">
            <v>404119</v>
          </cell>
        </row>
        <row r="860">
          <cell r="B860" t="str">
            <v>KHI/HO/D/MO/PC COMP/C/103702/6/12/2024</v>
          </cell>
          <cell r="Q860" t="str">
            <v>241820</v>
          </cell>
        </row>
        <row r="861">
          <cell r="B861" t="str">
            <v>KHI/HO/D/MO/PC COMP/C/103702/60/12/2024</v>
          </cell>
          <cell r="Q861" t="str">
            <v>288533</v>
          </cell>
        </row>
        <row r="862">
          <cell r="B862" t="str">
            <v>KHI/HO/D/MO/PC COMP/C/103702/61/12/2024</v>
          </cell>
          <cell r="Q862" t="str">
            <v>17455547</v>
          </cell>
        </row>
        <row r="863">
          <cell r="B863" t="str">
            <v>KHI/HO/D/MO/PC COMP/C/103702/62/12/2024</v>
          </cell>
          <cell r="Q863" t="str">
            <v>1901368</v>
          </cell>
        </row>
        <row r="864">
          <cell r="B864" t="str">
            <v>KHI/HO/D/MO/PC COMP/C/103702/63/12/2024</v>
          </cell>
          <cell r="Q864" t="str">
            <v>6R119491</v>
          </cell>
        </row>
        <row r="865">
          <cell r="B865" t="str">
            <v>KHI/HO/D/MO/PC COMP/C/103702/64/12/2024</v>
          </cell>
          <cell r="Q865" t="str">
            <v>6R106558</v>
          </cell>
        </row>
        <row r="866">
          <cell r="B866" t="str">
            <v>KHI/HO/D/MO/PC COMP/C/103702/65/12/2024</v>
          </cell>
          <cell r="Q866" t="str">
            <v>Z570010</v>
          </cell>
        </row>
        <row r="867">
          <cell r="B867" t="str">
            <v>KHI/HO/D/MO/PC COMP/C/103702/66/12/2024</v>
          </cell>
          <cell r="Q867" t="str">
            <v>2841770</v>
          </cell>
        </row>
        <row r="868">
          <cell r="B868" t="str">
            <v>KHI/HO/D/MO/PC COMP/C/103702/67/12/2024</v>
          </cell>
          <cell r="Q868" t="str">
            <v>Z528271</v>
          </cell>
        </row>
        <row r="869">
          <cell r="B869" t="str">
            <v>KHI/HO/D/MO/PC COMP/C/103702/68/12/2024</v>
          </cell>
          <cell r="Q869" t="str">
            <v>PK10B189579</v>
          </cell>
        </row>
        <row r="870">
          <cell r="B870" t="str">
            <v>KHI/HO/D/MO/PC COMP/C/103702/69/12/2024</v>
          </cell>
          <cell r="Q870" t="str">
            <v>2A42048</v>
          </cell>
        </row>
        <row r="871">
          <cell r="B871" t="str">
            <v>KHI/HO/D/MO/PC COMP/C/103702/7/12/2024</v>
          </cell>
          <cell r="Q871" t="str">
            <v>HE300171</v>
          </cell>
        </row>
        <row r="872">
          <cell r="B872" t="str">
            <v>KHI/HO/D/MO/PC COMP/C/103702/70/12/2024</v>
          </cell>
          <cell r="Q872" t="str">
            <v>B212736</v>
          </cell>
        </row>
        <row r="873">
          <cell r="B873" t="str">
            <v>KHI/HO/D/MO/PC COMP/C/103702/71/12/2024</v>
          </cell>
          <cell r="Q873" t="str">
            <v>128382</v>
          </cell>
        </row>
        <row r="874">
          <cell r="B874" t="str">
            <v>KHI/HO/D/MO/PC COMP/C/103702/72/12/2024</v>
          </cell>
          <cell r="Q874" t="str">
            <v>137197</v>
          </cell>
        </row>
        <row r="875">
          <cell r="B875" t="str">
            <v>KHI/HO/D/MO/PC COMP/C/103702/73/12/2024</v>
          </cell>
          <cell r="Q875" t="str">
            <v>7425864</v>
          </cell>
        </row>
        <row r="876">
          <cell r="B876" t="str">
            <v>KHI/HO/D/MO/PC COMP/C/103702/74/12/2024</v>
          </cell>
          <cell r="Q876" t="str">
            <v>1007637</v>
          </cell>
        </row>
        <row r="877">
          <cell r="B877" t="str">
            <v>KHI/HO/D/MO/PC COMP/C/103702/75/12/2024</v>
          </cell>
          <cell r="Q877" t="str">
            <v>PK10K118826</v>
          </cell>
        </row>
        <row r="878">
          <cell r="B878" t="str">
            <v>KHI/HO/D/MO/PC COMP/C/103702/76/12/2024</v>
          </cell>
          <cell r="Q878" t="str">
            <v>203330</v>
          </cell>
        </row>
        <row r="879">
          <cell r="B879" t="str">
            <v>KHI/HO/D/MO/PC COMP/C/103702/77/12/2024</v>
          </cell>
          <cell r="Q879" t="str">
            <v>602273</v>
          </cell>
        </row>
        <row r="880">
          <cell r="B880" t="str">
            <v>KHI/HO/D/MO/PC COMP/C/103702/78/12/2024</v>
          </cell>
          <cell r="Q880" t="str">
            <v>L13Z17439554</v>
          </cell>
        </row>
        <row r="881">
          <cell r="B881" t="str">
            <v>KHI/HO/D/MO/PC COMP/C/103702/79/12/2024</v>
          </cell>
          <cell r="Q881" t="str">
            <v>10B179706</v>
          </cell>
        </row>
        <row r="882">
          <cell r="B882" t="str">
            <v>KHI/HO/D/MO/PC COMP/C/103702/8/12/2024</v>
          </cell>
          <cell r="Q882" t="str">
            <v>6R260728</v>
          </cell>
        </row>
        <row r="883">
          <cell r="B883" t="str">
            <v>KHI/HO/D/MO/PC COMP/C/103702/80/12/2024</v>
          </cell>
          <cell r="Q883" t="str">
            <v>13032552</v>
          </cell>
        </row>
        <row r="884">
          <cell r="B884" t="str">
            <v>KHI/HO/D/MO/PC COMP/C/103702/81/12/2024</v>
          </cell>
          <cell r="Q884" t="str">
            <v>155643</v>
          </cell>
        </row>
        <row r="885">
          <cell r="B885" t="str">
            <v>KHI/HO/D/MO/PC COMP/C/103702/82/12/2024</v>
          </cell>
          <cell r="Q885" t="str">
            <v>1011573</v>
          </cell>
        </row>
        <row r="886">
          <cell r="B886" t="str">
            <v>KHI/HO/D/MO/PC COMP/C/103702/83/12/2024</v>
          </cell>
          <cell r="Q886" t="str">
            <v>13033449</v>
          </cell>
        </row>
        <row r="887">
          <cell r="B887" t="str">
            <v>KHI/HO/D/MO/PC COMP/C/103702/84/12/2024</v>
          </cell>
          <cell r="Q887" t="str">
            <v>136739</v>
          </cell>
        </row>
        <row r="888">
          <cell r="B888" t="str">
            <v>KHI/HO/D/MO/PC COMP/C/103702/85/12/2024</v>
          </cell>
          <cell r="Q888" t="str">
            <v>6R256066</v>
          </cell>
        </row>
        <row r="889">
          <cell r="B889" t="str">
            <v>KHI/HO/D/MO/PC COMP/C/103702/86/12/2024</v>
          </cell>
          <cell r="Q889" t="str">
            <v>6R259445</v>
          </cell>
        </row>
        <row r="890">
          <cell r="B890" t="str">
            <v>KHI/HO/D/MO/PC COMP/C/103702/87/12/2024</v>
          </cell>
          <cell r="Q890" t="str">
            <v>6R101963</v>
          </cell>
        </row>
        <row r="891">
          <cell r="B891" t="str">
            <v>KHI/HO/D/MO/PC COMP/C/103702/88/12/2024</v>
          </cell>
          <cell r="Q891" t="str">
            <v>364371</v>
          </cell>
        </row>
        <row r="892">
          <cell r="B892" t="str">
            <v>KHI/HO/D/MO/PC COMP/C/103702/89/12/2024</v>
          </cell>
          <cell r="Q892" t="str">
            <v>Q069949</v>
          </cell>
        </row>
        <row r="893">
          <cell r="B893" t="str">
            <v>KHI/HO/D/MO/PC COMP/C/103702/9/12/2024</v>
          </cell>
          <cell r="Q893" t="str">
            <v>6R260182</v>
          </cell>
        </row>
        <row r="894">
          <cell r="B894" t="str">
            <v>KHI/HO/D/MO/PC COMP/C/103702/90/12/2024</v>
          </cell>
          <cell r="Q894" t="str">
            <v>6R156485</v>
          </cell>
        </row>
        <row r="895">
          <cell r="B895" t="str">
            <v>KHI/HO/D/MO/PC COMP/C/103702/91/12/2024</v>
          </cell>
          <cell r="Q895" t="str">
            <v>13029173</v>
          </cell>
        </row>
        <row r="896">
          <cell r="B896" t="str">
            <v>KHI/HO/D/MO/PC COMP/C/103702/92/12/2024</v>
          </cell>
          <cell r="Q896" t="str">
            <v>1KR-1621560</v>
          </cell>
        </row>
        <row r="897">
          <cell r="B897" t="str">
            <v>KHI/HO/D/MO/PC COMP/C/103702/93/12/2024</v>
          </cell>
          <cell r="Q897" t="str">
            <v>6R171950</v>
          </cell>
        </row>
        <row r="898">
          <cell r="B898" t="str">
            <v>KHI/HO/D/MO/PC COMP/C/103702/94/12/2024</v>
          </cell>
          <cell r="Q898" t="str">
            <v>L12B51020057</v>
          </cell>
        </row>
        <row r="899">
          <cell r="B899" t="str">
            <v>KHI/HO/D/MO/PC COMP/C/103702/95/12/2024</v>
          </cell>
          <cell r="Q899" t="str">
            <v>L13Z17542424</v>
          </cell>
        </row>
        <row r="900">
          <cell r="B900" t="str">
            <v>KHI/HO/D/MO/PC COMP/C/103702/96/12/2024</v>
          </cell>
          <cell r="Q900" t="str">
            <v>2741366</v>
          </cell>
        </row>
        <row r="901">
          <cell r="B901" t="str">
            <v>KHI/HO/D/MO/PC COMP/C/103702/97/12/2024</v>
          </cell>
          <cell r="Q901" t="str">
            <v>223957</v>
          </cell>
        </row>
        <row r="902">
          <cell r="B902" t="str">
            <v>KHI/HO/D/MO/PC COMP/C/103702/98/12/2024</v>
          </cell>
          <cell r="Q902" t="str">
            <v>B-129720</v>
          </cell>
        </row>
        <row r="903">
          <cell r="B903" t="str">
            <v>KHI/HO/D/MO/PC COMP/C/103702/99/12/2024</v>
          </cell>
          <cell r="Q903" t="str">
            <v>118229</v>
          </cell>
        </row>
        <row r="904">
          <cell r="B904" t="str">
            <v>KHI/HO/D/MO/PC COMP/C/104052/1/12/2024</v>
          </cell>
          <cell r="Q904" t="str">
            <v>Q083741</v>
          </cell>
        </row>
        <row r="905">
          <cell r="B905" t="str">
            <v>KHI/HO/D/MO/PC COMP/C/104052/2/12/2024</v>
          </cell>
        </row>
        <row r="906">
          <cell r="B906" t="str">
            <v>KHI/HO/L/MO/PC COMP/P/50177/12/2018</v>
          </cell>
          <cell r="Q906" t="str">
            <v>1UR-0564766</v>
          </cell>
        </row>
        <row r="907">
          <cell r="B907" t="str">
            <v>KHI/HO/L/MO/PC COMP/P/50190/12/2018</v>
          </cell>
          <cell r="Q907" t="str">
            <v>0587766</v>
          </cell>
        </row>
        <row r="908">
          <cell r="B908" t="str">
            <v>KHI/HO/L/MO/PC COMP/P/50303/01/2019</v>
          </cell>
          <cell r="Q908" t="str">
            <v>1UR-0691513</v>
          </cell>
        </row>
        <row r="909">
          <cell r="B909" t="str">
            <v>KHI/HO/L/MO/PC COMP/P/50952/07/2019</v>
          </cell>
          <cell r="Q909" t="str">
            <v>1UR-0150509</v>
          </cell>
        </row>
        <row r="910">
          <cell r="B910" t="str">
            <v>KHI/HO/L/MO/PC COMP/P/50957/07/2019</v>
          </cell>
          <cell r="Q910" t="str">
            <v>IUR-0575819</v>
          </cell>
        </row>
        <row r="911">
          <cell r="B911" t="str">
            <v>KHI/HO/L/MO/PC COMP/P/51041/08/2019</v>
          </cell>
          <cell r="Q911" t="str">
            <v>2762122796030547811</v>
          </cell>
        </row>
        <row r="912">
          <cell r="B912" t="str">
            <v>KHI/HO/D/MO/PC COMP/C/51531/36/12/2019</v>
          </cell>
          <cell r="Q912" t="str">
            <v>154820</v>
          </cell>
        </row>
        <row r="913">
          <cell r="B913" t="str">
            <v>KHI/HO/D/MO/PC COMP/C/52386/37/06/2020</v>
          </cell>
          <cell r="Q913" t="str">
            <v>1GD0477287</v>
          </cell>
        </row>
        <row r="914">
          <cell r="B914" t="str">
            <v>KHI/HO/D/MO/PC COMP/C/52591/7/07/2020</v>
          </cell>
          <cell r="Q914" t="str">
            <v>PK10B130217</v>
          </cell>
        </row>
        <row r="915">
          <cell r="B915" t="str">
            <v>KHI/HO/D/MO/PC COMP/C/52702/2/08/2020</v>
          </cell>
          <cell r="Q915" t="str">
            <v>92G270873</v>
          </cell>
        </row>
        <row r="916">
          <cell r="B916" t="str">
            <v>KHI/HO/D/MO/PC COMP/C/52901/4/09/2020</v>
          </cell>
          <cell r="Q916" t="str">
            <v>6426860</v>
          </cell>
        </row>
        <row r="917">
          <cell r="B917" t="str">
            <v>KHI/HO/D/MO/PC COMP/C/53297/6/11/2020</v>
          </cell>
          <cell r="Q917" t="str">
            <v>10020908</v>
          </cell>
        </row>
        <row r="918">
          <cell r="B918" t="str">
            <v>KHI/HO/D/MO/PC COMP/C/53453/121/12/2020</v>
          </cell>
          <cell r="Q918" t="str">
            <v>2926063</v>
          </cell>
        </row>
        <row r="919">
          <cell r="B919" t="str">
            <v>KHI/HO/D/MO/PC COMP/C/53495/1/12/2020</v>
          </cell>
          <cell r="Q919" t="str">
            <v>7500754</v>
          </cell>
        </row>
        <row r="920">
          <cell r="B920" t="str">
            <v>KHI/HO/D/MO/PC COMP/C/53545/42/01/2021</v>
          </cell>
          <cell r="Q920" t="str">
            <v>148260</v>
          </cell>
        </row>
        <row r="921">
          <cell r="B921" t="str">
            <v>KHI/HO/D/MO/PC COMP/C/53548/1/01/2021</v>
          </cell>
          <cell r="Q921" t="str">
            <v>611893</v>
          </cell>
        </row>
        <row r="922">
          <cell r="B922" t="str">
            <v>KHI/HO/D/MO/PC COMP/C/53740/44/02/2021</v>
          </cell>
          <cell r="Q922" t="str">
            <v>Y930954</v>
          </cell>
        </row>
        <row r="923">
          <cell r="B923" t="str">
            <v>KHI/HO/D/MO/PC COMP/C/53968/13/03/2021</v>
          </cell>
          <cell r="Q923" t="str">
            <v>R18Z16918552</v>
          </cell>
        </row>
        <row r="924">
          <cell r="B924" t="str">
            <v>KHI/HO/D/MO/PC COMP/C/54163/14/03/2021</v>
          </cell>
          <cell r="Q924" t="str">
            <v>7460047</v>
          </cell>
        </row>
        <row r="925">
          <cell r="B925" t="str">
            <v>KHI/HO/D/MO/PC COMP/C/54328/86/04/2021</v>
          </cell>
          <cell r="Q925" t="str">
            <v>PK10B101598</v>
          </cell>
        </row>
        <row r="926">
          <cell r="B926" t="str">
            <v>KHI/HO/D/MO/PC COMP/C/54759/233/06/2021</v>
          </cell>
          <cell r="Q926" t="str">
            <v>7462647</v>
          </cell>
        </row>
        <row r="927">
          <cell r="B927" t="str">
            <v>KHI/HO/D/MO/PC COMP/C/54913/36/07/2021</v>
          </cell>
          <cell r="Q927" t="str">
            <v>KFN-123213</v>
          </cell>
        </row>
        <row r="928">
          <cell r="B928" t="str">
            <v>KHI/HO/D/MO/PC COMP/C/54913/8/07/2021</v>
          </cell>
          <cell r="Q928" t="str">
            <v>Q350534</v>
          </cell>
        </row>
        <row r="929">
          <cell r="B929" t="str">
            <v>KHI/HO/D/MO/PC COMP/C/55002/66/07/2021</v>
          </cell>
          <cell r="Q929" t="str">
            <v>117422</v>
          </cell>
        </row>
        <row r="930">
          <cell r="B930" t="str">
            <v>KHI/HO/D/MO/PC COMP/C/55171/1/07/2021</v>
          </cell>
          <cell r="Q930" t="str">
            <v>4046927</v>
          </cell>
        </row>
        <row r="931">
          <cell r="B931" t="str">
            <v>KHI/HO/D/MO/PC COMP/C/55239/14/08/2021</v>
          </cell>
          <cell r="Q931" t="str">
            <v>PK10K180922</v>
          </cell>
        </row>
        <row r="932">
          <cell r="B932" t="str">
            <v>KHI/HO/D/MO/PC COMP/C/55239/85/08/2021</v>
          </cell>
          <cell r="Q932" t="str">
            <v>2063760</v>
          </cell>
        </row>
        <row r="933">
          <cell r="B933" t="str">
            <v>KHI/HO/D/MO/PC COMP/C/55673/68/09/2021</v>
          </cell>
          <cell r="Q933" t="str">
            <v>L15A79799388</v>
          </cell>
        </row>
        <row r="934">
          <cell r="B934" t="str">
            <v>KHI/HO/D/MO/PC COMP/C/56038/48/10/2021</v>
          </cell>
          <cell r="Q934" t="str">
            <v>G4NAMH306536</v>
          </cell>
        </row>
        <row r="935">
          <cell r="B935" t="str">
            <v>KHI/HO/D/MO/PC COMP/C/56975/420/11/2021</v>
          </cell>
          <cell r="Q935" t="str">
            <v>PKF602776</v>
          </cell>
        </row>
        <row r="936">
          <cell r="B936" t="str">
            <v>KHI/HO/D/MO/PC COMP/C/56975/604/11/2021</v>
          </cell>
          <cell r="Q936" t="str">
            <v>164171</v>
          </cell>
        </row>
        <row r="937">
          <cell r="B937" t="str">
            <v>KHI/HO/D/MO/PC COMP/C/57132/161/12/2021</v>
          </cell>
          <cell r="Q937" t="str">
            <v>309081</v>
          </cell>
        </row>
        <row r="938">
          <cell r="B938" t="str">
            <v>KHI/HO/D/MO/PC COMP/C/57132/234/12/2021</v>
          </cell>
          <cell r="Q938" t="str">
            <v>Z504791</v>
          </cell>
        </row>
        <row r="939">
          <cell r="B939" t="str">
            <v>KHI/HO/D/MO/PC COMP/C/57132/362/12/2021</v>
          </cell>
          <cell r="Q939" t="str">
            <v>2A36617</v>
          </cell>
        </row>
        <row r="940">
          <cell r="B940" t="str">
            <v>KHI/HO/D/MO/PC COMP/C/57132/366/12/2021</v>
          </cell>
          <cell r="Q940" t="str">
            <v>G3LAMPL083360</v>
          </cell>
        </row>
        <row r="941">
          <cell r="B941" t="str">
            <v>KHI/HO/D/MO/PC COMP/C/57132/373/12/2021</v>
          </cell>
          <cell r="Q941" t="str">
            <v>2511505</v>
          </cell>
        </row>
        <row r="942">
          <cell r="B942" t="str">
            <v>KHI/HO/D/MO/PC COMP/C/57132/376/12/2021</v>
          </cell>
          <cell r="Q942" t="str">
            <v>185027</v>
          </cell>
        </row>
        <row r="943">
          <cell r="B943" t="str">
            <v>KHI/HO/D/MO/PC COMP/C/57536/54/12/2021</v>
          </cell>
          <cell r="Q943" t="str">
            <v>Q069644</v>
          </cell>
        </row>
        <row r="944">
          <cell r="B944" t="str">
            <v>KHI/HO/D/MO/PC COMP/C/57872/288/01/2022</v>
          </cell>
          <cell r="Q944" t="str">
            <v>PK10K135929</v>
          </cell>
        </row>
        <row r="945">
          <cell r="B945" t="str">
            <v>KHI/HO/D/MO/PC COMP/C/58367/13/01/2022</v>
          </cell>
          <cell r="Q945" t="str">
            <v>7505285</v>
          </cell>
        </row>
        <row r="946">
          <cell r="B946" t="str">
            <v>KHI/HO/D/MO/PC COMP/C/58470/191/02/2022</v>
          </cell>
          <cell r="Q946" t="str">
            <v>GK4EMH260091</v>
          </cell>
        </row>
        <row r="947">
          <cell r="B947" t="str">
            <v>KHI/HO/D/MO/PC COMP/C/58470/309/02/2022</v>
          </cell>
          <cell r="Q947" t="str">
            <v>L15B71400715</v>
          </cell>
        </row>
        <row r="948">
          <cell r="B948" t="str">
            <v>KHI/HO/D/MO/PC COMP/C/59032/243/02/2022</v>
          </cell>
          <cell r="Q948" t="str">
            <v>PK10B152238</v>
          </cell>
        </row>
        <row r="949">
          <cell r="B949" t="str">
            <v>KHI/HO/D/MO/PC COMP/C/59972/109/04/2022</v>
          </cell>
          <cell r="Q949" t="str">
            <v>Q314481</v>
          </cell>
        </row>
        <row r="950">
          <cell r="B950" t="str">
            <v>KHI/HO/D/MO/PC COMP/C/59972/150/04/2022</v>
          </cell>
          <cell r="Q950" t="str">
            <v>AD533420</v>
          </cell>
        </row>
        <row r="951">
          <cell r="B951" t="str">
            <v>KHI/HO/D/MO/PC COMP/C/59972/174/04/2022</v>
          </cell>
          <cell r="Q951" t="str">
            <v>6R225673</v>
          </cell>
        </row>
        <row r="952">
          <cell r="B952" t="str">
            <v>KHI/HO/D/MO/PC COMP/C/59972/61/04/2022</v>
          </cell>
          <cell r="Q952" t="str">
            <v>L15Z1-4808888</v>
          </cell>
        </row>
        <row r="953">
          <cell r="B953" t="str">
            <v>KHI/HO/D/MO/PC COMP/C/59972/87/04/2022</v>
          </cell>
          <cell r="Q953" t="str">
            <v>6R226307</v>
          </cell>
        </row>
        <row r="954">
          <cell r="B954" t="str">
            <v>KHI/HO/D/MO/PC COMP/C/59972/98/04/2022</v>
          </cell>
          <cell r="Q954" t="str">
            <v>01600219</v>
          </cell>
        </row>
        <row r="955">
          <cell r="B955" t="str">
            <v>KHI/HO/D/MO/PC COMP/C/60564/142/05/2022</v>
          </cell>
          <cell r="Q955" t="str">
            <v>R18Z16910105</v>
          </cell>
        </row>
        <row r="956">
          <cell r="B956" t="str">
            <v>KHI/HO/D/MO/PC COMP/C/61151/19/06/2022</v>
          </cell>
          <cell r="Q956" t="str">
            <v>6R233282</v>
          </cell>
        </row>
        <row r="957">
          <cell r="B957" t="str">
            <v>KHI/HO/D/MO/PC COMP/C/61788/15/06/2022</v>
          </cell>
          <cell r="Q957" t="str">
            <v>R06A-487264</v>
          </cell>
        </row>
        <row r="958">
          <cell r="B958" t="str">
            <v>KHI/HO/D/MO/PC COMP/C/62524/12/07/2022</v>
          </cell>
          <cell r="Q958" t="str">
            <v>L13Z17463739</v>
          </cell>
        </row>
        <row r="959">
          <cell r="B959" t="str">
            <v>KHI/HO/D/MO/PC COMP/C/62524/14/07/2022</v>
          </cell>
          <cell r="Q959" t="str">
            <v>Z496880</v>
          </cell>
        </row>
        <row r="960">
          <cell r="B960" t="str">
            <v>KHI/HO/D/MO/PC COMP/C/62524/18/07/2022</v>
          </cell>
          <cell r="Q960" t="str">
            <v>135329</v>
          </cell>
        </row>
        <row r="961">
          <cell r="B961" t="str">
            <v>KHI/HO/D/MO/PC COMP/C/62698/159/08/2022</v>
          </cell>
          <cell r="Q961" t="str">
            <v>1000058</v>
          </cell>
        </row>
        <row r="962">
          <cell r="B962" t="str">
            <v>KHI/HO/D/MO/PC COMP/C/62964/204/08/2022</v>
          </cell>
          <cell r="Q962" t="str">
            <v>5MGM5200017</v>
          </cell>
        </row>
        <row r="963">
          <cell r="B963" t="str">
            <v>KHI/HO/D/MO/PC COMP/C/63286/97/09/2022</v>
          </cell>
          <cell r="Q963" t="str">
            <v>199937</v>
          </cell>
        </row>
        <row r="964">
          <cell r="B964" t="str">
            <v>KHI/HO/D/MO/PC COMP/C/63576/197/09/2022</v>
          </cell>
          <cell r="Q964" t="str">
            <v>221161</v>
          </cell>
        </row>
        <row r="965">
          <cell r="B965" t="str">
            <v>KHI/HO/D/MO/PC COMP/C/63576/21/09/2022</v>
          </cell>
          <cell r="Q965" t="str">
            <v>3743138</v>
          </cell>
        </row>
        <row r="966">
          <cell r="B966" t="str">
            <v>KHI/HO/D/MO/PC COMP/C/63576/231/09/2022</v>
          </cell>
          <cell r="Q966" t="str">
            <v>7540360</v>
          </cell>
        </row>
        <row r="967">
          <cell r="B967" t="str">
            <v>KHI/HO/D/MO/PC COMP/C/65232/134/11/2022</v>
          </cell>
          <cell r="Q967" t="str">
            <v>6914512</v>
          </cell>
        </row>
        <row r="968">
          <cell r="B968" t="str">
            <v>KHI/HO/D/MO/PC COMP/C/65232/160/11/2022</v>
          </cell>
          <cell r="Q968" t="str">
            <v>5074596</v>
          </cell>
        </row>
        <row r="969">
          <cell r="B969" t="str">
            <v>KHI/HO/D/MO/PC COMP/C/65232/48/11/2022</v>
          </cell>
          <cell r="Q969" t="str">
            <v>1276994</v>
          </cell>
        </row>
        <row r="970">
          <cell r="B970" t="str">
            <v>KHI/HO/D/MO/PC COMP/C/65232/544/11/2022</v>
          </cell>
          <cell r="Q970" t="str">
            <v>Q084426</v>
          </cell>
        </row>
        <row r="971">
          <cell r="B971" t="str">
            <v>KHI/HO/D/MO/PC COMP/C/65232/578/11/2022</v>
          </cell>
          <cell r="Q971" t="str">
            <v>223089</v>
          </cell>
        </row>
        <row r="972">
          <cell r="B972" t="str">
            <v>KHI/HO/D/MO/PC COMP/C/65232/79/11/2022</v>
          </cell>
          <cell r="Q972" t="str">
            <v>17502505</v>
          </cell>
        </row>
        <row r="973">
          <cell r="B973" t="str">
            <v>KHI/HO/D/MO/PC COMP/C/65232/88/11/2022</v>
          </cell>
          <cell r="Q973" t="str">
            <v>319448</v>
          </cell>
        </row>
        <row r="974">
          <cell r="B974" t="str">
            <v>KHI/HO/D/MO/PC COMP/C/65971/552/12/2022</v>
          </cell>
          <cell r="Q974" t="str">
            <v>0899522</v>
          </cell>
        </row>
        <row r="975">
          <cell r="B975" t="str">
            <v>KHI/HO/D/MO/PC COMP/C/66791/105/01/2023</v>
          </cell>
          <cell r="Q975" t="str">
            <v>203646</v>
          </cell>
        </row>
        <row r="976">
          <cell r="B976" t="str">
            <v>KHI/HO/D/MO/PC COMP/C/66791/238/01/2023</v>
          </cell>
          <cell r="Q976" t="str">
            <v>Z548553</v>
          </cell>
        </row>
        <row r="977">
          <cell r="B977" t="str">
            <v>KHI/HO/D/MO/PC COMP/C/66791/252/01/2023</v>
          </cell>
          <cell r="Q977" t="str">
            <v>R18Z12906203</v>
          </cell>
        </row>
        <row r="978">
          <cell r="B978" t="str">
            <v>KHI/HO/D/MO/PC COMP/C/66791/328/01/2023</v>
          </cell>
          <cell r="Q978" t="str">
            <v>138535</v>
          </cell>
        </row>
        <row r="979">
          <cell r="B979" t="str">
            <v>KHI/HO/D/MO/PC COMP/C/68220/291/02/2023</v>
          </cell>
          <cell r="Q979" t="str">
            <v>193039</v>
          </cell>
        </row>
        <row r="980">
          <cell r="B980" t="str">
            <v>KHI/HO/D/MO/PC COMP/C/68593/17/03/2023</v>
          </cell>
          <cell r="Q980" t="str">
            <v>PK10K169172</v>
          </cell>
        </row>
        <row r="981">
          <cell r="B981" t="str">
            <v>KHI/HO/D/MO/PC COMP/C/68593/25/03/2023</v>
          </cell>
          <cell r="Q981" t="str">
            <v>R18Z12923020</v>
          </cell>
        </row>
        <row r="982">
          <cell r="B982" t="str">
            <v>KHI/HO/D/MO/PC COMP/C/68593/30/03/2023</v>
          </cell>
          <cell r="Q982" t="str">
            <v>Q085410</v>
          </cell>
        </row>
        <row r="983">
          <cell r="B983" t="str">
            <v>KHI/HO/D/MO/PC COMP/C/68848/2/03/2023</v>
          </cell>
          <cell r="Q983" t="str">
            <v>LEB-5068628</v>
          </cell>
        </row>
        <row r="984">
          <cell r="B984" t="str">
            <v>KHI/HO/D/MO/PC COMP/C/68848/353/03/2023</v>
          </cell>
          <cell r="Q984" t="str">
            <v>7527871</v>
          </cell>
        </row>
        <row r="985">
          <cell r="B985" t="str">
            <v>KHI/HO/D/MO/PC COMP/C/68848/367/03/2023</v>
          </cell>
          <cell r="Q985" t="str">
            <v>140806168</v>
          </cell>
        </row>
        <row r="986">
          <cell r="B986" t="str">
            <v>KHI/HO/D/MO/PC COMP/C/68848/389/03/2023</v>
          </cell>
          <cell r="Q986" t="str">
            <v>341666</v>
          </cell>
        </row>
        <row r="987">
          <cell r="B987" t="str">
            <v>KHI/HO/D/MO/PC COMP/C/69450/41/04/2023</v>
          </cell>
          <cell r="Q987" t="str">
            <v>21753156</v>
          </cell>
        </row>
        <row r="988">
          <cell r="B988" t="str">
            <v>KHI/HO/D/MO/PC COMP/C/70057/296/04/2023</v>
          </cell>
          <cell r="Q988" t="str">
            <v>Q091890</v>
          </cell>
        </row>
        <row r="989">
          <cell r="B989" t="str">
            <v>KHI/HO/D/MO/PC COMP/C/70057/321/04/2023</v>
          </cell>
          <cell r="Q989" t="str">
            <v>534341</v>
          </cell>
        </row>
        <row r="990">
          <cell r="B990" t="str">
            <v>KHI/HO/D/MO/PC COMP/C/71098/287/05/2023</v>
          </cell>
          <cell r="Q990" t="str">
            <v>178641</v>
          </cell>
        </row>
        <row r="991">
          <cell r="B991" t="str">
            <v>KHI/HO/D/MO/PC COMP/C/71098/300/05/2023</v>
          </cell>
          <cell r="Q991" t="str">
            <v>15E4E5MGM5200061</v>
          </cell>
        </row>
        <row r="992">
          <cell r="B992" t="str">
            <v>KHI/HO/D/MO/PC COMP/C/72988/249/07/2023</v>
          </cell>
          <cell r="Q992" t="str">
            <v>3740017</v>
          </cell>
        </row>
        <row r="993">
          <cell r="B993" t="str">
            <v>KHI/HO/D/MO/PC COMP/C/72988/47/07/2023</v>
          </cell>
          <cell r="Q993" t="str">
            <v>449930</v>
          </cell>
        </row>
        <row r="994">
          <cell r="B994" t="str">
            <v>KHI/HO/D/MO/PC COMP/C/74098/1/08/2023</v>
          </cell>
          <cell r="Q994" t="str">
            <v>126412</v>
          </cell>
        </row>
        <row r="995">
          <cell r="B995" t="str">
            <v>KHI/HO/D/MO/PC COMP/C/74098/167/08/2023</v>
          </cell>
          <cell r="Q995" t="str">
            <v>854765</v>
          </cell>
        </row>
        <row r="996">
          <cell r="B996" t="str">
            <v>KHI/HO/D/MO/PC COMP/C/74098/217/08/2023</v>
          </cell>
          <cell r="Q996" t="str">
            <v>Q336594</v>
          </cell>
        </row>
        <row r="997">
          <cell r="B997" t="str">
            <v>KHI/HO/D/MO/PC COMP/C/74098/263/08/2023</v>
          </cell>
          <cell r="Q997" t="str">
            <v>1KR-2003792</v>
          </cell>
        </row>
        <row r="998">
          <cell r="B998" t="str">
            <v>KHI/HO/D/MO/PC COMP/C/74098/329/08/2023</v>
          </cell>
          <cell r="Q998" t="str">
            <v>6R176886</v>
          </cell>
        </row>
        <row r="999">
          <cell r="B999" t="str">
            <v>KHI/HO/D/MO/PC COMP/C/74098/354/08/2023</v>
          </cell>
          <cell r="Q999" t="str">
            <v>13022856</v>
          </cell>
        </row>
        <row r="1000">
          <cell r="B1000" t="str">
            <v>KHI/HO/D/MO/PC COMP/C/74098/460/08/2023</v>
          </cell>
          <cell r="Q1000" t="str">
            <v>LEB-8870846</v>
          </cell>
        </row>
        <row r="1001">
          <cell r="B1001" t="str">
            <v>KHI/HO/D/MO/PC COMP/C/74098/6/08/2023</v>
          </cell>
          <cell r="Q1001" t="str">
            <v>657963</v>
          </cell>
        </row>
        <row r="1002">
          <cell r="B1002" t="str">
            <v>KHI/HO/D/MO/PC COMP/C/74098/9/08/2023</v>
          </cell>
          <cell r="Q1002" t="str">
            <v>695509</v>
          </cell>
        </row>
        <row r="1003">
          <cell r="B1003" t="str">
            <v>KHI/HO/D/MO/PC COMP/C/74098/99/08/2023</v>
          </cell>
          <cell r="Q1003" t="str">
            <v>177487</v>
          </cell>
        </row>
        <row r="1004">
          <cell r="B1004" t="str">
            <v>KHI/HO/D/MO/PC COMP/C/75858/150/09/2023</v>
          </cell>
          <cell r="Q1004" t="str">
            <v>G4NAMU877488</v>
          </cell>
        </row>
        <row r="1005">
          <cell r="B1005" t="str">
            <v>KHI/HO/D/MO/PC COMP/C/75858/2/09/2023</v>
          </cell>
          <cell r="Q1005" t="str">
            <v>944794</v>
          </cell>
        </row>
        <row r="1006">
          <cell r="B1006" t="str">
            <v>KHI/HO/D/MO/PC COMP/C/75858/3/09/2023</v>
          </cell>
          <cell r="Q1006" t="str">
            <v>7450675</v>
          </cell>
        </row>
        <row r="1007">
          <cell r="B1007" t="str">
            <v>KHI/HO/D/MO/PC COMP/C/75858/5/09/2023</v>
          </cell>
          <cell r="Q1007" t="str">
            <v>L13Z13428853</v>
          </cell>
        </row>
        <row r="1008">
          <cell r="B1008" t="str">
            <v>KHI/HO/D/MO/PC COMP/P/77025/10/2023</v>
          </cell>
          <cell r="Q1008" t="str">
            <v>EAS074335</v>
          </cell>
        </row>
        <row r="1009">
          <cell r="B1009" t="str">
            <v>KHI/HO/D/MO/PC COMP/C/77027/1/10/2023</v>
          </cell>
          <cell r="Q1009" t="str">
            <v>284044</v>
          </cell>
        </row>
        <row r="1010">
          <cell r="B1010" t="str">
            <v>KHI/HO/D/MO/PC COMP/C/77027/133/10/2023</v>
          </cell>
          <cell r="Q1010" t="str">
            <v>312625</v>
          </cell>
        </row>
        <row r="1011">
          <cell r="B1011" t="str">
            <v>KHI/HO/D/MO/PC COMP/C/77027/346/10/2023</v>
          </cell>
          <cell r="Q1011" t="str">
            <v>2A37438</v>
          </cell>
        </row>
        <row r="1012">
          <cell r="B1012" t="str">
            <v>KHI/HO/D/MO/PC COMP/C/77027/385/10/2023</v>
          </cell>
          <cell r="Q1012" t="str">
            <v>326617</v>
          </cell>
        </row>
        <row r="1013">
          <cell r="B1013" t="str">
            <v>KHI/HO/D/MO/PC COMP/C/77027/549/10/2023</v>
          </cell>
          <cell r="Q1013" t="str">
            <v>Q039920</v>
          </cell>
        </row>
        <row r="1014">
          <cell r="B1014" t="str">
            <v>KHI/HO/D/MO/PC COMP/C/77027/70/10/2023</v>
          </cell>
          <cell r="Q1014" t="str">
            <v>181660</v>
          </cell>
        </row>
        <row r="1015">
          <cell r="B1015" t="str">
            <v>KHI/HO/D/MO/PC COMP/C/77973/1/11/2023</v>
          </cell>
          <cell r="Q1015" t="str">
            <v>122207</v>
          </cell>
        </row>
        <row r="1016">
          <cell r="B1016" t="str">
            <v>KHI/HO/D/MO/PC COMP/C/77973/100/11/2023</v>
          </cell>
          <cell r="Q1016" t="str">
            <v>191181</v>
          </cell>
        </row>
        <row r="1017">
          <cell r="B1017" t="str">
            <v>KHI/HO/D/MO/PC COMP/C/77973/12/11/2023</v>
          </cell>
          <cell r="Q1017" t="str">
            <v>Z543353</v>
          </cell>
        </row>
        <row r="1018">
          <cell r="B1018" t="str">
            <v>KHI/HO/D/MO/PC COMP/C/77973/13/11/2023</v>
          </cell>
          <cell r="Q1018" t="str">
            <v>Z538378</v>
          </cell>
        </row>
        <row r="1019">
          <cell r="B1019" t="str">
            <v>KHI/HO/D/MO/PC COMP/C/77973/14/11/2023</v>
          </cell>
          <cell r="Q1019" t="str">
            <v>174719</v>
          </cell>
        </row>
        <row r="1020">
          <cell r="B1020" t="str">
            <v>KHI/HO/D/MO/PC COMP/C/77973/15/11/2023</v>
          </cell>
          <cell r="Q1020" t="str">
            <v>PKH215661</v>
          </cell>
        </row>
        <row r="1021">
          <cell r="B1021" t="str">
            <v>KHI/HO/D/MO/PC COMP/C/77973/16/11/2023</v>
          </cell>
          <cell r="Q1021" t="str">
            <v>KF-C786897</v>
          </cell>
        </row>
        <row r="1022">
          <cell r="B1022" t="str">
            <v>KHI/HO/D/MO/PC COMP/C/77973/192/11/2023</v>
          </cell>
          <cell r="Q1022" t="str">
            <v>152077</v>
          </cell>
        </row>
        <row r="1023">
          <cell r="B1023" t="str">
            <v>KHI/HO/D/MO/PC COMP/C/77973/246/11/2023</v>
          </cell>
          <cell r="Q1023" t="str">
            <v>PK10B107605</v>
          </cell>
        </row>
        <row r="1024">
          <cell r="B1024" t="str">
            <v>KHI/HO/D/MO/PC COMP/C/77973/287/11/2023</v>
          </cell>
          <cell r="Q1024" t="str">
            <v>6R190364</v>
          </cell>
        </row>
        <row r="1025">
          <cell r="B1025" t="str">
            <v>KHI/HO/D/MO/PC COMP/C/77973/33/11/2023</v>
          </cell>
          <cell r="Q1025" t="str">
            <v>CAD517751</v>
          </cell>
        </row>
        <row r="1026">
          <cell r="B1026" t="str">
            <v>KHI/HO/D/MO/PC COMP/C/77973/380/11/2023</v>
          </cell>
          <cell r="Q1026" t="str">
            <v>108208251</v>
          </cell>
        </row>
        <row r="1027">
          <cell r="B1027" t="str">
            <v>KHI/HO/D/MO/PC COMP/C/77973/426/11/2023</v>
          </cell>
          <cell r="Q1027" t="str">
            <v>G4NALH330539</v>
          </cell>
        </row>
        <row r="1028">
          <cell r="B1028" t="str">
            <v>KHI/HO/D/MO/PC COMP/C/77973/608/11/2023</v>
          </cell>
          <cell r="Q1028" t="str">
            <v>6R191353</v>
          </cell>
        </row>
        <row r="1029">
          <cell r="B1029" t="str">
            <v>KHI/HO/D/MO/PC COMP/C/77973/7/11/2023</v>
          </cell>
          <cell r="Q1029" t="str">
            <v>144322</v>
          </cell>
        </row>
        <row r="1030">
          <cell r="B1030" t="str">
            <v>KHI/HO/D/MO/PC COMP/C/77973/7/11/2023</v>
          </cell>
          <cell r="Q1030" t="str">
            <v>144322</v>
          </cell>
        </row>
        <row r="1031">
          <cell r="B1031" t="str">
            <v>KHI/HO/D/MO/PC COMP/C/77973/9/11/2023</v>
          </cell>
          <cell r="Q1031" t="str">
            <v>145836</v>
          </cell>
        </row>
        <row r="1032">
          <cell r="B1032" t="str">
            <v>KHI/HO/D/MO/PC COMP/C/80441/150/12/2023</v>
          </cell>
          <cell r="Q1032" t="str">
            <v>317919</v>
          </cell>
        </row>
        <row r="1033">
          <cell r="B1033" t="str">
            <v>KHI/HO/D/MO/PC COMP/C/80441/235/12/2023</v>
          </cell>
          <cell r="Q1033" t="str">
            <v>223957</v>
          </cell>
        </row>
        <row r="1034">
          <cell r="B1034" t="str">
            <v>KHI/HO/D/MO/PC COMP/C/80441/278/12/2023</v>
          </cell>
          <cell r="Q1034" t="str">
            <v>6R200304</v>
          </cell>
        </row>
        <row r="1035">
          <cell r="B1035" t="str">
            <v>KHI/HO/D/MO/PC COMP/C/80441/40/12/2023</v>
          </cell>
          <cell r="Q1035" t="str">
            <v>227380</v>
          </cell>
        </row>
        <row r="1036">
          <cell r="B1036" t="str">
            <v>KHI/HO/D/MO/PC COMP/C/80441/491/12/2023</v>
          </cell>
          <cell r="Q1036" t="str">
            <v>6R119491</v>
          </cell>
        </row>
        <row r="1037">
          <cell r="B1037" t="str">
            <v>KHI/HO/D/MO/PC COMP/C/80441/55/12/2023</v>
          </cell>
          <cell r="Q1037" t="str">
            <v>81001808</v>
          </cell>
        </row>
        <row r="1038">
          <cell r="B1038" t="str">
            <v>KHI/HO/D/MO/PC COMP/C/80441/98/12/2023</v>
          </cell>
          <cell r="Q1038" t="str">
            <v>082724</v>
          </cell>
        </row>
        <row r="1039">
          <cell r="B1039" t="str">
            <v>KHI/HO/D/MO/PC COMP/C/82587/141/01/2024</v>
          </cell>
          <cell r="Q1039" t="str">
            <v>531459</v>
          </cell>
        </row>
        <row r="1040">
          <cell r="B1040" t="str">
            <v>KHI/HO/D/MO/PC COMP/C/82587/2/01/2024</v>
          </cell>
          <cell r="Q1040" t="str">
            <v>134253</v>
          </cell>
        </row>
        <row r="1041">
          <cell r="B1041" t="str">
            <v>KHI/HO/D/MO/PC COMP/C/82587/276/01/2024</v>
          </cell>
          <cell r="Q1041" t="str">
            <v>227148</v>
          </cell>
        </row>
        <row r="1042">
          <cell r="B1042" t="str">
            <v>KHI/HO/D/MO/PC COMP/C/82587/378/01/2024</v>
          </cell>
          <cell r="Q1042" t="str">
            <v>2A17133</v>
          </cell>
        </row>
        <row r="1043">
          <cell r="B1043" t="str">
            <v>KHI/HO/D/MO/PC COMP/C/84046/241/02/2024</v>
          </cell>
          <cell r="Q1043" t="str">
            <v>2A01178</v>
          </cell>
        </row>
        <row r="1044">
          <cell r="B1044" t="str">
            <v>KHI/HO/D/MO/PC COMP/C/84046/293/02/2024</v>
          </cell>
          <cell r="Q1044" t="str">
            <v>L13Z17527982</v>
          </cell>
        </row>
        <row r="1045">
          <cell r="B1045" t="str">
            <v>KHI/HO/D/MO/PC COMP/C/84046/3/02/2024</v>
          </cell>
          <cell r="Q1045" t="str">
            <v>993031</v>
          </cell>
        </row>
        <row r="1046">
          <cell r="B1046" t="str">
            <v>KHI/HO/D/MO/PC COMP/C/84046/345/02/2024</v>
          </cell>
          <cell r="Q1046" t="str">
            <v>186251</v>
          </cell>
        </row>
        <row r="1047">
          <cell r="B1047" t="str">
            <v>KHI/HO/D/MO/PC COMP/C/84046/353/02/2024</v>
          </cell>
          <cell r="Q1047" t="str">
            <v>210483</v>
          </cell>
        </row>
        <row r="1048">
          <cell r="B1048" t="str">
            <v>KHI/HO/D/MO/PC COMP/C/84046/5/02/2024</v>
          </cell>
          <cell r="Q1048" t="str">
            <v>201702</v>
          </cell>
        </row>
        <row r="1049">
          <cell r="B1049" t="str">
            <v>KHI/HO/D/MO/PC COMP/C/84046/88/02/2024</v>
          </cell>
          <cell r="Q1049" t="str">
            <v>167512</v>
          </cell>
        </row>
        <row r="1050">
          <cell r="B1050" t="str">
            <v>KHI/HO/D/MO/PC COMP/C/84828/20/03/2024</v>
          </cell>
          <cell r="Q1050" t="str">
            <v>G4NAMU854881</v>
          </cell>
        </row>
        <row r="1051">
          <cell r="B1051" t="str">
            <v>KHI/HO/D/MO/PC COMP/C/84828/47/03/2024</v>
          </cell>
          <cell r="Q1051" t="str">
            <v>G3LALP07839</v>
          </cell>
        </row>
        <row r="1052">
          <cell r="B1052" t="str">
            <v>KHI/HO/D/MO/PC COMP/C/86138/158/03/2024</v>
          </cell>
          <cell r="Q1052" t="str">
            <v>2506864</v>
          </cell>
        </row>
        <row r="1053">
          <cell r="B1053" t="str">
            <v>KHI/HO/D/MO/PC COMP/C/86594/17/04/2024</v>
          </cell>
          <cell r="Q1053" t="str">
            <v>303847</v>
          </cell>
        </row>
        <row r="1054">
          <cell r="B1054" t="str">
            <v>KHI/HO/D/MO/PC COMP/C/86594/25/04/2024</v>
          </cell>
          <cell r="Q1054" t="str">
            <v>R18Z12939456</v>
          </cell>
        </row>
        <row r="1055">
          <cell r="B1055" t="str">
            <v>KHI/HO/D/MO/PC COMP/C/86594/28/04/2024</v>
          </cell>
          <cell r="Q1055" t="str">
            <v>6R174780</v>
          </cell>
        </row>
        <row r="1056">
          <cell r="B1056" t="str">
            <v>KHI/HO/D/MO/PC COMP/C/88197/13/04/2024</v>
          </cell>
          <cell r="Q1056" t="str">
            <v>234443</v>
          </cell>
        </row>
        <row r="1057">
          <cell r="B1057" t="str">
            <v>KHI/HO/D/MO/PC COMP/C/88197/134/04/2024</v>
          </cell>
          <cell r="Q1057" t="str">
            <v>16926049</v>
          </cell>
        </row>
        <row r="1058">
          <cell r="B1058" t="str">
            <v>KHI/HO/D/MO/PC COMP/C/88197/136/04/2024</v>
          </cell>
          <cell r="Q1058" t="str">
            <v>233500</v>
          </cell>
        </row>
        <row r="1059">
          <cell r="B1059" t="str">
            <v>KHI/HO/D/MO/PC COMP/C/88197/154/04/2024</v>
          </cell>
          <cell r="Q1059" t="str">
            <v>222738</v>
          </cell>
        </row>
        <row r="1060">
          <cell r="B1060" t="str">
            <v>KHI/HO/D/MO/PC COMP/C/88530/1/05/2024</v>
          </cell>
          <cell r="Q1060" t="str">
            <v>141974</v>
          </cell>
        </row>
        <row r="1061">
          <cell r="B1061" t="str">
            <v>KHI/HO/D/MO/PC COMP/C/88530/2/05/2024</v>
          </cell>
          <cell r="Q1061" t="str">
            <v>Q049394</v>
          </cell>
        </row>
        <row r="1062">
          <cell r="B1062" t="str">
            <v>KHI/HO/D/MO/PC COMP/C/88530/30/05/2024</v>
          </cell>
          <cell r="Q1062" t="str">
            <v>59734</v>
          </cell>
        </row>
        <row r="1063">
          <cell r="B1063" t="str">
            <v>KHI/HO/D/MO/PC COMP/C/88530/45/05/2024</v>
          </cell>
          <cell r="Q1063" t="str">
            <v>PK10K157435</v>
          </cell>
        </row>
        <row r="1064">
          <cell r="B1064" t="str">
            <v>KHI/HO/D/MO/PC COMP/P/89077/05/2024</v>
          </cell>
          <cell r="Q1064" t="str">
            <v>1GD5428323</v>
          </cell>
        </row>
        <row r="1065">
          <cell r="B1065" t="str">
            <v>KHI/HO/D/MO/PC COMP/C/89429/101/05/2024</v>
          </cell>
          <cell r="Q1065" t="str">
            <v>154582</v>
          </cell>
        </row>
        <row r="1066">
          <cell r="B1066" t="str">
            <v>KHI/HO/D/MO/PC COMP/C/89429/150/05/2024</v>
          </cell>
          <cell r="Q1066" t="str">
            <v>312117</v>
          </cell>
        </row>
        <row r="1067">
          <cell r="B1067" t="str">
            <v>KHI/HO/D/MO/PC COMP/C/89429/201/05/2024</v>
          </cell>
          <cell r="Q1067" t="str">
            <v>234733</v>
          </cell>
        </row>
        <row r="1068">
          <cell r="B1068" t="str">
            <v>KHI/HO/D/MO/PC COMP/C/89667/1/05/2024</v>
          </cell>
          <cell r="Q1068" t="str">
            <v>G3LAMP039072</v>
          </cell>
        </row>
        <row r="1069">
          <cell r="B1069" t="str">
            <v>KHI/HO/D/MO/PC COMP/C/89667/3/05/2024</v>
          </cell>
          <cell r="Q1069" t="str">
            <v>4809324</v>
          </cell>
        </row>
        <row r="1070">
          <cell r="B1070" t="str">
            <v>KHI/HO/D/MO/PC COMP/C/90219/28/06/2024</v>
          </cell>
          <cell r="Q1070" t="str">
            <v>L15Z13515070</v>
          </cell>
        </row>
        <row r="1071">
          <cell r="B1071" t="str">
            <v>KHI/HO/D/MO/PC COMP/C/90219/30/06/2024</v>
          </cell>
          <cell r="Q1071" t="str">
            <v>144412</v>
          </cell>
        </row>
        <row r="1072">
          <cell r="B1072" t="str">
            <v>KHI/HO/D/MO/PC COMP/C/90833/1/06/2024</v>
          </cell>
          <cell r="Q1072" t="str">
            <v>633273</v>
          </cell>
        </row>
        <row r="1073">
          <cell r="B1073" t="str">
            <v>KHI/HO/D/MO/PC COMP/C/90833/219/06/2024</v>
          </cell>
          <cell r="Q1073" t="str">
            <v>146025</v>
          </cell>
        </row>
        <row r="1074">
          <cell r="B1074" t="str">
            <v>KHI/HO/D/MO/PC COMP/C/90833/224/06/2024</v>
          </cell>
          <cell r="Q1074" t="str">
            <v>Z556925</v>
          </cell>
        </row>
        <row r="1075">
          <cell r="B1075" t="str">
            <v>KHI/HO/D/MO/PC COMP/P/91318/06/2024</v>
          </cell>
          <cell r="Q1075" t="str">
            <v>1GD5594548</v>
          </cell>
        </row>
        <row r="1076">
          <cell r="B1076" t="str">
            <v>KHI/HO/D/MO/PC COMP/C/93577/135/07/2024</v>
          </cell>
          <cell r="Q1076" t="str">
            <v>197749</v>
          </cell>
        </row>
        <row r="1077">
          <cell r="B1077" t="str">
            <v>KHI/HO/D/MO/PC COMP/C/93577/172/07/2024</v>
          </cell>
          <cell r="Q1077" t="str">
            <v>240855</v>
          </cell>
        </row>
        <row r="1078">
          <cell r="B1078" t="str">
            <v>KHI/HO/D/MO/PC COMP/C/93577/211/07/2024</v>
          </cell>
          <cell r="Q1078" t="str">
            <v>178825</v>
          </cell>
        </row>
        <row r="1079">
          <cell r="B1079" t="str">
            <v>KHI/HO/D/MO/PC COMP/C/93577/229/07/2024</v>
          </cell>
          <cell r="Q1079" t="str">
            <v>4040499</v>
          </cell>
        </row>
        <row r="1080">
          <cell r="B1080" t="str">
            <v>KHI/HO/D/MO/PC COMP/C/93577/25/07/2024</v>
          </cell>
          <cell r="Q1080" t="str">
            <v>L15871404194</v>
          </cell>
        </row>
        <row r="1081">
          <cell r="B1081" t="str">
            <v>KHI/HO/D/MO/PC COMP/C/93577/46/07/2024</v>
          </cell>
          <cell r="Q1081" t="str">
            <v>17547198</v>
          </cell>
        </row>
        <row r="1082">
          <cell r="B1082" t="str">
            <v>KHI/HO/D/MO/PC COMP/C/93577/7/07/2024</v>
          </cell>
          <cell r="Q1082" t="str">
            <v>PK10K105853</v>
          </cell>
        </row>
        <row r="1083">
          <cell r="B1083" t="str">
            <v>KHI/HO/D/MO/PC COMP/C/93577/8/07/2024</v>
          </cell>
          <cell r="Q1083" t="str">
            <v>6A0262-J2</v>
          </cell>
        </row>
        <row r="1084">
          <cell r="B1084" t="str">
            <v>KHI/HO/D/MO/PC COMP/C/93577/91/07/2024</v>
          </cell>
          <cell r="Q1084" t="str">
            <v>G3LALP024836</v>
          </cell>
        </row>
        <row r="1085">
          <cell r="B1085" t="str">
            <v>KHI/HO/D/MO/PC COMP/C/94739/15/08/2024</v>
          </cell>
          <cell r="Q1085" t="str">
            <v>6R178246</v>
          </cell>
        </row>
        <row r="1086">
          <cell r="B1086" t="str">
            <v>KHI/HO/D/MO/PC COMP/C/94739/16/08/2024</v>
          </cell>
          <cell r="Q1086" t="str">
            <v>R18Z12929172</v>
          </cell>
        </row>
        <row r="1087">
          <cell r="B1087" t="str">
            <v>KHI/HO/D/MO/PC COMP/C/94739/19/08/2024</v>
          </cell>
          <cell r="Q1087" t="str">
            <v>2A08752</v>
          </cell>
        </row>
        <row r="1088">
          <cell r="B1088" t="str">
            <v>KHI/HO/D/MO/PC COMP/C/94739/59/08/2024</v>
          </cell>
          <cell r="Q1088" t="str">
            <v>JL466Q9M69U502705</v>
          </cell>
        </row>
        <row r="1089">
          <cell r="B1089" t="str">
            <v>KHI/HO/D/MO/PC COMP/C/95603/14/08/2024</v>
          </cell>
          <cell r="Q1089" t="str">
            <v>181960</v>
          </cell>
        </row>
        <row r="1090">
          <cell r="B1090" t="str">
            <v>KHI/HO/D/MO/PC COMP/C/95603/241/08/2024</v>
          </cell>
          <cell r="Q1090" t="str">
            <v>L15Z14802248</v>
          </cell>
        </row>
        <row r="1091">
          <cell r="B1091" t="str">
            <v>KHI/HO/D/MO/PC COMP/C/95603/3/08/2024</v>
          </cell>
          <cell r="Q1091" t="str">
            <v>242592</v>
          </cell>
        </row>
        <row r="1092">
          <cell r="B1092" t="str">
            <v>KHI/HO/D/MO/PC COMP/C/95603/309/08/2024</v>
          </cell>
          <cell r="Q1092" t="str">
            <v>6R233003</v>
          </cell>
        </row>
        <row r="1093">
          <cell r="B1093" t="str">
            <v>KHI/HO/D/MO/PC COMP/C/95603/83/08/2024</v>
          </cell>
          <cell r="Q1093" t="str">
            <v>6924590</v>
          </cell>
        </row>
        <row r="1094">
          <cell r="B1094" t="str">
            <v>KHI/HO/D/MO/PC COMP/C/96638/10/09/2024</v>
          </cell>
          <cell r="Q1094" t="str">
            <v>PK10K185350</v>
          </cell>
        </row>
        <row r="1095">
          <cell r="B1095" t="str">
            <v>KHI/HO/D/MO/PC COMP/C/96638/37/09/2024</v>
          </cell>
          <cell r="Q1095" t="str">
            <v>L13Z17505439</v>
          </cell>
        </row>
        <row r="1096">
          <cell r="B1096" t="str">
            <v>KHI/HO/D/MO/PC COMP/C/96638/41/09/2024</v>
          </cell>
          <cell r="Q1096" t="str">
            <v>244H0005146</v>
          </cell>
        </row>
        <row r="1097">
          <cell r="B1097" t="str">
            <v>KHI/HO/D/MO/PC COMP/C/96638/45/09/2024</v>
          </cell>
          <cell r="Q1097" t="str">
            <v>JL473ZQ7RN8AT223075</v>
          </cell>
        </row>
        <row r="1098">
          <cell r="B1098" t="str">
            <v>KHI/HO/D/MO/PC COMP/C/96638/53/09/2024</v>
          </cell>
          <cell r="Q1098" t="str">
            <v>15E4E5MSR6140021</v>
          </cell>
        </row>
        <row r="1099">
          <cell r="B1099" t="str">
            <v>KHI/HO/D/MO/PC COMP/C/96638/6/09/2024</v>
          </cell>
          <cell r="Q1099" t="str">
            <v>6R317898</v>
          </cell>
        </row>
        <row r="1100">
          <cell r="B1100" t="str">
            <v>KHI/HO/D/MO/PC COMP/C/97805/10/09/2024</v>
          </cell>
          <cell r="Q1100" t="str">
            <v>110326</v>
          </cell>
        </row>
        <row r="1101">
          <cell r="B1101" t="str">
            <v>KHI/HO/D/MO/PC COMP/C/97805/11/09/2024</v>
          </cell>
          <cell r="Q1101" t="str">
            <v>151898</v>
          </cell>
        </row>
        <row r="1102">
          <cell r="B1102" t="str">
            <v>KHI/HO/D/MO/PC COMP/C/97805/11/09/2024</v>
          </cell>
          <cell r="Q1102" t="str">
            <v>151898</v>
          </cell>
        </row>
        <row r="1103">
          <cell r="B1103" t="str">
            <v>KHI/HO/D/MO/PC COMP/C/97805/113/09/2024</v>
          </cell>
          <cell r="Q1103" t="str">
            <v>PK11020440</v>
          </cell>
        </row>
        <row r="1104">
          <cell r="B1104" t="str">
            <v>KHI/HO/D/MO/PC COMP/C/97805/123/09/2024</v>
          </cell>
          <cell r="Q1104" t="str">
            <v>323110</v>
          </cell>
        </row>
        <row r="1105">
          <cell r="B1105" t="str">
            <v>KHI/HO/D/MO/PC COMP/C/97805/126/09/2024</v>
          </cell>
          <cell r="Q1105" t="str">
            <v>G4NALH317330</v>
          </cell>
        </row>
        <row r="1106">
          <cell r="B1106" t="str">
            <v>KHI/HO/D/MO/PC COMP/C/97805/146/09/2024</v>
          </cell>
          <cell r="Q1106" t="str">
            <v>L15Z14802711</v>
          </cell>
        </row>
        <row r="1107">
          <cell r="B1107" t="str">
            <v>KHI/HO/D/MO/PC COMP/C/97805/15/09/2024</v>
          </cell>
          <cell r="Q1107" t="str">
            <v>L13Z17540156</v>
          </cell>
        </row>
        <row r="1108">
          <cell r="B1108" t="str">
            <v>KHI/HO/D/MO/PC COMP/C/97805/167/09/2024</v>
          </cell>
          <cell r="Q1108" t="str">
            <v>743765</v>
          </cell>
        </row>
        <row r="1109">
          <cell r="B1109" t="str">
            <v>KHI/HO/D/MO/PC COMP/C/97805/167/09/2024</v>
          </cell>
          <cell r="Q1109" t="str">
            <v>743765</v>
          </cell>
        </row>
        <row r="1110">
          <cell r="B1110" t="str">
            <v>KHI/HO/D/MO/PC COMP/C/97805/175/09/2024</v>
          </cell>
          <cell r="Q1110" t="str">
            <v>510898</v>
          </cell>
        </row>
        <row r="1111">
          <cell r="B1111" t="str">
            <v>KHI/HO/D/MO/PC COMP/C/97805/180/09/2024</v>
          </cell>
          <cell r="Q1111" t="str">
            <v>1014525</v>
          </cell>
        </row>
        <row r="1112">
          <cell r="B1112" t="str">
            <v>KHI/HO/D/MO/PC COMP/C/97805/183/09/2024</v>
          </cell>
          <cell r="Q1112" t="str">
            <v>Q351527</v>
          </cell>
        </row>
        <row r="1113">
          <cell r="B1113" t="str">
            <v>KHI/HO/D/MO/PC COMP/C/97805/184/09/2024</v>
          </cell>
          <cell r="Q1113" t="str">
            <v>200963</v>
          </cell>
        </row>
        <row r="1114">
          <cell r="B1114" t="str">
            <v>KHI/HO/D/MO/PC COMP/C/97805/195/09/2024</v>
          </cell>
          <cell r="Q1114" t="str">
            <v>G4NALH319359</v>
          </cell>
        </row>
        <row r="1115">
          <cell r="B1115" t="str">
            <v>KHI/HO/D/MO/PC COMP/C/97805/197/09/2024</v>
          </cell>
          <cell r="Q1115" t="str">
            <v>G4NALH316995</v>
          </cell>
        </row>
        <row r="1116">
          <cell r="B1116" t="str">
            <v>KHI/HO/D/MO/PC COMP/C/97805/210/09/2024</v>
          </cell>
          <cell r="Q1116" t="str">
            <v>9U502405</v>
          </cell>
        </row>
        <row r="1117">
          <cell r="B1117" t="str">
            <v>KHI/HO/D/MO/PC COMP/C/97805/220/09/2024</v>
          </cell>
          <cell r="Q1117" t="str">
            <v>556060</v>
          </cell>
        </row>
        <row r="1118">
          <cell r="B1118" t="str">
            <v>KHI/HO/D/MO/PC COMP/C/97805/223/09/2024</v>
          </cell>
          <cell r="Q1118" t="str">
            <v>138257</v>
          </cell>
        </row>
        <row r="1119">
          <cell r="B1119" t="str">
            <v>KHI/HO/D/MO/PC COMP/C/97805/260/09/2024</v>
          </cell>
          <cell r="Q1119" t="str">
            <v>ZA06227</v>
          </cell>
        </row>
        <row r="1120">
          <cell r="B1120" t="str">
            <v>KHI/HO/D/MO/PC COMP/C/97805/265/09/2024</v>
          </cell>
          <cell r="Q1120" t="str">
            <v>G4NALH32258</v>
          </cell>
        </row>
        <row r="1121">
          <cell r="B1121" t="str">
            <v>KHI/HO/D/MO/PC COMP/C/97805/278/09/2024</v>
          </cell>
          <cell r="Q1121" t="str">
            <v>12928993</v>
          </cell>
        </row>
        <row r="1122">
          <cell r="B1122" t="str">
            <v>KHI/HO/D/MO/PC COMP/C/97805/280/09/2024</v>
          </cell>
          <cell r="Q1122" t="str">
            <v>505772</v>
          </cell>
        </row>
        <row r="1123">
          <cell r="B1123" t="str">
            <v>KHI/HO/D/MO/PC COMP/C/97805/296/09/2024</v>
          </cell>
          <cell r="Q1123" t="str">
            <v>G4NALH322547</v>
          </cell>
        </row>
        <row r="1124">
          <cell r="B1124" t="str">
            <v>KHI/HO/D/MO/PC COMP/C/97805/30/09/2024</v>
          </cell>
          <cell r="Q1124" t="str">
            <v>1KR1415387</v>
          </cell>
        </row>
        <row r="1125">
          <cell r="B1125" t="str">
            <v>KHI/HO/D/MO/PC COMP/C/97805/320/09/2024</v>
          </cell>
          <cell r="Q1125" t="str">
            <v>L15A79799388</v>
          </cell>
        </row>
        <row r="1126">
          <cell r="B1126" t="str">
            <v>KHI/HO/D/MO/PC COMP/C/97805/322/09/2024</v>
          </cell>
          <cell r="Q1126" t="str">
            <v>G4NALH316979</v>
          </cell>
        </row>
        <row r="1127">
          <cell r="B1127" t="str">
            <v>KHI/HO/D/MO/PC COMP/C/97805/326/09/2024</v>
          </cell>
          <cell r="Q1127" t="str">
            <v>Z16913255</v>
          </cell>
        </row>
        <row r="1128">
          <cell r="B1128" t="str">
            <v>KHI/HO/D/MO/PC COMP/C/97805/44/09/2024</v>
          </cell>
          <cell r="Q1128" t="str">
            <v>R177188</v>
          </cell>
        </row>
        <row r="1129">
          <cell r="B1129" t="str">
            <v>KHI/HO/D/MO/PC COMP/C/97805/5/09/2024</v>
          </cell>
          <cell r="Q1129" t="str">
            <v>G4NALH310866</v>
          </cell>
        </row>
        <row r="1130">
          <cell r="B1130" t="str">
            <v>KHI/HO/D/MO/PC COMP/C/97805/52/09/2024</v>
          </cell>
          <cell r="Q1130" t="str">
            <v>H323747</v>
          </cell>
        </row>
        <row r="1131">
          <cell r="B1131" t="str">
            <v>KHI/HO/D/MO/PC COMP/C/97805/59/09/2024</v>
          </cell>
          <cell r="Q1131" t="str">
            <v>G4NALH323163</v>
          </cell>
        </row>
        <row r="1132">
          <cell r="B1132" t="str">
            <v>KHI/HO/D/MO/PC COMP/C/97805/6/09/2024</v>
          </cell>
          <cell r="Q1132" t="str">
            <v>G4NALH316962</v>
          </cell>
        </row>
        <row r="1133">
          <cell r="B1133" t="str">
            <v>KHI/HO/D/MO/PC COMP/C/97805/63/09/2024</v>
          </cell>
          <cell r="Q1133" t="str">
            <v>6913130</v>
          </cell>
        </row>
        <row r="1134">
          <cell r="B1134" t="str">
            <v>KHI/HO/D/MO/PC COMP/C/97805/66/09/2024</v>
          </cell>
          <cell r="Q1134" t="str">
            <v>199556</v>
          </cell>
        </row>
        <row r="1135">
          <cell r="B1135" t="str">
            <v>KHI/HO/D/MO/PC COMP/C/97805/66/09/2024</v>
          </cell>
          <cell r="Q1135" t="str">
            <v>199556</v>
          </cell>
        </row>
        <row r="1136">
          <cell r="B1136" t="str">
            <v>KHI/HO/D/MO/PC COMP/C/97805/76/09/2024</v>
          </cell>
          <cell r="Q1136" t="str">
            <v>503965</v>
          </cell>
        </row>
        <row r="1137">
          <cell r="B1137" t="str">
            <v>KHI/HO/D/MO/PC COMP/C/97805/91/09/2024</v>
          </cell>
          <cell r="Q1137" t="str">
            <v>1554801</v>
          </cell>
        </row>
        <row r="1138">
          <cell r="B1138" t="str">
            <v>KHI/HO/D/MO/PC COMP/C/98341/1/09/2024</v>
          </cell>
          <cell r="Q1138" t="str">
            <v>121684</v>
          </cell>
        </row>
        <row r="1139">
          <cell r="B1139" t="str">
            <v>KHI/HO/D/MO/PC COMP/C/98824/12/10/2024</v>
          </cell>
          <cell r="Q1139" t="str">
            <v>G3LARP035709</v>
          </cell>
        </row>
        <row r="1140">
          <cell r="B1140" t="str">
            <v>KHI/HO/D/MO/PC COMP/C/99821/102/10/2024</v>
          </cell>
          <cell r="Q1140" t="str">
            <v>117189</v>
          </cell>
        </row>
        <row r="1141">
          <cell r="B1141" t="str">
            <v>KHI/HO/D/MO/PC COMP/C/99821/119/10/2024</v>
          </cell>
          <cell r="Q1141" t="str">
            <v>G4NALH326560</v>
          </cell>
        </row>
        <row r="1142">
          <cell r="B1142" t="str">
            <v>KHI/HO/D/MO/PC COMP/C/99821/125/10/2024</v>
          </cell>
          <cell r="Q1142" t="str">
            <v>L13Z17540784</v>
          </cell>
        </row>
        <row r="1143">
          <cell r="B1143" t="str">
            <v>KHI/HO/D/MO/PC COMP/C/99821/129/10/2024</v>
          </cell>
          <cell r="Q1143" t="str">
            <v>207576</v>
          </cell>
        </row>
        <row r="1144">
          <cell r="B1144" t="str">
            <v>KHI/HO/D/MO/PC COMP/C/99821/134/10/2024</v>
          </cell>
          <cell r="Q1144" t="str">
            <v>318155</v>
          </cell>
        </row>
        <row r="1145">
          <cell r="B1145" t="str">
            <v>KHI/HO/D/MO/PC COMP/C/99821/147/10/2024</v>
          </cell>
          <cell r="Q1145" t="str">
            <v>207359</v>
          </cell>
        </row>
        <row r="1146">
          <cell r="B1146" t="str">
            <v>KHI/HO/D/MO/PC COMP/C/99821/152/10/2024</v>
          </cell>
          <cell r="Q1146" t="str">
            <v>206988</v>
          </cell>
        </row>
        <row r="1147">
          <cell r="B1147" t="str">
            <v>KHI/HO/D/MO/PC COMP/C/99821/154/10/2024</v>
          </cell>
          <cell r="Q1147" t="str">
            <v>PK10B207343</v>
          </cell>
        </row>
        <row r="1148">
          <cell r="B1148" t="str">
            <v>KHI/HO/D/MO/PC COMP/C/99821/157/10/2024</v>
          </cell>
          <cell r="Q1148" t="str">
            <v>251506</v>
          </cell>
        </row>
        <row r="1149">
          <cell r="B1149" t="str">
            <v>KHI/HO/D/MO/PC COMP/C/99821/159/10/2024</v>
          </cell>
          <cell r="Q1149" t="str">
            <v>141271</v>
          </cell>
        </row>
        <row r="1150">
          <cell r="B1150" t="str">
            <v>KHI/HO/D/MO/PC COMP/C/99821/174/10/2024</v>
          </cell>
          <cell r="Q1150" t="str">
            <v>6914149</v>
          </cell>
        </row>
        <row r="1151">
          <cell r="B1151" t="str">
            <v>KHI/HO/D/MO/PC COMP/C/99821/176/10/2024</v>
          </cell>
          <cell r="Q1151" t="str">
            <v>117040</v>
          </cell>
        </row>
        <row r="1152">
          <cell r="B1152" t="str">
            <v>KHI/HO/D/MO/PC COMP/C/99821/183/10/2024</v>
          </cell>
          <cell r="Q1152" t="str">
            <v>L13Z17534885</v>
          </cell>
        </row>
        <row r="1153">
          <cell r="B1153" t="str">
            <v>KHI/HO/D/MO/PC COMP/C/99821/185/10/2024</v>
          </cell>
          <cell r="Q1153" t="str">
            <v>17540881</v>
          </cell>
        </row>
        <row r="1154">
          <cell r="B1154" t="str">
            <v>KHI/HO/D/MO/PC COMP/C/99821/196/10/2024</v>
          </cell>
          <cell r="Q1154" t="str">
            <v>6913640</v>
          </cell>
        </row>
        <row r="1155">
          <cell r="B1155" t="str">
            <v>KHI/HO/D/MO/PC COMP/C/99821/197/10/2024</v>
          </cell>
          <cell r="Q1155" t="str">
            <v>17541114</v>
          </cell>
        </row>
        <row r="1156">
          <cell r="B1156" t="str">
            <v>KHI/HO/D/MO/PC COMP/C/99821/20/10/2024</v>
          </cell>
          <cell r="Q1156" t="str">
            <v>313181</v>
          </cell>
        </row>
        <row r="1157">
          <cell r="B1157" t="str">
            <v>KHI/HO/D/MO/PC COMP/C/99821/21/10/2024</v>
          </cell>
          <cell r="Q1157" t="str">
            <v>2A38843</v>
          </cell>
        </row>
        <row r="1158">
          <cell r="B1158" t="str">
            <v>KHI/HO/D/MO/PC COMP/C/99821/212/10/2024</v>
          </cell>
          <cell r="Q1158" t="str">
            <v>746911</v>
          </cell>
        </row>
        <row r="1159">
          <cell r="B1159" t="str">
            <v>KHI/HO/D/MO/PC COMP/C/99821/215/10/2024</v>
          </cell>
          <cell r="Q1159" t="str">
            <v>PK10B206787</v>
          </cell>
        </row>
        <row r="1160">
          <cell r="B1160" t="str">
            <v>KHI/HO/D/MO/PC COMP/C/99821/220/10/2024</v>
          </cell>
          <cell r="Q1160" t="str">
            <v>6R286282</v>
          </cell>
        </row>
        <row r="1161">
          <cell r="B1161" t="str">
            <v>KHI/HO/D/MO/PC COMP/C/99821/232/10/2024</v>
          </cell>
          <cell r="Q1161" t="str">
            <v>2A38708</v>
          </cell>
        </row>
        <row r="1162">
          <cell r="B1162" t="str">
            <v>KHI/HO/D/MO/PC COMP/C/99821/26/10/2024</v>
          </cell>
          <cell r="Q1162" t="str">
            <v>207790</v>
          </cell>
        </row>
        <row r="1163">
          <cell r="B1163" t="str">
            <v>KHI/HO/D/MO/PC COMP/C/99821/264/10/2024</v>
          </cell>
          <cell r="Q1163" t="str">
            <v>2A39191</v>
          </cell>
        </row>
        <row r="1164">
          <cell r="B1164" t="str">
            <v>KHI/HO/D/MO/PC COMP/C/99821/277/10/2024</v>
          </cell>
          <cell r="Q1164" t="str">
            <v>127872</v>
          </cell>
        </row>
        <row r="1165">
          <cell r="B1165" t="str">
            <v>KHI/HO/D/MO/PC COMP/C/99821/291/10/2024</v>
          </cell>
          <cell r="Q1165" t="str">
            <v>202524</v>
          </cell>
        </row>
        <row r="1166">
          <cell r="B1166" t="str">
            <v>KHI/HO/D/MO/PC COMP/C/99821/3/10/2024</v>
          </cell>
          <cell r="Q1166" t="str">
            <v>LS1336</v>
          </cell>
        </row>
        <row r="1167">
          <cell r="B1167" t="str">
            <v>KHI/HO/D/MO/PC COMP/C/99821/31/10/2024</v>
          </cell>
          <cell r="Q1167" t="str">
            <v>21643</v>
          </cell>
        </row>
        <row r="1168">
          <cell r="B1168" t="str">
            <v>KHI/HO/D/MO/PC COMP/C/99821/332/10/2024</v>
          </cell>
          <cell r="Q1168" t="str">
            <v>Q082246</v>
          </cell>
        </row>
        <row r="1169">
          <cell r="B1169" t="str">
            <v>KHI/HO/D/MO/PC COMP/C/99821/345/10/2024</v>
          </cell>
          <cell r="Q1169" t="str">
            <v>1002592</v>
          </cell>
        </row>
        <row r="1170">
          <cell r="B1170" t="str">
            <v>KHI/HO/D/MO/PC COMP/C/99821/50/10/2024</v>
          </cell>
          <cell r="Q1170" t="str">
            <v>PKS13036146</v>
          </cell>
        </row>
        <row r="1171">
          <cell r="B1171" t="str">
            <v>KHI/HO/D/MO/PC COMP/C/99821/51/10/2024</v>
          </cell>
          <cell r="Q1171" t="str">
            <v>148005</v>
          </cell>
        </row>
        <row r="1172">
          <cell r="B1172" t="str">
            <v>KHI/HO/D/MO/PC COMP/C/99821/58/10/2024</v>
          </cell>
          <cell r="Q1172" t="str">
            <v>674490</v>
          </cell>
        </row>
        <row r="1173">
          <cell r="B1173" t="str">
            <v>KHI/HO/D/MO/PC COMP/C/99821/89/10/2024</v>
          </cell>
          <cell r="Q1173" t="str">
            <v>14800265</v>
          </cell>
        </row>
        <row r="1174">
          <cell r="B1174" t="str">
            <v>KHI/HO/D/MO/PC COMP/C/99821/91/10/2024</v>
          </cell>
          <cell r="Q1174" t="str">
            <v>13034386</v>
          </cell>
        </row>
        <row r="1175">
          <cell r="B1175" t="str">
            <v>KHI/HO/D/MO/PC COMP/C/99821/93/10/2024</v>
          </cell>
          <cell r="Q1175" t="str">
            <v>744103</v>
          </cell>
        </row>
        <row r="1176">
          <cell r="B1176" t="str">
            <v>KHI/HO/D/MO/PC COMP/C/99821/95/10/2024</v>
          </cell>
          <cell r="Q1176" t="str">
            <v>2TRA782151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9" displayName="Table9" ref="A1:AK955" totalsRowShown="0">
  <autoFilter ref="A1:AK955" xr:uid="{00000000-0009-0000-0100-000001000000}">
    <filterColumn colId="1">
      <filters>
        <filter val="HOLD"/>
      </filters>
    </filterColumn>
  </autoFilter>
  <sortState xmlns:xlrd2="http://schemas.microsoft.com/office/spreadsheetml/2017/richdata2" ref="A2:AI955">
    <sortCondition ref="B2:B955"/>
  </sortState>
  <tableColumns count="37">
    <tableColumn id="1" xr3:uid="{00000000-0010-0000-0000-000001000000}" name="Sr."/>
    <tableColumn id="2" xr3:uid="{00000000-0010-0000-0000-000002000000}" name="Status"/>
    <tableColumn id="3" xr3:uid="{00000000-0010-0000-0000-000003000000}" name="Contract No."/>
    <tableColumn id="4" xr3:uid="{00000000-0010-0000-0000-000004000000}" name="Insurance Agency"/>
    <tableColumn id="5" xr3:uid="{00000000-0010-0000-0000-000005000000}" name="Customer Name"/>
    <tableColumn id="6" xr3:uid="{00000000-0010-0000-0000-000006000000}" name="City"/>
    <tableColumn id="7" xr3:uid="{00000000-0010-0000-0000-000007000000}" name="CNIC No."/>
    <tableColumn id="8" xr3:uid="{00000000-0010-0000-0000-000008000000}" name="Home Phone#"/>
    <tableColumn id="9" xr3:uid="{00000000-0010-0000-0000-000009000000}" name="Mobile Number"/>
    <tableColumn id="10" xr3:uid="{00000000-0010-0000-0000-00000A000000}" name="Business Phone#"/>
    <tableColumn id="11" xr3:uid="{00000000-0010-0000-0000-00000B000000}" name="Mail Address"/>
    <tableColumn id="12" xr3:uid="{00000000-0010-0000-0000-00000C000000}" name="Finance Amount"/>
    <tableColumn id="13" xr3:uid="{00000000-0010-0000-0000-00000D000000}" name="Car Price"/>
    <tableColumn id="14" xr3:uid="{00000000-0010-0000-0000-00000E000000}" name="Ins. Policy"/>
    <tableColumn id="15" xr3:uid="{00000000-0010-0000-0000-00000F000000}" name="Ins. Expiry Date" dataDxfId="10"/>
    <tableColumn id="16" xr3:uid="{00000000-0010-0000-0000-000010000000}" name="Engine No."/>
    <tableColumn id="17" xr3:uid="{00000000-0010-0000-0000-000011000000}" name="Chassis No."/>
    <tableColumn id="18" xr3:uid="{00000000-0010-0000-0000-000012000000}" name="Car Category"/>
    <tableColumn id="19" xr3:uid="{00000000-0010-0000-0000-000013000000}" name="Reg. No."/>
    <tableColumn id="20" xr3:uid="{00000000-0010-0000-0000-000014000000}" name="Car Name"/>
    <tableColumn id="21" xr3:uid="{00000000-0010-0000-0000-000015000000}" name="Model"/>
    <tableColumn id="22" xr3:uid="{00000000-0010-0000-0000-000016000000}" name="Contract Booking Date" dataDxfId="9"/>
    <tableColumn id="23" xr3:uid="{00000000-0010-0000-0000-000017000000}" name="Contract Value Date"/>
    <tableColumn id="24" xr3:uid="{00000000-0010-0000-0000-000018000000}" name="Contract Maturity Date"/>
    <tableColumn id="25" xr3:uid="{00000000-0010-0000-0000-000019000000}" name="Purchase Order No."/>
    <tableColumn id="26" xr3:uid="{00000000-0010-0000-0000-00001A000000}" name="Tenor#2"/>
    <tableColumn id="27" xr3:uid="{00000000-0010-0000-0000-00001B000000}" name="Tracker Company"/>
    <tableColumn id="28" xr3:uid="{00000000-0010-0000-0000-00001C000000}" name="Tracker Reference Number"/>
    <tableColumn id="29" xr3:uid="{00000000-0010-0000-0000-00001D000000}" name="Tracker Installation Date"/>
    <tableColumn id="30" xr3:uid="{00000000-0010-0000-0000-00001E000000}" name="Rate "/>
    <tableColumn id="31" xr3:uid="{00000000-0010-0000-0000-00001F000000}" name="Sum Insured "/>
    <tableColumn id="32" xr3:uid="{00000000-0010-0000-0000-000020000000}" name="Premium"/>
    <tableColumn id="33" xr3:uid="{00000000-0010-0000-0000-000021000000}" name="OLD Contract Ref"/>
    <tableColumn id="34" xr3:uid="{00000000-0010-0000-0000-000022000000}" name="Remarks-I"/>
    <tableColumn id="35" xr3:uid="{00000000-0010-0000-0000-000023000000}" name="Remarks-II"/>
    <tableColumn id="36" xr3:uid="{DF722669-ADC5-4C06-AA87-278C54252F52}" name="Policy #" dataDxfId="8">
      <calculatedColumnFormula>_xlfn.XLOOKUP(Table9[[#This Row],[Engine No.]],'[1]Dubai Islamic Consumer'!$Q$3:$Q$1176,'[1]Dubai Islamic Consumer'!$B$3:$B$1176,,,)</calculatedColumnFormula>
    </tableColumn>
    <tableColumn id="37" xr3:uid="{F348D21C-1B37-4BB1-A029-B7E125FD9891}" name="Tms pr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55"/>
  <sheetViews>
    <sheetView topLeftCell="A866" workbookViewId="0">
      <selection activeCell="A880" sqref="A880"/>
    </sheetView>
  </sheetViews>
  <sheetFormatPr defaultRowHeight="15" x14ac:dyDescent="0.25"/>
  <cols>
    <col min="3" max="3" width="14.140625" customWidth="1"/>
    <col min="4" max="4" width="18.5703125" customWidth="1"/>
    <col min="5" max="5" width="17.42578125" customWidth="1"/>
    <col min="7" max="7" width="11" customWidth="1"/>
    <col min="8" max="8" width="15.5703125" customWidth="1"/>
    <col min="9" max="9" width="17.28515625" customWidth="1"/>
    <col min="10" max="10" width="18" customWidth="1"/>
    <col min="11" max="11" width="14.7109375" customWidth="1"/>
    <col min="12" max="12" width="17.5703125" customWidth="1"/>
    <col min="13" max="13" width="10.85546875" customWidth="1"/>
    <col min="14" max="14" width="12" customWidth="1"/>
    <col min="15" max="15" width="16.7109375" customWidth="1"/>
    <col min="16" max="16" width="12.7109375" customWidth="1"/>
    <col min="17" max="17" width="13.140625" customWidth="1"/>
    <col min="18" max="18" width="14.28515625" customWidth="1"/>
    <col min="19" max="19" width="10.5703125" customWidth="1"/>
    <col min="20" max="20" width="11.7109375" customWidth="1"/>
    <col min="22" max="22" width="22.7109375" customWidth="1"/>
    <col min="23" max="23" width="20.7109375" customWidth="1"/>
    <col min="24" max="24" width="23.28515625" customWidth="1"/>
    <col min="25" max="25" width="20.28515625" customWidth="1"/>
    <col min="26" max="26" width="10.28515625" customWidth="1"/>
    <col min="27" max="27" width="18.28515625" customWidth="1"/>
    <col min="28" max="28" width="26.85546875" customWidth="1"/>
    <col min="29" max="29" width="24.5703125" customWidth="1"/>
    <col min="31" max="31" width="14.5703125" customWidth="1"/>
    <col min="32" max="32" width="11.28515625" customWidth="1"/>
    <col min="33" max="33" width="18" customWidth="1"/>
    <col min="34" max="34" width="12" customWidth="1"/>
    <col min="35" max="35" width="12.5703125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s="7" t="s">
        <v>11377</v>
      </c>
      <c r="AK1" s="7" t="s">
        <v>11378</v>
      </c>
    </row>
    <row r="2" spans="1:37" hidden="1" x14ac:dyDescent="0.25">
      <c r="A2">
        <v>1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41</v>
      </c>
      <c r="K2" t="s">
        <v>43</v>
      </c>
      <c r="L2">
        <v>1001250</v>
      </c>
      <c r="M2">
        <v>1335000</v>
      </c>
      <c r="N2" t="s">
        <v>44</v>
      </c>
      <c r="O2" s="1">
        <v>45597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>
        <v>5</v>
      </c>
      <c r="AA2" t="s">
        <v>55</v>
      </c>
      <c r="AB2" t="s">
        <v>56</v>
      </c>
      <c r="AC2" t="s">
        <v>57</v>
      </c>
      <c r="AD2" t="s">
        <v>58</v>
      </c>
      <c r="AE2">
        <v>1068000</v>
      </c>
      <c r="AF2">
        <v>21360</v>
      </c>
      <c r="AJ2" t="str">
        <f>_xlfn.XLOOKUP(Table9[[#This Row],[Engine No.]],'[1]Dubai Islamic Consumer'!$Q$3:$Q$1176,'[1]Dubai Islamic Consumer'!$B$3:$B$1176,,,)</f>
        <v>KHI/HO/D/MO/PC COMP/C/102086/2/11/2024</v>
      </c>
    </row>
    <row r="3" spans="1:37" hidden="1" x14ac:dyDescent="0.25">
      <c r="A3">
        <v>2</v>
      </c>
      <c r="B3" t="s">
        <v>35</v>
      </c>
      <c r="C3" t="s">
        <v>59</v>
      </c>
      <c r="D3" t="s">
        <v>37</v>
      </c>
      <c r="E3" t="s">
        <v>60</v>
      </c>
      <c r="F3" t="s">
        <v>39</v>
      </c>
      <c r="G3" t="s">
        <v>61</v>
      </c>
      <c r="H3" t="s">
        <v>48</v>
      </c>
      <c r="I3" t="s">
        <v>62</v>
      </c>
      <c r="J3" t="s">
        <v>48</v>
      </c>
      <c r="K3" t="s">
        <v>63</v>
      </c>
      <c r="L3">
        <v>1098000</v>
      </c>
      <c r="M3">
        <v>1830000</v>
      </c>
      <c r="N3" t="s">
        <v>64</v>
      </c>
      <c r="O3" s="1">
        <v>45597</v>
      </c>
      <c r="P3" t="s">
        <v>65</v>
      </c>
      <c r="Q3" t="s">
        <v>66</v>
      </c>
      <c r="R3" t="s">
        <v>47</v>
      </c>
      <c r="S3" t="s">
        <v>48</v>
      </c>
      <c r="T3" t="s">
        <v>67</v>
      </c>
      <c r="U3" t="s">
        <v>50</v>
      </c>
      <c r="V3" t="s">
        <v>68</v>
      </c>
      <c r="W3" t="s">
        <v>52</v>
      </c>
      <c r="X3" t="s">
        <v>53</v>
      </c>
      <c r="Y3" t="s">
        <v>69</v>
      </c>
      <c r="Z3">
        <v>5</v>
      </c>
      <c r="AA3" t="s">
        <v>55</v>
      </c>
      <c r="AB3" t="s">
        <v>70</v>
      </c>
      <c r="AC3" t="s">
        <v>57</v>
      </c>
      <c r="AD3" t="s">
        <v>58</v>
      </c>
      <c r="AE3">
        <v>1464000</v>
      </c>
      <c r="AF3">
        <v>29280</v>
      </c>
      <c r="AJ3" t="str">
        <f>_xlfn.XLOOKUP(Table9[[#This Row],[Engine No.]],'[1]Dubai Islamic Consumer'!$Q$3:$Q$1176,'[1]Dubai Islamic Consumer'!$B$3:$B$1176,,,)</f>
        <v>KHI/HO/D/MO/PC COMP/C/102086/3/11/2024</v>
      </c>
    </row>
    <row r="4" spans="1:37" hidden="1" x14ac:dyDescent="0.25">
      <c r="A4">
        <v>3</v>
      </c>
      <c r="B4" t="s">
        <v>35</v>
      </c>
      <c r="C4" t="s">
        <v>71</v>
      </c>
      <c r="D4" t="s">
        <v>37</v>
      </c>
      <c r="E4" t="s">
        <v>72</v>
      </c>
      <c r="F4" t="s">
        <v>73</v>
      </c>
      <c r="G4" t="s">
        <v>74</v>
      </c>
      <c r="H4" t="s">
        <v>75</v>
      </c>
      <c r="I4" t="s">
        <v>76</v>
      </c>
      <c r="J4" t="s">
        <v>77</v>
      </c>
      <c r="K4" t="s">
        <v>78</v>
      </c>
      <c r="L4">
        <v>2027250</v>
      </c>
      <c r="M4">
        <v>2703000</v>
      </c>
      <c r="N4" t="s">
        <v>79</v>
      </c>
      <c r="O4" s="1">
        <v>45597</v>
      </c>
      <c r="P4" t="s">
        <v>80</v>
      </c>
      <c r="Q4" t="s">
        <v>81</v>
      </c>
      <c r="R4" t="s">
        <v>47</v>
      </c>
      <c r="S4" t="s">
        <v>48</v>
      </c>
      <c r="T4" t="s">
        <v>82</v>
      </c>
      <c r="U4" t="s">
        <v>50</v>
      </c>
      <c r="V4" t="s">
        <v>83</v>
      </c>
      <c r="W4" t="s">
        <v>52</v>
      </c>
      <c r="X4" t="s">
        <v>53</v>
      </c>
      <c r="Y4" t="s">
        <v>84</v>
      </c>
      <c r="Z4">
        <v>5</v>
      </c>
      <c r="AA4" t="s">
        <v>55</v>
      </c>
      <c r="AB4" t="s">
        <v>85</v>
      </c>
      <c r="AC4" t="s">
        <v>57</v>
      </c>
      <c r="AD4" t="s">
        <v>86</v>
      </c>
      <c r="AE4">
        <v>2162400</v>
      </c>
      <c r="AF4">
        <v>37842</v>
      </c>
      <c r="AJ4" t="str">
        <f>_xlfn.XLOOKUP(Table9[[#This Row],[Engine No.]],'[1]Dubai Islamic Consumer'!$Q$3:$Q$1176,'[1]Dubai Islamic Consumer'!$B$3:$B$1176,,,)</f>
        <v>KHI/HO/D/MO/PC COMP/C/102086/5/11/2024</v>
      </c>
    </row>
    <row r="5" spans="1:37" hidden="1" x14ac:dyDescent="0.25">
      <c r="A5">
        <v>4</v>
      </c>
      <c r="B5" t="s">
        <v>35</v>
      </c>
      <c r="C5" t="s">
        <v>87</v>
      </c>
      <c r="D5" t="s">
        <v>37</v>
      </c>
      <c r="E5" t="s">
        <v>88</v>
      </c>
      <c r="F5" t="s">
        <v>89</v>
      </c>
      <c r="G5" t="s">
        <v>90</v>
      </c>
      <c r="H5" t="s">
        <v>91</v>
      </c>
      <c r="I5" t="s">
        <v>48</v>
      </c>
      <c r="J5" t="s">
        <v>92</v>
      </c>
      <c r="K5" t="s">
        <v>93</v>
      </c>
      <c r="L5">
        <v>2986125</v>
      </c>
      <c r="M5">
        <v>3981500</v>
      </c>
      <c r="N5" t="s">
        <v>94</v>
      </c>
      <c r="O5" s="1">
        <v>45597</v>
      </c>
      <c r="P5" t="s">
        <v>95</v>
      </c>
      <c r="Q5" t="s">
        <v>96</v>
      </c>
      <c r="R5" t="s">
        <v>47</v>
      </c>
      <c r="S5" t="s">
        <v>48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>
        <v>5</v>
      </c>
      <c r="AA5" t="s">
        <v>55</v>
      </c>
      <c r="AB5" t="s">
        <v>103</v>
      </c>
      <c r="AC5" t="s">
        <v>104</v>
      </c>
      <c r="AD5" t="s">
        <v>58</v>
      </c>
      <c r="AE5">
        <v>2986125</v>
      </c>
      <c r="AF5">
        <v>59723</v>
      </c>
      <c r="AJ5" t="str">
        <f>_xlfn.XLOOKUP(Table9[[#This Row],[Engine No.]],'[1]Dubai Islamic Consumer'!$Q$3:$Q$1176,'[1]Dubai Islamic Consumer'!$B$3:$B$1176,,,)</f>
        <v>KHI/HO/D/MO/PC COMP/C/102086/6/11/2024</v>
      </c>
    </row>
    <row r="6" spans="1:37" hidden="1" x14ac:dyDescent="0.25">
      <c r="A6">
        <v>5</v>
      </c>
      <c r="B6" t="s">
        <v>35</v>
      </c>
      <c r="C6" t="s">
        <v>105</v>
      </c>
      <c r="D6" t="s">
        <v>37</v>
      </c>
      <c r="E6" t="s">
        <v>106</v>
      </c>
      <c r="F6" t="s">
        <v>107</v>
      </c>
      <c r="G6" t="s">
        <v>108</v>
      </c>
      <c r="H6" t="s">
        <v>109</v>
      </c>
      <c r="I6" t="s">
        <v>109</v>
      </c>
      <c r="J6" t="s">
        <v>110</v>
      </c>
      <c r="K6" t="s">
        <v>111</v>
      </c>
      <c r="L6">
        <v>3952500</v>
      </c>
      <c r="M6">
        <v>5270000</v>
      </c>
      <c r="N6" t="s">
        <v>112</v>
      </c>
      <c r="O6" s="1">
        <v>45597</v>
      </c>
      <c r="P6" t="s">
        <v>113</v>
      </c>
      <c r="Q6" t="s">
        <v>114</v>
      </c>
      <c r="R6" t="s">
        <v>47</v>
      </c>
      <c r="S6" t="s">
        <v>48</v>
      </c>
      <c r="T6" t="s">
        <v>115</v>
      </c>
      <c r="U6" t="s">
        <v>50</v>
      </c>
      <c r="V6" t="s">
        <v>116</v>
      </c>
      <c r="W6" t="s">
        <v>52</v>
      </c>
      <c r="X6" t="s">
        <v>53</v>
      </c>
      <c r="Y6" t="s">
        <v>117</v>
      </c>
      <c r="Z6">
        <v>5</v>
      </c>
      <c r="AA6" t="s">
        <v>118</v>
      </c>
      <c r="AB6" t="s">
        <v>119</v>
      </c>
      <c r="AC6" t="s">
        <v>57</v>
      </c>
      <c r="AD6" t="s">
        <v>86</v>
      </c>
      <c r="AE6">
        <v>4216000</v>
      </c>
      <c r="AF6">
        <v>73780</v>
      </c>
      <c r="AJ6" t="str">
        <f>_xlfn.XLOOKUP(Table9[[#This Row],[Engine No.]],'[1]Dubai Islamic Consumer'!$Q$3:$Q$1176,'[1]Dubai Islamic Consumer'!$B$3:$B$1176,,,)</f>
        <v>KHI/HO/D/MO/PC COMP/C/102086/7/11/2024</v>
      </c>
    </row>
    <row r="7" spans="1:37" hidden="1" x14ac:dyDescent="0.25">
      <c r="A7">
        <v>6</v>
      </c>
      <c r="B7" t="s">
        <v>35</v>
      </c>
      <c r="C7" t="s">
        <v>120</v>
      </c>
      <c r="D7" t="s">
        <v>37</v>
      </c>
      <c r="E7" t="s">
        <v>121</v>
      </c>
      <c r="F7" t="s">
        <v>39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>
        <v>6516300</v>
      </c>
      <c r="M7">
        <v>9309000</v>
      </c>
      <c r="N7" t="s">
        <v>127</v>
      </c>
      <c r="O7" s="1">
        <v>45597</v>
      </c>
      <c r="P7" t="s">
        <v>128</v>
      </c>
      <c r="Q7" t="s">
        <v>129</v>
      </c>
      <c r="R7" t="s">
        <v>47</v>
      </c>
      <c r="S7" t="s">
        <v>48</v>
      </c>
      <c r="T7" t="s">
        <v>130</v>
      </c>
      <c r="U7" t="s">
        <v>50</v>
      </c>
      <c r="V7" t="s">
        <v>131</v>
      </c>
      <c r="W7" t="s">
        <v>132</v>
      </c>
      <c r="X7" t="s">
        <v>133</v>
      </c>
      <c r="Y7" t="s">
        <v>134</v>
      </c>
      <c r="Z7">
        <v>5</v>
      </c>
      <c r="AA7" t="s">
        <v>55</v>
      </c>
      <c r="AB7" t="s">
        <v>135</v>
      </c>
      <c r="AC7" t="s">
        <v>57</v>
      </c>
      <c r="AD7" t="s">
        <v>86</v>
      </c>
      <c r="AE7">
        <v>7447200</v>
      </c>
      <c r="AF7">
        <v>130326</v>
      </c>
      <c r="AJ7" t="str">
        <f>_xlfn.XLOOKUP(Table9[[#This Row],[Engine No.]],'[1]Dubai Islamic Consumer'!$Q$3:$Q$1176,'[1]Dubai Islamic Consumer'!$B$3:$B$1176,,,)</f>
        <v>KHI/HO/D/MO/PC COMP/C/102086/8/11/2024</v>
      </c>
    </row>
    <row r="8" spans="1:37" hidden="1" x14ac:dyDescent="0.25">
      <c r="A8">
        <v>7</v>
      </c>
      <c r="B8" t="s">
        <v>35</v>
      </c>
      <c r="C8" t="s">
        <v>136</v>
      </c>
      <c r="D8" t="s">
        <v>37</v>
      </c>
      <c r="E8" t="s">
        <v>137</v>
      </c>
      <c r="F8" t="s">
        <v>138</v>
      </c>
      <c r="G8" t="s">
        <v>139</v>
      </c>
      <c r="H8" t="s">
        <v>140</v>
      </c>
      <c r="I8" t="s">
        <v>140</v>
      </c>
      <c r="J8" t="s">
        <v>141</v>
      </c>
      <c r="K8" t="s">
        <v>142</v>
      </c>
      <c r="L8">
        <v>922500</v>
      </c>
      <c r="M8">
        <v>2050000</v>
      </c>
      <c r="N8" t="s">
        <v>143</v>
      </c>
      <c r="O8" s="1">
        <v>45597</v>
      </c>
      <c r="P8" t="s">
        <v>144</v>
      </c>
      <c r="Q8" t="s">
        <v>145</v>
      </c>
      <c r="R8" t="s">
        <v>146</v>
      </c>
      <c r="S8" t="s">
        <v>147</v>
      </c>
      <c r="T8" t="s">
        <v>49</v>
      </c>
      <c r="U8" t="s">
        <v>148</v>
      </c>
      <c r="V8" t="s">
        <v>149</v>
      </c>
      <c r="W8" t="s">
        <v>150</v>
      </c>
      <c r="X8" t="s">
        <v>101</v>
      </c>
      <c r="Y8" t="s">
        <v>151</v>
      </c>
      <c r="Z8">
        <v>3</v>
      </c>
      <c r="AA8" t="s">
        <v>152</v>
      </c>
      <c r="AB8" t="s">
        <v>153</v>
      </c>
      <c r="AC8" t="s">
        <v>154</v>
      </c>
      <c r="AD8" t="s">
        <v>86</v>
      </c>
      <c r="AE8">
        <v>1742500</v>
      </c>
      <c r="AF8">
        <v>30494</v>
      </c>
      <c r="AJ8" t="str">
        <f>_xlfn.XLOOKUP(Table9[[#This Row],[Engine No.]],'[1]Dubai Islamic Consumer'!$Q$3:$Q$1176,'[1]Dubai Islamic Consumer'!$B$3:$B$1176,,,)</f>
        <v>KHI/HO/D/MO/PC COMP/C/102086/10/11/2024</v>
      </c>
    </row>
    <row r="9" spans="1:37" hidden="1" x14ac:dyDescent="0.25">
      <c r="A9">
        <v>8</v>
      </c>
      <c r="B9" t="s">
        <v>35</v>
      </c>
      <c r="C9" t="s">
        <v>155</v>
      </c>
      <c r="D9" t="s">
        <v>37</v>
      </c>
      <c r="E9" t="s">
        <v>156</v>
      </c>
      <c r="F9" t="s">
        <v>157</v>
      </c>
      <c r="G9" t="s">
        <v>158</v>
      </c>
      <c r="H9" t="s">
        <v>159</v>
      </c>
      <c r="I9" t="s">
        <v>48</v>
      </c>
      <c r="J9" t="s">
        <v>160</v>
      </c>
      <c r="K9" t="s">
        <v>161</v>
      </c>
      <c r="L9">
        <v>1959750</v>
      </c>
      <c r="M9">
        <v>2613000</v>
      </c>
      <c r="N9" t="s">
        <v>162</v>
      </c>
      <c r="O9" s="1">
        <v>45597</v>
      </c>
      <c r="P9" t="s">
        <v>163</v>
      </c>
      <c r="Q9" t="s">
        <v>164</v>
      </c>
      <c r="R9" t="s">
        <v>47</v>
      </c>
      <c r="S9" t="s">
        <v>48</v>
      </c>
      <c r="T9" t="s">
        <v>165</v>
      </c>
      <c r="U9" t="s">
        <v>98</v>
      </c>
      <c r="V9" t="s">
        <v>166</v>
      </c>
      <c r="W9" t="s">
        <v>167</v>
      </c>
      <c r="X9" t="s">
        <v>168</v>
      </c>
      <c r="Y9" t="s">
        <v>169</v>
      </c>
      <c r="Z9">
        <v>7</v>
      </c>
      <c r="AA9" t="s">
        <v>55</v>
      </c>
      <c r="AB9" t="s">
        <v>170</v>
      </c>
      <c r="AC9" t="s">
        <v>104</v>
      </c>
      <c r="AD9" t="s">
        <v>171</v>
      </c>
      <c r="AE9">
        <v>1959750</v>
      </c>
      <c r="AF9">
        <v>48994</v>
      </c>
      <c r="AJ9" t="str">
        <f>_xlfn.XLOOKUP(Table9[[#This Row],[Engine No.]],'[1]Dubai Islamic Consumer'!$Q$3:$Q$1176,'[1]Dubai Islamic Consumer'!$B$3:$B$1176,,,)</f>
        <v>KHI/HO/D/MO/PC COMP/C/102086/11/11/2024</v>
      </c>
    </row>
    <row r="10" spans="1:37" hidden="1" x14ac:dyDescent="0.25">
      <c r="A10">
        <v>9</v>
      </c>
      <c r="B10" t="s">
        <v>35</v>
      </c>
      <c r="C10" t="s">
        <v>172</v>
      </c>
      <c r="D10" t="s">
        <v>37</v>
      </c>
      <c r="E10" t="s">
        <v>173</v>
      </c>
      <c r="F10" t="s">
        <v>89</v>
      </c>
      <c r="G10" t="s">
        <v>174</v>
      </c>
      <c r="H10" t="s">
        <v>175</v>
      </c>
      <c r="I10" t="s">
        <v>48</v>
      </c>
      <c r="J10" t="s">
        <v>176</v>
      </c>
      <c r="K10" t="s">
        <v>177</v>
      </c>
      <c r="L10">
        <v>744750</v>
      </c>
      <c r="M10">
        <v>1655000</v>
      </c>
      <c r="N10" t="s">
        <v>178</v>
      </c>
      <c r="O10" s="1">
        <v>45598</v>
      </c>
      <c r="P10" t="s">
        <v>179</v>
      </c>
      <c r="Q10" t="s">
        <v>180</v>
      </c>
      <c r="R10" t="s">
        <v>47</v>
      </c>
      <c r="S10" t="s">
        <v>48</v>
      </c>
      <c r="T10" t="s">
        <v>181</v>
      </c>
      <c r="U10" t="s">
        <v>50</v>
      </c>
      <c r="V10" t="s">
        <v>182</v>
      </c>
      <c r="W10" t="s">
        <v>52</v>
      </c>
      <c r="X10" t="s">
        <v>53</v>
      </c>
      <c r="Y10" t="s">
        <v>183</v>
      </c>
      <c r="Z10">
        <v>5</v>
      </c>
      <c r="AA10" t="s">
        <v>55</v>
      </c>
      <c r="AB10" t="s">
        <v>184</v>
      </c>
      <c r="AC10" t="s">
        <v>185</v>
      </c>
      <c r="AD10" t="s">
        <v>58</v>
      </c>
      <c r="AE10">
        <v>1324000</v>
      </c>
      <c r="AF10">
        <v>26480</v>
      </c>
      <c r="AJ10" t="str">
        <f>_xlfn.XLOOKUP(Table9[[#This Row],[Engine No.]],'[1]Dubai Islamic Consumer'!$Q$3:$Q$1176,'[1]Dubai Islamic Consumer'!$B$3:$B$1176,,,)</f>
        <v>KHI/HO/D/MO/PC COMP/C/102086/12/11/2024</v>
      </c>
    </row>
    <row r="11" spans="1:37" hidden="1" x14ac:dyDescent="0.25">
      <c r="A11">
        <v>10</v>
      </c>
      <c r="B11" t="s">
        <v>35</v>
      </c>
      <c r="C11" t="s">
        <v>186</v>
      </c>
      <c r="D11" t="s">
        <v>37</v>
      </c>
      <c r="E11" t="s">
        <v>187</v>
      </c>
      <c r="F11" t="s">
        <v>107</v>
      </c>
      <c r="G11" t="s">
        <v>188</v>
      </c>
      <c r="H11" t="s">
        <v>189</v>
      </c>
      <c r="I11" t="s">
        <v>189</v>
      </c>
      <c r="J11" t="s">
        <v>189</v>
      </c>
      <c r="K11" t="s">
        <v>190</v>
      </c>
      <c r="L11">
        <v>1001250</v>
      </c>
      <c r="M11">
        <v>1335000</v>
      </c>
      <c r="N11" t="s">
        <v>191</v>
      </c>
      <c r="O11" s="1">
        <v>45598</v>
      </c>
      <c r="P11" t="s">
        <v>192</v>
      </c>
      <c r="Q11" t="s">
        <v>193</v>
      </c>
      <c r="R11" t="s">
        <v>47</v>
      </c>
      <c r="S11" t="s">
        <v>48</v>
      </c>
      <c r="T11" t="s">
        <v>194</v>
      </c>
      <c r="U11" t="s">
        <v>50</v>
      </c>
      <c r="V11" t="s">
        <v>195</v>
      </c>
      <c r="W11" t="s">
        <v>196</v>
      </c>
      <c r="X11" t="s">
        <v>197</v>
      </c>
      <c r="Y11" t="s">
        <v>198</v>
      </c>
      <c r="Z11">
        <v>4</v>
      </c>
      <c r="AA11" t="s">
        <v>55</v>
      </c>
      <c r="AB11" t="s">
        <v>199</v>
      </c>
      <c r="AC11" t="s">
        <v>200</v>
      </c>
      <c r="AD11" t="s">
        <v>58</v>
      </c>
      <c r="AE11">
        <v>1068000</v>
      </c>
      <c r="AF11">
        <v>21360</v>
      </c>
      <c r="AJ11" t="str">
        <f>_xlfn.XLOOKUP(Table9[[#This Row],[Engine No.]],'[1]Dubai Islamic Consumer'!$Q$3:$Q$1176,'[1]Dubai Islamic Consumer'!$B$3:$B$1176,,,)</f>
        <v>KHI/HO/D/MO/PC COMP/C/102086/13/11/2024</v>
      </c>
    </row>
    <row r="12" spans="1:37" hidden="1" x14ac:dyDescent="0.25">
      <c r="A12">
        <v>11</v>
      </c>
      <c r="B12" t="s">
        <v>35</v>
      </c>
      <c r="C12" t="s">
        <v>201</v>
      </c>
      <c r="D12" t="s">
        <v>37</v>
      </c>
      <c r="E12" t="s">
        <v>202</v>
      </c>
      <c r="F12" t="s">
        <v>203</v>
      </c>
      <c r="G12" t="s">
        <v>204</v>
      </c>
      <c r="H12" t="s">
        <v>48</v>
      </c>
      <c r="I12" t="s">
        <v>205</v>
      </c>
      <c r="J12" t="s">
        <v>48</v>
      </c>
      <c r="K12" t="s">
        <v>206</v>
      </c>
      <c r="L12">
        <v>999750</v>
      </c>
      <c r="M12">
        <v>1333000</v>
      </c>
      <c r="N12" t="s">
        <v>207</v>
      </c>
      <c r="O12" s="1">
        <v>45598</v>
      </c>
      <c r="P12" t="s">
        <v>208</v>
      </c>
      <c r="Q12" t="s">
        <v>209</v>
      </c>
      <c r="R12" t="s">
        <v>47</v>
      </c>
      <c r="S12" t="s">
        <v>48</v>
      </c>
      <c r="T12" t="s">
        <v>210</v>
      </c>
      <c r="U12" t="s">
        <v>50</v>
      </c>
      <c r="V12" t="s">
        <v>211</v>
      </c>
      <c r="W12" t="s">
        <v>52</v>
      </c>
      <c r="X12" t="s">
        <v>53</v>
      </c>
      <c r="Y12" t="s">
        <v>212</v>
      </c>
      <c r="Z12">
        <v>5</v>
      </c>
      <c r="AA12" t="s">
        <v>55</v>
      </c>
      <c r="AB12" t="s">
        <v>213</v>
      </c>
      <c r="AC12" t="s">
        <v>214</v>
      </c>
      <c r="AD12" t="s">
        <v>58</v>
      </c>
      <c r="AE12">
        <v>1066400</v>
      </c>
      <c r="AF12">
        <v>21328</v>
      </c>
      <c r="AJ12" t="str">
        <f>_xlfn.XLOOKUP(Table9[[#This Row],[Engine No.]],'[1]Dubai Islamic Consumer'!$Q$3:$Q$1176,'[1]Dubai Islamic Consumer'!$B$3:$B$1176,,,)</f>
        <v>KHI/HO/D/MO/PC COMP/C/102086/14/11/2024</v>
      </c>
    </row>
    <row r="13" spans="1:37" hidden="1" x14ac:dyDescent="0.25">
      <c r="A13">
        <v>12</v>
      </c>
      <c r="B13" t="s">
        <v>35</v>
      </c>
      <c r="C13" t="s">
        <v>215</v>
      </c>
      <c r="D13" t="s">
        <v>37</v>
      </c>
      <c r="E13" t="s">
        <v>216</v>
      </c>
      <c r="F13" t="s">
        <v>107</v>
      </c>
      <c r="G13" t="s">
        <v>217</v>
      </c>
      <c r="H13" t="s">
        <v>218</v>
      </c>
      <c r="I13" t="s">
        <v>218</v>
      </c>
      <c r="J13" t="s">
        <v>219</v>
      </c>
      <c r="K13" t="s">
        <v>220</v>
      </c>
      <c r="L13">
        <v>1211000</v>
      </c>
      <c r="M13">
        <v>1730000</v>
      </c>
      <c r="N13" t="s">
        <v>221</v>
      </c>
      <c r="O13" s="1">
        <v>45598</v>
      </c>
      <c r="P13" t="s">
        <v>222</v>
      </c>
      <c r="Q13" t="s">
        <v>223</v>
      </c>
      <c r="R13" t="s">
        <v>47</v>
      </c>
      <c r="S13" t="s">
        <v>48</v>
      </c>
      <c r="T13" t="s">
        <v>224</v>
      </c>
      <c r="U13" t="s">
        <v>98</v>
      </c>
      <c r="V13" t="s">
        <v>225</v>
      </c>
      <c r="W13" t="s">
        <v>100</v>
      </c>
      <c r="X13" t="s">
        <v>53</v>
      </c>
      <c r="Y13" t="s">
        <v>226</v>
      </c>
      <c r="Z13">
        <v>6</v>
      </c>
      <c r="AA13" t="s">
        <v>227</v>
      </c>
      <c r="AB13" t="s">
        <v>228</v>
      </c>
      <c r="AC13" t="s">
        <v>229</v>
      </c>
      <c r="AD13" t="s">
        <v>58</v>
      </c>
      <c r="AE13">
        <v>1297500</v>
      </c>
      <c r="AF13">
        <v>25950</v>
      </c>
      <c r="AJ13" t="str">
        <f>_xlfn.XLOOKUP(Table9[[#This Row],[Engine No.]],'[1]Dubai Islamic Consumer'!$Q$3:$Q$1176,'[1]Dubai Islamic Consumer'!$B$3:$B$1176,,,)</f>
        <v>KHI/HO/D/MO/PC COMP/C/102086/15/11/2024</v>
      </c>
    </row>
    <row r="14" spans="1:37" hidden="1" x14ac:dyDescent="0.25">
      <c r="A14">
        <v>13</v>
      </c>
      <c r="B14" t="s">
        <v>35</v>
      </c>
      <c r="C14" t="s">
        <v>230</v>
      </c>
      <c r="D14" t="s">
        <v>37</v>
      </c>
      <c r="E14" t="s">
        <v>231</v>
      </c>
      <c r="F14" t="s">
        <v>232</v>
      </c>
      <c r="G14" t="s">
        <v>233</v>
      </c>
      <c r="H14" t="s">
        <v>234</v>
      </c>
      <c r="I14" t="s">
        <v>234</v>
      </c>
      <c r="J14" t="s">
        <v>234</v>
      </c>
      <c r="K14" t="s">
        <v>235</v>
      </c>
      <c r="L14">
        <v>1066000</v>
      </c>
      <c r="M14">
        <v>1640000</v>
      </c>
      <c r="N14" t="s">
        <v>236</v>
      </c>
      <c r="O14" s="1">
        <v>45598</v>
      </c>
      <c r="P14" t="s">
        <v>237</v>
      </c>
      <c r="Q14" t="s">
        <v>238</v>
      </c>
      <c r="R14" t="s">
        <v>47</v>
      </c>
      <c r="S14" t="s">
        <v>48</v>
      </c>
      <c r="T14" t="s">
        <v>239</v>
      </c>
      <c r="U14" t="s">
        <v>50</v>
      </c>
      <c r="V14" t="s">
        <v>240</v>
      </c>
      <c r="W14" t="s">
        <v>132</v>
      </c>
      <c r="X14" t="s">
        <v>133</v>
      </c>
      <c r="Y14" t="s">
        <v>241</v>
      </c>
      <c r="Z14">
        <v>5</v>
      </c>
      <c r="AA14" t="s">
        <v>55</v>
      </c>
      <c r="AB14" t="s">
        <v>242</v>
      </c>
      <c r="AC14" t="s">
        <v>200</v>
      </c>
      <c r="AD14" t="s">
        <v>58</v>
      </c>
      <c r="AE14">
        <v>1312000</v>
      </c>
      <c r="AF14">
        <v>26240</v>
      </c>
      <c r="AJ14" t="str">
        <f>_xlfn.XLOOKUP(Table9[[#This Row],[Engine No.]],'[1]Dubai Islamic Consumer'!$Q$3:$Q$1176,'[1]Dubai Islamic Consumer'!$B$3:$B$1176,,,)</f>
        <v>KHI/HO/D/MO/PC COMP/C/102086/16/11/2024</v>
      </c>
    </row>
    <row r="15" spans="1:37" hidden="1" x14ac:dyDescent="0.25">
      <c r="A15">
        <v>14</v>
      </c>
      <c r="B15" t="s">
        <v>35</v>
      </c>
      <c r="C15" t="s">
        <v>243</v>
      </c>
      <c r="D15" t="s">
        <v>37</v>
      </c>
      <c r="E15" t="s">
        <v>244</v>
      </c>
      <c r="F15" t="s">
        <v>245</v>
      </c>
      <c r="G15" t="s">
        <v>246</v>
      </c>
      <c r="H15" t="s">
        <v>247</v>
      </c>
      <c r="I15" t="s">
        <v>48</v>
      </c>
      <c r="J15" t="s">
        <v>248</v>
      </c>
      <c r="K15" t="s">
        <v>249</v>
      </c>
      <c r="L15">
        <v>1232500</v>
      </c>
      <c r="M15">
        <v>2465000</v>
      </c>
      <c r="N15" t="s">
        <v>250</v>
      </c>
      <c r="O15" s="1">
        <v>45598</v>
      </c>
      <c r="P15" t="s">
        <v>251</v>
      </c>
      <c r="Q15" t="s">
        <v>252</v>
      </c>
      <c r="R15" t="s">
        <v>47</v>
      </c>
      <c r="S15" t="s">
        <v>48</v>
      </c>
      <c r="T15" t="s">
        <v>253</v>
      </c>
      <c r="U15" t="s">
        <v>98</v>
      </c>
      <c r="V15" t="s">
        <v>254</v>
      </c>
      <c r="W15" t="s">
        <v>100</v>
      </c>
      <c r="X15" t="s">
        <v>255</v>
      </c>
      <c r="Y15" t="s">
        <v>256</v>
      </c>
      <c r="Z15">
        <v>7</v>
      </c>
      <c r="AA15" t="s">
        <v>257</v>
      </c>
      <c r="AB15" t="s">
        <v>258</v>
      </c>
      <c r="AC15" t="s">
        <v>259</v>
      </c>
      <c r="AD15" t="s">
        <v>58</v>
      </c>
      <c r="AE15">
        <v>1848750</v>
      </c>
      <c r="AF15">
        <v>36975</v>
      </c>
      <c r="AJ15" t="str">
        <f>_xlfn.XLOOKUP(Table9[[#This Row],[Engine No.]],'[1]Dubai Islamic Consumer'!$Q$3:$Q$1176,'[1]Dubai Islamic Consumer'!$B$3:$B$1176,,,)</f>
        <v>KHI/HO/D/MO/PC COMP/C/102086/17/11/2024</v>
      </c>
    </row>
    <row r="16" spans="1:37" hidden="1" x14ac:dyDescent="0.25">
      <c r="A16">
        <v>15</v>
      </c>
      <c r="B16" t="s">
        <v>35</v>
      </c>
      <c r="C16" t="s">
        <v>260</v>
      </c>
      <c r="D16" t="s">
        <v>37</v>
      </c>
      <c r="E16" t="s">
        <v>261</v>
      </c>
      <c r="F16" t="s">
        <v>39</v>
      </c>
      <c r="G16" t="s">
        <v>262</v>
      </c>
      <c r="H16" t="s">
        <v>263</v>
      </c>
      <c r="I16" t="s">
        <v>264</v>
      </c>
      <c r="J16" t="s">
        <v>265</v>
      </c>
      <c r="K16" t="s">
        <v>266</v>
      </c>
      <c r="L16">
        <v>2787050</v>
      </c>
      <c r="M16">
        <v>3981500</v>
      </c>
      <c r="N16" t="s">
        <v>267</v>
      </c>
      <c r="O16" s="1">
        <v>45598</v>
      </c>
      <c r="P16" t="s">
        <v>268</v>
      </c>
      <c r="Q16" t="s">
        <v>269</v>
      </c>
      <c r="R16" t="s">
        <v>47</v>
      </c>
      <c r="S16" t="s">
        <v>48</v>
      </c>
      <c r="T16" t="s">
        <v>97</v>
      </c>
      <c r="U16" t="s">
        <v>98</v>
      </c>
      <c r="V16" t="s">
        <v>270</v>
      </c>
      <c r="W16" t="s">
        <v>100</v>
      </c>
      <c r="X16" t="s">
        <v>101</v>
      </c>
      <c r="Y16" t="s">
        <v>271</v>
      </c>
      <c r="Z16">
        <v>5</v>
      </c>
      <c r="AA16" t="s">
        <v>227</v>
      </c>
      <c r="AB16" t="s">
        <v>272</v>
      </c>
      <c r="AC16" t="s">
        <v>229</v>
      </c>
      <c r="AD16" t="s">
        <v>58</v>
      </c>
      <c r="AE16">
        <v>2986125</v>
      </c>
      <c r="AF16">
        <v>59723</v>
      </c>
      <c r="AJ16" t="str">
        <f>_xlfn.XLOOKUP(Table9[[#This Row],[Engine No.]],'[1]Dubai Islamic Consumer'!$Q$3:$Q$1176,'[1]Dubai Islamic Consumer'!$B$3:$B$1176,,,)</f>
        <v>KHI/HO/D/MO/PC COMP/C/102086/20/11/2024</v>
      </c>
    </row>
    <row r="17" spans="1:36" hidden="1" x14ac:dyDescent="0.25">
      <c r="A17">
        <v>16</v>
      </c>
      <c r="B17" t="s">
        <v>35</v>
      </c>
      <c r="C17" t="s">
        <v>273</v>
      </c>
      <c r="D17" t="s">
        <v>37</v>
      </c>
      <c r="E17" t="s">
        <v>274</v>
      </c>
      <c r="F17" t="s">
        <v>39</v>
      </c>
      <c r="G17" t="s">
        <v>275</v>
      </c>
      <c r="H17" t="s">
        <v>276</v>
      </c>
      <c r="I17" t="s">
        <v>277</v>
      </c>
      <c r="J17" t="s">
        <v>278</v>
      </c>
      <c r="K17" t="s">
        <v>279</v>
      </c>
      <c r="L17">
        <v>2549200</v>
      </c>
      <c r="M17">
        <v>3186500</v>
      </c>
      <c r="N17" t="s">
        <v>280</v>
      </c>
      <c r="O17" s="1">
        <v>45598</v>
      </c>
      <c r="P17" t="s">
        <v>281</v>
      </c>
      <c r="Q17" t="s">
        <v>282</v>
      </c>
      <c r="R17" t="s">
        <v>47</v>
      </c>
      <c r="S17" t="s">
        <v>48</v>
      </c>
      <c r="T17" t="s">
        <v>283</v>
      </c>
      <c r="U17" t="s">
        <v>50</v>
      </c>
      <c r="V17" t="s">
        <v>284</v>
      </c>
      <c r="W17" t="s">
        <v>52</v>
      </c>
      <c r="X17" t="s">
        <v>53</v>
      </c>
      <c r="Y17" t="s">
        <v>285</v>
      </c>
      <c r="Z17">
        <v>5</v>
      </c>
      <c r="AA17" t="s">
        <v>55</v>
      </c>
      <c r="AB17" t="s">
        <v>286</v>
      </c>
      <c r="AC17" t="s">
        <v>287</v>
      </c>
      <c r="AD17" t="s">
        <v>58</v>
      </c>
      <c r="AE17">
        <v>2549200</v>
      </c>
      <c r="AF17">
        <v>50984</v>
      </c>
      <c r="AJ17" t="str">
        <f>_xlfn.XLOOKUP(Table9[[#This Row],[Engine No.]],'[1]Dubai Islamic Consumer'!$Q$3:$Q$1176,'[1]Dubai Islamic Consumer'!$B$3:$B$1176,,,)</f>
        <v>KHI/HO/D/MO/PC COMP/C/102086/21/11/2024</v>
      </c>
    </row>
    <row r="18" spans="1:36" hidden="1" x14ac:dyDescent="0.25">
      <c r="A18">
        <v>17</v>
      </c>
      <c r="B18" t="s">
        <v>35</v>
      </c>
      <c r="C18" t="s">
        <v>288</v>
      </c>
      <c r="D18" t="s">
        <v>37</v>
      </c>
      <c r="E18" t="s">
        <v>289</v>
      </c>
      <c r="F18" t="s">
        <v>290</v>
      </c>
      <c r="G18" t="s">
        <v>291</v>
      </c>
      <c r="H18" t="s">
        <v>292</v>
      </c>
      <c r="I18" t="s">
        <v>292</v>
      </c>
      <c r="J18" t="s">
        <v>292</v>
      </c>
      <c r="K18" t="s">
        <v>293</v>
      </c>
      <c r="L18">
        <v>3239400</v>
      </c>
      <c r="M18">
        <v>5399000</v>
      </c>
      <c r="N18" t="s">
        <v>294</v>
      </c>
      <c r="O18" s="1">
        <v>45598</v>
      </c>
      <c r="P18" t="s">
        <v>295</v>
      </c>
      <c r="Q18" t="s">
        <v>296</v>
      </c>
      <c r="R18" t="s">
        <v>47</v>
      </c>
      <c r="S18" t="s">
        <v>48</v>
      </c>
      <c r="T18" t="s">
        <v>115</v>
      </c>
      <c r="U18" t="s">
        <v>98</v>
      </c>
      <c r="V18" t="s">
        <v>297</v>
      </c>
      <c r="W18" t="s">
        <v>100</v>
      </c>
      <c r="X18" t="s">
        <v>101</v>
      </c>
      <c r="Y18" t="s">
        <v>298</v>
      </c>
      <c r="Z18">
        <v>5</v>
      </c>
      <c r="AA18" t="s">
        <v>48</v>
      </c>
      <c r="AB18" t="s">
        <v>48</v>
      </c>
      <c r="AC18" t="s">
        <v>48</v>
      </c>
      <c r="AD18" t="s">
        <v>299</v>
      </c>
      <c r="AE18">
        <v>4049250</v>
      </c>
      <c r="AF18">
        <v>60739</v>
      </c>
      <c r="AJ18" t="str">
        <f>_xlfn.XLOOKUP(Table9[[#This Row],[Engine No.]],'[1]Dubai Islamic Consumer'!$Q$3:$Q$1176,'[1]Dubai Islamic Consumer'!$B$3:$B$1176,,,)</f>
        <v>KHI/HO/D/MO/PC COMP/C/102086/22/11/2024</v>
      </c>
    </row>
    <row r="19" spans="1:36" hidden="1" x14ac:dyDescent="0.25">
      <c r="A19">
        <v>18</v>
      </c>
      <c r="B19" t="s">
        <v>35</v>
      </c>
      <c r="C19" t="s">
        <v>300</v>
      </c>
      <c r="D19" t="s">
        <v>37</v>
      </c>
      <c r="E19" t="s">
        <v>301</v>
      </c>
      <c r="F19" t="s">
        <v>107</v>
      </c>
      <c r="G19" t="s">
        <v>302</v>
      </c>
      <c r="H19" t="s">
        <v>303</v>
      </c>
      <c r="I19" t="s">
        <v>303</v>
      </c>
      <c r="J19" t="s">
        <v>304</v>
      </c>
      <c r="K19" t="s">
        <v>305</v>
      </c>
      <c r="L19">
        <v>3798900</v>
      </c>
      <c r="M19">
        <v>5427000</v>
      </c>
      <c r="N19" t="s">
        <v>306</v>
      </c>
      <c r="O19" s="1">
        <v>45598</v>
      </c>
      <c r="P19" t="s">
        <v>307</v>
      </c>
      <c r="Q19" t="s">
        <v>308</v>
      </c>
      <c r="R19" t="s">
        <v>47</v>
      </c>
      <c r="S19" t="s">
        <v>48</v>
      </c>
      <c r="T19" t="s">
        <v>309</v>
      </c>
      <c r="U19" t="s">
        <v>98</v>
      </c>
      <c r="V19" t="s">
        <v>310</v>
      </c>
      <c r="W19" t="s">
        <v>100</v>
      </c>
      <c r="X19" t="s">
        <v>101</v>
      </c>
      <c r="Y19" t="s">
        <v>311</v>
      </c>
      <c r="Z19">
        <v>5</v>
      </c>
      <c r="AA19" t="s">
        <v>48</v>
      </c>
      <c r="AB19" t="s">
        <v>48</v>
      </c>
      <c r="AC19" t="s">
        <v>48</v>
      </c>
      <c r="AD19" t="s">
        <v>299</v>
      </c>
      <c r="AE19">
        <v>4070250</v>
      </c>
      <c r="AF19">
        <v>61054</v>
      </c>
      <c r="AJ19" t="str">
        <f>_xlfn.XLOOKUP(Table9[[#This Row],[Engine No.]],'[1]Dubai Islamic Consumer'!$Q$3:$Q$1176,'[1]Dubai Islamic Consumer'!$B$3:$B$1176,,,)</f>
        <v>KHI/HO/D/MO/PC COMP/C/102086/23/11/2024</v>
      </c>
    </row>
    <row r="20" spans="1:36" hidden="1" x14ac:dyDescent="0.25">
      <c r="A20">
        <v>19</v>
      </c>
      <c r="B20" t="s">
        <v>35</v>
      </c>
      <c r="C20" t="s">
        <v>312</v>
      </c>
      <c r="D20" t="s">
        <v>37</v>
      </c>
      <c r="E20" t="s">
        <v>313</v>
      </c>
      <c r="F20" t="s">
        <v>245</v>
      </c>
      <c r="G20" t="s">
        <v>314</v>
      </c>
      <c r="H20" t="s">
        <v>315</v>
      </c>
      <c r="I20" t="s">
        <v>48</v>
      </c>
      <c r="J20" t="s">
        <v>316</v>
      </c>
      <c r="K20" t="s">
        <v>317</v>
      </c>
      <c r="L20">
        <v>1794800</v>
      </c>
      <c r="M20">
        <v>2564000</v>
      </c>
      <c r="N20" t="s">
        <v>318</v>
      </c>
      <c r="O20" s="1">
        <v>45598</v>
      </c>
      <c r="P20" t="s">
        <v>319</v>
      </c>
      <c r="Q20" t="s">
        <v>320</v>
      </c>
      <c r="R20" t="s">
        <v>47</v>
      </c>
      <c r="S20" t="s">
        <v>48</v>
      </c>
      <c r="T20" t="s">
        <v>321</v>
      </c>
      <c r="U20" t="s">
        <v>148</v>
      </c>
      <c r="V20" t="s">
        <v>149</v>
      </c>
      <c r="W20" t="s">
        <v>150</v>
      </c>
      <c r="X20" t="s">
        <v>255</v>
      </c>
      <c r="Y20" t="s">
        <v>322</v>
      </c>
      <c r="Z20">
        <v>5</v>
      </c>
      <c r="AA20" t="s">
        <v>323</v>
      </c>
      <c r="AB20" t="s">
        <v>324</v>
      </c>
      <c r="AC20" t="s">
        <v>325</v>
      </c>
      <c r="AD20" t="s">
        <v>86</v>
      </c>
      <c r="AE20">
        <v>2179400</v>
      </c>
      <c r="AF20">
        <v>38140</v>
      </c>
      <c r="AJ20" t="str">
        <f>_xlfn.XLOOKUP(Table9[[#This Row],[Engine No.]],'[1]Dubai Islamic Consumer'!$Q$3:$Q$1176,'[1]Dubai Islamic Consumer'!$B$3:$B$1176,,,)</f>
        <v>KHI/HO/D/MO/PC COMP/C/102086/24/11/2024</v>
      </c>
    </row>
    <row r="21" spans="1:36" hidden="1" x14ac:dyDescent="0.25">
      <c r="A21">
        <v>20</v>
      </c>
      <c r="B21" t="s">
        <v>35</v>
      </c>
      <c r="C21" t="s">
        <v>326</v>
      </c>
      <c r="D21" t="s">
        <v>37</v>
      </c>
      <c r="E21" t="s">
        <v>327</v>
      </c>
      <c r="F21" t="s">
        <v>138</v>
      </c>
      <c r="G21" t="s">
        <v>328</v>
      </c>
      <c r="H21" t="s">
        <v>329</v>
      </c>
      <c r="I21" t="s">
        <v>329</v>
      </c>
      <c r="J21" t="s">
        <v>141</v>
      </c>
      <c r="K21" t="s">
        <v>330</v>
      </c>
      <c r="L21">
        <v>1330000</v>
      </c>
      <c r="M21">
        <v>1900000</v>
      </c>
      <c r="N21" t="s">
        <v>331</v>
      </c>
      <c r="O21" s="1">
        <v>45598</v>
      </c>
      <c r="P21" t="s">
        <v>332</v>
      </c>
      <c r="Q21" t="s">
        <v>333</v>
      </c>
      <c r="R21" t="s">
        <v>146</v>
      </c>
      <c r="S21" t="s">
        <v>334</v>
      </c>
      <c r="T21" t="s">
        <v>321</v>
      </c>
      <c r="U21" t="s">
        <v>335</v>
      </c>
      <c r="V21" t="s">
        <v>336</v>
      </c>
      <c r="W21" t="s">
        <v>150</v>
      </c>
      <c r="X21" t="s">
        <v>53</v>
      </c>
      <c r="Y21" t="s">
        <v>337</v>
      </c>
      <c r="Z21">
        <v>4</v>
      </c>
      <c r="AA21" t="s">
        <v>152</v>
      </c>
      <c r="AB21" t="s">
        <v>338</v>
      </c>
      <c r="AC21" t="s">
        <v>339</v>
      </c>
      <c r="AD21" t="s">
        <v>86</v>
      </c>
      <c r="AE21">
        <v>1615000</v>
      </c>
      <c r="AF21">
        <v>28263</v>
      </c>
      <c r="AJ21" t="str">
        <f>_xlfn.XLOOKUP(Table9[[#This Row],[Engine No.]],'[1]Dubai Islamic Consumer'!$Q$3:$Q$1176,'[1]Dubai Islamic Consumer'!$B$3:$B$1176,,,)</f>
        <v>KHI/HO/D/MO/PC COMP/C/102086/26/11/2024</v>
      </c>
    </row>
    <row r="22" spans="1:36" hidden="1" x14ac:dyDescent="0.25">
      <c r="A22">
        <v>21</v>
      </c>
      <c r="B22" t="s">
        <v>35</v>
      </c>
      <c r="C22" t="s">
        <v>340</v>
      </c>
      <c r="D22" t="s">
        <v>37</v>
      </c>
      <c r="E22" t="s">
        <v>341</v>
      </c>
      <c r="F22" t="s">
        <v>107</v>
      </c>
      <c r="G22" t="s">
        <v>342</v>
      </c>
      <c r="H22" t="s">
        <v>343</v>
      </c>
      <c r="I22" t="s">
        <v>343</v>
      </c>
      <c r="J22" t="s">
        <v>343</v>
      </c>
      <c r="K22" t="s">
        <v>344</v>
      </c>
      <c r="L22">
        <v>2733500</v>
      </c>
      <c r="M22">
        <v>3905000</v>
      </c>
      <c r="N22" t="s">
        <v>345</v>
      </c>
      <c r="O22" s="1">
        <v>45598</v>
      </c>
      <c r="P22" t="s">
        <v>346</v>
      </c>
      <c r="Q22" t="s">
        <v>347</v>
      </c>
      <c r="R22" t="s">
        <v>47</v>
      </c>
      <c r="S22" t="s">
        <v>48</v>
      </c>
      <c r="T22" t="s">
        <v>348</v>
      </c>
      <c r="U22" t="s">
        <v>148</v>
      </c>
      <c r="V22" t="s">
        <v>349</v>
      </c>
      <c r="W22" t="s">
        <v>150</v>
      </c>
      <c r="X22" t="s">
        <v>101</v>
      </c>
      <c r="Y22" t="s">
        <v>350</v>
      </c>
      <c r="Z22">
        <v>3</v>
      </c>
      <c r="AA22" t="s">
        <v>152</v>
      </c>
      <c r="AB22" t="s">
        <v>351</v>
      </c>
      <c r="AC22" t="s">
        <v>325</v>
      </c>
      <c r="AD22" t="s">
        <v>58</v>
      </c>
      <c r="AE22">
        <v>3319250</v>
      </c>
      <c r="AF22">
        <v>66385</v>
      </c>
      <c r="AJ22" t="str">
        <f>_xlfn.XLOOKUP(Table9[[#This Row],[Engine No.]],'[1]Dubai Islamic Consumer'!$Q$3:$Q$1176,'[1]Dubai Islamic Consumer'!$B$3:$B$1176,,,)</f>
        <v>KHI/HO/D/MO/PC COMP/C/102086/28/11/2024</v>
      </c>
    </row>
    <row r="23" spans="1:36" hidden="1" x14ac:dyDescent="0.25">
      <c r="A23">
        <v>22</v>
      </c>
      <c r="B23" t="s">
        <v>35</v>
      </c>
      <c r="C23" t="s">
        <v>352</v>
      </c>
      <c r="D23" t="s">
        <v>37</v>
      </c>
      <c r="E23" t="s">
        <v>353</v>
      </c>
      <c r="F23" t="s">
        <v>73</v>
      </c>
      <c r="G23" t="s">
        <v>354</v>
      </c>
      <c r="H23" t="s">
        <v>355</v>
      </c>
      <c r="I23" t="s">
        <v>355</v>
      </c>
      <c r="J23" t="s">
        <v>355</v>
      </c>
      <c r="K23" t="s">
        <v>356</v>
      </c>
      <c r="L23">
        <v>1524600</v>
      </c>
      <c r="M23">
        <v>2178000</v>
      </c>
      <c r="N23" t="s">
        <v>357</v>
      </c>
      <c r="O23" s="1">
        <v>45598</v>
      </c>
      <c r="P23" t="s">
        <v>358</v>
      </c>
      <c r="Q23" t="s">
        <v>359</v>
      </c>
      <c r="R23" t="s">
        <v>47</v>
      </c>
      <c r="S23" t="s">
        <v>48</v>
      </c>
      <c r="T23" t="s">
        <v>360</v>
      </c>
      <c r="U23" t="s">
        <v>148</v>
      </c>
      <c r="V23" t="s">
        <v>361</v>
      </c>
      <c r="W23" t="s">
        <v>150</v>
      </c>
      <c r="X23" t="s">
        <v>101</v>
      </c>
      <c r="Y23" t="s">
        <v>362</v>
      </c>
      <c r="Z23">
        <v>3</v>
      </c>
      <c r="AA23" t="s">
        <v>118</v>
      </c>
      <c r="AB23" t="s">
        <v>363</v>
      </c>
      <c r="AC23" t="s">
        <v>364</v>
      </c>
      <c r="AD23" t="s">
        <v>58</v>
      </c>
      <c r="AE23">
        <v>1851300</v>
      </c>
      <c r="AF23">
        <v>37026</v>
      </c>
      <c r="AJ23" t="str">
        <f>_xlfn.XLOOKUP(Table9[[#This Row],[Engine No.]],'[1]Dubai Islamic Consumer'!$Q$3:$Q$1176,'[1]Dubai Islamic Consumer'!$B$3:$B$1176,,,)</f>
        <v>KHI/HO/D/MO/PC COMP/C/102086/31/11/2024</v>
      </c>
    </row>
    <row r="24" spans="1:36" hidden="1" x14ac:dyDescent="0.25">
      <c r="A24">
        <v>23</v>
      </c>
      <c r="B24" t="s">
        <v>35</v>
      </c>
      <c r="C24" t="s">
        <v>365</v>
      </c>
      <c r="D24" t="s">
        <v>37</v>
      </c>
      <c r="E24" t="s">
        <v>366</v>
      </c>
      <c r="F24" t="s">
        <v>138</v>
      </c>
      <c r="G24" t="s">
        <v>367</v>
      </c>
      <c r="H24" t="s">
        <v>368</v>
      </c>
      <c r="I24" t="s">
        <v>368</v>
      </c>
      <c r="J24" t="s">
        <v>368</v>
      </c>
      <c r="K24" t="s">
        <v>369</v>
      </c>
      <c r="L24">
        <v>1267500</v>
      </c>
      <c r="M24">
        <v>1950000</v>
      </c>
      <c r="N24" t="s">
        <v>370</v>
      </c>
      <c r="O24" s="1">
        <v>45598</v>
      </c>
      <c r="P24" t="s">
        <v>371</v>
      </c>
      <c r="Q24" t="s">
        <v>372</v>
      </c>
      <c r="R24" t="s">
        <v>146</v>
      </c>
      <c r="S24" t="s">
        <v>373</v>
      </c>
      <c r="T24" t="s">
        <v>49</v>
      </c>
      <c r="U24" t="s">
        <v>148</v>
      </c>
      <c r="V24" t="s">
        <v>149</v>
      </c>
      <c r="W24" t="s">
        <v>150</v>
      </c>
      <c r="X24" t="s">
        <v>255</v>
      </c>
      <c r="Y24" t="s">
        <v>374</v>
      </c>
      <c r="Z24">
        <v>5</v>
      </c>
      <c r="AA24" t="s">
        <v>152</v>
      </c>
      <c r="AB24" t="s">
        <v>375</v>
      </c>
      <c r="AC24" t="s">
        <v>325</v>
      </c>
      <c r="AD24" t="s">
        <v>86</v>
      </c>
      <c r="AE24">
        <v>1657500</v>
      </c>
      <c r="AF24">
        <v>29006</v>
      </c>
      <c r="AJ24" t="str">
        <f>_xlfn.XLOOKUP(Table9[[#This Row],[Engine No.]],'[1]Dubai Islamic Consumer'!$Q$3:$Q$1176,'[1]Dubai Islamic Consumer'!$B$3:$B$1176,,,)</f>
        <v>KHI/HO/D/MO/PC COMP/C/102086/36/11/2024</v>
      </c>
    </row>
    <row r="25" spans="1:36" hidden="1" x14ac:dyDescent="0.25">
      <c r="A25">
        <v>24</v>
      </c>
      <c r="B25" t="s">
        <v>35</v>
      </c>
      <c r="C25" t="s">
        <v>376</v>
      </c>
      <c r="D25" t="s">
        <v>37</v>
      </c>
      <c r="E25" t="s">
        <v>377</v>
      </c>
      <c r="F25" t="s">
        <v>107</v>
      </c>
      <c r="G25" t="s">
        <v>378</v>
      </c>
      <c r="H25" t="s">
        <v>379</v>
      </c>
      <c r="I25" t="s">
        <v>379</v>
      </c>
      <c r="J25" t="s">
        <v>380</v>
      </c>
      <c r="K25" t="s">
        <v>381</v>
      </c>
      <c r="L25">
        <v>1514960</v>
      </c>
      <c r="M25">
        <v>2612000</v>
      </c>
      <c r="N25" t="s">
        <v>382</v>
      </c>
      <c r="O25" t="s">
        <v>383</v>
      </c>
      <c r="P25" t="s">
        <v>384</v>
      </c>
      <c r="Q25" t="s">
        <v>385</v>
      </c>
      <c r="R25" t="s">
        <v>47</v>
      </c>
      <c r="S25" t="s">
        <v>48</v>
      </c>
      <c r="T25" t="s">
        <v>194</v>
      </c>
      <c r="U25" t="s">
        <v>386</v>
      </c>
      <c r="V25" s="1">
        <v>45197</v>
      </c>
      <c r="W25" t="s">
        <v>387</v>
      </c>
      <c r="X25" t="s">
        <v>388</v>
      </c>
      <c r="Y25" t="s">
        <v>389</v>
      </c>
      <c r="Z25">
        <v>3</v>
      </c>
      <c r="AA25" t="s">
        <v>55</v>
      </c>
      <c r="AB25" t="s">
        <v>390</v>
      </c>
      <c r="AC25" t="s">
        <v>391</v>
      </c>
      <c r="AD25" t="s">
        <v>58</v>
      </c>
      <c r="AE25">
        <v>2350800</v>
      </c>
      <c r="AF25">
        <v>47016</v>
      </c>
      <c r="AJ25" t="str">
        <f>_xlfn.XLOOKUP(Table9[[#This Row],[Engine No.]],'[1]Dubai Islamic Consumer'!$Q$3:$Q$1176,'[1]Dubai Islamic Consumer'!$B$3:$B$1176,,,)</f>
        <v>KHI/HO/D/MO/PC COMP/C/102086/37/11/2024</v>
      </c>
    </row>
    <row r="26" spans="1:36" hidden="1" x14ac:dyDescent="0.25">
      <c r="A26">
        <v>25</v>
      </c>
      <c r="B26" t="s">
        <v>35</v>
      </c>
      <c r="C26" t="s">
        <v>392</v>
      </c>
      <c r="D26" t="s">
        <v>37</v>
      </c>
      <c r="E26" t="s">
        <v>393</v>
      </c>
      <c r="F26" t="s">
        <v>107</v>
      </c>
      <c r="G26" t="s">
        <v>394</v>
      </c>
      <c r="H26" t="s">
        <v>395</v>
      </c>
      <c r="I26" t="s">
        <v>395</v>
      </c>
      <c r="J26" t="s">
        <v>396</v>
      </c>
      <c r="K26" t="s">
        <v>397</v>
      </c>
      <c r="L26">
        <v>801000</v>
      </c>
      <c r="M26">
        <v>1335000</v>
      </c>
      <c r="N26" t="s">
        <v>398</v>
      </c>
      <c r="O26" s="1">
        <v>45599</v>
      </c>
      <c r="P26" t="s">
        <v>399</v>
      </c>
      <c r="Q26" t="s">
        <v>400</v>
      </c>
      <c r="R26" t="s">
        <v>47</v>
      </c>
      <c r="S26" t="s">
        <v>48</v>
      </c>
      <c r="T26" t="s">
        <v>210</v>
      </c>
      <c r="U26" t="s">
        <v>50</v>
      </c>
      <c r="V26" t="s">
        <v>116</v>
      </c>
      <c r="W26" t="s">
        <v>196</v>
      </c>
      <c r="X26" t="s">
        <v>401</v>
      </c>
      <c r="Y26" t="s">
        <v>402</v>
      </c>
      <c r="Z26">
        <v>5</v>
      </c>
      <c r="AA26" t="s">
        <v>118</v>
      </c>
      <c r="AB26" t="s">
        <v>403</v>
      </c>
      <c r="AC26" t="s">
        <v>200</v>
      </c>
      <c r="AD26" t="s">
        <v>58</v>
      </c>
      <c r="AE26">
        <v>1068000</v>
      </c>
      <c r="AF26">
        <v>21360</v>
      </c>
      <c r="AJ26" t="str">
        <f>_xlfn.XLOOKUP(Table9[[#This Row],[Engine No.]],'[1]Dubai Islamic Consumer'!$Q$3:$Q$1176,'[1]Dubai Islamic Consumer'!$B$3:$B$1176,,,)</f>
        <v>KHI/HO/D/MO/PC COMP/C/102086/38/11/2024</v>
      </c>
    </row>
    <row r="27" spans="1:36" hidden="1" x14ac:dyDescent="0.25">
      <c r="A27">
        <v>26</v>
      </c>
      <c r="B27" t="s">
        <v>35</v>
      </c>
      <c r="C27" t="s">
        <v>404</v>
      </c>
      <c r="D27" t="s">
        <v>37</v>
      </c>
      <c r="E27" t="s">
        <v>405</v>
      </c>
      <c r="F27" t="s">
        <v>406</v>
      </c>
      <c r="G27" t="s">
        <v>407</v>
      </c>
      <c r="H27" t="s">
        <v>48</v>
      </c>
      <c r="I27" t="s">
        <v>408</v>
      </c>
      <c r="J27" t="s">
        <v>409</v>
      </c>
      <c r="K27" t="s">
        <v>410</v>
      </c>
      <c r="L27">
        <v>1198500</v>
      </c>
      <c r="M27">
        <v>1598000</v>
      </c>
      <c r="N27" t="s">
        <v>411</v>
      </c>
      <c r="O27" s="1">
        <v>45599</v>
      </c>
      <c r="P27" t="s">
        <v>412</v>
      </c>
      <c r="Q27" t="s">
        <v>413</v>
      </c>
      <c r="R27" t="s">
        <v>47</v>
      </c>
      <c r="S27" t="s">
        <v>48</v>
      </c>
      <c r="T27" t="s">
        <v>414</v>
      </c>
      <c r="U27" t="s">
        <v>98</v>
      </c>
      <c r="V27" t="s">
        <v>415</v>
      </c>
      <c r="W27" t="s">
        <v>167</v>
      </c>
      <c r="X27" t="s">
        <v>197</v>
      </c>
      <c r="Y27" t="s">
        <v>416</v>
      </c>
      <c r="Z27">
        <v>5</v>
      </c>
      <c r="AA27" t="s">
        <v>55</v>
      </c>
      <c r="AB27" t="s">
        <v>417</v>
      </c>
      <c r="AC27" t="s">
        <v>229</v>
      </c>
      <c r="AD27" t="s">
        <v>58</v>
      </c>
      <c r="AE27">
        <v>1198500</v>
      </c>
      <c r="AF27">
        <v>23970</v>
      </c>
      <c r="AJ27" t="str">
        <f>_xlfn.XLOOKUP(Table9[[#This Row],[Engine No.]],'[1]Dubai Islamic Consumer'!$Q$3:$Q$1176,'[1]Dubai Islamic Consumer'!$B$3:$B$1176,,,)</f>
        <v>KHI/HO/D/MO/PC COMP/C/102086/39/11/2024</v>
      </c>
    </row>
    <row r="28" spans="1:36" hidden="1" x14ac:dyDescent="0.25">
      <c r="A28">
        <v>27</v>
      </c>
      <c r="B28" t="s">
        <v>35</v>
      </c>
      <c r="C28" t="s">
        <v>418</v>
      </c>
      <c r="D28" t="s">
        <v>37</v>
      </c>
      <c r="E28" t="s">
        <v>419</v>
      </c>
      <c r="F28" t="s">
        <v>107</v>
      </c>
      <c r="G28" t="s">
        <v>420</v>
      </c>
      <c r="H28" t="s">
        <v>421</v>
      </c>
      <c r="I28" t="s">
        <v>421</v>
      </c>
      <c r="J28" t="s">
        <v>422</v>
      </c>
      <c r="K28" t="s">
        <v>423</v>
      </c>
      <c r="L28">
        <v>1218000</v>
      </c>
      <c r="M28">
        <v>2030000</v>
      </c>
      <c r="N28" t="s">
        <v>424</v>
      </c>
      <c r="O28" s="1">
        <v>45599</v>
      </c>
      <c r="P28" t="s">
        <v>425</v>
      </c>
      <c r="Q28" t="s">
        <v>426</v>
      </c>
      <c r="R28" t="s">
        <v>47</v>
      </c>
      <c r="S28" t="s">
        <v>48</v>
      </c>
      <c r="T28" t="s">
        <v>427</v>
      </c>
      <c r="U28" t="s">
        <v>98</v>
      </c>
      <c r="V28" t="s">
        <v>428</v>
      </c>
      <c r="W28" t="s">
        <v>100</v>
      </c>
      <c r="X28" t="s">
        <v>101</v>
      </c>
      <c r="Y28" t="s">
        <v>429</v>
      </c>
      <c r="Z28">
        <v>5</v>
      </c>
      <c r="AA28" t="s">
        <v>227</v>
      </c>
      <c r="AB28" t="s">
        <v>430</v>
      </c>
      <c r="AC28" t="s">
        <v>431</v>
      </c>
      <c r="AD28" t="s">
        <v>58</v>
      </c>
      <c r="AE28">
        <v>1522500</v>
      </c>
      <c r="AF28">
        <v>30450</v>
      </c>
      <c r="AJ28" t="str">
        <f>_xlfn.XLOOKUP(Table9[[#This Row],[Engine No.]],'[1]Dubai Islamic Consumer'!$Q$3:$Q$1176,'[1]Dubai Islamic Consumer'!$B$3:$B$1176,,,)</f>
        <v>KHI/HO/D/MO/PC COMP/C/102086/40/11/2024</v>
      </c>
    </row>
    <row r="29" spans="1:36" hidden="1" x14ac:dyDescent="0.25">
      <c r="A29">
        <v>28</v>
      </c>
      <c r="B29" t="s">
        <v>35</v>
      </c>
      <c r="C29" t="s">
        <v>432</v>
      </c>
      <c r="D29" t="s">
        <v>37</v>
      </c>
      <c r="E29" t="s">
        <v>433</v>
      </c>
      <c r="F29" t="s">
        <v>245</v>
      </c>
      <c r="G29" t="s">
        <v>434</v>
      </c>
      <c r="H29" t="s">
        <v>435</v>
      </c>
      <c r="I29" t="s">
        <v>436</v>
      </c>
      <c r="J29" t="s">
        <v>435</v>
      </c>
      <c r="K29" t="s">
        <v>437</v>
      </c>
      <c r="L29">
        <v>1098000</v>
      </c>
      <c r="M29">
        <v>1830000</v>
      </c>
      <c r="N29" t="s">
        <v>438</v>
      </c>
      <c r="O29" s="1">
        <v>45599</v>
      </c>
      <c r="P29" t="s">
        <v>439</v>
      </c>
      <c r="Q29" t="s">
        <v>440</v>
      </c>
      <c r="R29" t="s">
        <v>47</v>
      </c>
      <c r="S29" t="s">
        <v>48</v>
      </c>
      <c r="T29" t="s">
        <v>441</v>
      </c>
      <c r="U29" t="s">
        <v>50</v>
      </c>
      <c r="V29" t="s">
        <v>442</v>
      </c>
      <c r="W29" t="s">
        <v>196</v>
      </c>
      <c r="X29" t="s">
        <v>401</v>
      </c>
      <c r="Y29" t="s">
        <v>443</v>
      </c>
      <c r="Z29">
        <v>5</v>
      </c>
      <c r="AA29" t="s">
        <v>55</v>
      </c>
      <c r="AB29" t="s">
        <v>444</v>
      </c>
      <c r="AC29" t="s">
        <v>185</v>
      </c>
      <c r="AD29" t="s">
        <v>58</v>
      </c>
      <c r="AE29">
        <v>1464000</v>
      </c>
      <c r="AF29">
        <v>29280</v>
      </c>
      <c r="AJ29" t="str">
        <f>_xlfn.XLOOKUP(Table9[[#This Row],[Engine No.]],'[1]Dubai Islamic Consumer'!$Q$3:$Q$1176,'[1]Dubai Islamic Consumer'!$B$3:$B$1176,,,)</f>
        <v>KHI/HO/D/MO/PC COMP/C/102086/42/11/2024</v>
      </c>
    </row>
    <row r="30" spans="1:36" hidden="1" x14ac:dyDescent="0.25">
      <c r="A30">
        <v>29</v>
      </c>
      <c r="B30" t="s">
        <v>35</v>
      </c>
      <c r="C30" t="s">
        <v>445</v>
      </c>
      <c r="D30" t="s">
        <v>37</v>
      </c>
      <c r="E30" t="s">
        <v>446</v>
      </c>
      <c r="F30" t="s">
        <v>39</v>
      </c>
      <c r="G30" t="s">
        <v>447</v>
      </c>
      <c r="H30" t="s">
        <v>448</v>
      </c>
      <c r="I30" t="s">
        <v>449</v>
      </c>
      <c r="J30" t="s">
        <v>448</v>
      </c>
      <c r="K30" t="s">
        <v>450</v>
      </c>
      <c r="L30">
        <v>1657800</v>
      </c>
      <c r="M30">
        <v>2763000</v>
      </c>
      <c r="N30" t="s">
        <v>451</v>
      </c>
      <c r="O30" s="1">
        <v>45599</v>
      </c>
      <c r="P30" t="s">
        <v>452</v>
      </c>
      <c r="Q30" t="s">
        <v>453</v>
      </c>
      <c r="R30" t="s">
        <v>47</v>
      </c>
      <c r="S30" t="s">
        <v>48</v>
      </c>
      <c r="T30" t="s">
        <v>454</v>
      </c>
      <c r="U30" t="s">
        <v>98</v>
      </c>
      <c r="V30" t="s">
        <v>455</v>
      </c>
      <c r="W30" t="s">
        <v>456</v>
      </c>
      <c r="X30" t="s">
        <v>457</v>
      </c>
      <c r="Y30" t="s">
        <v>458</v>
      </c>
      <c r="Z30">
        <v>5</v>
      </c>
      <c r="AA30" t="s">
        <v>227</v>
      </c>
      <c r="AB30" t="s">
        <v>459</v>
      </c>
      <c r="AC30" t="s">
        <v>229</v>
      </c>
      <c r="AD30" t="s">
        <v>58</v>
      </c>
      <c r="AE30">
        <v>2072250</v>
      </c>
      <c r="AF30">
        <v>41445</v>
      </c>
      <c r="AJ30" t="str">
        <f>_xlfn.XLOOKUP(Table9[[#This Row],[Engine No.]],'[1]Dubai Islamic Consumer'!$Q$3:$Q$1176,'[1]Dubai Islamic Consumer'!$B$3:$B$1176,,,)</f>
        <v>KHI/HO/D/MO/PC COMP/C/102086/44/11/2024</v>
      </c>
    </row>
    <row r="31" spans="1:36" hidden="1" x14ac:dyDescent="0.25">
      <c r="A31">
        <v>30</v>
      </c>
      <c r="B31" t="s">
        <v>35</v>
      </c>
      <c r="C31" t="s">
        <v>460</v>
      </c>
      <c r="D31" t="s">
        <v>37</v>
      </c>
      <c r="E31" t="s">
        <v>461</v>
      </c>
      <c r="F31" t="s">
        <v>138</v>
      </c>
      <c r="G31" t="s">
        <v>462</v>
      </c>
      <c r="H31" t="s">
        <v>463</v>
      </c>
      <c r="I31" t="s">
        <v>463</v>
      </c>
      <c r="J31" t="s">
        <v>463</v>
      </c>
      <c r="K31" t="s">
        <v>464</v>
      </c>
      <c r="L31">
        <v>1692500</v>
      </c>
      <c r="M31">
        <v>3385000</v>
      </c>
      <c r="N31" t="s">
        <v>465</v>
      </c>
      <c r="O31" s="1">
        <v>45599</v>
      </c>
      <c r="P31" t="s">
        <v>466</v>
      </c>
      <c r="Q31" t="s">
        <v>467</v>
      </c>
      <c r="R31" t="s">
        <v>146</v>
      </c>
      <c r="S31" t="s">
        <v>468</v>
      </c>
      <c r="T31" t="s">
        <v>469</v>
      </c>
      <c r="U31" t="s">
        <v>335</v>
      </c>
      <c r="V31" t="s">
        <v>225</v>
      </c>
      <c r="W31" t="s">
        <v>100</v>
      </c>
      <c r="X31" t="s">
        <v>101</v>
      </c>
      <c r="Y31" t="s">
        <v>470</v>
      </c>
      <c r="Z31">
        <v>5</v>
      </c>
      <c r="AA31" t="s">
        <v>152</v>
      </c>
      <c r="AB31" t="s">
        <v>471</v>
      </c>
      <c r="AC31" t="s">
        <v>229</v>
      </c>
      <c r="AD31" t="s">
        <v>58</v>
      </c>
      <c r="AE31">
        <v>2538750</v>
      </c>
      <c r="AF31">
        <v>50775</v>
      </c>
      <c r="AJ31" t="str">
        <f>_xlfn.XLOOKUP(Table9[[#This Row],[Engine No.]],'[1]Dubai Islamic Consumer'!$Q$3:$Q$1176,'[1]Dubai Islamic Consumer'!$B$3:$B$1176,,,)</f>
        <v>KHI/HO/D/MO/PC COMP/C/102086/45/11/2024</v>
      </c>
    </row>
    <row r="32" spans="1:36" hidden="1" x14ac:dyDescent="0.25">
      <c r="A32">
        <v>31</v>
      </c>
      <c r="B32" t="s">
        <v>35</v>
      </c>
      <c r="C32" t="s">
        <v>472</v>
      </c>
      <c r="D32" t="s">
        <v>37</v>
      </c>
      <c r="E32" t="s">
        <v>473</v>
      </c>
      <c r="F32" t="s">
        <v>107</v>
      </c>
      <c r="G32" t="s">
        <v>474</v>
      </c>
      <c r="H32" t="s">
        <v>475</v>
      </c>
      <c r="I32" t="s">
        <v>475</v>
      </c>
      <c r="J32" t="s">
        <v>475</v>
      </c>
      <c r="K32" t="s">
        <v>476</v>
      </c>
      <c r="L32">
        <v>1851500</v>
      </c>
      <c r="M32">
        <v>2645000</v>
      </c>
      <c r="N32" t="s">
        <v>477</v>
      </c>
      <c r="O32" s="1">
        <v>45599</v>
      </c>
      <c r="P32" t="s">
        <v>478</v>
      </c>
      <c r="Q32" t="s">
        <v>479</v>
      </c>
      <c r="R32" t="s">
        <v>47</v>
      </c>
      <c r="S32" t="s">
        <v>48</v>
      </c>
      <c r="T32" t="s">
        <v>480</v>
      </c>
      <c r="U32" t="s">
        <v>98</v>
      </c>
      <c r="V32" t="s">
        <v>481</v>
      </c>
      <c r="W32" t="s">
        <v>100</v>
      </c>
      <c r="X32" t="s">
        <v>101</v>
      </c>
      <c r="Y32" t="s">
        <v>482</v>
      </c>
      <c r="Z32">
        <v>5</v>
      </c>
      <c r="AA32" t="s">
        <v>55</v>
      </c>
      <c r="AB32" t="s">
        <v>483</v>
      </c>
      <c r="AC32" t="s">
        <v>229</v>
      </c>
      <c r="AD32" t="s">
        <v>58</v>
      </c>
      <c r="AE32">
        <v>1983750</v>
      </c>
      <c r="AF32">
        <v>39675</v>
      </c>
      <c r="AJ32" t="str">
        <f>_xlfn.XLOOKUP(Table9[[#This Row],[Engine No.]],'[1]Dubai Islamic Consumer'!$Q$3:$Q$1176,'[1]Dubai Islamic Consumer'!$B$3:$B$1176,,,)</f>
        <v>KHI/HO/D/MO/PC COMP/C/102086/47/11/2024</v>
      </c>
    </row>
    <row r="33" spans="1:36" hidden="1" x14ac:dyDescent="0.25">
      <c r="A33">
        <v>32</v>
      </c>
      <c r="B33" t="s">
        <v>35</v>
      </c>
      <c r="C33" t="s">
        <v>484</v>
      </c>
      <c r="D33" t="s">
        <v>37</v>
      </c>
      <c r="E33" t="s">
        <v>485</v>
      </c>
      <c r="F33" t="s">
        <v>39</v>
      </c>
      <c r="G33" t="s">
        <v>486</v>
      </c>
      <c r="H33" t="s">
        <v>487</v>
      </c>
      <c r="I33" t="s">
        <v>488</v>
      </c>
      <c r="J33" t="s">
        <v>489</v>
      </c>
      <c r="K33" t="s">
        <v>490</v>
      </c>
      <c r="L33">
        <v>1715000</v>
      </c>
      <c r="M33">
        <v>2450000</v>
      </c>
      <c r="N33" t="s">
        <v>491</v>
      </c>
      <c r="O33" s="1">
        <v>45599</v>
      </c>
      <c r="P33" t="s">
        <v>492</v>
      </c>
      <c r="Q33" t="s">
        <v>493</v>
      </c>
      <c r="R33" t="s">
        <v>146</v>
      </c>
      <c r="S33" t="s">
        <v>494</v>
      </c>
      <c r="T33" t="s">
        <v>495</v>
      </c>
      <c r="U33" t="s">
        <v>496</v>
      </c>
      <c r="V33" t="s">
        <v>185</v>
      </c>
      <c r="W33" t="s">
        <v>52</v>
      </c>
      <c r="X33" t="s">
        <v>53</v>
      </c>
      <c r="Y33" t="s">
        <v>497</v>
      </c>
      <c r="Z33">
        <v>5</v>
      </c>
      <c r="AA33" t="s">
        <v>118</v>
      </c>
      <c r="AB33" t="s">
        <v>498</v>
      </c>
      <c r="AC33" t="s">
        <v>200</v>
      </c>
      <c r="AD33" t="s">
        <v>58</v>
      </c>
      <c r="AE33">
        <v>1960000</v>
      </c>
      <c r="AF33">
        <v>39200</v>
      </c>
      <c r="AJ33" t="str">
        <f>_xlfn.XLOOKUP(Table9[[#This Row],[Engine No.]],'[1]Dubai Islamic Consumer'!$Q$3:$Q$1176,'[1]Dubai Islamic Consumer'!$B$3:$B$1176,,,)</f>
        <v>KHI/HO/D/MO/PC COMP/C/102086/48/11/2024</v>
      </c>
    </row>
    <row r="34" spans="1:36" hidden="1" x14ac:dyDescent="0.25">
      <c r="A34">
        <v>33</v>
      </c>
      <c r="B34" t="s">
        <v>35</v>
      </c>
      <c r="C34" t="s">
        <v>499</v>
      </c>
      <c r="D34" t="s">
        <v>37</v>
      </c>
      <c r="E34" t="s">
        <v>500</v>
      </c>
      <c r="F34" t="s">
        <v>406</v>
      </c>
      <c r="G34" t="s">
        <v>501</v>
      </c>
      <c r="H34" t="s">
        <v>502</v>
      </c>
      <c r="I34" t="s">
        <v>502</v>
      </c>
      <c r="J34" t="s">
        <v>502</v>
      </c>
      <c r="K34" t="s">
        <v>503</v>
      </c>
      <c r="L34">
        <v>1847300</v>
      </c>
      <c r="M34">
        <v>2639000</v>
      </c>
      <c r="N34" t="s">
        <v>504</v>
      </c>
      <c r="O34" s="1">
        <v>45599</v>
      </c>
      <c r="P34" t="s">
        <v>505</v>
      </c>
      <c r="Q34" t="s">
        <v>506</v>
      </c>
      <c r="R34" t="s">
        <v>47</v>
      </c>
      <c r="S34" t="s">
        <v>48</v>
      </c>
      <c r="T34" t="s">
        <v>507</v>
      </c>
      <c r="U34" t="s">
        <v>50</v>
      </c>
      <c r="V34" t="s">
        <v>508</v>
      </c>
      <c r="W34" t="s">
        <v>132</v>
      </c>
      <c r="X34" t="s">
        <v>133</v>
      </c>
      <c r="Y34" t="s">
        <v>509</v>
      </c>
      <c r="Z34">
        <v>5</v>
      </c>
      <c r="AA34" t="s">
        <v>152</v>
      </c>
      <c r="AB34" t="s">
        <v>510</v>
      </c>
      <c r="AC34" t="s">
        <v>185</v>
      </c>
      <c r="AD34" t="s">
        <v>58</v>
      </c>
      <c r="AE34">
        <v>2243150</v>
      </c>
      <c r="AF34">
        <v>44863</v>
      </c>
      <c r="AJ34" t="str">
        <f>_xlfn.XLOOKUP(Table9[[#This Row],[Engine No.]],'[1]Dubai Islamic Consumer'!$Q$3:$Q$1176,'[1]Dubai Islamic Consumer'!$B$3:$B$1176,,,)</f>
        <v>KHI/HO/D/MO/PC COMP/C/102086/49/11/2024</v>
      </c>
    </row>
    <row r="35" spans="1:36" hidden="1" x14ac:dyDescent="0.25">
      <c r="A35">
        <v>34</v>
      </c>
      <c r="B35" t="s">
        <v>35</v>
      </c>
      <c r="C35" t="s">
        <v>511</v>
      </c>
      <c r="D35" t="s">
        <v>37</v>
      </c>
      <c r="E35" t="s">
        <v>512</v>
      </c>
      <c r="F35" t="s">
        <v>290</v>
      </c>
      <c r="G35" t="s">
        <v>513</v>
      </c>
      <c r="H35" t="s">
        <v>514</v>
      </c>
      <c r="I35" t="s">
        <v>514</v>
      </c>
      <c r="J35" t="s">
        <v>515</v>
      </c>
      <c r="K35" t="s">
        <v>516</v>
      </c>
      <c r="L35">
        <v>2699500</v>
      </c>
      <c r="M35">
        <v>5399000</v>
      </c>
      <c r="N35" t="s">
        <v>517</v>
      </c>
      <c r="O35" s="1">
        <v>45599</v>
      </c>
      <c r="P35" t="s">
        <v>518</v>
      </c>
      <c r="Q35" t="s">
        <v>519</v>
      </c>
      <c r="R35" t="s">
        <v>47</v>
      </c>
      <c r="S35" t="s">
        <v>48</v>
      </c>
      <c r="T35" t="s">
        <v>520</v>
      </c>
      <c r="U35" t="s">
        <v>98</v>
      </c>
      <c r="V35" t="s">
        <v>521</v>
      </c>
      <c r="W35" t="s">
        <v>456</v>
      </c>
      <c r="X35" t="s">
        <v>457</v>
      </c>
      <c r="Y35" t="s">
        <v>522</v>
      </c>
      <c r="Z35">
        <v>5</v>
      </c>
      <c r="AA35" t="s">
        <v>48</v>
      </c>
      <c r="AB35" t="s">
        <v>48</v>
      </c>
      <c r="AC35" t="s">
        <v>48</v>
      </c>
      <c r="AD35" t="s">
        <v>58</v>
      </c>
      <c r="AE35">
        <v>4049250</v>
      </c>
      <c r="AF35">
        <v>80985</v>
      </c>
      <c r="AJ35" t="str">
        <f>_xlfn.XLOOKUP(Table9[[#This Row],[Engine No.]],'[1]Dubai Islamic Consumer'!$Q$3:$Q$1176,'[1]Dubai Islamic Consumer'!$B$3:$B$1176,,,)</f>
        <v>KHI/HO/D/MO/PC COMP/C/102086/50/11/2024</v>
      </c>
    </row>
    <row r="36" spans="1:36" hidden="1" x14ac:dyDescent="0.25">
      <c r="A36">
        <v>35</v>
      </c>
      <c r="B36" t="s">
        <v>35</v>
      </c>
      <c r="C36" t="s">
        <v>523</v>
      </c>
      <c r="D36" t="s">
        <v>37</v>
      </c>
      <c r="E36" t="s">
        <v>524</v>
      </c>
      <c r="F36" t="s">
        <v>525</v>
      </c>
      <c r="G36" t="s">
        <v>526</v>
      </c>
      <c r="H36" t="s">
        <v>48</v>
      </c>
      <c r="I36" t="s">
        <v>527</v>
      </c>
      <c r="J36" t="s">
        <v>48</v>
      </c>
      <c r="K36" t="s">
        <v>528</v>
      </c>
      <c r="L36">
        <v>2699500</v>
      </c>
      <c r="M36">
        <v>5399000</v>
      </c>
      <c r="N36" t="s">
        <v>529</v>
      </c>
      <c r="O36" s="1">
        <v>45599</v>
      </c>
      <c r="P36" t="s">
        <v>530</v>
      </c>
      <c r="Q36" t="s">
        <v>531</v>
      </c>
      <c r="R36" t="s">
        <v>47</v>
      </c>
      <c r="S36" t="s">
        <v>48</v>
      </c>
      <c r="T36" t="s">
        <v>115</v>
      </c>
      <c r="U36" t="s">
        <v>98</v>
      </c>
      <c r="V36" t="s">
        <v>521</v>
      </c>
      <c r="W36" t="s">
        <v>532</v>
      </c>
      <c r="X36" t="s">
        <v>533</v>
      </c>
      <c r="Y36" t="s">
        <v>534</v>
      </c>
      <c r="Z36">
        <v>5</v>
      </c>
      <c r="AA36" t="s">
        <v>48</v>
      </c>
      <c r="AB36" t="s">
        <v>48</v>
      </c>
      <c r="AC36" t="s">
        <v>48</v>
      </c>
      <c r="AD36" t="s">
        <v>58</v>
      </c>
      <c r="AE36">
        <v>4049250</v>
      </c>
      <c r="AF36">
        <v>80985</v>
      </c>
      <c r="AJ36" t="str">
        <f>_xlfn.XLOOKUP(Table9[[#This Row],[Engine No.]],'[1]Dubai Islamic Consumer'!$Q$3:$Q$1176,'[1]Dubai Islamic Consumer'!$B$3:$B$1176,,,)</f>
        <v>KHI/HO/D/MO/PC COMP/C/102086/51/11/2024</v>
      </c>
    </row>
    <row r="37" spans="1:36" hidden="1" x14ac:dyDescent="0.25">
      <c r="A37">
        <v>36</v>
      </c>
      <c r="B37" t="s">
        <v>35</v>
      </c>
      <c r="C37" t="s">
        <v>535</v>
      </c>
      <c r="D37" t="s">
        <v>37</v>
      </c>
      <c r="E37" t="s">
        <v>536</v>
      </c>
      <c r="F37" t="s">
        <v>107</v>
      </c>
      <c r="G37" t="s">
        <v>537</v>
      </c>
      <c r="H37" t="s">
        <v>538</v>
      </c>
      <c r="I37" t="s">
        <v>538</v>
      </c>
      <c r="J37" t="s">
        <v>538</v>
      </c>
      <c r="K37" t="s">
        <v>539</v>
      </c>
      <c r="L37">
        <v>2416500</v>
      </c>
      <c r="M37">
        <v>5370000</v>
      </c>
      <c r="N37" t="s">
        <v>540</v>
      </c>
      <c r="O37" s="1">
        <v>45599</v>
      </c>
      <c r="P37" t="s">
        <v>541</v>
      </c>
      <c r="Q37" t="s">
        <v>542</v>
      </c>
      <c r="R37" t="s">
        <v>146</v>
      </c>
      <c r="S37" t="s">
        <v>543</v>
      </c>
      <c r="T37" t="s">
        <v>520</v>
      </c>
      <c r="U37" t="s">
        <v>98</v>
      </c>
      <c r="V37" t="s">
        <v>185</v>
      </c>
      <c r="W37" t="s">
        <v>52</v>
      </c>
      <c r="X37" t="s">
        <v>53</v>
      </c>
      <c r="Y37" t="s">
        <v>544</v>
      </c>
      <c r="Z37">
        <v>5</v>
      </c>
      <c r="AA37" t="s">
        <v>55</v>
      </c>
      <c r="AB37" t="s">
        <v>545</v>
      </c>
      <c r="AC37" t="s">
        <v>200</v>
      </c>
      <c r="AD37" t="s">
        <v>58</v>
      </c>
      <c r="AE37">
        <v>4296000</v>
      </c>
      <c r="AF37">
        <v>85920</v>
      </c>
      <c r="AJ37" t="str">
        <f>_xlfn.XLOOKUP(Table9[[#This Row],[Engine No.]],'[1]Dubai Islamic Consumer'!$Q$3:$Q$1176,'[1]Dubai Islamic Consumer'!$B$3:$B$1176,,,)</f>
        <v>KHI/HO/D/MO/PC COMP/C/102086/52/11/2024</v>
      </c>
    </row>
    <row r="38" spans="1:36" hidden="1" x14ac:dyDescent="0.25">
      <c r="A38">
        <v>37</v>
      </c>
      <c r="B38" t="s">
        <v>35</v>
      </c>
      <c r="C38" t="s">
        <v>546</v>
      </c>
      <c r="D38" t="s">
        <v>37</v>
      </c>
      <c r="E38" t="s">
        <v>547</v>
      </c>
      <c r="F38" t="s">
        <v>245</v>
      </c>
      <c r="G38" t="s">
        <v>548</v>
      </c>
      <c r="H38" t="s">
        <v>549</v>
      </c>
      <c r="I38" t="s">
        <v>48</v>
      </c>
      <c r="J38" t="s">
        <v>550</v>
      </c>
      <c r="K38" t="s">
        <v>551</v>
      </c>
      <c r="L38">
        <v>2986125</v>
      </c>
      <c r="M38">
        <v>3981500</v>
      </c>
      <c r="N38" t="s">
        <v>552</v>
      </c>
      <c r="O38" s="1">
        <v>45599</v>
      </c>
      <c r="P38" t="s">
        <v>553</v>
      </c>
      <c r="Q38" t="s">
        <v>554</v>
      </c>
      <c r="R38" t="s">
        <v>47</v>
      </c>
      <c r="S38" t="s">
        <v>48</v>
      </c>
      <c r="T38" t="s">
        <v>97</v>
      </c>
      <c r="U38" t="s">
        <v>98</v>
      </c>
      <c r="V38" t="s">
        <v>254</v>
      </c>
      <c r="W38" t="s">
        <v>167</v>
      </c>
      <c r="X38" t="s">
        <v>168</v>
      </c>
      <c r="Y38" t="s">
        <v>555</v>
      </c>
      <c r="Z38">
        <v>7</v>
      </c>
      <c r="AA38" t="s">
        <v>257</v>
      </c>
      <c r="AB38" t="s">
        <v>556</v>
      </c>
      <c r="AC38" t="s">
        <v>229</v>
      </c>
      <c r="AD38" t="s">
        <v>58</v>
      </c>
      <c r="AE38">
        <v>2986125</v>
      </c>
      <c r="AF38">
        <v>59723</v>
      </c>
      <c r="AJ38" t="str">
        <f>_xlfn.XLOOKUP(Table9[[#This Row],[Engine No.]],'[1]Dubai Islamic Consumer'!$Q$3:$Q$1176,'[1]Dubai Islamic Consumer'!$B$3:$B$1176,,,)</f>
        <v>KHI/HO/D/MO/PC COMP/C/102086/53/11/2024</v>
      </c>
    </row>
    <row r="39" spans="1:36" hidden="1" x14ac:dyDescent="0.25">
      <c r="A39">
        <v>38</v>
      </c>
      <c r="B39" t="s">
        <v>35</v>
      </c>
      <c r="C39" t="s">
        <v>557</v>
      </c>
      <c r="D39" t="s">
        <v>37</v>
      </c>
      <c r="E39" t="s">
        <v>558</v>
      </c>
      <c r="F39" t="s">
        <v>107</v>
      </c>
      <c r="G39" t="s">
        <v>559</v>
      </c>
      <c r="H39" t="s">
        <v>560</v>
      </c>
      <c r="I39" t="s">
        <v>560</v>
      </c>
      <c r="J39" t="s">
        <v>561</v>
      </c>
      <c r="K39" t="s">
        <v>562</v>
      </c>
      <c r="L39">
        <v>3527550</v>
      </c>
      <c r="M39">
        <v>5427000</v>
      </c>
      <c r="N39" t="s">
        <v>563</v>
      </c>
      <c r="O39" s="1">
        <v>45599</v>
      </c>
      <c r="P39" t="s">
        <v>564</v>
      </c>
      <c r="Q39" t="s">
        <v>565</v>
      </c>
      <c r="R39" t="s">
        <v>47</v>
      </c>
      <c r="S39" t="s">
        <v>48</v>
      </c>
      <c r="T39" t="s">
        <v>566</v>
      </c>
      <c r="U39" t="s">
        <v>98</v>
      </c>
      <c r="V39" t="s">
        <v>297</v>
      </c>
      <c r="W39" t="s">
        <v>100</v>
      </c>
      <c r="X39" t="s">
        <v>101</v>
      </c>
      <c r="Y39" t="s">
        <v>567</v>
      </c>
      <c r="Z39">
        <v>5</v>
      </c>
      <c r="AA39" t="s">
        <v>48</v>
      </c>
      <c r="AB39" t="s">
        <v>48</v>
      </c>
      <c r="AC39" t="s">
        <v>48</v>
      </c>
      <c r="AD39" t="s">
        <v>299</v>
      </c>
      <c r="AE39">
        <v>4070250</v>
      </c>
      <c r="AF39">
        <v>61054</v>
      </c>
      <c r="AJ39" t="str">
        <f>_xlfn.XLOOKUP(Table9[[#This Row],[Engine No.]],'[1]Dubai Islamic Consumer'!$Q$3:$Q$1176,'[1]Dubai Islamic Consumer'!$B$3:$B$1176,,,)</f>
        <v>KHI/HO/D/MO/PC COMP/C/102086/54/11/2024</v>
      </c>
    </row>
    <row r="40" spans="1:36" hidden="1" x14ac:dyDescent="0.25">
      <c r="A40">
        <v>39</v>
      </c>
      <c r="B40" t="s">
        <v>35</v>
      </c>
      <c r="C40" t="s">
        <v>568</v>
      </c>
      <c r="D40" t="s">
        <v>37</v>
      </c>
      <c r="E40" t="s">
        <v>569</v>
      </c>
      <c r="F40" t="s">
        <v>245</v>
      </c>
      <c r="G40" t="s">
        <v>570</v>
      </c>
      <c r="H40" t="s">
        <v>571</v>
      </c>
      <c r="I40" t="s">
        <v>48</v>
      </c>
      <c r="J40" t="s">
        <v>572</v>
      </c>
      <c r="K40" t="s">
        <v>573</v>
      </c>
      <c r="L40">
        <v>3919300</v>
      </c>
      <c r="M40">
        <v>5599000</v>
      </c>
      <c r="N40" t="s">
        <v>574</v>
      </c>
      <c r="O40" s="1">
        <v>45599</v>
      </c>
      <c r="P40" t="s">
        <v>575</v>
      </c>
      <c r="Q40" t="s">
        <v>576</v>
      </c>
      <c r="R40" t="s">
        <v>47</v>
      </c>
      <c r="S40" t="s">
        <v>48</v>
      </c>
      <c r="T40" t="s">
        <v>577</v>
      </c>
      <c r="U40" t="s">
        <v>98</v>
      </c>
      <c r="V40" t="s">
        <v>431</v>
      </c>
      <c r="W40" t="s">
        <v>100</v>
      </c>
      <c r="X40" t="s">
        <v>101</v>
      </c>
      <c r="Y40" t="s">
        <v>578</v>
      </c>
      <c r="Z40">
        <v>5</v>
      </c>
      <c r="AA40" t="s">
        <v>55</v>
      </c>
      <c r="AB40" t="s">
        <v>579</v>
      </c>
      <c r="AC40" t="s">
        <v>431</v>
      </c>
      <c r="AD40" t="s">
        <v>299</v>
      </c>
      <c r="AE40">
        <v>4199250</v>
      </c>
      <c r="AF40">
        <v>62989</v>
      </c>
      <c r="AJ40" t="str">
        <f>_xlfn.XLOOKUP(Table9[[#This Row],[Engine No.]],'[1]Dubai Islamic Consumer'!$Q$3:$Q$1176,'[1]Dubai Islamic Consumer'!$B$3:$B$1176,,,)</f>
        <v>KHI/HO/D/MO/PC COMP/C/102086/55/11/2024</v>
      </c>
    </row>
    <row r="41" spans="1:36" hidden="1" x14ac:dyDescent="0.25">
      <c r="A41">
        <v>40</v>
      </c>
      <c r="B41" t="s">
        <v>35</v>
      </c>
      <c r="C41" t="s">
        <v>580</v>
      </c>
      <c r="D41" t="s">
        <v>37</v>
      </c>
      <c r="E41" t="s">
        <v>581</v>
      </c>
      <c r="F41" t="s">
        <v>107</v>
      </c>
      <c r="G41" t="s">
        <v>582</v>
      </c>
      <c r="H41" t="s">
        <v>48</v>
      </c>
      <c r="I41" t="s">
        <v>583</v>
      </c>
      <c r="J41" t="s">
        <v>584</v>
      </c>
      <c r="K41" t="s">
        <v>585</v>
      </c>
      <c r="L41">
        <v>36750000</v>
      </c>
      <c r="M41">
        <v>73500000</v>
      </c>
      <c r="N41" t="s">
        <v>586</v>
      </c>
      <c r="O41" s="1">
        <v>45599</v>
      </c>
      <c r="P41" t="s">
        <v>587</v>
      </c>
      <c r="Q41" t="s">
        <v>588</v>
      </c>
      <c r="R41" t="s">
        <v>47</v>
      </c>
      <c r="S41" t="s">
        <v>48</v>
      </c>
      <c r="T41" t="s">
        <v>589</v>
      </c>
      <c r="U41" t="s">
        <v>50</v>
      </c>
      <c r="V41" t="s">
        <v>68</v>
      </c>
      <c r="W41" t="s">
        <v>132</v>
      </c>
      <c r="X41" t="s">
        <v>133</v>
      </c>
      <c r="Y41" t="s">
        <v>590</v>
      </c>
      <c r="Z41">
        <v>5</v>
      </c>
      <c r="AA41" t="s">
        <v>48</v>
      </c>
      <c r="AB41" t="s">
        <v>48</v>
      </c>
      <c r="AC41" t="s">
        <v>48</v>
      </c>
      <c r="AD41" t="s">
        <v>86</v>
      </c>
      <c r="AE41">
        <v>58800000</v>
      </c>
      <c r="AF41">
        <v>1029000</v>
      </c>
      <c r="AJ41" t="str">
        <f>_xlfn.XLOOKUP(Table9[[#This Row],[Engine No.]],'[1]Dubai Islamic Consumer'!$Q$3:$Q$1176,'[1]Dubai Islamic Consumer'!$B$3:$B$1176,,,)</f>
        <v>KHI/HO/D/MO/PC COMP/P/103649/12/2024</v>
      </c>
    </row>
    <row r="42" spans="1:36" hidden="1" x14ac:dyDescent="0.25">
      <c r="A42">
        <v>41</v>
      </c>
      <c r="B42" t="s">
        <v>35</v>
      </c>
      <c r="C42" t="s">
        <v>591</v>
      </c>
      <c r="D42" t="s">
        <v>37</v>
      </c>
      <c r="E42" t="s">
        <v>592</v>
      </c>
      <c r="F42" t="s">
        <v>138</v>
      </c>
      <c r="G42" t="s">
        <v>593</v>
      </c>
      <c r="H42" t="s">
        <v>594</v>
      </c>
      <c r="I42" t="s">
        <v>595</v>
      </c>
      <c r="J42" t="s">
        <v>594</v>
      </c>
      <c r="K42" t="s">
        <v>596</v>
      </c>
      <c r="L42">
        <v>1404000</v>
      </c>
      <c r="M42">
        <v>3600000</v>
      </c>
      <c r="N42" t="s">
        <v>597</v>
      </c>
      <c r="O42" s="1">
        <v>45599</v>
      </c>
      <c r="P42" t="s">
        <v>598</v>
      </c>
      <c r="Q42" t="s">
        <v>599</v>
      </c>
      <c r="R42" t="s">
        <v>146</v>
      </c>
      <c r="S42" t="s">
        <v>600</v>
      </c>
      <c r="T42" t="s">
        <v>601</v>
      </c>
      <c r="U42" t="s">
        <v>335</v>
      </c>
      <c r="V42" t="s">
        <v>336</v>
      </c>
      <c r="W42" t="s">
        <v>150</v>
      </c>
      <c r="X42" t="s">
        <v>101</v>
      </c>
      <c r="Y42" t="s">
        <v>602</v>
      </c>
      <c r="Z42">
        <v>3</v>
      </c>
      <c r="AA42" t="s">
        <v>227</v>
      </c>
      <c r="AB42" t="s">
        <v>603</v>
      </c>
      <c r="AC42" t="s">
        <v>336</v>
      </c>
      <c r="AD42" t="s">
        <v>86</v>
      </c>
      <c r="AE42">
        <v>3060000</v>
      </c>
      <c r="AF42">
        <v>53550</v>
      </c>
      <c r="AJ42" t="str">
        <f>_xlfn.XLOOKUP(Table9[[#This Row],[Engine No.]],'[1]Dubai Islamic Consumer'!$Q$3:$Q$1176,'[1]Dubai Islamic Consumer'!$B$3:$B$1176,,,)</f>
        <v>KHI/HO/D/MO/PC COMP/C/102086/407/11/2024</v>
      </c>
    </row>
    <row r="43" spans="1:36" hidden="1" x14ac:dyDescent="0.25">
      <c r="A43">
        <v>42</v>
      </c>
      <c r="B43" t="s">
        <v>35</v>
      </c>
      <c r="C43" t="s">
        <v>604</v>
      </c>
      <c r="D43" t="s">
        <v>37</v>
      </c>
      <c r="E43" t="s">
        <v>605</v>
      </c>
      <c r="F43" t="s">
        <v>245</v>
      </c>
      <c r="G43" t="s">
        <v>606</v>
      </c>
      <c r="H43" t="s">
        <v>48</v>
      </c>
      <c r="I43" t="s">
        <v>607</v>
      </c>
      <c r="J43" t="s">
        <v>48</v>
      </c>
      <c r="K43" t="s">
        <v>608</v>
      </c>
      <c r="L43">
        <v>1470000</v>
      </c>
      <c r="M43">
        <v>2100000</v>
      </c>
      <c r="N43" t="s">
        <v>609</v>
      </c>
      <c r="O43" s="1">
        <v>45599</v>
      </c>
      <c r="P43" t="s">
        <v>610</v>
      </c>
      <c r="Q43" t="s">
        <v>611</v>
      </c>
      <c r="R43" t="s">
        <v>146</v>
      </c>
      <c r="S43" t="s">
        <v>612</v>
      </c>
      <c r="T43" t="s">
        <v>613</v>
      </c>
      <c r="U43" t="s">
        <v>614</v>
      </c>
      <c r="V43" t="s">
        <v>336</v>
      </c>
      <c r="W43" t="s">
        <v>150</v>
      </c>
      <c r="X43" t="s">
        <v>101</v>
      </c>
      <c r="Y43" t="s">
        <v>615</v>
      </c>
      <c r="Z43">
        <v>3</v>
      </c>
      <c r="AA43" t="s">
        <v>323</v>
      </c>
      <c r="AB43" t="s">
        <v>48</v>
      </c>
      <c r="AC43" t="s">
        <v>48</v>
      </c>
      <c r="AD43" t="s">
        <v>86</v>
      </c>
      <c r="AE43">
        <v>1785000</v>
      </c>
      <c r="AF43">
        <v>31238</v>
      </c>
      <c r="AJ43" t="str">
        <f>_xlfn.XLOOKUP(Table9[[#This Row],[Engine No.]],'[1]Dubai Islamic Consumer'!$Q$3:$Q$1176,'[1]Dubai Islamic Consumer'!$B$3:$B$1176,,,)</f>
        <v>KHI/HO/D/MO/PC COMP/C/102086/60/11/2024</v>
      </c>
    </row>
    <row r="44" spans="1:36" hidden="1" x14ac:dyDescent="0.25">
      <c r="A44">
        <v>43</v>
      </c>
      <c r="B44" t="s">
        <v>35</v>
      </c>
      <c r="C44" t="s">
        <v>616</v>
      </c>
      <c r="D44" t="s">
        <v>37</v>
      </c>
      <c r="E44" t="s">
        <v>617</v>
      </c>
      <c r="F44" t="s">
        <v>245</v>
      </c>
      <c r="G44" t="s">
        <v>618</v>
      </c>
      <c r="H44" t="s">
        <v>619</v>
      </c>
      <c r="I44" t="s">
        <v>48</v>
      </c>
      <c r="J44" t="s">
        <v>619</v>
      </c>
      <c r="K44" t="s">
        <v>620</v>
      </c>
      <c r="L44">
        <v>1536250</v>
      </c>
      <c r="M44">
        <v>6145000</v>
      </c>
      <c r="N44" t="s">
        <v>621</v>
      </c>
      <c r="O44" s="1">
        <v>45599</v>
      </c>
      <c r="P44" t="s">
        <v>622</v>
      </c>
      <c r="Q44" t="s">
        <v>623</v>
      </c>
      <c r="R44" t="s">
        <v>47</v>
      </c>
      <c r="S44" t="s">
        <v>48</v>
      </c>
      <c r="T44" t="s">
        <v>624</v>
      </c>
      <c r="U44" t="s">
        <v>148</v>
      </c>
      <c r="V44" t="s">
        <v>625</v>
      </c>
      <c r="W44" t="s">
        <v>150</v>
      </c>
      <c r="X44" t="s">
        <v>101</v>
      </c>
      <c r="Y44" t="s">
        <v>626</v>
      </c>
      <c r="Z44">
        <v>3</v>
      </c>
      <c r="AA44" t="s">
        <v>323</v>
      </c>
      <c r="AB44" t="s">
        <v>627</v>
      </c>
      <c r="AC44" t="s">
        <v>149</v>
      </c>
      <c r="AD44" t="s">
        <v>86</v>
      </c>
      <c r="AE44">
        <v>5223250</v>
      </c>
      <c r="AF44">
        <v>91407</v>
      </c>
      <c r="AJ44" t="str">
        <f>_xlfn.XLOOKUP(Table9[[#This Row],[Engine No.]],'[1]Dubai Islamic Consumer'!$Q$3:$Q$1176,'[1]Dubai Islamic Consumer'!$B$3:$B$1176,,,)</f>
        <v>KHI/HO/D/MO/PC COMP/C/102086/61/11/2024</v>
      </c>
    </row>
    <row r="45" spans="1:36" hidden="1" x14ac:dyDescent="0.25">
      <c r="A45">
        <v>44</v>
      </c>
      <c r="B45" t="s">
        <v>35</v>
      </c>
      <c r="C45" t="s">
        <v>628</v>
      </c>
      <c r="D45" t="s">
        <v>37</v>
      </c>
      <c r="E45" t="s">
        <v>629</v>
      </c>
      <c r="F45" t="s">
        <v>245</v>
      </c>
      <c r="G45" t="s">
        <v>630</v>
      </c>
      <c r="H45" t="s">
        <v>631</v>
      </c>
      <c r="I45" t="s">
        <v>632</v>
      </c>
      <c r="J45" t="s">
        <v>633</v>
      </c>
      <c r="K45" t="s">
        <v>634</v>
      </c>
      <c r="L45">
        <v>700000</v>
      </c>
      <c r="M45">
        <v>1000000</v>
      </c>
      <c r="N45" t="s">
        <v>635</v>
      </c>
      <c r="O45" s="1">
        <v>45599</v>
      </c>
      <c r="P45" t="s">
        <v>636</v>
      </c>
      <c r="Q45" t="s">
        <v>637</v>
      </c>
      <c r="R45" t="s">
        <v>146</v>
      </c>
      <c r="S45" t="s">
        <v>638</v>
      </c>
      <c r="T45" t="s">
        <v>639</v>
      </c>
      <c r="U45" t="s">
        <v>496</v>
      </c>
      <c r="V45" t="s">
        <v>336</v>
      </c>
      <c r="W45" t="s">
        <v>150</v>
      </c>
      <c r="X45" t="s">
        <v>255</v>
      </c>
      <c r="Y45" t="s">
        <v>640</v>
      </c>
      <c r="Z45">
        <v>5</v>
      </c>
      <c r="AA45" t="s">
        <v>323</v>
      </c>
      <c r="AB45" t="s">
        <v>48</v>
      </c>
      <c r="AC45" t="s">
        <v>149</v>
      </c>
      <c r="AD45" t="s">
        <v>86</v>
      </c>
      <c r="AE45">
        <v>850000</v>
      </c>
      <c r="AF45">
        <v>14875</v>
      </c>
      <c r="AJ45" t="str">
        <f>_xlfn.XLOOKUP(Table9[[#This Row],[Engine No.]],'[1]Dubai Islamic Consumer'!$Q$3:$Q$1176,'[1]Dubai Islamic Consumer'!$B$3:$B$1176,,,)</f>
        <v>KHI/HO/D/MO/PC COMP/C/102086/62/11/2024</v>
      </c>
    </row>
    <row r="46" spans="1:36" hidden="1" x14ac:dyDescent="0.25">
      <c r="A46">
        <v>45</v>
      </c>
      <c r="B46" t="s">
        <v>35</v>
      </c>
      <c r="C46" t="s">
        <v>641</v>
      </c>
      <c r="D46" t="s">
        <v>37</v>
      </c>
      <c r="E46" t="s">
        <v>642</v>
      </c>
      <c r="F46" t="s">
        <v>138</v>
      </c>
      <c r="G46" t="s">
        <v>643</v>
      </c>
      <c r="H46" t="s">
        <v>644</v>
      </c>
      <c r="I46" t="s">
        <v>644</v>
      </c>
      <c r="J46" t="s">
        <v>141</v>
      </c>
      <c r="K46" t="s">
        <v>645</v>
      </c>
      <c r="L46">
        <v>1456000</v>
      </c>
      <c r="M46">
        <v>2600000</v>
      </c>
      <c r="N46" t="s">
        <v>646</v>
      </c>
      <c r="O46" s="1">
        <v>45599</v>
      </c>
      <c r="P46" t="s">
        <v>647</v>
      </c>
      <c r="Q46" t="s">
        <v>648</v>
      </c>
      <c r="R46" t="s">
        <v>146</v>
      </c>
      <c r="S46" t="s">
        <v>649</v>
      </c>
      <c r="T46" t="s">
        <v>650</v>
      </c>
      <c r="U46" t="s">
        <v>651</v>
      </c>
      <c r="V46" t="s">
        <v>625</v>
      </c>
      <c r="W46" t="s">
        <v>150</v>
      </c>
      <c r="X46" t="s">
        <v>101</v>
      </c>
      <c r="Y46" t="s">
        <v>652</v>
      </c>
      <c r="Z46">
        <v>3</v>
      </c>
      <c r="AA46" t="s">
        <v>152</v>
      </c>
      <c r="AB46" t="s">
        <v>653</v>
      </c>
      <c r="AC46" t="s">
        <v>149</v>
      </c>
      <c r="AD46" t="s">
        <v>86</v>
      </c>
      <c r="AE46">
        <v>2210000</v>
      </c>
      <c r="AF46">
        <v>38675</v>
      </c>
      <c r="AJ46" t="str">
        <f>_xlfn.XLOOKUP(Table9[[#This Row],[Engine No.]],'[1]Dubai Islamic Consumer'!$Q$3:$Q$1176,'[1]Dubai Islamic Consumer'!$B$3:$B$1176,,,)</f>
        <v>KHI/HO/D/MO/PC COMP/C/102086/63/11/2024</v>
      </c>
    </row>
    <row r="47" spans="1:36" hidden="1" x14ac:dyDescent="0.25">
      <c r="A47">
        <v>46</v>
      </c>
      <c r="B47" t="s">
        <v>35</v>
      </c>
      <c r="C47" t="s">
        <v>654</v>
      </c>
      <c r="D47" t="s">
        <v>37</v>
      </c>
      <c r="E47" t="s">
        <v>655</v>
      </c>
      <c r="F47" t="s">
        <v>107</v>
      </c>
      <c r="G47" t="s">
        <v>656</v>
      </c>
      <c r="H47" t="s">
        <v>657</v>
      </c>
      <c r="I47" t="s">
        <v>657</v>
      </c>
      <c r="J47" t="s">
        <v>657</v>
      </c>
      <c r="K47" t="s">
        <v>658</v>
      </c>
      <c r="L47">
        <v>934500</v>
      </c>
      <c r="M47">
        <v>1335000</v>
      </c>
      <c r="N47" t="s">
        <v>659</v>
      </c>
      <c r="O47" s="1">
        <v>45600</v>
      </c>
      <c r="P47" t="s">
        <v>660</v>
      </c>
      <c r="Q47" t="s">
        <v>661</v>
      </c>
      <c r="R47" t="s">
        <v>47</v>
      </c>
      <c r="S47" t="s">
        <v>48</v>
      </c>
      <c r="T47" t="s">
        <v>194</v>
      </c>
      <c r="U47" t="s">
        <v>50</v>
      </c>
      <c r="V47" t="s">
        <v>442</v>
      </c>
      <c r="W47" t="s">
        <v>196</v>
      </c>
      <c r="X47" t="s">
        <v>401</v>
      </c>
      <c r="Y47" t="s">
        <v>662</v>
      </c>
      <c r="Z47">
        <v>5</v>
      </c>
      <c r="AA47" t="s">
        <v>118</v>
      </c>
      <c r="AB47" t="s">
        <v>663</v>
      </c>
      <c r="AC47" t="s">
        <v>185</v>
      </c>
      <c r="AD47" t="s">
        <v>58</v>
      </c>
      <c r="AE47">
        <v>1068000</v>
      </c>
      <c r="AF47">
        <v>21360</v>
      </c>
      <c r="AJ47" t="str">
        <f>_xlfn.XLOOKUP(Table9[[#This Row],[Engine No.]],'[1]Dubai Islamic Consumer'!$Q$3:$Q$1176,'[1]Dubai Islamic Consumer'!$B$3:$B$1176,,,)</f>
        <v>KHI/HO/D/MO/PC COMP/C/102086/67/11/2024</v>
      </c>
    </row>
    <row r="48" spans="1:36" hidden="1" x14ac:dyDescent="0.25">
      <c r="A48">
        <v>47</v>
      </c>
      <c r="B48" t="s">
        <v>35</v>
      </c>
      <c r="C48" t="s">
        <v>664</v>
      </c>
      <c r="D48" t="s">
        <v>37</v>
      </c>
      <c r="E48" t="s">
        <v>665</v>
      </c>
      <c r="F48" t="s">
        <v>406</v>
      </c>
      <c r="G48" t="s">
        <v>666</v>
      </c>
      <c r="H48" t="s">
        <v>667</v>
      </c>
      <c r="I48" t="s">
        <v>667</v>
      </c>
      <c r="J48" t="s">
        <v>668</v>
      </c>
      <c r="K48" t="s">
        <v>669</v>
      </c>
      <c r="L48">
        <v>1001250</v>
      </c>
      <c r="M48">
        <v>1335000</v>
      </c>
      <c r="N48" t="s">
        <v>670</v>
      </c>
      <c r="O48" s="1">
        <v>45600</v>
      </c>
      <c r="P48" t="s">
        <v>671</v>
      </c>
      <c r="Q48" t="s">
        <v>672</v>
      </c>
      <c r="R48" t="s">
        <v>47</v>
      </c>
      <c r="S48" t="s">
        <v>48</v>
      </c>
      <c r="T48" t="s">
        <v>673</v>
      </c>
      <c r="U48" t="s">
        <v>50</v>
      </c>
      <c r="V48" t="s">
        <v>116</v>
      </c>
      <c r="W48" t="s">
        <v>52</v>
      </c>
      <c r="X48" t="s">
        <v>53</v>
      </c>
      <c r="Y48" t="s">
        <v>674</v>
      </c>
      <c r="Z48">
        <v>5</v>
      </c>
      <c r="AA48" t="s">
        <v>118</v>
      </c>
      <c r="AB48" t="s">
        <v>675</v>
      </c>
      <c r="AC48" t="s">
        <v>676</v>
      </c>
      <c r="AD48" t="s">
        <v>58</v>
      </c>
      <c r="AE48">
        <v>1068000</v>
      </c>
      <c r="AF48">
        <v>21360</v>
      </c>
      <c r="AJ48" t="str">
        <f>_xlfn.XLOOKUP(Table9[[#This Row],[Engine No.]],'[1]Dubai Islamic Consumer'!$Q$3:$Q$1176,'[1]Dubai Islamic Consumer'!$B$3:$B$1176,,,)</f>
        <v>KHI/HO/D/MO/PC COMP/C/102086/68/11/2024</v>
      </c>
    </row>
    <row r="49" spans="1:36" hidden="1" x14ac:dyDescent="0.25">
      <c r="A49">
        <v>48</v>
      </c>
      <c r="B49" t="s">
        <v>35</v>
      </c>
      <c r="C49" t="s">
        <v>677</v>
      </c>
      <c r="D49" t="s">
        <v>37</v>
      </c>
      <c r="E49" t="s">
        <v>678</v>
      </c>
      <c r="F49" t="s">
        <v>107</v>
      </c>
      <c r="G49" t="s">
        <v>679</v>
      </c>
      <c r="H49" t="s">
        <v>680</v>
      </c>
      <c r="I49" t="s">
        <v>680</v>
      </c>
      <c r="J49" t="s">
        <v>681</v>
      </c>
      <c r="K49" t="s">
        <v>682</v>
      </c>
      <c r="L49">
        <v>1287200</v>
      </c>
      <c r="M49">
        <v>1609000</v>
      </c>
      <c r="N49" t="s">
        <v>683</v>
      </c>
      <c r="O49" s="1">
        <v>45600</v>
      </c>
      <c r="P49" t="s">
        <v>684</v>
      </c>
      <c r="Q49" t="s">
        <v>685</v>
      </c>
      <c r="R49" t="s">
        <v>47</v>
      </c>
      <c r="S49" t="s">
        <v>48</v>
      </c>
      <c r="T49" t="s">
        <v>686</v>
      </c>
      <c r="U49" t="s">
        <v>98</v>
      </c>
      <c r="V49" t="s">
        <v>687</v>
      </c>
      <c r="W49" t="s">
        <v>100</v>
      </c>
      <c r="X49" t="s">
        <v>101</v>
      </c>
      <c r="Y49" t="s">
        <v>688</v>
      </c>
      <c r="Z49">
        <v>5</v>
      </c>
      <c r="AA49" t="s">
        <v>227</v>
      </c>
      <c r="AB49" t="s">
        <v>689</v>
      </c>
      <c r="AC49" t="s">
        <v>431</v>
      </c>
      <c r="AD49" t="s">
        <v>58</v>
      </c>
      <c r="AE49">
        <v>1206750</v>
      </c>
      <c r="AF49">
        <v>24135</v>
      </c>
      <c r="AJ49" t="str">
        <f>_xlfn.XLOOKUP(Table9[[#This Row],[Engine No.]],'[1]Dubai Islamic Consumer'!$Q$3:$Q$1176,'[1]Dubai Islamic Consumer'!$B$3:$B$1176,,,)</f>
        <v>KHI/HO/D/MO/PC COMP/C/102086/69/11/2024</v>
      </c>
    </row>
    <row r="50" spans="1:36" hidden="1" x14ac:dyDescent="0.25">
      <c r="A50">
        <v>49</v>
      </c>
      <c r="B50" t="s">
        <v>35</v>
      </c>
      <c r="C50" t="s">
        <v>690</v>
      </c>
      <c r="D50" t="s">
        <v>37</v>
      </c>
      <c r="E50" t="s">
        <v>691</v>
      </c>
      <c r="F50" t="s">
        <v>692</v>
      </c>
      <c r="G50" t="s">
        <v>693</v>
      </c>
      <c r="H50" t="s">
        <v>694</v>
      </c>
      <c r="I50" t="s">
        <v>694</v>
      </c>
      <c r="J50" t="s">
        <v>694</v>
      </c>
      <c r="K50" t="s">
        <v>695</v>
      </c>
      <c r="L50">
        <v>2008500</v>
      </c>
      <c r="M50">
        <v>2678000</v>
      </c>
      <c r="N50" t="s">
        <v>696</v>
      </c>
      <c r="O50" s="1">
        <v>45600</v>
      </c>
      <c r="P50" t="s">
        <v>697</v>
      </c>
      <c r="Q50" t="s">
        <v>698</v>
      </c>
      <c r="R50" t="s">
        <v>47</v>
      </c>
      <c r="S50" t="s">
        <v>48</v>
      </c>
      <c r="T50" t="s">
        <v>699</v>
      </c>
      <c r="U50" t="s">
        <v>98</v>
      </c>
      <c r="V50" t="s">
        <v>700</v>
      </c>
      <c r="W50" t="s">
        <v>167</v>
      </c>
      <c r="X50" t="s">
        <v>197</v>
      </c>
      <c r="Y50" t="s">
        <v>701</v>
      </c>
      <c r="Z50">
        <v>5</v>
      </c>
      <c r="AA50" t="s">
        <v>227</v>
      </c>
      <c r="AB50" t="s">
        <v>702</v>
      </c>
      <c r="AC50" t="s">
        <v>431</v>
      </c>
      <c r="AD50" t="s">
        <v>171</v>
      </c>
      <c r="AE50">
        <v>2008500</v>
      </c>
      <c r="AF50">
        <v>50213</v>
      </c>
      <c r="AJ50" t="str">
        <f>_xlfn.XLOOKUP(Table9[[#This Row],[Engine No.]],'[1]Dubai Islamic Consumer'!$Q$3:$Q$1176,'[1]Dubai Islamic Consumer'!$B$3:$B$1176,,,)</f>
        <v>KHI/HO/D/MO/PC COMP/C/102086/74/11/2024</v>
      </c>
    </row>
    <row r="51" spans="1:36" hidden="1" x14ac:dyDescent="0.25">
      <c r="A51">
        <v>50</v>
      </c>
      <c r="B51" t="s">
        <v>35</v>
      </c>
      <c r="C51" t="s">
        <v>703</v>
      </c>
      <c r="D51" t="s">
        <v>37</v>
      </c>
      <c r="E51" t="s">
        <v>704</v>
      </c>
      <c r="F51" t="s">
        <v>138</v>
      </c>
      <c r="G51" t="s">
        <v>705</v>
      </c>
      <c r="H51" t="s">
        <v>706</v>
      </c>
      <c r="I51" t="s">
        <v>707</v>
      </c>
      <c r="J51" t="s">
        <v>708</v>
      </c>
      <c r="K51" t="s">
        <v>709</v>
      </c>
      <c r="L51">
        <v>1697500</v>
      </c>
      <c r="M51">
        <v>2425000</v>
      </c>
      <c r="N51" t="s">
        <v>710</v>
      </c>
      <c r="O51" s="1">
        <v>45600</v>
      </c>
      <c r="P51" t="s">
        <v>711</v>
      </c>
      <c r="Q51" t="s">
        <v>712</v>
      </c>
      <c r="R51" t="s">
        <v>146</v>
      </c>
      <c r="S51" t="s">
        <v>713</v>
      </c>
      <c r="T51" t="s">
        <v>714</v>
      </c>
      <c r="U51" t="s">
        <v>715</v>
      </c>
      <c r="V51" t="s">
        <v>716</v>
      </c>
      <c r="W51" t="s">
        <v>52</v>
      </c>
      <c r="X51" t="s">
        <v>101</v>
      </c>
      <c r="Y51" t="s">
        <v>717</v>
      </c>
      <c r="Z51">
        <v>4</v>
      </c>
      <c r="AA51" t="s">
        <v>118</v>
      </c>
      <c r="AB51" t="s">
        <v>675</v>
      </c>
      <c r="AC51" t="s">
        <v>676</v>
      </c>
      <c r="AD51" t="s">
        <v>58</v>
      </c>
      <c r="AE51">
        <v>1940000</v>
      </c>
      <c r="AF51">
        <v>38800</v>
      </c>
      <c r="AJ51" t="str">
        <f>_xlfn.XLOOKUP(Table9[[#This Row],[Engine No.]],'[1]Dubai Islamic Consumer'!$Q$3:$Q$1176,'[1]Dubai Islamic Consumer'!$B$3:$B$1176,,,)</f>
        <v>KHI/HO/D/MO/PC COMP/C/102086/75/11/2024</v>
      </c>
    </row>
    <row r="52" spans="1:36" hidden="1" x14ac:dyDescent="0.25">
      <c r="A52">
        <v>51</v>
      </c>
      <c r="B52" t="s">
        <v>35</v>
      </c>
      <c r="C52" t="s">
        <v>718</v>
      </c>
      <c r="D52" t="s">
        <v>37</v>
      </c>
      <c r="E52" t="s">
        <v>719</v>
      </c>
      <c r="F52" t="s">
        <v>107</v>
      </c>
      <c r="G52" t="s">
        <v>720</v>
      </c>
      <c r="H52" t="s">
        <v>48</v>
      </c>
      <c r="I52" t="s">
        <v>721</v>
      </c>
      <c r="J52" t="s">
        <v>48</v>
      </c>
      <c r="K52" t="s">
        <v>722</v>
      </c>
      <c r="L52">
        <v>2128500</v>
      </c>
      <c r="M52">
        <v>3870000</v>
      </c>
      <c r="N52" t="s">
        <v>723</v>
      </c>
      <c r="O52" s="1">
        <v>45600</v>
      </c>
      <c r="P52" t="s">
        <v>724</v>
      </c>
      <c r="Q52" t="s">
        <v>725</v>
      </c>
      <c r="R52" t="s">
        <v>47</v>
      </c>
      <c r="S52" t="s">
        <v>48</v>
      </c>
      <c r="T52" t="s">
        <v>726</v>
      </c>
      <c r="U52" t="s">
        <v>50</v>
      </c>
      <c r="V52" t="s">
        <v>727</v>
      </c>
      <c r="W52" t="s">
        <v>52</v>
      </c>
      <c r="X52" t="s">
        <v>53</v>
      </c>
      <c r="Y52" t="s">
        <v>728</v>
      </c>
      <c r="Z52">
        <v>5</v>
      </c>
      <c r="AA52" t="s">
        <v>55</v>
      </c>
      <c r="AB52" t="s">
        <v>729</v>
      </c>
      <c r="AC52" t="s">
        <v>185</v>
      </c>
      <c r="AD52" t="s">
        <v>58</v>
      </c>
      <c r="AE52">
        <v>3096000</v>
      </c>
      <c r="AF52">
        <v>61920</v>
      </c>
      <c r="AJ52" t="str">
        <f>_xlfn.XLOOKUP(Table9[[#This Row],[Engine No.]],'[1]Dubai Islamic Consumer'!$Q$3:$Q$1176,'[1]Dubai Islamic Consumer'!$B$3:$B$1176,,,)</f>
        <v>KHI/HO/D/MO/PC COMP/C/102086/76/11/2024</v>
      </c>
    </row>
    <row r="53" spans="1:36" hidden="1" x14ac:dyDescent="0.25">
      <c r="A53">
        <v>52</v>
      </c>
      <c r="B53" t="s">
        <v>35</v>
      </c>
      <c r="C53" t="s">
        <v>730</v>
      </c>
      <c r="D53" t="s">
        <v>37</v>
      </c>
      <c r="E53" t="s">
        <v>731</v>
      </c>
      <c r="F53" t="s">
        <v>107</v>
      </c>
      <c r="G53" t="s">
        <v>732</v>
      </c>
      <c r="H53" t="s">
        <v>733</v>
      </c>
      <c r="I53" t="s">
        <v>734</v>
      </c>
      <c r="J53" t="s">
        <v>735</v>
      </c>
      <c r="K53" t="s">
        <v>736</v>
      </c>
      <c r="L53">
        <v>2984850</v>
      </c>
      <c r="M53">
        <v>5427000</v>
      </c>
      <c r="N53" t="s">
        <v>737</v>
      </c>
      <c r="O53" s="1">
        <v>45600</v>
      </c>
      <c r="P53" t="s">
        <v>738</v>
      </c>
      <c r="Q53" t="s">
        <v>739</v>
      </c>
      <c r="R53" t="s">
        <v>47</v>
      </c>
      <c r="S53" t="s">
        <v>48</v>
      </c>
      <c r="T53" t="s">
        <v>520</v>
      </c>
      <c r="U53" t="s">
        <v>98</v>
      </c>
      <c r="V53" t="s">
        <v>521</v>
      </c>
      <c r="W53" t="s">
        <v>100</v>
      </c>
      <c r="X53" t="s">
        <v>101</v>
      </c>
      <c r="Y53" t="s">
        <v>740</v>
      </c>
      <c r="Z53">
        <v>5</v>
      </c>
      <c r="AA53" t="s">
        <v>48</v>
      </c>
      <c r="AB53" t="s">
        <v>48</v>
      </c>
      <c r="AC53" t="s">
        <v>48</v>
      </c>
      <c r="AD53" t="s">
        <v>299</v>
      </c>
      <c r="AE53">
        <v>4070250</v>
      </c>
      <c r="AF53">
        <v>61054</v>
      </c>
      <c r="AJ53" t="str">
        <f>_xlfn.XLOOKUP(Table9[[#This Row],[Engine No.]],'[1]Dubai Islamic Consumer'!$Q$3:$Q$1176,'[1]Dubai Islamic Consumer'!$B$3:$B$1176,,,)</f>
        <v>KHI/HO/D/MO/PC COMP/C/102086/77/11/2024</v>
      </c>
    </row>
    <row r="54" spans="1:36" hidden="1" x14ac:dyDescent="0.25">
      <c r="A54">
        <v>53</v>
      </c>
      <c r="B54" t="s">
        <v>35</v>
      </c>
      <c r="C54" t="s">
        <v>741</v>
      </c>
      <c r="D54" t="s">
        <v>37</v>
      </c>
      <c r="E54" t="s">
        <v>742</v>
      </c>
      <c r="F54" t="s">
        <v>89</v>
      </c>
      <c r="G54" t="s">
        <v>743</v>
      </c>
      <c r="H54" t="s">
        <v>744</v>
      </c>
      <c r="I54" t="s">
        <v>48</v>
      </c>
      <c r="J54" t="s">
        <v>744</v>
      </c>
      <c r="K54" t="s">
        <v>745</v>
      </c>
      <c r="L54">
        <v>3804500</v>
      </c>
      <c r="M54">
        <v>5435000</v>
      </c>
      <c r="N54" t="s">
        <v>746</v>
      </c>
      <c r="O54" s="1">
        <v>45600</v>
      </c>
      <c r="P54" t="s">
        <v>747</v>
      </c>
      <c r="Q54" t="s">
        <v>748</v>
      </c>
      <c r="R54" t="s">
        <v>47</v>
      </c>
      <c r="S54" t="s">
        <v>48</v>
      </c>
      <c r="T54" t="s">
        <v>520</v>
      </c>
      <c r="U54" t="s">
        <v>50</v>
      </c>
      <c r="V54" t="s">
        <v>749</v>
      </c>
      <c r="W54" t="s">
        <v>132</v>
      </c>
      <c r="X54" t="s">
        <v>133</v>
      </c>
      <c r="Y54" t="s">
        <v>750</v>
      </c>
      <c r="Z54">
        <v>5</v>
      </c>
      <c r="AA54" t="s">
        <v>48</v>
      </c>
      <c r="AB54" t="s">
        <v>48</v>
      </c>
      <c r="AC54" t="s">
        <v>48</v>
      </c>
      <c r="AD54" t="s">
        <v>58</v>
      </c>
      <c r="AE54">
        <v>4348000</v>
      </c>
      <c r="AF54">
        <v>86960</v>
      </c>
      <c r="AJ54" t="str">
        <f>_xlfn.XLOOKUP(Table9[[#This Row],[Engine No.]],'[1]Dubai Islamic Consumer'!$Q$3:$Q$1176,'[1]Dubai Islamic Consumer'!$B$3:$B$1176,,,)</f>
        <v>KHI/HO/D/MO/PC COMP/C/102086/78/11/2024</v>
      </c>
    </row>
    <row r="55" spans="1:36" hidden="1" x14ac:dyDescent="0.25">
      <c r="A55">
        <v>54</v>
      </c>
      <c r="B55" t="s">
        <v>35</v>
      </c>
      <c r="C55" t="s">
        <v>751</v>
      </c>
      <c r="D55" t="s">
        <v>37</v>
      </c>
      <c r="E55" t="s">
        <v>752</v>
      </c>
      <c r="F55" t="s">
        <v>73</v>
      </c>
      <c r="G55" t="s">
        <v>753</v>
      </c>
      <c r="H55" t="s">
        <v>754</v>
      </c>
      <c r="I55" t="s">
        <v>754</v>
      </c>
      <c r="J55" t="s">
        <v>754</v>
      </c>
      <c r="K55" t="s">
        <v>755</v>
      </c>
      <c r="L55">
        <v>1001250</v>
      </c>
      <c r="M55">
        <v>1335000</v>
      </c>
      <c r="N55" t="s">
        <v>756</v>
      </c>
      <c r="O55" s="1">
        <v>45600</v>
      </c>
      <c r="P55" t="s">
        <v>757</v>
      </c>
      <c r="Q55" t="s">
        <v>758</v>
      </c>
      <c r="R55" t="s">
        <v>47</v>
      </c>
      <c r="S55" t="s">
        <v>48</v>
      </c>
      <c r="T55" t="s">
        <v>194</v>
      </c>
      <c r="U55" t="s">
        <v>50</v>
      </c>
      <c r="V55" t="s">
        <v>759</v>
      </c>
      <c r="W55" t="s">
        <v>52</v>
      </c>
      <c r="X55" t="s">
        <v>53</v>
      </c>
      <c r="Y55" t="s">
        <v>760</v>
      </c>
      <c r="Z55">
        <v>5</v>
      </c>
      <c r="AA55" t="s">
        <v>55</v>
      </c>
      <c r="AB55" t="s">
        <v>761</v>
      </c>
      <c r="AC55" t="s">
        <v>185</v>
      </c>
      <c r="AD55" t="s">
        <v>58</v>
      </c>
      <c r="AE55">
        <v>1068000</v>
      </c>
      <c r="AF55">
        <v>21360</v>
      </c>
      <c r="AJ55" t="str">
        <f>_xlfn.XLOOKUP(Table9[[#This Row],[Engine No.]],'[1]Dubai Islamic Consumer'!$Q$3:$Q$1176,'[1]Dubai Islamic Consumer'!$B$3:$B$1176,,,)</f>
        <v>KHI/HO/D/MO/PC COMP/C/102086/80/11/2024</v>
      </c>
    </row>
    <row r="56" spans="1:36" hidden="1" x14ac:dyDescent="0.25">
      <c r="A56">
        <v>55</v>
      </c>
      <c r="B56" t="s">
        <v>35</v>
      </c>
      <c r="C56" t="s">
        <v>762</v>
      </c>
      <c r="D56" t="s">
        <v>37</v>
      </c>
      <c r="E56" t="s">
        <v>763</v>
      </c>
      <c r="F56" t="s">
        <v>764</v>
      </c>
      <c r="G56" t="s">
        <v>765</v>
      </c>
      <c r="H56" t="s">
        <v>48</v>
      </c>
      <c r="I56" t="s">
        <v>766</v>
      </c>
      <c r="J56" t="s">
        <v>48</v>
      </c>
      <c r="K56" t="s">
        <v>767</v>
      </c>
      <c r="L56">
        <v>927500</v>
      </c>
      <c r="M56">
        <v>1855000</v>
      </c>
      <c r="N56" t="s">
        <v>768</v>
      </c>
      <c r="O56" s="1">
        <v>45600</v>
      </c>
      <c r="P56" t="s">
        <v>769</v>
      </c>
      <c r="Q56" t="s">
        <v>770</v>
      </c>
      <c r="R56" t="s">
        <v>146</v>
      </c>
      <c r="S56" t="s">
        <v>48</v>
      </c>
      <c r="T56" t="s">
        <v>67</v>
      </c>
      <c r="U56" t="s">
        <v>98</v>
      </c>
      <c r="V56" t="s">
        <v>716</v>
      </c>
      <c r="W56" t="s">
        <v>52</v>
      </c>
      <c r="X56" t="s">
        <v>53</v>
      </c>
      <c r="Y56" t="s">
        <v>771</v>
      </c>
      <c r="Z56">
        <v>5</v>
      </c>
      <c r="AA56" t="s">
        <v>55</v>
      </c>
      <c r="AB56" t="s">
        <v>772</v>
      </c>
      <c r="AC56" t="s">
        <v>185</v>
      </c>
      <c r="AD56" t="s">
        <v>58</v>
      </c>
      <c r="AE56">
        <v>1484000</v>
      </c>
      <c r="AF56">
        <v>29680</v>
      </c>
      <c r="AJ56" t="str">
        <f>_xlfn.XLOOKUP(Table9[[#This Row],[Engine No.]],'[1]Dubai Islamic Consumer'!$Q$3:$Q$1176,'[1]Dubai Islamic Consumer'!$B$3:$B$1176,,,)</f>
        <v>KHI/HO/D/MO/PC COMP/C/102086/83/11/2024</v>
      </c>
    </row>
    <row r="57" spans="1:36" hidden="1" x14ac:dyDescent="0.25">
      <c r="A57">
        <v>56</v>
      </c>
      <c r="B57" t="s">
        <v>35</v>
      </c>
      <c r="C57" t="s">
        <v>773</v>
      </c>
      <c r="D57" t="s">
        <v>37</v>
      </c>
      <c r="E57" t="s">
        <v>774</v>
      </c>
      <c r="F57" t="s">
        <v>245</v>
      </c>
      <c r="G57" t="s">
        <v>775</v>
      </c>
      <c r="H57" t="s">
        <v>776</v>
      </c>
      <c r="I57" t="s">
        <v>48</v>
      </c>
      <c r="J57" t="s">
        <v>777</v>
      </c>
      <c r="K57" t="s">
        <v>778</v>
      </c>
      <c r="L57">
        <v>971250</v>
      </c>
      <c r="M57">
        <v>1295000</v>
      </c>
      <c r="N57" t="s">
        <v>779</v>
      </c>
      <c r="O57" s="1">
        <v>45601</v>
      </c>
      <c r="P57" t="s">
        <v>780</v>
      </c>
      <c r="Q57" t="s">
        <v>781</v>
      </c>
      <c r="R57" t="s">
        <v>47</v>
      </c>
      <c r="S57" t="s">
        <v>782</v>
      </c>
      <c r="T57" t="s">
        <v>783</v>
      </c>
      <c r="U57" t="s">
        <v>614</v>
      </c>
      <c r="V57" t="s">
        <v>784</v>
      </c>
      <c r="W57" t="s">
        <v>785</v>
      </c>
      <c r="X57" t="s">
        <v>101</v>
      </c>
      <c r="Y57" t="s">
        <v>786</v>
      </c>
      <c r="Z57">
        <v>6</v>
      </c>
      <c r="AA57" t="s">
        <v>227</v>
      </c>
      <c r="AB57" t="s">
        <v>787</v>
      </c>
      <c r="AC57" t="s">
        <v>788</v>
      </c>
      <c r="AD57" t="s">
        <v>171</v>
      </c>
      <c r="AE57">
        <v>906500</v>
      </c>
      <c r="AF57">
        <v>22663</v>
      </c>
      <c r="AJ57" t="str">
        <f>_xlfn.XLOOKUP(Table9[[#This Row],[Engine No.]],'[1]Dubai Islamic Consumer'!$Q$3:$Q$1176,'[1]Dubai Islamic Consumer'!$B$3:$B$1176,,,)</f>
        <v>KHI/HO/D/MO/PC COMP/C/102086/85/11/2024</v>
      </c>
    </row>
    <row r="58" spans="1:36" hidden="1" x14ac:dyDescent="0.25">
      <c r="A58">
        <v>57</v>
      </c>
      <c r="B58" t="s">
        <v>35</v>
      </c>
      <c r="C58" t="s">
        <v>789</v>
      </c>
      <c r="D58" t="s">
        <v>37</v>
      </c>
      <c r="E58" t="s">
        <v>790</v>
      </c>
      <c r="F58" t="s">
        <v>245</v>
      </c>
      <c r="G58" t="s">
        <v>791</v>
      </c>
      <c r="H58" t="s">
        <v>48</v>
      </c>
      <c r="I58" t="s">
        <v>792</v>
      </c>
      <c r="J58" t="s">
        <v>48</v>
      </c>
      <c r="K58" t="s">
        <v>793</v>
      </c>
      <c r="L58">
        <v>958400</v>
      </c>
      <c r="M58">
        <v>1198000</v>
      </c>
      <c r="N58" t="s">
        <v>794</v>
      </c>
      <c r="O58" s="1">
        <v>45601</v>
      </c>
      <c r="P58" t="s">
        <v>795</v>
      </c>
      <c r="Q58" t="s">
        <v>796</v>
      </c>
      <c r="R58" t="s">
        <v>47</v>
      </c>
      <c r="S58" t="s">
        <v>48</v>
      </c>
      <c r="T58" t="s">
        <v>797</v>
      </c>
      <c r="U58" t="s">
        <v>98</v>
      </c>
      <c r="V58" t="s">
        <v>481</v>
      </c>
      <c r="W58" t="s">
        <v>167</v>
      </c>
      <c r="X58" t="s">
        <v>197</v>
      </c>
      <c r="Y58" t="s">
        <v>798</v>
      </c>
      <c r="Z58">
        <v>5</v>
      </c>
      <c r="AA58" t="s">
        <v>55</v>
      </c>
      <c r="AB58" t="s">
        <v>799</v>
      </c>
      <c r="AC58" t="s">
        <v>428</v>
      </c>
      <c r="AD58" t="s">
        <v>58</v>
      </c>
      <c r="AE58">
        <v>898500</v>
      </c>
      <c r="AF58">
        <v>17970</v>
      </c>
      <c r="AJ58" t="str">
        <f>_xlfn.XLOOKUP(Table9[[#This Row],[Engine No.]],'[1]Dubai Islamic Consumer'!$Q$3:$Q$1176,'[1]Dubai Islamic Consumer'!$B$3:$B$1176,,,)</f>
        <v>KHI/HO/D/MO/PC COMP/C/102086/86/11/2024</v>
      </c>
    </row>
    <row r="59" spans="1:36" hidden="1" x14ac:dyDescent="0.25">
      <c r="A59">
        <v>58</v>
      </c>
      <c r="B59" t="s">
        <v>35</v>
      </c>
      <c r="C59" t="s">
        <v>800</v>
      </c>
      <c r="D59" t="s">
        <v>37</v>
      </c>
      <c r="E59" t="s">
        <v>801</v>
      </c>
      <c r="F59" t="s">
        <v>39</v>
      </c>
      <c r="G59" t="s">
        <v>802</v>
      </c>
      <c r="H59" t="s">
        <v>48</v>
      </c>
      <c r="I59" t="s">
        <v>803</v>
      </c>
      <c r="J59" t="s">
        <v>804</v>
      </c>
      <c r="K59" t="s">
        <v>805</v>
      </c>
      <c r="L59">
        <v>898500</v>
      </c>
      <c r="M59">
        <v>1198000</v>
      </c>
      <c r="N59" t="s">
        <v>806</v>
      </c>
      <c r="O59" s="1">
        <v>45601</v>
      </c>
      <c r="P59" t="s">
        <v>807</v>
      </c>
      <c r="Q59" t="s">
        <v>808</v>
      </c>
      <c r="R59" t="s">
        <v>47</v>
      </c>
      <c r="S59" t="s">
        <v>48</v>
      </c>
      <c r="T59" t="s">
        <v>809</v>
      </c>
      <c r="U59" t="s">
        <v>98</v>
      </c>
      <c r="V59" t="s">
        <v>810</v>
      </c>
      <c r="W59" t="s">
        <v>100</v>
      </c>
      <c r="X59" t="s">
        <v>255</v>
      </c>
      <c r="Y59" t="s">
        <v>811</v>
      </c>
      <c r="Z59">
        <v>7</v>
      </c>
      <c r="AA59" t="s">
        <v>55</v>
      </c>
      <c r="AB59" t="s">
        <v>812</v>
      </c>
      <c r="AC59" t="s">
        <v>225</v>
      </c>
      <c r="AD59" t="s">
        <v>58</v>
      </c>
      <c r="AE59">
        <v>898500</v>
      </c>
      <c r="AF59">
        <v>17970</v>
      </c>
      <c r="AJ59" t="str">
        <f>_xlfn.XLOOKUP(Table9[[#This Row],[Engine No.]],'[1]Dubai Islamic Consumer'!$Q$3:$Q$1176,'[1]Dubai Islamic Consumer'!$B$3:$B$1176,,,)</f>
        <v>KHI/HO/D/MO/PC COMP/C/102086/87/11/2024</v>
      </c>
    </row>
    <row r="60" spans="1:36" hidden="1" x14ac:dyDescent="0.25">
      <c r="A60">
        <v>59</v>
      </c>
      <c r="B60" t="s">
        <v>35</v>
      </c>
      <c r="C60" t="s">
        <v>813</v>
      </c>
      <c r="D60" t="s">
        <v>37</v>
      </c>
      <c r="E60" t="s">
        <v>814</v>
      </c>
      <c r="F60" t="s">
        <v>107</v>
      </c>
      <c r="G60" t="s">
        <v>815</v>
      </c>
      <c r="H60" t="s">
        <v>816</v>
      </c>
      <c r="I60" t="s">
        <v>816</v>
      </c>
      <c r="J60" t="s">
        <v>817</v>
      </c>
      <c r="K60" t="s">
        <v>818</v>
      </c>
      <c r="L60">
        <v>1068750</v>
      </c>
      <c r="M60">
        <v>1425000</v>
      </c>
      <c r="N60" t="s">
        <v>819</v>
      </c>
      <c r="O60" s="1">
        <v>45601</v>
      </c>
      <c r="P60" t="s">
        <v>820</v>
      </c>
      <c r="Q60" t="s">
        <v>821</v>
      </c>
      <c r="R60" t="s">
        <v>146</v>
      </c>
      <c r="S60" t="s">
        <v>822</v>
      </c>
      <c r="T60" t="s">
        <v>224</v>
      </c>
      <c r="U60" t="s">
        <v>335</v>
      </c>
      <c r="V60" t="s">
        <v>428</v>
      </c>
      <c r="W60" t="s">
        <v>100</v>
      </c>
      <c r="X60" t="s">
        <v>53</v>
      </c>
      <c r="Y60" t="s">
        <v>823</v>
      </c>
      <c r="Z60">
        <v>6</v>
      </c>
      <c r="AA60" t="s">
        <v>227</v>
      </c>
      <c r="AB60" t="s">
        <v>824</v>
      </c>
      <c r="AC60" t="s">
        <v>825</v>
      </c>
      <c r="AD60" t="s">
        <v>58</v>
      </c>
      <c r="AE60">
        <v>1068750</v>
      </c>
      <c r="AF60">
        <v>21375</v>
      </c>
      <c r="AJ60" t="str">
        <f>_xlfn.XLOOKUP(Table9[[#This Row],[Engine No.]],'[1]Dubai Islamic Consumer'!$Q$3:$Q$1176,'[1]Dubai Islamic Consumer'!$B$3:$B$1176,,,)</f>
        <v>KHI/HO/D/MO/PC COMP/C/102086/88/11/2024</v>
      </c>
    </row>
    <row r="61" spans="1:36" hidden="1" x14ac:dyDescent="0.25">
      <c r="A61">
        <v>60</v>
      </c>
      <c r="B61" t="s">
        <v>35</v>
      </c>
      <c r="C61" t="s">
        <v>826</v>
      </c>
      <c r="D61" t="s">
        <v>37</v>
      </c>
      <c r="E61" t="s">
        <v>827</v>
      </c>
      <c r="F61" t="s">
        <v>138</v>
      </c>
      <c r="G61" t="s">
        <v>828</v>
      </c>
      <c r="H61" t="s">
        <v>829</v>
      </c>
      <c r="I61" t="s">
        <v>830</v>
      </c>
      <c r="J61" t="s">
        <v>829</v>
      </c>
      <c r="K61" t="s">
        <v>831</v>
      </c>
      <c r="L61">
        <v>1306400</v>
      </c>
      <c r="M61">
        <v>1633000</v>
      </c>
      <c r="N61" t="s">
        <v>832</v>
      </c>
      <c r="O61" s="1">
        <v>45601</v>
      </c>
      <c r="P61" t="s">
        <v>833</v>
      </c>
      <c r="Q61" t="s">
        <v>834</v>
      </c>
      <c r="R61" t="s">
        <v>47</v>
      </c>
      <c r="S61" t="s">
        <v>48</v>
      </c>
      <c r="T61" t="s">
        <v>835</v>
      </c>
      <c r="U61" t="s">
        <v>98</v>
      </c>
      <c r="V61" t="s">
        <v>270</v>
      </c>
      <c r="W61" t="s">
        <v>456</v>
      </c>
      <c r="X61" t="s">
        <v>457</v>
      </c>
      <c r="Y61" t="s">
        <v>836</v>
      </c>
      <c r="Z61">
        <v>5</v>
      </c>
      <c r="AA61" t="s">
        <v>55</v>
      </c>
      <c r="AB61" t="s">
        <v>837</v>
      </c>
      <c r="AC61" t="s">
        <v>225</v>
      </c>
      <c r="AD61" t="s">
        <v>58</v>
      </c>
      <c r="AE61">
        <v>1224750</v>
      </c>
      <c r="AF61">
        <v>24495</v>
      </c>
      <c r="AJ61" t="str">
        <f>_xlfn.XLOOKUP(Table9[[#This Row],[Engine No.]],'[1]Dubai Islamic Consumer'!$Q$3:$Q$1176,'[1]Dubai Islamic Consumer'!$B$3:$B$1176,,,)</f>
        <v>KHI/HO/D/MO/PC COMP/C/102086/89/11/2024</v>
      </c>
    </row>
    <row r="62" spans="1:36" hidden="1" x14ac:dyDescent="0.25">
      <c r="A62">
        <v>61</v>
      </c>
      <c r="B62" t="s">
        <v>35</v>
      </c>
      <c r="C62" t="s">
        <v>838</v>
      </c>
      <c r="D62" t="s">
        <v>37</v>
      </c>
      <c r="E62" t="s">
        <v>839</v>
      </c>
      <c r="F62" t="s">
        <v>107</v>
      </c>
      <c r="G62" t="s">
        <v>840</v>
      </c>
      <c r="H62" t="s">
        <v>841</v>
      </c>
      <c r="I62" t="s">
        <v>841</v>
      </c>
      <c r="J62" t="s">
        <v>841</v>
      </c>
      <c r="K62" t="s">
        <v>842</v>
      </c>
      <c r="L62">
        <v>2215000</v>
      </c>
      <c r="M62">
        <v>4430000</v>
      </c>
      <c r="N62" t="s">
        <v>843</v>
      </c>
      <c r="O62" s="1">
        <v>45601</v>
      </c>
      <c r="P62" t="s">
        <v>844</v>
      </c>
      <c r="Q62" t="s">
        <v>845</v>
      </c>
      <c r="R62" t="s">
        <v>47</v>
      </c>
      <c r="S62" t="s">
        <v>48</v>
      </c>
      <c r="T62" t="s">
        <v>846</v>
      </c>
      <c r="U62" t="s">
        <v>98</v>
      </c>
      <c r="V62" t="s">
        <v>847</v>
      </c>
      <c r="W62" t="s">
        <v>100</v>
      </c>
      <c r="X62" t="s">
        <v>101</v>
      </c>
      <c r="Y62" t="s">
        <v>848</v>
      </c>
      <c r="Z62">
        <v>5</v>
      </c>
      <c r="AA62" t="s">
        <v>48</v>
      </c>
      <c r="AB62" t="s">
        <v>48</v>
      </c>
      <c r="AC62" t="s">
        <v>48</v>
      </c>
      <c r="AD62" t="s">
        <v>299</v>
      </c>
      <c r="AE62">
        <v>3322500</v>
      </c>
      <c r="AF62">
        <v>49838</v>
      </c>
      <c r="AJ62" t="str">
        <f>_xlfn.XLOOKUP(Table9[[#This Row],[Engine No.]],'[1]Dubai Islamic Consumer'!$Q$3:$Q$1176,'[1]Dubai Islamic Consumer'!$B$3:$B$1176,,,)</f>
        <v>KHI/HO/D/MO/PC COMP/C/102086/94/11/2024</v>
      </c>
    </row>
    <row r="63" spans="1:36" hidden="1" x14ac:dyDescent="0.25">
      <c r="A63">
        <v>62</v>
      </c>
      <c r="B63" t="s">
        <v>35</v>
      </c>
      <c r="C63" t="s">
        <v>849</v>
      </c>
      <c r="D63" t="s">
        <v>37</v>
      </c>
      <c r="E63" t="s">
        <v>850</v>
      </c>
      <c r="F63" t="s">
        <v>851</v>
      </c>
      <c r="G63" t="s">
        <v>852</v>
      </c>
      <c r="H63" t="s">
        <v>48</v>
      </c>
      <c r="I63" t="s">
        <v>853</v>
      </c>
      <c r="J63" t="s">
        <v>48</v>
      </c>
      <c r="K63" t="s">
        <v>854</v>
      </c>
      <c r="L63">
        <v>918000</v>
      </c>
      <c r="M63">
        <v>1530000</v>
      </c>
      <c r="N63" t="s">
        <v>855</v>
      </c>
      <c r="O63" s="1">
        <v>45602</v>
      </c>
      <c r="P63" t="s">
        <v>856</v>
      </c>
      <c r="Q63" t="s">
        <v>857</v>
      </c>
      <c r="R63" t="s">
        <v>858</v>
      </c>
      <c r="S63" t="s">
        <v>48</v>
      </c>
      <c r="T63" t="s">
        <v>859</v>
      </c>
      <c r="U63" t="s">
        <v>50</v>
      </c>
      <c r="V63" t="s">
        <v>860</v>
      </c>
      <c r="W63" t="s">
        <v>132</v>
      </c>
      <c r="X63" t="s">
        <v>533</v>
      </c>
      <c r="Y63" t="s">
        <v>861</v>
      </c>
      <c r="Z63">
        <v>4</v>
      </c>
      <c r="AA63" t="s">
        <v>152</v>
      </c>
      <c r="AB63" t="s">
        <v>862</v>
      </c>
      <c r="AC63" t="s">
        <v>863</v>
      </c>
      <c r="AD63" t="s">
        <v>86</v>
      </c>
      <c r="AE63">
        <v>1224000</v>
      </c>
      <c r="AF63">
        <v>21420</v>
      </c>
      <c r="AJ63" t="str">
        <f>_xlfn.XLOOKUP(Table9[[#This Row],[Engine No.]],'[1]Dubai Islamic Consumer'!$Q$3:$Q$1176,'[1]Dubai Islamic Consumer'!$B$3:$B$1176,,,)</f>
        <v>KHI/HO/D/MO/PC COMP/C/102086/96/11/2024</v>
      </c>
    </row>
    <row r="64" spans="1:36" hidden="1" x14ac:dyDescent="0.25">
      <c r="A64">
        <v>63</v>
      </c>
      <c r="B64" t="s">
        <v>35</v>
      </c>
      <c r="C64" t="s">
        <v>864</v>
      </c>
      <c r="D64" t="s">
        <v>37</v>
      </c>
      <c r="E64" t="s">
        <v>865</v>
      </c>
      <c r="F64" t="s">
        <v>107</v>
      </c>
      <c r="G64" t="s">
        <v>866</v>
      </c>
      <c r="H64" t="s">
        <v>867</v>
      </c>
      <c r="I64" t="s">
        <v>867</v>
      </c>
      <c r="J64" t="s">
        <v>867</v>
      </c>
      <c r="K64" t="s">
        <v>868</v>
      </c>
      <c r="L64">
        <v>1473050</v>
      </c>
      <c r="M64">
        <v>1733000</v>
      </c>
      <c r="N64" t="s">
        <v>869</v>
      </c>
      <c r="O64" s="1">
        <v>45602</v>
      </c>
      <c r="P64" t="s">
        <v>870</v>
      </c>
      <c r="Q64" t="s">
        <v>871</v>
      </c>
      <c r="R64" t="s">
        <v>47</v>
      </c>
      <c r="S64" t="s">
        <v>872</v>
      </c>
      <c r="T64" t="s">
        <v>873</v>
      </c>
      <c r="U64" t="s">
        <v>496</v>
      </c>
      <c r="V64" t="s">
        <v>874</v>
      </c>
      <c r="W64" t="s">
        <v>875</v>
      </c>
      <c r="X64" t="s">
        <v>197</v>
      </c>
      <c r="Y64" t="s">
        <v>876</v>
      </c>
      <c r="Z64">
        <v>7</v>
      </c>
      <c r="AA64" t="s">
        <v>877</v>
      </c>
      <c r="AB64" t="s">
        <v>878</v>
      </c>
      <c r="AC64" t="s">
        <v>879</v>
      </c>
      <c r="AD64" t="s">
        <v>880</v>
      </c>
      <c r="AE64">
        <v>1126450</v>
      </c>
      <c r="AF64">
        <v>34920</v>
      </c>
      <c r="AJ64" t="str">
        <f>_xlfn.XLOOKUP(Table9[[#This Row],[Engine No.]],'[1]Dubai Islamic Consumer'!$Q$3:$Q$1176,'[1]Dubai Islamic Consumer'!$B$3:$B$1176,,,)</f>
        <v>KHI/HO/D/MO/PC COMP/C/102086/97/11/2024</v>
      </c>
    </row>
    <row r="65" spans="1:36" hidden="1" x14ac:dyDescent="0.25">
      <c r="A65">
        <v>64</v>
      </c>
      <c r="B65" t="s">
        <v>35</v>
      </c>
      <c r="C65" t="s">
        <v>881</v>
      </c>
      <c r="D65" t="s">
        <v>37</v>
      </c>
      <c r="E65" t="s">
        <v>882</v>
      </c>
      <c r="F65" t="s">
        <v>245</v>
      </c>
      <c r="G65" t="s">
        <v>883</v>
      </c>
      <c r="H65" t="s">
        <v>884</v>
      </c>
      <c r="I65" t="s">
        <v>48</v>
      </c>
      <c r="J65" t="s">
        <v>141</v>
      </c>
      <c r="K65" t="s">
        <v>885</v>
      </c>
      <c r="L65">
        <v>2029300</v>
      </c>
      <c r="M65">
        <v>2899000</v>
      </c>
      <c r="N65" t="s">
        <v>886</v>
      </c>
      <c r="O65" s="1">
        <v>45602</v>
      </c>
      <c r="P65" t="s">
        <v>887</v>
      </c>
      <c r="Q65" t="s">
        <v>888</v>
      </c>
      <c r="R65" t="s">
        <v>47</v>
      </c>
      <c r="S65" t="s">
        <v>48</v>
      </c>
      <c r="T65" t="s">
        <v>889</v>
      </c>
      <c r="U65" t="s">
        <v>148</v>
      </c>
      <c r="V65" t="s">
        <v>890</v>
      </c>
      <c r="W65" t="s">
        <v>150</v>
      </c>
      <c r="X65" t="s">
        <v>255</v>
      </c>
      <c r="Y65" t="s">
        <v>891</v>
      </c>
      <c r="Z65">
        <v>5</v>
      </c>
      <c r="AA65" t="s">
        <v>55</v>
      </c>
      <c r="AB65" t="s">
        <v>892</v>
      </c>
      <c r="AC65" t="s">
        <v>336</v>
      </c>
      <c r="AD65" t="s">
        <v>58</v>
      </c>
      <c r="AE65">
        <v>2464150</v>
      </c>
      <c r="AF65">
        <v>49283</v>
      </c>
      <c r="AJ65" t="str">
        <f>_xlfn.XLOOKUP(Table9[[#This Row],[Engine No.]],'[1]Dubai Islamic Consumer'!$Q$3:$Q$1176,'[1]Dubai Islamic Consumer'!$B$3:$B$1176,,,)</f>
        <v>KHI/HO/D/MO/PC COMP/C/102086/98/11/2024</v>
      </c>
    </row>
    <row r="66" spans="1:36" hidden="1" x14ac:dyDescent="0.25">
      <c r="A66">
        <v>65</v>
      </c>
      <c r="B66" t="s">
        <v>35</v>
      </c>
      <c r="C66" t="s">
        <v>893</v>
      </c>
      <c r="D66" t="s">
        <v>37</v>
      </c>
      <c r="E66" t="s">
        <v>894</v>
      </c>
      <c r="F66" t="s">
        <v>138</v>
      </c>
      <c r="G66" t="s">
        <v>895</v>
      </c>
      <c r="H66" t="s">
        <v>896</v>
      </c>
      <c r="I66" t="s">
        <v>896</v>
      </c>
      <c r="J66" t="s">
        <v>141</v>
      </c>
      <c r="K66" t="s">
        <v>897</v>
      </c>
      <c r="L66">
        <v>1265000</v>
      </c>
      <c r="M66">
        <v>2530000</v>
      </c>
      <c r="N66" t="s">
        <v>898</v>
      </c>
      <c r="O66" s="1">
        <v>45602</v>
      </c>
      <c r="P66" t="s">
        <v>899</v>
      </c>
      <c r="Q66" t="s">
        <v>900</v>
      </c>
      <c r="R66" t="s">
        <v>146</v>
      </c>
      <c r="S66" t="s">
        <v>901</v>
      </c>
      <c r="T66" t="s">
        <v>902</v>
      </c>
      <c r="U66" t="s">
        <v>903</v>
      </c>
      <c r="V66" t="s">
        <v>904</v>
      </c>
      <c r="W66" t="s">
        <v>150</v>
      </c>
      <c r="X66" t="s">
        <v>101</v>
      </c>
      <c r="Y66" t="s">
        <v>905</v>
      </c>
      <c r="Z66">
        <v>3</v>
      </c>
      <c r="AA66" t="s">
        <v>227</v>
      </c>
      <c r="AB66" t="s">
        <v>906</v>
      </c>
      <c r="AC66" t="s">
        <v>336</v>
      </c>
      <c r="AD66" t="s">
        <v>86</v>
      </c>
      <c r="AE66">
        <v>2150500</v>
      </c>
      <c r="AF66">
        <v>37634</v>
      </c>
      <c r="AJ66" t="str">
        <f>_xlfn.XLOOKUP(Table9[[#This Row],[Engine No.]],'[1]Dubai Islamic Consumer'!$Q$3:$Q$1176,'[1]Dubai Islamic Consumer'!$B$3:$B$1176,,,)</f>
        <v>KHI/HO/D/MO/PC COMP/C/102086/99/11/2024</v>
      </c>
    </row>
    <row r="67" spans="1:36" hidden="1" x14ac:dyDescent="0.25">
      <c r="A67">
        <v>66</v>
      </c>
      <c r="B67" t="s">
        <v>35</v>
      </c>
      <c r="C67" t="s">
        <v>907</v>
      </c>
      <c r="D67" t="s">
        <v>37</v>
      </c>
      <c r="E67" t="s">
        <v>908</v>
      </c>
      <c r="F67" t="s">
        <v>138</v>
      </c>
      <c r="G67" t="s">
        <v>909</v>
      </c>
      <c r="H67" t="s">
        <v>910</v>
      </c>
      <c r="I67" t="s">
        <v>910</v>
      </c>
      <c r="J67" t="s">
        <v>141</v>
      </c>
      <c r="K67" t="s">
        <v>911</v>
      </c>
      <c r="L67">
        <v>1625000</v>
      </c>
      <c r="M67">
        <v>2500000</v>
      </c>
      <c r="N67" t="s">
        <v>912</v>
      </c>
      <c r="O67" s="1">
        <v>45602</v>
      </c>
      <c r="P67" t="s">
        <v>913</v>
      </c>
      <c r="Q67" t="s">
        <v>914</v>
      </c>
      <c r="R67" t="s">
        <v>146</v>
      </c>
      <c r="S67" t="s">
        <v>915</v>
      </c>
      <c r="T67" t="s">
        <v>902</v>
      </c>
      <c r="U67" t="s">
        <v>335</v>
      </c>
      <c r="V67" t="s">
        <v>904</v>
      </c>
      <c r="W67" t="s">
        <v>150</v>
      </c>
      <c r="X67" t="s">
        <v>101</v>
      </c>
      <c r="Y67" t="s">
        <v>916</v>
      </c>
      <c r="Z67">
        <v>3</v>
      </c>
      <c r="AA67" t="s">
        <v>227</v>
      </c>
      <c r="AB67" t="s">
        <v>917</v>
      </c>
      <c r="AC67" t="s">
        <v>904</v>
      </c>
      <c r="AD67" t="s">
        <v>86</v>
      </c>
      <c r="AE67">
        <v>2125000</v>
      </c>
      <c r="AF67">
        <v>37188</v>
      </c>
      <c r="AJ67" t="str">
        <f>_xlfn.XLOOKUP(Table9[[#This Row],[Engine No.]],'[1]Dubai Islamic Consumer'!$Q$3:$Q$1176,'[1]Dubai Islamic Consumer'!$B$3:$B$1176,,,)</f>
        <v>KHI/HO/D/MO/PC COMP/C/102086/100/11/2024</v>
      </c>
    </row>
    <row r="68" spans="1:36" hidden="1" x14ac:dyDescent="0.25">
      <c r="A68">
        <v>67</v>
      </c>
      <c r="B68" t="s">
        <v>35</v>
      </c>
      <c r="C68" t="s">
        <v>918</v>
      </c>
      <c r="D68" t="s">
        <v>37</v>
      </c>
      <c r="E68" t="s">
        <v>919</v>
      </c>
      <c r="F68" t="s">
        <v>245</v>
      </c>
      <c r="G68" t="s">
        <v>920</v>
      </c>
      <c r="H68" t="s">
        <v>921</v>
      </c>
      <c r="I68" t="s">
        <v>48</v>
      </c>
      <c r="J68" t="s">
        <v>922</v>
      </c>
      <c r="K68" t="s">
        <v>923</v>
      </c>
      <c r="L68">
        <v>2218300</v>
      </c>
      <c r="M68">
        <v>3169000</v>
      </c>
      <c r="N68" t="s">
        <v>924</v>
      </c>
      <c r="O68" s="1">
        <v>45602</v>
      </c>
      <c r="P68" t="s">
        <v>925</v>
      </c>
      <c r="Q68" t="s">
        <v>926</v>
      </c>
      <c r="R68" t="s">
        <v>47</v>
      </c>
      <c r="S68" t="s">
        <v>48</v>
      </c>
      <c r="T68" t="s">
        <v>889</v>
      </c>
      <c r="U68" t="s">
        <v>148</v>
      </c>
      <c r="V68" t="s">
        <v>927</v>
      </c>
      <c r="W68" t="s">
        <v>150</v>
      </c>
      <c r="X68" t="s">
        <v>255</v>
      </c>
      <c r="Y68" t="s">
        <v>928</v>
      </c>
      <c r="Z68">
        <v>5</v>
      </c>
      <c r="AA68" t="s">
        <v>118</v>
      </c>
      <c r="AB68" t="s">
        <v>929</v>
      </c>
      <c r="AC68" t="s">
        <v>336</v>
      </c>
      <c r="AD68" t="s">
        <v>58</v>
      </c>
      <c r="AE68">
        <v>2693650</v>
      </c>
      <c r="AF68">
        <v>53873</v>
      </c>
      <c r="AJ68" t="str">
        <f>_xlfn.XLOOKUP(Table9[[#This Row],[Engine No.]],'[1]Dubai Islamic Consumer'!$Q$3:$Q$1176,'[1]Dubai Islamic Consumer'!$B$3:$B$1176,,,)</f>
        <v>KHI/HO/D/MO/PC COMP/C/102086/103/11/2024</v>
      </c>
    </row>
    <row r="69" spans="1:36" hidden="1" x14ac:dyDescent="0.25">
      <c r="A69">
        <v>68</v>
      </c>
      <c r="B69" t="s">
        <v>35</v>
      </c>
      <c r="C69" t="s">
        <v>930</v>
      </c>
      <c r="D69" t="s">
        <v>37</v>
      </c>
      <c r="E69" t="s">
        <v>931</v>
      </c>
      <c r="F69" t="s">
        <v>932</v>
      </c>
      <c r="G69" t="s">
        <v>933</v>
      </c>
      <c r="H69" t="s">
        <v>48</v>
      </c>
      <c r="I69" t="s">
        <v>934</v>
      </c>
      <c r="J69" t="s">
        <v>48</v>
      </c>
      <c r="K69" t="s">
        <v>935</v>
      </c>
      <c r="L69">
        <v>1694700</v>
      </c>
      <c r="M69">
        <v>2421000</v>
      </c>
      <c r="N69" t="s">
        <v>936</v>
      </c>
      <c r="O69" s="1">
        <v>45602</v>
      </c>
      <c r="P69" t="s">
        <v>937</v>
      </c>
      <c r="Q69" t="s">
        <v>938</v>
      </c>
      <c r="R69" t="s">
        <v>858</v>
      </c>
      <c r="S69" t="s">
        <v>48</v>
      </c>
      <c r="T69" t="s">
        <v>859</v>
      </c>
      <c r="U69" t="s">
        <v>148</v>
      </c>
      <c r="V69" t="s">
        <v>939</v>
      </c>
      <c r="W69" t="s">
        <v>940</v>
      </c>
      <c r="X69" t="s">
        <v>533</v>
      </c>
      <c r="Y69" t="s">
        <v>941</v>
      </c>
      <c r="Z69">
        <v>3</v>
      </c>
      <c r="AA69" t="s">
        <v>227</v>
      </c>
      <c r="AB69" t="s">
        <v>942</v>
      </c>
      <c r="AC69" t="s">
        <v>336</v>
      </c>
      <c r="AD69" t="s">
        <v>943</v>
      </c>
      <c r="AE69">
        <v>2057850</v>
      </c>
      <c r="AF69">
        <v>28810</v>
      </c>
      <c r="AJ69" t="str">
        <f>_xlfn.XLOOKUP(Table9[[#This Row],[Engine No.]],'[1]Dubai Islamic Consumer'!$Q$3:$Q$1176,'[1]Dubai Islamic Consumer'!$B$3:$B$1176,,,)</f>
        <v>KHI/HO/D/MO/PC COMP/C/102086/108/11/2024</v>
      </c>
    </row>
    <row r="70" spans="1:36" hidden="1" x14ac:dyDescent="0.25">
      <c r="A70">
        <v>69</v>
      </c>
      <c r="B70" t="s">
        <v>35</v>
      </c>
      <c r="C70" t="s">
        <v>944</v>
      </c>
      <c r="D70" t="s">
        <v>37</v>
      </c>
      <c r="E70" t="s">
        <v>945</v>
      </c>
      <c r="F70" t="s">
        <v>138</v>
      </c>
      <c r="G70" t="s">
        <v>946</v>
      </c>
      <c r="H70" t="s">
        <v>947</v>
      </c>
      <c r="I70" t="s">
        <v>947</v>
      </c>
      <c r="J70" t="s">
        <v>141</v>
      </c>
      <c r="K70" t="s">
        <v>948</v>
      </c>
      <c r="L70">
        <v>1446720</v>
      </c>
      <c r="M70">
        <v>6028000</v>
      </c>
      <c r="N70" t="s">
        <v>949</v>
      </c>
      <c r="O70" t="s">
        <v>950</v>
      </c>
      <c r="P70" t="s">
        <v>951</v>
      </c>
      <c r="Q70" t="s">
        <v>952</v>
      </c>
      <c r="R70" t="s">
        <v>47</v>
      </c>
      <c r="S70" t="s">
        <v>48</v>
      </c>
      <c r="T70" t="s">
        <v>495</v>
      </c>
      <c r="U70" t="s">
        <v>386</v>
      </c>
      <c r="V70" s="1">
        <v>45208</v>
      </c>
      <c r="W70" t="s">
        <v>953</v>
      </c>
      <c r="X70" t="s">
        <v>53</v>
      </c>
      <c r="Y70" t="s">
        <v>954</v>
      </c>
      <c r="Z70">
        <v>3</v>
      </c>
      <c r="AA70" t="s">
        <v>55</v>
      </c>
      <c r="AB70" t="s">
        <v>955</v>
      </c>
      <c r="AC70" t="s">
        <v>956</v>
      </c>
      <c r="AD70" t="s">
        <v>58</v>
      </c>
      <c r="AE70">
        <v>5425200</v>
      </c>
      <c r="AF70">
        <v>108504</v>
      </c>
      <c r="AJ70" t="str">
        <f>_xlfn.XLOOKUP(Table9[[#This Row],[Engine No.]],'[1]Dubai Islamic Consumer'!$Q$3:$Q$1176,'[1]Dubai Islamic Consumer'!$B$3:$B$1176,,,)</f>
        <v>KHI/HO/D/MO/PC COMP/C/102086/109/11/2024</v>
      </c>
    </row>
    <row r="71" spans="1:36" hidden="1" x14ac:dyDescent="0.25">
      <c r="A71">
        <v>70</v>
      </c>
      <c r="B71" t="s">
        <v>35</v>
      </c>
      <c r="C71" t="s">
        <v>957</v>
      </c>
      <c r="D71" t="s">
        <v>37</v>
      </c>
      <c r="E71" t="s">
        <v>958</v>
      </c>
      <c r="F71" t="s">
        <v>39</v>
      </c>
      <c r="G71" t="s">
        <v>959</v>
      </c>
      <c r="H71" t="s">
        <v>960</v>
      </c>
      <c r="I71" t="s">
        <v>961</v>
      </c>
      <c r="J71" t="s">
        <v>960</v>
      </c>
      <c r="K71" t="s">
        <v>962</v>
      </c>
      <c r="L71">
        <v>734300</v>
      </c>
      <c r="M71">
        <v>1049000</v>
      </c>
      <c r="N71" t="s">
        <v>963</v>
      </c>
      <c r="O71" s="1">
        <v>45603</v>
      </c>
      <c r="P71" t="s">
        <v>964</v>
      </c>
      <c r="Q71" t="s">
        <v>965</v>
      </c>
      <c r="R71" t="s">
        <v>47</v>
      </c>
      <c r="S71" t="s">
        <v>48</v>
      </c>
      <c r="T71" t="s">
        <v>966</v>
      </c>
      <c r="U71" t="s">
        <v>50</v>
      </c>
      <c r="V71" t="s">
        <v>967</v>
      </c>
      <c r="W71" t="s">
        <v>52</v>
      </c>
      <c r="X71" t="s">
        <v>53</v>
      </c>
      <c r="Y71" t="s">
        <v>968</v>
      </c>
      <c r="Z71">
        <v>5</v>
      </c>
      <c r="AA71" t="s">
        <v>55</v>
      </c>
      <c r="AB71" t="s">
        <v>969</v>
      </c>
      <c r="AC71" t="s">
        <v>716</v>
      </c>
      <c r="AD71" t="s">
        <v>58</v>
      </c>
      <c r="AE71">
        <v>839200</v>
      </c>
      <c r="AF71">
        <v>16784</v>
      </c>
      <c r="AJ71" t="str">
        <f>_xlfn.XLOOKUP(Table9[[#This Row],[Engine No.]],'[1]Dubai Islamic Consumer'!$Q$3:$Q$1176,'[1]Dubai Islamic Consumer'!$B$3:$B$1176,,,)</f>
        <v>KHI/HO/D/MO/PC COMP/C/102086/113/11/2024</v>
      </c>
    </row>
    <row r="72" spans="1:36" hidden="1" x14ac:dyDescent="0.25">
      <c r="A72">
        <v>71</v>
      </c>
      <c r="B72" t="s">
        <v>35</v>
      </c>
      <c r="C72" t="s">
        <v>970</v>
      </c>
      <c r="D72" t="s">
        <v>37</v>
      </c>
      <c r="E72" t="s">
        <v>971</v>
      </c>
      <c r="F72" t="s">
        <v>39</v>
      </c>
      <c r="G72" t="s">
        <v>972</v>
      </c>
      <c r="H72" t="s">
        <v>973</v>
      </c>
      <c r="I72" t="s">
        <v>974</v>
      </c>
      <c r="J72" t="s">
        <v>975</v>
      </c>
      <c r="K72" t="s">
        <v>976</v>
      </c>
      <c r="L72">
        <v>1035000</v>
      </c>
      <c r="M72">
        <v>1725000</v>
      </c>
      <c r="N72" t="s">
        <v>977</v>
      </c>
      <c r="O72" s="1">
        <v>45603</v>
      </c>
      <c r="P72" t="s">
        <v>978</v>
      </c>
      <c r="Q72" t="s">
        <v>979</v>
      </c>
      <c r="R72" t="s">
        <v>146</v>
      </c>
      <c r="S72" t="s">
        <v>980</v>
      </c>
      <c r="T72" t="s">
        <v>181</v>
      </c>
      <c r="U72" t="s">
        <v>496</v>
      </c>
      <c r="V72" t="s">
        <v>981</v>
      </c>
      <c r="W72" t="s">
        <v>52</v>
      </c>
      <c r="X72" t="s">
        <v>101</v>
      </c>
      <c r="Y72" t="s">
        <v>982</v>
      </c>
      <c r="Z72">
        <v>4</v>
      </c>
      <c r="AA72" t="s">
        <v>55</v>
      </c>
      <c r="AB72" t="s">
        <v>983</v>
      </c>
      <c r="AC72" t="s">
        <v>716</v>
      </c>
      <c r="AD72" t="s">
        <v>58</v>
      </c>
      <c r="AE72">
        <v>1380000</v>
      </c>
      <c r="AF72">
        <v>27600</v>
      </c>
      <c r="AJ72" t="str">
        <f>_xlfn.XLOOKUP(Table9[[#This Row],[Engine No.]],'[1]Dubai Islamic Consumer'!$Q$3:$Q$1176,'[1]Dubai Islamic Consumer'!$B$3:$B$1176,,,)</f>
        <v>KHI/HO/D/MO/PC COMP/C/102086/114/11/2024</v>
      </c>
    </row>
    <row r="73" spans="1:36" hidden="1" x14ac:dyDescent="0.25">
      <c r="A73">
        <v>72</v>
      </c>
      <c r="B73" t="s">
        <v>35</v>
      </c>
      <c r="C73" t="s">
        <v>984</v>
      </c>
      <c r="D73" t="s">
        <v>37</v>
      </c>
      <c r="E73" t="s">
        <v>985</v>
      </c>
      <c r="F73" t="s">
        <v>245</v>
      </c>
      <c r="G73" t="s">
        <v>986</v>
      </c>
      <c r="H73" t="s">
        <v>987</v>
      </c>
      <c r="I73" t="s">
        <v>48</v>
      </c>
      <c r="J73" t="s">
        <v>988</v>
      </c>
      <c r="K73" t="s">
        <v>989</v>
      </c>
      <c r="L73">
        <v>1068000</v>
      </c>
      <c r="M73">
        <v>1335000</v>
      </c>
      <c r="N73" t="s">
        <v>990</v>
      </c>
      <c r="O73" s="1">
        <v>45603</v>
      </c>
      <c r="P73" t="s">
        <v>991</v>
      </c>
      <c r="Q73" t="s">
        <v>992</v>
      </c>
      <c r="R73" t="s">
        <v>47</v>
      </c>
      <c r="S73" t="s">
        <v>48</v>
      </c>
      <c r="T73" t="s">
        <v>194</v>
      </c>
      <c r="U73" t="s">
        <v>50</v>
      </c>
      <c r="V73" t="s">
        <v>993</v>
      </c>
      <c r="W73" t="s">
        <v>196</v>
      </c>
      <c r="X73" t="s">
        <v>168</v>
      </c>
      <c r="Y73" t="s">
        <v>994</v>
      </c>
      <c r="Z73">
        <v>6</v>
      </c>
      <c r="AA73" t="s">
        <v>55</v>
      </c>
      <c r="AB73" t="s">
        <v>995</v>
      </c>
      <c r="AC73" t="s">
        <v>981</v>
      </c>
      <c r="AD73" t="s">
        <v>58</v>
      </c>
      <c r="AE73">
        <v>1068000</v>
      </c>
      <c r="AF73">
        <v>21360</v>
      </c>
      <c r="AJ73" t="str">
        <f>_xlfn.XLOOKUP(Table9[[#This Row],[Engine No.]],'[1]Dubai Islamic Consumer'!$Q$3:$Q$1176,'[1]Dubai Islamic Consumer'!$B$3:$B$1176,,,)</f>
        <v>KHI/HO/D/MO/PC COMP/C/102086/115/11/2024</v>
      </c>
    </row>
    <row r="74" spans="1:36" hidden="1" x14ac:dyDescent="0.25">
      <c r="A74">
        <v>73</v>
      </c>
      <c r="B74" t="s">
        <v>35</v>
      </c>
      <c r="C74" t="s">
        <v>996</v>
      </c>
      <c r="D74" t="s">
        <v>37</v>
      </c>
      <c r="E74" t="s">
        <v>997</v>
      </c>
      <c r="F74" t="s">
        <v>245</v>
      </c>
      <c r="G74" t="s">
        <v>998</v>
      </c>
      <c r="H74" t="s">
        <v>999</v>
      </c>
      <c r="I74" t="s">
        <v>48</v>
      </c>
      <c r="J74" t="s">
        <v>141</v>
      </c>
      <c r="K74" t="s">
        <v>1000</v>
      </c>
      <c r="L74">
        <v>1472000</v>
      </c>
      <c r="M74">
        <v>2300000</v>
      </c>
      <c r="N74" t="s">
        <v>1001</v>
      </c>
      <c r="O74" s="1">
        <v>45603</v>
      </c>
      <c r="P74" t="s">
        <v>1002</v>
      </c>
      <c r="Q74" t="s">
        <v>1003</v>
      </c>
      <c r="R74" t="s">
        <v>146</v>
      </c>
      <c r="S74" t="s">
        <v>1004</v>
      </c>
      <c r="T74" t="s">
        <v>283</v>
      </c>
      <c r="U74" t="s">
        <v>651</v>
      </c>
      <c r="V74" t="s">
        <v>981</v>
      </c>
      <c r="W74" t="s">
        <v>52</v>
      </c>
      <c r="X74" t="s">
        <v>53</v>
      </c>
      <c r="Y74" t="s">
        <v>1005</v>
      </c>
      <c r="Z74">
        <v>5</v>
      </c>
      <c r="AA74" t="s">
        <v>55</v>
      </c>
      <c r="AB74" t="s">
        <v>1006</v>
      </c>
      <c r="AC74" t="s">
        <v>981</v>
      </c>
      <c r="AD74" t="s">
        <v>58</v>
      </c>
      <c r="AE74">
        <v>1840000</v>
      </c>
      <c r="AF74">
        <v>36800</v>
      </c>
      <c r="AJ74" t="str">
        <f>_xlfn.XLOOKUP(Table9[[#This Row],[Engine No.]],'[1]Dubai Islamic Consumer'!$Q$3:$Q$1176,'[1]Dubai Islamic Consumer'!$B$3:$B$1176,,,)</f>
        <v>KHI/HO/D/MO/PC COMP/C/102086/117/11/2024</v>
      </c>
    </row>
    <row r="75" spans="1:36" hidden="1" x14ac:dyDescent="0.25">
      <c r="A75">
        <v>74</v>
      </c>
      <c r="B75" t="s">
        <v>35</v>
      </c>
      <c r="C75" t="s">
        <v>1007</v>
      </c>
      <c r="D75" t="s">
        <v>37</v>
      </c>
      <c r="E75" t="s">
        <v>1008</v>
      </c>
      <c r="F75" t="s">
        <v>107</v>
      </c>
      <c r="G75" t="s">
        <v>1009</v>
      </c>
      <c r="H75" t="s">
        <v>1010</v>
      </c>
      <c r="I75" t="s">
        <v>1010</v>
      </c>
      <c r="J75" t="s">
        <v>1010</v>
      </c>
      <c r="K75" t="s">
        <v>1011</v>
      </c>
      <c r="L75">
        <v>1784300</v>
      </c>
      <c r="M75">
        <v>2549000</v>
      </c>
      <c r="N75" t="s">
        <v>1012</v>
      </c>
      <c r="O75" s="1">
        <v>45603</v>
      </c>
      <c r="P75" t="s">
        <v>1013</v>
      </c>
      <c r="Q75" t="s">
        <v>1014</v>
      </c>
      <c r="R75" t="s">
        <v>47</v>
      </c>
      <c r="S75" t="s">
        <v>48</v>
      </c>
      <c r="T75" t="s">
        <v>1015</v>
      </c>
      <c r="U75" t="s">
        <v>50</v>
      </c>
      <c r="V75" t="s">
        <v>1016</v>
      </c>
      <c r="W75" t="s">
        <v>132</v>
      </c>
      <c r="X75" t="s">
        <v>133</v>
      </c>
      <c r="Y75" t="s">
        <v>1017</v>
      </c>
      <c r="Z75">
        <v>5</v>
      </c>
      <c r="AA75" t="s">
        <v>55</v>
      </c>
      <c r="AB75" t="s">
        <v>1018</v>
      </c>
      <c r="AC75" t="s">
        <v>981</v>
      </c>
      <c r="AD75" t="s">
        <v>58</v>
      </c>
      <c r="AE75">
        <v>2039200</v>
      </c>
      <c r="AF75">
        <v>40784</v>
      </c>
      <c r="AJ75" t="str">
        <f>_xlfn.XLOOKUP(Table9[[#This Row],[Engine No.]],'[1]Dubai Islamic Consumer'!$Q$3:$Q$1176,'[1]Dubai Islamic Consumer'!$B$3:$B$1176,,,)</f>
        <v>KHI/HO/D/MO/PC COMP/C/102086/122/11/2024</v>
      </c>
    </row>
    <row r="76" spans="1:36" hidden="1" x14ac:dyDescent="0.25">
      <c r="A76">
        <v>75</v>
      </c>
      <c r="B76" t="s">
        <v>35</v>
      </c>
      <c r="C76" t="s">
        <v>1019</v>
      </c>
      <c r="D76" t="s">
        <v>37</v>
      </c>
      <c r="E76" t="s">
        <v>1020</v>
      </c>
      <c r="F76" t="s">
        <v>138</v>
      </c>
      <c r="G76" t="s">
        <v>1021</v>
      </c>
      <c r="H76" t="s">
        <v>1022</v>
      </c>
      <c r="I76" t="s">
        <v>1022</v>
      </c>
      <c r="J76" t="s">
        <v>1023</v>
      </c>
      <c r="K76" t="s">
        <v>1024</v>
      </c>
      <c r="L76">
        <v>3550950</v>
      </c>
      <c r="M76">
        <v>5463000</v>
      </c>
      <c r="N76" t="s">
        <v>1025</v>
      </c>
      <c r="O76" s="1">
        <v>45603</v>
      </c>
      <c r="P76" t="s">
        <v>1026</v>
      </c>
      <c r="Q76" t="s">
        <v>1027</v>
      </c>
      <c r="R76" t="s">
        <v>47</v>
      </c>
      <c r="S76" t="s">
        <v>48</v>
      </c>
      <c r="T76" t="s">
        <v>1028</v>
      </c>
      <c r="U76" t="s">
        <v>50</v>
      </c>
      <c r="V76" t="s">
        <v>1029</v>
      </c>
      <c r="W76" t="s">
        <v>196</v>
      </c>
      <c r="X76" t="s">
        <v>401</v>
      </c>
      <c r="Y76" t="s">
        <v>1030</v>
      </c>
      <c r="Z76">
        <v>5</v>
      </c>
      <c r="AA76" t="s">
        <v>55</v>
      </c>
      <c r="AB76" t="s">
        <v>1031</v>
      </c>
      <c r="AC76" t="s">
        <v>200</v>
      </c>
      <c r="AD76" t="s">
        <v>299</v>
      </c>
      <c r="AE76">
        <v>4370400</v>
      </c>
      <c r="AF76">
        <v>65556</v>
      </c>
      <c r="AJ76" t="str">
        <f>_xlfn.XLOOKUP(Table9[[#This Row],[Engine No.]],'[1]Dubai Islamic Consumer'!$Q$3:$Q$1176,'[1]Dubai Islamic Consumer'!$B$3:$B$1176,,,)</f>
        <v>KHI/HO/D/MO/PC COMP/C/102086/126/11/2024</v>
      </c>
    </row>
    <row r="77" spans="1:36" hidden="1" x14ac:dyDescent="0.25">
      <c r="A77">
        <v>76</v>
      </c>
      <c r="B77" t="s">
        <v>35</v>
      </c>
      <c r="C77" t="s">
        <v>1032</v>
      </c>
      <c r="D77" t="s">
        <v>37</v>
      </c>
      <c r="E77" t="s">
        <v>1033</v>
      </c>
      <c r="F77" t="s">
        <v>107</v>
      </c>
      <c r="G77" t="s">
        <v>1034</v>
      </c>
      <c r="H77" t="s">
        <v>1035</v>
      </c>
      <c r="I77" t="s">
        <v>1035</v>
      </c>
      <c r="J77" t="s">
        <v>1036</v>
      </c>
      <c r="K77" t="s">
        <v>1037</v>
      </c>
      <c r="L77">
        <v>5273800</v>
      </c>
      <c r="M77">
        <v>7534000</v>
      </c>
      <c r="N77" t="s">
        <v>1038</v>
      </c>
      <c r="O77" s="1">
        <v>45603</v>
      </c>
      <c r="P77" t="s">
        <v>1039</v>
      </c>
      <c r="Q77" t="s">
        <v>1040</v>
      </c>
      <c r="R77" t="s">
        <v>47</v>
      </c>
      <c r="S77" t="s">
        <v>48</v>
      </c>
      <c r="T77" t="s">
        <v>1041</v>
      </c>
      <c r="U77" t="s">
        <v>50</v>
      </c>
      <c r="V77" t="s">
        <v>508</v>
      </c>
      <c r="W77" t="s">
        <v>132</v>
      </c>
      <c r="X77" t="s">
        <v>133</v>
      </c>
      <c r="Y77" t="s">
        <v>1042</v>
      </c>
      <c r="Z77">
        <v>5</v>
      </c>
      <c r="AA77" t="s">
        <v>55</v>
      </c>
      <c r="AB77" t="s">
        <v>1043</v>
      </c>
      <c r="AC77" t="s">
        <v>981</v>
      </c>
      <c r="AD77" t="s">
        <v>86</v>
      </c>
      <c r="AE77">
        <v>6027200</v>
      </c>
      <c r="AF77">
        <v>105476</v>
      </c>
      <c r="AJ77" t="str">
        <f>_xlfn.XLOOKUP(Table9[[#This Row],[Engine No.]],'[1]Dubai Islamic Consumer'!$Q$3:$Q$1176,'[1]Dubai Islamic Consumer'!$B$3:$B$1176,,,)</f>
        <v>KHI/HO/D/MO/PC COMP/C/102086/127/11/2024</v>
      </c>
    </row>
    <row r="78" spans="1:36" hidden="1" x14ac:dyDescent="0.25">
      <c r="A78">
        <v>77</v>
      </c>
      <c r="B78" t="s">
        <v>35</v>
      </c>
      <c r="C78" t="s">
        <v>1044</v>
      </c>
      <c r="D78" t="s">
        <v>37</v>
      </c>
      <c r="E78" t="s">
        <v>1045</v>
      </c>
      <c r="F78" t="s">
        <v>290</v>
      </c>
      <c r="G78" t="s">
        <v>48</v>
      </c>
      <c r="H78" t="s">
        <v>48</v>
      </c>
      <c r="I78" t="s">
        <v>1046</v>
      </c>
      <c r="J78" t="s">
        <v>48</v>
      </c>
      <c r="K78" t="s">
        <v>1047</v>
      </c>
      <c r="L78">
        <v>6891750</v>
      </c>
      <c r="M78">
        <v>9189000</v>
      </c>
      <c r="N78" t="s">
        <v>1048</v>
      </c>
      <c r="O78" s="1">
        <v>45603</v>
      </c>
      <c r="P78" t="s">
        <v>1049</v>
      </c>
      <c r="Q78" t="s">
        <v>1050</v>
      </c>
      <c r="R78" t="s">
        <v>47</v>
      </c>
      <c r="S78" t="s">
        <v>48</v>
      </c>
      <c r="T78" t="s">
        <v>1051</v>
      </c>
      <c r="U78" t="s">
        <v>50</v>
      </c>
      <c r="V78" t="s">
        <v>1052</v>
      </c>
      <c r="W78" t="s">
        <v>1053</v>
      </c>
      <c r="X78" t="s">
        <v>388</v>
      </c>
      <c r="Y78" t="s">
        <v>1054</v>
      </c>
      <c r="Z78">
        <v>5</v>
      </c>
      <c r="AA78" t="s">
        <v>1055</v>
      </c>
      <c r="AB78" t="s">
        <v>1056</v>
      </c>
      <c r="AC78" t="s">
        <v>981</v>
      </c>
      <c r="AD78" t="s">
        <v>299</v>
      </c>
      <c r="AE78">
        <v>7351200</v>
      </c>
      <c r="AF78">
        <v>110268</v>
      </c>
      <c r="AJ78" t="str">
        <f>_xlfn.XLOOKUP(Table9[[#This Row],[Engine No.]],'[1]Dubai Islamic Consumer'!$Q$3:$Q$1176,'[1]Dubai Islamic Consumer'!$B$3:$B$1176,,,)</f>
        <v>KHI/HO/D/MO/PC COMP/C/102086/130/11/2024</v>
      </c>
    </row>
    <row r="79" spans="1:36" hidden="1" x14ac:dyDescent="0.25">
      <c r="A79">
        <v>78</v>
      </c>
      <c r="B79" t="s">
        <v>35</v>
      </c>
      <c r="C79" t="s">
        <v>1057</v>
      </c>
      <c r="D79" t="s">
        <v>37</v>
      </c>
      <c r="E79" t="s">
        <v>1058</v>
      </c>
      <c r="F79" t="s">
        <v>89</v>
      </c>
      <c r="G79" t="s">
        <v>1059</v>
      </c>
      <c r="H79" t="s">
        <v>48</v>
      </c>
      <c r="I79" t="s">
        <v>1060</v>
      </c>
      <c r="J79" t="s">
        <v>48</v>
      </c>
      <c r="K79" t="s">
        <v>1061</v>
      </c>
      <c r="L79">
        <v>2660000</v>
      </c>
      <c r="M79">
        <v>3800000</v>
      </c>
      <c r="N79" t="s">
        <v>1062</v>
      </c>
      <c r="O79" s="1">
        <v>45603</v>
      </c>
      <c r="P79" t="s">
        <v>1063</v>
      </c>
      <c r="Q79" t="s">
        <v>1064</v>
      </c>
      <c r="R79" t="s">
        <v>146</v>
      </c>
      <c r="S79" t="s">
        <v>48</v>
      </c>
      <c r="T79" t="s">
        <v>1065</v>
      </c>
      <c r="U79" t="s">
        <v>335</v>
      </c>
      <c r="V79" t="s">
        <v>904</v>
      </c>
      <c r="W79" t="s">
        <v>150</v>
      </c>
      <c r="X79" t="s">
        <v>101</v>
      </c>
      <c r="Y79" t="s">
        <v>1066</v>
      </c>
      <c r="Z79">
        <v>3</v>
      </c>
      <c r="AA79" t="s">
        <v>323</v>
      </c>
      <c r="AB79" t="s">
        <v>1067</v>
      </c>
      <c r="AC79" t="s">
        <v>625</v>
      </c>
      <c r="AD79" t="s">
        <v>86</v>
      </c>
      <c r="AE79">
        <v>3230000</v>
      </c>
      <c r="AF79">
        <v>56525</v>
      </c>
      <c r="AJ79" t="str">
        <f>_xlfn.XLOOKUP(Table9[[#This Row],[Engine No.]],'[1]Dubai Islamic Consumer'!$Q$3:$Q$1176,'[1]Dubai Islamic Consumer'!$B$3:$B$1176,,,)</f>
        <v>KHI/HO/D/MO/PC COMP/C/102086/131/11/2024</v>
      </c>
    </row>
    <row r="80" spans="1:36" hidden="1" x14ac:dyDescent="0.25">
      <c r="A80">
        <v>79</v>
      </c>
      <c r="B80" t="s">
        <v>35</v>
      </c>
      <c r="C80" t="s">
        <v>1068</v>
      </c>
      <c r="D80" t="s">
        <v>37</v>
      </c>
      <c r="E80" t="s">
        <v>1069</v>
      </c>
      <c r="F80" t="s">
        <v>245</v>
      </c>
      <c r="G80" t="s">
        <v>1070</v>
      </c>
      <c r="H80" t="s">
        <v>1071</v>
      </c>
      <c r="I80" t="s">
        <v>48</v>
      </c>
      <c r="J80" t="s">
        <v>1072</v>
      </c>
      <c r="K80" t="s">
        <v>1073</v>
      </c>
      <c r="L80">
        <v>875000</v>
      </c>
      <c r="M80">
        <v>1250000</v>
      </c>
      <c r="N80" t="s">
        <v>1074</v>
      </c>
      <c r="O80" s="1">
        <v>45603</v>
      </c>
      <c r="P80" t="s">
        <v>1075</v>
      </c>
      <c r="Q80" t="s">
        <v>1076</v>
      </c>
      <c r="R80" t="s">
        <v>146</v>
      </c>
      <c r="S80" t="s">
        <v>1077</v>
      </c>
      <c r="T80" t="s">
        <v>1078</v>
      </c>
      <c r="U80" t="s">
        <v>903</v>
      </c>
      <c r="V80" t="s">
        <v>1079</v>
      </c>
      <c r="W80" t="s">
        <v>1080</v>
      </c>
      <c r="X80" t="s">
        <v>197</v>
      </c>
      <c r="Y80" t="s">
        <v>1081</v>
      </c>
      <c r="Z80">
        <v>3</v>
      </c>
      <c r="AA80" t="s">
        <v>323</v>
      </c>
      <c r="AB80" t="s">
        <v>1082</v>
      </c>
      <c r="AC80" t="s">
        <v>625</v>
      </c>
      <c r="AD80" t="s">
        <v>86</v>
      </c>
      <c r="AE80">
        <v>1062500</v>
      </c>
      <c r="AF80">
        <v>18594</v>
      </c>
      <c r="AJ80" t="str">
        <f>_xlfn.XLOOKUP(Table9[[#This Row],[Engine No.]],'[1]Dubai Islamic Consumer'!$Q$3:$Q$1176,'[1]Dubai Islamic Consumer'!$B$3:$B$1176,,,)</f>
        <v>KHI/HO/D/MO/PC COMP/C/102086/138/11/2024</v>
      </c>
    </row>
    <row r="81" spans="1:36" hidden="1" x14ac:dyDescent="0.25">
      <c r="A81">
        <v>80</v>
      </c>
      <c r="B81" t="s">
        <v>35</v>
      </c>
      <c r="C81" t="s">
        <v>1083</v>
      </c>
      <c r="D81" t="s">
        <v>37</v>
      </c>
      <c r="E81" t="s">
        <v>1084</v>
      </c>
      <c r="F81" t="s">
        <v>89</v>
      </c>
      <c r="G81" t="s">
        <v>1085</v>
      </c>
      <c r="H81" t="s">
        <v>1086</v>
      </c>
      <c r="I81" t="s">
        <v>48</v>
      </c>
      <c r="J81" t="s">
        <v>1087</v>
      </c>
      <c r="K81" t="s">
        <v>1088</v>
      </c>
      <c r="L81">
        <v>839200</v>
      </c>
      <c r="M81">
        <v>1049000</v>
      </c>
      <c r="N81" t="s">
        <v>1089</v>
      </c>
      <c r="O81" s="1">
        <v>45604</v>
      </c>
      <c r="P81" t="s">
        <v>1090</v>
      </c>
      <c r="Q81" t="s">
        <v>1091</v>
      </c>
      <c r="R81" t="s">
        <v>47</v>
      </c>
      <c r="S81" t="s">
        <v>48</v>
      </c>
      <c r="T81" t="s">
        <v>966</v>
      </c>
      <c r="U81" t="s">
        <v>50</v>
      </c>
      <c r="V81" t="s">
        <v>1092</v>
      </c>
      <c r="W81" t="s">
        <v>196</v>
      </c>
      <c r="X81" t="s">
        <v>401</v>
      </c>
      <c r="Y81" t="s">
        <v>1093</v>
      </c>
      <c r="Z81">
        <v>5</v>
      </c>
      <c r="AA81" t="s">
        <v>55</v>
      </c>
      <c r="AB81" t="s">
        <v>1094</v>
      </c>
      <c r="AC81" t="s">
        <v>967</v>
      </c>
      <c r="AD81" t="s">
        <v>58</v>
      </c>
      <c r="AE81">
        <v>839200</v>
      </c>
      <c r="AF81">
        <v>16784</v>
      </c>
      <c r="AJ81" t="str">
        <f>_xlfn.XLOOKUP(Table9[[#This Row],[Engine No.]],'[1]Dubai Islamic Consumer'!$Q$3:$Q$1176,'[1]Dubai Islamic Consumer'!$B$3:$B$1176,,,)</f>
        <v>KHI/HO/D/MO/PC COMP/C/102086/144/11/2024</v>
      </c>
    </row>
    <row r="82" spans="1:36" hidden="1" x14ac:dyDescent="0.25">
      <c r="A82">
        <v>81</v>
      </c>
      <c r="B82" t="s">
        <v>35</v>
      </c>
      <c r="C82" t="s">
        <v>1095</v>
      </c>
      <c r="D82" t="s">
        <v>37</v>
      </c>
      <c r="E82" t="s">
        <v>1096</v>
      </c>
      <c r="F82" t="s">
        <v>290</v>
      </c>
      <c r="G82" t="s">
        <v>1097</v>
      </c>
      <c r="H82" t="s">
        <v>1098</v>
      </c>
      <c r="I82" t="s">
        <v>1098</v>
      </c>
      <c r="J82" t="s">
        <v>1098</v>
      </c>
      <c r="K82" t="s">
        <v>1099</v>
      </c>
      <c r="L82">
        <v>1001250</v>
      </c>
      <c r="M82">
        <v>1335000</v>
      </c>
      <c r="N82" t="s">
        <v>1100</v>
      </c>
      <c r="O82" s="1">
        <v>45604</v>
      </c>
      <c r="P82" t="s">
        <v>1101</v>
      </c>
      <c r="Q82" t="s">
        <v>1102</v>
      </c>
      <c r="R82" t="s">
        <v>47</v>
      </c>
      <c r="S82" t="s">
        <v>48</v>
      </c>
      <c r="T82" t="s">
        <v>210</v>
      </c>
      <c r="U82" t="s">
        <v>50</v>
      </c>
      <c r="V82" t="s">
        <v>1103</v>
      </c>
      <c r="W82" t="s">
        <v>1053</v>
      </c>
      <c r="X82" t="s">
        <v>388</v>
      </c>
      <c r="Y82" t="s">
        <v>1104</v>
      </c>
      <c r="Z82">
        <v>5</v>
      </c>
      <c r="AA82" t="s">
        <v>152</v>
      </c>
      <c r="AB82" t="s">
        <v>1105</v>
      </c>
      <c r="AC82" t="s">
        <v>967</v>
      </c>
      <c r="AD82" t="s">
        <v>58</v>
      </c>
      <c r="AE82">
        <v>1068000</v>
      </c>
      <c r="AF82">
        <v>21360</v>
      </c>
      <c r="AJ82" t="str">
        <f>_xlfn.XLOOKUP(Table9[[#This Row],[Engine No.]],'[1]Dubai Islamic Consumer'!$Q$3:$Q$1176,'[1]Dubai Islamic Consumer'!$B$3:$B$1176,,,)</f>
        <v>KHI/HO/D/MO/PC COMP/C/102086/145/11/2024</v>
      </c>
    </row>
    <row r="83" spans="1:36" hidden="1" x14ac:dyDescent="0.25">
      <c r="A83">
        <v>82</v>
      </c>
      <c r="B83" t="s">
        <v>35</v>
      </c>
      <c r="C83" t="s">
        <v>1106</v>
      </c>
      <c r="D83" t="s">
        <v>37</v>
      </c>
      <c r="E83" t="s">
        <v>1107</v>
      </c>
      <c r="F83" t="s">
        <v>107</v>
      </c>
      <c r="G83" t="s">
        <v>1108</v>
      </c>
      <c r="H83" t="s">
        <v>1109</v>
      </c>
      <c r="I83" t="s">
        <v>1109</v>
      </c>
      <c r="J83" t="s">
        <v>1109</v>
      </c>
      <c r="K83" t="s">
        <v>1110</v>
      </c>
      <c r="L83">
        <v>1372500</v>
      </c>
      <c r="M83">
        <v>1830000</v>
      </c>
      <c r="N83" t="s">
        <v>1111</v>
      </c>
      <c r="O83" s="1">
        <v>45604</v>
      </c>
      <c r="P83" t="s">
        <v>1112</v>
      </c>
      <c r="Q83" t="s">
        <v>1113</v>
      </c>
      <c r="R83" t="s">
        <v>47</v>
      </c>
      <c r="S83" t="s">
        <v>48</v>
      </c>
      <c r="T83" t="s">
        <v>1114</v>
      </c>
      <c r="U83" t="s">
        <v>50</v>
      </c>
      <c r="V83" t="s">
        <v>1115</v>
      </c>
      <c r="W83" t="s">
        <v>52</v>
      </c>
      <c r="X83" t="s">
        <v>53</v>
      </c>
      <c r="Y83" t="s">
        <v>1116</v>
      </c>
      <c r="Z83">
        <v>5</v>
      </c>
      <c r="AA83" t="s">
        <v>55</v>
      </c>
      <c r="AB83" t="s">
        <v>1117</v>
      </c>
      <c r="AC83" t="s">
        <v>981</v>
      </c>
      <c r="AD83" t="s">
        <v>58</v>
      </c>
      <c r="AE83">
        <v>1464000</v>
      </c>
      <c r="AF83">
        <v>29280</v>
      </c>
      <c r="AJ83" t="str">
        <f>_xlfn.XLOOKUP(Table9[[#This Row],[Engine No.]],'[1]Dubai Islamic Consumer'!$Q$3:$Q$1176,'[1]Dubai Islamic Consumer'!$B$3:$B$1176,,,)</f>
        <v>KHI/HO/D/MO/PC COMP/C/102086/150/11/2024</v>
      </c>
    </row>
    <row r="84" spans="1:36" hidden="1" x14ac:dyDescent="0.25">
      <c r="A84">
        <v>83</v>
      </c>
      <c r="B84" t="s">
        <v>35</v>
      </c>
      <c r="C84" t="s">
        <v>1118</v>
      </c>
      <c r="D84" t="s">
        <v>37</v>
      </c>
      <c r="E84" t="s">
        <v>1119</v>
      </c>
      <c r="F84" t="s">
        <v>138</v>
      </c>
      <c r="G84" t="s">
        <v>1120</v>
      </c>
      <c r="H84" t="s">
        <v>1121</v>
      </c>
      <c r="I84" t="s">
        <v>1121</v>
      </c>
      <c r="J84" t="s">
        <v>1122</v>
      </c>
      <c r="K84" t="s">
        <v>1123</v>
      </c>
      <c r="L84">
        <v>1787500</v>
      </c>
      <c r="M84">
        <v>2750000</v>
      </c>
      <c r="N84" t="s">
        <v>1124</v>
      </c>
      <c r="O84" s="1">
        <v>45604</v>
      </c>
      <c r="P84" t="s">
        <v>1125</v>
      </c>
      <c r="Q84" t="s">
        <v>1126</v>
      </c>
      <c r="R84" t="s">
        <v>146</v>
      </c>
      <c r="S84" t="s">
        <v>1127</v>
      </c>
      <c r="T84" t="s">
        <v>1128</v>
      </c>
      <c r="U84" t="s">
        <v>651</v>
      </c>
      <c r="V84" t="s">
        <v>100</v>
      </c>
      <c r="W84" t="s">
        <v>100</v>
      </c>
      <c r="X84" t="s">
        <v>53</v>
      </c>
      <c r="Y84" t="s">
        <v>1129</v>
      </c>
      <c r="Z84">
        <v>6</v>
      </c>
      <c r="AA84" t="s">
        <v>227</v>
      </c>
      <c r="AB84" t="s">
        <v>1130</v>
      </c>
      <c r="AC84" t="s">
        <v>428</v>
      </c>
      <c r="AD84" t="s">
        <v>58</v>
      </c>
      <c r="AE84">
        <v>2062500</v>
      </c>
      <c r="AF84">
        <v>41250</v>
      </c>
      <c r="AJ84" t="str">
        <f>_xlfn.XLOOKUP(Table9[[#This Row],[Engine No.]],'[1]Dubai Islamic Consumer'!$Q$3:$Q$1176,'[1]Dubai Islamic Consumer'!$B$3:$B$1176,,,)</f>
        <v>KHI/HO/D/MO/PC COMP/C/102086/151/11/2024</v>
      </c>
    </row>
    <row r="85" spans="1:36" hidden="1" x14ac:dyDescent="0.25">
      <c r="A85">
        <v>84</v>
      </c>
      <c r="B85" t="s">
        <v>35</v>
      </c>
      <c r="C85" t="s">
        <v>1131</v>
      </c>
      <c r="D85" t="s">
        <v>37</v>
      </c>
      <c r="E85" t="s">
        <v>1132</v>
      </c>
      <c r="F85" t="s">
        <v>107</v>
      </c>
      <c r="G85" t="s">
        <v>1133</v>
      </c>
      <c r="H85" t="s">
        <v>1134</v>
      </c>
      <c r="I85" t="s">
        <v>1134</v>
      </c>
      <c r="J85" t="s">
        <v>1135</v>
      </c>
      <c r="K85" t="s">
        <v>1136</v>
      </c>
      <c r="L85">
        <v>2250000</v>
      </c>
      <c r="M85">
        <v>3000000</v>
      </c>
      <c r="N85" t="s">
        <v>1137</v>
      </c>
      <c r="O85" s="1">
        <v>45604</v>
      </c>
      <c r="P85" t="s">
        <v>1138</v>
      </c>
      <c r="Q85" t="s">
        <v>1139</v>
      </c>
      <c r="R85" t="s">
        <v>146</v>
      </c>
      <c r="S85" t="s">
        <v>1140</v>
      </c>
      <c r="T85" t="s">
        <v>1141</v>
      </c>
      <c r="U85" t="s">
        <v>614</v>
      </c>
      <c r="V85" t="s">
        <v>1142</v>
      </c>
      <c r="W85" t="s">
        <v>100</v>
      </c>
      <c r="X85" t="s">
        <v>101</v>
      </c>
      <c r="Y85" t="s">
        <v>1143</v>
      </c>
      <c r="Z85">
        <v>5</v>
      </c>
      <c r="AA85" t="s">
        <v>227</v>
      </c>
      <c r="AB85" t="s">
        <v>1144</v>
      </c>
      <c r="AC85" t="s">
        <v>428</v>
      </c>
      <c r="AD85" t="s">
        <v>58</v>
      </c>
      <c r="AE85">
        <v>2250000</v>
      </c>
      <c r="AF85">
        <v>45000</v>
      </c>
      <c r="AJ85" t="str">
        <f>_xlfn.XLOOKUP(Table9[[#This Row],[Engine No.]],'[1]Dubai Islamic Consumer'!$Q$3:$Q$1176,'[1]Dubai Islamic Consumer'!$B$3:$B$1176,,,)</f>
        <v>KHI/HO/D/MO/PC COMP/C/102086/152/11/2024</v>
      </c>
    </row>
    <row r="86" spans="1:36" hidden="1" x14ac:dyDescent="0.25">
      <c r="A86">
        <v>85</v>
      </c>
      <c r="B86" t="s">
        <v>35</v>
      </c>
      <c r="C86" t="s">
        <v>1145</v>
      </c>
      <c r="D86" t="s">
        <v>37</v>
      </c>
      <c r="E86" t="s">
        <v>1146</v>
      </c>
      <c r="F86" t="s">
        <v>107</v>
      </c>
      <c r="G86" t="s">
        <v>1147</v>
      </c>
      <c r="H86" t="s">
        <v>1148</v>
      </c>
      <c r="I86" t="s">
        <v>1148</v>
      </c>
      <c r="J86" t="s">
        <v>1149</v>
      </c>
      <c r="K86" t="s">
        <v>1150</v>
      </c>
      <c r="L86">
        <v>1874160</v>
      </c>
      <c r="M86">
        <v>4932000</v>
      </c>
      <c r="N86" t="s">
        <v>1151</v>
      </c>
      <c r="O86" s="1">
        <v>45604</v>
      </c>
      <c r="P86" t="s">
        <v>1152</v>
      </c>
      <c r="Q86" t="s">
        <v>1153</v>
      </c>
      <c r="R86" t="s">
        <v>47</v>
      </c>
      <c r="S86" t="s">
        <v>48</v>
      </c>
      <c r="T86" t="s">
        <v>1154</v>
      </c>
      <c r="U86" t="s">
        <v>50</v>
      </c>
      <c r="V86" t="s">
        <v>1155</v>
      </c>
      <c r="W86" t="s">
        <v>132</v>
      </c>
      <c r="X86" t="s">
        <v>133</v>
      </c>
      <c r="Y86" t="s">
        <v>1156</v>
      </c>
      <c r="Z86">
        <v>5</v>
      </c>
      <c r="AA86" t="s">
        <v>48</v>
      </c>
      <c r="AB86" t="s">
        <v>48</v>
      </c>
      <c r="AC86" t="s">
        <v>48</v>
      </c>
      <c r="AD86" t="s">
        <v>58</v>
      </c>
      <c r="AE86">
        <v>3945600</v>
      </c>
      <c r="AF86">
        <v>78912</v>
      </c>
      <c r="AJ86" t="str">
        <f>_xlfn.XLOOKUP(Table9[[#This Row],[Engine No.]],'[1]Dubai Islamic Consumer'!$Q$3:$Q$1176,'[1]Dubai Islamic Consumer'!$B$3:$B$1176,,,)</f>
        <v>KHI/HO/D/MO/PC COMP/C/102086/153/11/2024</v>
      </c>
    </row>
    <row r="87" spans="1:36" hidden="1" x14ac:dyDescent="0.25">
      <c r="A87">
        <v>86</v>
      </c>
      <c r="B87" t="s">
        <v>35</v>
      </c>
      <c r="C87" t="s">
        <v>1157</v>
      </c>
      <c r="D87" t="s">
        <v>37</v>
      </c>
      <c r="E87" t="s">
        <v>1158</v>
      </c>
      <c r="F87" t="s">
        <v>107</v>
      </c>
      <c r="G87" t="s">
        <v>1159</v>
      </c>
      <c r="H87" t="s">
        <v>1160</v>
      </c>
      <c r="I87" t="s">
        <v>1161</v>
      </c>
      <c r="J87" t="s">
        <v>48</v>
      </c>
      <c r="K87" t="s">
        <v>1162</v>
      </c>
      <c r="L87">
        <v>1966250</v>
      </c>
      <c r="M87">
        <v>3025000</v>
      </c>
      <c r="N87" t="s">
        <v>1163</v>
      </c>
      <c r="O87" s="1">
        <v>45604</v>
      </c>
      <c r="P87" t="s">
        <v>1164</v>
      </c>
      <c r="Q87" t="s">
        <v>1165</v>
      </c>
      <c r="R87" t="s">
        <v>47</v>
      </c>
      <c r="S87" t="s">
        <v>48</v>
      </c>
      <c r="T87" t="s">
        <v>1166</v>
      </c>
      <c r="U87" t="s">
        <v>50</v>
      </c>
      <c r="V87" t="s">
        <v>1167</v>
      </c>
      <c r="W87" t="s">
        <v>1053</v>
      </c>
      <c r="X87" t="s">
        <v>388</v>
      </c>
      <c r="Y87" t="s">
        <v>1168</v>
      </c>
      <c r="Z87">
        <v>5</v>
      </c>
      <c r="AA87" t="s">
        <v>55</v>
      </c>
      <c r="AB87" t="s">
        <v>1169</v>
      </c>
      <c r="AC87" t="s">
        <v>981</v>
      </c>
      <c r="AD87" t="s">
        <v>58</v>
      </c>
      <c r="AE87">
        <v>2420000</v>
      </c>
      <c r="AF87">
        <v>48400</v>
      </c>
      <c r="AJ87" t="str">
        <f>_xlfn.XLOOKUP(Table9[[#This Row],[Engine No.]],'[1]Dubai Islamic Consumer'!$Q$3:$Q$1176,'[1]Dubai Islamic Consumer'!$B$3:$B$1176,,,)</f>
        <v>KHI/HO/D/MO/PC COMP/C/102086/155/11/2024</v>
      </c>
    </row>
    <row r="88" spans="1:36" hidden="1" x14ac:dyDescent="0.25">
      <c r="A88">
        <v>87</v>
      </c>
      <c r="B88" t="s">
        <v>35</v>
      </c>
      <c r="C88" t="s">
        <v>1170</v>
      </c>
      <c r="D88" t="s">
        <v>37</v>
      </c>
      <c r="E88" t="s">
        <v>1171</v>
      </c>
      <c r="F88" t="s">
        <v>89</v>
      </c>
      <c r="G88" t="s">
        <v>1172</v>
      </c>
      <c r="H88" t="s">
        <v>48</v>
      </c>
      <c r="I88" t="s">
        <v>1173</v>
      </c>
      <c r="J88" t="s">
        <v>48</v>
      </c>
      <c r="K88" t="s">
        <v>1174</v>
      </c>
      <c r="L88">
        <v>2073500</v>
      </c>
      <c r="M88">
        <v>3190000</v>
      </c>
      <c r="N88" t="s">
        <v>1175</v>
      </c>
      <c r="O88" s="1">
        <v>45604</v>
      </c>
      <c r="P88" t="s">
        <v>1176</v>
      </c>
      <c r="Q88" t="s">
        <v>1177</v>
      </c>
      <c r="R88" t="s">
        <v>47</v>
      </c>
      <c r="S88" t="s">
        <v>48</v>
      </c>
      <c r="T88" t="s">
        <v>1166</v>
      </c>
      <c r="U88" t="s">
        <v>50</v>
      </c>
      <c r="V88" t="s">
        <v>967</v>
      </c>
      <c r="W88" t="s">
        <v>52</v>
      </c>
      <c r="X88" t="s">
        <v>53</v>
      </c>
      <c r="Y88" t="s">
        <v>1178</v>
      </c>
      <c r="Z88">
        <v>5</v>
      </c>
      <c r="AA88" t="s">
        <v>55</v>
      </c>
      <c r="AB88" t="s">
        <v>1179</v>
      </c>
      <c r="AC88" t="s">
        <v>967</v>
      </c>
      <c r="AD88" t="s">
        <v>58</v>
      </c>
      <c r="AE88">
        <v>2552000</v>
      </c>
      <c r="AF88">
        <v>51040</v>
      </c>
      <c r="AJ88" t="str">
        <f>_xlfn.XLOOKUP(Table9[[#This Row],[Engine No.]],'[1]Dubai Islamic Consumer'!$Q$3:$Q$1176,'[1]Dubai Islamic Consumer'!$B$3:$B$1176,,,)</f>
        <v>KHI/HO/D/MO/PC COMP/C/102086/156/11/2024</v>
      </c>
    </row>
    <row r="89" spans="1:36" hidden="1" x14ac:dyDescent="0.25">
      <c r="A89">
        <v>88</v>
      </c>
      <c r="B89" t="s">
        <v>35</v>
      </c>
      <c r="C89" t="s">
        <v>1180</v>
      </c>
      <c r="D89" t="s">
        <v>37</v>
      </c>
      <c r="E89" t="s">
        <v>1181</v>
      </c>
      <c r="F89" t="s">
        <v>245</v>
      </c>
      <c r="G89" t="s">
        <v>1182</v>
      </c>
      <c r="H89" t="s">
        <v>48</v>
      </c>
      <c r="I89" t="s">
        <v>1183</v>
      </c>
      <c r="J89" t="s">
        <v>1184</v>
      </c>
      <c r="K89" t="s">
        <v>1185</v>
      </c>
      <c r="L89">
        <v>2211950</v>
      </c>
      <c r="M89">
        <v>3403000</v>
      </c>
      <c r="N89" t="s">
        <v>1186</v>
      </c>
      <c r="O89" s="1">
        <v>45604</v>
      </c>
      <c r="P89" t="s">
        <v>1187</v>
      </c>
      <c r="Q89" t="s">
        <v>1188</v>
      </c>
      <c r="R89" t="s">
        <v>47</v>
      </c>
      <c r="S89" t="s">
        <v>48</v>
      </c>
      <c r="T89" t="s">
        <v>1189</v>
      </c>
      <c r="U89" t="s">
        <v>50</v>
      </c>
      <c r="V89" t="s">
        <v>1190</v>
      </c>
      <c r="W89" t="s">
        <v>132</v>
      </c>
      <c r="X89" t="s">
        <v>1191</v>
      </c>
      <c r="Y89" t="s">
        <v>1192</v>
      </c>
      <c r="Z89">
        <v>7</v>
      </c>
      <c r="AA89" t="s">
        <v>55</v>
      </c>
      <c r="AB89" t="s">
        <v>1193</v>
      </c>
      <c r="AC89" t="s">
        <v>967</v>
      </c>
      <c r="AD89" t="s">
        <v>58</v>
      </c>
      <c r="AE89">
        <v>2722400</v>
      </c>
      <c r="AF89">
        <v>54448</v>
      </c>
      <c r="AJ89" t="str">
        <f>_xlfn.XLOOKUP(Table9[[#This Row],[Engine No.]],'[1]Dubai Islamic Consumer'!$Q$3:$Q$1176,'[1]Dubai Islamic Consumer'!$B$3:$B$1176,,,)</f>
        <v>KHI/HO/D/MO/PC COMP/C/102086/158/11/2024</v>
      </c>
    </row>
    <row r="90" spans="1:36" hidden="1" x14ac:dyDescent="0.25">
      <c r="A90">
        <v>89</v>
      </c>
      <c r="B90" t="s">
        <v>35</v>
      </c>
      <c r="C90" t="s">
        <v>1194</v>
      </c>
      <c r="D90" t="s">
        <v>37</v>
      </c>
      <c r="E90" t="s">
        <v>1195</v>
      </c>
      <c r="F90" t="s">
        <v>1196</v>
      </c>
      <c r="G90" t="s">
        <v>1197</v>
      </c>
      <c r="H90" t="s">
        <v>48</v>
      </c>
      <c r="I90" t="s">
        <v>1198</v>
      </c>
      <c r="J90" t="s">
        <v>48</v>
      </c>
      <c r="K90" t="s">
        <v>1199</v>
      </c>
      <c r="L90">
        <v>2298100</v>
      </c>
      <c r="M90">
        <v>3283000</v>
      </c>
      <c r="N90" t="s">
        <v>1200</v>
      </c>
      <c r="O90" s="1">
        <v>45604</v>
      </c>
      <c r="P90" t="s">
        <v>1201</v>
      </c>
      <c r="Q90" t="s">
        <v>1202</v>
      </c>
      <c r="R90" t="s">
        <v>858</v>
      </c>
      <c r="S90" t="s">
        <v>48</v>
      </c>
      <c r="T90" t="s">
        <v>1128</v>
      </c>
      <c r="U90" t="s">
        <v>50</v>
      </c>
      <c r="V90" t="s">
        <v>1203</v>
      </c>
      <c r="W90" t="s">
        <v>196</v>
      </c>
      <c r="X90" t="s">
        <v>1204</v>
      </c>
      <c r="Y90" t="s">
        <v>1205</v>
      </c>
      <c r="Z90">
        <v>7</v>
      </c>
      <c r="AA90" t="s">
        <v>55</v>
      </c>
      <c r="AB90" t="s">
        <v>1206</v>
      </c>
      <c r="AC90" t="s">
        <v>185</v>
      </c>
      <c r="AD90" t="s">
        <v>943</v>
      </c>
      <c r="AE90">
        <v>2626400</v>
      </c>
      <c r="AF90">
        <v>36770</v>
      </c>
      <c r="AJ90" t="str">
        <f>_xlfn.XLOOKUP(Table9[[#This Row],[Engine No.]],'[1]Dubai Islamic Consumer'!$Q$3:$Q$1176,'[1]Dubai Islamic Consumer'!$B$3:$B$1176,,,)</f>
        <v>KHI/HO/D/MO/PC COMP/C/102086/159/11/2024</v>
      </c>
    </row>
    <row r="91" spans="1:36" hidden="1" x14ac:dyDescent="0.25">
      <c r="A91">
        <v>90</v>
      </c>
      <c r="B91" t="s">
        <v>35</v>
      </c>
      <c r="C91" t="s">
        <v>1207</v>
      </c>
      <c r="D91" t="s">
        <v>37</v>
      </c>
      <c r="E91" t="s">
        <v>1208</v>
      </c>
      <c r="F91" t="s">
        <v>138</v>
      </c>
      <c r="G91" t="s">
        <v>1209</v>
      </c>
      <c r="H91" t="s">
        <v>1210</v>
      </c>
      <c r="I91" t="s">
        <v>1210</v>
      </c>
      <c r="J91" t="s">
        <v>1210</v>
      </c>
      <c r="K91" t="s">
        <v>1211</v>
      </c>
      <c r="L91">
        <v>2992500</v>
      </c>
      <c r="M91">
        <v>3990000</v>
      </c>
      <c r="N91" t="s">
        <v>1212</v>
      </c>
      <c r="O91" s="1">
        <v>45604</v>
      </c>
      <c r="P91" t="s">
        <v>1213</v>
      </c>
      <c r="Q91" t="s">
        <v>1214</v>
      </c>
      <c r="R91" t="s">
        <v>1215</v>
      </c>
      <c r="S91" t="s">
        <v>48</v>
      </c>
      <c r="T91" t="s">
        <v>1216</v>
      </c>
      <c r="U91" t="s">
        <v>903</v>
      </c>
      <c r="V91" t="s">
        <v>1217</v>
      </c>
      <c r="W91" t="s">
        <v>167</v>
      </c>
      <c r="X91" t="s">
        <v>197</v>
      </c>
      <c r="Y91" t="s">
        <v>1218</v>
      </c>
      <c r="Z91">
        <v>5</v>
      </c>
      <c r="AA91" t="s">
        <v>152</v>
      </c>
      <c r="AB91" t="s">
        <v>1219</v>
      </c>
      <c r="AC91" t="s">
        <v>428</v>
      </c>
      <c r="AD91" t="s">
        <v>58</v>
      </c>
      <c r="AE91">
        <v>2992500</v>
      </c>
      <c r="AF91">
        <v>59850</v>
      </c>
      <c r="AJ91" t="str">
        <f>_xlfn.XLOOKUP(Table9[[#This Row],[Engine No.]],'[1]Dubai Islamic Consumer'!$Q$3:$Q$1176,'[1]Dubai Islamic Consumer'!$B$3:$B$1176,,,)</f>
        <v>KHI/HO/D/MO/PC COMP/C/102086/160/11/2024</v>
      </c>
    </row>
    <row r="92" spans="1:36" hidden="1" x14ac:dyDescent="0.25">
      <c r="A92">
        <v>91</v>
      </c>
      <c r="B92" t="s">
        <v>35</v>
      </c>
      <c r="C92" t="s">
        <v>1220</v>
      </c>
      <c r="D92" t="s">
        <v>37</v>
      </c>
      <c r="E92" t="s">
        <v>1221</v>
      </c>
      <c r="F92" t="s">
        <v>89</v>
      </c>
      <c r="G92" t="s">
        <v>1222</v>
      </c>
      <c r="H92" t="s">
        <v>48</v>
      </c>
      <c r="I92" t="s">
        <v>1223</v>
      </c>
      <c r="J92" t="s">
        <v>48</v>
      </c>
      <c r="K92" t="s">
        <v>1224</v>
      </c>
      <c r="L92">
        <v>2790550</v>
      </c>
      <c r="M92">
        <v>3283000</v>
      </c>
      <c r="N92" t="s">
        <v>1225</v>
      </c>
      <c r="O92" s="1">
        <v>45604</v>
      </c>
      <c r="P92" t="s">
        <v>1226</v>
      </c>
      <c r="Q92" t="s">
        <v>1227</v>
      </c>
      <c r="R92" t="s">
        <v>858</v>
      </c>
      <c r="S92" t="s">
        <v>48</v>
      </c>
      <c r="T92" t="s">
        <v>1128</v>
      </c>
      <c r="U92" t="s">
        <v>50</v>
      </c>
      <c r="V92" t="s">
        <v>1228</v>
      </c>
      <c r="W92" t="s">
        <v>1053</v>
      </c>
      <c r="X92" t="s">
        <v>457</v>
      </c>
      <c r="Y92" t="s">
        <v>1229</v>
      </c>
      <c r="Z92">
        <v>4</v>
      </c>
      <c r="AA92" t="s">
        <v>55</v>
      </c>
      <c r="AB92" t="s">
        <v>1230</v>
      </c>
      <c r="AC92" t="s">
        <v>967</v>
      </c>
      <c r="AD92" t="s">
        <v>943</v>
      </c>
      <c r="AE92">
        <v>2626400</v>
      </c>
      <c r="AF92">
        <v>36770</v>
      </c>
      <c r="AJ92" t="str">
        <f>_xlfn.XLOOKUP(Table9[[#This Row],[Engine No.]],'[1]Dubai Islamic Consumer'!$Q$3:$Q$1176,'[1]Dubai Islamic Consumer'!$B$3:$B$1176,,,)</f>
        <v>KHI/HO/D/MO/PC COMP/C/104052/1/12/2024</v>
      </c>
    </row>
    <row r="93" spans="1:36" hidden="1" x14ac:dyDescent="0.25">
      <c r="A93">
        <v>92</v>
      </c>
      <c r="B93" t="s">
        <v>35</v>
      </c>
      <c r="C93" t="s">
        <v>1231</v>
      </c>
      <c r="D93" t="s">
        <v>37</v>
      </c>
      <c r="E93" t="s">
        <v>1232</v>
      </c>
      <c r="F93" t="s">
        <v>245</v>
      </c>
      <c r="G93" t="s">
        <v>1233</v>
      </c>
      <c r="H93" t="s">
        <v>1234</v>
      </c>
      <c r="I93" t="s">
        <v>48</v>
      </c>
      <c r="J93" t="s">
        <v>1235</v>
      </c>
      <c r="K93" t="s">
        <v>1236</v>
      </c>
      <c r="L93">
        <v>2729300</v>
      </c>
      <c r="M93">
        <v>3899000</v>
      </c>
      <c r="N93" t="s">
        <v>1237</v>
      </c>
      <c r="O93" s="1">
        <v>45604</v>
      </c>
      <c r="P93" t="s">
        <v>1238</v>
      </c>
      <c r="Q93" t="s">
        <v>1239</v>
      </c>
      <c r="R93" t="s">
        <v>47</v>
      </c>
      <c r="S93" t="s">
        <v>48</v>
      </c>
      <c r="T93" t="s">
        <v>1240</v>
      </c>
      <c r="U93" t="s">
        <v>50</v>
      </c>
      <c r="V93" t="s">
        <v>1241</v>
      </c>
      <c r="W93" t="s">
        <v>196</v>
      </c>
      <c r="X93" t="s">
        <v>401</v>
      </c>
      <c r="Y93" t="s">
        <v>1242</v>
      </c>
      <c r="Z93">
        <v>5</v>
      </c>
      <c r="AA93" t="s">
        <v>55</v>
      </c>
      <c r="AB93" t="s">
        <v>1243</v>
      </c>
      <c r="AC93" t="s">
        <v>967</v>
      </c>
      <c r="AD93" t="s">
        <v>58</v>
      </c>
      <c r="AE93">
        <v>3119200</v>
      </c>
      <c r="AF93">
        <v>62384</v>
      </c>
      <c r="AJ93" t="str">
        <f>_xlfn.XLOOKUP(Table9[[#This Row],[Engine No.]],'[1]Dubai Islamic Consumer'!$Q$3:$Q$1176,'[1]Dubai Islamic Consumer'!$B$3:$B$1176,,,)</f>
        <v>KHI/HO/D/MO/PC COMP/C/102086/162/11/2024</v>
      </c>
    </row>
    <row r="94" spans="1:36" hidden="1" x14ac:dyDescent="0.25">
      <c r="A94">
        <v>93</v>
      </c>
      <c r="B94" t="s">
        <v>35</v>
      </c>
      <c r="C94" t="s">
        <v>1244</v>
      </c>
      <c r="D94" t="s">
        <v>37</v>
      </c>
      <c r="E94" t="s">
        <v>1245</v>
      </c>
      <c r="F94" t="s">
        <v>107</v>
      </c>
      <c r="G94" t="s">
        <v>1246</v>
      </c>
      <c r="H94" t="s">
        <v>1247</v>
      </c>
      <c r="I94" t="s">
        <v>1247</v>
      </c>
      <c r="J94" t="s">
        <v>1247</v>
      </c>
      <c r="K94" t="s">
        <v>1248</v>
      </c>
      <c r="L94">
        <v>987900</v>
      </c>
      <c r="M94">
        <v>1335000</v>
      </c>
      <c r="N94" t="s">
        <v>1249</v>
      </c>
      <c r="O94" s="1">
        <v>45605</v>
      </c>
      <c r="P94" t="s">
        <v>1250</v>
      </c>
      <c r="Q94" t="s">
        <v>1251</v>
      </c>
      <c r="R94" t="s">
        <v>47</v>
      </c>
      <c r="S94" t="s">
        <v>48</v>
      </c>
      <c r="T94" t="s">
        <v>194</v>
      </c>
      <c r="U94" t="s">
        <v>50</v>
      </c>
      <c r="V94" t="s">
        <v>1252</v>
      </c>
      <c r="W94" t="s">
        <v>196</v>
      </c>
      <c r="X94" t="s">
        <v>1204</v>
      </c>
      <c r="Y94" t="s">
        <v>1253</v>
      </c>
      <c r="Z94">
        <v>7</v>
      </c>
      <c r="AA94" t="s">
        <v>323</v>
      </c>
      <c r="AB94" t="s">
        <v>1254</v>
      </c>
      <c r="AC94" t="s">
        <v>1252</v>
      </c>
      <c r="AD94" t="s">
        <v>58</v>
      </c>
      <c r="AE94">
        <v>1068000</v>
      </c>
      <c r="AF94">
        <v>21360</v>
      </c>
      <c r="AJ94" t="str">
        <f>_xlfn.XLOOKUP(Table9[[#This Row],[Engine No.]],'[1]Dubai Islamic Consumer'!$Q$3:$Q$1176,'[1]Dubai Islamic Consumer'!$B$3:$B$1176,,,)</f>
        <v>KHI/HO/D/MO/PC COMP/C/102086/165/11/2024</v>
      </c>
    </row>
    <row r="95" spans="1:36" hidden="1" x14ac:dyDescent="0.25">
      <c r="A95">
        <v>94</v>
      </c>
      <c r="B95" t="s">
        <v>35</v>
      </c>
      <c r="C95" t="s">
        <v>1255</v>
      </c>
      <c r="D95" t="s">
        <v>37</v>
      </c>
      <c r="E95" t="s">
        <v>1256</v>
      </c>
      <c r="F95" t="s">
        <v>39</v>
      </c>
      <c r="G95" t="s">
        <v>1257</v>
      </c>
      <c r="H95" t="s">
        <v>1258</v>
      </c>
      <c r="I95" t="s">
        <v>1259</v>
      </c>
      <c r="J95" t="s">
        <v>1258</v>
      </c>
      <c r="K95" t="s">
        <v>1260</v>
      </c>
      <c r="L95">
        <v>1077300</v>
      </c>
      <c r="M95">
        <v>1539000</v>
      </c>
      <c r="N95" t="s">
        <v>1261</v>
      </c>
      <c r="O95" s="1">
        <v>45605</v>
      </c>
      <c r="P95" t="s">
        <v>1262</v>
      </c>
      <c r="Q95" t="s">
        <v>1263</v>
      </c>
      <c r="R95" t="s">
        <v>47</v>
      </c>
      <c r="S95" t="s">
        <v>48</v>
      </c>
      <c r="T95" t="s">
        <v>1264</v>
      </c>
      <c r="U95" t="s">
        <v>50</v>
      </c>
      <c r="V95" t="s">
        <v>1265</v>
      </c>
      <c r="W95" t="s">
        <v>196</v>
      </c>
      <c r="X95" t="s">
        <v>401</v>
      </c>
      <c r="Y95" t="s">
        <v>1266</v>
      </c>
      <c r="Z95">
        <v>5</v>
      </c>
      <c r="AA95" t="s">
        <v>55</v>
      </c>
      <c r="AB95" t="s">
        <v>1267</v>
      </c>
      <c r="AC95" t="s">
        <v>1265</v>
      </c>
      <c r="AD95" t="s">
        <v>58</v>
      </c>
      <c r="AE95">
        <v>1231200</v>
      </c>
      <c r="AF95">
        <v>24624</v>
      </c>
      <c r="AJ95" t="str">
        <f>_xlfn.XLOOKUP(Table9[[#This Row],[Engine No.]],'[1]Dubai Islamic Consumer'!$Q$3:$Q$1176,'[1]Dubai Islamic Consumer'!$B$3:$B$1176,,,)</f>
        <v>KHI/HO/D/MO/PC COMP/C/102086/166/11/2024</v>
      </c>
    </row>
    <row r="96" spans="1:36" hidden="1" x14ac:dyDescent="0.25">
      <c r="A96">
        <v>95</v>
      </c>
      <c r="B96" t="s">
        <v>35</v>
      </c>
      <c r="C96" t="s">
        <v>1268</v>
      </c>
      <c r="D96" t="s">
        <v>37</v>
      </c>
      <c r="E96" t="s">
        <v>1269</v>
      </c>
      <c r="F96" t="s">
        <v>138</v>
      </c>
      <c r="G96" t="s">
        <v>1270</v>
      </c>
      <c r="H96" t="s">
        <v>1271</v>
      </c>
      <c r="I96" t="s">
        <v>1271</v>
      </c>
      <c r="J96" t="s">
        <v>141</v>
      </c>
      <c r="K96" t="s">
        <v>1272</v>
      </c>
      <c r="L96">
        <v>1088430</v>
      </c>
      <c r="M96">
        <v>1533000</v>
      </c>
      <c r="N96" t="s">
        <v>1273</v>
      </c>
      <c r="O96" s="1">
        <v>45605</v>
      </c>
      <c r="P96" t="s">
        <v>1274</v>
      </c>
      <c r="Q96" t="s">
        <v>1275</v>
      </c>
      <c r="R96" t="s">
        <v>47</v>
      </c>
      <c r="S96" t="s">
        <v>48</v>
      </c>
      <c r="T96" t="s">
        <v>1276</v>
      </c>
      <c r="U96" t="s">
        <v>50</v>
      </c>
      <c r="V96" t="s">
        <v>211</v>
      </c>
      <c r="W96" t="s">
        <v>52</v>
      </c>
      <c r="X96" t="s">
        <v>53</v>
      </c>
      <c r="Y96" t="s">
        <v>1277</v>
      </c>
      <c r="Z96">
        <v>5</v>
      </c>
      <c r="AA96" t="s">
        <v>55</v>
      </c>
      <c r="AB96" t="s">
        <v>1278</v>
      </c>
      <c r="AC96" t="s">
        <v>287</v>
      </c>
      <c r="AD96" t="s">
        <v>58</v>
      </c>
      <c r="AE96">
        <v>1226400</v>
      </c>
      <c r="AF96">
        <v>24528</v>
      </c>
      <c r="AJ96" t="str">
        <f>_xlfn.XLOOKUP(Table9[[#This Row],[Engine No.]],'[1]Dubai Islamic Consumer'!$Q$3:$Q$1176,'[1]Dubai Islamic Consumer'!$B$3:$B$1176,,,)</f>
        <v>KHI/HO/D/MO/PC COMP/C/102086/167/11/2024</v>
      </c>
    </row>
    <row r="97" spans="1:36" hidden="1" x14ac:dyDescent="0.25">
      <c r="A97">
        <v>96</v>
      </c>
      <c r="B97" t="s">
        <v>35</v>
      </c>
      <c r="C97" t="s">
        <v>1279</v>
      </c>
      <c r="D97" t="s">
        <v>37</v>
      </c>
      <c r="E97" t="s">
        <v>1280</v>
      </c>
      <c r="F97" t="s">
        <v>138</v>
      </c>
      <c r="G97" t="s">
        <v>1281</v>
      </c>
      <c r="H97" t="s">
        <v>48</v>
      </c>
      <c r="I97" t="s">
        <v>1282</v>
      </c>
      <c r="J97" t="s">
        <v>1283</v>
      </c>
      <c r="K97" t="s">
        <v>1284</v>
      </c>
      <c r="L97">
        <v>1643000</v>
      </c>
      <c r="M97">
        <v>2650000</v>
      </c>
      <c r="N97" t="s">
        <v>1285</v>
      </c>
      <c r="O97" s="1">
        <v>45605</v>
      </c>
      <c r="P97" t="s">
        <v>1286</v>
      </c>
      <c r="Q97" t="s">
        <v>1287</v>
      </c>
      <c r="R97" t="s">
        <v>146</v>
      </c>
      <c r="S97" t="s">
        <v>1288</v>
      </c>
      <c r="T97" t="s">
        <v>1289</v>
      </c>
      <c r="U97" t="s">
        <v>496</v>
      </c>
      <c r="V97" t="s">
        <v>1290</v>
      </c>
      <c r="W97" t="s">
        <v>196</v>
      </c>
      <c r="X97" t="s">
        <v>197</v>
      </c>
      <c r="Y97" t="s">
        <v>1291</v>
      </c>
      <c r="Z97">
        <v>4</v>
      </c>
      <c r="AA97" t="s">
        <v>118</v>
      </c>
      <c r="AB97" t="s">
        <v>1292</v>
      </c>
      <c r="AC97" t="s">
        <v>52</v>
      </c>
      <c r="AD97" t="s">
        <v>58</v>
      </c>
      <c r="AE97">
        <v>2120000</v>
      </c>
      <c r="AF97">
        <v>42400</v>
      </c>
      <c r="AJ97" t="str">
        <f>_xlfn.XLOOKUP(Table9[[#This Row],[Engine No.]],'[1]Dubai Islamic Consumer'!$Q$3:$Q$1176,'[1]Dubai Islamic Consumer'!$B$3:$B$1176,,,)</f>
        <v>KHI/HO/D/MO/PC COMP/C/102086/170/11/2024</v>
      </c>
    </row>
    <row r="98" spans="1:36" hidden="1" x14ac:dyDescent="0.25">
      <c r="A98">
        <v>97</v>
      </c>
      <c r="B98" t="s">
        <v>35</v>
      </c>
      <c r="C98" t="s">
        <v>1293</v>
      </c>
      <c r="D98" t="s">
        <v>37</v>
      </c>
      <c r="E98" t="s">
        <v>1294</v>
      </c>
      <c r="F98" t="s">
        <v>290</v>
      </c>
      <c r="G98" t="s">
        <v>1295</v>
      </c>
      <c r="H98" t="s">
        <v>1296</v>
      </c>
      <c r="I98" t="s">
        <v>1296</v>
      </c>
      <c r="J98" t="s">
        <v>1296</v>
      </c>
      <c r="K98" t="s">
        <v>1297</v>
      </c>
      <c r="L98">
        <v>1812300</v>
      </c>
      <c r="M98">
        <v>2589000</v>
      </c>
      <c r="N98" t="s">
        <v>1298</v>
      </c>
      <c r="O98" s="1">
        <v>45605</v>
      </c>
      <c r="P98" t="s">
        <v>1299</v>
      </c>
      <c r="Q98" t="s">
        <v>1300</v>
      </c>
      <c r="R98" t="s">
        <v>47</v>
      </c>
      <c r="S98" t="s">
        <v>48</v>
      </c>
      <c r="T98" t="s">
        <v>1301</v>
      </c>
      <c r="U98" t="s">
        <v>50</v>
      </c>
      <c r="V98" t="s">
        <v>116</v>
      </c>
      <c r="W98" t="s">
        <v>1053</v>
      </c>
      <c r="X98" t="s">
        <v>457</v>
      </c>
      <c r="Y98" t="s">
        <v>1302</v>
      </c>
      <c r="Z98">
        <v>4</v>
      </c>
      <c r="AA98" t="s">
        <v>118</v>
      </c>
      <c r="AB98" t="s">
        <v>1303</v>
      </c>
      <c r="AC98" t="s">
        <v>52</v>
      </c>
      <c r="AD98" t="s">
        <v>58</v>
      </c>
      <c r="AE98">
        <v>2071200</v>
      </c>
      <c r="AF98">
        <v>41424</v>
      </c>
      <c r="AJ98" t="str">
        <f>_xlfn.XLOOKUP(Table9[[#This Row],[Engine No.]],'[1]Dubai Islamic Consumer'!$Q$3:$Q$1176,'[1]Dubai Islamic Consumer'!$B$3:$B$1176,,,)</f>
        <v>KHI/HO/D/MO/PC COMP/C/102086/171/11/2024</v>
      </c>
    </row>
    <row r="99" spans="1:36" hidden="1" x14ac:dyDescent="0.25">
      <c r="A99">
        <v>98</v>
      </c>
      <c r="B99" t="s">
        <v>35</v>
      </c>
      <c r="C99" t="s">
        <v>1304</v>
      </c>
      <c r="D99" t="s">
        <v>37</v>
      </c>
      <c r="E99" t="s">
        <v>1305</v>
      </c>
      <c r="F99" t="s">
        <v>107</v>
      </c>
      <c r="G99" t="s">
        <v>1306</v>
      </c>
      <c r="H99" t="s">
        <v>1307</v>
      </c>
      <c r="I99" t="s">
        <v>1307</v>
      </c>
      <c r="J99" t="s">
        <v>1307</v>
      </c>
      <c r="K99" t="s">
        <v>1308</v>
      </c>
      <c r="L99">
        <v>1963500</v>
      </c>
      <c r="M99">
        <v>2805000</v>
      </c>
      <c r="N99" t="s">
        <v>1309</v>
      </c>
      <c r="O99" s="1">
        <v>45605</v>
      </c>
      <c r="P99" t="s">
        <v>1310</v>
      </c>
      <c r="Q99" t="s">
        <v>1311</v>
      </c>
      <c r="R99" t="s">
        <v>47</v>
      </c>
      <c r="S99" t="s">
        <v>48</v>
      </c>
      <c r="T99" t="s">
        <v>495</v>
      </c>
      <c r="U99" t="s">
        <v>50</v>
      </c>
      <c r="V99" t="s">
        <v>52</v>
      </c>
      <c r="W99" t="s">
        <v>52</v>
      </c>
      <c r="X99" t="s">
        <v>53</v>
      </c>
      <c r="Y99" t="s">
        <v>1312</v>
      </c>
      <c r="Z99">
        <v>5</v>
      </c>
      <c r="AA99" t="s">
        <v>323</v>
      </c>
      <c r="AB99" t="s">
        <v>1313</v>
      </c>
      <c r="AC99" t="s">
        <v>967</v>
      </c>
      <c r="AD99" t="s">
        <v>58</v>
      </c>
      <c r="AE99">
        <v>2244000</v>
      </c>
      <c r="AF99">
        <v>44880</v>
      </c>
      <c r="AJ99" t="str">
        <f>_xlfn.XLOOKUP(Table9[[#This Row],[Engine No.]],'[1]Dubai Islamic Consumer'!$Q$3:$Q$1176,'[1]Dubai Islamic Consumer'!$B$3:$B$1176,,,)</f>
        <v>KHI/HO/D/MO/PC COMP/C/102086/172/11/2024</v>
      </c>
    </row>
    <row r="100" spans="1:36" hidden="1" x14ac:dyDescent="0.25">
      <c r="A100">
        <v>99</v>
      </c>
      <c r="B100" t="s">
        <v>35</v>
      </c>
      <c r="C100" t="s">
        <v>1314</v>
      </c>
      <c r="D100" t="s">
        <v>37</v>
      </c>
      <c r="E100" t="s">
        <v>1315</v>
      </c>
      <c r="F100" t="s">
        <v>138</v>
      </c>
      <c r="G100" t="s">
        <v>1316</v>
      </c>
      <c r="H100" t="s">
        <v>1317</v>
      </c>
      <c r="I100" t="s">
        <v>1317</v>
      </c>
      <c r="J100" t="s">
        <v>141</v>
      </c>
      <c r="K100" t="s">
        <v>1318</v>
      </c>
      <c r="L100">
        <v>1330000</v>
      </c>
      <c r="M100">
        <v>1900000</v>
      </c>
      <c r="N100" t="s">
        <v>1319</v>
      </c>
      <c r="O100" s="1">
        <v>45605</v>
      </c>
      <c r="P100" t="s">
        <v>1320</v>
      </c>
      <c r="Q100" t="s">
        <v>1321</v>
      </c>
      <c r="R100" t="s">
        <v>146</v>
      </c>
      <c r="S100" t="s">
        <v>1322</v>
      </c>
      <c r="T100" t="s">
        <v>1323</v>
      </c>
      <c r="U100" t="s">
        <v>335</v>
      </c>
      <c r="V100" t="s">
        <v>150</v>
      </c>
      <c r="W100" t="s">
        <v>150</v>
      </c>
      <c r="X100" t="s">
        <v>255</v>
      </c>
      <c r="Y100" t="s">
        <v>1324</v>
      </c>
      <c r="Z100">
        <v>5</v>
      </c>
      <c r="AA100" t="s">
        <v>227</v>
      </c>
      <c r="AB100" t="s">
        <v>1325</v>
      </c>
      <c r="AC100" t="s">
        <v>904</v>
      </c>
      <c r="AD100" t="s">
        <v>86</v>
      </c>
      <c r="AE100">
        <v>1615000</v>
      </c>
      <c r="AF100">
        <v>28263</v>
      </c>
      <c r="AJ100" t="str">
        <f>_xlfn.XLOOKUP(Table9[[#This Row],[Engine No.]],'[1]Dubai Islamic Consumer'!$Q$3:$Q$1176,'[1]Dubai Islamic Consumer'!$B$3:$B$1176,,,)</f>
        <v>KHI/HO/D/MO/PC COMP/C/102086/175/11/2024</v>
      </c>
    </row>
    <row r="101" spans="1:36" hidden="1" x14ac:dyDescent="0.25">
      <c r="A101">
        <v>100</v>
      </c>
      <c r="B101" t="s">
        <v>35</v>
      </c>
      <c r="C101" t="s">
        <v>1326</v>
      </c>
      <c r="D101" t="s">
        <v>37</v>
      </c>
      <c r="E101" t="s">
        <v>1327</v>
      </c>
      <c r="F101" t="s">
        <v>138</v>
      </c>
      <c r="G101" t="s">
        <v>1328</v>
      </c>
      <c r="H101" t="s">
        <v>1329</v>
      </c>
      <c r="I101" t="s">
        <v>1329</v>
      </c>
      <c r="J101" t="s">
        <v>141</v>
      </c>
      <c r="K101" t="s">
        <v>1330</v>
      </c>
      <c r="L101">
        <v>1260000</v>
      </c>
      <c r="M101">
        <v>1800000</v>
      </c>
      <c r="N101" t="s">
        <v>1331</v>
      </c>
      <c r="O101" s="1">
        <v>45605</v>
      </c>
      <c r="P101" t="s">
        <v>1332</v>
      </c>
      <c r="Q101" t="s">
        <v>1333</v>
      </c>
      <c r="R101" t="s">
        <v>146</v>
      </c>
      <c r="S101" t="s">
        <v>1334</v>
      </c>
      <c r="T101" t="s">
        <v>49</v>
      </c>
      <c r="U101" t="s">
        <v>98</v>
      </c>
      <c r="V101" t="s">
        <v>150</v>
      </c>
      <c r="W101" t="s">
        <v>150</v>
      </c>
      <c r="X101" t="s">
        <v>255</v>
      </c>
      <c r="Y101" t="s">
        <v>1335</v>
      </c>
      <c r="Z101">
        <v>5</v>
      </c>
      <c r="AA101" t="s">
        <v>227</v>
      </c>
      <c r="AB101" t="s">
        <v>1336</v>
      </c>
      <c r="AC101" t="s">
        <v>904</v>
      </c>
      <c r="AD101" t="s">
        <v>86</v>
      </c>
      <c r="AE101">
        <v>1530000</v>
      </c>
      <c r="AF101">
        <v>26775</v>
      </c>
      <c r="AJ101" t="str">
        <f>_xlfn.XLOOKUP(Table9[[#This Row],[Engine No.]],'[1]Dubai Islamic Consumer'!$Q$3:$Q$1176,'[1]Dubai Islamic Consumer'!$B$3:$B$1176,,,)</f>
        <v>KHI/HO/D/MO/PC COMP/C/102086/176/11/2024</v>
      </c>
    </row>
    <row r="102" spans="1:36" hidden="1" x14ac:dyDescent="0.25">
      <c r="A102">
        <v>101</v>
      </c>
      <c r="B102" t="s">
        <v>35</v>
      </c>
      <c r="C102" t="s">
        <v>1337</v>
      </c>
      <c r="D102" t="s">
        <v>37</v>
      </c>
      <c r="E102" t="s">
        <v>1338</v>
      </c>
      <c r="F102" t="s">
        <v>138</v>
      </c>
      <c r="G102" t="s">
        <v>1339</v>
      </c>
      <c r="H102" t="s">
        <v>1340</v>
      </c>
      <c r="I102" t="s">
        <v>1340</v>
      </c>
      <c r="J102" t="s">
        <v>141</v>
      </c>
      <c r="K102" t="s">
        <v>1341</v>
      </c>
      <c r="L102">
        <v>2940000</v>
      </c>
      <c r="M102">
        <v>9800000</v>
      </c>
      <c r="N102" t="s">
        <v>1342</v>
      </c>
      <c r="O102" s="1">
        <v>45605</v>
      </c>
      <c r="P102" t="s">
        <v>1343</v>
      </c>
      <c r="Q102" t="s">
        <v>1344</v>
      </c>
      <c r="R102" t="s">
        <v>146</v>
      </c>
      <c r="S102" t="s">
        <v>1345</v>
      </c>
      <c r="T102" t="s">
        <v>1346</v>
      </c>
      <c r="U102" t="s">
        <v>98</v>
      </c>
      <c r="V102" t="s">
        <v>150</v>
      </c>
      <c r="W102" t="s">
        <v>150</v>
      </c>
      <c r="X102" t="s">
        <v>101</v>
      </c>
      <c r="Y102" t="s">
        <v>1347</v>
      </c>
      <c r="Z102">
        <v>3</v>
      </c>
      <c r="AA102" t="s">
        <v>227</v>
      </c>
      <c r="AB102" t="s">
        <v>1348</v>
      </c>
      <c r="AC102" t="s">
        <v>150</v>
      </c>
      <c r="AD102" t="s">
        <v>299</v>
      </c>
      <c r="AE102">
        <v>8330000</v>
      </c>
      <c r="AF102">
        <v>124950</v>
      </c>
      <c r="AJ102" t="str">
        <f>_xlfn.XLOOKUP(Table9[[#This Row],[Engine No.]],'[1]Dubai Islamic Consumer'!$Q$3:$Q$1176,'[1]Dubai Islamic Consumer'!$B$3:$B$1176,,,)</f>
        <v>KHI/HO/D/MO/PC COMP/C/102086/177/11/2024</v>
      </c>
    </row>
    <row r="103" spans="1:36" hidden="1" x14ac:dyDescent="0.25">
      <c r="A103">
        <v>102</v>
      </c>
      <c r="B103" t="s">
        <v>35</v>
      </c>
      <c r="C103" t="s">
        <v>1349</v>
      </c>
      <c r="D103" t="s">
        <v>37</v>
      </c>
      <c r="E103" t="s">
        <v>1350</v>
      </c>
      <c r="F103" t="s">
        <v>107</v>
      </c>
      <c r="G103" t="s">
        <v>1351</v>
      </c>
      <c r="H103" t="s">
        <v>1352</v>
      </c>
      <c r="I103" t="s">
        <v>1353</v>
      </c>
      <c r="J103" t="s">
        <v>1354</v>
      </c>
      <c r="K103" t="s">
        <v>1355</v>
      </c>
      <c r="L103">
        <v>2207400</v>
      </c>
      <c r="M103">
        <v>3396000</v>
      </c>
      <c r="N103" t="s">
        <v>1356</v>
      </c>
      <c r="O103" s="1">
        <v>45605</v>
      </c>
      <c r="P103" t="s">
        <v>1357</v>
      </c>
      <c r="Q103" t="s">
        <v>1358</v>
      </c>
      <c r="R103" t="s">
        <v>47</v>
      </c>
      <c r="S103" t="s">
        <v>48</v>
      </c>
      <c r="T103" t="s">
        <v>1359</v>
      </c>
      <c r="U103" t="s">
        <v>148</v>
      </c>
      <c r="V103" t="s">
        <v>1360</v>
      </c>
      <c r="W103" t="s">
        <v>1080</v>
      </c>
      <c r="X103" t="s">
        <v>197</v>
      </c>
      <c r="Y103" t="s">
        <v>1361</v>
      </c>
      <c r="Z103">
        <v>3</v>
      </c>
      <c r="AA103" t="s">
        <v>152</v>
      </c>
      <c r="AB103" t="s">
        <v>1362</v>
      </c>
      <c r="AC103" t="s">
        <v>904</v>
      </c>
      <c r="AD103" t="s">
        <v>58</v>
      </c>
      <c r="AE103">
        <v>2886600</v>
      </c>
      <c r="AF103">
        <v>57732</v>
      </c>
      <c r="AJ103" t="str">
        <f>_xlfn.XLOOKUP(Table9[[#This Row],[Engine No.]],'[1]Dubai Islamic Consumer'!$Q$3:$Q$1176,'[1]Dubai Islamic Consumer'!$B$3:$B$1176,,,)</f>
        <v>KHI/HO/D/MO/PC COMP/C/102086/1/11/2024</v>
      </c>
    </row>
    <row r="104" spans="1:36" hidden="1" x14ac:dyDescent="0.25">
      <c r="A104">
        <v>103</v>
      </c>
      <c r="B104" t="s">
        <v>35</v>
      </c>
      <c r="C104" t="s">
        <v>1363</v>
      </c>
      <c r="D104" t="s">
        <v>37</v>
      </c>
      <c r="E104" t="s">
        <v>1364</v>
      </c>
      <c r="F104" t="s">
        <v>107</v>
      </c>
      <c r="G104" t="s">
        <v>1365</v>
      </c>
      <c r="H104" t="s">
        <v>48</v>
      </c>
      <c r="I104" t="s">
        <v>1366</v>
      </c>
      <c r="J104" t="s">
        <v>48</v>
      </c>
      <c r="K104" t="s">
        <v>1367</v>
      </c>
      <c r="L104">
        <v>1470000</v>
      </c>
      <c r="M104">
        <v>2100000</v>
      </c>
      <c r="N104" t="s">
        <v>1368</v>
      </c>
      <c r="O104" s="1">
        <v>45605</v>
      </c>
      <c r="P104" t="s">
        <v>1369</v>
      </c>
      <c r="Q104" t="s">
        <v>1370</v>
      </c>
      <c r="R104" t="s">
        <v>146</v>
      </c>
      <c r="S104" t="s">
        <v>1371</v>
      </c>
      <c r="T104" t="s">
        <v>1078</v>
      </c>
      <c r="U104" t="s">
        <v>496</v>
      </c>
      <c r="V104" t="s">
        <v>1372</v>
      </c>
      <c r="W104" t="s">
        <v>1080</v>
      </c>
      <c r="X104" t="s">
        <v>168</v>
      </c>
      <c r="Y104" t="s">
        <v>1373</v>
      </c>
      <c r="Z104">
        <v>5</v>
      </c>
      <c r="AA104" t="s">
        <v>227</v>
      </c>
      <c r="AB104" t="s">
        <v>1374</v>
      </c>
      <c r="AC104" t="s">
        <v>904</v>
      </c>
      <c r="AD104" t="s">
        <v>86</v>
      </c>
      <c r="AE104">
        <v>1785000</v>
      </c>
      <c r="AF104">
        <v>31238</v>
      </c>
      <c r="AJ104" t="str">
        <f>_xlfn.XLOOKUP(Table9[[#This Row],[Engine No.]],'[1]Dubai Islamic Consumer'!$Q$3:$Q$1176,'[1]Dubai Islamic Consumer'!$B$3:$B$1176,,,)</f>
        <v>KHI/HO/D/MO/PC COMP/C/102086/181/11/2024</v>
      </c>
    </row>
    <row r="105" spans="1:36" hidden="1" x14ac:dyDescent="0.25">
      <c r="A105">
        <v>104</v>
      </c>
      <c r="B105" t="s">
        <v>35</v>
      </c>
      <c r="C105" t="s">
        <v>1375</v>
      </c>
      <c r="D105" t="s">
        <v>37</v>
      </c>
      <c r="E105" t="s">
        <v>1376</v>
      </c>
      <c r="F105" t="s">
        <v>89</v>
      </c>
      <c r="G105" t="s">
        <v>1377</v>
      </c>
      <c r="H105" t="s">
        <v>1378</v>
      </c>
      <c r="I105" t="s">
        <v>48</v>
      </c>
      <c r="J105" t="s">
        <v>1379</v>
      </c>
      <c r="K105" t="s">
        <v>1380</v>
      </c>
      <c r="L105">
        <v>779100</v>
      </c>
      <c r="M105">
        <v>1113000</v>
      </c>
      <c r="N105" t="s">
        <v>1381</v>
      </c>
      <c r="O105" s="1">
        <v>45606</v>
      </c>
      <c r="P105" t="s">
        <v>1382</v>
      </c>
      <c r="Q105" t="s">
        <v>1383</v>
      </c>
      <c r="R105" t="s">
        <v>47</v>
      </c>
      <c r="S105" t="s">
        <v>48</v>
      </c>
      <c r="T105" t="s">
        <v>1384</v>
      </c>
      <c r="U105" t="s">
        <v>50</v>
      </c>
      <c r="V105" t="s">
        <v>993</v>
      </c>
      <c r="W105" t="s">
        <v>1053</v>
      </c>
      <c r="X105" t="s">
        <v>388</v>
      </c>
      <c r="Y105" t="s">
        <v>1385</v>
      </c>
      <c r="Z105">
        <v>5</v>
      </c>
      <c r="AA105" t="s">
        <v>55</v>
      </c>
      <c r="AB105" t="s">
        <v>1386</v>
      </c>
      <c r="AC105" t="s">
        <v>1387</v>
      </c>
      <c r="AD105" t="s">
        <v>58</v>
      </c>
      <c r="AE105">
        <v>890400</v>
      </c>
      <c r="AF105">
        <v>17808</v>
      </c>
      <c r="AJ105" t="str">
        <f>_xlfn.XLOOKUP(Table9[[#This Row],[Engine No.]],'[1]Dubai Islamic Consumer'!$Q$3:$Q$1176,'[1]Dubai Islamic Consumer'!$B$3:$B$1176,,,)</f>
        <v>KHI/HO/D/MO/PC COMP/C/102086/186/11/2024</v>
      </c>
    </row>
    <row r="106" spans="1:36" hidden="1" x14ac:dyDescent="0.25">
      <c r="A106">
        <v>105</v>
      </c>
      <c r="B106" t="s">
        <v>35</v>
      </c>
      <c r="C106" t="s">
        <v>1388</v>
      </c>
      <c r="D106" t="s">
        <v>37</v>
      </c>
      <c r="E106" t="s">
        <v>1389</v>
      </c>
      <c r="F106" t="s">
        <v>89</v>
      </c>
      <c r="G106" t="s">
        <v>1390</v>
      </c>
      <c r="H106" t="s">
        <v>631</v>
      </c>
      <c r="I106" t="s">
        <v>1391</v>
      </c>
      <c r="J106" t="s">
        <v>1392</v>
      </c>
      <c r="K106" t="s">
        <v>1393</v>
      </c>
      <c r="L106">
        <v>1795800</v>
      </c>
      <c r="M106">
        <v>2993000</v>
      </c>
      <c r="N106" t="s">
        <v>1394</v>
      </c>
      <c r="O106" s="1">
        <v>45606</v>
      </c>
      <c r="P106" t="s">
        <v>1395</v>
      </c>
      <c r="Q106" t="s">
        <v>1396</v>
      </c>
      <c r="R106" t="s">
        <v>47</v>
      </c>
      <c r="S106" t="s">
        <v>48</v>
      </c>
      <c r="T106" t="s">
        <v>1397</v>
      </c>
      <c r="U106" t="s">
        <v>98</v>
      </c>
      <c r="V106" t="s">
        <v>1398</v>
      </c>
      <c r="W106" t="s">
        <v>167</v>
      </c>
      <c r="X106" t="s">
        <v>197</v>
      </c>
      <c r="Y106" t="s">
        <v>1399</v>
      </c>
      <c r="Z106">
        <v>5</v>
      </c>
      <c r="AA106" t="s">
        <v>227</v>
      </c>
      <c r="AB106" t="s">
        <v>1400</v>
      </c>
      <c r="AC106" t="s">
        <v>100</v>
      </c>
      <c r="AD106" t="s">
        <v>58</v>
      </c>
      <c r="AE106">
        <v>2244750</v>
      </c>
      <c r="AF106">
        <v>44895</v>
      </c>
      <c r="AJ106" t="str">
        <f>_xlfn.XLOOKUP(Table9[[#This Row],[Engine No.]],'[1]Dubai Islamic Consumer'!$Q$3:$Q$1176,'[1]Dubai Islamic Consumer'!$B$3:$B$1176,,,)</f>
        <v>KHI/HO/D/MO/PC COMP/C/102086/191/11/2024</v>
      </c>
    </row>
    <row r="107" spans="1:36" hidden="1" x14ac:dyDescent="0.25">
      <c r="A107">
        <v>106</v>
      </c>
      <c r="B107" t="s">
        <v>35</v>
      </c>
      <c r="C107" t="s">
        <v>1401</v>
      </c>
      <c r="D107" t="s">
        <v>37</v>
      </c>
      <c r="E107" t="s">
        <v>1402</v>
      </c>
      <c r="F107" t="s">
        <v>107</v>
      </c>
      <c r="G107" t="s">
        <v>1403</v>
      </c>
      <c r="H107" t="s">
        <v>1404</v>
      </c>
      <c r="I107" t="s">
        <v>1404</v>
      </c>
      <c r="J107" t="s">
        <v>1405</v>
      </c>
      <c r="K107" t="s">
        <v>1406</v>
      </c>
      <c r="L107">
        <v>2382100</v>
      </c>
      <c r="M107">
        <v>3403000</v>
      </c>
      <c r="N107" t="s">
        <v>1407</v>
      </c>
      <c r="O107" s="1">
        <v>45606</v>
      </c>
      <c r="P107" t="s">
        <v>1408</v>
      </c>
      <c r="Q107" t="s">
        <v>1409</v>
      </c>
      <c r="R107" t="s">
        <v>47</v>
      </c>
      <c r="S107" t="s">
        <v>48</v>
      </c>
      <c r="T107" t="s">
        <v>1189</v>
      </c>
      <c r="U107" t="s">
        <v>50</v>
      </c>
      <c r="V107" t="s">
        <v>1410</v>
      </c>
      <c r="W107" t="s">
        <v>132</v>
      </c>
      <c r="X107" t="s">
        <v>133</v>
      </c>
      <c r="Y107" t="s">
        <v>1411</v>
      </c>
      <c r="Z107">
        <v>5</v>
      </c>
      <c r="AA107" t="s">
        <v>55</v>
      </c>
      <c r="AB107" t="s">
        <v>1412</v>
      </c>
      <c r="AC107" t="s">
        <v>52</v>
      </c>
      <c r="AD107" t="s">
        <v>58</v>
      </c>
      <c r="AE107">
        <v>2722400</v>
      </c>
      <c r="AF107">
        <v>54448</v>
      </c>
      <c r="AJ107" t="str">
        <f>_xlfn.XLOOKUP(Table9[[#This Row],[Engine No.]],'[1]Dubai Islamic Consumer'!$Q$3:$Q$1176,'[1]Dubai Islamic Consumer'!$B$3:$B$1176,,,)</f>
        <v>KHI/HO/D/MO/PC COMP/C/102086/193/11/2024</v>
      </c>
    </row>
    <row r="108" spans="1:36" hidden="1" x14ac:dyDescent="0.25">
      <c r="A108">
        <v>107</v>
      </c>
      <c r="B108" t="s">
        <v>35</v>
      </c>
      <c r="C108" t="s">
        <v>1413</v>
      </c>
      <c r="D108" t="s">
        <v>37</v>
      </c>
      <c r="E108" t="s">
        <v>1414</v>
      </c>
      <c r="F108" t="s">
        <v>73</v>
      </c>
      <c r="G108" t="s">
        <v>1415</v>
      </c>
      <c r="H108" t="s">
        <v>48</v>
      </c>
      <c r="I108" t="s">
        <v>1416</v>
      </c>
      <c r="J108" t="s">
        <v>48</v>
      </c>
      <c r="K108" t="s">
        <v>1417</v>
      </c>
      <c r="L108">
        <v>3963170</v>
      </c>
      <c r="M108">
        <v>5429000</v>
      </c>
      <c r="N108" t="s">
        <v>1418</v>
      </c>
      <c r="O108" s="1">
        <v>45606</v>
      </c>
      <c r="P108" t="s">
        <v>1419</v>
      </c>
      <c r="Q108" t="s">
        <v>1420</v>
      </c>
      <c r="R108" t="s">
        <v>47</v>
      </c>
      <c r="S108" t="s">
        <v>48</v>
      </c>
      <c r="T108" t="s">
        <v>1421</v>
      </c>
      <c r="U108" t="s">
        <v>98</v>
      </c>
      <c r="V108" t="s">
        <v>1422</v>
      </c>
      <c r="W108" t="s">
        <v>167</v>
      </c>
      <c r="X108" t="s">
        <v>197</v>
      </c>
      <c r="Y108" t="s">
        <v>1423</v>
      </c>
      <c r="Z108">
        <v>5</v>
      </c>
      <c r="AA108" t="s">
        <v>48</v>
      </c>
      <c r="AB108" t="s">
        <v>48</v>
      </c>
      <c r="AC108" t="s">
        <v>48</v>
      </c>
      <c r="AD108" t="s">
        <v>299</v>
      </c>
      <c r="AE108">
        <v>4071750</v>
      </c>
      <c r="AF108">
        <v>61076</v>
      </c>
      <c r="AJ108" t="str">
        <f>_xlfn.XLOOKUP(Table9[[#This Row],[Engine No.]],'[1]Dubai Islamic Consumer'!$Q$3:$Q$1176,'[1]Dubai Islamic Consumer'!$B$3:$B$1176,,,)</f>
        <v>KHI/HO/D/MO/PC COMP/C/102086/194/11/2024</v>
      </c>
    </row>
    <row r="109" spans="1:36" hidden="1" x14ac:dyDescent="0.25">
      <c r="A109">
        <v>108</v>
      </c>
      <c r="B109" t="s">
        <v>35</v>
      </c>
      <c r="C109" t="s">
        <v>1424</v>
      </c>
      <c r="D109" t="s">
        <v>37</v>
      </c>
      <c r="E109" t="s">
        <v>1425</v>
      </c>
      <c r="F109" t="s">
        <v>138</v>
      </c>
      <c r="G109" t="s">
        <v>1426</v>
      </c>
      <c r="H109" t="s">
        <v>48</v>
      </c>
      <c r="I109" t="s">
        <v>48</v>
      </c>
      <c r="J109" t="s">
        <v>48</v>
      </c>
      <c r="K109" t="s">
        <v>1427</v>
      </c>
      <c r="L109">
        <v>1645000</v>
      </c>
      <c r="M109">
        <v>2350000</v>
      </c>
      <c r="N109" t="s">
        <v>1428</v>
      </c>
      <c r="O109" s="1">
        <v>45606</v>
      </c>
      <c r="P109" t="s">
        <v>1429</v>
      </c>
      <c r="Q109" t="s">
        <v>1430</v>
      </c>
      <c r="R109" t="s">
        <v>146</v>
      </c>
      <c r="S109" t="s">
        <v>1431</v>
      </c>
      <c r="T109" t="s">
        <v>613</v>
      </c>
      <c r="U109" t="s">
        <v>148</v>
      </c>
      <c r="V109" t="s">
        <v>150</v>
      </c>
      <c r="W109" t="s">
        <v>150</v>
      </c>
      <c r="X109" t="s">
        <v>53</v>
      </c>
      <c r="Y109" t="s">
        <v>1432</v>
      </c>
      <c r="Z109">
        <v>4</v>
      </c>
      <c r="AA109" t="s">
        <v>227</v>
      </c>
      <c r="AB109" t="s">
        <v>1433</v>
      </c>
      <c r="AC109" t="s">
        <v>150</v>
      </c>
      <c r="AD109" t="s">
        <v>299</v>
      </c>
      <c r="AE109">
        <v>1997500</v>
      </c>
      <c r="AF109">
        <v>29963</v>
      </c>
      <c r="AJ109" t="str">
        <f>_xlfn.XLOOKUP(Table9[[#This Row],[Engine No.]],'[1]Dubai Islamic Consumer'!$Q$3:$Q$1176,'[1]Dubai Islamic Consumer'!$B$3:$B$1176,,,)</f>
        <v>KHI/HO/D/MO/PC COMP/C/102086/195/11/2024</v>
      </c>
    </row>
    <row r="110" spans="1:36" hidden="1" x14ac:dyDescent="0.25">
      <c r="A110">
        <v>109</v>
      </c>
      <c r="B110" t="s">
        <v>35</v>
      </c>
      <c r="C110" t="s">
        <v>1434</v>
      </c>
      <c r="D110" t="s">
        <v>37</v>
      </c>
      <c r="E110" t="s">
        <v>1435</v>
      </c>
      <c r="F110" t="s">
        <v>245</v>
      </c>
      <c r="G110" t="s">
        <v>1436</v>
      </c>
      <c r="H110" t="s">
        <v>1437</v>
      </c>
      <c r="I110" t="s">
        <v>48</v>
      </c>
      <c r="J110" t="s">
        <v>1438</v>
      </c>
      <c r="K110" t="s">
        <v>1439</v>
      </c>
      <c r="L110">
        <v>1040000</v>
      </c>
      <c r="M110">
        <v>1600000</v>
      </c>
      <c r="N110" t="s">
        <v>1440</v>
      </c>
      <c r="O110" s="1">
        <v>45607</v>
      </c>
      <c r="P110" t="s">
        <v>1441</v>
      </c>
      <c r="Q110" t="s">
        <v>1442</v>
      </c>
      <c r="R110" t="s">
        <v>146</v>
      </c>
      <c r="S110" t="s">
        <v>1443</v>
      </c>
      <c r="T110" t="s">
        <v>181</v>
      </c>
      <c r="U110" t="s">
        <v>496</v>
      </c>
      <c r="V110" t="s">
        <v>1265</v>
      </c>
      <c r="W110" t="s">
        <v>196</v>
      </c>
      <c r="X110" t="s">
        <v>401</v>
      </c>
      <c r="Y110" t="s">
        <v>1444</v>
      </c>
      <c r="Z110">
        <v>5</v>
      </c>
      <c r="AA110" t="s">
        <v>118</v>
      </c>
      <c r="AB110" t="s">
        <v>1445</v>
      </c>
      <c r="AC110" t="s">
        <v>1290</v>
      </c>
      <c r="AD110" t="s">
        <v>58</v>
      </c>
      <c r="AE110">
        <v>1280000</v>
      </c>
      <c r="AF110">
        <v>25600</v>
      </c>
      <c r="AJ110" t="str">
        <f>_xlfn.XLOOKUP(Table9[[#This Row],[Engine No.]],'[1]Dubai Islamic Consumer'!$Q$3:$Q$1176,'[1]Dubai Islamic Consumer'!$B$3:$B$1176,,,)</f>
        <v>KHI/HO/D/MO/PC COMP/C/102086/204/11/2024</v>
      </c>
    </row>
    <row r="111" spans="1:36" hidden="1" x14ac:dyDescent="0.25">
      <c r="A111">
        <v>110</v>
      </c>
      <c r="B111" t="s">
        <v>35</v>
      </c>
      <c r="C111" t="s">
        <v>1446</v>
      </c>
      <c r="D111" t="s">
        <v>37</v>
      </c>
      <c r="E111" t="s">
        <v>1447</v>
      </c>
      <c r="F111" t="s">
        <v>525</v>
      </c>
      <c r="G111" t="s">
        <v>1448</v>
      </c>
      <c r="H111" t="s">
        <v>1449</v>
      </c>
      <c r="I111" t="s">
        <v>1449</v>
      </c>
      <c r="J111" t="s">
        <v>1449</v>
      </c>
      <c r="K111" t="s">
        <v>1450</v>
      </c>
      <c r="L111">
        <v>1278400</v>
      </c>
      <c r="M111">
        <v>1598000</v>
      </c>
      <c r="N111" t="s">
        <v>1451</v>
      </c>
      <c r="O111" s="1">
        <v>45607</v>
      </c>
      <c r="P111" t="s">
        <v>1452</v>
      </c>
      <c r="Q111" t="s">
        <v>1453</v>
      </c>
      <c r="R111" t="s">
        <v>47</v>
      </c>
      <c r="S111" t="s">
        <v>48</v>
      </c>
      <c r="T111" t="s">
        <v>414</v>
      </c>
      <c r="U111" t="s">
        <v>98</v>
      </c>
      <c r="V111" t="s">
        <v>455</v>
      </c>
      <c r="W111" t="s">
        <v>532</v>
      </c>
      <c r="X111" t="s">
        <v>533</v>
      </c>
      <c r="Y111" t="s">
        <v>1454</v>
      </c>
      <c r="Z111">
        <v>5</v>
      </c>
      <c r="AA111" t="s">
        <v>55</v>
      </c>
      <c r="AB111" t="s">
        <v>1455</v>
      </c>
      <c r="AC111" t="s">
        <v>100</v>
      </c>
      <c r="AD111" t="s">
        <v>58</v>
      </c>
      <c r="AE111">
        <v>1198500</v>
      </c>
      <c r="AF111">
        <v>23970</v>
      </c>
      <c r="AJ111" t="str">
        <f>_xlfn.XLOOKUP(Table9[[#This Row],[Engine No.]],'[1]Dubai Islamic Consumer'!$Q$3:$Q$1176,'[1]Dubai Islamic Consumer'!$B$3:$B$1176,,,)</f>
        <v>KHI/HO/D/MO/PC COMP/C/102086/205/11/2024</v>
      </c>
    </row>
    <row r="112" spans="1:36" hidden="1" x14ac:dyDescent="0.25">
      <c r="A112">
        <v>111</v>
      </c>
      <c r="B112" t="s">
        <v>35</v>
      </c>
      <c r="C112" t="s">
        <v>1456</v>
      </c>
      <c r="D112" t="s">
        <v>37</v>
      </c>
      <c r="E112" t="s">
        <v>1457</v>
      </c>
      <c r="F112" t="s">
        <v>107</v>
      </c>
      <c r="G112" t="s">
        <v>1458</v>
      </c>
      <c r="H112" t="s">
        <v>48</v>
      </c>
      <c r="I112" t="s">
        <v>1459</v>
      </c>
      <c r="J112" t="s">
        <v>1460</v>
      </c>
      <c r="K112" t="s">
        <v>1461</v>
      </c>
      <c r="L112">
        <v>1216800</v>
      </c>
      <c r="M112">
        <v>1521000</v>
      </c>
      <c r="N112" t="s">
        <v>1462</v>
      </c>
      <c r="O112" s="1">
        <v>45607</v>
      </c>
      <c r="P112" t="s">
        <v>1463</v>
      </c>
      <c r="Q112" t="s">
        <v>1464</v>
      </c>
      <c r="R112" t="s">
        <v>47</v>
      </c>
      <c r="S112" t="s">
        <v>48</v>
      </c>
      <c r="T112" t="s">
        <v>783</v>
      </c>
      <c r="U112" t="s">
        <v>50</v>
      </c>
      <c r="V112" t="s">
        <v>1115</v>
      </c>
      <c r="W112" t="s">
        <v>196</v>
      </c>
      <c r="X112" t="s">
        <v>401</v>
      </c>
      <c r="Y112" t="s">
        <v>1465</v>
      </c>
      <c r="Z112">
        <v>5</v>
      </c>
      <c r="AA112" t="s">
        <v>55</v>
      </c>
      <c r="AB112" t="s">
        <v>1466</v>
      </c>
      <c r="AC112" t="s">
        <v>1290</v>
      </c>
      <c r="AD112" t="s">
        <v>58</v>
      </c>
      <c r="AE112">
        <v>1216800</v>
      </c>
      <c r="AF112">
        <v>24336</v>
      </c>
      <c r="AJ112" t="str">
        <f>_xlfn.XLOOKUP(Table9[[#This Row],[Engine No.]],'[1]Dubai Islamic Consumer'!$Q$3:$Q$1176,'[1]Dubai Islamic Consumer'!$B$3:$B$1176,,,)</f>
        <v>KHI/HO/D/MO/PC COMP/C/102086/207/11/2024</v>
      </c>
    </row>
    <row r="113" spans="1:36" hidden="1" x14ac:dyDescent="0.25">
      <c r="A113">
        <v>112</v>
      </c>
      <c r="B113" t="s">
        <v>35</v>
      </c>
      <c r="C113" t="s">
        <v>1467</v>
      </c>
      <c r="D113" t="s">
        <v>37</v>
      </c>
      <c r="E113" t="s">
        <v>1468</v>
      </c>
      <c r="F113" t="s">
        <v>138</v>
      </c>
      <c r="G113" t="s">
        <v>1469</v>
      </c>
      <c r="H113" t="s">
        <v>1470</v>
      </c>
      <c r="I113" t="s">
        <v>1471</v>
      </c>
      <c r="J113" t="s">
        <v>1470</v>
      </c>
      <c r="K113" t="s">
        <v>1472</v>
      </c>
      <c r="L113">
        <v>2205750</v>
      </c>
      <c r="M113">
        <v>2595000</v>
      </c>
      <c r="N113" t="s">
        <v>1473</v>
      </c>
      <c r="O113" s="1">
        <v>45607</v>
      </c>
      <c r="P113" t="s">
        <v>1474</v>
      </c>
      <c r="Q113" t="s">
        <v>1475</v>
      </c>
      <c r="R113" t="s">
        <v>47</v>
      </c>
      <c r="S113" t="s">
        <v>48</v>
      </c>
      <c r="T113" t="s">
        <v>699</v>
      </c>
      <c r="U113" t="s">
        <v>50</v>
      </c>
      <c r="V113" t="s">
        <v>1476</v>
      </c>
      <c r="W113" t="s">
        <v>196</v>
      </c>
      <c r="X113" t="s">
        <v>401</v>
      </c>
      <c r="Y113" t="s">
        <v>1477</v>
      </c>
      <c r="Z113">
        <v>5</v>
      </c>
      <c r="AA113" t="s">
        <v>55</v>
      </c>
      <c r="AB113" t="s">
        <v>1478</v>
      </c>
      <c r="AC113" t="s">
        <v>967</v>
      </c>
      <c r="AD113" t="s">
        <v>86</v>
      </c>
      <c r="AE113">
        <v>2076000</v>
      </c>
      <c r="AF113">
        <v>36330</v>
      </c>
      <c r="AJ113" t="str">
        <f>_xlfn.XLOOKUP(Table9[[#This Row],[Engine No.]],'[1]Dubai Islamic Consumer'!$Q$3:$Q$1176,'[1]Dubai Islamic Consumer'!$B$3:$B$1176,,,)</f>
        <v>KHI/HO/D/MO/PC COMP/C/102086/209/11/2024</v>
      </c>
    </row>
    <row r="114" spans="1:36" hidden="1" x14ac:dyDescent="0.25">
      <c r="A114">
        <v>113</v>
      </c>
      <c r="B114" t="s">
        <v>35</v>
      </c>
      <c r="C114" t="s">
        <v>1479</v>
      </c>
      <c r="D114" t="s">
        <v>37</v>
      </c>
      <c r="E114" t="s">
        <v>106</v>
      </c>
      <c r="F114" t="s">
        <v>107</v>
      </c>
      <c r="G114" t="s">
        <v>1480</v>
      </c>
      <c r="H114" t="s">
        <v>1481</v>
      </c>
      <c r="I114" t="s">
        <v>1481</v>
      </c>
      <c r="J114" t="s">
        <v>1481</v>
      </c>
      <c r="K114" t="s">
        <v>1482</v>
      </c>
      <c r="L114">
        <v>2736160</v>
      </c>
      <c r="M114">
        <v>3908800</v>
      </c>
      <c r="N114" t="s">
        <v>1483</v>
      </c>
      <c r="O114" s="1">
        <v>45607</v>
      </c>
      <c r="P114" t="s">
        <v>1484</v>
      </c>
      <c r="Q114" t="s">
        <v>1485</v>
      </c>
      <c r="R114" t="s">
        <v>47</v>
      </c>
      <c r="S114" t="s">
        <v>48</v>
      </c>
      <c r="T114" t="s">
        <v>1486</v>
      </c>
      <c r="U114" t="s">
        <v>50</v>
      </c>
      <c r="V114" t="s">
        <v>1487</v>
      </c>
      <c r="W114" t="s">
        <v>1053</v>
      </c>
      <c r="X114" t="s">
        <v>388</v>
      </c>
      <c r="Y114" t="s">
        <v>1488</v>
      </c>
      <c r="Z114">
        <v>5</v>
      </c>
      <c r="AA114" t="s">
        <v>55</v>
      </c>
      <c r="AB114" t="s">
        <v>1489</v>
      </c>
      <c r="AC114" t="s">
        <v>1290</v>
      </c>
      <c r="AD114" t="s">
        <v>58</v>
      </c>
      <c r="AE114">
        <v>3127040</v>
      </c>
      <c r="AF114">
        <v>62541</v>
      </c>
      <c r="AJ114" t="str">
        <f>_xlfn.XLOOKUP(Table9[[#This Row],[Engine No.]],'[1]Dubai Islamic Consumer'!$Q$3:$Q$1176,'[1]Dubai Islamic Consumer'!$B$3:$B$1176,,,)</f>
        <v>KHI/HO/D/MO/PC COMP/C/102086/210/11/2024</v>
      </c>
    </row>
    <row r="115" spans="1:36" hidden="1" x14ac:dyDescent="0.25">
      <c r="A115">
        <v>114</v>
      </c>
      <c r="B115" t="s">
        <v>35</v>
      </c>
      <c r="C115" t="s">
        <v>1490</v>
      </c>
      <c r="D115" t="s">
        <v>37</v>
      </c>
      <c r="E115" t="s">
        <v>1491</v>
      </c>
      <c r="F115" t="s">
        <v>245</v>
      </c>
      <c r="G115" t="s">
        <v>1492</v>
      </c>
      <c r="H115" t="s">
        <v>1493</v>
      </c>
      <c r="I115" t="s">
        <v>48</v>
      </c>
      <c r="J115" t="s">
        <v>1493</v>
      </c>
      <c r="K115" t="s">
        <v>1494</v>
      </c>
      <c r="L115">
        <v>2977000</v>
      </c>
      <c r="M115">
        <v>4580000</v>
      </c>
      <c r="N115" t="s">
        <v>1495</v>
      </c>
      <c r="O115" s="1">
        <v>45607</v>
      </c>
      <c r="P115" t="s">
        <v>1496</v>
      </c>
      <c r="Q115" t="s">
        <v>1497</v>
      </c>
      <c r="R115" t="s">
        <v>47</v>
      </c>
      <c r="S115" t="s">
        <v>48</v>
      </c>
      <c r="T115" t="s">
        <v>1498</v>
      </c>
      <c r="U115" t="s">
        <v>50</v>
      </c>
      <c r="V115" t="s">
        <v>1265</v>
      </c>
      <c r="W115" t="s">
        <v>196</v>
      </c>
      <c r="X115" t="s">
        <v>401</v>
      </c>
      <c r="Y115" t="s">
        <v>1499</v>
      </c>
      <c r="Z115">
        <v>5</v>
      </c>
      <c r="AA115" t="s">
        <v>118</v>
      </c>
      <c r="AB115" t="s">
        <v>1500</v>
      </c>
      <c r="AC115" t="s">
        <v>1501</v>
      </c>
      <c r="AD115" t="s">
        <v>58</v>
      </c>
      <c r="AE115">
        <v>3664000</v>
      </c>
      <c r="AF115">
        <v>73280</v>
      </c>
      <c r="AJ115" t="str">
        <f>_xlfn.XLOOKUP(Table9[[#This Row],[Engine No.]],'[1]Dubai Islamic Consumer'!$Q$3:$Q$1176,'[1]Dubai Islamic Consumer'!$B$3:$B$1176,,,)</f>
        <v>KHI/HO/D/MO/PC COMP/C/102086/211/11/2024</v>
      </c>
    </row>
    <row r="116" spans="1:36" hidden="1" x14ac:dyDescent="0.25">
      <c r="A116">
        <v>115</v>
      </c>
      <c r="B116" t="s">
        <v>35</v>
      </c>
      <c r="C116" t="s">
        <v>1502</v>
      </c>
      <c r="D116" t="s">
        <v>37</v>
      </c>
      <c r="E116" t="s">
        <v>1503</v>
      </c>
      <c r="F116" t="s">
        <v>138</v>
      </c>
      <c r="G116" t="s">
        <v>1504</v>
      </c>
      <c r="H116" t="s">
        <v>1505</v>
      </c>
      <c r="I116" t="s">
        <v>1506</v>
      </c>
      <c r="J116" t="s">
        <v>1507</v>
      </c>
      <c r="K116" t="s">
        <v>1508</v>
      </c>
      <c r="L116">
        <v>5629875</v>
      </c>
      <c r="M116">
        <v>7506500</v>
      </c>
      <c r="N116" t="s">
        <v>1509</v>
      </c>
      <c r="O116" s="1">
        <v>45607</v>
      </c>
      <c r="P116" t="s">
        <v>1510</v>
      </c>
      <c r="Q116" t="s">
        <v>1511</v>
      </c>
      <c r="R116" t="s">
        <v>47</v>
      </c>
      <c r="S116" t="s">
        <v>48</v>
      </c>
      <c r="T116" t="s">
        <v>1512</v>
      </c>
      <c r="U116" t="s">
        <v>50</v>
      </c>
      <c r="V116" t="s">
        <v>1513</v>
      </c>
      <c r="W116" t="s">
        <v>1514</v>
      </c>
      <c r="X116" t="s">
        <v>1515</v>
      </c>
      <c r="Y116" t="s">
        <v>1516</v>
      </c>
      <c r="Z116">
        <v>5</v>
      </c>
      <c r="AA116" t="s">
        <v>55</v>
      </c>
      <c r="AB116" t="s">
        <v>1517</v>
      </c>
      <c r="AC116" t="s">
        <v>981</v>
      </c>
      <c r="AD116" t="s">
        <v>86</v>
      </c>
      <c r="AE116">
        <v>6380525</v>
      </c>
      <c r="AF116">
        <v>111659</v>
      </c>
      <c r="AJ116" t="str">
        <f>_xlfn.XLOOKUP(Table9[[#This Row],[Engine No.]],'[1]Dubai Islamic Consumer'!$Q$3:$Q$1176,'[1]Dubai Islamic Consumer'!$B$3:$B$1176,,,)</f>
        <v>KHI/HO/D/MO/PC COMP/C/102086/212/11/2024</v>
      </c>
    </row>
    <row r="117" spans="1:36" hidden="1" x14ac:dyDescent="0.25">
      <c r="A117">
        <v>116</v>
      </c>
      <c r="B117" t="s">
        <v>35</v>
      </c>
      <c r="C117" t="s">
        <v>1518</v>
      </c>
      <c r="D117" t="s">
        <v>37</v>
      </c>
      <c r="E117" t="s">
        <v>1519</v>
      </c>
      <c r="F117" t="s">
        <v>107</v>
      </c>
      <c r="G117" t="s">
        <v>1520</v>
      </c>
      <c r="H117" t="s">
        <v>1521</v>
      </c>
      <c r="I117" t="s">
        <v>1521</v>
      </c>
      <c r="J117" t="s">
        <v>1521</v>
      </c>
      <c r="K117" t="s">
        <v>1522</v>
      </c>
      <c r="L117">
        <v>1292850</v>
      </c>
      <c r="M117">
        <v>1521000</v>
      </c>
      <c r="N117" t="s">
        <v>1523</v>
      </c>
      <c r="O117" s="1">
        <v>45607</v>
      </c>
      <c r="P117" t="s">
        <v>1524</v>
      </c>
      <c r="Q117" t="s">
        <v>1525</v>
      </c>
      <c r="R117" t="s">
        <v>47</v>
      </c>
      <c r="S117" t="s">
        <v>48</v>
      </c>
      <c r="T117" t="s">
        <v>613</v>
      </c>
      <c r="U117" t="s">
        <v>50</v>
      </c>
      <c r="V117" t="s">
        <v>116</v>
      </c>
      <c r="W117" t="s">
        <v>1053</v>
      </c>
      <c r="X117" t="s">
        <v>388</v>
      </c>
      <c r="Y117" t="s">
        <v>1526</v>
      </c>
      <c r="Z117">
        <v>5</v>
      </c>
      <c r="AA117" t="s">
        <v>118</v>
      </c>
      <c r="AB117" t="s">
        <v>1527</v>
      </c>
      <c r="AC117" t="s">
        <v>1290</v>
      </c>
      <c r="AD117" t="s">
        <v>58</v>
      </c>
      <c r="AE117">
        <v>1216800</v>
      </c>
      <c r="AF117">
        <v>24336</v>
      </c>
      <c r="AJ117" t="str">
        <f>_xlfn.XLOOKUP(Table9[[#This Row],[Engine No.]],'[1]Dubai Islamic Consumer'!$Q$3:$Q$1176,'[1]Dubai Islamic Consumer'!$B$3:$B$1176,,,)</f>
        <v>KHI/HO/D/MO/PC COMP/C/102086/216/11/2024</v>
      </c>
    </row>
    <row r="118" spans="1:36" hidden="1" x14ac:dyDescent="0.25">
      <c r="A118">
        <v>117</v>
      </c>
      <c r="B118" t="s">
        <v>35</v>
      </c>
      <c r="C118" t="s">
        <v>1528</v>
      </c>
      <c r="D118" t="s">
        <v>37</v>
      </c>
      <c r="E118" t="s">
        <v>1529</v>
      </c>
      <c r="F118" t="s">
        <v>39</v>
      </c>
      <c r="G118" t="s">
        <v>1530</v>
      </c>
      <c r="H118" t="s">
        <v>1531</v>
      </c>
      <c r="I118" t="s">
        <v>1532</v>
      </c>
      <c r="J118" t="s">
        <v>48</v>
      </c>
      <c r="K118" t="s">
        <v>1533</v>
      </c>
      <c r="L118">
        <v>1470500</v>
      </c>
      <c r="M118">
        <v>1730000</v>
      </c>
      <c r="N118" t="s">
        <v>1534</v>
      </c>
      <c r="O118" s="1">
        <v>45607</v>
      </c>
      <c r="P118" t="s">
        <v>1535</v>
      </c>
      <c r="Q118" t="s">
        <v>1536</v>
      </c>
      <c r="R118" t="s">
        <v>47</v>
      </c>
      <c r="S118" t="s">
        <v>48</v>
      </c>
      <c r="T118" t="s">
        <v>224</v>
      </c>
      <c r="U118" t="s">
        <v>98</v>
      </c>
      <c r="V118" t="s">
        <v>1537</v>
      </c>
      <c r="W118" t="s">
        <v>167</v>
      </c>
      <c r="X118" t="s">
        <v>197</v>
      </c>
      <c r="Y118" t="s">
        <v>1538</v>
      </c>
      <c r="Z118">
        <v>5</v>
      </c>
      <c r="AA118" t="s">
        <v>55</v>
      </c>
      <c r="AB118" t="s">
        <v>1539</v>
      </c>
      <c r="AC118" t="s">
        <v>687</v>
      </c>
      <c r="AD118" t="s">
        <v>58</v>
      </c>
      <c r="AE118">
        <v>1297500</v>
      </c>
      <c r="AF118">
        <v>25950</v>
      </c>
      <c r="AJ118" t="str">
        <f>_xlfn.XLOOKUP(Table9[[#This Row],[Engine No.]],'[1]Dubai Islamic Consumer'!$Q$3:$Q$1176,'[1]Dubai Islamic Consumer'!$B$3:$B$1176,,,)</f>
        <v>KHI/HO/D/MO/PC COMP/C/102086/217/11/2024</v>
      </c>
    </row>
    <row r="119" spans="1:36" hidden="1" x14ac:dyDescent="0.25">
      <c r="A119">
        <v>118</v>
      </c>
      <c r="B119" t="s">
        <v>35</v>
      </c>
      <c r="C119" t="s">
        <v>1540</v>
      </c>
      <c r="D119" t="s">
        <v>37</v>
      </c>
      <c r="E119" t="s">
        <v>1541</v>
      </c>
      <c r="F119" t="s">
        <v>107</v>
      </c>
      <c r="G119" t="s">
        <v>1542</v>
      </c>
      <c r="H119" t="s">
        <v>1543</v>
      </c>
      <c r="I119" t="s">
        <v>1543</v>
      </c>
      <c r="J119" t="s">
        <v>1543</v>
      </c>
      <c r="K119" t="s">
        <v>1544</v>
      </c>
      <c r="L119">
        <v>1306400</v>
      </c>
      <c r="M119">
        <v>1633000</v>
      </c>
      <c r="N119" t="s">
        <v>1545</v>
      </c>
      <c r="O119" s="1">
        <v>45608</v>
      </c>
      <c r="P119" t="s">
        <v>1546</v>
      </c>
      <c r="Q119" t="s">
        <v>1547</v>
      </c>
      <c r="R119" t="s">
        <v>47</v>
      </c>
      <c r="S119" t="s">
        <v>48</v>
      </c>
      <c r="T119" t="s">
        <v>783</v>
      </c>
      <c r="U119" t="s">
        <v>98</v>
      </c>
      <c r="V119" t="s">
        <v>1548</v>
      </c>
      <c r="W119" t="s">
        <v>167</v>
      </c>
      <c r="X119" t="s">
        <v>197</v>
      </c>
      <c r="Y119" t="s">
        <v>1549</v>
      </c>
      <c r="Z119">
        <v>5</v>
      </c>
      <c r="AA119" t="s">
        <v>227</v>
      </c>
      <c r="AB119" t="s">
        <v>1550</v>
      </c>
      <c r="AC119" t="s">
        <v>1551</v>
      </c>
      <c r="AD119" t="s">
        <v>58</v>
      </c>
      <c r="AE119">
        <v>1224750</v>
      </c>
      <c r="AF119">
        <v>24495</v>
      </c>
      <c r="AJ119" t="str">
        <f>_xlfn.XLOOKUP(Table9[[#This Row],[Engine No.]],'[1]Dubai Islamic Consumer'!$Q$3:$Q$1176,'[1]Dubai Islamic Consumer'!$B$3:$B$1176,,,)</f>
        <v>KHI/HO/D/MO/PC COMP/C/102086/219/11/2024</v>
      </c>
    </row>
    <row r="120" spans="1:36" hidden="1" x14ac:dyDescent="0.25">
      <c r="A120">
        <v>119</v>
      </c>
      <c r="B120" t="s">
        <v>35</v>
      </c>
      <c r="C120" t="s">
        <v>1552</v>
      </c>
      <c r="D120" t="s">
        <v>37</v>
      </c>
      <c r="E120" t="s">
        <v>1553</v>
      </c>
      <c r="F120" t="s">
        <v>107</v>
      </c>
      <c r="G120" t="s">
        <v>1554</v>
      </c>
      <c r="H120" t="s">
        <v>1555</v>
      </c>
      <c r="I120" t="s">
        <v>1555</v>
      </c>
      <c r="J120" t="s">
        <v>1556</v>
      </c>
      <c r="K120" t="s">
        <v>1557</v>
      </c>
      <c r="L120">
        <v>1540000</v>
      </c>
      <c r="M120">
        <v>2200000</v>
      </c>
      <c r="N120" t="s">
        <v>1558</v>
      </c>
      <c r="O120" s="1">
        <v>45608</v>
      </c>
      <c r="P120" t="s">
        <v>1559</v>
      </c>
      <c r="Q120" t="s">
        <v>1560</v>
      </c>
      <c r="R120" t="s">
        <v>146</v>
      </c>
      <c r="S120" t="s">
        <v>1561</v>
      </c>
      <c r="T120" t="s">
        <v>1562</v>
      </c>
      <c r="U120" t="s">
        <v>651</v>
      </c>
      <c r="V120" t="s">
        <v>1217</v>
      </c>
      <c r="W120" t="s">
        <v>167</v>
      </c>
      <c r="X120" t="s">
        <v>401</v>
      </c>
      <c r="Y120" t="s">
        <v>1563</v>
      </c>
      <c r="Z120">
        <v>6</v>
      </c>
      <c r="AA120" t="s">
        <v>55</v>
      </c>
      <c r="AB120" t="s">
        <v>1564</v>
      </c>
      <c r="AC120" t="s">
        <v>1565</v>
      </c>
      <c r="AD120" t="s">
        <v>58</v>
      </c>
      <c r="AE120">
        <v>1650000</v>
      </c>
      <c r="AF120">
        <v>33000</v>
      </c>
      <c r="AJ120" t="str">
        <f>_xlfn.XLOOKUP(Table9[[#This Row],[Engine No.]],'[1]Dubai Islamic Consumer'!$Q$3:$Q$1176,'[1]Dubai Islamic Consumer'!$B$3:$B$1176,,,)</f>
        <v>KHI/HO/D/MO/PC COMP/C/102086/220/11/2024</v>
      </c>
    </row>
    <row r="121" spans="1:36" hidden="1" x14ac:dyDescent="0.25">
      <c r="A121">
        <v>120</v>
      </c>
      <c r="B121" t="s">
        <v>35</v>
      </c>
      <c r="C121" t="s">
        <v>1566</v>
      </c>
      <c r="D121" t="s">
        <v>37</v>
      </c>
      <c r="E121" t="s">
        <v>1567</v>
      </c>
      <c r="F121" t="s">
        <v>39</v>
      </c>
      <c r="G121" t="s">
        <v>1568</v>
      </c>
      <c r="H121" t="s">
        <v>1569</v>
      </c>
      <c r="I121" t="s">
        <v>1570</v>
      </c>
      <c r="J121" t="s">
        <v>1569</v>
      </c>
      <c r="K121" t="s">
        <v>1571</v>
      </c>
      <c r="L121">
        <v>2986125</v>
      </c>
      <c r="M121">
        <v>3981500</v>
      </c>
      <c r="N121" t="s">
        <v>1572</v>
      </c>
      <c r="O121" s="1">
        <v>45608</v>
      </c>
      <c r="P121" t="s">
        <v>1573</v>
      </c>
      <c r="Q121" t="s">
        <v>1574</v>
      </c>
      <c r="R121" t="s">
        <v>47</v>
      </c>
      <c r="S121" t="s">
        <v>48</v>
      </c>
      <c r="T121" t="s">
        <v>1575</v>
      </c>
      <c r="U121" t="s">
        <v>98</v>
      </c>
      <c r="V121" t="s">
        <v>1576</v>
      </c>
      <c r="W121" t="s">
        <v>167</v>
      </c>
      <c r="X121" t="s">
        <v>197</v>
      </c>
      <c r="Y121" t="s">
        <v>1577</v>
      </c>
      <c r="Z121">
        <v>5</v>
      </c>
      <c r="AA121" t="s">
        <v>55</v>
      </c>
      <c r="AB121" t="s">
        <v>1578</v>
      </c>
      <c r="AC121" t="s">
        <v>1551</v>
      </c>
      <c r="AD121" t="s">
        <v>58</v>
      </c>
      <c r="AE121">
        <v>2986125</v>
      </c>
      <c r="AF121">
        <v>59723</v>
      </c>
      <c r="AJ121" t="str">
        <f>_xlfn.XLOOKUP(Table9[[#This Row],[Engine No.]],'[1]Dubai Islamic Consumer'!$Q$3:$Q$1176,'[1]Dubai Islamic Consumer'!$B$3:$B$1176,,,)</f>
        <v>KHI/HO/D/MO/PC COMP/C/102086/221/11/2024</v>
      </c>
    </row>
    <row r="122" spans="1:36" hidden="1" x14ac:dyDescent="0.25">
      <c r="A122">
        <v>121</v>
      </c>
      <c r="B122" t="s">
        <v>35</v>
      </c>
      <c r="C122" t="s">
        <v>1579</v>
      </c>
      <c r="D122" t="s">
        <v>37</v>
      </c>
      <c r="E122" t="s">
        <v>1580</v>
      </c>
      <c r="F122" t="s">
        <v>245</v>
      </c>
      <c r="G122" t="s">
        <v>1581</v>
      </c>
      <c r="H122" t="s">
        <v>1582</v>
      </c>
      <c r="I122" t="s">
        <v>48</v>
      </c>
      <c r="J122" t="s">
        <v>1582</v>
      </c>
      <c r="K122" t="s">
        <v>1583</v>
      </c>
      <c r="L122">
        <v>4000000</v>
      </c>
      <c r="M122">
        <v>8000000</v>
      </c>
      <c r="N122" t="s">
        <v>1584</v>
      </c>
      <c r="O122" s="1">
        <v>45608</v>
      </c>
      <c r="P122" t="s">
        <v>1585</v>
      </c>
      <c r="Q122" t="s">
        <v>1586</v>
      </c>
      <c r="R122" t="s">
        <v>146</v>
      </c>
      <c r="S122" t="s">
        <v>1587</v>
      </c>
      <c r="T122" t="s">
        <v>1588</v>
      </c>
      <c r="U122" t="s">
        <v>496</v>
      </c>
      <c r="V122" t="s">
        <v>1589</v>
      </c>
      <c r="W122" t="s">
        <v>167</v>
      </c>
      <c r="X122" t="s">
        <v>197</v>
      </c>
      <c r="Y122" t="s">
        <v>1590</v>
      </c>
      <c r="Z122">
        <v>5</v>
      </c>
      <c r="AA122" t="s">
        <v>55</v>
      </c>
      <c r="AB122" t="s">
        <v>1591</v>
      </c>
      <c r="AC122" t="s">
        <v>1589</v>
      </c>
      <c r="AD122" t="s">
        <v>299</v>
      </c>
      <c r="AE122">
        <v>6000000</v>
      </c>
      <c r="AF122">
        <v>90000</v>
      </c>
      <c r="AJ122" t="str">
        <f>_xlfn.XLOOKUP(Table9[[#This Row],[Engine No.]],'[1]Dubai Islamic Consumer'!$Q$3:$Q$1176,'[1]Dubai Islamic Consumer'!$B$3:$B$1176,,,)</f>
        <v>KHI/HO/D/MO/PC COMP/C/102086/222/11/2024</v>
      </c>
    </row>
    <row r="123" spans="1:36" hidden="1" x14ac:dyDescent="0.25">
      <c r="A123">
        <v>122</v>
      </c>
      <c r="B123" t="s">
        <v>35</v>
      </c>
      <c r="C123" t="s">
        <v>1592</v>
      </c>
      <c r="D123" t="s">
        <v>37</v>
      </c>
      <c r="E123" t="s">
        <v>1593</v>
      </c>
      <c r="F123" t="s">
        <v>89</v>
      </c>
      <c r="G123" t="s">
        <v>1594</v>
      </c>
      <c r="H123" t="s">
        <v>1595</v>
      </c>
      <c r="I123" t="s">
        <v>48</v>
      </c>
      <c r="J123" t="s">
        <v>1596</v>
      </c>
      <c r="K123" t="s">
        <v>1597</v>
      </c>
      <c r="L123">
        <v>1110100</v>
      </c>
      <c r="M123">
        <v>1306000</v>
      </c>
      <c r="N123" t="s">
        <v>1598</v>
      </c>
      <c r="O123" s="1">
        <v>45609</v>
      </c>
      <c r="P123" t="s">
        <v>1599</v>
      </c>
      <c r="Q123" t="s">
        <v>1600</v>
      </c>
      <c r="R123" t="s">
        <v>47</v>
      </c>
      <c r="S123" t="s">
        <v>48</v>
      </c>
      <c r="T123" t="s">
        <v>1601</v>
      </c>
      <c r="U123" t="s">
        <v>148</v>
      </c>
      <c r="V123" t="s">
        <v>1602</v>
      </c>
      <c r="W123" t="s">
        <v>1080</v>
      </c>
      <c r="X123" t="s">
        <v>168</v>
      </c>
      <c r="Y123" t="s">
        <v>1603</v>
      </c>
      <c r="Z123">
        <v>5</v>
      </c>
      <c r="AA123" t="s">
        <v>55</v>
      </c>
      <c r="AB123" t="s">
        <v>1604</v>
      </c>
      <c r="AC123" t="s">
        <v>1372</v>
      </c>
      <c r="AD123" t="s">
        <v>58</v>
      </c>
      <c r="AE123">
        <v>1110100</v>
      </c>
      <c r="AF123">
        <v>22202</v>
      </c>
      <c r="AJ123" t="str">
        <f>_xlfn.XLOOKUP(Table9[[#This Row],[Engine No.]],'[1]Dubai Islamic Consumer'!$Q$3:$Q$1176,'[1]Dubai Islamic Consumer'!$B$3:$B$1176,,,)</f>
        <v>KHI/HO/D/MO/PC COMP/C/102086/227/11/2024</v>
      </c>
    </row>
    <row r="124" spans="1:36" hidden="1" x14ac:dyDescent="0.25">
      <c r="A124">
        <v>123</v>
      </c>
      <c r="B124" t="s">
        <v>35</v>
      </c>
      <c r="C124" t="s">
        <v>1605</v>
      </c>
      <c r="D124" t="s">
        <v>37</v>
      </c>
      <c r="E124" t="s">
        <v>1606</v>
      </c>
      <c r="F124" t="s">
        <v>138</v>
      </c>
      <c r="G124" t="s">
        <v>1607</v>
      </c>
      <c r="H124" t="s">
        <v>48</v>
      </c>
      <c r="I124" t="s">
        <v>1608</v>
      </c>
      <c r="J124" t="s">
        <v>48</v>
      </c>
      <c r="K124" t="s">
        <v>1609</v>
      </c>
      <c r="L124">
        <v>1225000</v>
      </c>
      <c r="M124">
        <v>1750000</v>
      </c>
      <c r="N124" t="s">
        <v>1610</v>
      </c>
      <c r="O124" s="1">
        <v>45609</v>
      </c>
      <c r="P124" t="s">
        <v>1611</v>
      </c>
      <c r="Q124" t="s">
        <v>1612</v>
      </c>
      <c r="R124" t="s">
        <v>146</v>
      </c>
      <c r="S124" t="s">
        <v>1613</v>
      </c>
      <c r="T124" t="s">
        <v>49</v>
      </c>
      <c r="U124" t="s">
        <v>98</v>
      </c>
      <c r="V124" t="s">
        <v>1079</v>
      </c>
      <c r="W124" t="s">
        <v>1080</v>
      </c>
      <c r="X124" t="s">
        <v>168</v>
      </c>
      <c r="Y124" t="s">
        <v>1614</v>
      </c>
      <c r="Z124">
        <v>5</v>
      </c>
      <c r="AA124" t="s">
        <v>152</v>
      </c>
      <c r="AB124" t="s">
        <v>1615</v>
      </c>
      <c r="AC124" t="s">
        <v>1616</v>
      </c>
      <c r="AD124" t="s">
        <v>86</v>
      </c>
      <c r="AE124">
        <v>1487500</v>
      </c>
      <c r="AF124">
        <v>26031</v>
      </c>
      <c r="AJ124" t="str">
        <f>_xlfn.XLOOKUP(Table9[[#This Row],[Engine No.]],'[1]Dubai Islamic Consumer'!$Q$3:$Q$1176,'[1]Dubai Islamic Consumer'!$B$3:$B$1176,,,)</f>
        <v>KHI/HO/D/MO/PC COMP/C/102086/229/11/2024</v>
      </c>
    </row>
    <row r="125" spans="1:36" hidden="1" x14ac:dyDescent="0.25">
      <c r="A125">
        <v>124</v>
      </c>
      <c r="B125" t="s">
        <v>35</v>
      </c>
      <c r="C125" t="s">
        <v>1617</v>
      </c>
      <c r="D125" t="s">
        <v>37</v>
      </c>
      <c r="E125" t="s">
        <v>1618</v>
      </c>
      <c r="F125" t="s">
        <v>245</v>
      </c>
      <c r="G125" t="s">
        <v>1619</v>
      </c>
      <c r="H125" t="s">
        <v>1620</v>
      </c>
      <c r="I125" t="s">
        <v>1621</v>
      </c>
      <c r="J125" t="s">
        <v>1622</v>
      </c>
      <c r="K125" t="s">
        <v>1623</v>
      </c>
      <c r="L125">
        <v>934500</v>
      </c>
      <c r="M125">
        <v>1335000</v>
      </c>
      <c r="N125" t="s">
        <v>1624</v>
      </c>
      <c r="O125" s="1">
        <v>45610</v>
      </c>
      <c r="P125" t="s">
        <v>1625</v>
      </c>
      <c r="Q125" t="s">
        <v>1626</v>
      </c>
      <c r="R125" t="s">
        <v>47</v>
      </c>
      <c r="S125" t="s">
        <v>48</v>
      </c>
      <c r="T125" t="s">
        <v>194</v>
      </c>
      <c r="U125" t="s">
        <v>50</v>
      </c>
      <c r="V125" t="s">
        <v>1627</v>
      </c>
      <c r="W125" t="s">
        <v>1053</v>
      </c>
      <c r="X125" t="s">
        <v>1628</v>
      </c>
      <c r="Y125" t="s">
        <v>1629</v>
      </c>
      <c r="Z125">
        <v>7</v>
      </c>
      <c r="AA125" t="s">
        <v>118</v>
      </c>
      <c r="AB125" t="s">
        <v>1630</v>
      </c>
      <c r="AC125" t="s">
        <v>1252</v>
      </c>
      <c r="AD125" t="s">
        <v>58</v>
      </c>
      <c r="AE125">
        <v>1068000</v>
      </c>
      <c r="AF125">
        <v>21360</v>
      </c>
      <c r="AJ125" t="str">
        <f>_xlfn.XLOOKUP(Table9[[#This Row],[Engine No.]],'[1]Dubai Islamic Consumer'!$Q$3:$Q$1176,'[1]Dubai Islamic Consumer'!$B$3:$B$1176,,,)</f>
        <v>KHI/HO/D/MO/PC COMP/C/102086/240/11/2024</v>
      </c>
    </row>
    <row r="126" spans="1:36" hidden="1" x14ac:dyDescent="0.25">
      <c r="A126">
        <v>125</v>
      </c>
      <c r="B126" t="s">
        <v>35</v>
      </c>
      <c r="C126" t="s">
        <v>1631</v>
      </c>
      <c r="D126" t="s">
        <v>37</v>
      </c>
      <c r="E126" t="s">
        <v>1632</v>
      </c>
      <c r="F126" t="s">
        <v>107</v>
      </c>
      <c r="G126" t="s">
        <v>1633</v>
      </c>
      <c r="H126" t="s">
        <v>48</v>
      </c>
      <c r="I126" t="s">
        <v>48</v>
      </c>
      <c r="J126" t="s">
        <v>48</v>
      </c>
      <c r="K126" t="s">
        <v>1634</v>
      </c>
      <c r="L126">
        <v>1158500</v>
      </c>
      <c r="M126">
        <v>1655000</v>
      </c>
      <c r="N126" t="s">
        <v>1635</v>
      </c>
      <c r="O126" s="1">
        <v>45610</v>
      </c>
      <c r="P126" t="s">
        <v>1636</v>
      </c>
      <c r="Q126" t="s">
        <v>1637</v>
      </c>
      <c r="R126" t="s">
        <v>47</v>
      </c>
      <c r="S126" t="s">
        <v>48</v>
      </c>
      <c r="T126" t="s">
        <v>181</v>
      </c>
      <c r="U126" t="s">
        <v>50</v>
      </c>
      <c r="V126" t="s">
        <v>182</v>
      </c>
      <c r="W126" t="s">
        <v>132</v>
      </c>
      <c r="X126" t="s">
        <v>1638</v>
      </c>
      <c r="Y126" t="s">
        <v>1639</v>
      </c>
      <c r="Z126">
        <v>6</v>
      </c>
      <c r="AA126" t="s">
        <v>55</v>
      </c>
      <c r="AB126" t="s">
        <v>1640</v>
      </c>
      <c r="AC126" t="s">
        <v>1252</v>
      </c>
      <c r="AD126" t="s">
        <v>58</v>
      </c>
      <c r="AE126">
        <v>1324000</v>
      </c>
      <c r="AF126">
        <v>26480</v>
      </c>
      <c r="AJ126" t="str">
        <f>_xlfn.XLOOKUP(Table9[[#This Row],[Engine No.]],'[1]Dubai Islamic Consumer'!$Q$3:$Q$1176,'[1]Dubai Islamic Consumer'!$B$3:$B$1176,,,)</f>
        <v>KHI/HO/D/MO/PC COMP/C/102086/242/11/2024</v>
      </c>
    </row>
    <row r="127" spans="1:36" hidden="1" x14ac:dyDescent="0.25">
      <c r="A127">
        <v>126</v>
      </c>
      <c r="B127" t="s">
        <v>35</v>
      </c>
      <c r="C127" t="s">
        <v>1641</v>
      </c>
      <c r="D127" t="s">
        <v>37</v>
      </c>
      <c r="E127" t="s">
        <v>1642</v>
      </c>
      <c r="F127" t="s">
        <v>39</v>
      </c>
      <c r="G127" t="s">
        <v>1643</v>
      </c>
      <c r="H127" t="s">
        <v>1644</v>
      </c>
      <c r="I127" t="s">
        <v>1645</v>
      </c>
      <c r="J127" t="s">
        <v>1644</v>
      </c>
      <c r="K127" t="s">
        <v>1646</v>
      </c>
      <c r="L127">
        <v>1593750</v>
      </c>
      <c r="M127">
        <v>2125000</v>
      </c>
      <c r="N127" t="s">
        <v>1647</v>
      </c>
      <c r="O127" s="1">
        <v>45610</v>
      </c>
      <c r="P127" t="s">
        <v>1648</v>
      </c>
      <c r="Q127" t="s">
        <v>1649</v>
      </c>
      <c r="R127" t="s">
        <v>146</v>
      </c>
      <c r="S127" t="s">
        <v>1650</v>
      </c>
      <c r="T127" t="s">
        <v>1651</v>
      </c>
      <c r="U127" t="s">
        <v>50</v>
      </c>
      <c r="V127" t="s">
        <v>1265</v>
      </c>
      <c r="W127" t="s">
        <v>196</v>
      </c>
      <c r="X127" t="s">
        <v>401</v>
      </c>
      <c r="Y127" t="s">
        <v>1652</v>
      </c>
      <c r="Z127">
        <v>5</v>
      </c>
      <c r="AA127" t="s">
        <v>55</v>
      </c>
      <c r="AB127" t="s">
        <v>1653</v>
      </c>
      <c r="AC127" t="s">
        <v>1252</v>
      </c>
      <c r="AD127" t="s">
        <v>58</v>
      </c>
      <c r="AE127">
        <v>1700000</v>
      </c>
      <c r="AF127">
        <v>34000</v>
      </c>
      <c r="AJ127" t="str">
        <f>_xlfn.XLOOKUP(Table9[[#This Row],[Engine No.]],'[1]Dubai Islamic Consumer'!$Q$3:$Q$1176,'[1]Dubai Islamic Consumer'!$B$3:$B$1176,,,)</f>
        <v>KHI/HO/D/MO/PC COMP/C/102086/246/11/2024</v>
      </c>
    </row>
    <row r="128" spans="1:36" hidden="1" x14ac:dyDescent="0.25">
      <c r="A128">
        <v>127</v>
      </c>
      <c r="B128" t="s">
        <v>35</v>
      </c>
      <c r="C128" t="s">
        <v>1654</v>
      </c>
      <c r="D128" t="s">
        <v>37</v>
      </c>
      <c r="E128" t="s">
        <v>1655</v>
      </c>
      <c r="F128" t="s">
        <v>107</v>
      </c>
      <c r="G128" t="s">
        <v>1656</v>
      </c>
      <c r="H128" t="s">
        <v>48</v>
      </c>
      <c r="I128" t="s">
        <v>1657</v>
      </c>
      <c r="J128" t="s">
        <v>48</v>
      </c>
      <c r="K128" t="s">
        <v>1658</v>
      </c>
      <c r="L128">
        <v>1722500</v>
      </c>
      <c r="M128">
        <v>2650000</v>
      </c>
      <c r="N128" t="s">
        <v>1659</v>
      </c>
      <c r="O128" s="1">
        <v>45610</v>
      </c>
      <c r="P128" t="s">
        <v>1660</v>
      </c>
      <c r="Q128" t="s">
        <v>1661</v>
      </c>
      <c r="R128" t="s">
        <v>47</v>
      </c>
      <c r="S128" t="s">
        <v>48</v>
      </c>
      <c r="T128" t="s">
        <v>1662</v>
      </c>
      <c r="U128" t="s">
        <v>50</v>
      </c>
      <c r="V128" t="s">
        <v>749</v>
      </c>
      <c r="W128" t="s">
        <v>132</v>
      </c>
      <c r="X128" t="s">
        <v>133</v>
      </c>
      <c r="Y128" t="s">
        <v>1663</v>
      </c>
      <c r="Z128">
        <v>5</v>
      </c>
      <c r="AA128" t="s">
        <v>55</v>
      </c>
      <c r="AB128" t="s">
        <v>1664</v>
      </c>
      <c r="AC128" t="s">
        <v>1265</v>
      </c>
      <c r="AD128" t="s">
        <v>58</v>
      </c>
      <c r="AE128">
        <v>2120000</v>
      </c>
      <c r="AF128">
        <v>42400</v>
      </c>
      <c r="AJ128" t="str">
        <f>_xlfn.XLOOKUP(Table9[[#This Row],[Engine No.]],'[1]Dubai Islamic Consumer'!$Q$3:$Q$1176,'[1]Dubai Islamic Consumer'!$B$3:$B$1176,,,)</f>
        <v>KHI/HO/D/MO/PC COMP/C/102086/247/11/2024</v>
      </c>
    </row>
    <row r="129" spans="1:36" hidden="1" x14ac:dyDescent="0.25">
      <c r="A129">
        <v>128</v>
      </c>
      <c r="B129" t="s">
        <v>35</v>
      </c>
      <c r="C129" t="s">
        <v>1665</v>
      </c>
      <c r="D129" t="s">
        <v>37</v>
      </c>
      <c r="E129" t="s">
        <v>1666</v>
      </c>
      <c r="F129" t="s">
        <v>107</v>
      </c>
      <c r="G129" t="s">
        <v>1667</v>
      </c>
      <c r="H129" t="s">
        <v>1668</v>
      </c>
      <c r="I129" t="s">
        <v>1668</v>
      </c>
      <c r="J129" t="s">
        <v>1668</v>
      </c>
      <c r="K129" t="s">
        <v>1669</v>
      </c>
      <c r="L129">
        <v>2292000</v>
      </c>
      <c r="M129">
        <v>2865000</v>
      </c>
      <c r="N129" t="s">
        <v>1670</v>
      </c>
      <c r="O129" s="1">
        <v>45610</v>
      </c>
      <c r="P129" t="s">
        <v>1671</v>
      </c>
      <c r="Q129" t="s">
        <v>1672</v>
      </c>
      <c r="R129" t="s">
        <v>47</v>
      </c>
      <c r="S129" t="s">
        <v>48</v>
      </c>
      <c r="T129" t="s">
        <v>348</v>
      </c>
      <c r="U129" t="s">
        <v>50</v>
      </c>
      <c r="V129" t="s">
        <v>749</v>
      </c>
      <c r="W129" t="s">
        <v>196</v>
      </c>
      <c r="X129" t="s">
        <v>401</v>
      </c>
      <c r="Y129" t="s">
        <v>1673</v>
      </c>
      <c r="Z129">
        <v>5</v>
      </c>
      <c r="AA129" t="s">
        <v>55</v>
      </c>
      <c r="AB129" t="s">
        <v>1674</v>
      </c>
      <c r="AC129" t="s">
        <v>1265</v>
      </c>
      <c r="AD129" t="s">
        <v>58</v>
      </c>
      <c r="AE129">
        <v>2292000</v>
      </c>
      <c r="AF129">
        <v>45840</v>
      </c>
      <c r="AJ129" t="str">
        <f>_xlfn.XLOOKUP(Table9[[#This Row],[Engine No.]],'[1]Dubai Islamic Consumer'!$Q$3:$Q$1176,'[1]Dubai Islamic Consumer'!$B$3:$B$1176,,,)</f>
        <v>KHI/HO/D/MO/PC COMP/C/102086/248/11/2024</v>
      </c>
    </row>
    <row r="130" spans="1:36" hidden="1" x14ac:dyDescent="0.25">
      <c r="A130">
        <v>129</v>
      </c>
      <c r="B130" t="s">
        <v>35</v>
      </c>
      <c r="C130" t="s">
        <v>1675</v>
      </c>
      <c r="D130" t="s">
        <v>37</v>
      </c>
      <c r="E130" t="s">
        <v>1676</v>
      </c>
      <c r="F130" t="s">
        <v>138</v>
      </c>
      <c r="G130" t="s">
        <v>1677</v>
      </c>
      <c r="H130" t="s">
        <v>1678</v>
      </c>
      <c r="I130" t="s">
        <v>1678</v>
      </c>
      <c r="J130" t="s">
        <v>141</v>
      </c>
      <c r="K130" t="s">
        <v>1679</v>
      </c>
      <c r="L130">
        <v>3773000</v>
      </c>
      <c r="M130">
        <v>5390000</v>
      </c>
      <c r="N130" t="s">
        <v>1680</v>
      </c>
      <c r="O130" s="1">
        <v>45610</v>
      </c>
      <c r="P130" t="s">
        <v>1681</v>
      </c>
      <c r="Q130" t="s">
        <v>1682</v>
      </c>
      <c r="R130" t="s">
        <v>47</v>
      </c>
      <c r="S130" t="s">
        <v>48</v>
      </c>
      <c r="T130" t="s">
        <v>1683</v>
      </c>
      <c r="U130" t="s">
        <v>50</v>
      </c>
      <c r="V130" t="s">
        <v>1684</v>
      </c>
      <c r="W130" t="s">
        <v>132</v>
      </c>
      <c r="X130" t="s">
        <v>133</v>
      </c>
      <c r="Y130" t="s">
        <v>1685</v>
      </c>
      <c r="Z130">
        <v>5</v>
      </c>
      <c r="AA130" t="s">
        <v>55</v>
      </c>
      <c r="AB130" t="s">
        <v>1686</v>
      </c>
      <c r="AC130" t="s">
        <v>132</v>
      </c>
      <c r="AD130" t="s">
        <v>299</v>
      </c>
      <c r="AE130">
        <v>4312000</v>
      </c>
      <c r="AF130">
        <v>64680</v>
      </c>
      <c r="AJ130" t="str">
        <f>_xlfn.XLOOKUP(Table9[[#This Row],[Engine No.]],'[1]Dubai Islamic Consumer'!$Q$3:$Q$1176,'[1]Dubai Islamic Consumer'!$B$3:$B$1176,,,)</f>
        <v>KHI/HO/D/MO/PC COMP/C/102086/250/11/2024</v>
      </c>
    </row>
    <row r="131" spans="1:36" hidden="1" x14ac:dyDescent="0.25">
      <c r="A131">
        <v>130</v>
      </c>
      <c r="B131" t="s">
        <v>35</v>
      </c>
      <c r="C131" t="s">
        <v>1687</v>
      </c>
      <c r="D131" t="s">
        <v>37</v>
      </c>
      <c r="E131" t="s">
        <v>1688</v>
      </c>
      <c r="F131" t="s">
        <v>107</v>
      </c>
      <c r="G131" t="s">
        <v>1689</v>
      </c>
      <c r="H131" t="s">
        <v>1690</v>
      </c>
      <c r="I131" t="s">
        <v>1691</v>
      </c>
      <c r="J131" t="s">
        <v>48</v>
      </c>
      <c r="K131" t="s">
        <v>1692</v>
      </c>
      <c r="L131">
        <v>6432300</v>
      </c>
      <c r="M131">
        <v>9189000</v>
      </c>
      <c r="N131" t="s">
        <v>1693</v>
      </c>
      <c r="O131" s="1">
        <v>45610</v>
      </c>
      <c r="P131" t="s">
        <v>1694</v>
      </c>
      <c r="Q131" t="s">
        <v>1695</v>
      </c>
      <c r="R131" t="s">
        <v>47</v>
      </c>
      <c r="S131" t="s">
        <v>48</v>
      </c>
      <c r="T131" t="s">
        <v>1696</v>
      </c>
      <c r="U131" t="s">
        <v>50</v>
      </c>
      <c r="V131" t="s">
        <v>1697</v>
      </c>
      <c r="W131" t="s">
        <v>196</v>
      </c>
      <c r="X131" t="s">
        <v>168</v>
      </c>
      <c r="Y131" t="s">
        <v>1698</v>
      </c>
      <c r="Z131">
        <v>6</v>
      </c>
      <c r="AA131" t="s">
        <v>55</v>
      </c>
      <c r="AB131" t="s">
        <v>1699</v>
      </c>
      <c r="AC131" t="s">
        <v>1252</v>
      </c>
      <c r="AD131" t="s">
        <v>86</v>
      </c>
      <c r="AE131">
        <v>7351200</v>
      </c>
      <c r="AF131">
        <v>128646</v>
      </c>
      <c r="AJ131" t="str">
        <f>_xlfn.XLOOKUP(Table9[[#This Row],[Engine No.]],'[1]Dubai Islamic Consumer'!$Q$3:$Q$1176,'[1]Dubai Islamic Consumer'!$B$3:$B$1176,,,)</f>
        <v>KHI/HO/D/MO/PC COMP/C/102086/251/11/2024</v>
      </c>
    </row>
    <row r="132" spans="1:36" hidden="1" x14ac:dyDescent="0.25">
      <c r="A132">
        <v>131</v>
      </c>
      <c r="B132" t="s">
        <v>35</v>
      </c>
      <c r="C132" t="s">
        <v>1700</v>
      </c>
      <c r="D132" t="s">
        <v>37</v>
      </c>
      <c r="E132" t="s">
        <v>1701</v>
      </c>
      <c r="F132" t="s">
        <v>138</v>
      </c>
      <c r="G132" t="s">
        <v>1702</v>
      </c>
      <c r="H132" t="s">
        <v>1703</v>
      </c>
      <c r="I132" t="s">
        <v>1704</v>
      </c>
      <c r="J132" t="s">
        <v>141</v>
      </c>
      <c r="K132" t="s">
        <v>1705</v>
      </c>
      <c r="L132">
        <v>1533000</v>
      </c>
      <c r="M132">
        <v>2190000</v>
      </c>
      <c r="N132" t="s">
        <v>1706</v>
      </c>
      <c r="O132" s="1">
        <v>45610</v>
      </c>
      <c r="P132" t="s">
        <v>1707</v>
      </c>
      <c r="Q132" t="s">
        <v>1708</v>
      </c>
      <c r="R132" t="s">
        <v>146</v>
      </c>
      <c r="S132" t="s">
        <v>48</v>
      </c>
      <c r="T132" t="s">
        <v>1276</v>
      </c>
      <c r="U132" t="s">
        <v>614</v>
      </c>
      <c r="V132" t="s">
        <v>1079</v>
      </c>
      <c r="W132" t="s">
        <v>1080</v>
      </c>
      <c r="X132" t="s">
        <v>168</v>
      </c>
      <c r="Y132" t="s">
        <v>1709</v>
      </c>
      <c r="Z132">
        <v>5</v>
      </c>
      <c r="AA132" t="s">
        <v>227</v>
      </c>
      <c r="AB132" t="s">
        <v>1710</v>
      </c>
      <c r="AC132" t="s">
        <v>1079</v>
      </c>
      <c r="AD132" t="s">
        <v>86</v>
      </c>
      <c r="AE132">
        <v>1861500</v>
      </c>
      <c r="AF132">
        <v>32576</v>
      </c>
      <c r="AJ132" t="str">
        <f>_xlfn.XLOOKUP(Table9[[#This Row],[Engine No.]],'[1]Dubai Islamic Consumer'!$Q$3:$Q$1176,'[1]Dubai Islamic Consumer'!$B$3:$B$1176,,,)</f>
        <v>KHI/HO/D/MO/PC COMP/C/102086/258/11/2024</v>
      </c>
    </row>
    <row r="133" spans="1:36" hidden="1" x14ac:dyDescent="0.25">
      <c r="A133">
        <v>132</v>
      </c>
      <c r="B133" t="s">
        <v>35</v>
      </c>
      <c r="C133" t="s">
        <v>1711</v>
      </c>
      <c r="D133" t="s">
        <v>37</v>
      </c>
      <c r="E133" t="s">
        <v>1712</v>
      </c>
      <c r="F133" t="s">
        <v>138</v>
      </c>
      <c r="G133" t="s">
        <v>1713</v>
      </c>
      <c r="H133" t="s">
        <v>1714</v>
      </c>
      <c r="I133" t="s">
        <v>1714</v>
      </c>
      <c r="J133" t="s">
        <v>141</v>
      </c>
      <c r="K133" t="s">
        <v>1715</v>
      </c>
      <c r="L133">
        <v>1325000</v>
      </c>
      <c r="M133">
        <v>2500000</v>
      </c>
      <c r="N133" t="s">
        <v>1716</v>
      </c>
      <c r="O133" s="1">
        <v>45610</v>
      </c>
      <c r="P133" t="s">
        <v>1717</v>
      </c>
      <c r="Q133" t="s">
        <v>1718</v>
      </c>
      <c r="R133" t="s">
        <v>146</v>
      </c>
      <c r="S133" t="s">
        <v>1719</v>
      </c>
      <c r="T133" t="s">
        <v>360</v>
      </c>
      <c r="U133" t="s">
        <v>98</v>
      </c>
      <c r="V133" t="s">
        <v>1079</v>
      </c>
      <c r="W133" t="s">
        <v>1080</v>
      </c>
      <c r="X133" t="s">
        <v>197</v>
      </c>
      <c r="Y133" t="s">
        <v>1720</v>
      </c>
      <c r="Z133">
        <v>3</v>
      </c>
      <c r="AA133" t="s">
        <v>227</v>
      </c>
      <c r="AB133" t="s">
        <v>1721</v>
      </c>
      <c r="AC133" t="s">
        <v>1372</v>
      </c>
      <c r="AD133" t="s">
        <v>86</v>
      </c>
      <c r="AE133">
        <v>2125000</v>
      </c>
      <c r="AF133">
        <v>37188</v>
      </c>
      <c r="AJ133" t="str">
        <f>_xlfn.XLOOKUP(Table9[[#This Row],[Engine No.]],'[1]Dubai Islamic Consumer'!$Q$3:$Q$1176,'[1]Dubai Islamic Consumer'!$B$3:$B$1176,,,)</f>
        <v>KHI/HO/D/MO/PC COMP/C/102086/259/11/2024</v>
      </c>
    </row>
    <row r="134" spans="1:36" hidden="1" x14ac:dyDescent="0.25">
      <c r="A134">
        <v>133</v>
      </c>
      <c r="B134" t="s">
        <v>35</v>
      </c>
      <c r="C134" t="s">
        <v>1722</v>
      </c>
      <c r="D134" t="s">
        <v>37</v>
      </c>
      <c r="E134" t="s">
        <v>1723</v>
      </c>
      <c r="F134" t="s">
        <v>138</v>
      </c>
      <c r="G134" t="s">
        <v>1724</v>
      </c>
      <c r="H134" t="s">
        <v>1725</v>
      </c>
      <c r="I134" t="s">
        <v>1726</v>
      </c>
      <c r="J134" t="s">
        <v>1725</v>
      </c>
      <c r="K134" t="s">
        <v>1727</v>
      </c>
      <c r="L134">
        <v>1610000</v>
      </c>
      <c r="M134">
        <v>2300000</v>
      </c>
      <c r="N134" t="s">
        <v>1728</v>
      </c>
      <c r="O134" s="1">
        <v>45610</v>
      </c>
      <c r="P134" t="s">
        <v>1729</v>
      </c>
      <c r="Q134" t="s">
        <v>1730</v>
      </c>
      <c r="R134" t="s">
        <v>146</v>
      </c>
      <c r="S134" t="s">
        <v>1731</v>
      </c>
      <c r="T134" t="s">
        <v>1732</v>
      </c>
      <c r="U134" t="s">
        <v>903</v>
      </c>
      <c r="V134" t="s">
        <v>1079</v>
      </c>
      <c r="W134" t="s">
        <v>1080</v>
      </c>
      <c r="X134" t="s">
        <v>197</v>
      </c>
      <c r="Y134" t="s">
        <v>1733</v>
      </c>
      <c r="Z134">
        <v>3</v>
      </c>
      <c r="AA134" t="s">
        <v>152</v>
      </c>
      <c r="AB134" t="s">
        <v>1734</v>
      </c>
      <c r="AC134" t="s">
        <v>1372</v>
      </c>
      <c r="AD134" t="s">
        <v>86</v>
      </c>
      <c r="AE134">
        <v>1955000</v>
      </c>
      <c r="AF134">
        <v>34213</v>
      </c>
      <c r="AJ134" t="str">
        <f>_xlfn.XLOOKUP(Table9[[#This Row],[Engine No.]],'[1]Dubai Islamic Consumer'!$Q$3:$Q$1176,'[1]Dubai Islamic Consumer'!$B$3:$B$1176,,,)</f>
        <v>KHI/HO/D/MO/PC COMP/C/102086/260/11/2024</v>
      </c>
    </row>
    <row r="135" spans="1:36" hidden="1" x14ac:dyDescent="0.25">
      <c r="A135">
        <v>134</v>
      </c>
      <c r="B135" t="s">
        <v>35</v>
      </c>
      <c r="C135" t="s">
        <v>1735</v>
      </c>
      <c r="D135" t="s">
        <v>37</v>
      </c>
      <c r="E135" t="s">
        <v>1736</v>
      </c>
      <c r="F135" t="s">
        <v>245</v>
      </c>
      <c r="G135" t="s">
        <v>1737</v>
      </c>
      <c r="H135" t="s">
        <v>1738</v>
      </c>
      <c r="I135" t="s">
        <v>1739</v>
      </c>
      <c r="J135" t="s">
        <v>48</v>
      </c>
      <c r="K135" t="s">
        <v>1740</v>
      </c>
      <c r="L135">
        <v>2205000</v>
      </c>
      <c r="M135">
        <v>3500000</v>
      </c>
      <c r="N135" t="s">
        <v>1741</v>
      </c>
      <c r="O135" s="1">
        <v>45610</v>
      </c>
      <c r="P135" t="s">
        <v>1742</v>
      </c>
      <c r="Q135" t="s">
        <v>1743</v>
      </c>
      <c r="R135" t="s">
        <v>146</v>
      </c>
      <c r="S135" t="s">
        <v>1744</v>
      </c>
      <c r="T135" t="s">
        <v>283</v>
      </c>
      <c r="U135" t="s">
        <v>98</v>
      </c>
      <c r="V135" t="s">
        <v>1079</v>
      </c>
      <c r="W135" t="s">
        <v>1080</v>
      </c>
      <c r="X135" t="s">
        <v>197</v>
      </c>
      <c r="Y135" t="s">
        <v>1745</v>
      </c>
      <c r="Z135">
        <v>3</v>
      </c>
      <c r="AA135" t="s">
        <v>323</v>
      </c>
      <c r="AB135" t="s">
        <v>1746</v>
      </c>
      <c r="AC135" t="s">
        <v>1372</v>
      </c>
      <c r="AD135" t="s">
        <v>86</v>
      </c>
      <c r="AE135">
        <v>2975000</v>
      </c>
      <c r="AF135">
        <v>52063</v>
      </c>
      <c r="AJ135" t="str">
        <f>_xlfn.XLOOKUP(Table9[[#This Row],[Engine No.]],'[1]Dubai Islamic Consumer'!$Q$3:$Q$1176,'[1]Dubai Islamic Consumer'!$B$3:$B$1176,,,)</f>
        <v>KHI/HO/D/MO/PC COMP/C/102086/263/11/2024</v>
      </c>
    </row>
    <row r="136" spans="1:36" hidden="1" x14ac:dyDescent="0.25">
      <c r="A136">
        <v>135</v>
      </c>
      <c r="B136" t="s">
        <v>35</v>
      </c>
      <c r="C136" t="s">
        <v>1747</v>
      </c>
      <c r="D136" t="s">
        <v>37</v>
      </c>
      <c r="E136" t="s">
        <v>1748</v>
      </c>
      <c r="F136" t="s">
        <v>138</v>
      </c>
      <c r="G136" t="s">
        <v>1749</v>
      </c>
      <c r="H136" t="s">
        <v>1750</v>
      </c>
      <c r="I136" t="s">
        <v>1751</v>
      </c>
      <c r="J136" t="s">
        <v>1752</v>
      </c>
      <c r="K136" t="s">
        <v>1753</v>
      </c>
      <c r="L136">
        <v>3773000</v>
      </c>
      <c r="M136">
        <v>5390000</v>
      </c>
      <c r="N136" t="s">
        <v>1754</v>
      </c>
      <c r="O136" s="1">
        <v>45610</v>
      </c>
      <c r="P136" t="s">
        <v>1755</v>
      </c>
      <c r="Q136" t="s">
        <v>1756</v>
      </c>
      <c r="R136" t="s">
        <v>47</v>
      </c>
      <c r="S136" t="s">
        <v>48</v>
      </c>
      <c r="T136" t="s">
        <v>1757</v>
      </c>
      <c r="U136" t="s">
        <v>50</v>
      </c>
      <c r="V136" t="s">
        <v>1758</v>
      </c>
      <c r="W136" t="s">
        <v>132</v>
      </c>
      <c r="X136" t="s">
        <v>133</v>
      </c>
      <c r="Y136" t="s">
        <v>1759</v>
      </c>
      <c r="Z136">
        <v>5</v>
      </c>
      <c r="AA136" t="s">
        <v>55</v>
      </c>
      <c r="AB136" t="s">
        <v>1760</v>
      </c>
      <c r="AC136" t="s">
        <v>132</v>
      </c>
      <c r="AD136" t="s">
        <v>86</v>
      </c>
      <c r="AE136">
        <v>4312000</v>
      </c>
      <c r="AF136">
        <v>75460</v>
      </c>
      <c r="AJ136" t="str">
        <f>_xlfn.XLOOKUP(Table9[[#This Row],[Engine No.]],'[1]Dubai Islamic Consumer'!$Q$3:$Q$1176,'[1]Dubai Islamic Consumer'!$B$3:$B$1176,,,)</f>
        <v>KHI/HO/D/MO/PC COMP/C/102086/265/11/2024</v>
      </c>
    </row>
    <row r="137" spans="1:36" hidden="1" x14ac:dyDescent="0.25">
      <c r="A137">
        <v>136</v>
      </c>
      <c r="B137" t="s">
        <v>35</v>
      </c>
      <c r="C137" t="s">
        <v>1761</v>
      </c>
      <c r="D137" t="s">
        <v>37</v>
      </c>
      <c r="E137" t="s">
        <v>1762</v>
      </c>
      <c r="F137" t="s">
        <v>1763</v>
      </c>
      <c r="G137" t="s">
        <v>1764</v>
      </c>
      <c r="H137" t="s">
        <v>48</v>
      </c>
      <c r="I137" t="s">
        <v>1765</v>
      </c>
      <c r="J137" t="s">
        <v>48</v>
      </c>
      <c r="K137" t="s">
        <v>1766</v>
      </c>
      <c r="L137">
        <v>1134750</v>
      </c>
      <c r="M137">
        <v>1335000</v>
      </c>
      <c r="N137" t="s">
        <v>1767</v>
      </c>
      <c r="O137" s="1">
        <v>45610</v>
      </c>
      <c r="P137" t="s">
        <v>1768</v>
      </c>
      <c r="Q137" t="s">
        <v>1769</v>
      </c>
      <c r="R137" t="s">
        <v>858</v>
      </c>
      <c r="S137" t="s">
        <v>48</v>
      </c>
      <c r="T137" t="s">
        <v>673</v>
      </c>
      <c r="U137" t="s">
        <v>50</v>
      </c>
      <c r="V137" t="s">
        <v>195</v>
      </c>
      <c r="W137" t="s">
        <v>132</v>
      </c>
      <c r="X137" t="s">
        <v>1191</v>
      </c>
      <c r="Y137" t="s">
        <v>1770</v>
      </c>
      <c r="Z137">
        <v>7</v>
      </c>
      <c r="AA137" t="s">
        <v>118</v>
      </c>
      <c r="AB137" t="s">
        <v>1771</v>
      </c>
      <c r="AC137" t="s">
        <v>1252</v>
      </c>
      <c r="AD137" t="s">
        <v>943</v>
      </c>
      <c r="AE137">
        <v>1068000</v>
      </c>
      <c r="AF137">
        <v>14952</v>
      </c>
      <c r="AJ137" t="str">
        <f>_xlfn.XLOOKUP(Table9[[#This Row],[Engine No.]],'[1]Dubai Islamic Consumer'!$Q$3:$Q$1176,'[1]Dubai Islamic Consumer'!$B$3:$B$1176,,,)</f>
        <v>KHI/HO/D/MO/PC COMP/C/102086/268/11/2024</v>
      </c>
    </row>
    <row r="138" spans="1:36" hidden="1" x14ac:dyDescent="0.25">
      <c r="A138">
        <v>137</v>
      </c>
      <c r="B138" t="s">
        <v>35</v>
      </c>
      <c r="C138" t="s">
        <v>1772</v>
      </c>
      <c r="D138" t="s">
        <v>37</v>
      </c>
      <c r="E138" t="s">
        <v>1773</v>
      </c>
      <c r="F138" t="s">
        <v>1774</v>
      </c>
      <c r="G138" t="s">
        <v>1775</v>
      </c>
      <c r="H138" t="s">
        <v>48</v>
      </c>
      <c r="I138" t="s">
        <v>1776</v>
      </c>
      <c r="J138" t="s">
        <v>48</v>
      </c>
      <c r="K138" t="s">
        <v>1777</v>
      </c>
      <c r="L138">
        <v>804900</v>
      </c>
      <c r="M138">
        <v>2683000</v>
      </c>
      <c r="N138" t="s">
        <v>1778</v>
      </c>
      <c r="O138" s="1">
        <v>45611</v>
      </c>
      <c r="P138" t="s">
        <v>1779</v>
      </c>
      <c r="Q138" t="s">
        <v>1780</v>
      </c>
      <c r="R138" t="s">
        <v>47</v>
      </c>
      <c r="S138" t="s">
        <v>48</v>
      </c>
      <c r="T138" t="s">
        <v>1781</v>
      </c>
      <c r="U138" t="s">
        <v>98</v>
      </c>
      <c r="V138" t="s">
        <v>1782</v>
      </c>
      <c r="W138" t="s">
        <v>167</v>
      </c>
      <c r="X138" t="s">
        <v>197</v>
      </c>
      <c r="Y138" t="s">
        <v>1783</v>
      </c>
      <c r="Z138">
        <v>5</v>
      </c>
      <c r="AA138" t="s">
        <v>55</v>
      </c>
      <c r="AB138" t="s">
        <v>1784</v>
      </c>
      <c r="AC138" t="s">
        <v>1548</v>
      </c>
      <c r="AD138" t="s">
        <v>58</v>
      </c>
      <c r="AE138">
        <v>2012250</v>
      </c>
      <c r="AF138">
        <v>40245</v>
      </c>
      <c r="AJ138" t="str">
        <f>_xlfn.XLOOKUP(Table9[[#This Row],[Engine No.]],'[1]Dubai Islamic Consumer'!$Q$3:$Q$1176,'[1]Dubai Islamic Consumer'!$B$3:$B$1176,,,)</f>
        <v>KHI/HO/D/MO/PC COMP/C/102086/270/11/2024</v>
      </c>
    </row>
    <row r="139" spans="1:36" hidden="1" x14ac:dyDescent="0.25">
      <c r="A139">
        <v>138</v>
      </c>
      <c r="B139" t="s">
        <v>35</v>
      </c>
      <c r="C139" t="s">
        <v>1785</v>
      </c>
      <c r="D139" t="s">
        <v>37</v>
      </c>
      <c r="E139" t="s">
        <v>1786</v>
      </c>
      <c r="F139" t="s">
        <v>138</v>
      </c>
      <c r="G139" t="s">
        <v>1787</v>
      </c>
      <c r="H139" t="s">
        <v>1788</v>
      </c>
      <c r="I139" t="s">
        <v>1788</v>
      </c>
      <c r="J139" t="s">
        <v>1788</v>
      </c>
      <c r="K139" t="s">
        <v>1789</v>
      </c>
      <c r="L139">
        <v>1000350</v>
      </c>
      <c r="M139">
        <v>1539000</v>
      </c>
      <c r="N139" t="s">
        <v>1790</v>
      </c>
      <c r="O139" s="1">
        <v>45611</v>
      </c>
      <c r="P139" t="s">
        <v>1791</v>
      </c>
      <c r="Q139" t="s">
        <v>1792</v>
      </c>
      <c r="R139" t="s">
        <v>47</v>
      </c>
      <c r="S139" t="s">
        <v>48</v>
      </c>
      <c r="T139" t="s">
        <v>1264</v>
      </c>
      <c r="U139" t="s">
        <v>50</v>
      </c>
      <c r="V139" t="s">
        <v>1793</v>
      </c>
      <c r="W139" t="s">
        <v>196</v>
      </c>
      <c r="X139" t="s">
        <v>401</v>
      </c>
      <c r="Y139" t="s">
        <v>1794</v>
      </c>
      <c r="Z139">
        <v>5</v>
      </c>
      <c r="AA139" t="s">
        <v>55</v>
      </c>
      <c r="AB139" t="s">
        <v>1795</v>
      </c>
      <c r="AC139" t="s">
        <v>1252</v>
      </c>
      <c r="AD139" t="s">
        <v>58</v>
      </c>
      <c r="AE139">
        <v>1231200</v>
      </c>
      <c r="AF139">
        <v>24624</v>
      </c>
      <c r="AJ139" t="str">
        <f>_xlfn.XLOOKUP(Table9[[#This Row],[Engine No.]],'[1]Dubai Islamic Consumer'!$Q$3:$Q$1176,'[1]Dubai Islamic Consumer'!$B$3:$B$1176,,,)</f>
        <v>KHI/HO/D/MO/PC COMP/C/102086/273/11/2024</v>
      </c>
    </row>
    <row r="140" spans="1:36" hidden="1" x14ac:dyDescent="0.25">
      <c r="A140">
        <v>139</v>
      </c>
      <c r="B140" t="s">
        <v>35</v>
      </c>
      <c r="C140" t="s">
        <v>1796</v>
      </c>
      <c r="D140" t="s">
        <v>37</v>
      </c>
      <c r="E140" t="s">
        <v>1797</v>
      </c>
      <c r="F140" t="s">
        <v>107</v>
      </c>
      <c r="G140" t="s">
        <v>1798</v>
      </c>
      <c r="H140" t="s">
        <v>1799</v>
      </c>
      <c r="I140" t="s">
        <v>1799</v>
      </c>
      <c r="J140" t="s">
        <v>1799</v>
      </c>
      <c r="K140" t="s">
        <v>1800</v>
      </c>
      <c r="L140">
        <v>1531800</v>
      </c>
      <c r="M140">
        <v>2553000</v>
      </c>
      <c r="N140" t="s">
        <v>1801</v>
      </c>
      <c r="O140" s="1">
        <v>45611</v>
      </c>
      <c r="P140" t="s">
        <v>1802</v>
      </c>
      <c r="Q140" t="s">
        <v>1803</v>
      </c>
      <c r="R140" t="s">
        <v>47</v>
      </c>
      <c r="S140" t="s">
        <v>48</v>
      </c>
      <c r="T140" t="s">
        <v>1804</v>
      </c>
      <c r="U140" t="s">
        <v>50</v>
      </c>
      <c r="V140" t="s">
        <v>727</v>
      </c>
      <c r="W140" t="s">
        <v>1053</v>
      </c>
      <c r="X140" t="s">
        <v>388</v>
      </c>
      <c r="Y140" t="s">
        <v>1805</v>
      </c>
      <c r="Z140">
        <v>5</v>
      </c>
      <c r="AA140" t="s">
        <v>55</v>
      </c>
      <c r="AB140" t="s">
        <v>1806</v>
      </c>
      <c r="AC140" t="s">
        <v>1265</v>
      </c>
      <c r="AD140" t="s">
        <v>58</v>
      </c>
      <c r="AE140">
        <v>2042400</v>
      </c>
      <c r="AF140">
        <v>40848</v>
      </c>
      <c r="AJ140" t="str">
        <f>_xlfn.XLOOKUP(Table9[[#This Row],[Engine No.]],'[1]Dubai Islamic Consumer'!$Q$3:$Q$1176,'[1]Dubai Islamic Consumer'!$B$3:$B$1176,,,)</f>
        <v>KHI/HO/D/MO/PC COMP/C/102086/277/11/2024</v>
      </c>
    </row>
    <row r="141" spans="1:36" hidden="1" x14ac:dyDescent="0.25">
      <c r="A141">
        <v>140</v>
      </c>
      <c r="B141" t="s">
        <v>35</v>
      </c>
      <c r="C141" t="s">
        <v>1807</v>
      </c>
      <c r="D141" t="s">
        <v>37</v>
      </c>
      <c r="E141" t="s">
        <v>1808</v>
      </c>
      <c r="F141" t="s">
        <v>107</v>
      </c>
      <c r="G141" t="s">
        <v>1809</v>
      </c>
      <c r="H141" t="s">
        <v>1810</v>
      </c>
      <c r="I141" t="s">
        <v>1810</v>
      </c>
      <c r="J141" t="s">
        <v>48</v>
      </c>
      <c r="K141" t="s">
        <v>1811</v>
      </c>
      <c r="L141">
        <v>1925000</v>
      </c>
      <c r="M141">
        <v>2750000</v>
      </c>
      <c r="N141" t="s">
        <v>1812</v>
      </c>
      <c r="O141" s="1">
        <v>45611</v>
      </c>
      <c r="P141" t="s">
        <v>1813</v>
      </c>
      <c r="Q141" t="s">
        <v>1814</v>
      </c>
      <c r="R141" t="s">
        <v>146</v>
      </c>
      <c r="S141" t="s">
        <v>1815</v>
      </c>
      <c r="T141" t="s">
        <v>283</v>
      </c>
      <c r="U141" t="s">
        <v>614</v>
      </c>
      <c r="V141" t="s">
        <v>1548</v>
      </c>
      <c r="W141" t="s">
        <v>167</v>
      </c>
      <c r="X141" t="s">
        <v>197</v>
      </c>
      <c r="Y141" t="s">
        <v>1816</v>
      </c>
      <c r="Z141">
        <v>5</v>
      </c>
      <c r="AA141" t="s">
        <v>227</v>
      </c>
      <c r="AB141" t="s">
        <v>1817</v>
      </c>
      <c r="AC141" t="s">
        <v>1565</v>
      </c>
      <c r="AD141" t="s">
        <v>58</v>
      </c>
      <c r="AE141">
        <v>2062500</v>
      </c>
      <c r="AF141">
        <v>41250</v>
      </c>
      <c r="AJ141" t="str">
        <f>_xlfn.XLOOKUP(Table9[[#This Row],[Engine No.]],'[1]Dubai Islamic Consumer'!$Q$3:$Q$1176,'[1]Dubai Islamic Consumer'!$B$3:$B$1176,,,)</f>
        <v>KHI/HO/D/MO/PC COMP/C/102086/278/11/2024</v>
      </c>
    </row>
    <row r="142" spans="1:36" hidden="1" x14ac:dyDescent="0.25">
      <c r="A142">
        <v>141</v>
      </c>
      <c r="B142" t="s">
        <v>35</v>
      </c>
      <c r="C142" t="s">
        <v>1818</v>
      </c>
      <c r="D142" t="s">
        <v>37</v>
      </c>
      <c r="E142" t="s">
        <v>1819</v>
      </c>
      <c r="F142" t="s">
        <v>107</v>
      </c>
      <c r="G142" t="s">
        <v>1820</v>
      </c>
      <c r="H142" t="s">
        <v>1821</v>
      </c>
      <c r="I142" t="s">
        <v>1821</v>
      </c>
      <c r="J142" t="s">
        <v>1821</v>
      </c>
      <c r="K142" t="s">
        <v>1822</v>
      </c>
      <c r="L142">
        <v>1787100</v>
      </c>
      <c r="M142">
        <v>2553000</v>
      </c>
      <c r="N142" t="s">
        <v>1823</v>
      </c>
      <c r="O142" s="1">
        <v>45611</v>
      </c>
      <c r="P142" t="s">
        <v>1824</v>
      </c>
      <c r="Q142" t="s">
        <v>1825</v>
      </c>
      <c r="R142" t="s">
        <v>47</v>
      </c>
      <c r="S142" t="s">
        <v>48</v>
      </c>
      <c r="T142" t="s">
        <v>1826</v>
      </c>
      <c r="U142" t="s">
        <v>50</v>
      </c>
      <c r="V142" t="s">
        <v>1476</v>
      </c>
      <c r="W142" t="s">
        <v>1053</v>
      </c>
      <c r="X142" t="s">
        <v>388</v>
      </c>
      <c r="Y142" t="s">
        <v>1827</v>
      </c>
      <c r="Z142">
        <v>5</v>
      </c>
      <c r="AA142" t="s">
        <v>55</v>
      </c>
      <c r="AB142" t="s">
        <v>1828</v>
      </c>
      <c r="AC142" t="s">
        <v>1265</v>
      </c>
      <c r="AD142" t="s">
        <v>58</v>
      </c>
      <c r="AE142">
        <v>2042400</v>
      </c>
      <c r="AF142">
        <v>40848</v>
      </c>
      <c r="AJ142" t="str">
        <f>_xlfn.XLOOKUP(Table9[[#This Row],[Engine No.]],'[1]Dubai Islamic Consumer'!$Q$3:$Q$1176,'[1]Dubai Islamic Consumer'!$B$3:$B$1176,,,)</f>
        <v>KHI/HO/D/MO/PC COMP/C/102086/282/11/2024</v>
      </c>
    </row>
    <row r="143" spans="1:36" hidden="1" x14ac:dyDescent="0.25">
      <c r="A143">
        <v>142</v>
      </c>
      <c r="B143" t="s">
        <v>35</v>
      </c>
      <c r="C143" t="s">
        <v>1829</v>
      </c>
      <c r="D143" t="s">
        <v>37</v>
      </c>
      <c r="E143" t="s">
        <v>1830</v>
      </c>
      <c r="F143" t="s">
        <v>138</v>
      </c>
      <c r="G143" t="s">
        <v>1831</v>
      </c>
      <c r="H143" t="s">
        <v>1832</v>
      </c>
      <c r="I143" t="s">
        <v>1832</v>
      </c>
      <c r="J143" t="s">
        <v>141</v>
      </c>
      <c r="K143" t="s">
        <v>1833</v>
      </c>
      <c r="L143">
        <v>1987500</v>
      </c>
      <c r="M143">
        <v>2650000</v>
      </c>
      <c r="N143" t="s">
        <v>1834</v>
      </c>
      <c r="O143" s="1">
        <v>45611</v>
      </c>
      <c r="P143" t="s">
        <v>1835</v>
      </c>
      <c r="Q143" t="s">
        <v>1836</v>
      </c>
      <c r="R143" t="s">
        <v>47</v>
      </c>
      <c r="S143" t="s">
        <v>48</v>
      </c>
      <c r="T143" t="s">
        <v>1837</v>
      </c>
      <c r="U143" t="s">
        <v>50</v>
      </c>
      <c r="V143" t="s">
        <v>1513</v>
      </c>
      <c r="W143" t="s">
        <v>196</v>
      </c>
      <c r="X143" t="s">
        <v>401</v>
      </c>
      <c r="Y143" t="s">
        <v>1838</v>
      </c>
      <c r="Z143">
        <v>5</v>
      </c>
      <c r="AA143" t="s">
        <v>55</v>
      </c>
      <c r="AB143" t="s">
        <v>1839</v>
      </c>
      <c r="AC143" t="s">
        <v>1252</v>
      </c>
      <c r="AD143" t="s">
        <v>58</v>
      </c>
      <c r="AE143">
        <v>2120000</v>
      </c>
      <c r="AF143">
        <v>42400</v>
      </c>
      <c r="AJ143" t="str">
        <f>_xlfn.XLOOKUP(Table9[[#This Row],[Engine No.]],'[1]Dubai Islamic Consumer'!$Q$3:$Q$1176,'[1]Dubai Islamic Consumer'!$B$3:$B$1176,,,)</f>
        <v>KHI/HO/D/MO/PC COMP/C/102086/283/11/2024</v>
      </c>
    </row>
    <row r="144" spans="1:36" hidden="1" x14ac:dyDescent="0.25">
      <c r="A144">
        <v>143</v>
      </c>
      <c r="B144" t="s">
        <v>35</v>
      </c>
      <c r="C144" t="s">
        <v>1840</v>
      </c>
      <c r="D144" t="s">
        <v>37</v>
      </c>
      <c r="E144" t="s">
        <v>1841</v>
      </c>
      <c r="F144" t="s">
        <v>39</v>
      </c>
      <c r="G144" t="s">
        <v>1842</v>
      </c>
      <c r="H144" t="s">
        <v>1843</v>
      </c>
      <c r="I144" t="s">
        <v>1844</v>
      </c>
      <c r="J144" t="s">
        <v>1843</v>
      </c>
      <c r="K144" t="s">
        <v>1845</v>
      </c>
      <c r="L144">
        <v>2587975</v>
      </c>
      <c r="M144">
        <v>3981500</v>
      </c>
      <c r="N144" t="s">
        <v>1846</v>
      </c>
      <c r="O144" s="1">
        <v>45611</v>
      </c>
      <c r="P144" t="s">
        <v>1847</v>
      </c>
      <c r="Q144" t="s">
        <v>1848</v>
      </c>
      <c r="R144" t="s">
        <v>47</v>
      </c>
      <c r="S144" t="s">
        <v>48</v>
      </c>
      <c r="T144" t="s">
        <v>1065</v>
      </c>
      <c r="U144" t="s">
        <v>98</v>
      </c>
      <c r="V144" t="s">
        <v>1849</v>
      </c>
      <c r="W144" t="s">
        <v>167</v>
      </c>
      <c r="X144" t="s">
        <v>197</v>
      </c>
      <c r="Y144" t="s">
        <v>1850</v>
      </c>
      <c r="Z144">
        <v>5</v>
      </c>
      <c r="AA144" t="s">
        <v>55</v>
      </c>
      <c r="AB144" t="s">
        <v>1851</v>
      </c>
      <c r="AC144" t="s">
        <v>1217</v>
      </c>
      <c r="AD144" t="s">
        <v>58</v>
      </c>
      <c r="AE144">
        <v>2986125</v>
      </c>
      <c r="AF144">
        <v>59723</v>
      </c>
      <c r="AJ144" t="str">
        <f>_xlfn.XLOOKUP(Table9[[#This Row],[Engine No.]],'[1]Dubai Islamic Consumer'!$Q$3:$Q$1176,'[1]Dubai Islamic Consumer'!$B$3:$B$1176,,,)</f>
        <v>KHI/HO/D/MO/PC COMP/C/102086/284/11/2024</v>
      </c>
    </row>
    <row r="145" spans="1:36" hidden="1" x14ac:dyDescent="0.25">
      <c r="A145">
        <v>144</v>
      </c>
      <c r="B145" t="s">
        <v>35</v>
      </c>
      <c r="C145" t="s">
        <v>1852</v>
      </c>
      <c r="D145" t="s">
        <v>37</v>
      </c>
      <c r="E145" t="s">
        <v>1853</v>
      </c>
      <c r="F145" t="s">
        <v>39</v>
      </c>
      <c r="G145" t="s">
        <v>1854</v>
      </c>
      <c r="H145" t="s">
        <v>1855</v>
      </c>
      <c r="I145" t="s">
        <v>1856</v>
      </c>
      <c r="J145" t="s">
        <v>1855</v>
      </c>
      <c r="K145" t="s">
        <v>1857</v>
      </c>
      <c r="L145">
        <v>2787050</v>
      </c>
      <c r="M145">
        <v>3981500</v>
      </c>
      <c r="N145" t="s">
        <v>1858</v>
      </c>
      <c r="O145" s="1">
        <v>45611</v>
      </c>
      <c r="P145" t="s">
        <v>1859</v>
      </c>
      <c r="Q145" t="s">
        <v>1860</v>
      </c>
      <c r="R145" t="s">
        <v>47</v>
      </c>
      <c r="S145" t="s">
        <v>48</v>
      </c>
      <c r="T145" t="s">
        <v>1861</v>
      </c>
      <c r="U145" t="s">
        <v>98</v>
      </c>
      <c r="V145" t="s">
        <v>1862</v>
      </c>
      <c r="W145" t="s">
        <v>167</v>
      </c>
      <c r="X145" t="s">
        <v>197</v>
      </c>
      <c r="Y145" t="s">
        <v>1863</v>
      </c>
      <c r="Z145">
        <v>5</v>
      </c>
      <c r="AA145" t="s">
        <v>55</v>
      </c>
      <c r="AB145" t="s">
        <v>1864</v>
      </c>
      <c r="AC145" t="s">
        <v>1217</v>
      </c>
      <c r="AD145" t="s">
        <v>58</v>
      </c>
      <c r="AE145">
        <v>2986125</v>
      </c>
      <c r="AF145">
        <v>59723</v>
      </c>
      <c r="AJ145" t="str">
        <f>_xlfn.XLOOKUP(Table9[[#This Row],[Engine No.]],'[1]Dubai Islamic Consumer'!$Q$3:$Q$1176,'[1]Dubai Islamic Consumer'!$B$3:$B$1176,,,)</f>
        <v>KHI/HO/D/MO/PC COMP/C/102086/285/11/2024</v>
      </c>
    </row>
    <row r="146" spans="1:36" hidden="1" x14ac:dyDescent="0.25">
      <c r="A146">
        <v>145</v>
      </c>
      <c r="B146" t="s">
        <v>35</v>
      </c>
      <c r="C146" t="s">
        <v>1865</v>
      </c>
      <c r="D146" t="s">
        <v>37</v>
      </c>
      <c r="E146" t="s">
        <v>1866</v>
      </c>
      <c r="F146" t="s">
        <v>138</v>
      </c>
      <c r="G146" t="s">
        <v>1867</v>
      </c>
      <c r="H146" t="s">
        <v>48</v>
      </c>
      <c r="I146" t="s">
        <v>1868</v>
      </c>
      <c r="J146" t="s">
        <v>48</v>
      </c>
      <c r="K146" t="s">
        <v>1869</v>
      </c>
      <c r="L146">
        <v>3429300</v>
      </c>
      <c r="M146">
        <v>4899000</v>
      </c>
      <c r="N146" t="s">
        <v>1870</v>
      </c>
      <c r="O146" s="1">
        <v>45611</v>
      </c>
      <c r="P146" t="s">
        <v>1871</v>
      </c>
      <c r="Q146" t="s">
        <v>1872</v>
      </c>
      <c r="R146" t="s">
        <v>47</v>
      </c>
      <c r="S146" t="s">
        <v>48</v>
      </c>
      <c r="T146" t="s">
        <v>1154</v>
      </c>
      <c r="U146" t="s">
        <v>98</v>
      </c>
      <c r="V146" t="s">
        <v>1873</v>
      </c>
      <c r="W146" t="s">
        <v>456</v>
      </c>
      <c r="X146" t="s">
        <v>457</v>
      </c>
      <c r="Y146" t="s">
        <v>1874</v>
      </c>
      <c r="Z146">
        <v>5</v>
      </c>
      <c r="AA146" t="s">
        <v>48</v>
      </c>
      <c r="AB146" t="s">
        <v>48</v>
      </c>
      <c r="AC146" t="s">
        <v>48</v>
      </c>
      <c r="AD146" t="s">
        <v>299</v>
      </c>
      <c r="AE146">
        <v>3674250</v>
      </c>
      <c r="AF146">
        <v>55114</v>
      </c>
      <c r="AJ146" t="str">
        <f>_xlfn.XLOOKUP(Table9[[#This Row],[Engine No.]],'[1]Dubai Islamic Consumer'!$Q$3:$Q$1176,'[1]Dubai Islamic Consumer'!$B$3:$B$1176,,,)</f>
        <v>KHI/HO/D/MO/PC COMP/C/102086/286/11/2024</v>
      </c>
    </row>
    <row r="147" spans="1:36" hidden="1" x14ac:dyDescent="0.25">
      <c r="A147">
        <v>146</v>
      </c>
      <c r="B147" t="s">
        <v>35</v>
      </c>
      <c r="C147" t="s">
        <v>1875</v>
      </c>
      <c r="D147" t="s">
        <v>37</v>
      </c>
      <c r="E147" t="s">
        <v>1876</v>
      </c>
      <c r="F147" t="s">
        <v>107</v>
      </c>
      <c r="G147" t="s">
        <v>1877</v>
      </c>
      <c r="H147" t="s">
        <v>1878</v>
      </c>
      <c r="I147" t="s">
        <v>1878</v>
      </c>
      <c r="J147" t="s">
        <v>1879</v>
      </c>
      <c r="K147" t="s">
        <v>1880</v>
      </c>
      <c r="L147">
        <v>7266750</v>
      </c>
      <c r="M147">
        <v>9689000</v>
      </c>
      <c r="N147" t="s">
        <v>1881</v>
      </c>
      <c r="O147" s="1">
        <v>45611</v>
      </c>
      <c r="P147" t="s">
        <v>1882</v>
      </c>
      <c r="Q147" t="s">
        <v>1883</v>
      </c>
      <c r="R147" t="s">
        <v>47</v>
      </c>
      <c r="S147" t="s">
        <v>48</v>
      </c>
      <c r="T147" t="s">
        <v>1696</v>
      </c>
      <c r="U147" t="s">
        <v>50</v>
      </c>
      <c r="V147" t="s">
        <v>1884</v>
      </c>
      <c r="W147" t="s">
        <v>132</v>
      </c>
      <c r="X147" t="s">
        <v>133</v>
      </c>
      <c r="Y147" t="s">
        <v>1885</v>
      </c>
      <c r="Z147">
        <v>5</v>
      </c>
      <c r="AA147" t="s">
        <v>55</v>
      </c>
      <c r="AB147" t="s">
        <v>1886</v>
      </c>
      <c r="AC147" t="s">
        <v>1265</v>
      </c>
      <c r="AD147" t="s">
        <v>86</v>
      </c>
      <c r="AE147">
        <v>7751200</v>
      </c>
      <c r="AF147">
        <v>135646</v>
      </c>
      <c r="AJ147" t="str">
        <f>_xlfn.XLOOKUP(Table9[[#This Row],[Engine No.]],'[1]Dubai Islamic Consumer'!$Q$3:$Q$1176,'[1]Dubai Islamic Consumer'!$B$3:$B$1176,,,)</f>
        <v>KHI/HO/D/MO/PC COMP/C/102086/287/11/2024</v>
      </c>
    </row>
    <row r="148" spans="1:36" hidden="1" x14ac:dyDescent="0.25">
      <c r="A148">
        <v>147</v>
      </c>
      <c r="B148" t="s">
        <v>35</v>
      </c>
      <c r="C148" t="s">
        <v>1887</v>
      </c>
      <c r="D148" t="s">
        <v>37</v>
      </c>
      <c r="E148" t="s">
        <v>1888</v>
      </c>
      <c r="F148" t="s">
        <v>39</v>
      </c>
      <c r="G148" t="s">
        <v>1889</v>
      </c>
      <c r="H148" t="s">
        <v>1890</v>
      </c>
      <c r="I148" t="s">
        <v>1891</v>
      </c>
      <c r="J148" t="s">
        <v>1890</v>
      </c>
      <c r="K148" t="s">
        <v>1892</v>
      </c>
      <c r="L148">
        <v>712500</v>
      </c>
      <c r="M148">
        <v>1425000</v>
      </c>
      <c r="N148" t="s">
        <v>1893</v>
      </c>
      <c r="O148" s="1">
        <v>45611</v>
      </c>
      <c r="P148" t="s">
        <v>1894</v>
      </c>
      <c r="Q148" t="s">
        <v>1895</v>
      </c>
      <c r="R148" t="s">
        <v>47</v>
      </c>
      <c r="S148" t="s">
        <v>48</v>
      </c>
      <c r="T148" t="s">
        <v>1896</v>
      </c>
      <c r="U148" t="s">
        <v>148</v>
      </c>
      <c r="V148" t="s">
        <v>1897</v>
      </c>
      <c r="W148" t="s">
        <v>1080</v>
      </c>
      <c r="X148" t="s">
        <v>197</v>
      </c>
      <c r="Y148" t="s">
        <v>1898</v>
      </c>
      <c r="Z148">
        <v>3</v>
      </c>
      <c r="AA148" t="s">
        <v>227</v>
      </c>
      <c r="AB148" t="s">
        <v>1899</v>
      </c>
      <c r="AC148" t="s">
        <v>1900</v>
      </c>
      <c r="AD148" t="s">
        <v>58</v>
      </c>
      <c r="AE148">
        <v>1211250</v>
      </c>
      <c r="AF148">
        <v>24225</v>
      </c>
      <c r="AJ148" t="str">
        <f>_xlfn.XLOOKUP(Table9[[#This Row],[Engine No.]],'[1]Dubai Islamic Consumer'!$Q$3:$Q$1176,'[1]Dubai Islamic Consumer'!$B$3:$B$1176,,,)</f>
        <v>KHI/HO/D/MO/PC COMP/C/102086/292/11/2024</v>
      </c>
    </row>
    <row r="149" spans="1:36" hidden="1" x14ac:dyDescent="0.25">
      <c r="A149">
        <v>148</v>
      </c>
      <c r="B149" t="s">
        <v>35</v>
      </c>
      <c r="C149" t="s">
        <v>1901</v>
      </c>
      <c r="D149" t="s">
        <v>37</v>
      </c>
      <c r="E149" t="s">
        <v>1902</v>
      </c>
      <c r="F149" t="s">
        <v>138</v>
      </c>
      <c r="G149" t="s">
        <v>1903</v>
      </c>
      <c r="H149" t="s">
        <v>48</v>
      </c>
      <c r="I149" t="s">
        <v>1904</v>
      </c>
      <c r="J149" t="s">
        <v>48</v>
      </c>
      <c r="K149" t="s">
        <v>1905</v>
      </c>
      <c r="L149">
        <v>816000</v>
      </c>
      <c r="M149">
        <v>1200000</v>
      </c>
      <c r="N149" t="s">
        <v>1906</v>
      </c>
      <c r="O149" s="1">
        <v>45611</v>
      </c>
      <c r="P149" t="s">
        <v>1907</v>
      </c>
      <c r="Q149" t="s">
        <v>1908</v>
      </c>
      <c r="R149" t="s">
        <v>146</v>
      </c>
      <c r="S149" t="s">
        <v>48</v>
      </c>
      <c r="T149" t="s">
        <v>1909</v>
      </c>
      <c r="U149" t="s">
        <v>651</v>
      </c>
      <c r="V149" t="s">
        <v>1900</v>
      </c>
      <c r="W149" t="s">
        <v>1080</v>
      </c>
      <c r="X149" t="s">
        <v>168</v>
      </c>
      <c r="Y149" t="s">
        <v>1910</v>
      </c>
      <c r="Z149">
        <v>5</v>
      </c>
      <c r="AA149" t="s">
        <v>227</v>
      </c>
      <c r="AB149" t="s">
        <v>1911</v>
      </c>
      <c r="AC149" t="s">
        <v>1900</v>
      </c>
      <c r="AD149" t="s">
        <v>86</v>
      </c>
      <c r="AE149">
        <v>1020000</v>
      </c>
      <c r="AF149">
        <v>17850</v>
      </c>
      <c r="AJ149" t="str">
        <f>_xlfn.XLOOKUP(Table9[[#This Row],[Engine No.]],'[1]Dubai Islamic Consumer'!$Q$3:$Q$1176,'[1]Dubai Islamic Consumer'!$B$3:$B$1176,,,)</f>
        <v>KHI/HO/D/MO/PC COMP/C/102086/295/11/2024</v>
      </c>
    </row>
    <row r="150" spans="1:36" hidden="1" x14ac:dyDescent="0.25">
      <c r="A150">
        <v>149</v>
      </c>
      <c r="B150" t="s">
        <v>35</v>
      </c>
      <c r="C150" t="s">
        <v>1912</v>
      </c>
      <c r="D150" t="s">
        <v>37</v>
      </c>
      <c r="E150" t="s">
        <v>1913</v>
      </c>
      <c r="F150" t="s">
        <v>138</v>
      </c>
      <c r="G150" t="s">
        <v>1914</v>
      </c>
      <c r="H150" t="s">
        <v>1915</v>
      </c>
      <c r="I150" t="s">
        <v>1915</v>
      </c>
      <c r="J150" t="s">
        <v>141</v>
      </c>
      <c r="K150" t="s">
        <v>1916</v>
      </c>
      <c r="L150">
        <v>1855360</v>
      </c>
      <c r="M150">
        <v>2899000</v>
      </c>
      <c r="N150" t="s">
        <v>1917</v>
      </c>
      <c r="O150" s="1">
        <v>45611</v>
      </c>
      <c r="P150" t="s">
        <v>1918</v>
      </c>
      <c r="Q150" t="s">
        <v>1919</v>
      </c>
      <c r="R150" t="s">
        <v>47</v>
      </c>
      <c r="S150" t="s">
        <v>48</v>
      </c>
      <c r="T150" t="s">
        <v>1920</v>
      </c>
      <c r="U150" t="s">
        <v>148</v>
      </c>
      <c r="V150" t="s">
        <v>1921</v>
      </c>
      <c r="W150" t="s">
        <v>1922</v>
      </c>
      <c r="X150" t="s">
        <v>457</v>
      </c>
      <c r="Y150" t="s">
        <v>1923</v>
      </c>
      <c r="Z150">
        <v>3</v>
      </c>
      <c r="AA150" t="s">
        <v>227</v>
      </c>
      <c r="AB150" t="s">
        <v>1924</v>
      </c>
      <c r="AC150" t="s">
        <v>1372</v>
      </c>
      <c r="AD150" t="s">
        <v>58</v>
      </c>
      <c r="AE150">
        <v>2464150</v>
      </c>
      <c r="AF150">
        <v>49283</v>
      </c>
      <c r="AJ150" t="str">
        <f>_xlfn.XLOOKUP(Table9[[#This Row],[Engine No.]],'[1]Dubai Islamic Consumer'!$Q$3:$Q$1176,'[1]Dubai Islamic Consumer'!$B$3:$B$1176,,,)</f>
        <v>KHI/HO/D/MO/PC COMP/C/102086/296/11/2024</v>
      </c>
    </row>
    <row r="151" spans="1:36" hidden="1" x14ac:dyDescent="0.25">
      <c r="A151">
        <v>150</v>
      </c>
      <c r="B151" t="s">
        <v>35</v>
      </c>
      <c r="C151" t="s">
        <v>1925</v>
      </c>
      <c r="D151" t="s">
        <v>37</v>
      </c>
      <c r="E151" t="s">
        <v>1926</v>
      </c>
      <c r="F151" t="s">
        <v>107</v>
      </c>
      <c r="G151" t="s">
        <v>1927</v>
      </c>
      <c r="H151" t="s">
        <v>1928</v>
      </c>
      <c r="I151" t="s">
        <v>1928</v>
      </c>
      <c r="J151" t="s">
        <v>1928</v>
      </c>
      <c r="K151" t="s">
        <v>1929</v>
      </c>
      <c r="L151">
        <v>1213100</v>
      </c>
      <c r="M151">
        <v>1733000</v>
      </c>
      <c r="N151" t="s">
        <v>1930</v>
      </c>
      <c r="O151" s="1">
        <v>45611</v>
      </c>
      <c r="P151" t="s">
        <v>1931</v>
      </c>
      <c r="Q151" t="s">
        <v>1932</v>
      </c>
      <c r="R151" t="s">
        <v>47</v>
      </c>
      <c r="S151" t="s">
        <v>48</v>
      </c>
      <c r="T151" t="s">
        <v>194</v>
      </c>
      <c r="U151" t="s">
        <v>148</v>
      </c>
      <c r="V151" t="s">
        <v>1933</v>
      </c>
      <c r="W151" t="s">
        <v>1080</v>
      </c>
      <c r="X151" t="s">
        <v>168</v>
      </c>
      <c r="Y151" t="s">
        <v>1934</v>
      </c>
      <c r="Z151">
        <v>5</v>
      </c>
      <c r="AA151" t="s">
        <v>152</v>
      </c>
      <c r="AB151" t="s">
        <v>1935</v>
      </c>
      <c r="AC151" t="s">
        <v>1900</v>
      </c>
      <c r="AD151" t="s">
        <v>58</v>
      </c>
      <c r="AE151">
        <v>1473050</v>
      </c>
      <c r="AF151">
        <v>29461</v>
      </c>
      <c r="AJ151" t="str">
        <f>_xlfn.XLOOKUP(Table9[[#This Row],[Engine No.]],'[1]Dubai Islamic Consumer'!$Q$3:$Q$1176,'[1]Dubai Islamic Consumer'!$B$3:$B$1176,,,)</f>
        <v>KHI/HO/D/MO/PC COMP/C/102086/305/11/2024</v>
      </c>
    </row>
    <row r="152" spans="1:36" hidden="1" x14ac:dyDescent="0.25">
      <c r="A152">
        <v>151</v>
      </c>
      <c r="B152" t="s">
        <v>35</v>
      </c>
      <c r="C152" t="s">
        <v>1936</v>
      </c>
      <c r="D152" t="s">
        <v>37</v>
      </c>
      <c r="E152" t="s">
        <v>1937</v>
      </c>
      <c r="F152" t="s">
        <v>138</v>
      </c>
      <c r="G152" t="s">
        <v>1938</v>
      </c>
      <c r="H152" t="s">
        <v>1939</v>
      </c>
      <c r="I152" t="s">
        <v>1940</v>
      </c>
      <c r="J152" t="s">
        <v>1941</v>
      </c>
      <c r="K152" t="s">
        <v>1942</v>
      </c>
      <c r="L152">
        <v>1387500</v>
      </c>
      <c r="M152">
        <v>1850000</v>
      </c>
      <c r="N152" t="s">
        <v>1943</v>
      </c>
      <c r="O152" s="1">
        <v>45612</v>
      </c>
      <c r="P152" t="s">
        <v>1944</v>
      </c>
      <c r="Q152" t="s">
        <v>1945</v>
      </c>
      <c r="R152" t="s">
        <v>1215</v>
      </c>
      <c r="S152" t="s">
        <v>48</v>
      </c>
      <c r="T152" t="s">
        <v>1946</v>
      </c>
      <c r="U152" t="s">
        <v>335</v>
      </c>
      <c r="V152" t="s">
        <v>1548</v>
      </c>
      <c r="W152" t="s">
        <v>167</v>
      </c>
      <c r="X152" t="s">
        <v>197</v>
      </c>
      <c r="Y152" t="s">
        <v>1947</v>
      </c>
      <c r="Z152">
        <v>5</v>
      </c>
      <c r="AA152" t="s">
        <v>55</v>
      </c>
      <c r="AB152" t="s">
        <v>1948</v>
      </c>
      <c r="AC152" t="s">
        <v>1589</v>
      </c>
      <c r="AD152" t="s">
        <v>58</v>
      </c>
      <c r="AE152">
        <v>1387500</v>
      </c>
      <c r="AF152">
        <v>27750</v>
      </c>
      <c r="AJ152" t="str">
        <f>_xlfn.XLOOKUP(Table9[[#This Row],[Engine No.]],'[1]Dubai Islamic Consumer'!$Q$3:$Q$1176,'[1]Dubai Islamic Consumer'!$B$3:$B$1176,,,)</f>
        <v>KHI/HO/D/MO/PC COMP/C/102086/311/11/2024</v>
      </c>
    </row>
    <row r="153" spans="1:36" hidden="1" x14ac:dyDescent="0.25">
      <c r="A153">
        <v>152</v>
      </c>
      <c r="B153" t="s">
        <v>35</v>
      </c>
      <c r="C153" t="s">
        <v>1949</v>
      </c>
      <c r="D153" t="s">
        <v>37</v>
      </c>
      <c r="E153" t="s">
        <v>1950</v>
      </c>
      <c r="F153" t="s">
        <v>245</v>
      </c>
      <c r="G153" t="s">
        <v>1951</v>
      </c>
      <c r="H153" t="s">
        <v>1952</v>
      </c>
      <c r="I153" t="s">
        <v>48</v>
      </c>
      <c r="J153" t="s">
        <v>1953</v>
      </c>
      <c r="K153" t="s">
        <v>1954</v>
      </c>
      <c r="L153">
        <v>1320000</v>
      </c>
      <c r="M153">
        <v>2400000</v>
      </c>
      <c r="N153" t="s">
        <v>1955</v>
      </c>
      <c r="O153" s="1">
        <v>45612</v>
      </c>
      <c r="P153" t="s">
        <v>1956</v>
      </c>
      <c r="Q153" t="s">
        <v>1957</v>
      </c>
      <c r="R153" t="s">
        <v>146</v>
      </c>
      <c r="S153" t="s">
        <v>1958</v>
      </c>
      <c r="T153" t="s">
        <v>495</v>
      </c>
      <c r="U153" t="s">
        <v>614</v>
      </c>
      <c r="V153" t="s">
        <v>1627</v>
      </c>
      <c r="W153" t="s">
        <v>1053</v>
      </c>
      <c r="X153" t="s">
        <v>388</v>
      </c>
      <c r="Y153" t="s">
        <v>1959</v>
      </c>
      <c r="Z153">
        <v>5</v>
      </c>
      <c r="AA153" t="s">
        <v>118</v>
      </c>
      <c r="AB153" t="s">
        <v>1960</v>
      </c>
      <c r="AC153" t="s">
        <v>1961</v>
      </c>
      <c r="AD153" t="s">
        <v>58</v>
      </c>
      <c r="AE153">
        <v>1920000</v>
      </c>
      <c r="AF153">
        <v>38400</v>
      </c>
      <c r="AJ153" t="str">
        <f>_xlfn.XLOOKUP(Table9[[#This Row],[Engine No.]],'[1]Dubai Islamic Consumer'!$Q$3:$Q$1176,'[1]Dubai Islamic Consumer'!$B$3:$B$1176,,,)</f>
        <v>KHI/HO/D/MO/PC COMP/C/102086/313/11/2024</v>
      </c>
    </row>
    <row r="154" spans="1:36" hidden="1" x14ac:dyDescent="0.25">
      <c r="A154">
        <v>153</v>
      </c>
      <c r="B154" t="s">
        <v>35</v>
      </c>
      <c r="C154" t="s">
        <v>1962</v>
      </c>
      <c r="D154" t="s">
        <v>37</v>
      </c>
      <c r="E154" t="s">
        <v>1963</v>
      </c>
      <c r="F154" t="s">
        <v>138</v>
      </c>
      <c r="G154" t="s">
        <v>1964</v>
      </c>
      <c r="H154" t="s">
        <v>1965</v>
      </c>
      <c r="I154" t="s">
        <v>1965</v>
      </c>
      <c r="J154" t="s">
        <v>141</v>
      </c>
      <c r="K154" t="s">
        <v>1966</v>
      </c>
      <c r="L154">
        <v>1508000</v>
      </c>
      <c r="M154">
        <v>2320000</v>
      </c>
      <c r="N154" t="s">
        <v>1967</v>
      </c>
      <c r="O154" s="1">
        <v>45612</v>
      </c>
      <c r="P154" t="s">
        <v>1968</v>
      </c>
      <c r="Q154" t="s">
        <v>1969</v>
      </c>
      <c r="R154" t="s">
        <v>146</v>
      </c>
      <c r="S154" t="s">
        <v>1970</v>
      </c>
      <c r="T154" t="s">
        <v>1971</v>
      </c>
      <c r="U154" t="s">
        <v>903</v>
      </c>
      <c r="V154" t="s">
        <v>1961</v>
      </c>
      <c r="W154" t="s">
        <v>196</v>
      </c>
      <c r="X154" t="s">
        <v>401</v>
      </c>
      <c r="Y154" t="s">
        <v>1972</v>
      </c>
      <c r="Z154">
        <v>5</v>
      </c>
      <c r="AA154" t="s">
        <v>118</v>
      </c>
      <c r="AB154" t="s">
        <v>1973</v>
      </c>
      <c r="AC154" t="s">
        <v>1961</v>
      </c>
      <c r="AD154" t="s">
        <v>299</v>
      </c>
      <c r="AE154">
        <v>1856000</v>
      </c>
      <c r="AF154">
        <v>27840</v>
      </c>
      <c r="AJ154" t="str">
        <f>_xlfn.XLOOKUP(Table9[[#This Row],[Engine No.]],'[1]Dubai Islamic Consumer'!$Q$3:$Q$1176,'[1]Dubai Islamic Consumer'!$B$3:$B$1176,,,)</f>
        <v>KHI/HO/D/MO/PC COMP/C/102086/314/11/2024</v>
      </c>
    </row>
    <row r="155" spans="1:36" hidden="1" x14ac:dyDescent="0.25">
      <c r="A155">
        <v>154</v>
      </c>
      <c r="B155" t="s">
        <v>35</v>
      </c>
      <c r="C155" t="s">
        <v>1974</v>
      </c>
      <c r="D155" t="s">
        <v>37</v>
      </c>
      <c r="E155" t="s">
        <v>1975</v>
      </c>
      <c r="F155" t="s">
        <v>290</v>
      </c>
      <c r="G155" t="s">
        <v>1976</v>
      </c>
      <c r="H155" t="s">
        <v>1977</v>
      </c>
      <c r="I155" t="s">
        <v>1977</v>
      </c>
      <c r="J155" t="s">
        <v>1977</v>
      </c>
      <c r="K155" t="s">
        <v>1978</v>
      </c>
      <c r="L155">
        <v>2008500</v>
      </c>
      <c r="M155">
        <v>2678000</v>
      </c>
      <c r="N155" t="s">
        <v>1979</v>
      </c>
      <c r="O155" s="1">
        <v>45612</v>
      </c>
      <c r="P155" t="s">
        <v>1980</v>
      </c>
      <c r="Q155" t="s">
        <v>1981</v>
      </c>
      <c r="R155" t="s">
        <v>47</v>
      </c>
      <c r="S155" t="s">
        <v>48</v>
      </c>
      <c r="T155" t="s">
        <v>1781</v>
      </c>
      <c r="U155" t="s">
        <v>98</v>
      </c>
      <c r="V155" t="s">
        <v>1982</v>
      </c>
      <c r="W155" t="s">
        <v>167</v>
      </c>
      <c r="X155" t="s">
        <v>197</v>
      </c>
      <c r="Y155" t="s">
        <v>1983</v>
      </c>
      <c r="Z155">
        <v>5</v>
      </c>
      <c r="AA155" t="s">
        <v>55</v>
      </c>
      <c r="AB155" t="s">
        <v>1984</v>
      </c>
      <c r="AC155" t="s">
        <v>1589</v>
      </c>
      <c r="AD155" t="s">
        <v>58</v>
      </c>
      <c r="AE155">
        <v>2008500</v>
      </c>
      <c r="AF155">
        <v>40170</v>
      </c>
      <c r="AJ155" t="str">
        <f>_xlfn.XLOOKUP(Table9[[#This Row],[Engine No.]],'[1]Dubai Islamic Consumer'!$Q$3:$Q$1176,'[1]Dubai Islamic Consumer'!$B$3:$B$1176,,,)</f>
        <v>KHI/HO/D/MO/PC COMP/C/102086/315/11/2024</v>
      </c>
    </row>
    <row r="156" spans="1:36" hidden="1" x14ac:dyDescent="0.25">
      <c r="A156">
        <v>155</v>
      </c>
      <c r="B156" t="s">
        <v>35</v>
      </c>
      <c r="C156" t="s">
        <v>1985</v>
      </c>
      <c r="D156" t="s">
        <v>37</v>
      </c>
      <c r="E156" t="s">
        <v>1986</v>
      </c>
      <c r="F156" t="s">
        <v>138</v>
      </c>
      <c r="G156" t="s">
        <v>1987</v>
      </c>
      <c r="H156" t="s">
        <v>1988</v>
      </c>
      <c r="I156" t="s">
        <v>48</v>
      </c>
      <c r="J156" t="s">
        <v>1989</v>
      </c>
      <c r="K156" t="s">
        <v>1990</v>
      </c>
      <c r="L156">
        <v>1742300</v>
      </c>
      <c r="M156">
        <v>2489000</v>
      </c>
      <c r="N156" t="s">
        <v>1991</v>
      </c>
      <c r="O156" s="1">
        <v>45612</v>
      </c>
      <c r="P156" t="s">
        <v>1992</v>
      </c>
      <c r="Q156" t="s">
        <v>1993</v>
      </c>
      <c r="R156" t="s">
        <v>146</v>
      </c>
      <c r="S156" t="s">
        <v>1994</v>
      </c>
      <c r="T156" t="s">
        <v>1995</v>
      </c>
      <c r="U156" t="s">
        <v>50</v>
      </c>
      <c r="V156" t="s">
        <v>1961</v>
      </c>
      <c r="W156" t="s">
        <v>196</v>
      </c>
      <c r="X156" t="s">
        <v>401</v>
      </c>
      <c r="Y156" t="s">
        <v>1996</v>
      </c>
      <c r="Z156">
        <v>5</v>
      </c>
      <c r="AA156" t="s">
        <v>118</v>
      </c>
      <c r="AB156" t="s">
        <v>1997</v>
      </c>
      <c r="AC156" t="s">
        <v>1961</v>
      </c>
      <c r="AD156" t="s">
        <v>299</v>
      </c>
      <c r="AE156">
        <v>1991200</v>
      </c>
      <c r="AF156">
        <v>29868</v>
      </c>
      <c r="AJ156" t="str">
        <f>_xlfn.XLOOKUP(Table9[[#This Row],[Engine No.]],'[1]Dubai Islamic Consumer'!$Q$3:$Q$1176,'[1]Dubai Islamic Consumer'!$B$3:$B$1176,,,)</f>
        <v>KHI/HO/D/MO/PC COMP/C/102086/317/11/2024</v>
      </c>
    </row>
    <row r="157" spans="1:36" hidden="1" x14ac:dyDescent="0.25">
      <c r="A157">
        <v>156</v>
      </c>
      <c r="B157" t="s">
        <v>35</v>
      </c>
      <c r="C157" t="s">
        <v>1998</v>
      </c>
      <c r="D157" t="s">
        <v>37</v>
      </c>
      <c r="E157" t="s">
        <v>1999</v>
      </c>
      <c r="F157" t="s">
        <v>245</v>
      </c>
      <c r="G157" t="s">
        <v>2000</v>
      </c>
      <c r="H157" t="s">
        <v>2001</v>
      </c>
      <c r="I157" t="s">
        <v>2001</v>
      </c>
      <c r="J157" t="s">
        <v>2002</v>
      </c>
      <c r="K157" t="s">
        <v>2003</v>
      </c>
      <c r="L157">
        <v>2388900</v>
      </c>
      <c r="M157">
        <v>3981500</v>
      </c>
      <c r="N157" t="s">
        <v>2004</v>
      </c>
      <c r="O157" s="1">
        <v>45612</v>
      </c>
      <c r="P157" t="s">
        <v>2005</v>
      </c>
      <c r="Q157" t="s">
        <v>2006</v>
      </c>
      <c r="R157" t="s">
        <v>47</v>
      </c>
      <c r="S157" t="s">
        <v>48</v>
      </c>
      <c r="T157" t="s">
        <v>97</v>
      </c>
      <c r="U157" t="s">
        <v>98</v>
      </c>
      <c r="V157" t="s">
        <v>2007</v>
      </c>
      <c r="W157" t="s">
        <v>456</v>
      </c>
      <c r="X157" t="s">
        <v>457</v>
      </c>
      <c r="Y157" t="s">
        <v>2008</v>
      </c>
      <c r="Z157">
        <v>5</v>
      </c>
      <c r="AA157" t="s">
        <v>1055</v>
      </c>
      <c r="AB157" t="s">
        <v>2009</v>
      </c>
      <c r="AC157" t="s">
        <v>1589</v>
      </c>
      <c r="AD157" t="s">
        <v>58</v>
      </c>
      <c r="AE157">
        <v>2986125</v>
      </c>
      <c r="AF157">
        <v>59723</v>
      </c>
      <c r="AJ157" t="str">
        <f>_xlfn.XLOOKUP(Table9[[#This Row],[Engine No.]],'[1]Dubai Islamic Consumer'!$Q$3:$Q$1176,'[1]Dubai Islamic Consumer'!$B$3:$B$1176,,,)</f>
        <v>KHI/HO/D/MO/PC COMP/C/102086/318/11/2024</v>
      </c>
    </row>
    <row r="158" spans="1:36" hidden="1" x14ac:dyDescent="0.25">
      <c r="A158">
        <v>157</v>
      </c>
      <c r="B158" t="s">
        <v>35</v>
      </c>
      <c r="C158" t="s">
        <v>2010</v>
      </c>
      <c r="D158" t="s">
        <v>37</v>
      </c>
      <c r="E158" t="s">
        <v>2011</v>
      </c>
      <c r="F158" t="s">
        <v>39</v>
      </c>
      <c r="G158" t="s">
        <v>2012</v>
      </c>
      <c r="H158" t="s">
        <v>2013</v>
      </c>
      <c r="I158" t="s">
        <v>2014</v>
      </c>
      <c r="J158" t="s">
        <v>2013</v>
      </c>
      <c r="K158" t="s">
        <v>2015</v>
      </c>
      <c r="L158">
        <v>2747235</v>
      </c>
      <c r="M158">
        <v>3981500</v>
      </c>
      <c r="N158" t="s">
        <v>2016</v>
      </c>
      <c r="O158" s="1">
        <v>45612</v>
      </c>
      <c r="P158" t="s">
        <v>2017</v>
      </c>
      <c r="Q158" t="s">
        <v>2018</v>
      </c>
      <c r="R158" t="s">
        <v>47</v>
      </c>
      <c r="S158" t="s">
        <v>48</v>
      </c>
      <c r="T158" t="s">
        <v>97</v>
      </c>
      <c r="U158" t="s">
        <v>98</v>
      </c>
      <c r="V158" t="s">
        <v>2019</v>
      </c>
      <c r="W158" t="s">
        <v>167</v>
      </c>
      <c r="X158" t="s">
        <v>197</v>
      </c>
      <c r="Y158" t="s">
        <v>2020</v>
      </c>
      <c r="Z158">
        <v>5</v>
      </c>
      <c r="AA158" t="s">
        <v>55</v>
      </c>
      <c r="AB158" t="s">
        <v>2021</v>
      </c>
      <c r="AC158" t="s">
        <v>1217</v>
      </c>
      <c r="AD158" t="s">
        <v>58</v>
      </c>
      <c r="AE158">
        <v>2986125</v>
      </c>
      <c r="AF158">
        <v>59723</v>
      </c>
      <c r="AJ158" t="str">
        <f>_xlfn.XLOOKUP(Table9[[#This Row],[Engine No.]],'[1]Dubai Islamic Consumer'!$Q$3:$Q$1176,'[1]Dubai Islamic Consumer'!$B$3:$B$1176,,,)</f>
        <v>KHI/HO/D/MO/PC COMP/C/102086/319/11/2024</v>
      </c>
    </row>
    <row r="159" spans="1:36" hidden="1" x14ac:dyDescent="0.25">
      <c r="A159">
        <v>158</v>
      </c>
      <c r="B159" t="s">
        <v>35</v>
      </c>
      <c r="C159" t="s">
        <v>2022</v>
      </c>
      <c r="D159" t="s">
        <v>37</v>
      </c>
      <c r="E159" t="s">
        <v>2023</v>
      </c>
      <c r="F159" t="s">
        <v>39</v>
      </c>
      <c r="G159" t="s">
        <v>2024</v>
      </c>
      <c r="H159" t="s">
        <v>2025</v>
      </c>
      <c r="I159" t="s">
        <v>2026</v>
      </c>
      <c r="J159" t="s">
        <v>2025</v>
      </c>
      <c r="K159" t="s">
        <v>2027</v>
      </c>
      <c r="L159">
        <v>2363700</v>
      </c>
      <c r="M159">
        <v>3939500</v>
      </c>
      <c r="N159" t="s">
        <v>2028</v>
      </c>
      <c r="O159" s="1">
        <v>45612</v>
      </c>
      <c r="P159" t="s">
        <v>2029</v>
      </c>
      <c r="Q159" t="s">
        <v>2030</v>
      </c>
      <c r="R159" t="s">
        <v>47</v>
      </c>
      <c r="S159" t="s">
        <v>48</v>
      </c>
      <c r="T159" t="s">
        <v>1065</v>
      </c>
      <c r="U159" t="s">
        <v>50</v>
      </c>
      <c r="V159" t="s">
        <v>2031</v>
      </c>
      <c r="W159" t="s">
        <v>132</v>
      </c>
      <c r="X159" t="s">
        <v>133</v>
      </c>
      <c r="Y159" t="s">
        <v>2032</v>
      </c>
      <c r="Z159">
        <v>5</v>
      </c>
      <c r="AA159" t="s">
        <v>55</v>
      </c>
      <c r="AB159" t="s">
        <v>2033</v>
      </c>
      <c r="AC159" t="s">
        <v>2034</v>
      </c>
      <c r="AD159" t="s">
        <v>58</v>
      </c>
      <c r="AE159">
        <v>3151600</v>
      </c>
      <c r="AF159">
        <v>63032</v>
      </c>
      <c r="AJ159" t="str">
        <f>_xlfn.XLOOKUP(Table9[[#This Row],[Engine No.]],'[1]Dubai Islamic Consumer'!$Q$3:$Q$1176,'[1]Dubai Islamic Consumer'!$B$3:$B$1176,,,)</f>
        <v>KHI/HO/D/MO/PC COMP/C/102086/320/11/2024</v>
      </c>
    </row>
    <row r="160" spans="1:36" hidden="1" x14ac:dyDescent="0.25">
      <c r="A160">
        <v>159</v>
      </c>
      <c r="B160" t="s">
        <v>35</v>
      </c>
      <c r="C160" t="s">
        <v>2035</v>
      </c>
      <c r="D160" t="s">
        <v>37</v>
      </c>
      <c r="E160" t="s">
        <v>2036</v>
      </c>
      <c r="F160" t="s">
        <v>138</v>
      </c>
      <c r="G160" t="s">
        <v>2037</v>
      </c>
      <c r="H160" t="s">
        <v>2038</v>
      </c>
      <c r="I160" t="s">
        <v>2039</v>
      </c>
      <c r="J160" t="s">
        <v>2040</v>
      </c>
      <c r="K160" t="s">
        <v>2041</v>
      </c>
      <c r="L160">
        <v>3185200</v>
      </c>
      <c r="M160">
        <v>3981500</v>
      </c>
      <c r="N160" t="s">
        <v>2042</v>
      </c>
      <c r="O160" s="1">
        <v>45612</v>
      </c>
      <c r="P160" t="s">
        <v>2043</v>
      </c>
      <c r="Q160" t="s">
        <v>2044</v>
      </c>
      <c r="R160" t="s">
        <v>47</v>
      </c>
      <c r="S160" t="s">
        <v>48</v>
      </c>
      <c r="T160" t="s">
        <v>1065</v>
      </c>
      <c r="U160" t="s">
        <v>98</v>
      </c>
      <c r="V160" t="s">
        <v>687</v>
      </c>
      <c r="W160" t="s">
        <v>532</v>
      </c>
      <c r="X160" t="s">
        <v>533</v>
      </c>
      <c r="Y160" t="s">
        <v>2045</v>
      </c>
      <c r="Z160">
        <v>5</v>
      </c>
      <c r="AA160" t="s">
        <v>227</v>
      </c>
      <c r="AB160" t="s">
        <v>2046</v>
      </c>
      <c r="AC160" t="s">
        <v>1217</v>
      </c>
      <c r="AD160" t="s">
        <v>58</v>
      </c>
      <c r="AE160">
        <v>2986125</v>
      </c>
      <c r="AF160">
        <v>59723</v>
      </c>
      <c r="AJ160" t="str">
        <f>_xlfn.XLOOKUP(Table9[[#This Row],[Engine No.]],'[1]Dubai Islamic Consumer'!$Q$3:$Q$1176,'[1]Dubai Islamic Consumer'!$B$3:$B$1176,,,)</f>
        <v>KHI/HO/D/MO/PC COMP/C/102086/321/11/2024</v>
      </c>
    </row>
    <row r="161" spans="1:36" hidden="1" x14ac:dyDescent="0.25">
      <c r="A161">
        <v>160</v>
      </c>
      <c r="B161" t="s">
        <v>35</v>
      </c>
      <c r="C161" t="s">
        <v>2047</v>
      </c>
      <c r="D161" t="s">
        <v>37</v>
      </c>
      <c r="E161" t="s">
        <v>2048</v>
      </c>
      <c r="F161" t="s">
        <v>89</v>
      </c>
      <c r="G161" t="s">
        <v>2049</v>
      </c>
      <c r="H161" t="s">
        <v>2050</v>
      </c>
      <c r="I161" t="s">
        <v>48</v>
      </c>
      <c r="J161" t="s">
        <v>141</v>
      </c>
      <c r="K161" t="s">
        <v>2051</v>
      </c>
      <c r="L161">
        <v>2895900</v>
      </c>
      <c r="M161">
        <v>4137000</v>
      </c>
      <c r="N161" t="s">
        <v>2052</v>
      </c>
      <c r="O161" s="1">
        <v>45612</v>
      </c>
      <c r="P161" t="s">
        <v>2053</v>
      </c>
      <c r="Q161" t="s">
        <v>2054</v>
      </c>
      <c r="R161" t="s">
        <v>47</v>
      </c>
      <c r="S161" t="s">
        <v>48</v>
      </c>
      <c r="T161" t="s">
        <v>97</v>
      </c>
      <c r="U161" t="s">
        <v>50</v>
      </c>
      <c r="V161" t="s">
        <v>211</v>
      </c>
      <c r="W161" t="s">
        <v>132</v>
      </c>
      <c r="X161" t="s">
        <v>133</v>
      </c>
      <c r="Y161" t="s">
        <v>2055</v>
      </c>
      <c r="Z161">
        <v>5</v>
      </c>
      <c r="AA161" t="s">
        <v>118</v>
      </c>
      <c r="AB161" t="s">
        <v>2056</v>
      </c>
      <c r="AC161" t="s">
        <v>2034</v>
      </c>
      <c r="AD161" t="s">
        <v>58</v>
      </c>
      <c r="AE161">
        <v>3309600</v>
      </c>
      <c r="AF161">
        <v>66192</v>
      </c>
      <c r="AJ161" t="str">
        <f>_xlfn.XLOOKUP(Table9[[#This Row],[Engine No.]],'[1]Dubai Islamic Consumer'!$Q$3:$Q$1176,'[1]Dubai Islamic Consumer'!$B$3:$B$1176,,,)</f>
        <v>KHI/HO/D/MO/PC COMP/C/102086/322/11/2024</v>
      </c>
    </row>
    <row r="162" spans="1:36" hidden="1" x14ac:dyDescent="0.25">
      <c r="A162">
        <v>161</v>
      </c>
      <c r="B162" t="s">
        <v>35</v>
      </c>
      <c r="C162" t="s">
        <v>2057</v>
      </c>
      <c r="D162" t="s">
        <v>37</v>
      </c>
      <c r="E162" t="s">
        <v>2058</v>
      </c>
      <c r="F162" t="s">
        <v>107</v>
      </c>
      <c r="G162" t="s">
        <v>2059</v>
      </c>
      <c r="H162" t="s">
        <v>2060</v>
      </c>
      <c r="I162" t="s">
        <v>2060</v>
      </c>
      <c r="J162" t="s">
        <v>2060</v>
      </c>
      <c r="K162" t="s">
        <v>2061</v>
      </c>
      <c r="L162">
        <v>1386400</v>
      </c>
      <c r="M162">
        <v>1733000</v>
      </c>
      <c r="N162" t="s">
        <v>2062</v>
      </c>
      <c r="O162" s="1">
        <v>45612</v>
      </c>
      <c r="P162" t="s">
        <v>2063</v>
      </c>
      <c r="Q162" t="s">
        <v>2064</v>
      </c>
      <c r="R162" t="s">
        <v>47</v>
      </c>
      <c r="S162" t="s">
        <v>48</v>
      </c>
      <c r="T162" t="s">
        <v>49</v>
      </c>
      <c r="U162" t="s">
        <v>148</v>
      </c>
      <c r="V162" t="s">
        <v>2065</v>
      </c>
      <c r="W162" t="s">
        <v>1080</v>
      </c>
      <c r="X162" t="s">
        <v>168</v>
      </c>
      <c r="Y162" t="s">
        <v>2066</v>
      </c>
      <c r="Z162">
        <v>5</v>
      </c>
      <c r="AA162" t="s">
        <v>152</v>
      </c>
      <c r="AB162" t="s">
        <v>2067</v>
      </c>
      <c r="AC162" t="s">
        <v>2068</v>
      </c>
      <c r="AD162" t="s">
        <v>58</v>
      </c>
      <c r="AE162">
        <v>1473050</v>
      </c>
      <c r="AF162">
        <v>29461</v>
      </c>
      <c r="AJ162" t="str">
        <f>_xlfn.XLOOKUP(Table9[[#This Row],[Engine No.]],'[1]Dubai Islamic Consumer'!$Q$3:$Q$1176,'[1]Dubai Islamic Consumer'!$B$3:$B$1176,,,)</f>
        <v>KHI/HO/D/MO/PC COMP/C/102086/323/11/2024</v>
      </c>
    </row>
    <row r="163" spans="1:36" hidden="1" x14ac:dyDescent="0.25">
      <c r="A163">
        <v>162</v>
      </c>
      <c r="B163" t="s">
        <v>35</v>
      </c>
      <c r="C163" t="s">
        <v>2069</v>
      </c>
      <c r="D163" t="s">
        <v>37</v>
      </c>
      <c r="E163" t="s">
        <v>2070</v>
      </c>
      <c r="F163" t="s">
        <v>138</v>
      </c>
      <c r="G163" t="s">
        <v>2071</v>
      </c>
      <c r="H163" t="s">
        <v>141</v>
      </c>
      <c r="I163" t="s">
        <v>2072</v>
      </c>
      <c r="J163" t="s">
        <v>141</v>
      </c>
      <c r="K163" t="s">
        <v>2073</v>
      </c>
      <c r="L163">
        <v>1715000</v>
      </c>
      <c r="M163">
        <v>2450000</v>
      </c>
      <c r="N163" t="s">
        <v>2074</v>
      </c>
      <c r="O163" s="1">
        <v>45612</v>
      </c>
      <c r="P163" t="s">
        <v>2075</v>
      </c>
      <c r="Q163" t="s">
        <v>2076</v>
      </c>
      <c r="R163" t="s">
        <v>146</v>
      </c>
      <c r="S163" t="s">
        <v>2077</v>
      </c>
      <c r="T163" t="s">
        <v>1276</v>
      </c>
      <c r="U163" t="s">
        <v>148</v>
      </c>
      <c r="V163" t="s">
        <v>2068</v>
      </c>
      <c r="W163" t="s">
        <v>1080</v>
      </c>
      <c r="X163" t="s">
        <v>197</v>
      </c>
      <c r="Y163" t="s">
        <v>2078</v>
      </c>
      <c r="Z163">
        <v>3</v>
      </c>
      <c r="AA163" t="s">
        <v>227</v>
      </c>
      <c r="AB163" t="s">
        <v>2079</v>
      </c>
      <c r="AC163" t="s">
        <v>2068</v>
      </c>
      <c r="AD163" t="s">
        <v>86</v>
      </c>
      <c r="AE163">
        <v>2082500</v>
      </c>
      <c r="AF163">
        <v>36444</v>
      </c>
      <c r="AJ163" t="str">
        <f>_xlfn.XLOOKUP(Table9[[#This Row],[Engine No.]],'[1]Dubai Islamic Consumer'!$Q$3:$Q$1176,'[1]Dubai Islamic Consumer'!$B$3:$B$1176,,,)</f>
        <v>KHI/HO/D/MO/PC COMP/C/102086/327/11/2024</v>
      </c>
    </row>
    <row r="164" spans="1:36" hidden="1" x14ac:dyDescent="0.25">
      <c r="A164">
        <v>163</v>
      </c>
      <c r="B164" t="s">
        <v>35</v>
      </c>
      <c r="C164" t="s">
        <v>2080</v>
      </c>
      <c r="D164" t="s">
        <v>37</v>
      </c>
      <c r="E164" t="s">
        <v>2081</v>
      </c>
      <c r="F164" t="s">
        <v>138</v>
      </c>
      <c r="G164" t="s">
        <v>2082</v>
      </c>
      <c r="H164" t="s">
        <v>2083</v>
      </c>
      <c r="I164" t="s">
        <v>2083</v>
      </c>
      <c r="J164" t="s">
        <v>141</v>
      </c>
      <c r="K164" t="s">
        <v>2084</v>
      </c>
      <c r="L164">
        <v>1750000</v>
      </c>
      <c r="M164">
        <v>2500000</v>
      </c>
      <c r="N164" t="s">
        <v>2085</v>
      </c>
      <c r="O164" s="1">
        <v>45612</v>
      </c>
      <c r="P164" t="s">
        <v>2086</v>
      </c>
      <c r="Q164" t="s">
        <v>2087</v>
      </c>
      <c r="R164" t="s">
        <v>146</v>
      </c>
      <c r="S164" t="s">
        <v>2088</v>
      </c>
      <c r="T164" t="s">
        <v>1276</v>
      </c>
      <c r="U164" t="s">
        <v>148</v>
      </c>
      <c r="V164" t="s">
        <v>2068</v>
      </c>
      <c r="W164" t="s">
        <v>1080</v>
      </c>
      <c r="X164" t="s">
        <v>168</v>
      </c>
      <c r="Y164" t="s">
        <v>2089</v>
      </c>
      <c r="Z164">
        <v>5</v>
      </c>
      <c r="AA164" t="s">
        <v>227</v>
      </c>
      <c r="AB164" t="s">
        <v>2090</v>
      </c>
      <c r="AC164" t="s">
        <v>2068</v>
      </c>
      <c r="AD164" t="s">
        <v>86</v>
      </c>
      <c r="AE164">
        <v>2125000</v>
      </c>
      <c r="AF164">
        <v>37188</v>
      </c>
      <c r="AJ164" t="str">
        <f>_xlfn.XLOOKUP(Table9[[#This Row],[Engine No.]],'[1]Dubai Islamic Consumer'!$Q$3:$Q$1176,'[1]Dubai Islamic Consumer'!$B$3:$B$1176,,,)</f>
        <v>KHI/HO/D/MO/PC COMP/C/102086/328/11/2024</v>
      </c>
    </row>
    <row r="165" spans="1:36" hidden="1" x14ac:dyDescent="0.25">
      <c r="A165">
        <v>164</v>
      </c>
      <c r="B165" t="s">
        <v>35</v>
      </c>
      <c r="C165" t="s">
        <v>2091</v>
      </c>
      <c r="D165" t="s">
        <v>37</v>
      </c>
      <c r="E165" t="s">
        <v>2092</v>
      </c>
      <c r="F165" t="s">
        <v>107</v>
      </c>
      <c r="G165" t="s">
        <v>2093</v>
      </c>
      <c r="H165" t="s">
        <v>2094</v>
      </c>
      <c r="I165" t="s">
        <v>2094</v>
      </c>
      <c r="J165" t="s">
        <v>2095</v>
      </c>
      <c r="K165" t="s">
        <v>2096</v>
      </c>
      <c r="L165">
        <v>988650</v>
      </c>
      <c r="M165">
        <v>1521000</v>
      </c>
      <c r="N165" t="s">
        <v>2097</v>
      </c>
      <c r="O165" s="1">
        <v>45613</v>
      </c>
      <c r="P165" t="s">
        <v>2098</v>
      </c>
      <c r="Q165" t="s">
        <v>2099</v>
      </c>
      <c r="R165" t="s">
        <v>47</v>
      </c>
      <c r="S165" t="s">
        <v>48</v>
      </c>
      <c r="T165" t="s">
        <v>2100</v>
      </c>
      <c r="U165" t="s">
        <v>50</v>
      </c>
      <c r="V165" t="s">
        <v>2101</v>
      </c>
      <c r="W165" t="s">
        <v>1053</v>
      </c>
      <c r="X165" t="s">
        <v>1628</v>
      </c>
      <c r="Y165" t="s">
        <v>2102</v>
      </c>
      <c r="Z165">
        <v>7</v>
      </c>
      <c r="AA165" t="s">
        <v>55</v>
      </c>
      <c r="AB165" t="s">
        <v>2103</v>
      </c>
      <c r="AC165" t="s">
        <v>1961</v>
      </c>
      <c r="AD165" t="s">
        <v>58</v>
      </c>
      <c r="AE165">
        <v>1216800</v>
      </c>
      <c r="AF165">
        <v>24336</v>
      </c>
      <c r="AJ165" t="str">
        <f>_xlfn.XLOOKUP(Table9[[#This Row],[Engine No.]],'[1]Dubai Islamic Consumer'!$Q$3:$Q$1176,'[1]Dubai Islamic Consumer'!$B$3:$B$1176,,,)</f>
        <v>KHI/HO/D/MO/PC COMP/C/102086/338/11/2024</v>
      </c>
    </row>
    <row r="166" spans="1:36" hidden="1" x14ac:dyDescent="0.25">
      <c r="A166">
        <v>165</v>
      </c>
      <c r="B166" t="s">
        <v>35</v>
      </c>
      <c r="C166" t="s">
        <v>2104</v>
      </c>
      <c r="D166" t="s">
        <v>37</v>
      </c>
      <c r="E166" t="s">
        <v>2105</v>
      </c>
      <c r="F166" t="s">
        <v>39</v>
      </c>
      <c r="G166" t="s">
        <v>2106</v>
      </c>
      <c r="H166" t="s">
        <v>48</v>
      </c>
      <c r="I166" t="s">
        <v>2107</v>
      </c>
      <c r="J166" t="s">
        <v>48</v>
      </c>
      <c r="K166" t="s">
        <v>2108</v>
      </c>
      <c r="L166">
        <v>1303500</v>
      </c>
      <c r="M166">
        <v>2370000</v>
      </c>
      <c r="N166" t="s">
        <v>2109</v>
      </c>
      <c r="O166" s="1">
        <v>45613</v>
      </c>
      <c r="P166" t="s">
        <v>2110</v>
      </c>
      <c r="Q166" t="s">
        <v>2111</v>
      </c>
      <c r="R166" t="s">
        <v>146</v>
      </c>
      <c r="S166" t="s">
        <v>2112</v>
      </c>
      <c r="T166" t="s">
        <v>2113</v>
      </c>
      <c r="U166" t="s">
        <v>496</v>
      </c>
      <c r="V166" t="s">
        <v>1387</v>
      </c>
      <c r="W166" t="s">
        <v>196</v>
      </c>
      <c r="X166" t="s">
        <v>401</v>
      </c>
      <c r="Y166" t="s">
        <v>2114</v>
      </c>
      <c r="Z166">
        <v>5</v>
      </c>
      <c r="AA166" t="s">
        <v>118</v>
      </c>
      <c r="AB166" t="s">
        <v>2115</v>
      </c>
      <c r="AC166" t="s">
        <v>1961</v>
      </c>
      <c r="AD166" t="s">
        <v>58</v>
      </c>
      <c r="AE166">
        <v>1896000</v>
      </c>
      <c r="AF166">
        <v>37920</v>
      </c>
      <c r="AJ166" t="str">
        <f>_xlfn.XLOOKUP(Table9[[#This Row],[Engine No.]],'[1]Dubai Islamic Consumer'!$Q$3:$Q$1176,'[1]Dubai Islamic Consumer'!$B$3:$B$1176,,,)</f>
        <v>KHI/HO/D/MO/PC COMP/C/102086/341/11/2024</v>
      </c>
    </row>
    <row r="167" spans="1:36" hidden="1" x14ac:dyDescent="0.25">
      <c r="A167">
        <v>166</v>
      </c>
      <c r="B167" t="s">
        <v>35</v>
      </c>
      <c r="C167" t="s">
        <v>2116</v>
      </c>
      <c r="D167" t="s">
        <v>37</v>
      </c>
      <c r="E167" t="s">
        <v>2117</v>
      </c>
      <c r="F167" t="s">
        <v>138</v>
      </c>
      <c r="G167" t="s">
        <v>2118</v>
      </c>
      <c r="H167" t="s">
        <v>2119</v>
      </c>
      <c r="I167" t="s">
        <v>2120</v>
      </c>
      <c r="J167" t="s">
        <v>2121</v>
      </c>
      <c r="K167" t="s">
        <v>2122</v>
      </c>
      <c r="L167">
        <v>1505000</v>
      </c>
      <c r="M167">
        <v>2150000</v>
      </c>
      <c r="N167" t="s">
        <v>2123</v>
      </c>
      <c r="O167" s="1">
        <v>45613</v>
      </c>
      <c r="P167" t="s">
        <v>2124</v>
      </c>
      <c r="Q167" t="s">
        <v>2125</v>
      </c>
      <c r="R167" t="s">
        <v>146</v>
      </c>
      <c r="S167" t="s">
        <v>2126</v>
      </c>
      <c r="T167" t="s">
        <v>1289</v>
      </c>
      <c r="U167" t="s">
        <v>715</v>
      </c>
      <c r="V167" t="s">
        <v>1387</v>
      </c>
      <c r="W167" t="s">
        <v>196</v>
      </c>
      <c r="X167" t="s">
        <v>197</v>
      </c>
      <c r="Y167" t="s">
        <v>2127</v>
      </c>
      <c r="Z167">
        <v>4</v>
      </c>
      <c r="AA167" t="s">
        <v>118</v>
      </c>
      <c r="AB167" t="s">
        <v>2128</v>
      </c>
      <c r="AC167" t="s">
        <v>1961</v>
      </c>
      <c r="AD167" t="s">
        <v>299</v>
      </c>
      <c r="AE167">
        <v>1720000</v>
      </c>
      <c r="AF167">
        <v>25800</v>
      </c>
      <c r="AJ167" t="str">
        <f>_xlfn.XLOOKUP(Table9[[#This Row],[Engine No.]],'[1]Dubai Islamic Consumer'!$Q$3:$Q$1176,'[1]Dubai Islamic Consumer'!$B$3:$B$1176,,,)</f>
        <v>KHI/HO/D/MO/PC COMP/C/102086/342/11/2024</v>
      </c>
    </row>
    <row r="168" spans="1:36" hidden="1" x14ac:dyDescent="0.25">
      <c r="A168">
        <v>167</v>
      </c>
      <c r="B168" t="s">
        <v>35</v>
      </c>
      <c r="C168" t="s">
        <v>2129</v>
      </c>
      <c r="D168" t="s">
        <v>37</v>
      </c>
      <c r="E168" t="s">
        <v>2130</v>
      </c>
      <c r="F168" t="s">
        <v>107</v>
      </c>
      <c r="G168" t="s">
        <v>2131</v>
      </c>
      <c r="H168" t="s">
        <v>2132</v>
      </c>
      <c r="I168" t="s">
        <v>2132</v>
      </c>
      <c r="J168" t="s">
        <v>2133</v>
      </c>
      <c r="K168" t="s">
        <v>2134</v>
      </c>
      <c r="L168">
        <v>1855000</v>
      </c>
      <c r="M168">
        <v>2650000</v>
      </c>
      <c r="N168" t="s">
        <v>2135</v>
      </c>
      <c r="O168" s="1">
        <v>45613</v>
      </c>
      <c r="P168" t="s">
        <v>2136</v>
      </c>
      <c r="Q168" t="s">
        <v>2137</v>
      </c>
      <c r="R168" t="s">
        <v>47</v>
      </c>
      <c r="S168" t="s">
        <v>48</v>
      </c>
      <c r="T168" t="s">
        <v>1015</v>
      </c>
      <c r="U168" t="s">
        <v>50</v>
      </c>
      <c r="V168" t="s">
        <v>211</v>
      </c>
      <c r="W168" t="s">
        <v>1053</v>
      </c>
      <c r="X168" t="s">
        <v>388</v>
      </c>
      <c r="Y168" t="s">
        <v>2138</v>
      </c>
      <c r="Z168">
        <v>5</v>
      </c>
      <c r="AA168" t="s">
        <v>55</v>
      </c>
      <c r="AB168" t="s">
        <v>2139</v>
      </c>
      <c r="AC168" t="s">
        <v>1961</v>
      </c>
      <c r="AD168" t="s">
        <v>58</v>
      </c>
      <c r="AE168">
        <v>2120000</v>
      </c>
      <c r="AF168">
        <v>42400</v>
      </c>
      <c r="AJ168" t="str">
        <f>_xlfn.XLOOKUP(Table9[[#This Row],[Engine No.]],'[1]Dubai Islamic Consumer'!$Q$3:$Q$1176,'[1]Dubai Islamic Consumer'!$B$3:$B$1176,,,)</f>
        <v>KHI/HO/D/MO/PC COMP/C/102086/345/11/2024</v>
      </c>
    </row>
    <row r="169" spans="1:36" hidden="1" x14ac:dyDescent="0.25">
      <c r="A169">
        <v>168</v>
      </c>
      <c r="B169" t="s">
        <v>35</v>
      </c>
      <c r="C169" t="s">
        <v>2140</v>
      </c>
      <c r="D169" t="s">
        <v>37</v>
      </c>
      <c r="E169" t="s">
        <v>2141</v>
      </c>
      <c r="F169" t="s">
        <v>107</v>
      </c>
      <c r="G169" t="s">
        <v>2142</v>
      </c>
      <c r="H169" t="s">
        <v>2143</v>
      </c>
      <c r="I169" t="s">
        <v>2143</v>
      </c>
      <c r="J169" t="s">
        <v>2143</v>
      </c>
      <c r="K169" t="s">
        <v>2144</v>
      </c>
      <c r="L169">
        <v>1855000</v>
      </c>
      <c r="M169">
        <v>2650000</v>
      </c>
      <c r="N169" t="s">
        <v>2145</v>
      </c>
      <c r="O169" s="1">
        <v>45613</v>
      </c>
      <c r="P169" t="s">
        <v>2146</v>
      </c>
      <c r="Q169" t="s">
        <v>2147</v>
      </c>
      <c r="R169" t="s">
        <v>47</v>
      </c>
      <c r="S169" t="s">
        <v>48</v>
      </c>
      <c r="T169" t="s">
        <v>1015</v>
      </c>
      <c r="U169" t="s">
        <v>50</v>
      </c>
      <c r="V169" t="s">
        <v>1410</v>
      </c>
      <c r="W169" t="s">
        <v>1053</v>
      </c>
      <c r="X169" t="s">
        <v>388</v>
      </c>
      <c r="Y169" t="s">
        <v>2148</v>
      </c>
      <c r="Z169">
        <v>5</v>
      </c>
      <c r="AA169" t="s">
        <v>55</v>
      </c>
      <c r="AB169" t="s">
        <v>2149</v>
      </c>
      <c r="AC169" t="s">
        <v>1387</v>
      </c>
      <c r="AD169" t="s">
        <v>58</v>
      </c>
      <c r="AE169">
        <v>2120000</v>
      </c>
      <c r="AF169">
        <v>42400</v>
      </c>
      <c r="AJ169" t="str">
        <f>_xlfn.XLOOKUP(Table9[[#This Row],[Engine No.]],'[1]Dubai Islamic Consumer'!$Q$3:$Q$1176,'[1]Dubai Islamic Consumer'!$B$3:$B$1176,,,)</f>
        <v>KHI/HO/D/MO/PC COMP/C/102086/346/11/2024</v>
      </c>
    </row>
    <row r="170" spans="1:36" hidden="1" x14ac:dyDescent="0.25">
      <c r="A170">
        <v>169</v>
      </c>
      <c r="B170" t="s">
        <v>35</v>
      </c>
      <c r="C170" t="s">
        <v>2150</v>
      </c>
      <c r="D170" t="s">
        <v>37</v>
      </c>
      <c r="E170" t="s">
        <v>2151</v>
      </c>
      <c r="F170" t="s">
        <v>107</v>
      </c>
      <c r="G170" t="s">
        <v>2152</v>
      </c>
      <c r="H170" t="s">
        <v>2153</v>
      </c>
      <c r="I170" t="s">
        <v>2153</v>
      </c>
      <c r="J170" t="s">
        <v>2153</v>
      </c>
      <c r="K170" t="s">
        <v>2154</v>
      </c>
      <c r="L170">
        <v>2787050</v>
      </c>
      <c r="M170">
        <v>3981500</v>
      </c>
      <c r="N170" t="s">
        <v>2155</v>
      </c>
      <c r="O170" s="1">
        <v>45613</v>
      </c>
      <c r="P170" t="s">
        <v>2156</v>
      </c>
      <c r="Q170" t="s">
        <v>2157</v>
      </c>
      <c r="R170" t="s">
        <v>47</v>
      </c>
      <c r="S170" t="s">
        <v>48</v>
      </c>
      <c r="T170" t="s">
        <v>97</v>
      </c>
      <c r="U170" t="s">
        <v>98</v>
      </c>
      <c r="V170" t="s">
        <v>99</v>
      </c>
      <c r="W170" t="s">
        <v>456</v>
      </c>
      <c r="X170" t="s">
        <v>457</v>
      </c>
      <c r="Y170" t="s">
        <v>2158</v>
      </c>
      <c r="Z170">
        <v>5</v>
      </c>
      <c r="AA170" t="s">
        <v>55</v>
      </c>
      <c r="AB170" t="s">
        <v>2159</v>
      </c>
      <c r="AC170" t="s">
        <v>1537</v>
      </c>
      <c r="AD170" t="s">
        <v>58</v>
      </c>
      <c r="AE170">
        <v>2986125</v>
      </c>
      <c r="AF170">
        <v>59723</v>
      </c>
      <c r="AJ170" t="str">
        <f>_xlfn.XLOOKUP(Table9[[#This Row],[Engine No.]],'[1]Dubai Islamic Consumer'!$Q$3:$Q$1176,'[1]Dubai Islamic Consumer'!$B$3:$B$1176,,,)</f>
        <v>KHI/HO/D/MO/PC COMP/C/102086/347/11/2024</v>
      </c>
    </row>
    <row r="171" spans="1:36" hidden="1" x14ac:dyDescent="0.25">
      <c r="A171">
        <v>170</v>
      </c>
      <c r="B171" t="s">
        <v>35</v>
      </c>
      <c r="C171" t="s">
        <v>2160</v>
      </c>
      <c r="D171" t="s">
        <v>37</v>
      </c>
      <c r="E171" t="s">
        <v>2161</v>
      </c>
      <c r="F171" t="s">
        <v>107</v>
      </c>
      <c r="G171" t="s">
        <v>2162</v>
      </c>
      <c r="H171" t="s">
        <v>2163</v>
      </c>
      <c r="I171" t="s">
        <v>2163</v>
      </c>
      <c r="J171" t="s">
        <v>2164</v>
      </c>
      <c r="K171" t="s">
        <v>2165</v>
      </c>
      <c r="L171">
        <v>1039800</v>
      </c>
      <c r="M171">
        <v>1733000</v>
      </c>
      <c r="N171" t="s">
        <v>2166</v>
      </c>
      <c r="O171" s="1">
        <v>45613</v>
      </c>
      <c r="P171" t="s">
        <v>2167</v>
      </c>
      <c r="Q171" t="s">
        <v>2168</v>
      </c>
      <c r="R171" t="s">
        <v>47</v>
      </c>
      <c r="S171" t="s">
        <v>48</v>
      </c>
      <c r="T171" t="s">
        <v>49</v>
      </c>
      <c r="U171" t="s">
        <v>148</v>
      </c>
      <c r="V171" t="s">
        <v>2169</v>
      </c>
      <c r="W171" t="s">
        <v>1922</v>
      </c>
      <c r="X171" t="s">
        <v>457</v>
      </c>
      <c r="Y171" t="s">
        <v>2170</v>
      </c>
      <c r="Z171">
        <v>3</v>
      </c>
      <c r="AA171" t="s">
        <v>227</v>
      </c>
      <c r="AB171" t="s">
        <v>2171</v>
      </c>
      <c r="AC171" t="s">
        <v>2068</v>
      </c>
      <c r="AD171" t="s">
        <v>58</v>
      </c>
      <c r="AE171">
        <v>1473050</v>
      </c>
      <c r="AF171">
        <v>29461</v>
      </c>
      <c r="AJ171" t="str">
        <f>_xlfn.XLOOKUP(Table9[[#This Row],[Engine No.]],'[1]Dubai Islamic Consumer'!$Q$3:$Q$1176,'[1]Dubai Islamic Consumer'!$B$3:$B$1176,,,)</f>
        <v>KHI/HO/D/MO/PC COMP/C/102086/352/11/2024</v>
      </c>
    </row>
    <row r="172" spans="1:36" hidden="1" x14ac:dyDescent="0.25">
      <c r="A172">
        <v>171</v>
      </c>
      <c r="B172" t="s">
        <v>35</v>
      </c>
      <c r="C172" t="s">
        <v>2172</v>
      </c>
      <c r="D172" t="s">
        <v>37</v>
      </c>
      <c r="E172" t="s">
        <v>2173</v>
      </c>
      <c r="F172" t="s">
        <v>525</v>
      </c>
      <c r="G172" t="s">
        <v>2174</v>
      </c>
      <c r="H172" t="s">
        <v>2175</v>
      </c>
      <c r="I172" t="s">
        <v>2175</v>
      </c>
      <c r="J172" t="s">
        <v>2175</v>
      </c>
      <c r="K172" t="s">
        <v>2176</v>
      </c>
      <c r="L172">
        <v>1356800</v>
      </c>
      <c r="M172">
        <v>2120000</v>
      </c>
      <c r="N172" t="s">
        <v>2177</v>
      </c>
      <c r="O172" s="1">
        <v>45613</v>
      </c>
      <c r="P172" t="s">
        <v>2178</v>
      </c>
      <c r="Q172" t="s">
        <v>2179</v>
      </c>
      <c r="R172" t="s">
        <v>47</v>
      </c>
      <c r="S172" t="s">
        <v>48</v>
      </c>
      <c r="T172" t="s">
        <v>2180</v>
      </c>
      <c r="U172" t="s">
        <v>148</v>
      </c>
      <c r="V172" t="s">
        <v>2181</v>
      </c>
      <c r="W172" t="s">
        <v>940</v>
      </c>
      <c r="X172" t="s">
        <v>533</v>
      </c>
      <c r="Y172" t="s">
        <v>2182</v>
      </c>
      <c r="Z172">
        <v>3</v>
      </c>
      <c r="AA172" t="s">
        <v>152</v>
      </c>
      <c r="AB172" t="s">
        <v>2183</v>
      </c>
      <c r="AC172" t="s">
        <v>2184</v>
      </c>
      <c r="AD172" t="s">
        <v>86</v>
      </c>
      <c r="AE172">
        <v>1802000</v>
      </c>
      <c r="AF172">
        <v>31535</v>
      </c>
      <c r="AJ172" t="str">
        <f>_xlfn.XLOOKUP(Table9[[#This Row],[Engine No.]],'[1]Dubai Islamic Consumer'!$Q$3:$Q$1176,'[1]Dubai Islamic Consumer'!$B$3:$B$1176,,,)</f>
        <v>KHI/HO/D/MO/PC COMP/C/102086/360/11/2024</v>
      </c>
    </row>
    <row r="173" spans="1:36" hidden="1" x14ac:dyDescent="0.25">
      <c r="A173">
        <v>172</v>
      </c>
      <c r="B173" t="s">
        <v>35</v>
      </c>
      <c r="C173" t="s">
        <v>2185</v>
      </c>
      <c r="D173" t="s">
        <v>37</v>
      </c>
      <c r="E173" t="s">
        <v>2186</v>
      </c>
      <c r="F173" t="s">
        <v>138</v>
      </c>
      <c r="G173" t="s">
        <v>2187</v>
      </c>
      <c r="H173" t="s">
        <v>2188</v>
      </c>
      <c r="I173" t="s">
        <v>2189</v>
      </c>
      <c r="J173" t="s">
        <v>141</v>
      </c>
      <c r="K173" t="s">
        <v>2190</v>
      </c>
      <c r="L173">
        <v>1050000</v>
      </c>
      <c r="M173">
        <v>1500000</v>
      </c>
      <c r="N173" t="s">
        <v>2191</v>
      </c>
      <c r="O173" s="1">
        <v>45614</v>
      </c>
      <c r="P173" t="s">
        <v>2192</v>
      </c>
      <c r="Q173" t="s">
        <v>2193</v>
      </c>
      <c r="R173" t="s">
        <v>146</v>
      </c>
      <c r="S173" t="s">
        <v>2194</v>
      </c>
      <c r="T173" t="s">
        <v>2195</v>
      </c>
      <c r="U173" t="s">
        <v>335</v>
      </c>
      <c r="V173" t="s">
        <v>2196</v>
      </c>
      <c r="W173" t="s">
        <v>1053</v>
      </c>
      <c r="X173" t="s">
        <v>388</v>
      </c>
      <c r="Y173" t="s">
        <v>2197</v>
      </c>
      <c r="Z173">
        <v>5</v>
      </c>
      <c r="AA173" t="s">
        <v>118</v>
      </c>
      <c r="AB173" t="s">
        <v>2198</v>
      </c>
      <c r="AC173" t="s">
        <v>1387</v>
      </c>
      <c r="AD173" t="s">
        <v>58</v>
      </c>
      <c r="AE173">
        <v>1200000</v>
      </c>
      <c r="AF173">
        <v>24000</v>
      </c>
      <c r="AJ173" t="str">
        <f>_xlfn.XLOOKUP(Table9[[#This Row],[Engine No.]],'[1]Dubai Islamic Consumer'!$Q$3:$Q$1176,'[1]Dubai Islamic Consumer'!$B$3:$B$1176,,,)</f>
        <v>KHI/HO/D/MO/PC COMP/C/102086/366/11/2024</v>
      </c>
    </row>
    <row r="174" spans="1:36" hidden="1" x14ac:dyDescent="0.25">
      <c r="A174">
        <v>173</v>
      </c>
      <c r="B174" t="s">
        <v>35</v>
      </c>
      <c r="C174" t="s">
        <v>2199</v>
      </c>
      <c r="D174" t="s">
        <v>37</v>
      </c>
      <c r="E174" t="s">
        <v>2200</v>
      </c>
      <c r="F174" t="s">
        <v>245</v>
      </c>
      <c r="G174" t="s">
        <v>2201</v>
      </c>
      <c r="H174" t="s">
        <v>2202</v>
      </c>
      <c r="I174" t="s">
        <v>2203</v>
      </c>
      <c r="J174" t="s">
        <v>48</v>
      </c>
      <c r="K174" t="s">
        <v>2204</v>
      </c>
      <c r="L174">
        <v>1290250</v>
      </c>
      <c r="M174">
        <v>1985000</v>
      </c>
      <c r="N174" t="s">
        <v>2205</v>
      </c>
      <c r="O174" s="1">
        <v>45614</v>
      </c>
      <c r="P174" t="s">
        <v>2206</v>
      </c>
      <c r="Q174" t="s">
        <v>2207</v>
      </c>
      <c r="R174" t="s">
        <v>47</v>
      </c>
      <c r="S174" t="s">
        <v>48</v>
      </c>
      <c r="T174" t="s">
        <v>2208</v>
      </c>
      <c r="U174" t="s">
        <v>98</v>
      </c>
      <c r="V174" t="s">
        <v>2209</v>
      </c>
      <c r="W174" t="s">
        <v>456</v>
      </c>
      <c r="X174" t="s">
        <v>2210</v>
      </c>
      <c r="Y174" t="s">
        <v>2211</v>
      </c>
      <c r="Z174">
        <v>7</v>
      </c>
      <c r="AA174" t="s">
        <v>227</v>
      </c>
      <c r="AB174" t="s">
        <v>2212</v>
      </c>
      <c r="AC174" t="s">
        <v>2213</v>
      </c>
      <c r="AD174" t="s">
        <v>299</v>
      </c>
      <c r="AE174">
        <v>1488750</v>
      </c>
      <c r="AF174">
        <v>22331</v>
      </c>
      <c r="AJ174" t="str">
        <f>_xlfn.XLOOKUP(Table9[[#This Row],[Engine No.]],'[1]Dubai Islamic Consumer'!$Q$3:$Q$1176,'[1]Dubai Islamic Consumer'!$B$3:$B$1176,,,)</f>
        <v>KHI/HO/D/MO/PC COMP/C/102086/367/11/2024</v>
      </c>
    </row>
    <row r="175" spans="1:36" hidden="1" x14ac:dyDescent="0.25">
      <c r="A175">
        <v>174</v>
      </c>
      <c r="B175" t="s">
        <v>35</v>
      </c>
      <c r="C175" t="s">
        <v>2214</v>
      </c>
      <c r="D175" t="s">
        <v>37</v>
      </c>
      <c r="E175" t="s">
        <v>2215</v>
      </c>
      <c r="F175" t="s">
        <v>245</v>
      </c>
      <c r="G175" t="s">
        <v>2216</v>
      </c>
      <c r="H175" t="s">
        <v>2217</v>
      </c>
      <c r="I175" t="s">
        <v>48</v>
      </c>
      <c r="J175" t="s">
        <v>2218</v>
      </c>
      <c r="K175" t="s">
        <v>2219</v>
      </c>
      <c r="L175">
        <v>1848750</v>
      </c>
      <c r="M175">
        <v>2465000</v>
      </c>
      <c r="N175" t="s">
        <v>2220</v>
      </c>
      <c r="O175" s="1">
        <v>45614</v>
      </c>
      <c r="P175" t="s">
        <v>2221</v>
      </c>
      <c r="Q175" t="s">
        <v>2222</v>
      </c>
      <c r="R175" t="s">
        <v>47</v>
      </c>
      <c r="S175" t="s">
        <v>48</v>
      </c>
      <c r="T175" t="s">
        <v>873</v>
      </c>
      <c r="U175" t="s">
        <v>98</v>
      </c>
      <c r="V175" t="s">
        <v>2223</v>
      </c>
      <c r="W175" t="s">
        <v>456</v>
      </c>
      <c r="X175" t="s">
        <v>388</v>
      </c>
      <c r="Y175" t="s">
        <v>2224</v>
      </c>
      <c r="Z175">
        <v>6</v>
      </c>
      <c r="AA175" t="s">
        <v>55</v>
      </c>
      <c r="AB175" t="s">
        <v>2225</v>
      </c>
      <c r="AC175" t="s">
        <v>1537</v>
      </c>
      <c r="AD175" t="s">
        <v>58</v>
      </c>
      <c r="AE175">
        <v>1848750</v>
      </c>
      <c r="AF175">
        <v>36975</v>
      </c>
      <c r="AJ175" t="str">
        <f>_xlfn.XLOOKUP(Table9[[#This Row],[Engine No.]],'[1]Dubai Islamic Consumer'!$Q$3:$Q$1176,'[1]Dubai Islamic Consumer'!$B$3:$B$1176,,,)</f>
        <v>KHI/HO/D/MO/PC COMP/C/102086/369/11/2024</v>
      </c>
    </row>
    <row r="176" spans="1:36" hidden="1" x14ac:dyDescent="0.25">
      <c r="A176">
        <v>175</v>
      </c>
      <c r="B176" t="s">
        <v>35</v>
      </c>
      <c r="C176" t="s">
        <v>2226</v>
      </c>
      <c r="D176" t="s">
        <v>37</v>
      </c>
      <c r="E176" t="s">
        <v>2227</v>
      </c>
      <c r="F176" t="s">
        <v>138</v>
      </c>
      <c r="G176" t="s">
        <v>2228</v>
      </c>
      <c r="H176" t="s">
        <v>2229</v>
      </c>
      <c r="I176" t="s">
        <v>2229</v>
      </c>
      <c r="J176" t="s">
        <v>141</v>
      </c>
      <c r="K176" t="s">
        <v>2230</v>
      </c>
      <c r="L176">
        <v>1790250</v>
      </c>
      <c r="M176">
        <v>3255000</v>
      </c>
      <c r="N176" t="s">
        <v>2231</v>
      </c>
      <c r="O176" s="1">
        <v>45614</v>
      </c>
      <c r="P176" t="s">
        <v>2232</v>
      </c>
      <c r="Q176" t="s">
        <v>2233</v>
      </c>
      <c r="R176" t="s">
        <v>47</v>
      </c>
      <c r="S176" t="s">
        <v>48</v>
      </c>
      <c r="T176" t="s">
        <v>650</v>
      </c>
      <c r="U176" t="s">
        <v>50</v>
      </c>
      <c r="V176" t="s">
        <v>2234</v>
      </c>
      <c r="W176" t="s">
        <v>1053</v>
      </c>
      <c r="X176" t="s">
        <v>388</v>
      </c>
      <c r="Y176" t="s">
        <v>2235</v>
      </c>
      <c r="Z176">
        <v>5</v>
      </c>
      <c r="AA176" t="s">
        <v>55</v>
      </c>
      <c r="AB176" t="s">
        <v>2236</v>
      </c>
      <c r="AC176" t="s">
        <v>2034</v>
      </c>
      <c r="AD176" t="s">
        <v>58</v>
      </c>
      <c r="AE176">
        <v>2604000</v>
      </c>
      <c r="AF176">
        <v>52080</v>
      </c>
      <c r="AJ176" t="str">
        <f>_xlfn.XLOOKUP(Table9[[#This Row],[Engine No.]],'[1]Dubai Islamic Consumer'!$Q$3:$Q$1176,'[1]Dubai Islamic Consumer'!$B$3:$B$1176,,,)</f>
        <v>KHI/HO/D/MO/PC COMP/C/102086/370/11/2024</v>
      </c>
    </row>
    <row r="177" spans="1:36" hidden="1" x14ac:dyDescent="0.25">
      <c r="A177">
        <v>176</v>
      </c>
      <c r="B177" t="s">
        <v>35</v>
      </c>
      <c r="C177" t="s">
        <v>2237</v>
      </c>
      <c r="D177" t="s">
        <v>37</v>
      </c>
      <c r="E177" t="s">
        <v>2238</v>
      </c>
      <c r="F177" t="s">
        <v>107</v>
      </c>
      <c r="G177" t="s">
        <v>2239</v>
      </c>
      <c r="H177" t="s">
        <v>2240</v>
      </c>
      <c r="I177" t="s">
        <v>2240</v>
      </c>
      <c r="J177" t="s">
        <v>2240</v>
      </c>
      <c r="K177" t="s">
        <v>2241</v>
      </c>
      <c r="L177">
        <v>2292000</v>
      </c>
      <c r="M177">
        <v>2865000</v>
      </c>
      <c r="N177" t="s">
        <v>2242</v>
      </c>
      <c r="O177" s="1">
        <v>45614</v>
      </c>
      <c r="P177" t="s">
        <v>2243</v>
      </c>
      <c r="Q177" t="s">
        <v>2244</v>
      </c>
      <c r="R177" t="s">
        <v>47</v>
      </c>
      <c r="S177" t="s">
        <v>48</v>
      </c>
      <c r="T177" t="s">
        <v>1166</v>
      </c>
      <c r="U177" t="s">
        <v>98</v>
      </c>
      <c r="V177" t="s">
        <v>481</v>
      </c>
      <c r="W177" t="s">
        <v>456</v>
      </c>
      <c r="X177" t="s">
        <v>457</v>
      </c>
      <c r="Y177" t="s">
        <v>2245</v>
      </c>
      <c r="Z177">
        <v>5</v>
      </c>
      <c r="AA177" t="s">
        <v>257</v>
      </c>
      <c r="AB177" t="s">
        <v>2246</v>
      </c>
      <c r="AC177" t="s">
        <v>1537</v>
      </c>
      <c r="AD177" t="s">
        <v>58</v>
      </c>
      <c r="AE177">
        <v>2148750</v>
      </c>
      <c r="AF177">
        <v>42975</v>
      </c>
      <c r="AJ177" t="str">
        <f>_xlfn.XLOOKUP(Table9[[#This Row],[Engine No.]],'[1]Dubai Islamic Consumer'!$Q$3:$Q$1176,'[1]Dubai Islamic Consumer'!$B$3:$B$1176,,,)</f>
        <v>KHI/HO/D/MO/PC COMP/C/102086/371/11/2024</v>
      </c>
    </row>
    <row r="178" spans="1:36" hidden="1" x14ac:dyDescent="0.25">
      <c r="A178">
        <v>177</v>
      </c>
      <c r="B178" t="s">
        <v>35</v>
      </c>
      <c r="C178" t="s">
        <v>2247</v>
      </c>
      <c r="D178" t="s">
        <v>37</v>
      </c>
      <c r="E178" t="s">
        <v>2248</v>
      </c>
      <c r="F178" t="s">
        <v>107</v>
      </c>
      <c r="G178" t="s">
        <v>2249</v>
      </c>
      <c r="H178" t="s">
        <v>2250</v>
      </c>
      <c r="I178" t="s">
        <v>2251</v>
      </c>
      <c r="J178" t="s">
        <v>2252</v>
      </c>
      <c r="K178" t="s">
        <v>2253</v>
      </c>
      <c r="L178">
        <v>2465000</v>
      </c>
      <c r="M178">
        <v>4930000</v>
      </c>
      <c r="N178" t="s">
        <v>2254</v>
      </c>
      <c r="O178" s="1">
        <v>45614</v>
      </c>
      <c r="P178" t="s">
        <v>2255</v>
      </c>
      <c r="Q178" t="s">
        <v>2256</v>
      </c>
      <c r="R178" t="s">
        <v>47</v>
      </c>
      <c r="S178" t="s">
        <v>48</v>
      </c>
      <c r="T178" t="s">
        <v>1154</v>
      </c>
      <c r="U178" t="s">
        <v>98</v>
      </c>
      <c r="V178" t="s">
        <v>2257</v>
      </c>
      <c r="W178" t="s">
        <v>456</v>
      </c>
      <c r="X178" t="s">
        <v>457</v>
      </c>
      <c r="Y178" t="s">
        <v>2258</v>
      </c>
      <c r="Z178">
        <v>5</v>
      </c>
      <c r="AA178" t="s">
        <v>48</v>
      </c>
      <c r="AB178" t="s">
        <v>48</v>
      </c>
      <c r="AC178" t="s">
        <v>48</v>
      </c>
      <c r="AD178" t="s">
        <v>299</v>
      </c>
      <c r="AE178">
        <v>3697500</v>
      </c>
      <c r="AF178">
        <v>55463</v>
      </c>
      <c r="AJ178" t="str">
        <f>_xlfn.XLOOKUP(Table9[[#This Row],[Engine No.]],'[1]Dubai Islamic Consumer'!$Q$3:$Q$1176,'[1]Dubai Islamic Consumer'!$B$3:$B$1176,,,)</f>
        <v>KHI/HO/D/MO/PC COMP/C/102086/372/11/2024</v>
      </c>
    </row>
    <row r="179" spans="1:36" hidden="1" x14ac:dyDescent="0.25">
      <c r="A179">
        <v>178</v>
      </c>
      <c r="B179" t="s">
        <v>35</v>
      </c>
      <c r="C179" t="s">
        <v>2259</v>
      </c>
      <c r="D179" t="s">
        <v>37</v>
      </c>
      <c r="E179" t="s">
        <v>2260</v>
      </c>
      <c r="F179" t="s">
        <v>107</v>
      </c>
      <c r="G179" t="s">
        <v>2261</v>
      </c>
      <c r="H179" t="s">
        <v>2262</v>
      </c>
      <c r="I179" t="s">
        <v>2263</v>
      </c>
      <c r="J179" t="s">
        <v>48</v>
      </c>
      <c r="K179" t="s">
        <v>2264</v>
      </c>
      <c r="L179">
        <v>2208000</v>
      </c>
      <c r="M179">
        <v>3450000</v>
      </c>
      <c r="N179" t="s">
        <v>2265</v>
      </c>
      <c r="O179" s="1">
        <v>45614</v>
      </c>
      <c r="P179" t="s">
        <v>2266</v>
      </c>
      <c r="Q179" t="s">
        <v>2267</v>
      </c>
      <c r="R179" t="s">
        <v>146</v>
      </c>
      <c r="S179" t="s">
        <v>2268</v>
      </c>
      <c r="T179" t="s">
        <v>714</v>
      </c>
      <c r="U179" t="s">
        <v>496</v>
      </c>
      <c r="V179" t="s">
        <v>2196</v>
      </c>
      <c r="W179" t="s">
        <v>1053</v>
      </c>
      <c r="X179" t="s">
        <v>388</v>
      </c>
      <c r="Y179" t="s">
        <v>2269</v>
      </c>
      <c r="Z179">
        <v>5</v>
      </c>
      <c r="AA179" t="s">
        <v>118</v>
      </c>
      <c r="AB179" t="s">
        <v>2270</v>
      </c>
      <c r="AC179" t="s">
        <v>1387</v>
      </c>
      <c r="AD179" t="s">
        <v>299</v>
      </c>
      <c r="AE179">
        <v>2760000</v>
      </c>
      <c r="AF179">
        <v>41400</v>
      </c>
      <c r="AJ179" t="str">
        <f>_xlfn.XLOOKUP(Table9[[#This Row],[Engine No.]],'[1]Dubai Islamic Consumer'!$Q$3:$Q$1176,'[1]Dubai Islamic Consumer'!$B$3:$B$1176,,,)</f>
        <v>KHI/HO/D/MO/PC COMP/C/102086/374/11/2024</v>
      </c>
    </row>
    <row r="180" spans="1:36" hidden="1" x14ac:dyDescent="0.25">
      <c r="A180">
        <v>179</v>
      </c>
      <c r="B180" t="s">
        <v>35</v>
      </c>
      <c r="C180" t="s">
        <v>2271</v>
      </c>
      <c r="D180" t="s">
        <v>37</v>
      </c>
      <c r="E180" t="s">
        <v>2272</v>
      </c>
      <c r="F180" t="s">
        <v>39</v>
      </c>
      <c r="G180" t="s">
        <v>2273</v>
      </c>
      <c r="H180" t="s">
        <v>2274</v>
      </c>
      <c r="I180" t="s">
        <v>2275</v>
      </c>
      <c r="J180" t="s">
        <v>2274</v>
      </c>
      <c r="K180" t="s">
        <v>2276</v>
      </c>
      <c r="L180">
        <v>3697500</v>
      </c>
      <c r="M180">
        <v>4930000</v>
      </c>
      <c r="N180" t="s">
        <v>2277</v>
      </c>
      <c r="O180" s="1">
        <v>45614</v>
      </c>
      <c r="P180" t="s">
        <v>2278</v>
      </c>
      <c r="Q180" t="s">
        <v>2279</v>
      </c>
      <c r="R180" t="s">
        <v>47</v>
      </c>
      <c r="S180" t="s">
        <v>48</v>
      </c>
      <c r="T180" t="s">
        <v>115</v>
      </c>
      <c r="U180" t="s">
        <v>98</v>
      </c>
      <c r="V180" t="s">
        <v>2280</v>
      </c>
      <c r="W180" t="s">
        <v>532</v>
      </c>
      <c r="X180" t="s">
        <v>533</v>
      </c>
      <c r="Y180" t="s">
        <v>2281</v>
      </c>
      <c r="Z180">
        <v>5</v>
      </c>
      <c r="AA180" t="s">
        <v>48</v>
      </c>
      <c r="AB180" t="s">
        <v>48</v>
      </c>
      <c r="AC180" t="s">
        <v>48</v>
      </c>
      <c r="AD180" t="s">
        <v>299</v>
      </c>
      <c r="AE180">
        <v>3697500</v>
      </c>
      <c r="AF180">
        <v>55463</v>
      </c>
      <c r="AJ180" t="str">
        <f>_xlfn.XLOOKUP(Table9[[#This Row],[Engine No.]],'[1]Dubai Islamic Consumer'!$Q$3:$Q$1176,'[1]Dubai Islamic Consumer'!$B$3:$B$1176,,,)</f>
        <v>KHI/HO/D/MO/PC COMP/C/102086/376/11/2024</v>
      </c>
    </row>
    <row r="181" spans="1:36" hidden="1" x14ac:dyDescent="0.25">
      <c r="A181">
        <v>180</v>
      </c>
      <c r="B181" t="s">
        <v>35</v>
      </c>
      <c r="C181" t="s">
        <v>2282</v>
      </c>
      <c r="D181" t="s">
        <v>37</v>
      </c>
      <c r="E181" t="s">
        <v>2283</v>
      </c>
      <c r="F181" t="s">
        <v>138</v>
      </c>
      <c r="G181" t="s">
        <v>2284</v>
      </c>
      <c r="H181" t="s">
        <v>2285</v>
      </c>
      <c r="I181" t="s">
        <v>2286</v>
      </c>
      <c r="J181" t="s">
        <v>2287</v>
      </c>
      <c r="K181" t="s">
        <v>2288</v>
      </c>
      <c r="L181">
        <v>9727200</v>
      </c>
      <c r="M181">
        <v>17370000</v>
      </c>
      <c r="N181" t="s">
        <v>2289</v>
      </c>
      <c r="O181" s="1">
        <v>45614</v>
      </c>
      <c r="P181" t="s">
        <v>2290</v>
      </c>
      <c r="Q181" t="s">
        <v>2291</v>
      </c>
      <c r="R181" t="s">
        <v>47</v>
      </c>
      <c r="S181" t="s">
        <v>48</v>
      </c>
      <c r="T181" t="s">
        <v>2292</v>
      </c>
      <c r="U181" t="s">
        <v>98</v>
      </c>
      <c r="V181" t="s">
        <v>2293</v>
      </c>
      <c r="W181" t="s">
        <v>456</v>
      </c>
      <c r="X181" t="s">
        <v>457</v>
      </c>
      <c r="Y181" t="s">
        <v>2294</v>
      </c>
      <c r="Z181">
        <v>5</v>
      </c>
      <c r="AA181" t="s">
        <v>48</v>
      </c>
      <c r="AB181" t="s">
        <v>48</v>
      </c>
      <c r="AC181" t="s">
        <v>48</v>
      </c>
      <c r="AD181" t="s">
        <v>299</v>
      </c>
      <c r="AE181">
        <v>13027500</v>
      </c>
      <c r="AF181">
        <v>195413</v>
      </c>
      <c r="AJ181" t="str">
        <f>_xlfn.XLOOKUP(Table9[[#This Row],[Engine No.]],'[1]Dubai Islamic Consumer'!$Q$3:$Q$1176,'[1]Dubai Islamic Consumer'!$B$3:$B$1176,,,)</f>
        <v>KHI/HO/D/MO/PC COMP/C/102086/378/11/2024</v>
      </c>
    </row>
    <row r="182" spans="1:36" hidden="1" x14ac:dyDescent="0.25">
      <c r="A182">
        <v>181</v>
      </c>
      <c r="B182" t="s">
        <v>35</v>
      </c>
      <c r="C182" t="s">
        <v>2295</v>
      </c>
      <c r="D182" t="s">
        <v>37</v>
      </c>
      <c r="E182" t="s">
        <v>2296</v>
      </c>
      <c r="F182" t="s">
        <v>932</v>
      </c>
      <c r="G182" t="s">
        <v>2297</v>
      </c>
      <c r="H182" t="s">
        <v>2298</v>
      </c>
      <c r="I182" t="s">
        <v>2298</v>
      </c>
      <c r="J182" t="s">
        <v>2298</v>
      </c>
      <c r="K182" t="s">
        <v>2299</v>
      </c>
      <c r="L182">
        <v>1629000</v>
      </c>
      <c r="M182">
        <v>2172000</v>
      </c>
      <c r="N182" t="s">
        <v>2300</v>
      </c>
      <c r="O182" s="1">
        <v>45614</v>
      </c>
      <c r="P182" t="s">
        <v>2301</v>
      </c>
      <c r="Q182" t="s">
        <v>2302</v>
      </c>
      <c r="R182" t="s">
        <v>47</v>
      </c>
      <c r="S182" t="s">
        <v>2303</v>
      </c>
      <c r="T182" t="s">
        <v>2304</v>
      </c>
      <c r="U182" t="s">
        <v>496</v>
      </c>
      <c r="V182" t="s">
        <v>2305</v>
      </c>
      <c r="W182" t="s">
        <v>2306</v>
      </c>
      <c r="X182" t="s">
        <v>533</v>
      </c>
      <c r="Y182" t="s">
        <v>2307</v>
      </c>
      <c r="Z182">
        <v>7</v>
      </c>
      <c r="AA182" t="s">
        <v>55</v>
      </c>
      <c r="AB182" t="s">
        <v>2308</v>
      </c>
      <c r="AC182" t="s">
        <v>2309</v>
      </c>
      <c r="AD182" t="s">
        <v>880</v>
      </c>
      <c r="AE182">
        <v>1411800</v>
      </c>
      <c r="AF182">
        <v>43766</v>
      </c>
      <c r="AJ182" t="str">
        <f>_xlfn.XLOOKUP(Table9[[#This Row],[Engine No.]],'[1]Dubai Islamic Consumer'!$Q$3:$Q$1176,'[1]Dubai Islamic Consumer'!$B$3:$B$1176,,,)</f>
        <v>KHI/HO/D/MO/PC COMP/C/102086/379/11/2024</v>
      </c>
    </row>
    <row r="183" spans="1:36" hidden="1" x14ac:dyDescent="0.25">
      <c r="A183">
        <v>182</v>
      </c>
      <c r="B183" t="s">
        <v>35</v>
      </c>
      <c r="C183" t="s">
        <v>2310</v>
      </c>
      <c r="D183" t="s">
        <v>37</v>
      </c>
      <c r="E183" t="s">
        <v>377</v>
      </c>
      <c r="F183" t="s">
        <v>39</v>
      </c>
      <c r="G183" t="s">
        <v>2311</v>
      </c>
      <c r="H183" t="s">
        <v>2312</v>
      </c>
      <c r="I183" t="s">
        <v>2313</v>
      </c>
      <c r="J183" t="s">
        <v>2314</v>
      </c>
      <c r="K183" t="s">
        <v>2315</v>
      </c>
      <c r="L183">
        <v>1576750</v>
      </c>
      <c r="M183">
        <v>1855000</v>
      </c>
      <c r="N183" t="s">
        <v>2316</v>
      </c>
      <c r="O183" s="1">
        <v>45614</v>
      </c>
      <c r="P183" t="s">
        <v>2317</v>
      </c>
      <c r="Q183" t="s">
        <v>2318</v>
      </c>
      <c r="R183" t="s">
        <v>47</v>
      </c>
      <c r="S183" t="s">
        <v>2319</v>
      </c>
      <c r="T183" t="s">
        <v>67</v>
      </c>
      <c r="U183" t="s">
        <v>614</v>
      </c>
      <c r="V183" t="s">
        <v>2320</v>
      </c>
      <c r="W183" t="s">
        <v>2321</v>
      </c>
      <c r="X183" t="s">
        <v>401</v>
      </c>
      <c r="Y183" t="s">
        <v>2322</v>
      </c>
      <c r="Z183">
        <v>7</v>
      </c>
      <c r="AA183" t="s">
        <v>55</v>
      </c>
      <c r="AB183" t="s">
        <v>2323</v>
      </c>
      <c r="AC183" t="s">
        <v>2324</v>
      </c>
      <c r="AD183" t="s">
        <v>171</v>
      </c>
      <c r="AE183">
        <v>1298500</v>
      </c>
      <c r="AF183">
        <v>32463</v>
      </c>
      <c r="AJ183" t="str">
        <f>_xlfn.XLOOKUP(Table9[[#This Row],[Engine No.]],'[1]Dubai Islamic Consumer'!$Q$3:$Q$1176,'[1]Dubai Islamic Consumer'!$B$3:$B$1176,,,)</f>
        <v>KHI/HO/D/MO/PC COMP/C/102086/381/11/2024</v>
      </c>
    </row>
    <row r="184" spans="1:36" hidden="1" x14ac:dyDescent="0.25">
      <c r="A184">
        <v>183</v>
      </c>
      <c r="B184" t="s">
        <v>35</v>
      </c>
      <c r="C184" t="s">
        <v>2325</v>
      </c>
      <c r="D184" t="s">
        <v>37</v>
      </c>
      <c r="E184" t="s">
        <v>2326</v>
      </c>
      <c r="F184" t="s">
        <v>138</v>
      </c>
      <c r="G184" t="s">
        <v>2327</v>
      </c>
      <c r="H184" t="s">
        <v>2328</v>
      </c>
      <c r="I184" t="s">
        <v>2328</v>
      </c>
      <c r="J184" t="s">
        <v>2329</v>
      </c>
      <c r="K184" t="s">
        <v>2330</v>
      </c>
      <c r="L184">
        <v>859800</v>
      </c>
      <c r="M184">
        <v>1433000</v>
      </c>
      <c r="N184" t="s">
        <v>2331</v>
      </c>
      <c r="O184" s="1">
        <v>45615</v>
      </c>
      <c r="P184" t="s">
        <v>2332</v>
      </c>
      <c r="Q184" t="s">
        <v>2333</v>
      </c>
      <c r="R184" t="s">
        <v>47</v>
      </c>
      <c r="S184" t="s">
        <v>48</v>
      </c>
      <c r="T184" t="s">
        <v>2334</v>
      </c>
      <c r="U184" t="s">
        <v>98</v>
      </c>
      <c r="V184" t="s">
        <v>2335</v>
      </c>
      <c r="W184" t="s">
        <v>456</v>
      </c>
      <c r="X184" t="s">
        <v>457</v>
      </c>
      <c r="Y184" t="s">
        <v>2336</v>
      </c>
      <c r="Z184">
        <v>5</v>
      </c>
      <c r="AA184" t="s">
        <v>227</v>
      </c>
      <c r="AB184" t="s">
        <v>2337</v>
      </c>
      <c r="AC184" t="s">
        <v>167</v>
      </c>
      <c r="AD184" t="s">
        <v>58</v>
      </c>
      <c r="AE184">
        <v>1074750</v>
      </c>
      <c r="AF184">
        <v>21495</v>
      </c>
      <c r="AJ184" t="str">
        <f>_xlfn.XLOOKUP(Table9[[#This Row],[Engine No.]],'[1]Dubai Islamic Consumer'!$Q$3:$Q$1176,'[1]Dubai Islamic Consumer'!$B$3:$B$1176,,,)</f>
        <v>KHI/HO/D/MO/PC COMP/C/102086/384/11/2024</v>
      </c>
    </row>
    <row r="185" spans="1:36" hidden="1" x14ac:dyDescent="0.25">
      <c r="A185">
        <v>184</v>
      </c>
      <c r="B185" t="s">
        <v>35</v>
      </c>
      <c r="C185" t="s">
        <v>2338</v>
      </c>
      <c r="D185" t="s">
        <v>37</v>
      </c>
      <c r="E185" t="s">
        <v>2339</v>
      </c>
      <c r="F185" t="s">
        <v>107</v>
      </c>
      <c r="G185" t="s">
        <v>2340</v>
      </c>
      <c r="H185" t="s">
        <v>2341</v>
      </c>
      <c r="I185" t="s">
        <v>2342</v>
      </c>
      <c r="J185" t="s">
        <v>48</v>
      </c>
      <c r="K185" t="s">
        <v>2343</v>
      </c>
      <c r="L185">
        <v>1218050</v>
      </c>
      <c r="M185">
        <v>1433000</v>
      </c>
      <c r="N185" t="s">
        <v>2344</v>
      </c>
      <c r="O185" s="1">
        <v>45615</v>
      </c>
      <c r="P185" t="s">
        <v>2345</v>
      </c>
      <c r="Q185" t="s">
        <v>2346</v>
      </c>
      <c r="R185" t="s">
        <v>47</v>
      </c>
      <c r="S185" t="s">
        <v>48</v>
      </c>
      <c r="T185" t="s">
        <v>194</v>
      </c>
      <c r="U185" t="s">
        <v>98</v>
      </c>
      <c r="V185" t="s">
        <v>2223</v>
      </c>
      <c r="W185" t="s">
        <v>456</v>
      </c>
      <c r="X185" t="s">
        <v>2210</v>
      </c>
      <c r="Y185" t="s">
        <v>2347</v>
      </c>
      <c r="Z185">
        <v>7</v>
      </c>
      <c r="AA185" t="s">
        <v>227</v>
      </c>
      <c r="AB185" t="s">
        <v>2348</v>
      </c>
      <c r="AC185" t="s">
        <v>2213</v>
      </c>
      <c r="AD185" t="s">
        <v>58</v>
      </c>
      <c r="AE185">
        <v>1074750</v>
      </c>
      <c r="AF185">
        <v>21495</v>
      </c>
      <c r="AJ185" t="str">
        <f>_xlfn.XLOOKUP(Table9[[#This Row],[Engine No.]],'[1]Dubai Islamic Consumer'!$Q$3:$Q$1176,'[1]Dubai Islamic Consumer'!$B$3:$B$1176,,,)</f>
        <v>KHI/HO/D/MO/PC COMP/C/102086/386/11/2024</v>
      </c>
    </row>
    <row r="186" spans="1:36" hidden="1" x14ac:dyDescent="0.25">
      <c r="A186">
        <v>185</v>
      </c>
      <c r="B186" t="s">
        <v>35</v>
      </c>
      <c r="C186" t="s">
        <v>2349</v>
      </c>
      <c r="D186" t="s">
        <v>37</v>
      </c>
      <c r="E186" t="s">
        <v>2350</v>
      </c>
      <c r="F186" t="s">
        <v>107</v>
      </c>
      <c r="G186" t="s">
        <v>2351</v>
      </c>
      <c r="H186" t="s">
        <v>2352</v>
      </c>
      <c r="I186" t="s">
        <v>2352</v>
      </c>
      <c r="J186" t="s">
        <v>2352</v>
      </c>
      <c r="K186" t="s">
        <v>2353</v>
      </c>
      <c r="L186">
        <v>2091600</v>
      </c>
      <c r="M186">
        <v>2988000</v>
      </c>
      <c r="N186" t="s">
        <v>2354</v>
      </c>
      <c r="O186" s="1">
        <v>45615</v>
      </c>
      <c r="P186" t="s">
        <v>2355</v>
      </c>
      <c r="Q186" t="s">
        <v>2356</v>
      </c>
      <c r="R186" t="s">
        <v>47</v>
      </c>
      <c r="S186" t="s">
        <v>48</v>
      </c>
      <c r="T186" t="s">
        <v>2357</v>
      </c>
      <c r="U186" t="s">
        <v>98</v>
      </c>
      <c r="V186" t="s">
        <v>2358</v>
      </c>
      <c r="W186" t="s">
        <v>456</v>
      </c>
      <c r="X186" t="s">
        <v>457</v>
      </c>
      <c r="Y186" t="s">
        <v>2359</v>
      </c>
      <c r="Z186">
        <v>5</v>
      </c>
      <c r="AA186" t="s">
        <v>55</v>
      </c>
      <c r="AB186" t="s">
        <v>2360</v>
      </c>
      <c r="AC186" t="s">
        <v>2213</v>
      </c>
      <c r="AD186" t="s">
        <v>171</v>
      </c>
      <c r="AE186">
        <v>2241000</v>
      </c>
      <c r="AF186">
        <v>56025</v>
      </c>
      <c r="AJ186" t="str">
        <f>_xlfn.XLOOKUP(Table9[[#This Row],[Engine No.]],'[1]Dubai Islamic Consumer'!$Q$3:$Q$1176,'[1]Dubai Islamic Consumer'!$B$3:$B$1176,,,)</f>
        <v>KHI/HO/D/MO/PC COMP/C/102086/390/11/2024</v>
      </c>
    </row>
    <row r="187" spans="1:36" hidden="1" x14ac:dyDescent="0.25">
      <c r="A187">
        <v>186</v>
      </c>
      <c r="B187" t="s">
        <v>35</v>
      </c>
      <c r="C187" t="s">
        <v>2361</v>
      </c>
      <c r="D187" t="s">
        <v>37</v>
      </c>
      <c r="E187" t="s">
        <v>2362</v>
      </c>
      <c r="F187" t="s">
        <v>39</v>
      </c>
      <c r="G187" t="s">
        <v>2363</v>
      </c>
      <c r="H187" t="s">
        <v>2364</v>
      </c>
      <c r="I187" t="s">
        <v>2365</v>
      </c>
      <c r="J187" t="s">
        <v>2366</v>
      </c>
      <c r="K187" t="s">
        <v>2367</v>
      </c>
      <c r="L187">
        <v>3204500</v>
      </c>
      <c r="M187">
        <v>4930000</v>
      </c>
      <c r="N187" t="s">
        <v>2368</v>
      </c>
      <c r="O187" s="1">
        <v>45615</v>
      </c>
      <c r="P187" t="s">
        <v>2369</v>
      </c>
      <c r="Q187" t="s">
        <v>2370</v>
      </c>
      <c r="R187" t="s">
        <v>47</v>
      </c>
      <c r="S187" t="s">
        <v>48</v>
      </c>
      <c r="T187" t="s">
        <v>2371</v>
      </c>
      <c r="U187" t="s">
        <v>98</v>
      </c>
      <c r="V187" t="s">
        <v>415</v>
      </c>
      <c r="W187" t="s">
        <v>532</v>
      </c>
      <c r="X187" t="s">
        <v>533</v>
      </c>
      <c r="Y187" t="s">
        <v>2372</v>
      </c>
      <c r="Z187">
        <v>5</v>
      </c>
      <c r="AA187" t="s">
        <v>48</v>
      </c>
      <c r="AB187" t="s">
        <v>48</v>
      </c>
      <c r="AC187" t="s">
        <v>48</v>
      </c>
      <c r="AD187" t="s">
        <v>299</v>
      </c>
      <c r="AE187">
        <v>3697500</v>
      </c>
      <c r="AF187">
        <v>55463</v>
      </c>
      <c r="AJ187" t="str">
        <f>_xlfn.XLOOKUP(Table9[[#This Row],[Engine No.]],'[1]Dubai Islamic Consumer'!$Q$3:$Q$1176,'[1]Dubai Islamic Consumer'!$B$3:$B$1176,,,)</f>
        <v>KHI/HO/D/MO/PC COMP/C/102086/391/11/2024</v>
      </c>
    </row>
    <row r="188" spans="1:36" hidden="1" x14ac:dyDescent="0.25">
      <c r="A188">
        <v>187</v>
      </c>
      <c r="B188" t="s">
        <v>35</v>
      </c>
      <c r="C188" t="s">
        <v>2373</v>
      </c>
      <c r="D188" t="s">
        <v>37</v>
      </c>
      <c r="E188" t="s">
        <v>2374</v>
      </c>
      <c r="F188" t="s">
        <v>107</v>
      </c>
      <c r="G188" t="s">
        <v>2375</v>
      </c>
      <c r="H188" t="s">
        <v>2376</v>
      </c>
      <c r="I188" t="s">
        <v>2376</v>
      </c>
      <c r="J188" t="s">
        <v>2377</v>
      </c>
      <c r="K188" t="s">
        <v>2378</v>
      </c>
      <c r="L188">
        <v>3451000</v>
      </c>
      <c r="M188">
        <v>4930000</v>
      </c>
      <c r="N188" t="s">
        <v>2379</v>
      </c>
      <c r="O188" s="1">
        <v>45615</v>
      </c>
      <c r="P188" t="s">
        <v>2380</v>
      </c>
      <c r="Q188" t="s">
        <v>2381</v>
      </c>
      <c r="R188" t="s">
        <v>47</v>
      </c>
      <c r="S188" t="s">
        <v>48</v>
      </c>
      <c r="T188" t="s">
        <v>2382</v>
      </c>
      <c r="U188" t="s">
        <v>98</v>
      </c>
      <c r="V188" t="s">
        <v>2383</v>
      </c>
      <c r="W188" t="s">
        <v>456</v>
      </c>
      <c r="X188" t="s">
        <v>457</v>
      </c>
      <c r="Y188" t="s">
        <v>2384</v>
      </c>
      <c r="Z188">
        <v>5</v>
      </c>
      <c r="AA188" t="s">
        <v>48</v>
      </c>
      <c r="AB188" t="s">
        <v>48</v>
      </c>
      <c r="AC188" t="s">
        <v>48</v>
      </c>
      <c r="AD188" t="s">
        <v>299</v>
      </c>
      <c r="AE188">
        <v>3697500</v>
      </c>
      <c r="AF188">
        <v>55463</v>
      </c>
      <c r="AJ188" t="str">
        <f>_xlfn.XLOOKUP(Table9[[#This Row],[Engine No.]],'[1]Dubai Islamic Consumer'!$Q$3:$Q$1176,'[1]Dubai Islamic Consumer'!$B$3:$B$1176,,,)</f>
        <v>KHI/HO/D/MO/PC COMP/C/102086/392/11/2024</v>
      </c>
    </row>
    <row r="189" spans="1:36" hidden="1" x14ac:dyDescent="0.25">
      <c r="A189">
        <v>188</v>
      </c>
      <c r="B189" t="s">
        <v>35</v>
      </c>
      <c r="C189" t="s">
        <v>2385</v>
      </c>
      <c r="D189" t="s">
        <v>37</v>
      </c>
      <c r="E189" t="s">
        <v>2386</v>
      </c>
      <c r="F189" t="s">
        <v>138</v>
      </c>
      <c r="G189" t="s">
        <v>2387</v>
      </c>
      <c r="H189" t="s">
        <v>2388</v>
      </c>
      <c r="I189" t="s">
        <v>2389</v>
      </c>
      <c r="J189" t="s">
        <v>2388</v>
      </c>
      <c r="K189" t="s">
        <v>2390</v>
      </c>
      <c r="L189">
        <v>2951200</v>
      </c>
      <c r="M189">
        <v>5270000</v>
      </c>
      <c r="N189" t="s">
        <v>2391</v>
      </c>
      <c r="O189" s="1">
        <v>45615</v>
      </c>
      <c r="P189" t="s">
        <v>2392</v>
      </c>
      <c r="Q189" t="s">
        <v>2393</v>
      </c>
      <c r="R189" t="s">
        <v>146</v>
      </c>
      <c r="S189" t="s">
        <v>2394</v>
      </c>
      <c r="T189" t="s">
        <v>520</v>
      </c>
      <c r="U189" t="s">
        <v>50</v>
      </c>
      <c r="V189" t="s">
        <v>2196</v>
      </c>
      <c r="W189" t="s">
        <v>1053</v>
      </c>
      <c r="X189" t="s">
        <v>457</v>
      </c>
      <c r="Y189" t="s">
        <v>2395</v>
      </c>
      <c r="Z189">
        <v>4</v>
      </c>
      <c r="AA189" t="s">
        <v>323</v>
      </c>
      <c r="AB189" t="s">
        <v>2396</v>
      </c>
      <c r="AC189" t="s">
        <v>1387</v>
      </c>
      <c r="AD189" t="s">
        <v>299</v>
      </c>
      <c r="AE189">
        <v>4216000</v>
      </c>
      <c r="AF189">
        <v>63240</v>
      </c>
      <c r="AJ189" t="str">
        <f>_xlfn.XLOOKUP(Table9[[#This Row],[Engine No.]],'[1]Dubai Islamic Consumer'!$Q$3:$Q$1176,'[1]Dubai Islamic Consumer'!$B$3:$B$1176,,,)</f>
        <v>KHI/HO/D/MO/PC COMP/C/102086/393/11/2024</v>
      </c>
    </row>
    <row r="190" spans="1:36" hidden="1" x14ac:dyDescent="0.25">
      <c r="A190">
        <v>189</v>
      </c>
      <c r="B190" t="s">
        <v>35</v>
      </c>
      <c r="C190" t="s">
        <v>2397</v>
      </c>
      <c r="D190" t="s">
        <v>37</v>
      </c>
      <c r="E190" t="s">
        <v>2398</v>
      </c>
      <c r="F190" t="s">
        <v>39</v>
      </c>
      <c r="G190" t="s">
        <v>2399</v>
      </c>
      <c r="H190" t="s">
        <v>2400</v>
      </c>
      <c r="I190" t="s">
        <v>2401</v>
      </c>
      <c r="J190" t="s">
        <v>2400</v>
      </c>
      <c r="K190" t="s">
        <v>2402</v>
      </c>
      <c r="L190">
        <v>3697500</v>
      </c>
      <c r="M190">
        <v>4930000</v>
      </c>
      <c r="N190" t="s">
        <v>2403</v>
      </c>
      <c r="O190" s="1">
        <v>45615</v>
      </c>
      <c r="P190" t="s">
        <v>2404</v>
      </c>
      <c r="Q190" t="s">
        <v>2405</v>
      </c>
      <c r="R190" t="s">
        <v>47</v>
      </c>
      <c r="S190" t="s">
        <v>48</v>
      </c>
      <c r="T190" t="s">
        <v>1154</v>
      </c>
      <c r="U190" t="s">
        <v>98</v>
      </c>
      <c r="V190" t="s">
        <v>1873</v>
      </c>
      <c r="W190" t="s">
        <v>456</v>
      </c>
      <c r="X190" t="s">
        <v>457</v>
      </c>
      <c r="Y190" t="s">
        <v>2406</v>
      </c>
      <c r="Z190">
        <v>5</v>
      </c>
      <c r="AA190" t="s">
        <v>48</v>
      </c>
      <c r="AB190" t="s">
        <v>48</v>
      </c>
      <c r="AC190" t="s">
        <v>48</v>
      </c>
      <c r="AD190" t="s">
        <v>299</v>
      </c>
      <c r="AE190">
        <v>3697500</v>
      </c>
      <c r="AF190">
        <v>55463</v>
      </c>
      <c r="AJ190" t="str">
        <f>_xlfn.XLOOKUP(Table9[[#This Row],[Engine No.]],'[1]Dubai Islamic Consumer'!$Q$3:$Q$1176,'[1]Dubai Islamic Consumer'!$B$3:$B$1176,,,)</f>
        <v>KHI/HO/D/MO/PC COMP/C/102086/394/11/2024</v>
      </c>
    </row>
    <row r="191" spans="1:36" hidden="1" x14ac:dyDescent="0.25">
      <c r="A191">
        <v>190</v>
      </c>
      <c r="B191" t="s">
        <v>35</v>
      </c>
      <c r="C191" t="s">
        <v>2407</v>
      </c>
      <c r="D191" t="s">
        <v>37</v>
      </c>
      <c r="E191" t="s">
        <v>2408</v>
      </c>
      <c r="F191" t="s">
        <v>138</v>
      </c>
      <c r="G191" t="s">
        <v>2409</v>
      </c>
      <c r="H191" t="s">
        <v>2410</v>
      </c>
      <c r="I191" t="s">
        <v>2411</v>
      </c>
      <c r="J191" t="s">
        <v>48</v>
      </c>
      <c r="K191" t="s">
        <v>2412</v>
      </c>
      <c r="L191">
        <v>4762160</v>
      </c>
      <c r="M191">
        <v>9158000</v>
      </c>
      <c r="N191" t="s">
        <v>2413</v>
      </c>
      <c r="O191" s="1">
        <v>45615</v>
      </c>
      <c r="P191" t="s">
        <v>2414</v>
      </c>
      <c r="Q191" t="s">
        <v>2415</v>
      </c>
      <c r="R191" t="s">
        <v>47</v>
      </c>
      <c r="S191" t="s">
        <v>48</v>
      </c>
      <c r="T191" t="s">
        <v>2416</v>
      </c>
      <c r="U191" t="s">
        <v>98</v>
      </c>
      <c r="V191" t="s">
        <v>521</v>
      </c>
      <c r="W191" t="s">
        <v>456</v>
      </c>
      <c r="X191" t="s">
        <v>457</v>
      </c>
      <c r="Y191" t="s">
        <v>2417</v>
      </c>
      <c r="Z191">
        <v>5</v>
      </c>
      <c r="AA191" t="s">
        <v>55</v>
      </c>
      <c r="AB191" t="s">
        <v>2418</v>
      </c>
      <c r="AC191" t="s">
        <v>2213</v>
      </c>
      <c r="AD191" t="s">
        <v>299</v>
      </c>
      <c r="AE191">
        <v>6868500</v>
      </c>
      <c r="AF191">
        <v>103028</v>
      </c>
      <c r="AJ191" t="str">
        <f>_xlfn.XLOOKUP(Table9[[#This Row],[Engine No.]],'[1]Dubai Islamic Consumer'!$Q$3:$Q$1176,'[1]Dubai Islamic Consumer'!$B$3:$B$1176,,,)</f>
        <v>KHI/HO/D/MO/PC COMP/C/102086/396/11/2024</v>
      </c>
    </row>
    <row r="192" spans="1:36" hidden="1" x14ac:dyDescent="0.25">
      <c r="A192">
        <v>191</v>
      </c>
      <c r="B192" t="s">
        <v>35</v>
      </c>
      <c r="C192" t="s">
        <v>2419</v>
      </c>
      <c r="D192" t="s">
        <v>37</v>
      </c>
      <c r="E192" t="s">
        <v>2420</v>
      </c>
      <c r="F192" t="s">
        <v>107</v>
      </c>
      <c r="G192" t="s">
        <v>2421</v>
      </c>
      <c r="H192" t="s">
        <v>2422</v>
      </c>
      <c r="I192" t="s">
        <v>2422</v>
      </c>
      <c r="J192" t="s">
        <v>2422</v>
      </c>
      <c r="K192" t="s">
        <v>2423</v>
      </c>
      <c r="L192">
        <v>2800000</v>
      </c>
      <c r="M192">
        <v>5600000</v>
      </c>
      <c r="N192" t="s">
        <v>2424</v>
      </c>
      <c r="O192" s="1">
        <v>45616</v>
      </c>
      <c r="P192" t="s">
        <v>2425</v>
      </c>
      <c r="Q192" t="s">
        <v>2426</v>
      </c>
      <c r="R192" t="s">
        <v>1215</v>
      </c>
      <c r="S192" t="s">
        <v>48</v>
      </c>
      <c r="T192" t="s">
        <v>2427</v>
      </c>
      <c r="U192" t="s">
        <v>335</v>
      </c>
      <c r="V192" t="s">
        <v>2428</v>
      </c>
      <c r="W192" t="s">
        <v>167</v>
      </c>
      <c r="X192" t="s">
        <v>168</v>
      </c>
      <c r="Y192" t="s">
        <v>2429</v>
      </c>
      <c r="Z192">
        <v>7</v>
      </c>
      <c r="AA192" t="s">
        <v>227</v>
      </c>
      <c r="AB192" t="s">
        <v>2430</v>
      </c>
      <c r="AC192" t="s">
        <v>167</v>
      </c>
      <c r="AD192" t="s">
        <v>58</v>
      </c>
      <c r="AE192">
        <v>4200000</v>
      </c>
      <c r="AF192">
        <v>84000</v>
      </c>
      <c r="AJ192" t="str">
        <f>_xlfn.XLOOKUP(Table9[[#This Row],[Engine No.]],'[1]Dubai Islamic Consumer'!$Q$3:$Q$1176,'[1]Dubai Islamic Consumer'!$B$3:$B$1176,,,)</f>
        <v>KHI/HO/D/MO/PC COMP/C/102086/401/11/2024</v>
      </c>
    </row>
    <row r="193" spans="1:36" hidden="1" x14ac:dyDescent="0.25">
      <c r="A193">
        <v>192</v>
      </c>
      <c r="B193" t="s">
        <v>35</v>
      </c>
      <c r="C193" t="s">
        <v>2431</v>
      </c>
      <c r="D193" t="s">
        <v>37</v>
      </c>
      <c r="E193" t="s">
        <v>2432</v>
      </c>
      <c r="F193" t="s">
        <v>39</v>
      </c>
      <c r="G193" t="s">
        <v>2433</v>
      </c>
      <c r="H193" t="s">
        <v>2434</v>
      </c>
      <c r="I193" t="s">
        <v>2435</v>
      </c>
      <c r="J193" t="s">
        <v>2434</v>
      </c>
      <c r="K193" t="s">
        <v>2436</v>
      </c>
      <c r="L193">
        <v>3529500</v>
      </c>
      <c r="M193">
        <v>5430000</v>
      </c>
      <c r="N193" t="s">
        <v>2437</v>
      </c>
      <c r="O193" s="1">
        <v>45616</v>
      </c>
      <c r="P193" t="s">
        <v>2438</v>
      </c>
      <c r="Q193" t="s">
        <v>2439</v>
      </c>
      <c r="R193" t="s">
        <v>47</v>
      </c>
      <c r="S193" t="s">
        <v>48</v>
      </c>
      <c r="T193" t="s">
        <v>520</v>
      </c>
      <c r="U193" t="s">
        <v>98</v>
      </c>
      <c r="V193" t="s">
        <v>2335</v>
      </c>
      <c r="W193" t="s">
        <v>456</v>
      </c>
      <c r="X193" t="s">
        <v>457</v>
      </c>
      <c r="Y193" t="s">
        <v>2440</v>
      </c>
      <c r="Z193">
        <v>5</v>
      </c>
      <c r="AA193" t="s">
        <v>48</v>
      </c>
      <c r="AB193" t="s">
        <v>48</v>
      </c>
      <c r="AC193" t="s">
        <v>48</v>
      </c>
      <c r="AD193" t="s">
        <v>299</v>
      </c>
      <c r="AE193">
        <v>4072500</v>
      </c>
      <c r="AF193">
        <v>61088</v>
      </c>
      <c r="AJ193" t="str">
        <f>_xlfn.XLOOKUP(Table9[[#This Row],[Engine No.]],'[1]Dubai Islamic Consumer'!$Q$3:$Q$1176,'[1]Dubai Islamic Consumer'!$B$3:$B$1176,,,)</f>
        <v>KHI/HO/D/MO/PC COMP/C/102086/402/11/2024</v>
      </c>
    </row>
    <row r="194" spans="1:36" hidden="1" x14ac:dyDescent="0.25">
      <c r="A194">
        <v>193</v>
      </c>
      <c r="B194" t="s">
        <v>35</v>
      </c>
      <c r="C194" t="s">
        <v>2441</v>
      </c>
      <c r="D194" t="s">
        <v>37</v>
      </c>
      <c r="E194" t="s">
        <v>2442</v>
      </c>
      <c r="F194" t="s">
        <v>107</v>
      </c>
      <c r="G194" t="s">
        <v>2443</v>
      </c>
      <c r="H194" t="s">
        <v>48</v>
      </c>
      <c r="I194" t="s">
        <v>2444</v>
      </c>
      <c r="J194" t="s">
        <v>48</v>
      </c>
      <c r="K194" t="s">
        <v>2445</v>
      </c>
      <c r="L194">
        <v>1365700</v>
      </c>
      <c r="M194">
        <v>1951000</v>
      </c>
      <c r="N194" t="s">
        <v>2446</v>
      </c>
      <c r="O194" s="1">
        <v>45616</v>
      </c>
      <c r="P194" t="s">
        <v>2447</v>
      </c>
      <c r="Q194" t="s">
        <v>2448</v>
      </c>
      <c r="R194" t="s">
        <v>47</v>
      </c>
      <c r="S194" t="s">
        <v>48</v>
      </c>
      <c r="T194" t="s">
        <v>2449</v>
      </c>
      <c r="U194" t="s">
        <v>148</v>
      </c>
      <c r="V194" t="s">
        <v>1933</v>
      </c>
      <c r="W194" t="s">
        <v>1922</v>
      </c>
      <c r="X194" t="s">
        <v>2210</v>
      </c>
      <c r="Y194" t="s">
        <v>2450</v>
      </c>
      <c r="Z194">
        <v>5</v>
      </c>
      <c r="AA194" t="s">
        <v>227</v>
      </c>
      <c r="AB194" t="s">
        <v>2451</v>
      </c>
      <c r="AC194" t="s">
        <v>1080</v>
      </c>
      <c r="AD194" t="s">
        <v>299</v>
      </c>
      <c r="AE194">
        <v>1658350</v>
      </c>
      <c r="AF194">
        <v>24875</v>
      </c>
      <c r="AJ194" t="str">
        <f>_xlfn.XLOOKUP(Table9[[#This Row],[Engine No.]],'[1]Dubai Islamic Consumer'!$Q$3:$Q$1176,'[1]Dubai Islamic Consumer'!$B$3:$B$1176,,,)</f>
        <v>KHI/HO/D/MO/PC COMP/C/102086/405/11/2024</v>
      </c>
    </row>
    <row r="195" spans="1:36" hidden="1" x14ac:dyDescent="0.25">
      <c r="A195">
        <v>194</v>
      </c>
      <c r="B195" t="s">
        <v>35</v>
      </c>
      <c r="C195" t="s">
        <v>2452</v>
      </c>
      <c r="D195" t="s">
        <v>37</v>
      </c>
      <c r="E195" t="s">
        <v>2453</v>
      </c>
      <c r="F195" t="s">
        <v>138</v>
      </c>
      <c r="G195" t="s">
        <v>2454</v>
      </c>
      <c r="H195" t="s">
        <v>48</v>
      </c>
      <c r="I195" t="s">
        <v>2455</v>
      </c>
      <c r="J195" t="s">
        <v>48</v>
      </c>
      <c r="K195" t="s">
        <v>2456</v>
      </c>
      <c r="L195">
        <v>1400000</v>
      </c>
      <c r="M195">
        <v>2000000</v>
      </c>
      <c r="N195" t="s">
        <v>2457</v>
      </c>
      <c r="O195" s="1">
        <v>45616</v>
      </c>
      <c r="P195" t="s">
        <v>2458</v>
      </c>
      <c r="Q195" t="s">
        <v>2459</v>
      </c>
      <c r="R195" t="s">
        <v>146</v>
      </c>
      <c r="S195" t="s">
        <v>2460</v>
      </c>
      <c r="T195" t="s">
        <v>2461</v>
      </c>
      <c r="U195" t="s">
        <v>98</v>
      </c>
      <c r="V195" t="s">
        <v>2462</v>
      </c>
      <c r="W195" t="s">
        <v>1922</v>
      </c>
      <c r="X195" t="s">
        <v>457</v>
      </c>
      <c r="Y195" t="s">
        <v>2463</v>
      </c>
      <c r="Z195">
        <v>3</v>
      </c>
      <c r="AA195" t="s">
        <v>227</v>
      </c>
      <c r="AB195" t="s">
        <v>2464</v>
      </c>
      <c r="AC195" t="s">
        <v>2465</v>
      </c>
      <c r="AD195" t="s">
        <v>86</v>
      </c>
      <c r="AE195">
        <v>1700000</v>
      </c>
      <c r="AF195">
        <v>29750</v>
      </c>
      <c r="AJ195" t="str">
        <f>_xlfn.XLOOKUP(Table9[[#This Row],[Engine No.]],'[1]Dubai Islamic Consumer'!$Q$3:$Q$1176,'[1]Dubai Islamic Consumer'!$B$3:$B$1176,,,)</f>
        <v>KHI/HO/D/MO/PC COMP/C/102086/406/11/2024</v>
      </c>
    </row>
    <row r="196" spans="1:36" hidden="1" x14ac:dyDescent="0.25">
      <c r="A196">
        <v>195</v>
      </c>
      <c r="B196" t="s">
        <v>35</v>
      </c>
      <c r="C196" t="s">
        <v>2466</v>
      </c>
      <c r="D196" t="s">
        <v>37</v>
      </c>
      <c r="E196" t="s">
        <v>2467</v>
      </c>
      <c r="F196" t="s">
        <v>2468</v>
      </c>
      <c r="G196" t="s">
        <v>2469</v>
      </c>
      <c r="H196" t="s">
        <v>2470</v>
      </c>
      <c r="I196" t="s">
        <v>2470</v>
      </c>
      <c r="J196" t="s">
        <v>2471</v>
      </c>
      <c r="K196" t="s">
        <v>2472</v>
      </c>
      <c r="L196">
        <v>2984500</v>
      </c>
      <c r="M196">
        <v>6350000</v>
      </c>
      <c r="N196" t="s">
        <v>2473</v>
      </c>
      <c r="O196" s="1">
        <v>45616</v>
      </c>
      <c r="P196" t="s">
        <v>2474</v>
      </c>
      <c r="Q196" t="s">
        <v>2475</v>
      </c>
      <c r="R196" t="s">
        <v>47</v>
      </c>
      <c r="S196" t="s">
        <v>48</v>
      </c>
      <c r="T196" t="s">
        <v>2476</v>
      </c>
      <c r="U196" t="s">
        <v>148</v>
      </c>
      <c r="V196" t="s">
        <v>2477</v>
      </c>
      <c r="W196" t="s">
        <v>940</v>
      </c>
      <c r="X196" t="s">
        <v>533</v>
      </c>
      <c r="Y196" t="s">
        <v>2478</v>
      </c>
      <c r="Z196">
        <v>3</v>
      </c>
      <c r="AA196" t="s">
        <v>152</v>
      </c>
      <c r="AB196" t="s">
        <v>2479</v>
      </c>
      <c r="AC196" t="s">
        <v>1080</v>
      </c>
      <c r="AD196" t="s">
        <v>299</v>
      </c>
      <c r="AE196">
        <v>5397500</v>
      </c>
      <c r="AF196">
        <v>80963</v>
      </c>
      <c r="AJ196" t="str">
        <f>_xlfn.XLOOKUP(Table9[[#This Row],[Engine No.]],'[1]Dubai Islamic Consumer'!$Q$3:$Q$1176,'[1]Dubai Islamic Consumer'!$B$3:$B$1176,,,)</f>
        <v>KHI/HO/D/MO/PC COMP/C/102086/404/11/2024</v>
      </c>
    </row>
    <row r="197" spans="1:36" hidden="1" x14ac:dyDescent="0.25">
      <c r="A197">
        <v>196</v>
      </c>
      <c r="B197" t="s">
        <v>35</v>
      </c>
      <c r="C197" t="s">
        <v>2480</v>
      </c>
      <c r="D197" t="s">
        <v>37</v>
      </c>
      <c r="E197" t="s">
        <v>2481</v>
      </c>
      <c r="F197" t="s">
        <v>39</v>
      </c>
      <c r="G197" t="s">
        <v>2482</v>
      </c>
      <c r="H197" t="s">
        <v>2483</v>
      </c>
      <c r="I197" t="s">
        <v>2484</v>
      </c>
      <c r="J197" t="s">
        <v>2483</v>
      </c>
      <c r="K197" t="s">
        <v>2485</v>
      </c>
      <c r="L197">
        <v>2054500</v>
      </c>
      <c r="M197">
        <v>2935000</v>
      </c>
      <c r="N197" t="s">
        <v>2486</v>
      </c>
      <c r="O197" t="s">
        <v>2487</v>
      </c>
      <c r="P197" t="s">
        <v>2488</v>
      </c>
      <c r="Q197" t="s">
        <v>2489</v>
      </c>
      <c r="R197" t="s">
        <v>146</v>
      </c>
      <c r="S197" t="s">
        <v>2490</v>
      </c>
      <c r="T197" t="s">
        <v>2491</v>
      </c>
      <c r="U197" t="s">
        <v>386</v>
      </c>
      <c r="V197" s="1">
        <v>45252</v>
      </c>
      <c r="W197" t="s">
        <v>387</v>
      </c>
      <c r="X197" t="s">
        <v>1628</v>
      </c>
      <c r="Y197" t="s">
        <v>2492</v>
      </c>
      <c r="Z197">
        <v>5</v>
      </c>
      <c r="AA197" t="s">
        <v>152</v>
      </c>
      <c r="AB197" t="s">
        <v>2493</v>
      </c>
      <c r="AC197" t="s">
        <v>2494</v>
      </c>
      <c r="AD197" t="s">
        <v>86</v>
      </c>
      <c r="AE197">
        <v>2641500</v>
      </c>
      <c r="AF197">
        <v>46226</v>
      </c>
      <c r="AJ197" t="str">
        <f>_xlfn.XLOOKUP(Table9[[#This Row],[Engine No.]],'[1]Dubai Islamic Consumer'!$Q$3:$Q$1176,'[1]Dubai Islamic Consumer'!$B$3:$B$1176,,,)</f>
        <v>KHI/HO/D/MO/PC COMP/C/102086/403/11/2024</v>
      </c>
    </row>
    <row r="198" spans="1:36" hidden="1" x14ac:dyDescent="0.25">
      <c r="A198">
        <v>197</v>
      </c>
      <c r="B198" t="s">
        <v>35</v>
      </c>
      <c r="C198" t="s">
        <v>2495</v>
      </c>
      <c r="D198" t="s">
        <v>37</v>
      </c>
      <c r="E198" t="s">
        <v>2496</v>
      </c>
      <c r="F198" t="s">
        <v>138</v>
      </c>
      <c r="G198" t="s">
        <v>2497</v>
      </c>
      <c r="H198" t="s">
        <v>48</v>
      </c>
      <c r="I198" t="s">
        <v>2498</v>
      </c>
      <c r="J198" t="s">
        <v>48</v>
      </c>
      <c r="K198" t="s">
        <v>2499</v>
      </c>
      <c r="L198">
        <v>2960000</v>
      </c>
      <c r="M198">
        <v>8000000</v>
      </c>
      <c r="N198" t="s">
        <v>2500</v>
      </c>
      <c r="O198" t="s">
        <v>2487</v>
      </c>
      <c r="P198" t="s">
        <v>2501</v>
      </c>
      <c r="Q198" t="s">
        <v>2502</v>
      </c>
      <c r="R198" t="s">
        <v>146</v>
      </c>
      <c r="S198" t="s">
        <v>2503</v>
      </c>
      <c r="T198" t="s">
        <v>2504</v>
      </c>
      <c r="U198" t="s">
        <v>614</v>
      </c>
      <c r="V198" s="1">
        <v>45252</v>
      </c>
      <c r="W198" t="s">
        <v>387</v>
      </c>
      <c r="X198" t="s">
        <v>388</v>
      </c>
      <c r="Y198" t="s">
        <v>2505</v>
      </c>
      <c r="Z198">
        <v>3</v>
      </c>
      <c r="AA198" t="s">
        <v>55</v>
      </c>
      <c r="AB198" t="s">
        <v>2506</v>
      </c>
      <c r="AC198" t="s">
        <v>2494</v>
      </c>
      <c r="AD198" t="s">
        <v>86</v>
      </c>
      <c r="AE198">
        <v>7200000</v>
      </c>
      <c r="AF198">
        <v>126000</v>
      </c>
      <c r="AJ198" t="str">
        <f>_xlfn.XLOOKUP(Table9[[#This Row],[Engine No.]],'[1]Dubai Islamic Consumer'!$Q$3:$Q$1176,'[1]Dubai Islamic Consumer'!$B$3:$B$1176,,,)</f>
        <v>KHI/HO/D/MO/PC COMP/C/102086/400/11/2024</v>
      </c>
    </row>
    <row r="199" spans="1:36" hidden="1" x14ac:dyDescent="0.25">
      <c r="A199">
        <v>198</v>
      </c>
      <c r="B199" t="s">
        <v>35</v>
      </c>
      <c r="C199" t="s">
        <v>2507</v>
      </c>
      <c r="D199" t="s">
        <v>37</v>
      </c>
      <c r="E199" t="s">
        <v>2508</v>
      </c>
      <c r="F199" t="s">
        <v>157</v>
      </c>
      <c r="G199" t="s">
        <v>2509</v>
      </c>
      <c r="H199" t="s">
        <v>2510</v>
      </c>
      <c r="I199" t="s">
        <v>48</v>
      </c>
      <c r="J199" t="s">
        <v>2511</v>
      </c>
      <c r="K199" t="s">
        <v>2512</v>
      </c>
      <c r="L199">
        <v>997500</v>
      </c>
      <c r="M199">
        <v>1425000</v>
      </c>
      <c r="N199" t="s">
        <v>2513</v>
      </c>
      <c r="O199" s="1">
        <v>45616</v>
      </c>
      <c r="P199" t="s">
        <v>2514</v>
      </c>
      <c r="Q199" t="s">
        <v>2515</v>
      </c>
      <c r="R199" t="s">
        <v>47</v>
      </c>
      <c r="S199" t="s">
        <v>48</v>
      </c>
      <c r="T199" t="s">
        <v>2516</v>
      </c>
      <c r="U199" t="s">
        <v>148</v>
      </c>
      <c r="V199" t="s">
        <v>1897</v>
      </c>
      <c r="W199" t="s">
        <v>940</v>
      </c>
      <c r="X199" t="s">
        <v>2517</v>
      </c>
      <c r="Y199" t="s">
        <v>2518</v>
      </c>
      <c r="Z199">
        <v>7</v>
      </c>
      <c r="AA199" t="s">
        <v>227</v>
      </c>
      <c r="AB199" t="s">
        <v>2519</v>
      </c>
      <c r="AC199" t="s">
        <v>2465</v>
      </c>
      <c r="AD199" t="s">
        <v>299</v>
      </c>
      <c r="AE199">
        <v>1211250</v>
      </c>
      <c r="AF199">
        <v>18169</v>
      </c>
      <c r="AJ199" t="str">
        <f>_xlfn.XLOOKUP(Table9[[#This Row],[Engine No.]],'[1]Dubai Islamic Consumer'!$Q$3:$Q$1176,'[1]Dubai Islamic Consumer'!$B$3:$B$1176,,,)</f>
        <v>KHI/HO/D/MO/PC COMP/C/102086/399/11/2024</v>
      </c>
    </row>
    <row r="200" spans="1:36" hidden="1" x14ac:dyDescent="0.25">
      <c r="A200">
        <v>199</v>
      </c>
      <c r="B200" t="s">
        <v>35</v>
      </c>
      <c r="C200" t="s">
        <v>2520</v>
      </c>
      <c r="D200" t="s">
        <v>37</v>
      </c>
      <c r="E200" t="s">
        <v>2521</v>
      </c>
      <c r="F200" t="s">
        <v>107</v>
      </c>
      <c r="G200" t="s">
        <v>2522</v>
      </c>
      <c r="H200" t="s">
        <v>2523</v>
      </c>
      <c r="I200" t="s">
        <v>2523</v>
      </c>
      <c r="J200" t="s">
        <v>2523</v>
      </c>
      <c r="K200" t="s">
        <v>2524</v>
      </c>
      <c r="L200">
        <v>768000</v>
      </c>
      <c r="M200">
        <v>960000</v>
      </c>
      <c r="N200" t="s">
        <v>2525</v>
      </c>
      <c r="O200" s="1">
        <v>45617</v>
      </c>
      <c r="P200" t="s">
        <v>2526</v>
      </c>
      <c r="Q200" t="s">
        <v>2527</v>
      </c>
      <c r="R200" t="s">
        <v>146</v>
      </c>
      <c r="S200" t="s">
        <v>2528</v>
      </c>
      <c r="T200" t="s">
        <v>639</v>
      </c>
      <c r="U200" t="s">
        <v>496</v>
      </c>
      <c r="V200" t="s">
        <v>2529</v>
      </c>
      <c r="W200" t="s">
        <v>1053</v>
      </c>
      <c r="X200" t="s">
        <v>1628</v>
      </c>
      <c r="Y200" t="s">
        <v>2530</v>
      </c>
      <c r="Z200">
        <v>7</v>
      </c>
      <c r="AA200" t="s">
        <v>118</v>
      </c>
      <c r="AB200" t="s">
        <v>2531</v>
      </c>
      <c r="AC200" t="s">
        <v>1627</v>
      </c>
      <c r="AD200" t="s">
        <v>299</v>
      </c>
      <c r="AE200">
        <v>768000</v>
      </c>
      <c r="AF200">
        <v>11520</v>
      </c>
      <c r="AJ200" t="str">
        <f>_xlfn.XLOOKUP(Table9[[#This Row],[Engine No.]],'[1]Dubai Islamic Consumer'!$Q$3:$Q$1176,'[1]Dubai Islamic Consumer'!$B$3:$B$1176,,,)</f>
        <v>KHI/HO/D/MO/PC COMP/C/102086/398/11/2024</v>
      </c>
    </row>
    <row r="201" spans="1:36" hidden="1" x14ac:dyDescent="0.25">
      <c r="A201">
        <v>200</v>
      </c>
      <c r="B201" t="s">
        <v>35</v>
      </c>
      <c r="C201" t="s">
        <v>2532</v>
      </c>
      <c r="D201" t="s">
        <v>37</v>
      </c>
      <c r="E201" t="s">
        <v>2533</v>
      </c>
      <c r="F201" t="s">
        <v>245</v>
      </c>
      <c r="G201" t="s">
        <v>2534</v>
      </c>
      <c r="H201" t="s">
        <v>48</v>
      </c>
      <c r="I201" t="s">
        <v>2535</v>
      </c>
      <c r="J201" t="s">
        <v>2536</v>
      </c>
      <c r="K201" t="s">
        <v>2537</v>
      </c>
      <c r="L201">
        <v>1064700</v>
      </c>
      <c r="M201">
        <v>1521000</v>
      </c>
      <c r="N201" t="s">
        <v>2538</v>
      </c>
      <c r="O201" s="1">
        <v>45617</v>
      </c>
      <c r="P201" t="s">
        <v>2539</v>
      </c>
      <c r="Q201" t="s">
        <v>2540</v>
      </c>
      <c r="R201" t="s">
        <v>146</v>
      </c>
      <c r="S201" t="s">
        <v>2541</v>
      </c>
      <c r="T201" t="s">
        <v>613</v>
      </c>
      <c r="U201" t="s">
        <v>614</v>
      </c>
      <c r="V201" t="s">
        <v>2529</v>
      </c>
      <c r="W201" t="s">
        <v>1053</v>
      </c>
      <c r="X201" t="s">
        <v>388</v>
      </c>
      <c r="Y201" t="s">
        <v>2542</v>
      </c>
      <c r="Z201">
        <v>5</v>
      </c>
      <c r="AA201" t="s">
        <v>118</v>
      </c>
      <c r="AB201" t="s">
        <v>2543</v>
      </c>
      <c r="AC201" t="s">
        <v>1387</v>
      </c>
      <c r="AD201" t="s">
        <v>299</v>
      </c>
      <c r="AE201">
        <v>1216800</v>
      </c>
      <c r="AF201">
        <v>18252</v>
      </c>
      <c r="AJ201" t="str">
        <f>_xlfn.XLOOKUP(Table9[[#This Row],[Engine No.]],'[1]Dubai Islamic Consumer'!$Q$3:$Q$1176,'[1]Dubai Islamic Consumer'!$B$3:$B$1176,,,)</f>
        <v>KHI/HO/D/MO/PC COMP/C/102086/397/11/2024</v>
      </c>
    </row>
    <row r="202" spans="1:36" hidden="1" x14ac:dyDescent="0.25">
      <c r="A202">
        <v>201</v>
      </c>
      <c r="B202" t="s">
        <v>35</v>
      </c>
      <c r="C202" t="s">
        <v>2544</v>
      </c>
      <c r="D202" t="s">
        <v>37</v>
      </c>
      <c r="E202" t="s">
        <v>2545</v>
      </c>
      <c r="F202" t="s">
        <v>138</v>
      </c>
      <c r="G202" t="s">
        <v>2546</v>
      </c>
      <c r="H202" t="s">
        <v>2547</v>
      </c>
      <c r="I202" t="s">
        <v>2547</v>
      </c>
      <c r="J202" t="s">
        <v>2547</v>
      </c>
      <c r="K202" t="s">
        <v>2548</v>
      </c>
      <c r="L202">
        <v>1137500</v>
      </c>
      <c r="M202">
        <v>1750000</v>
      </c>
      <c r="N202" t="s">
        <v>2549</v>
      </c>
      <c r="O202" s="1">
        <v>45617</v>
      </c>
      <c r="P202" t="s">
        <v>2550</v>
      </c>
      <c r="Q202" t="s">
        <v>2551</v>
      </c>
      <c r="R202" t="s">
        <v>146</v>
      </c>
      <c r="S202" t="s">
        <v>2552</v>
      </c>
      <c r="T202" t="s">
        <v>2553</v>
      </c>
      <c r="U202" t="s">
        <v>335</v>
      </c>
      <c r="V202" t="s">
        <v>2196</v>
      </c>
      <c r="W202" t="s">
        <v>1053</v>
      </c>
      <c r="X202" t="s">
        <v>388</v>
      </c>
      <c r="Y202" t="s">
        <v>2554</v>
      </c>
      <c r="Z202">
        <v>5</v>
      </c>
      <c r="AA202" t="s">
        <v>323</v>
      </c>
      <c r="AB202" t="s">
        <v>2555</v>
      </c>
      <c r="AC202" t="s">
        <v>1627</v>
      </c>
      <c r="AD202" t="s">
        <v>299</v>
      </c>
      <c r="AE202">
        <v>1400000</v>
      </c>
      <c r="AF202">
        <v>21000</v>
      </c>
      <c r="AJ202" t="str">
        <f>_xlfn.XLOOKUP(Table9[[#This Row],[Engine No.]],'[1]Dubai Islamic Consumer'!$Q$3:$Q$1176,'[1]Dubai Islamic Consumer'!$B$3:$B$1176,,,)</f>
        <v>KHI/HO/D/MO/PC COMP/C/102086/395/11/2024</v>
      </c>
    </row>
    <row r="203" spans="1:36" hidden="1" x14ac:dyDescent="0.25">
      <c r="A203">
        <v>202</v>
      </c>
      <c r="B203" t="s">
        <v>35</v>
      </c>
      <c r="C203" t="s">
        <v>2556</v>
      </c>
      <c r="D203" t="s">
        <v>37</v>
      </c>
      <c r="E203" t="s">
        <v>2557</v>
      </c>
      <c r="F203" t="s">
        <v>138</v>
      </c>
      <c r="G203" t="s">
        <v>2558</v>
      </c>
      <c r="H203" t="s">
        <v>2559</v>
      </c>
      <c r="I203" t="s">
        <v>2559</v>
      </c>
      <c r="J203" t="s">
        <v>2559</v>
      </c>
      <c r="K203" t="s">
        <v>2560</v>
      </c>
      <c r="L203">
        <v>1120000</v>
      </c>
      <c r="M203">
        <v>1600000</v>
      </c>
      <c r="N203" t="s">
        <v>2561</v>
      </c>
      <c r="O203" s="1">
        <v>45617</v>
      </c>
      <c r="P203" t="s">
        <v>2562</v>
      </c>
      <c r="Q203" t="s">
        <v>2563</v>
      </c>
      <c r="R203" t="s">
        <v>146</v>
      </c>
      <c r="S203" t="s">
        <v>2564</v>
      </c>
      <c r="T203" t="s">
        <v>67</v>
      </c>
      <c r="U203" t="s">
        <v>335</v>
      </c>
      <c r="V203" t="s">
        <v>2196</v>
      </c>
      <c r="W203" t="s">
        <v>1053</v>
      </c>
      <c r="X203" t="s">
        <v>2210</v>
      </c>
      <c r="Y203" t="s">
        <v>2565</v>
      </c>
      <c r="Z203">
        <v>6</v>
      </c>
      <c r="AA203" t="s">
        <v>323</v>
      </c>
      <c r="AB203" t="s">
        <v>2566</v>
      </c>
      <c r="AC203" t="s">
        <v>1627</v>
      </c>
      <c r="AD203" t="s">
        <v>299</v>
      </c>
      <c r="AE203">
        <v>1280000</v>
      </c>
      <c r="AF203">
        <v>19200</v>
      </c>
      <c r="AJ203" t="str">
        <f>_xlfn.XLOOKUP(Table9[[#This Row],[Engine No.]],'[1]Dubai Islamic Consumer'!$Q$3:$Q$1176,'[1]Dubai Islamic Consumer'!$B$3:$B$1176,,,)</f>
        <v>KHI/HO/D/MO/PC COMP/C/102086/389/11/2024</v>
      </c>
    </row>
    <row r="204" spans="1:36" hidden="1" x14ac:dyDescent="0.25">
      <c r="A204">
        <v>203</v>
      </c>
      <c r="B204" t="s">
        <v>35</v>
      </c>
      <c r="C204" t="s">
        <v>2567</v>
      </c>
      <c r="D204" t="s">
        <v>37</v>
      </c>
      <c r="E204" t="s">
        <v>2568</v>
      </c>
      <c r="F204" t="s">
        <v>245</v>
      </c>
      <c r="G204" t="s">
        <v>2569</v>
      </c>
      <c r="H204" t="s">
        <v>1505</v>
      </c>
      <c r="I204" t="s">
        <v>1505</v>
      </c>
      <c r="J204" t="s">
        <v>2570</v>
      </c>
      <c r="K204" t="s">
        <v>2571</v>
      </c>
      <c r="L204">
        <v>1654800</v>
      </c>
      <c r="M204">
        <v>4137000</v>
      </c>
      <c r="N204" t="s">
        <v>2572</v>
      </c>
      <c r="O204" s="1">
        <v>45617</v>
      </c>
      <c r="P204" t="s">
        <v>2573</v>
      </c>
      <c r="Q204" t="s">
        <v>2574</v>
      </c>
      <c r="R204" t="s">
        <v>47</v>
      </c>
      <c r="S204" t="s">
        <v>48</v>
      </c>
      <c r="T204" t="s">
        <v>97</v>
      </c>
      <c r="U204" t="s">
        <v>50</v>
      </c>
      <c r="V204" t="s">
        <v>211</v>
      </c>
      <c r="W204" t="s">
        <v>132</v>
      </c>
      <c r="X204" t="s">
        <v>533</v>
      </c>
      <c r="Y204" t="s">
        <v>2575</v>
      </c>
      <c r="Z204">
        <v>4</v>
      </c>
      <c r="AA204" t="s">
        <v>118</v>
      </c>
      <c r="AB204" t="s">
        <v>2576</v>
      </c>
      <c r="AC204" t="s">
        <v>1627</v>
      </c>
      <c r="AD204" t="s">
        <v>86</v>
      </c>
      <c r="AE204">
        <v>3309600</v>
      </c>
      <c r="AF204">
        <v>57918</v>
      </c>
      <c r="AJ204" t="str">
        <f>_xlfn.XLOOKUP(Table9[[#This Row],[Engine No.]],'[1]Dubai Islamic Consumer'!$Q$3:$Q$1176,'[1]Dubai Islamic Consumer'!$B$3:$B$1176,,,)</f>
        <v>KHI/HO/D/MO/PC COMP/C/102086/388/11/2024</v>
      </c>
    </row>
    <row r="205" spans="1:36" hidden="1" x14ac:dyDescent="0.25">
      <c r="A205">
        <v>204</v>
      </c>
      <c r="B205" t="s">
        <v>35</v>
      </c>
      <c r="C205" t="s">
        <v>2577</v>
      </c>
      <c r="D205" t="s">
        <v>37</v>
      </c>
      <c r="E205" t="s">
        <v>2578</v>
      </c>
      <c r="F205" t="s">
        <v>39</v>
      </c>
      <c r="G205" t="s">
        <v>2579</v>
      </c>
      <c r="H205" t="s">
        <v>2580</v>
      </c>
      <c r="I205" t="s">
        <v>2581</v>
      </c>
      <c r="J205" t="s">
        <v>2582</v>
      </c>
      <c r="K205" t="s">
        <v>2583</v>
      </c>
      <c r="L205">
        <v>1941750</v>
      </c>
      <c r="M205">
        <v>2589000</v>
      </c>
      <c r="N205" t="s">
        <v>2584</v>
      </c>
      <c r="O205" s="1">
        <v>45617</v>
      </c>
      <c r="P205" t="s">
        <v>2585</v>
      </c>
      <c r="Q205" t="s">
        <v>2586</v>
      </c>
      <c r="R205" t="s">
        <v>47</v>
      </c>
      <c r="S205" t="s">
        <v>48</v>
      </c>
      <c r="T205" t="s">
        <v>2587</v>
      </c>
      <c r="U205" t="s">
        <v>50</v>
      </c>
      <c r="V205" t="s">
        <v>240</v>
      </c>
      <c r="W205" t="s">
        <v>132</v>
      </c>
      <c r="X205" t="s">
        <v>533</v>
      </c>
      <c r="Y205" t="s">
        <v>2588</v>
      </c>
      <c r="Z205">
        <v>4</v>
      </c>
      <c r="AA205" t="s">
        <v>55</v>
      </c>
      <c r="AB205" t="s">
        <v>2589</v>
      </c>
      <c r="AC205" t="s">
        <v>1627</v>
      </c>
      <c r="AD205" t="s">
        <v>58</v>
      </c>
      <c r="AE205">
        <v>2071200</v>
      </c>
      <c r="AF205">
        <v>41424</v>
      </c>
      <c r="AJ205" t="str">
        <f>_xlfn.XLOOKUP(Table9[[#This Row],[Engine No.]],'[1]Dubai Islamic Consumer'!$Q$3:$Q$1176,'[1]Dubai Islamic Consumer'!$B$3:$B$1176,,,)</f>
        <v>KHI/HO/D/MO/PC COMP/C/102086/387/11/2024</v>
      </c>
    </row>
    <row r="206" spans="1:36" hidden="1" x14ac:dyDescent="0.25">
      <c r="A206">
        <v>205</v>
      </c>
      <c r="B206" t="s">
        <v>35</v>
      </c>
      <c r="C206" t="s">
        <v>2590</v>
      </c>
      <c r="D206" t="s">
        <v>37</v>
      </c>
      <c r="E206" t="s">
        <v>2591</v>
      </c>
      <c r="F206" t="s">
        <v>138</v>
      </c>
      <c r="G206" t="s">
        <v>2592</v>
      </c>
      <c r="H206" t="s">
        <v>48</v>
      </c>
      <c r="I206" t="s">
        <v>2593</v>
      </c>
      <c r="J206" t="s">
        <v>48</v>
      </c>
      <c r="K206" t="s">
        <v>2594</v>
      </c>
      <c r="L206">
        <v>1917500</v>
      </c>
      <c r="M206">
        <v>2950000</v>
      </c>
      <c r="N206" t="s">
        <v>2595</v>
      </c>
      <c r="O206" s="1">
        <v>45617</v>
      </c>
      <c r="P206" t="s">
        <v>2596</v>
      </c>
      <c r="Q206" t="s">
        <v>2597</v>
      </c>
      <c r="R206" t="s">
        <v>146</v>
      </c>
      <c r="S206" t="s">
        <v>2598</v>
      </c>
      <c r="T206" t="s">
        <v>2599</v>
      </c>
      <c r="U206" t="s">
        <v>496</v>
      </c>
      <c r="V206" t="s">
        <v>2529</v>
      </c>
      <c r="W206" t="s">
        <v>1053</v>
      </c>
      <c r="X206" t="s">
        <v>388</v>
      </c>
      <c r="Y206" t="s">
        <v>2600</v>
      </c>
      <c r="Z206">
        <v>5</v>
      </c>
      <c r="AA206" t="s">
        <v>323</v>
      </c>
      <c r="AB206" t="s">
        <v>2601</v>
      </c>
      <c r="AC206" t="s">
        <v>1627</v>
      </c>
      <c r="AD206" t="s">
        <v>299</v>
      </c>
      <c r="AE206">
        <v>2360000</v>
      </c>
      <c r="AF206">
        <v>35400</v>
      </c>
      <c r="AJ206" t="str">
        <f>_xlfn.XLOOKUP(Table9[[#This Row],[Engine No.]],'[1]Dubai Islamic Consumer'!$Q$3:$Q$1176,'[1]Dubai Islamic Consumer'!$B$3:$B$1176,,,)</f>
        <v>KHI/HO/D/MO/PC COMP/C/102086/385/11/2024</v>
      </c>
    </row>
    <row r="207" spans="1:36" hidden="1" x14ac:dyDescent="0.25">
      <c r="A207">
        <v>206</v>
      </c>
      <c r="B207" t="s">
        <v>35</v>
      </c>
      <c r="C207" t="s">
        <v>2602</v>
      </c>
      <c r="D207" t="s">
        <v>37</v>
      </c>
      <c r="E207" t="s">
        <v>2603</v>
      </c>
      <c r="F207" t="s">
        <v>39</v>
      </c>
      <c r="G207" t="s">
        <v>2604</v>
      </c>
      <c r="H207" t="s">
        <v>2605</v>
      </c>
      <c r="I207" t="s">
        <v>2606</v>
      </c>
      <c r="J207" t="s">
        <v>2605</v>
      </c>
      <c r="K207" t="s">
        <v>2607</v>
      </c>
      <c r="L207">
        <v>2815400</v>
      </c>
      <c r="M207">
        <v>4022000</v>
      </c>
      <c r="N207" t="s">
        <v>2608</v>
      </c>
      <c r="O207" s="1">
        <v>45617</v>
      </c>
      <c r="P207" t="s">
        <v>2609</v>
      </c>
      <c r="Q207" t="s">
        <v>2610</v>
      </c>
      <c r="R207" t="s">
        <v>47</v>
      </c>
      <c r="S207" t="s">
        <v>48</v>
      </c>
      <c r="T207" t="s">
        <v>1065</v>
      </c>
      <c r="U207" t="s">
        <v>50</v>
      </c>
      <c r="V207" t="s">
        <v>2611</v>
      </c>
      <c r="W207" t="s">
        <v>132</v>
      </c>
      <c r="X207" t="s">
        <v>133</v>
      </c>
      <c r="Y207" t="s">
        <v>2612</v>
      </c>
      <c r="Z207">
        <v>5</v>
      </c>
      <c r="AA207" t="s">
        <v>55</v>
      </c>
      <c r="AB207" t="s">
        <v>2613</v>
      </c>
      <c r="AC207" t="s">
        <v>1627</v>
      </c>
      <c r="AD207" t="s">
        <v>58</v>
      </c>
      <c r="AE207">
        <v>3217600</v>
      </c>
      <c r="AF207">
        <v>64352</v>
      </c>
      <c r="AJ207" t="str">
        <f>_xlfn.XLOOKUP(Table9[[#This Row],[Engine No.]],'[1]Dubai Islamic Consumer'!$Q$3:$Q$1176,'[1]Dubai Islamic Consumer'!$B$3:$B$1176,,,)</f>
        <v>KHI/HO/D/MO/PC COMP/C/102086/383/11/2024</v>
      </c>
    </row>
    <row r="208" spans="1:36" hidden="1" x14ac:dyDescent="0.25">
      <c r="A208">
        <v>207</v>
      </c>
      <c r="B208" t="s">
        <v>35</v>
      </c>
      <c r="C208" t="s">
        <v>2614</v>
      </c>
      <c r="D208" t="s">
        <v>37</v>
      </c>
      <c r="E208" t="s">
        <v>2615</v>
      </c>
      <c r="F208" t="s">
        <v>89</v>
      </c>
      <c r="G208" t="s">
        <v>2616</v>
      </c>
      <c r="H208" t="s">
        <v>2617</v>
      </c>
      <c r="I208" t="s">
        <v>48</v>
      </c>
      <c r="J208" t="s">
        <v>2618</v>
      </c>
      <c r="K208" t="s">
        <v>2619</v>
      </c>
      <c r="L208">
        <v>2860000</v>
      </c>
      <c r="M208">
        <v>5500000</v>
      </c>
      <c r="N208" t="s">
        <v>2620</v>
      </c>
      <c r="O208" s="1">
        <v>45617</v>
      </c>
      <c r="P208" t="s">
        <v>2621</v>
      </c>
      <c r="Q208" t="s">
        <v>2622</v>
      </c>
      <c r="R208" t="s">
        <v>146</v>
      </c>
      <c r="S208" t="s">
        <v>2623</v>
      </c>
      <c r="T208" t="s">
        <v>115</v>
      </c>
      <c r="U208" t="s">
        <v>98</v>
      </c>
      <c r="V208" t="s">
        <v>2196</v>
      </c>
      <c r="W208" t="s">
        <v>1053</v>
      </c>
      <c r="X208" t="s">
        <v>388</v>
      </c>
      <c r="Y208" t="s">
        <v>2624</v>
      </c>
      <c r="Z208">
        <v>5</v>
      </c>
      <c r="AA208" t="s">
        <v>118</v>
      </c>
      <c r="AB208" t="s">
        <v>2625</v>
      </c>
      <c r="AC208" t="s">
        <v>1627</v>
      </c>
      <c r="AD208" t="s">
        <v>299</v>
      </c>
      <c r="AE208">
        <v>4400000</v>
      </c>
      <c r="AF208">
        <v>66000</v>
      </c>
      <c r="AJ208" t="str">
        <f>_xlfn.XLOOKUP(Table9[[#This Row],[Engine No.]],'[1]Dubai Islamic Consumer'!$Q$3:$Q$1176,'[1]Dubai Islamic Consumer'!$B$3:$B$1176,,,)</f>
        <v>KHI/HO/D/MO/PC COMP/C/102086/382/11/2024</v>
      </c>
    </row>
    <row r="209" spans="1:36" hidden="1" x14ac:dyDescent="0.25">
      <c r="A209">
        <v>208</v>
      </c>
      <c r="B209" t="s">
        <v>35</v>
      </c>
      <c r="C209" t="s">
        <v>2626</v>
      </c>
      <c r="D209" t="s">
        <v>37</v>
      </c>
      <c r="E209" t="s">
        <v>2627</v>
      </c>
      <c r="F209" t="s">
        <v>138</v>
      </c>
      <c r="G209" t="s">
        <v>2628</v>
      </c>
      <c r="H209" t="s">
        <v>2629</v>
      </c>
      <c r="I209" t="s">
        <v>2630</v>
      </c>
      <c r="J209" t="s">
        <v>2629</v>
      </c>
      <c r="K209" t="s">
        <v>2631</v>
      </c>
      <c r="L209">
        <v>1137500</v>
      </c>
      <c r="M209">
        <v>1750000</v>
      </c>
      <c r="N209" t="s">
        <v>2632</v>
      </c>
      <c r="O209" s="1">
        <v>45617</v>
      </c>
      <c r="P209" t="s">
        <v>2633</v>
      </c>
      <c r="Q209" t="s">
        <v>2634</v>
      </c>
      <c r="R209" t="s">
        <v>146</v>
      </c>
      <c r="S209" t="s">
        <v>2635</v>
      </c>
      <c r="T209" t="s">
        <v>1323</v>
      </c>
      <c r="U209" t="s">
        <v>614</v>
      </c>
      <c r="V209" t="s">
        <v>2462</v>
      </c>
      <c r="W209" t="s">
        <v>1922</v>
      </c>
      <c r="X209" t="s">
        <v>2210</v>
      </c>
      <c r="Y209" t="s">
        <v>2636</v>
      </c>
      <c r="Z209">
        <v>5</v>
      </c>
      <c r="AA209" t="s">
        <v>152</v>
      </c>
      <c r="AB209" t="s">
        <v>2637</v>
      </c>
      <c r="AC209" t="s">
        <v>2465</v>
      </c>
      <c r="AD209" t="s">
        <v>86</v>
      </c>
      <c r="AE209">
        <v>1487500</v>
      </c>
      <c r="AF209">
        <v>26031</v>
      </c>
      <c r="AJ209" t="str">
        <f>_xlfn.XLOOKUP(Table9[[#This Row],[Engine No.]],'[1]Dubai Islamic Consumer'!$Q$3:$Q$1176,'[1]Dubai Islamic Consumer'!$B$3:$B$1176,,,)</f>
        <v>KHI/HO/D/MO/PC COMP/C/102086/380/11/2024</v>
      </c>
    </row>
    <row r="210" spans="1:36" hidden="1" x14ac:dyDescent="0.25">
      <c r="A210">
        <v>209</v>
      </c>
      <c r="B210" t="s">
        <v>35</v>
      </c>
      <c r="C210" t="s">
        <v>2638</v>
      </c>
      <c r="D210" t="s">
        <v>37</v>
      </c>
      <c r="E210" t="s">
        <v>2639</v>
      </c>
      <c r="F210" t="s">
        <v>138</v>
      </c>
      <c r="G210" t="s">
        <v>2640</v>
      </c>
      <c r="H210" t="s">
        <v>48</v>
      </c>
      <c r="I210" t="s">
        <v>2641</v>
      </c>
      <c r="J210" t="s">
        <v>48</v>
      </c>
      <c r="K210" t="s">
        <v>2642</v>
      </c>
      <c r="L210">
        <v>1172000</v>
      </c>
      <c r="M210">
        <v>2930000</v>
      </c>
      <c r="N210" t="s">
        <v>2643</v>
      </c>
      <c r="O210" s="1">
        <v>45617</v>
      </c>
      <c r="P210" t="s">
        <v>2644</v>
      </c>
      <c r="Q210" t="s">
        <v>2645</v>
      </c>
      <c r="R210" t="s">
        <v>146</v>
      </c>
      <c r="S210" t="s">
        <v>2646</v>
      </c>
      <c r="T210" t="s">
        <v>2647</v>
      </c>
      <c r="U210" t="s">
        <v>496</v>
      </c>
      <c r="V210" t="s">
        <v>2462</v>
      </c>
      <c r="W210" t="s">
        <v>1922</v>
      </c>
      <c r="X210" t="s">
        <v>457</v>
      </c>
      <c r="Y210" t="s">
        <v>2648</v>
      </c>
      <c r="Z210">
        <v>3</v>
      </c>
      <c r="AA210" t="s">
        <v>152</v>
      </c>
      <c r="AB210" t="s">
        <v>2649</v>
      </c>
      <c r="AC210" t="s">
        <v>2462</v>
      </c>
      <c r="AD210" t="s">
        <v>86</v>
      </c>
      <c r="AE210">
        <v>2490500</v>
      </c>
      <c r="AF210">
        <v>43584</v>
      </c>
      <c r="AJ210" t="str">
        <f>_xlfn.XLOOKUP(Table9[[#This Row],[Engine No.]],'[1]Dubai Islamic Consumer'!$Q$3:$Q$1176,'[1]Dubai Islamic Consumer'!$B$3:$B$1176,,,)</f>
        <v>KHI/HO/D/MO/PC COMP/C/102086/377/11/2024</v>
      </c>
    </row>
    <row r="211" spans="1:36" hidden="1" x14ac:dyDescent="0.25">
      <c r="A211">
        <v>210</v>
      </c>
      <c r="B211" t="s">
        <v>35</v>
      </c>
      <c r="C211" t="s">
        <v>2650</v>
      </c>
      <c r="D211" t="s">
        <v>37</v>
      </c>
      <c r="E211" t="s">
        <v>2651</v>
      </c>
      <c r="F211" t="s">
        <v>138</v>
      </c>
      <c r="G211" t="s">
        <v>2652</v>
      </c>
      <c r="H211" t="s">
        <v>2653</v>
      </c>
      <c r="I211" t="s">
        <v>2653</v>
      </c>
      <c r="J211" t="s">
        <v>141</v>
      </c>
      <c r="K211" t="s">
        <v>2654</v>
      </c>
      <c r="L211">
        <v>986100</v>
      </c>
      <c r="M211">
        <v>1730000</v>
      </c>
      <c r="N211" t="s">
        <v>2655</v>
      </c>
      <c r="O211" s="1">
        <v>45617</v>
      </c>
      <c r="P211" t="s">
        <v>2656</v>
      </c>
      <c r="Q211" t="s">
        <v>2657</v>
      </c>
      <c r="R211" t="s">
        <v>146</v>
      </c>
      <c r="S211" t="s">
        <v>2658</v>
      </c>
      <c r="T211" t="s">
        <v>194</v>
      </c>
      <c r="U211" t="s">
        <v>614</v>
      </c>
      <c r="V211" t="s">
        <v>2462</v>
      </c>
      <c r="W211" t="s">
        <v>1922</v>
      </c>
      <c r="X211" t="s">
        <v>457</v>
      </c>
      <c r="Y211" t="s">
        <v>2659</v>
      </c>
      <c r="Z211">
        <v>3</v>
      </c>
      <c r="AA211" t="s">
        <v>227</v>
      </c>
      <c r="AB211" t="s">
        <v>2660</v>
      </c>
      <c r="AC211" t="s">
        <v>2465</v>
      </c>
      <c r="AD211" t="s">
        <v>86</v>
      </c>
      <c r="AE211">
        <v>1470500</v>
      </c>
      <c r="AF211">
        <v>25734</v>
      </c>
      <c r="AJ211" t="str">
        <f>_xlfn.XLOOKUP(Table9[[#This Row],[Engine No.]],'[1]Dubai Islamic Consumer'!$Q$3:$Q$1176,'[1]Dubai Islamic Consumer'!$B$3:$B$1176,,,)</f>
        <v>KHI/HO/D/MO/PC COMP/C/102086/375/11/2024</v>
      </c>
    </row>
    <row r="212" spans="1:36" hidden="1" x14ac:dyDescent="0.25">
      <c r="A212">
        <v>211</v>
      </c>
      <c r="B212" t="s">
        <v>35</v>
      </c>
      <c r="C212" t="s">
        <v>2661</v>
      </c>
      <c r="D212" t="s">
        <v>37</v>
      </c>
      <c r="E212" t="s">
        <v>2662</v>
      </c>
      <c r="F212" t="s">
        <v>107</v>
      </c>
      <c r="G212" t="s">
        <v>2663</v>
      </c>
      <c r="H212" t="s">
        <v>48</v>
      </c>
      <c r="I212" t="s">
        <v>2664</v>
      </c>
      <c r="J212" t="s">
        <v>48</v>
      </c>
      <c r="K212" t="s">
        <v>2665</v>
      </c>
      <c r="L212">
        <v>826000</v>
      </c>
      <c r="M212">
        <v>1180000</v>
      </c>
      <c r="N212" t="s">
        <v>2666</v>
      </c>
      <c r="O212" s="1">
        <v>45617</v>
      </c>
      <c r="P212" t="s">
        <v>2667</v>
      </c>
      <c r="Q212" t="s">
        <v>2668</v>
      </c>
      <c r="R212" t="s">
        <v>146</v>
      </c>
      <c r="S212" t="s">
        <v>2669</v>
      </c>
      <c r="T212" t="s">
        <v>2670</v>
      </c>
      <c r="U212" t="s">
        <v>614</v>
      </c>
      <c r="V212" t="s">
        <v>2671</v>
      </c>
      <c r="W212" t="s">
        <v>1922</v>
      </c>
      <c r="X212" t="s">
        <v>2210</v>
      </c>
      <c r="Y212" t="s">
        <v>2672</v>
      </c>
      <c r="Z212">
        <v>5</v>
      </c>
      <c r="AA212" t="s">
        <v>227</v>
      </c>
      <c r="AB212" t="s">
        <v>2673</v>
      </c>
      <c r="AC212" t="s">
        <v>2462</v>
      </c>
      <c r="AD212" t="s">
        <v>86</v>
      </c>
      <c r="AE212">
        <v>1003000</v>
      </c>
      <c r="AF212">
        <v>17553</v>
      </c>
      <c r="AJ212" t="str">
        <f>_xlfn.XLOOKUP(Table9[[#This Row],[Engine No.]],'[1]Dubai Islamic Consumer'!$Q$3:$Q$1176,'[1]Dubai Islamic Consumer'!$B$3:$B$1176,,,)</f>
        <v>KHI/HO/D/MO/PC COMP/C/102086/373/11/2024</v>
      </c>
    </row>
    <row r="213" spans="1:36" hidden="1" x14ac:dyDescent="0.25">
      <c r="A213">
        <v>212</v>
      </c>
      <c r="B213" t="s">
        <v>35</v>
      </c>
      <c r="C213" t="s">
        <v>2674</v>
      </c>
      <c r="D213" t="s">
        <v>37</v>
      </c>
      <c r="E213" t="s">
        <v>2675</v>
      </c>
      <c r="F213" t="s">
        <v>138</v>
      </c>
      <c r="G213" t="s">
        <v>2676</v>
      </c>
      <c r="H213" t="s">
        <v>2677</v>
      </c>
      <c r="I213" t="s">
        <v>2677</v>
      </c>
      <c r="J213" t="s">
        <v>2677</v>
      </c>
      <c r="K213" t="s">
        <v>2678</v>
      </c>
      <c r="L213">
        <v>2650000</v>
      </c>
      <c r="M213">
        <v>5300000</v>
      </c>
      <c r="N213" t="s">
        <v>2679</v>
      </c>
      <c r="O213" t="s">
        <v>2680</v>
      </c>
      <c r="P213" t="s">
        <v>2681</v>
      </c>
      <c r="Q213" t="s">
        <v>2682</v>
      </c>
      <c r="R213" t="s">
        <v>146</v>
      </c>
      <c r="S213" t="s">
        <v>2683</v>
      </c>
      <c r="T213" t="s">
        <v>348</v>
      </c>
      <c r="U213" t="s">
        <v>386</v>
      </c>
      <c r="V213" s="1">
        <v>45253</v>
      </c>
      <c r="W213" t="s">
        <v>387</v>
      </c>
      <c r="X213" t="s">
        <v>388</v>
      </c>
      <c r="Y213" t="s">
        <v>2684</v>
      </c>
      <c r="Z213">
        <v>3</v>
      </c>
      <c r="AA213" t="s">
        <v>55</v>
      </c>
      <c r="AB213" t="s">
        <v>2685</v>
      </c>
      <c r="AC213" t="s">
        <v>2686</v>
      </c>
      <c r="AD213" t="s">
        <v>86</v>
      </c>
      <c r="AE213">
        <v>4770000</v>
      </c>
      <c r="AF213">
        <v>83475</v>
      </c>
      <c r="AJ213" t="str">
        <f>_xlfn.XLOOKUP(Table9[[#This Row],[Engine No.]],'[1]Dubai Islamic Consumer'!$Q$3:$Q$1176,'[1]Dubai Islamic Consumer'!$B$3:$B$1176,,,)</f>
        <v>KHI/HO/D/MO/PC COMP/C/102086/368/11/2024</v>
      </c>
    </row>
    <row r="214" spans="1:36" hidden="1" x14ac:dyDescent="0.25">
      <c r="A214">
        <v>213</v>
      </c>
      <c r="B214" t="s">
        <v>35</v>
      </c>
      <c r="C214" t="s">
        <v>2687</v>
      </c>
      <c r="D214" t="s">
        <v>37</v>
      </c>
      <c r="E214" t="s">
        <v>2688</v>
      </c>
      <c r="F214" t="s">
        <v>138</v>
      </c>
      <c r="G214" t="s">
        <v>2689</v>
      </c>
      <c r="H214" t="s">
        <v>48</v>
      </c>
      <c r="I214" t="s">
        <v>2690</v>
      </c>
      <c r="J214" t="s">
        <v>48</v>
      </c>
      <c r="K214" t="s">
        <v>2691</v>
      </c>
      <c r="L214">
        <v>2982000</v>
      </c>
      <c r="M214">
        <v>7100000</v>
      </c>
      <c r="N214" t="s">
        <v>2692</v>
      </c>
      <c r="O214" t="s">
        <v>2680</v>
      </c>
      <c r="P214" t="s">
        <v>2693</v>
      </c>
      <c r="Q214" t="s">
        <v>2694</v>
      </c>
      <c r="R214" t="s">
        <v>146</v>
      </c>
      <c r="S214" t="s">
        <v>2695</v>
      </c>
      <c r="T214" t="s">
        <v>115</v>
      </c>
      <c r="U214" t="s">
        <v>50</v>
      </c>
      <c r="V214" s="1">
        <v>45253</v>
      </c>
      <c r="W214" t="s">
        <v>387</v>
      </c>
      <c r="X214" t="s">
        <v>388</v>
      </c>
      <c r="Y214" t="s">
        <v>2696</v>
      </c>
      <c r="Z214">
        <v>3</v>
      </c>
      <c r="AA214" t="s">
        <v>55</v>
      </c>
      <c r="AB214" t="s">
        <v>2697</v>
      </c>
      <c r="AC214" t="s">
        <v>2494</v>
      </c>
      <c r="AD214" t="s">
        <v>86</v>
      </c>
      <c r="AE214">
        <v>6390000</v>
      </c>
      <c r="AF214">
        <v>111825</v>
      </c>
      <c r="AJ214" t="str">
        <f>_xlfn.XLOOKUP(Table9[[#This Row],[Engine No.]],'[1]Dubai Islamic Consumer'!$Q$3:$Q$1176,'[1]Dubai Islamic Consumer'!$B$3:$B$1176,,,)</f>
        <v>KHI/HO/D/MO/PC COMP/C/102086/365/11/2024</v>
      </c>
    </row>
    <row r="215" spans="1:36" hidden="1" x14ac:dyDescent="0.25">
      <c r="A215">
        <v>214</v>
      </c>
      <c r="B215" t="s">
        <v>35</v>
      </c>
      <c r="C215" t="s">
        <v>2698</v>
      </c>
      <c r="D215" t="s">
        <v>37</v>
      </c>
      <c r="E215" t="s">
        <v>2699</v>
      </c>
      <c r="F215" t="s">
        <v>138</v>
      </c>
      <c r="G215" t="s">
        <v>2700</v>
      </c>
      <c r="H215" t="s">
        <v>2701</v>
      </c>
      <c r="I215" t="s">
        <v>2701</v>
      </c>
      <c r="J215" t="s">
        <v>2701</v>
      </c>
      <c r="K215" t="s">
        <v>2702</v>
      </c>
      <c r="L215">
        <v>2035000</v>
      </c>
      <c r="M215">
        <v>5500000</v>
      </c>
      <c r="N215" t="s">
        <v>2703</v>
      </c>
      <c r="O215" t="s">
        <v>2680</v>
      </c>
      <c r="P215" t="s">
        <v>2704</v>
      </c>
      <c r="Q215" t="s">
        <v>2705</v>
      </c>
      <c r="R215" t="s">
        <v>146</v>
      </c>
      <c r="S215" t="s">
        <v>2706</v>
      </c>
      <c r="T215" t="s">
        <v>1732</v>
      </c>
      <c r="U215" t="s">
        <v>148</v>
      </c>
      <c r="V215" s="1">
        <v>45253</v>
      </c>
      <c r="W215" t="s">
        <v>387</v>
      </c>
      <c r="X215" t="s">
        <v>388</v>
      </c>
      <c r="Y215" t="s">
        <v>2707</v>
      </c>
      <c r="Z215">
        <v>3</v>
      </c>
      <c r="AA215" t="s">
        <v>55</v>
      </c>
      <c r="AB215" t="s">
        <v>2708</v>
      </c>
      <c r="AC215" t="s">
        <v>2494</v>
      </c>
      <c r="AD215" t="s">
        <v>86</v>
      </c>
      <c r="AE215">
        <v>4950000</v>
      </c>
      <c r="AF215">
        <v>86625</v>
      </c>
      <c r="AJ215" t="str">
        <f>_xlfn.XLOOKUP(Table9[[#This Row],[Engine No.]],'[1]Dubai Islamic Consumer'!$Q$3:$Q$1176,'[1]Dubai Islamic Consumer'!$B$3:$B$1176,,,)</f>
        <v>KHI/HO/D/MO/PC COMP/C/102086/364/11/2024</v>
      </c>
    </row>
    <row r="216" spans="1:36" hidden="1" x14ac:dyDescent="0.25">
      <c r="A216">
        <v>215</v>
      </c>
      <c r="B216" t="s">
        <v>35</v>
      </c>
      <c r="C216" t="s">
        <v>2709</v>
      </c>
      <c r="D216" t="s">
        <v>37</v>
      </c>
      <c r="E216" t="s">
        <v>2710</v>
      </c>
      <c r="F216" t="s">
        <v>73</v>
      </c>
      <c r="G216" t="s">
        <v>2711</v>
      </c>
      <c r="H216" t="s">
        <v>48</v>
      </c>
      <c r="I216" t="s">
        <v>2712</v>
      </c>
      <c r="J216" t="s">
        <v>48</v>
      </c>
      <c r="K216" t="s">
        <v>2713</v>
      </c>
      <c r="L216">
        <v>786750</v>
      </c>
      <c r="M216">
        <v>1049000</v>
      </c>
      <c r="N216" t="s">
        <v>2714</v>
      </c>
      <c r="O216" s="1">
        <v>45618</v>
      </c>
      <c r="P216" t="s">
        <v>2715</v>
      </c>
      <c r="Q216" t="s">
        <v>2716</v>
      </c>
      <c r="R216" t="s">
        <v>47</v>
      </c>
      <c r="S216" t="s">
        <v>48</v>
      </c>
      <c r="T216" t="s">
        <v>966</v>
      </c>
      <c r="U216" t="s">
        <v>50</v>
      </c>
      <c r="V216" t="s">
        <v>2717</v>
      </c>
      <c r="W216" t="s">
        <v>132</v>
      </c>
      <c r="X216" t="s">
        <v>133</v>
      </c>
      <c r="Y216" t="s">
        <v>2718</v>
      </c>
      <c r="Z216">
        <v>5</v>
      </c>
      <c r="AA216" t="s">
        <v>55</v>
      </c>
      <c r="AB216" t="s">
        <v>2719</v>
      </c>
      <c r="AC216" t="s">
        <v>2529</v>
      </c>
      <c r="AD216" t="s">
        <v>58</v>
      </c>
      <c r="AE216">
        <v>839200</v>
      </c>
      <c r="AF216">
        <v>16784</v>
      </c>
      <c r="AJ216" t="str">
        <f>_xlfn.XLOOKUP(Table9[[#This Row],[Engine No.]],'[1]Dubai Islamic Consumer'!$Q$3:$Q$1176,'[1]Dubai Islamic Consumer'!$B$3:$B$1176,,,)</f>
        <v>KHI/HO/D/MO/PC COMP/C/102086/362/11/2024</v>
      </c>
    </row>
    <row r="217" spans="1:36" hidden="1" x14ac:dyDescent="0.25">
      <c r="A217">
        <v>216</v>
      </c>
      <c r="B217" t="s">
        <v>35</v>
      </c>
      <c r="C217" t="s">
        <v>2720</v>
      </c>
      <c r="D217" t="s">
        <v>37</v>
      </c>
      <c r="E217" t="s">
        <v>2721</v>
      </c>
      <c r="F217" t="s">
        <v>138</v>
      </c>
      <c r="G217" t="s">
        <v>2722</v>
      </c>
      <c r="H217" t="s">
        <v>2723</v>
      </c>
      <c r="I217" t="s">
        <v>2723</v>
      </c>
      <c r="J217" t="s">
        <v>2724</v>
      </c>
      <c r="K217" t="s">
        <v>2725</v>
      </c>
      <c r="L217">
        <v>1068000</v>
      </c>
      <c r="M217">
        <v>1780000</v>
      </c>
      <c r="N217" t="s">
        <v>2726</v>
      </c>
      <c r="O217" s="1">
        <v>45618</v>
      </c>
      <c r="P217" t="s">
        <v>2727</v>
      </c>
      <c r="Q217" t="s">
        <v>2728</v>
      </c>
      <c r="R217" t="s">
        <v>47</v>
      </c>
      <c r="S217" t="s">
        <v>48</v>
      </c>
      <c r="T217" t="s">
        <v>1651</v>
      </c>
      <c r="U217" t="s">
        <v>98</v>
      </c>
      <c r="V217" t="s">
        <v>1576</v>
      </c>
      <c r="W217" t="s">
        <v>456</v>
      </c>
      <c r="X217" t="s">
        <v>457</v>
      </c>
      <c r="Y217" t="s">
        <v>2729</v>
      </c>
      <c r="Z217">
        <v>5</v>
      </c>
      <c r="AA217" t="s">
        <v>118</v>
      </c>
      <c r="AB217" t="s">
        <v>2730</v>
      </c>
      <c r="AC217" t="s">
        <v>104</v>
      </c>
      <c r="AD217" t="s">
        <v>58</v>
      </c>
      <c r="AE217">
        <v>1335000</v>
      </c>
      <c r="AF217">
        <v>26700</v>
      </c>
      <c r="AJ217" t="str">
        <f>_xlfn.XLOOKUP(Table9[[#This Row],[Engine No.]],'[1]Dubai Islamic Consumer'!$Q$3:$Q$1176,'[1]Dubai Islamic Consumer'!$B$3:$B$1176,,,)</f>
        <v>KHI/HO/D/MO/PC COMP/C/102086/361/11/2024</v>
      </c>
    </row>
    <row r="218" spans="1:36" hidden="1" x14ac:dyDescent="0.25">
      <c r="A218">
        <v>217</v>
      </c>
      <c r="B218" t="s">
        <v>35</v>
      </c>
      <c r="C218" t="s">
        <v>2731</v>
      </c>
      <c r="D218" t="s">
        <v>37</v>
      </c>
      <c r="E218" t="s">
        <v>2732</v>
      </c>
      <c r="F218" t="s">
        <v>138</v>
      </c>
      <c r="G218" t="s">
        <v>2733</v>
      </c>
      <c r="H218" t="s">
        <v>48</v>
      </c>
      <c r="I218" t="s">
        <v>2734</v>
      </c>
      <c r="J218" t="s">
        <v>48</v>
      </c>
      <c r="K218" t="s">
        <v>2735</v>
      </c>
      <c r="L218">
        <v>1068000</v>
      </c>
      <c r="M218">
        <v>1335000</v>
      </c>
      <c r="N218" t="s">
        <v>2736</v>
      </c>
      <c r="O218" s="1">
        <v>45618</v>
      </c>
      <c r="P218" t="s">
        <v>2737</v>
      </c>
      <c r="Q218" t="s">
        <v>2738</v>
      </c>
      <c r="R218" t="s">
        <v>47</v>
      </c>
      <c r="S218" t="s">
        <v>48</v>
      </c>
      <c r="T218" t="s">
        <v>673</v>
      </c>
      <c r="U218" t="s">
        <v>50</v>
      </c>
      <c r="V218" t="s">
        <v>2739</v>
      </c>
      <c r="W218" t="s">
        <v>1053</v>
      </c>
      <c r="X218" t="s">
        <v>388</v>
      </c>
      <c r="Y218" t="s">
        <v>2740</v>
      </c>
      <c r="Z218">
        <v>5</v>
      </c>
      <c r="AA218" t="s">
        <v>55</v>
      </c>
      <c r="AB218" t="s">
        <v>2741</v>
      </c>
      <c r="AC218" t="s">
        <v>1387</v>
      </c>
      <c r="AD218" t="s">
        <v>58</v>
      </c>
      <c r="AE218">
        <v>1068000</v>
      </c>
      <c r="AF218">
        <v>21360</v>
      </c>
      <c r="AJ218" t="str">
        <f>_xlfn.XLOOKUP(Table9[[#This Row],[Engine No.]],'[1]Dubai Islamic Consumer'!$Q$3:$Q$1176,'[1]Dubai Islamic Consumer'!$B$3:$B$1176,,,)</f>
        <v>KHI/HO/D/MO/PC COMP/C/102086/359/11/2024</v>
      </c>
    </row>
    <row r="219" spans="1:36" hidden="1" x14ac:dyDescent="0.25">
      <c r="A219">
        <v>218</v>
      </c>
      <c r="B219" t="s">
        <v>35</v>
      </c>
      <c r="C219" t="s">
        <v>2742</v>
      </c>
      <c r="D219" t="s">
        <v>37</v>
      </c>
      <c r="E219" t="s">
        <v>2743</v>
      </c>
      <c r="F219" t="s">
        <v>245</v>
      </c>
      <c r="G219" t="s">
        <v>2744</v>
      </c>
      <c r="H219" t="s">
        <v>2745</v>
      </c>
      <c r="I219" t="s">
        <v>48</v>
      </c>
      <c r="J219" t="s">
        <v>141</v>
      </c>
      <c r="K219" t="s">
        <v>2746</v>
      </c>
      <c r="L219">
        <v>1292850</v>
      </c>
      <c r="M219">
        <v>1521000</v>
      </c>
      <c r="N219" t="s">
        <v>2747</v>
      </c>
      <c r="O219" s="1">
        <v>45618</v>
      </c>
      <c r="P219" t="s">
        <v>2748</v>
      </c>
      <c r="Q219" t="s">
        <v>2749</v>
      </c>
      <c r="R219" t="s">
        <v>47</v>
      </c>
      <c r="S219" t="s">
        <v>48</v>
      </c>
      <c r="T219" t="s">
        <v>613</v>
      </c>
      <c r="U219" t="s">
        <v>50</v>
      </c>
      <c r="V219" t="s">
        <v>2529</v>
      </c>
      <c r="W219" t="s">
        <v>1053</v>
      </c>
      <c r="X219" t="s">
        <v>2210</v>
      </c>
      <c r="Y219" t="s">
        <v>2750</v>
      </c>
      <c r="Z219">
        <v>6</v>
      </c>
      <c r="AA219" t="s">
        <v>118</v>
      </c>
      <c r="AB219" t="s">
        <v>2751</v>
      </c>
      <c r="AC219" t="s">
        <v>2196</v>
      </c>
      <c r="AD219" t="s">
        <v>58</v>
      </c>
      <c r="AE219">
        <v>1216800</v>
      </c>
      <c r="AF219">
        <v>24336</v>
      </c>
      <c r="AJ219" t="str">
        <f>_xlfn.XLOOKUP(Table9[[#This Row],[Engine No.]],'[1]Dubai Islamic Consumer'!$Q$3:$Q$1176,'[1]Dubai Islamic Consumer'!$B$3:$B$1176,,,)</f>
        <v>KHI/HO/D/MO/PC COMP/C/102086/358/11/2024</v>
      </c>
    </row>
    <row r="220" spans="1:36" hidden="1" x14ac:dyDescent="0.25">
      <c r="A220">
        <v>219</v>
      </c>
      <c r="B220" t="s">
        <v>35</v>
      </c>
      <c r="C220" t="s">
        <v>2752</v>
      </c>
      <c r="D220" t="s">
        <v>37</v>
      </c>
      <c r="E220" t="s">
        <v>2753</v>
      </c>
      <c r="F220" t="s">
        <v>107</v>
      </c>
      <c r="G220" t="s">
        <v>2754</v>
      </c>
      <c r="H220" t="s">
        <v>48</v>
      </c>
      <c r="I220" t="s">
        <v>2755</v>
      </c>
      <c r="J220" t="s">
        <v>48</v>
      </c>
      <c r="K220" t="s">
        <v>2756</v>
      </c>
      <c r="L220">
        <v>1740700</v>
      </c>
      <c r="M220">
        <v>2678000</v>
      </c>
      <c r="N220" t="s">
        <v>2757</v>
      </c>
      <c r="O220" s="1">
        <v>45618</v>
      </c>
      <c r="P220" t="s">
        <v>2758</v>
      </c>
      <c r="Q220" t="s">
        <v>2759</v>
      </c>
      <c r="R220" t="s">
        <v>47</v>
      </c>
      <c r="S220" t="s">
        <v>48</v>
      </c>
      <c r="T220" t="s">
        <v>1781</v>
      </c>
      <c r="U220" t="s">
        <v>98</v>
      </c>
      <c r="V220" t="s">
        <v>521</v>
      </c>
      <c r="W220" t="s">
        <v>456</v>
      </c>
      <c r="X220" t="s">
        <v>388</v>
      </c>
      <c r="Y220" t="s">
        <v>2760</v>
      </c>
      <c r="Z220">
        <v>6</v>
      </c>
      <c r="AA220" t="s">
        <v>152</v>
      </c>
      <c r="AB220" t="s">
        <v>2761</v>
      </c>
      <c r="AC220" t="s">
        <v>2428</v>
      </c>
      <c r="AD220" t="s">
        <v>58</v>
      </c>
      <c r="AE220">
        <v>2008500</v>
      </c>
      <c r="AF220">
        <v>40170</v>
      </c>
      <c r="AJ220" t="str">
        <f>_xlfn.XLOOKUP(Table9[[#This Row],[Engine No.]],'[1]Dubai Islamic Consumer'!$Q$3:$Q$1176,'[1]Dubai Islamic Consumer'!$B$3:$B$1176,,,)</f>
        <v>KHI/HO/D/MO/PC COMP/C/102086/357/11/2024</v>
      </c>
    </row>
    <row r="221" spans="1:36" hidden="1" x14ac:dyDescent="0.25">
      <c r="A221">
        <v>220</v>
      </c>
      <c r="B221" t="s">
        <v>35</v>
      </c>
      <c r="C221" t="s">
        <v>2762</v>
      </c>
      <c r="D221" t="s">
        <v>37</v>
      </c>
      <c r="E221" t="s">
        <v>2763</v>
      </c>
      <c r="F221" t="s">
        <v>107</v>
      </c>
      <c r="G221" t="s">
        <v>2764</v>
      </c>
      <c r="H221" t="s">
        <v>2765</v>
      </c>
      <c r="I221" t="s">
        <v>2765</v>
      </c>
      <c r="J221" t="s">
        <v>2765</v>
      </c>
      <c r="K221" t="s">
        <v>2766</v>
      </c>
      <c r="L221">
        <v>1540000</v>
      </c>
      <c r="M221">
        <v>2200000</v>
      </c>
      <c r="N221" t="s">
        <v>2767</v>
      </c>
      <c r="O221" s="1">
        <v>45618</v>
      </c>
      <c r="P221" t="s">
        <v>2768</v>
      </c>
      <c r="Q221" t="s">
        <v>2769</v>
      </c>
      <c r="R221" t="s">
        <v>146</v>
      </c>
      <c r="S221" t="s">
        <v>2770</v>
      </c>
      <c r="T221" t="s">
        <v>2771</v>
      </c>
      <c r="U221" t="s">
        <v>651</v>
      </c>
      <c r="V221" t="s">
        <v>2529</v>
      </c>
      <c r="W221" t="s">
        <v>1053</v>
      </c>
      <c r="X221" t="s">
        <v>388</v>
      </c>
      <c r="Y221" t="s">
        <v>2772</v>
      </c>
      <c r="Z221">
        <v>5</v>
      </c>
      <c r="AA221" t="s">
        <v>323</v>
      </c>
      <c r="AB221" t="s">
        <v>2773</v>
      </c>
      <c r="AC221" t="s">
        <v>2196</v>
      </c>
      <c r="AD221" t="s">
        <v>299</v>
      </c>
      <c r="AE221">
        <v>1760000</v>
      </c>
      <c r="AF221">
        <v>26400</v>
      </c>
      <c r="AJ221" t="str">
        <f>_xlfn.XLOOKUP(Table9[[#This Row],[Engine No.]],'[1]Dubai Islamic Consumer'!$Q$3:$Q$1176,'[1]Dubai Islamic Consumer'!$B$3:$B$1176,,,)</f>
        <v>KHI/HO/D/MO/PC COMP/C/102086/356/11/2024</v>
      </c>
    </row>
    <row r="222" spans="1:36" hidden="1" x14ac:dyDescent="0.25">
      <c r="A222">
        <v>221</v>
      </c>
      <c r="B222" t="s">
        <v>35</v>
      </c>
      <c r="C222" t="s">
        <v>2774</v>
      </c>
      <c r="D222" t="s">
        <v>37</v>
      </c>
      <c r="E222" t="s">
        <v>2775</v>
      </c>
      <c r="F222" t="s">
        <v>39</v>
      </c>
      <c r="G222" t="s">
        <v>2776</v>
      </c>
      <c r="H222" t="s">
        <v>2777</v>
      </c>
      <c r="I222" t="s">
        <v>2778</v>
      </c>
      <c r="J222" t="s">
        <v>2777</v>
      </c>
      <c r="K222" t="s">
        <v>2779</v>
      </c>
      <c r="L222">
        <v>1812300</v>
      </c>
      <c r="M222">
        <v>2589000</v>
      </c>
      <c r="N222" t="s">
        <v>2780</v>
      </c>
      <c r="O222" s="1">
        <v>45618</v>
      </c>
      <c r="P222" t="s">
        <v>2781</v>
      </c>
      <c r="Q222" t="s">
        <v>2782</v>
      </c>
      <c r="R222" t="s">
        <v>47</v>
      </c>
      <c r="S222" t="s">
        <v>48</v>
      </c>
      <c r="T222" t="s">
        <v>2783</v>
      </c>
      <c r="U222" t="s">
        <v>50</v>
      </c>
      <c r="V222" t="s">
        <v>508</v>
      </c>
      <c r="W222" t="s">
        <v>132</v>
      </c>
      <c r="X222" t="s">
        <v>533</v>
      </c>
      <c r="Y222" t="s">
        <v>2784</v>
      </c>
      <c r="Z222">
        <v>4</v>
      </c>
      <c r="AA222" t="s">
        <v>55</v>
      </c>
      <c r="AB222" t="s">
        <v>2785</v>
      </c>
      <c r="AC222" t="s">
        <v>2196</v>
      </c>
      <c r="AD222" t="s">
        <v>58</v>
      </c>
      <c r="AE222">
        <v>2071200</v>
      </c>
      <c r="AF222">
        <v>41424</v>
      </c>
      <c r="AJ222" t="str">
        <f>_xlfn.XLOOKUP(Table9[[#This Row],[Engine No.]],'[1]Dubai Islamic Consumer'!$Q$3:$Q$1176,'[1]Dubai Islamic Consumer'!$B$3:$B$1176,,,)</f>
        <v>KHI/HO/D/MO/PC COMP/C/102086/355/11/2024</v>
      </c>
    </row>
    <row r="223" spans="1:36" hidden="1" x14ac:dyDescent="0.25">
      <c r="A223">
        <v>222</v>
      </c>
      <c r="B223" t="s">
        <v>35</v>
      </c>
      <c r="C223" t="s">
        <v>2786</v>
      </c>
      <c r="D223" t="s">
        <v>37</v>
      </c>
      <c r="E223" t="s">
        <v>2787</v>
      </c>
      <c r="F223" t="s">
        <v>107</v>
      </c>
      <c r="G223" t="s">
        <v>2788</v>
      </c>
      <c r="H223" t="s">
        <v>2789</v>
      </c>
      <c r="I223" t="s">
        <v>2789</v>
      </c>
      <c r="J223" t="s">
        <v>2789</v>
      </c>
      <c r="K223" t="s">
        <v>2790</v>
      </c>
      <c r="L223">
        <v>1787500</v>
      </c>
      <c r="M223">
        <v>2750000</v>
      </c>
      <c r="N223" t="s">
        <v>2791</v>
      </c>
      <c r="O223" s="1">
        <v>45618</v>
      </c>
      <c r="P223" t="s">
        <v>2792</v>
      </c>
      <c r="Q223" t="s">
        <v>2793</v>
      </c>
      <c r="R223" t="s">
        <v>146</v>
      </c>
      <c r="S223" t="s">
        <v>2794</v>
      </c>
      <c r="T223" t="s">
        <v>2795</v>
      </c>
      <c r="U223" t="s">
        <v>614</v>
      </c>
      <c r="V223" t="s">
        <v>2796</v>
      </c>
      <c r="W223" t="s">
        <v>1053</v>
      </c>
      <c r="X223" t="s">
        <v>388</v>
      </c>
      <c r="Y223" t="s">
        <v>2797</v>
      </c>
      <c r="Z223">
        <v>5</v>
      </c>
      <c r="AA223" t="s">
        <v>323</v>
      </c>
      <c r="AB223" t="s">
        <v>2798</v>
      </c>
      <c r="AC223" t="s">
        <v>2196</v>
      </c>
      <c r="AD223" t="s">
        <v>299</v>
      </c>
      <c r="AE223">
        <v>2200000</v>
      </c>
      <c r="AF223">
        <v>33000</v>
      </c>
      <c r="AJ223" t="str">
        <f>_xlfn.XLOOKUP(Table9[[#This Row],[Engine No.]],'[1]Dubai Islamic Consumer'!$Q$3:$Q$1176,'[1]Dubai Islamic Consumer'!$B$3:$B$1176,,,)</f>
        <v>KHI/HO/D/MO/PC COMP/C/102086/354/11/2024</v>
      </c>
    </row>
    <row r="224" spans="1:36" hidden="1" x14ac:dyDescent="0.25">
      <c r="A224">
        <v>223</v>
      </c>
      <c r="B224" t="s">
        <v>35</v>
      </c>
      <c r="C224" t="s">
        <v>2799</v>
      </c>
      <c r="D224" t="s">
        <v>37</v>
      </c>
      <c r="E224" t="s">
        <v>2800</v>
      </c>
      <c r="F224" t="s">
        <v>138</v>
      </c>
      <c r="G224" t="s">
        <v>2801</v>
      </c>
      <c r="H224" t="s">
        <v>2802</v>
      </c>
      <c r="I224" t="s">
        <v>2803</v>
      </c>
      <c r="J224" t="s">
        <v>48</v>
      </c>
      <c r="K224" t="s">
        <v>2804</v>
      </c>
      <c r="L224">
        <v>1800000</v>
      </c>
      <c r="M224">
        <v>3000000</v>
      </c>
      <c r="N224" t="s">
        <v>2805</v>
      </c>
      <c r="O224" s="1">
        <v>45618</v>
      </c>
      <c r="P224" t="s">
        <v>2806</v>
      </c>
      <c r="Q224" t="s">
        <v>2807</v>
      </c>
      <c r="R224" t="s">
        <v>146</v>
      </c>
      <c r="S224" t="s">
        <v>2808</v>
      </c>
      <c r="T224" t="s">
        <v>2809</v>
      </c>
      <c r="U224" t="s">
        <v>496</v>
      </c>
      <c r="V224" t="s">
        <v>2796</v>
      </c>
      <c r="W224" t="s">
        <v>1053</v>
      </c>
      <c r="X224" t="s">
        <v>388</v>
      </c>
      <c r="Y224" t="s">
        <v>2810</v>
      </c>
      <c r="Z224">
        <v>5</v>
      </c>
      <c r="AA224" t="s">
        <v>323</v>
      </c>
      <c r="AB224" t="s">
        <v>2811</v>
      </c>
      <c r="AC224" t="s">
        <v>2529</v>
      </c>
      <c r="AD224" t="s">
        <v>299</v>
      </c>
      <c r="AE224">
        <v>2400000</v>
      </c>
      <c r="AF224">
        <v>36000</v>
      </c>
      <c r="AJ224" t="str">
        <f>_xlfn.XLOOKUP(Table9[[#This Row],[Engine No.]],'[1]Dubai Islamic Consumer'!$Q$3:$Q$1176,'[1]Dubai Islamic Consumer'!$B$3:$B$1176,,,)</f>
        <v>KHI/HO/D/MO/PC COMP/C/102086/353/11/2024</v>
      </c>
    </row>
    <row r="225" spans="1:36" hidden="1" x14ac:dyDescent="0.25">
      <c r="A225">
        <v>224</v>
      </c>
      <c r="B225" t="s">
        <v>35</v>
      </c>
      <c r="C225" t="s">
        <v>2812</v>
      </c>
      <c r="D225" t="s">
        <v>37</v>
      </c>
      <c r="E225" t="s">
        <v>2813</v>
      </c>
      <c r="F225" t="s">
        <v>245</v>
      </c>
      <c r="G225" t="s">
        <v>2814</v>
      </c>
      <c r="H225" t="s">
        <v>2815</v>
      </c>
      <c r="I225" t="s">
        <v>48</v>
      </c>
      <c r="J225" t="s">
        <v>2816</v>
      </c>
      <c r="K225" t="s">
        <v>2817</v>
      </c>
      <c r="L225">
        <v>2034000</v>
      </c>
      <c r="M225">
        <v>3390000</v>
      </c>
      <c r="N225" t="s">
        <v>2818</v>
      </c>
      <c r="O225" s="1">
        <v>45618</v>
      </c>
      <c r="P225" t="s">
        <v>2819</v>
      </c>
      <c r="Q225" t="s">
        <v>2820</v>
      </c>
      <c r="R225" t="s">
        <v>47</v>
      </c>
      <c r="S225" t="s">
        <v>48</v>
      </c>
      <c r="T225" t="s">
        <v>2821</v>
      </c>
      <c r="U225" t="s">
        <v>50</v>
      </c>
      <c r="V225" t="s">
        <v>2822</v>
      </c>
      <c r="W225" t="s">
        <v>1053</v>
      </c>
      <c r="X225" t="s">
        <v>2210</v>
      </c>
      <c r="Y225" t="s">
        <v>2823</v>
      </c>
      <c r="Z225">
        <v>6</v>
      </c>
      <c r="AA225" t="s">
        <v>55</v>
      </c>
      <c r="AB225" t="s">
        <v>2824</v>
      </c>
      <c r="AC225" t="s">
        <v>2196</v>
      </c>
      <c r="AD225" t="s">
        <v>58</v>
      </c>
      <c r="AE225">
        <v>2712000</v>
      </c>
      <c r="AF225">
        <v>54240</v>
      </c>
      <c r="AJ225" t="str">
        <f>_xlfn.XLOOKUP(Table9[[#This Row],[Engine No.]],'[1]Dubai Islamic Consumer'!$Q$3:$Q$1176,'[1]Dubai Islamic Consumer'!$B$3:$B$1176,,,)</f>
        <v>KHI/HO/D/MO/PC COMP/C/102086/351/11/2024</v>
      </c>
    </row>
    <row r="226" spans="1:36" hidden="1" x14ac:dyDescent="0.25">
      <c r="A226">
        <v>225</v>
      </c>
      <c r="B226" t="s">
        <v>35</v>
      </c>
      <c r="C226" t="s">
        <v>2825</v>
      </c>
      <c r="D226" t="s">
        <v>37</v>
      </c>
      <c r="E226" t="s">
        <v>2826</v>
      </c>
      <c r="F226" t="s">
        <v>138</v>
      </c>
      <c r="G226" t="s">
        <v>2827</v>
      </c>
      <c r="H226" t="s">
        <v>2828</v>
      </c>
      <c r="I226" t="s">
        <v>2829</v>
      </c>
      <c r="J226" t="s">
        <v>141</v>
      </c>
      <c r="K226" t="s">
        <v>2830</v>
      </c>
      <c r="L226">
        <v>2275000</v>
      </c>
      <c r="M226">
        <v>3500000</v>
      </c>
      <c r="N226" t="s">
        <v>2831</v>
      </c>
      <c r="O226" s="1">
        <v>45618</v>
      </c>
      <c r="P226" t="s">
        <v>2832</v>
      </c>
      <c r="Q226" t="s">
        <v>2833</v>
      </c>
      <c r="R226" t="s">
        <v>146</v>
      </c>
      <c r="S226" t="s">
        <v>2834</v>
      </c>
      <c r="T226" t="s">
        <v>2835</v>
      </c>
      <c r="U226" t="s">
        <v>335</v>
      </c>
      <c r="V226" t="s">
        <v>2836</v>
      </c>
      <c r="W226" t="s">
        <v>132</v>
      </c>
      <c r="X226" t="s">
        <v>133</v>
      </c>
      <c r="Y226" t="s">
        <v>2837</v>
      </c>
      <c r="Z226">
        <v>5</v>
      </c>
      <c r="AA226" t="s">
        <v>323</v>
      </c>
      <c r="AB226" t="s">
        <v>2838</v>
      </c>
      <c r="AC226" t="s">
        <v>2796</v>
      </c>
      <c r="AD226" t="s">
        <v>299</v>
      </c>
      <c r="AE226">
        <v>2800000</v>
      </c>
      <c r="AF226">
        <v>42000</v>
      </c>
      <c r="AJ226" t="str">
        <f>_xlfn.XLOOKUP(Table9[[#This Row],[Engine No.]],'[1]Dubai Islamic Consumer'!$Q$3:$Q$1176,'[1]Dubai Islamic Consumer'!$B$3:$B$1176,,,)</f>
        <v>KHI/HO/D/MO/PC COMP/C/102086/350/11/2024</v>
      </c>
    </row>
    <row r="227" spans="1:36" hidden="1" x14ac:dyDescent="0.25">
      <c r="A227">
        <v>226</v>
      </c>
      <c r="B227" t="s">
        <v>35</v>
      </c>
      <c r="C227" t="s">
        <v>2839</v>
      </c>
      <c r="D227" t="s">
        <v>37</v>
      </c>
      <c r="E227" t="s">
        <v>2840</v>
      </c>
      <c r="F227" t="s">
        <v>245</v>
      </c>
      <c r="G227" t="s">
        <v>2841</v>
      </c>
      <c r="H227" t="s">
        <v>2842</v>
      </c>
      <c r="I227" t="s">
        <v>48</v>
      </c>
      <c r="J227" t="s">
        <v>2843</v>
      </c>
      <c r="K227" t="s">
        <v>2844</v>
      </c>
      <c r="L227">
        <v>2346400</v>
      </c>
      <c r="M227">
        <v>2933000</v>
      </c>
      <c r="N227" t="s">
        <v>2845</v>
      </c>
      <c r="O227" s="1">
        <v>45618</v>
      </c>
      <c r="P227" t="s">
        <v>2846</v>
      </c>
      <c r="Q227" t="s">
        <v>2847</v>
      </c>
      <c r="R227" t="s">
        <v>47</v>
      </c>
      <c r="S227" t="s">
        <v>48</v>
      </c>
      <c r="T227" t="s">
        <v>1826</v>
      </c>
      <c r="U227" t="s">
        <v>50</v>
      </c>
      <c r="V227" t="s">
        <v>2848</v>
      </c>
      <c r="W227" t="s">
        <v>132</v>
      </c>
      <c r="X227" t="s">
        <v>133</v>
      </c>
      <c r="Y227" t="s">
        <v>2849</v>
      </c>
      <c r="Z227">
        <v>5</v>
      </c>
      <c r="AA227" t="s">
        <v>55</v>
      </c>
      <c r="AB227" t="s">
        <v>2850</v>
      </c>
      <c r="AC227" t="s">
        <v>2529</v>
      </c>
      <c r="AD227" t="s">
        <v>58</v>
      </c>
      <c r="AE227">
        <v>2346400</v>
      </c>
      <c r="AF227">
        <v>46928</v>
      </c>
      <c r="AJ227" t="str">
        <f>_xlfn.XLOOKUP(Table9[[#This Row],[Engine No.]],'[1]Dubai Islamic Consumer'!$Q$3:$Q$1176,'[1]Dubai Islamic Consumer'!$B$3:$B$1176,,,)</f>
        <v>KHI/HO/D/MO/PC COMP/C/102086/349/11/2024</v>
      </c>
    </row>
    <row r="228" spans="1:36" hidden="1" x14ac:dyDescent="0.25">
      <c r="A228">
        <v>227</v>
      </c>
      <c r="B228" t="s">
        <v>35</v>
      </c>
      <c r="C228" t="s">
        <v>2851</v>
      </c>
      <c r="D228" t="s">
        <v>37</v>
      </c>
      <c r="E228" t="s">
        <v>2852</v>
      </c>
      <c r="F228" t="s">
        <v>138</v>
      </c>
      <c r="G228" t="s">
        <v>2853</v>
      </c>
      <c r="H228" t="s">
        <v>2854</v>
      </c>
      <c r="I228" t="s">
        <v>2855</v>
      </c>
      <c r="J228" t="s">
        <v>141</v>
      </c>
      <c r="K228" t="s">
        <v>2856</v>
      </c>
      <c r="L228">
        <v>2729300</v>
      </c>
      <c r="M228">
        <v>3899000</v>
      </c>
      <c r="N228" t="s">
        <v>2857</v>
      </c>
      <c r="O228" s="1">
        <v>45618</v>
      </c>
      <c r="P228" t="s">
        <v>2858</v>
      </c>
      <c r="Q228" t="s">
        <v>2859</v>
      </c>
      <c r="R228" t="s">
        <v>47</v>
      </c>
      <c r="S228" t="s">
        <v>48</v>
      </c>
      <c r="T228" t="s">
        <v>2860</v>
      </c>
      <c r="U228" t="s">
        <v>50</v>
      </c>
      <c r="V228" t="s">
        <v>2739</v>
      </c>
      <c r="W228" t="s">
        <v>1053</v>
      </c>
      <c r="X228" t="s">
        <v>388</v>
      </c>
      <c r="Y228" t="s">
        <v>2861</v>
      </c>
      <c r="Z228">
        <v>5</v>
      </c>
      <c r="AA228" t="s">
        <v>55</v>
      </c>
      <c r="AB228" t="s">
        <v>2862</v>
      </c>
      <c r="AC228" t="s">
        <v>1627</v>
      </c>
      <c r="AD228" t="s">
        <v>58</v>
      </c>
      <c r="AE228">
        <v>3119200</v>
      </c>
      <c r="AF228">
        <v>62384</v>
      </c>
      <c r="AJ228" t="str">
        <f>_xlfn.XLOOKUP(Table9[[#This Row],[Engine No.]],'[1]Dubai Islamic Consumer'!$Q$3:$Q$1176,'[1]Dubai Islamic Consumer'!$B$3:$B$1176,,,)</f>
        <v>KHI/HO/D/MO/PC COMP/C/102086/344/11/2024</v>
      </c>
    </row>
    <row r="229" spans="1:36" hidden="1" x14ac:dyDescent="0.25">
      <c r="A229">
        <v>228</v>
      </c>
      <c r="B229" t="s">
        <v>35</v>
      </c>
      <c r="C229" t="s">
        <v>2863</v>
      </c>
      <c r="D229" t="s">
        <v>37</v>
      </c>
      <c r="E229" t="s">
        <v>2864</v>
      </c>
      <c r="F229" t="s">
        <v>39</v>
      </c>
      <c r="G229" t="s">
        <v>2865</v>
      </c>
      <c r="H229" t="s">
        <v>48</v>
      </c>
      <c r="I229" t="s">
        <v>2866</v>
      </c>
      <c r="J229" t="s">
        <v>48</v>
      </c>
      <c r="K229" t="s">
        <v>2867</v>
      </c>
      <c r="L229">
        <v>3227000</v>
      </c>
      <c r="M229">
        <v>4610000</v>
      </c>
      <c r="N229" t="s">
        <v>2868</v>
      </c>
      <c r="O229" s="1">
        <v>45618</v>
      </c>
      <c r="P229" t="s">
        <v>2869</v>
      </c>
      <c r="Q229" t="s">
        <v>2870</v>
      </c>
      <c r="R229" t="s">
        <v>47</v>
      </c>
      <c r="S229" t="s">
        <v>48</v>
      </c>
      <c r="T229" t="s">
        <v>2871</v>
      </c>
      <c r="U229" t="s">
        <v>50</v>
      </c>
      <c r="V229" t="s">
        <v>211</v>
      </c>
      <c r="W229" t="s">
        <v>132</v>
      </c>
      <c r="X229" t="s">
        <v>133</v>
      </c>
      <c r="Y229" t="s">
        <v>2872</v>
      </c>
      <c r="Z229">
        <v>5</v>
      </c>
      <c r="AA229" t="s">
        <v>55</v>
      </c>
      <c r="AB229" t="s">
        <v>2873</v>
      </c>
      <c r="AC229" t="s">
        <v>2196</v>
      </c>
      <c r="AD229" t="s">
        <v>58</v>
      </c>
      <c r="AE229">
        <v>3918500</v>
      </c>
      <c r="AF229">
        <v>78370</v>
      </c>
      <c r="AJ229" t="str">
        <f>_xlfn.XLOOKUP(Table9[[#This Row],[Engine No.]],'[1]Dubai Islamic Consumer'!$Q$3:$Q$1176,'[1]Dubai Islamic Consumer'!$B$3:$B$1176,,,)</f>
        <v>KHI/HO/D/MO/PC COMP/C/102086/343/11/2024</v>
      </c>
    </row>
    <row r="230" spans="1:36" hidden="1" x14ac:dyDescent="0.25">
      <c r="A230">
        <v>229</v>
      </c>
      <c r="B230" t="s">
        <v>35</v>
      </c>
      <c r="C230" t="s">
        <v>2874</v>
      </c>
      <c r="D230" t="s">
        <v>37</v>
      </c>
      <c r="E230" t="s">
        <v>2875</v>
      </c>
      <c r="F230" t="s">
        <v>138</v>
      </c>
      <c r="G230" t="s">
        <v>2876</v>
      </c>
      <c r="H230" t="s">
        <v>2877</v>
      </c>
      <c r="I230" t="s">
        <v>2877</v>
      </c>
      <c r="J230" t="s">
        <v>2878</v>
      </c>
      <c r="K230" t="s">
        <v>2879</v>
      </c>
      <c r="L230">
        <v>5952700</v>
      </c>
      <c r="M230">
        <v>9158000</v>
      </c>
      <c r="N230" t="s">
        <v>2880</v>
      </c>
      <c r="O230" s="1">
        <v>45618</v>
      </c>
      <c r="P230" t="s">
        <v>2881</v>
      </c>
      <c r="Q230" t="s">
        <v>2882</v>
      </c>
      <c r="R230" t="s">
        <v>47</v>
      </c>
      <c r="S230" t="s">
        <v>48</v>
      </c>
      <c r="T230" t="s">
        <v>1696</v>
      </c>
      <c r="U230" t="s">
        <v>98</v>
      </c>
      <c r="V230" t="s">
        <v>2883</v>
      </c>
      <c r="W230" t="s">
        <v>456</v>
      </c>
      <c r="X230" t="s">
        <v>457</v>
      </c>
      <c r="Y230" t="s">
        <v>2884</v>
      </c>
      <c r="Z230">
        <v>5</v>
      </c>
      <c r="AA230" t="s">
        <v>55</v>
      </c>
      <c r="AB230" t="s">
        <v>2885</v>
      </c>
      <c r="AC230" t="s">
        <v>431</v>
      </c>
      <c r="AD230" t="s">
        <v>299</v>
      </c>
      <c r="AE230">
        <v>6868500</v>
      </c>
      <c r="AF230">
        <v>103028</v>
      </c>
      <c r="AJ230" t="str">
        <f>_xlfn.XLOOKUP(Table9[[#This Row],[Engine No.]],'[1]Dubai Islamic Consumer'!$Q$3:$Q$1176,'[1]Dubai Islamic Consumer'!$B$3:$B$1176,,,)</f>
        <v>KHI/HO/D/MO/PC COMP/C/102086/340/11/2024</v>
      </c>
    </row>
    <row r="231" spans="1:36" hidden="1" x14ac:dyDescent="0.25">
      <c r="A231">
        <v>230</v>
      </c>
      <c r="B231" t="s">
        <v>35</v>
      </c>
      <c r="C231" t="s">
        <v>2886</v>
      </c>
      <c r="D231" t="s">
        <v>37</v>
      </c>
      <c r="E231" t="s">
        <v>2887</v>
      </c>
      <c r="F231" t="s">
        <v>138</v>
      </c>
      <c r="G231" t="s">
        <v>2888</v>
      </c>
      <c r="H231" t="s">
        <v>2889</v>
      </c>
      <c r="I231" t="s">
        <v>2889</v>
      </c>
      <c r="J231" t="s">
        <v>141</v>
      </c>
      <c r="K231" t="s">
        <v>2890</v>
      </c>
      <c r="L231">
        <v>560000</v>
      </c>
      <c r="M231">
        <v>800000</v>
      </c>
      <c r="N231" t="s">
        <v>2891</v>
      </c>
      <c r="O231" s="1">
        <v>45618</v>
      </c>
      <c r="P231" t="s">
        <v>2892</v>
      </c>
      <c r="Q231" t="s">
        <v>2893</v>
      </c>
      <c r="R231" t="s">
        <v>146</v>
      </c>
      <c r="S231" t="s">
        <v>2894</v>
      </c>
      <c r="T231" t="s">
        <v>2895</v>
      </c>
      <c r="U231" t="s">
        <v>335</v>
      </c>
      <c r="V231" t="s">
        <v>2671</v>
      </c>
      <c r="W231" t="s">
        <v>1922</v>
      </c>
      <c r="X231" t="s">
        <v>2210</v>
      </c>
      <c r="Y231" t="s">
        <v>2896</v>
      </c>
      <c r="Z231">
        <v>5</v>
      </c>
      <c r="AA231" t="s">
        <v>227</v>
      </c>
      <c r="AB231" t="s">
        <v>2897</v>
      </c>
      <c r="AC231" t="s">
        <v>2462</v>
      </c>
      <c r="AD231" t="s">
        <v>86</v>
      </c>
      <c r="AE231">
        <v>680000</v>
      </c>
      <c r="AF231">
        <v>11900</v>
      </c>
      <c r="AJ231" t="str">
        <f>_xlfn.XLOOKUP(Table9[[#This Row],[Engine No.]],'[1]Dubai Islamic Consumer'!$Q$3:$Q$1176,'[1]Dubai Islamic Consumer'!$B$3:$B$1176,,,)</f>
        <v>KHI/HO/D/MO/PC COMP/C/102086/339/11/2024</v>
      </c>
    </row>
    <row r="232" spans="1:36" hidden="1" x14ac:dyDescent="0.25">
      <c r="A232">
        <v>231</v>
      </c>
      <c r="B232" t="s">
        <v>35</v>
      </c>
      <c r="C232" t="s">
        <v>2898</v>
      </c>
      <c r="D232" t="s">
        <v>37</v>
      </c>
      <c r="E232" t="s">
        <v>2899</v>
      </c>
      <c r="F232" t="s">
        <v>138</v>
      </c>
      <c r="G232" t="s">
        <v>2900</v>
      </c>
      <c r="H232" t="s">
        <v>2901</v>
      </c>
      <c r="I232" t="s">
        <v>2902</v>
      </c>
      <c r="J232" t="s">
        <v>2901</v>
      </c>
      <c r="K232" t="s">
        <v>2903</v>
      </c>
      <c r="L232">
        <v>1365700</v>
      </c>
      <c r="M232">
        <v>1951000</v>
      </c>
      <c r="N232" t="s">
        <v>2904</v>
      </c>
      <c r="O232" s="1">
        <v>45618</v>
      </c>
      <c r="P232" t="s">
        <v>2905</v>
      </c>
      <c r="Q232" t="s">
        <v>2906</v>
      </c>
      <c r="R232" t="s">
        <v>47</v>
      </c>
      <c r="S232" t="s">
        <v>48</v>
      </c>
      <c r="T232" t="s">
        <v>194</v>
      </c>
      <c r="U232" t="s">
        <v>148</v>
      </c>
      <c r="V232" t="s">
        <v>2907</v>
      </c>
      <c r="W232" t="s">
        <v>940</v>
      </c>
      <c r="X232" t="s">
        <v>2517</v>
      </c>
      <c r="Y232" t="s">
        <v>2908</v>
      </c>
      <c r="Z232">
        <v>7</v>
      </c>
      <c r="AA232" t="s">
        <v>152</v>
      </c>
      <c r="AB232" t="s">
        <v>2909</v>
      </c>
      <c r="AC232" t="s">
        <v>2465</v>
      </c>
      <c r="AD232" t="s">
        <v>299</v>
      </c>
      <c r="AE232">
        <v>1658350</v>
      </c>
      <c r="AF232">
        <v>24875</v>
      </c>
      <c r="AJ232" t="str">
        <f>_xlfn.XLOOKUP(Table9[[#This Row],[Engine No.]],'[1]Dubai Islamic Consumer'!$Q$3:$Q$1176,'[1]Dubai Islamic Consumer'!$B$3:$B$1176,,,)</f>
        <v>KHI/HO/D/MO/PC COMP/C/102086/337/11/2024</v>
      </c>
    </row>
    <row r="233" spans="1:36" hidden="1" x14ac:dyDescent="0.25">
      <c r="A233">
        <v>232</v>
      </c>
      <c r="B233" t="s">
        <v>35</v>
      </c>
      <c r="C233" t="s">
        <v>2910</v>
      </c>
      <c r="D233" t="s">
        <v>37</v>
      </c>
      <c r="E233" t="s">
        <v>2911</v>
      </c>
      <c r="F233" t="s">
        <v>107</v>
      </c>
      <c r="G233" t="s">
        <v>2912</v>
      </c>
      <c r="H233" t="s">
        <v>2913</v>
      </c>
      <c r="I233" t="s">
        <v>2913</v>
      </c>
      <c r="J233" t="s">
        <v>2913</v>
      </c>
      <c r="K233" t="s">
        <v>2914</v>
      </c>
      <c r="L233">
        <v>1621800</v>
      </c>
      <c r="M233">
        <v>2703000</v>
      </c>
      <c r="N233" t="s">
        <v>2915</v>
      </c>
      <c r="O233" s="1">
        <v>45618</v>
      </c>
      <c r="P233" t="s">
        <v>2916</v>
      </c>
      <c r="Q233" t="s">
        <v>2917</v>
      </c>
      <c r="R233" t="s">
        <v>47</v>
      </c>
      <c r="S233" t="s">
        <v>48</v>
      </c>
      <c r="T233" t="s">
        <v>2918</v>
      </c>
      <c r="U233" t="s">
        <v>50</v>
      </c>
      <c r="V233" t="s">
        <v>2031</v>
      </c>
      <c r="W233" t="s">
        <v>1053</v>
      </c>
      <c r="X233" t="s">
        <v>388</v>
      </c>
      <c r="Y233" t="s">
        <v>2919</v>
      </c>
      <c r="Z233">
        <v>5</v>
      </c>
      <c r="AA233" t="s">
        <v>55</v>
      </c>
      <c r="AB233" t="s">
        <v>2920</v>
      </c>
      <c r="AC233" t="s">
        <v>2529</v>
      </c>
      <c r="AD233" t="s">
        <v>58</v>
      </c>
      <c r="AE233">
        <v>2162400</v>
      </c>
      <c r="AF233">
        <v>43248</v>
      </c>
      <c r="AJ233" t="str">
        <f>_xlfn.XLOOKUP(Table9[[#This Row],[Engine No.]],'[1]Dubai Islamic Consumer'!$Q$3:$Q$1176,'[1]Dubai Islamic Consumer'!$B$3:$B$1176,,,)</f>
        <v>KHI/HO/D/MO/PC COMP/C/102086/336/11/2024</v>
      </c>
    </row>
    <row r="234" spans="1:36" hidden="1" x14ac:dyDescent="0.25">
      <c r="A234">
        <v>233</v>
      </c>
      <c r="B234" t="s">
        <v>35</v>
      </c>
      <c r="C234" t="s">
        <v>2921</v>
      </c>
      <c r="D234" t="s">
        <v>37</v>
      </c>
      <c r="E234" t="s">
        <v>2922</v>
      </c>
      <c r="F234" t="s">
        <v>107</v>
      </c>
      <c r="G234" t="s">
        <v>2923</v>
      </c>
      <c r="H234" t="s">
        <v>2924</v>
      </c>
      <c r="I234" t="s">
        <v>2925</v>
      </c>
      <c r="J234" t="s">
        <v>2926</v>
      </c>
      <c r="K234" t="s">
        <v>2927</v>
      </c>
      <c r="L234">
        <v>2469500</v>
      </c>
      <c r="M234">
        <v>4939000</v>
      </c>
      <c r="N234" t="s">
        <v>2928</v>
      </c>
      <c r="O234" t="s">
        <v>2929</v>
      </c>
      <c r="P234" t="s">
        <v>2930</v>
      </c>
      <c r="Q234" t="s">
        <v>2931</v>
      </c>
      <c r="R234" t="s">
        <v>47</v>
      </c>
      <c r="S234" t="s">
        <v>48</v>
      </c>
      <c r="T234" t="s">
        <v>2932</v>
      </c>
      <c r="U234" t="s">
        <v>386</v>
      </c>
      <c r="V234" s="1">
        <v>45182</v>
      </c>
      <c r="W234" t="s">
        <v>387</v>
      </c>
      <c r="X234" t="s">
        <v>388</v>
      </c>
      <c r="Y234" t="s">
        <v>2933</v>
      </c>
      <c r="Z234">
        <v>3</v>
      </c>
      <c r="AA234" t="s">
        <v>55</v>
      </c>
      <c r="AB234" t="s">
        <v>2934</v>
      </c>
      <c r="AC234" t="s">
        <v>2935</v>
      </c>
      <c r="AD234" t="s">
        <v>58</v>
      </c>
      <c r="AE234">
        <v>4445100</v>
      </c>
      <c r="AF234">
        <v>88902</v>
      </c>
      <c r="AJ234" t="str">
        <f>_xlfn.XLOOKUP(Table9[[#This Row],[Engine No.]],'[1]Dubai Islamic Consumer'!$Q$3:$Q$1176,'[1]Dubai Islamic Consumer'!$B$3:$B$1176,,,)</f>
        <v>KHI/HO/D/MO/PC COMP/C/102086/335/11/2024</v>
      </c>
    </row>
    <row r="235" spans="1:36" hidden="1" x14ac:dyDescent="0.25">
      <c r="A235">
        <v>234</v>
      </c>
      <c r="B235" t="s">
        <v>35</v>
      </c>
      <c r="C235" t="s">
        <v>2936</v>
      </c>
      <c r="D235" t="s">
        <v>37</v>
      </c>
      <c r="E235" t="s">
        <v>2937</v>
      </c>
      <c r="F235" t="s">
        <v>138</v>
      </c>
      <c r="G235" t="s">
        <v>2938</v>
      </c>
      <c r="H235" t="s">
        <v>2939</v>
      </c>
      <c r="I235" t="s">
        <v>2939</v>
      </c>
      <c r="J235" t="s">
        <v>2939</v>
      </c>
      <c r="K235" t="s">
        <v>2940</v>
      </c>
      <c r="L235">
        <v>1959300</v>
      </c>
      <c r="M235">
        <v>2799000</v>
      </c>
      <c r="N235" t="s">
        <v>2941</v>
      </c>
      <c r="O235" t="s">
        <v>2929</v>
      </c>
      <c r="P235" t="s">
        <v>2942</v>
      </c>
      <c r="Q235" t="s">
        <v>2943</v>
      </c>
      <c r="R235" t="s">
        <v>47</v>
      </c>
      <c r="S235" t="s">
        <v>48</v>
      </c>
      <c r="T235" t="s">
        <v>2180</v>
      </c>
      <c r="U235" t="s">
        <v>386</v>
      </c>
      <c r="V235" s="1">
        <v>45255</v>
      </c>
      <c r="W235" t="s">
        <v>387</v>
      </c>
      <c r="X235" t="s">
        <v>1628</v>
      </c>
      <c r="Y235" t="s">
        <v>2944</v>
      </c>
      <c r="Z235">
        <v>5</v>
      </c>
      <c r="AA235" t="s">
        <v>55</v>
      </c>
      <c r="AB235" t="s">
        <v>2945</v>
      </c>
      <c r="AC235" t="s">
        <v>2946</v>
      </c>
      <c r="AD235" t="s">
        <v>86</v>
      </c>
      <c r="AE235">
        <v>2519100</v>
      </c>
      <c r="AF235">
        <v>44084</v>
      </c>
      <c r="AJ235" t="str">
        <f>_xlfn.XLOOKUP(Table9[[#This Row],[Engine No.]],'[1]Dubai Islamic Consumer'!$Q$3:$Q$1176,'[1]Dubai Islamic Consumer'!$B$3:$B$1176,,,)</f>
        <v>KHI/HO/D/MO/PC COMP/C/102086/334/11/2024</v>
      </c>
    </row>
    <row r="236" spans="1:36" hidden="1" x14ac:dyDescent="0.25">
      <c r="A236">
        <v>235</v>
      </c>
      <c r="B236" t="s">
        <v>35</v>
      </c>
      <c r="C236" t="s">
        <v>2947</v>
      </c>
      <c r="D236" t="s">
        <v>37</v>
      </c>
      <c r="E236" t="s">
        <v>2948</v>
      </c>
      <c r="F236" t="s">
        <v>107</v>
      </c>
      <c r="G236" t="s">
        <v>2949</v>
      </c>
      <c r="H236" t="s">
        <v>2950</v>
      </c>
      <c r="I236" t="s">
        <v>2950</v>
      </c>
      <c r="J236" t="s">
        <v>2951</v>
      </c>
      <c r="K236" t="s">
        <v>2952</v>
      </c>
      <c r="L236">
        <v>1500000</v>
      </c>
      <c r="M236">
        <v>2000000</v>
      </c>
      <c r="N236" t="s">
        <v>2953</v>
      </c>
      <c r="O236" s="1">
        <v>45619</v>
      </c>
      <c r="P236" t="s">
        <v>2954</v>
      </c>
      <c r="Q236" t="s">
        <v>2955</v>
      </c>
      <c r="R236" t="s">
        <v>146</v>
      </c>
      <c r="S236" t="s">
        <v>2956</v>
      </c>
      <c r="T236" t="s">
        <v>253</v>
      </c>
      <c r="U236" t="s">
        <v>651</v>
      </c>
      <c r="V236" t="s">
        <v>2335</v>
      </c>
      <c r="W236" t="s">
        <v>456</v>
      </c>
      <c r="X236" t="s">
        <v>457</v>
      </c>
      <c r="Y236" t="s">
        <v>2957</v>
      </c>
      <c r="Z236">
        <v>5</v>
      </c>
      <c r="AA236" t="s">
        <v>227</v>
      </c>
      <c r="AB236" t="s">
        <v>2958</v>
      </c>
      <c r="AC236" t="s">
        <v>2223</v>
      </c>
      <c r="AD236" t="s">
        <v>58</v>
      </c>
      <c r="AE236">
        <v>1500000</v>
      </c>
      <c r="AF236">
        <v>30000</v>
      </c>
      <c r="AJ236" t="str">
        <f>_xlfn.XLOOKUP(Table9[[#This Row],[Engine No.]],'[1]Dubai Islamic Consumer'!$Q$3:$Q$1176,'[1]Dubai Islamic Consumer'!$B$3:$B$1176,,,)</f>
        <v>KHI/HO/D/MO/PC COMP/C/102086/333/11/2024</v>
      </c>
    </row>
    <row r="237" spans="1:36" hidden="1" x14ac:dyDescent="0.25">
      <c r="A237">
        <v>236</v>
      </c>
      <c r="B237" t="s">
        <v>35</v>
      </c>
      <c r="C237" t="s">
        <v>2959</v>
      </c>
      <c r="D237" t="s">
        <v>37</v>
      </c>
      <c r="E237" t="s">
        <v>2960</v>
      </c>
      <c r="F237" t="s">
        <v>138</v>
      </c>
      <c r="G237" t="s">
        <v>2961</v>
      </c>
      <c r="H237" t="s">
        <v>48</v>
      </c>
      <c r="I237" t="s">
        <v>2962</v>
      </c>
      <c r="J237" t="s">
        <v>48</v>
      </c>
      <c r="K237" t="s">
        <v>2963</v>
      </c>
      <c r="L237">
        <v>1260000</v>
      </c>
      <c r="M237">
        <v>1800000</v>
      </c>
      <c r="N237" t="s">
        <v>2805</v>
      </c>
      <c r="O237" s="1">
        <v>45619</v>
      </c>
      <c r="P237" t="s">
        <v>2964</v>
      </c>
      <c r="Q237" t="s">
        <v>2965</v>
      </c>
      <c r="R237" t="s">
        <v>146</v>
      </c>
      <c r="S237" t="s">
        <v>2966</v>
      </c>
      <c r="T237" t="s">
        <v>2967</v>
      </c>
      <c r="U237" t="s">
        <v>335</v>
      </c>
      <c r="V237" t="s">
        <v>2529</v>
      </c>
      <c r="W237" t="s">
        <v>1053</v>
      </c>
      <c r="X237" t="s">
        <v>388</v>
      </c>
      <c r="Y237" t="s">
        <v>2968</v>
      </c>
      <c r="Z237">
        <v>5</v>
      </c>
      <c r="AA237" t="s">
        <v>323</v>
      </c>
      <c r="AB237" t="s">
        <v>2969</v>
      </c>
      <c r="AC237" t="s">
        <v>2196</v>
      </c>
      <c r="AD237" t="s">
        <v>299</v>
      </c>
      <c r="AE237">
        <v>1440000</v>
      </c>
      <c r="AF237">
        <v>21600</v>
      </c>
      <c r="AJ237" t="str">
        <f>_xlfn.XLOOKUP(Table9[[#This Row],[Engine No.]],'[1]Dubai Islamic Consumer'!$Q$3:$Q$1176,'[1]Dubai Islamic Consumer'!$B$3:$B$1176,,,)</f>
        <v>KHI/HO/D/MO/PC COMP/C/102086/332/11/2024</v>
      </c>
    </row>
    <row r="238" spans="1:36" hidden="1" x14ac:dyDescent="0.25">
      <c r="A238">
        <v>237</v>
      </c>
      <c r="B238" t="s">
        <v>35</v>
      </c>
      <c r="C238" t="s">
        <v>2970</v>
      </c>
      <c r="D238" t="s">
        <v>37</v>
      </c>
      <c r="E238" t="s">
        <v>2971</v>
      </c>
      <c r="F238" t="s">
        <v>138</v>
      </c>
      <c r="G238" t="s">
        <v>2972</v>
      </c>
      <c r="H238" t="s">
        <v>2973</v>
      </c>
      <c r="I238" t="s">
        <v>2974</v>
      </c>
      <c r="J238" t="s">
        <v>2975</v>
      </c>
      <c r="K238" t="s">
        <v>2976</v>
      </c>
      <c r="L238">
        <v>1323000</v>
      </c>
      <c r="M238">
        <v>1890000</v>
      </c>
      <c r="N238" t="s">
        <v>2977</v>
      </c>
      <c r="O238" s="1">
        <v>45619</v>
      </c>
      <c r="P238" t="s">
        <v>2978</v>
      </c>
      <c r="Q238" t="s">
        <v>2979</v>
      </c>
      <c r="R238" t="s">
        <v>47</v>
      </c>
      <c r="S238" t="s">
        <v>48</v>
      </c>
      <c r="T238" t="s">
        <v>2980</v>
      </c>
      <c r="U238" t="s">
        <v>50</v>
      </c>
      <c r="V238" t="s">
        <v>1884</v>
      </c>
      <c r="W238" t="s">
        <v>2981</v>
      </c>
      <c r="X238" t="s">
        <v>2982</v>
      </c>
      <c r="Y238" t="s">
        <v>2983</v>
      </c>
      <c r="Z238">
        <v>5</v>
      </c>
      <c r="AA238" t="s">
        <v>55</v>
      </c>
      <c r="AB238" t="s">
        <v>2984</v>
      </c>
      <c r="AC238" t="s">
        <v>1961</v>
      </c>
      <c r="AD238" t="s">
        <v>58</v>
      </c>
      <c r="AE238">
        <v>1606500</v>
      </c>
      <c r="AF238">
        <v>32130</v>
      </c>
      <c r="AJ238" t="str">
        <f>_xlfn.XLOOKUP(Table9[[#This Row],[Engine No.]],'[1]Dubai Islamic Consumer'!$Q$3:$Q$1176,'[1]Dubai Islamic Consumer'!$B$3:$B$1176,,,)</f>
        <v>KHI/HO/D/MO/PC COMP/C/102086/331/11/2024</v>
      </c>
    </row>
    <row r="239" spans="1:36" hidden="1" x14ac:dyDescent="0.25">
      <c r="A239">
        <v>238</v>
      </c>
      <c r="B239" t="s">
        <v>35</v>
      </c>
      <c r="C239" t="s">
        <v>2985</v>
      </c>
      <c r="D239" t="s">
        <v>37</v>
      </c>
      <c r="E239" t="s">
        <v>2986</v>
      </c>
      <c r="F239" t="s">
        <v>138</v>
      </c>
      <c r="G239" t="s">
        <v>2987</v>
      </c>
      <c r="H239" t="s">
        <v>2988</v>
      </c>
      <c r="I239" t="s">
        <v>2988</v>
      </c>
      <c r="J239" t="s">
        <v>2988</v>
      </c>
      <c r="K239" t="s">
        <v>2989</v>
      </c>
      <c r="L239">
        <v>1414000</v>
      </c>
      <c r="M239">
        <v>2020000</v>
      </c>
      <c r="N239" t="s">
        <v>2990</v>
      </c>
      <c r="O239" s="1">
        <v>45619</v>
      </c>
      <c r="P239" t="s">
        <v>2991</v>
      </c>
      <c r="Q239" t="s">
        <v>2992</v>
      </c>
      <c r="R239" t="s">
        <v>146</v>
      </c>
      <c r="S239" t="s">
        <v>2993</v>
      </c>
      <c r="T239" t="s">
        <v>2994</v>
      </c>
      <c r="U239" t="s">
        <v>614</v>
      </c>
      <c r="V239" t="s">
        <v>2796</v>
      </c>
      <c r="W239" t="s">
        <v>1053</v>
      </c>
      <c r="X239" t="s">
        <v>388</v>
      </c>
      <c r="Y239" t="s">
        <v>2995</v>
      </c>
      <c r="Z239">
        <v>5</v>
      </c>
      <c r="AA239" t="s">
        <v>323</v>
      </c>
      <c r="AB239" t="s">
        <v>2996</v>
      </c>
      <c r="AC239" t="s">
        <v>2196</v>
      </c>
      <c r="AD239" t="s">
        <v>299</v>
      </c>
      <c r="AE239">
        <v>1616000</v>
      </c>
      <c r="AF239">
        <v>24240</v>
      </c>
      <c r="AJ239" t="str">
        <f>_xlfn.XLOOKUP(Table9[[#This Row],[Engine No.]],'[1]Dubai Islamic Consumer'!$Q$3:$Q$1176,'[1]Dubai Islamic Consumer'!$B$3:$B$1176,,,)</f>
        <v>KHI/HO/D/MO/PC COMP/C/102086/330/11/2024</v>
      </c>
    </row>
    <row r="240" spans="1:36" hidden="1" x14ac:dyDescent="0.25">
      <c r="A240">
        <v>239</v>
      </c>
      <c r="B240" t="s">
        <v>35</v>
      </c>
      <c r="C240" t="s">
        <v>2997</v>
      </c>
      <c r="D240" t="s">
        <v>37</v>
      </c>
      <c r="E240" t="s">
        <v>2998</v>
      </c>
      <c r="F240" t="s">
        <v>39</v>
      </c>
      <c r="G240" t="s">
        <v>2999</v>
      </c>
      <c r="H240" t="s">
        <v>3000</v>
      </c>
      <c r="I240" t="s">
        <v>3001</v>
      </c>
      <c r="J240" t="s">
        <v>3002</v>
      </c>
      <c r="K240" t="s">
        <v>3003</v>
      </c>
      <c r="L240">
        <v>1465800</v>
      </c>
      <c r="M240">
        <v>2443000</v>
      </c>
      <c r="N240" t="s">
        <v>3004</v>
      </c>
      <c r="O240" s="1">
        <v>45619</v>
      </c>
      <c r="P240" t="s">
        <v>3005</v>
      </c>
      <c r="Q240" t="s">
        <v>3006</v>
      </c>
      <c r="R240" t="s">
        <v>47</v>
      </c>
      <c r="S240" t="s">
        <v>48</v>
      </c>
      <c r="T240" t="s">
        <v>3007</v>
      </c>
      <c r="U240" t="s">
        <v>50</v>
      </c>
      <c r="V240" t="s">
        <v>3008</v>
      </c>
      <c r="W240" t="s">
        <v>1053</v>
      </c>
      <c r="X240" t="s">
        <v>388</v>
      </c>
      <c r="Y240" t="s">
        <v>3009</v>
      </c>
      <c r="Z240">
        <v>5</v>
      </c>
      <c r="AA240" t="s">
        <v>55</v>
      </c>
      <c r="AB240" t="s">
        <v>3010</v>
      </c>
      <c r="AC240" t="s">
        <v>2529</v>
      </c>
      <c r="AD240" t="s">
        <v>58</v>
      </c>
      <c r="AE240">
        <v>1954400</v>
      </c>
      <c r="AF240">
        <v>39088</v>
      </c>
      <c r="AJ240" t="str">
        <f>_xlfn.XLOOKUP(Table9[[#This Row],[Engine No.]],'[1]Dubai Islamic Consumer'!$Q$3:$Q$1176,'[1]Dubai Islamic Consumer'!$B$3:$B$1176,,,)</f>
        <v>KHI/HO/D/MO/PC COMP/C/102086/329/11/2024</v>
      </c>
    </row>
    <row r="241" spans="1:36" hidden="1" x14ac:dyDescent="0.25">
      <c r="A241">
        <v>240</v>
      </c>
      <c r="B241" t="s">
        <v>35</v>
      </c>
      <c r="C241" t="s">
        <v>3011</v>
      </c>
      <c r="D241" t="s">
        <v>37</v>
      </c>
      <c r="E241" t="s">
        <v>3012</v>
      </c>
      <c r="F241" t="s">
        <v>48</v>
      </c>
      <c r="G241" t="s">
        <v>3013</v>
      </c>
      <c r="H241" t="s">
        <v>3014</v>
      </c>
      <c r="I241" t="s">
        <v>3014</v>
      </c>
      <c r="J241" t="s">
        <v>3014</v>
      </c>
      <c r="K241" t="s">
        <v>3015</v>
      </c>
      <c r="L241">
        <v>1590000</v>
      </c>
      <c r="M241">
        <v>2650000</v>
      </c>
      <c r="N241" t="s">
        <v>48</v>
      </c>
      <c r="O241" s="1">
        <v>45619</v>
      </c>
      <c r="P241" t="s">
        <v>48</v>
      </c>
      <c r="Q241" t="s">
        <v>48</v>
      </c>
      <c r="R241" t="s">
        <v>47</v>
      </c>
      <c r="S241" t="s">
        <v>48</v>
      </c>
      <c r="T241" t="s">
        <v>48</v>
      </c>
      <c r="U241" t="s">
        <v>48</v>
      </c>
      <c r="V241" t="s">
        <v>508</v>
      </c>
      <c r="W241" t="s">
        <v>132</v>
      </c>
      <c r="X241" t="s">
        <v>133</v>
      </c>
      <c r="Y241" t="s">
        <v>48</v>
      </c>
      <c r="Z241">
        <v>5</v>
      </c>
      <c r="AA241" t="s">
        <v>48</v>
      </c>
      <c r="AB241" t="s">
        <v>48</v>
      </c>
      <c r="AC241" t="s">
        <v>48</v>
      </c>
      <c r="AD241" t="s">
        <v>58</v>
      </c>
      <c r="AE241">
        <v>2120000</v>
      </c>
      <c r="AF241">
        <v>42400</v>
      </c>
      <c r="AJ241" t="e">
        <f>_xlfn.XLOOKUP(Table9[[#This Row],[Engine No.]],'[1]Dubai Islamic Consumer'!$Q$3:$Q$1176,'[1]Dubai Islamic Consumer'!$B$3:$B$1176,,,)</f>
        <v>#N/A</v>
      </c>
    </row>
    <row r="242" spans="1:36" hidden="1" x14ac:dyDescent="0.25">
      <c r="A242">
        <v>241</v>
      </c>
      <c r="B242" t="s">
        <v>35</v>
      </c>
      <c r="C242" t="s">
        <v>3016</v>
      </c>
      <c r="D242" t="s">
        <v>37</v>
      </c>
      <c r="E242" t="s">
        <v>3017</v>
      </c>
      <c r="F242" t="s">
        <v>525</v>
      </c>
      <c r="G242" t="s">
        <v>3018</v>
      </c>
      <c r="H242" t="s">
        <v>48</v>
      </c>
      <c r="I242" t="s">
        <v>3019</v>
      </c>
      <c r="J242" t="s">
        <v>3020</v>
      </c>
      <c r="K242" t="s">
        <v>3021</v>
      </c>
      <c r="L242">
        <v>1991400</v>
      </c>
      <c r="M242">
        <v>3319000</v>
      </c>
      <c r="N242" t="s">
        <v>3022</v>
      </c>
      <c r="O242" s="1">
        <v>45619</v>
      </c>
      <c r="P242" t="s">
        <v>3023</v>
      </c>
      <c r="Q242" t="s">
        <v>3024</v>
      </c>
      <c r="R242" t="s">
        <v>47</v>
      </c>
      <c r="S242" t="s">
        <v>48</v>
      </c>
      <c r="T242" t="s">
        <v>650</v>
      </c>
      <c r="U242" t="s">
        <v>98</v>
      </c>
      <c r="V242" t="s">
        <v>1782</v>
      </c>
      <c r="W242" t="s">
        <v>532</v>
      </c>
      <c r="X242" t="s">
        <v>533</v>
      </c>
      <c r="Y242" t="s">
        <v>3025</v>
      </c>
      <c r="Z242">
        <v>5</v>
      </c>
      <c r="AA242" t="s">
        <v>227</v>
      </c>
      <c r="AB242" t="s">
        <v>3026</v>
      </c>
      <c r="AC242" t="s">
        <v>2428</v>
      </c>
      <c r="AD242" t="s">
        <v>58</v>
      </c>
      <c r="AE242">
        <v>2489250</v>
      </c>
      <c r="AF242">
        <v>49785</v>
      </c>
      <c r="AJ242" t="str">
        <f>_xlfn.XLOOKUP(Table9[[#This Row],[Engine No.]],'[1]Dubai Islamic Consumer'!$Q$3:$Q$1176,'[1]Dubai Islamic Consumer'!$B$3:$B$1176,,,)</f>
        <v>KHI/HO/D/MO/PC COMP/C/102086/326/11/2024</v>
      </c>
    </row>
    <row r="243" spans="1:36" hidden="1" x14ac:dyDescent="0.25">
      <c r="A243">
        <v>242</v>
      </c>
      <c r="B243" t="s">
        <v>35</v>
      </c>
      <c r="C243" t="s">
        <v>3027</v>
      </c>
      <c r="D243" t="s">
        <v>37</v>
      </c>
      <c r="E243" t="s">
        <v>1902</v>
      </c>
      <c r="F243" t="s">
        <v>138</v>
      </c>
      <c r="G243" t="s">
        <v>3028</v>
      </c>
      <c r="H243" t="s">
        <v>3029</v>
      </c>
      <c r="I243" t="s">
        <v>3029</v>
      </c>
      <c r="J243" t="s">
        <v>141</v>
      </c>
      <c r="K243" t="s">
        <v>3030</v>
      </c>
      <c r="L243">
        <v>2047500</v>
      </c>
      <c r="M243">
        <v>3150000</v>
      </c>
      <c r="N243" t="s">
        <v>3031</v>
      </c>
      <c r="O243" s="1">
        <v>45619</v>
      </c>
      <c r="P243" t="s">
        <v>3032</v>
      </c>
      <c r="Q243" t="s">
        <v>3033</v>
      </c>
      <c r="R243" t="s">
        <v>1215</v>
      </c>
      <c r="S243" t="s">
        <v>3034</v>
      </c>
      <c r="T243" t="s">
        <v>1216</v>
      </c>
      <c r="U243" t="s">
        <v>903</v>
      </c>
      <c r="V243" t="s">
        <v>3035</v>
      </c>
      <c r="W243" t="s">
        <v>456</v>
      </c>
      <c r="X243" t="s">
        <v>457</v>
      </c>
      <c r="Y243" t="s">
        <v>3036</v>
      </c>
      <c r="Z243">
        <v>5</v>
      </c>
      <c r="AA243" t="s">
        <v>55</v>
      </c>
      <c r="AB243" t="s">
        <v>3037</v>
      </c>
      <c r="AC243" t="s">
        <v>3035</v>
      </c>
      <c r="AD243" t="s">
        <v>58</v>
      </c>
      <c r="AE243">
        <v>2362500</v>
      </c>
      <c r="AF243">
        <v>47250</v>
      </c>
      <c r="AJ243" t="str">
        <f>_xlfn.XLOOKUP(Table9[[#This Row],[Engine No.]],'[1]Dubai Islamic Consumer'!$Q$3:$Q$1176,'[1]Dubai Islamic Consumer'!$B$3:$B$1176,,,)</f>
        <v>KHI/HO/D/MO/PC COMP/C/102086/325/11/2024</v>
      </c>
    </row>
    <row r="244" spans="1:36" hidden="1" x14ac:dyDescent="0.25">
      <c r="A244">
        <v>243</v>
      </c>
      <c r="B244" t="s">
        <v>35</v>
      </c>
      <c r="C244" t="s">
        <v>3038</v>
      </c>
      <c r="D244" t="s">
        <v>37</v>
      </c>
      <c r="E244" t="s">
        <v>2350</v>
      </c>
      <c r="F244" t="s">
        <v>89</v>
      </c>
      <c r="G244" t="s">
        <v>3039</v>
      </c>
      <c r="H244" t="s">
        <v>3040</v>
      </c>
      <c r="I244" t="s">
        <v>3041</v>
      </c>
      <c r="J244" t="s">
        <v>3042</v>
      </c>
      <c r="K244" t="s">
        <v>3043</v>
      </c>
      <c r="L244">
        <v>1878760</v>
      </c>
      <c r="M244">
        <v>3613000</v>
      </c>
      <c r="N244" t="s">
        <v>3044</v>
      </c>
      <c r="O244" s="1">
        <v>45619</v>
      </c>
      <c r="P244" t="s">
        <v>3045</v>
      </c>
      <c r="Q244" t="s">
        <v>3046</v>
      </c>
      <c r="R244" t="s">
        <v>47</v>
      </c>
      <c r="S244" t="s">
        <v>48</v>
      </c>
      <c r="T244" t="s">
        <v>3047</v>
      </c>
      <c r="U244" t="s">
        <v>50</v>
      </c>
      <c r="V244" t="s">
        <v>182</v>
      </c>
      <c r="W244" t="s">
        <v>1053</v>
      </c>
      <c r="X244" t="s">
        <v>457</v>
      </c>
      <c r="Y244" t="s">
        <v>3048</v>
      </c>
      <c r="Z244">
        <v>4</v>
      </c>
      <c r="AA244" t="s">
        <v>55</v>
      </c>
      <c r="AB244" t="s">
        <v>3049</v>
      </c>
      <c r="AC244" t="s">
        <v>2529</v>
      </c>
      <c r="AD244" t="s">
        <v>58</v>
      </c>
      <c r="AE244">
        <v>2890400</v>
      </c>
      <c r="AF244">
        <v>57808</v>
      </c>
      <c r="AJ244" t="str">
        <f>_xlfn.XLOOKUP(Table9[[#This Row],[Engine No.]],'[1]Dubai Islamic Consumer'!$Q$3:$Q$1176,'[1]Dubai Islamic Consumer'!$B$3:$B$1176,,,)</f>
        <v>KHI/HO/D/MO/PC COMP/C/102086/324/11/2024</v>
      </c>
    </row>
    <row r="245" spans="1:36" hidden="1" x14ac:dyDescent="0.25">
      <c r="A245">
        <v>244</v>
      </c>
      <c r="B245" t="s">
        <v>35</v>
      </c>
      <c r="C245" t="s">
        <v>3050</v>
      </c>
      <c r="D245" t="s">
        <v>37</v>
      </c>
      <c r="E245" t="s">
        <v>3051</v>
      </c>
      <c r="F245" t="s">
        <v>39</v>
      </c>
      <c r="G245" t="s">
        <v>3052</v>
      </c>
      <c r="H245" t="s">
        <v>3053</v>
      </c>
      <c r="I245" t="s">
        <v>3054</v>
      </c>
      <c r="J245" t="s">
        <v>3055</v>
      </c>
      <c r="K245" t="s">
        <v>3056</v>
      </c>
      <c r="L245">
        <v>2766000</v>
      </c>
      <c r="M245">
        <v>4610000</v>
      </c>
      <c r="N245" t="s">
        <v>3057</v>
      </c>
      <c r="O245" s="1">
        <v>45619</v>
      </c>
      <c r="P245" t="s">
        <v>3058</v>
      </c>
      <c r="Q245" t="s">
        <v>3059</v>
      </c>
      <c r="R245" t="s">
        <v>47</v>
      </c>
      <c r="S245" t="s">
        <v>48</v>
      </c>
      <c r="T245" t="s">
        <v>3060</v>
      </c>
      <c r="U245" t="s">
        <v>50</v>
      </c>
      <c r="V245" t="s">
        <v>3061</v>
      </c>
      <c r="W245" t="s">
        <v>132</v>
      </c>
      <c r="X245" t="s">
        <v>133</v>
      </c>
      <c r="Y245" t="s">
        <v>3062</v>
      </c>
      <c r="Z245">
        <v>5</v>
      </c>
      <c r="AA245" t="s">
        <v>152</v>
      </c>
      <c r="AB245" t="s">
        <v>3063</v>
      </c>
      <c r="AC245" t="s">
        <v>2529</v>
      </c>
      <c r="AD245" t="s">
        <v>58</v>
      </c>
      <c r="AE245">
        <v>3688000</v>
      </c>
      <c r="AF245">
        <v>73760</v>
      </c>
      <c r="AJ245" t="str">
        <f>_xlfn.XLOOKUP(Table9[[#This Row],[Engine No.]],'[1]Dubai Islamic Consumer'!$Q$3:$Q$1176,'[1]Dubai Islamic Consumer'!$B$3:$B$1176,,,)</f>
        <v>KHI/HO/D/MO/PC COMP/C/102086/316/11/2024</v>
      </c>
    </row>
    <row r="246" spans="1:36" hidden="1" x14ac:dyDescent="0.25">
      <c r="A246">
        <v>245</v>
      </c>
      <c r="B246" t="s">
        <v>35</v>
      </c>
      <c r="C246" t="s">
        <v>3064</v>
      </c>
      <c r="D246" t="s">
        <v>37</v>
      </c>
      <c r="E246" t="s">
        <v>3065</v>
      </c>
      <c r="F246" t="s">
        <v>89</v>
      </c>
      <c r="G246" t="s">
        <v>3066</v>
      </c>
      <c r="H246" t="s">
        <v>3067</v>
      </c>
      <c r="I246" t="s">
        <v>48</v>
      </c>
      <c r="J246" t="s">
        <v>141</v>
      </c>
      <c r="K246" t="s">
        <v>3068</v>
      </c>
      <c r="L246">
        <v>1375000</v>
      </c>
      <c r="M246">
        <v>2500000</v>
      </c>
      <c r="N246" t="s">
        <v>3069</v>
      </c>
      <c r="O246" s="1">
        <v>45619</v>
      </c>
      <c r="P246" t="s">
        <v>3070</v>
      </c>
      <c r="Q246" t="s">
        <v>3071</v>
      </c>
      <c r="R246" t="s">
        <v>146</v>
      </c>
      <c r="S246" t="s">
        <v>3072</v>
      </c>
      <c r="T246" t="s">
        <v>3073</v>
      </c>
      <c r="U246" t="s">
        <v>651</v>
      </c>
      <c r="V246" t="s">
        <v>3074</v>
      </c>
      <c r="W246" t="s">
        <v>1922</v>
      </c>
      <c r="X246" t="s">
        <v>457</v>
      </c>
      <c r="Y246" t="s">
        <v>3075</v>
      </c>
      <c r="Z246">
        <v>3</v>
      </c>
      <c r="AA246" t="s">
        <v>323</v>
      </c>
      <c r="AB246" t="s">
        <v>3076</v>
      </c>
      <c r="AC246" t="s">
        <v>2671</v>
      </c>
      <c r="AD246" t="s">
        <v>86</v>
      </c>
      <c r="AE246">
        <v>2125000</v>
      </c>
      <c r="AF246">
        <v>37188</v>
      </c>
      <c r="AJ246" t="str">
        <f>_xlfn.XLOOKUP(Table9[[#This Row],[Engine No.]],'[1]Dubai Islamic Consumer'!$Q$3:$Q$1176,'[1]Dubai Islamic Consumer'!$B$3:$B$1176,,,)</f>
        <v>KHI/HO/D/MO/PC COMP/C/102086/310/11/2024</v>
      </c>
    </row>
    <row r="247" spans="1:36" hidden="1" x14ac:dyDescent="0.25">
      <c r="A247">
        <v>246</v>
      </c>
      <c r="B247" t="s">
        <v>35</v>
      </c>
      <c r="C247" t="s">
        <v>3077</v>
      </c>
      <c r="D247" t="s">
        <v>37</v>
      </c>
      <c r="E247" t="s">
        <v>3078</v>
      </c>
      <c r="F247" t="s">
        <v>245</v>
      </c>
      <c r="G247" t="s">
        <v>3079</v>
      </c>
      <c r="H247" t="s">
        <v>3080</v>
      </c>
      <c r="I247" t="s">
        <v>3080</v>
      </c>
      <c r="J247" t="s">
        <v>3081</v>
      </c>
      <c r="K247" t="s">
        <v>3082</v>
      </c>
      <c r="L247">
        <v>2479125</v>
      </c>
      <c r="M247">
        <v>4507500</v>
      </c>
      <c r="N247" t="s">
        <v>3083</v>
      </c>
      <c r="O247" s="1">
        <v>45619</v>
      </c>
      <c r="P247" t="s">
        <v>3084</v>
      </c>
      <c r="Q247" t="s">
        <v>3085</v>
      </c>
      <c r="R247" t="s">
        <v>47</v>
      </c>
      <c r="S247" t="s">
        <v>48</v>
      </c>
      <c r="T247" t="s">
        <v>283</v>
      </c>
      <c r="U247" t="s">
        <v>148</v>
      </c>
      <c r="V247" t="s">
        <v>3074</v>
      </c>
      <c r="W247" t="s">
        <v>1922</v>
      </c>
      <c r="X247" t="s">
        <v>457</v>
      </c>
      <c r="Y247" t="s">
        <v>3086</v>
      </c>
      <c r="Z247">
        <v>3</v>
      </c>
      <c r="AA247" t="s">
        <v>323</v>
      </c>
      <c r="AB247" t="s">
        <v>3087</v>
      </c>
      <c r="AC247" t="s">
        <v>2671</v>
      </c>
      <c r="AD247" t="s">
        <v>86</v>
      </c>
      <c r="AE247">
        <v>3831375</v>
      </c>
      <c r="AF247">
        <v>67049</v>
      </c>
      <c r="AJ247" t="str">
        <f>_xlfn.XLOOKUP(Table9[[#This Row],[Engine No.]],'[1]Dubai Islamic Consumer'!$Q$3:$Q$1176,'[1]Dubai Islamic Consumer'!$B$3:$B$1176,,,)</f>
        <v>KHI/HO/D/MO/PC COMP/C/102086/309/11/2024</v>
      </c>
    </row>
    <row r="248" spans="1:36" hidden="1" x14ac:dyDescent="0.25">
      <c r="A248">
        <v>247</v>
      </c>
      <c r="B248" t="s">
        <v>35</v>
      </c>
      <c r="C248" t="s">
        <v>3088</v>
      </c>
      <c r="D248" t="s">
        <v>37</v>
      </c>
      <c r="E248" t="s">
        <v>3089</v>
      </c>
      <c r="F248" t="s">
        <v>138</v>
      </c>
      <c r="G248" t="s">
        <v>3090</v>
      </c>
      <c r="H248" t="s">
        <v>3091</v>
      </c>
      <c r="I248" t="s">
        <v>3092</v>
      </c>
      <c r="J248" t="s">
        <v>141</v>
      </c>
      <c r="K248" t="s">
        <v>3093</v>
      </c>
      <c r="L248">
        <v>1300000</v>
      </c>
      <c r="M248">
        <v>2000000</v>
      </c>
      <c r="N248" t="s">
        <v>3094</v>
      </c>
      <c r="O248" s="1">
        <v>45619</v>
      </c>
      <c r="P248" t="s">
        <v>3095</v>
      </c>
      <c r="Q248" t="s">
        <v>3096</v>
      </c>
      <c r="R248" t="s">
        <v>146</v>
      </c>
      <c r="S248" t="s">
        <v>3097</v>
      </c>
      <c r="T248" t="s">
        <v>2994</v>
      </c>
      <c r="U248" t="s">
        <v>98</v>
      </c>
      <c r="V248" t="s">
        <v>2181</v>
      </c>
      <c r="W248" t="s">
        <v>940</v>
      </c>
      <c r="X248" t="s">
        <v>1638</v>
      </c>
      <c r="Y248" t="s">
        <v>3098</v>
      </c>
      <c r="Z248">
        <v>5</v>
      </c>
      <c r="AA248" t="s">
        <v>152</v>
      </c>
      <c r="AB248" t="s">
        <v>3099</v>
      </c>
      <c r="AC248" t="s">
        <v>2671</v>
      </c>
      <c r="AD248" t="s">
        <v>86</v>
      </c>
      <c r="AE248">
        <v>1700000</v>
      </c>
      <c r="AF248">
        <v>29750</v>
      </c>
      <c r="AJ248" t="str">
        <f>_xlfn.XLOOKUP(Table9[[#This Row],[Engine No.]],'[1]Dubai Islamic Consumer'!$Q$3:$Q$1176,'[1]Dubai Islamic Consumer'!$B$3:$B$1176,,,)</f>
        <v>KHI/HO/D/MO/PC COMP/C/102086/308/11/2024</v>
      </c>
    </row>
    <row r="249" spans="1:36" hidden="1" x14ac:dyDescent="0.25">
      <c r="A249">
        <v>248</v>
      </c>
      <c r="B249" t="s">
        <v>35</v>
      </c>
      <c r="C249" t="s">
        <v>3100</v>
      </c>
      <c r="D249" t="s">
        <v>37</v>
      </c>
      <c r="E249" t="s">
        <v>3101</v>
      </c>
      <c r="F249" t="s">
        <v>39</v>
      </c>
      <c r="G249" t="s">
        <v>3102</v>
      </c>
      <c r="H249" t="s">
        <v>3103</v>
      </c>
      <c r="I249" t="s">
        <v>3104</v>
      </c>
      <c r="J249" t="s">
        <v>3103</v>
      </c>
      <c r="K249" t="s">
        <v>3105</v>
      </c>
      <c r="L249">
        <v>2536950</v>
      </c>
      <c r="M249">
        <v>3903000</v>
      </c>
      <c r="N249" t="s">
        <v>3106</v>
      </c>
      <c r="O249" s="1">
        <v>45619</v>
      </c>
      <c r="P249" t="s">
        <v>3107</v>
      </c>
      <c r="Q249" t="s">
        <v>3108</v>
      </c>
      <c r="R249" t="s">
        <v>47</v>
      </c>
      <c r="S249" t="s">
        <v>48</v>
      </c>
      <c r="T249" t="s">
        <v>1128</v>
      </c>
      <c r="U249" t="s">
        <v>50</v>
      </c>
      <c r="V249" t="s">
        <v>508</v>
      </c>
      <c r="W249" t="s">
        <v>132</v>
      </c>
      <c r="X249" t="s">
        <v>133</v>
      </c>
      <c r="Y249" t="s">
        <v>3109</v>
      </c>
      <c r="Z249">
        <v>5</v>
      </c>
      <c r="AA249" t="s">
        <v>55</v>
      </c>
      <c r="AB249" t="s">
        <v>3110</v>
      </c>
      <c r="AC249" t="s">
        <v>2529</v>
      </c>
      <c r="AD249" t="s">
        <v>58</v>
      </c>
      <c r="AE249">
        <v>3122400</v>
      </c>
      <c r="AF249">
        <v>62448</v>
      </c>
      <c r="AJ249" t="str">
        <f>_xlfn.XLOOKUP(Table9[[#This Row],[Engine No.]],'[1]Dubai Islamic Consumer'!$Q$3:$Q$1176,'[1]Dubai Islamic Consumer'!$B$3:$B$1176,,,)</f>
        <v>KHI/HO/D/MO/PC COMP/C/102086/307/11/2024</v>
      </c>
    </row>
    <row r="250" spans="1:36" hidden="1" x14ac:dyDescent="0.25">
      <c r="A250">
        <v>249</v>
      </c>
      <c r="B250" t="s">
        <v>35</v>
      </c>
      <c r="C250" t="s">
        <v>3111</v>
      </c>
      <c r="D250" t="s">
        <v>37</v>
      </c>
      <c r="E250" t="s">
        <v>1593</v>
      </c>
      <c r="F250" t="s">
        <v>3112</v>
      </c>
      <c r="G250" t="s">
        <v>3113</v>
      </c>
      <c r="H250" t="s">
        <v>48</v>
      </c>
      <c r="I250" t="s">
        <v>3114</v>
      </c>
      <c r="J250" t="s">
        <v>48</v>
      </c>
      <c r="K250" t="s">
        <v>3115</v>
      </c>
      <c r="L250">
        <v>3704250</v>
      </c>
      <c r="M250">
        <v>4939000</v>
      </c>
      <c r="N250" t="s">
        <v>3116</v>
      </c>
      <c r="O250" t="s">
        <v>2935</v>
      </c>
      <c r="P250" t="s">
        <v>3117</v>
      </c>
      <c r="Q250" t="s">
        <v>3118</v>
      </c>
      <c r="R250" t="s">
        <v>858</v>
      </c>
      <c r="S250" t="s">
        <v>48</v>
      </c>
      <c r="T250" t="s">
        <v>495</v>
      </c>
      <c r="U250" t="s">
        <v>386</v>
      </c>
      <c r="V250" s="1">
        <v>45162</v>
      </c>
      <c r="W250" t="s">
        <v>387</v>
      </c>
      <c r="X250" t="s">
        <v>3119</v>
      </c>
      <c r="Y250" t="s">
        <v>3120</v>
      </c>
      <c r="Z250">
        <v>7</v>
      </c>
      <c r="AA250" t="s">
        <v>55</v>
      </c>
      <c r="AB250" t="s">
        <v>3121</v>
      </c>
      <c r="AC250" t="s">
        <v>3122</v>
      </c>
      <c r="AD250" t="s">
        <v>943</v>
      </c>
      <c r="AE250">
        <v>4445100</v>
      </c>
      <c r="AF250">
        <v>62231</v>
      </c>
      <c r="AJ250" t="str">
        <f>_xlfn.XLOOKUP(Table9[[#This Row],[Engine No.]],'[1]Dubai Islamic Consumer'!$Q$3:$Q$1176,'[1]Dubai Islamic Consumer'!$B$3:$B$1176,,,)</f>
        <v>KHI/HO/D/MO/PC COMP/C/102086/306/11/2024</v>
      </c>
    </row>
    <row r="251" spans="1:36" hidden="1" x14ac:dyDescent="0.25">
      <c r="A251">
        <v>250</v>
      </c>
      <c r="B251" t="s">
        <v>35</v>
      </c>
      <c r="C251" t="s">
        <v>3123</v>
      </c>
      <c r="D251" t="s">
        <v>37</v>
      </c>
      <c r="E251" t="s">
        <v>3124</v>
      </c>
      <c r="F251" t="s">
        <v>138</v>
      </c>
      <c r="G251" t="s">
        <v>3125</v>
      </c>
      <c r="H251" t="s">
        <v>48</v>
      </c>
      <c r="I251" t="s">
        <v>3126</v>
      </c>
      <c r="J251" t="s">
        <v>48</v>
      </c>
      <c r="K251" t="s">
        <v>3127</v>
      </c>
      <c r="L251">
        <v>980000</v>
      </c>
      <c r="M251">
        <v>1750000</v>
      </c>
      <c r="N251" t="s">
        <v>3128</v>
      </c>
      <c r="O251" t="s">
        <v>2935</v>
      </c>
      <c r="P251" t="s">
        <v>3129</v>
      </c>
      <c r="Q251" t="s">
        <v>3130</v>
      </c>
      <c r="R251" t="s">
        <v>146</v>
      </c>
      <c r="S251" t="s">
        <v>3131</v>
      </c>
      <c r="T251" t="s">
        <v>3132</v>
      </c>
      <c r="U251" t="s">
        <v>651</v>
      </c>
      <c r="V251" s="1">
        <v>45255</v>
      </c>
      <c r="W251" t="s">
        <v>387</v>
      </c>
      <c r="X251" t="s">
        <v>388</v>
      </c>
      <c r="Y251" t="s">
        <v>3133</v>
      </c>
      <c r="Z251">
        <v>3</v>
      </c>
      <c r="AA251" t="s">
        <v>55</v>
      </c>
      <c r="AB251" t="s">
        <v>3134</v>
      </c>
      <c r="AC251" t="s">
        <v>2946</v>
      </c>
      <c r="AD251" t="s">
        <v>86</v>
      </c>
      <c r="AE251">
        <v>1575000</v>
      </c>
      <c r="AF251">
        <v>27563</v>
      </c>
      <c r="AJ251" t="str">
        <f>_xlfn.XLOOKUP(Table9[[#This Row],[Engine No.]],'[1]Dubai Islamic Consumer'!$Q$3:$Q$1176,'[1]Dubai Islamic Consumer'!$B$3:$B$1176,,,)</f>
        <v>KHI/HO/D/MO/PC COMP/C/102086/304/11/2024</v>
      </c>
    </row>
    <row r="252" spans="1:36" hidden="1" x14ac:dyDescent="0.25">
      <c r="A252">
        <v>251</v>
      </c>
      <c r="B252" t="s">
        <v>35</v>
      </c>
      <c r="C252" t="s">
        <v>3135</v>
      </c>
      <c r="D252" t="s">
        <v>37</v>
      </c>
      <c r="E252" t="s">
        <v>3136</v>
      </c>
      <c r="F252" t="s">
        <v>138</v>
      </c>
      <c r="G252" t="s">
        <v>3137</v>
      </c>
      <c r="H252" t="s">
        <v>3138</v>
      </c>
      <c r="I252" t="s">
        <v>3138</v>
      </c>
      <c r="J252" t="s">
        <v>3138</v>
      </c>
      <c r="K252" t="s">
        <v>3139</v>
      </c>
      <c r="L252">
        <v>1860000</v>
      </c>
      <c r="M252">
        <v>3000000</v>
      </c>
      <c r="N252" t="s">
        <v>3140</v>
      </c>
      <c r="O252" t="s">
        <v>2935</v>
      </c>
      <c r="P252" t="s">
        <v>3141</v>
      </c>
      <c r="Q252" t="s">
        <v>3142</v>
      </c>
      <c r="R252" t="s">
        <v>146</v>
      </c>
      <c r="S252" t="s">
        <v>3143</v>
      </c>
      <c r="T252" t="s">
        <v>2994</v>
      </c>
      <c r="U252" t="s">
        <v>148</v>
      </c>
      <c r="V252" s="1">
        <v>45257</v>
      </c>
      <c r="W252" t="s">
        <v>387</v>
      </c>
      <c r="X252" t="s">
        <v>1628</v>
      </c>
      <c r="Y252" t="s">
        <v>3144</v>
      </c>
      <c r="Z252">
        <v>5</v>
      </c>
      <c r="AA252" t="s">
        <v>55</v>
      </c>
      <c r="AB252" t="s">
        <v>3145</v>
      </c>
      <c r="AC252" t="s">
        <v>387</v>
      </c>
      <c r="AD252" t="s">
        <v>86</v>
      </c>
      <c r="AE252">
        <v>2700000</v>
      </c>
      <c r="AF252">
        <v>47250</v>
      </c>
      <c r="AJ252" t="str">
        <f>_xlfn.XLOOKUP(Table9[[#This Row],[Engine No.]],'[1]Dubai Islamic Consumer'!$Q$3:$Q$1176,'[1]Dubai Islamic Consumer'!$B$3:$B$1176,,,)</f>
        <v>KHI/HO/D/MO/PC COMP/C/102086/303/11/2024</v>
      </c>
    </row>
    <row r="253" spans="1:36" hidden="1" x14ac:dyDescent="0.25">
      <c r="A253">
        <v>252</v>
      </c>
      <c r="B253" t="s">
        <v>35</v>
      </c>
      <c r="C253" t="s">
        <v>3146</v>
      </c>
      <c r="D253" t="s">
        <v>37</v>
      </c>
      <c r="E253" t="s">
        <v>1773</v>
      </c>
      <c r="F253" t="s">
        <v>107</v>
      </c>
      <c r="G253" t="s">
        <v>3147</v>
      </c>
      <c r="H253" t="s">
        <v>48</v>
      </c>
      <c r="I253" t="s">
        <v>3148</v>
      </c>
      <c r="J253" t="s">
        <v>3149</v>
      </c>
      <c r="K253" t="s">
        <v>3150</v>
      </c>
      <c r="L253">
        <v>1168000</v>
      </c>
      <c r="M253">
        <v>1460000</v>
      </c>
      <c r="N253" t="s">
        <v>3151</v>
      </c>
      <c r="O253" s="1">
        <v>45619</v>
      </c>
      <c r="P253" t="s">
        <v>3152</v>
      </c>
      <c r="Q253" t="s">
        <v>3153</v>
      </c>
      <c r="R253" t="s">
        <v>146</v>
      </c>
      <c r="S253" t="s">
        <v>3154</v>
      </c>
      <c r="T253" t="s">
        <v>194</v>
      </c>
      <c r="U253" t="s">
        <v>614</v>
      </c>
      <c r="V253" t="s">
        <v>3155</v>
      </c>
      <c r="W253" t="s">
        <v>1053</v>
      </c>
      <c r="X253" t="s">
        <v>388</v>
      </c>
      <c r="Y253" t="s">
        <v>3156</v>
      </c>
      <c r="Z253">
        <v>5</v>
      </c>
      <c r="AA253" t="s">
        <v>323</v>
      </c>
      <c r="AB253" t="s">
        <v>3157</v>
      </c>
      <c r="AC253" t="s">
        <v>2796</v>
      </c>
      <c r="AD253" t="s">
        <v>299</v>
      </c>
      <c r="AE253">
        <v>1168000</v>
      </c>
      <c r="AF253">
        <v>17520</v>
      </c>
      <c r="AJ253" t="str">
        <f>_xlfn.XLOOKUP(Table9[[#This Row],[Engine No.]],'[1]Dubai Islamic Consumer'!$Q$3:$Q$1176,'[1]Dubai Islamic Consumer'!$B$3:$B$1176,,,)</f>
        <v>KHI/HO/D/MO/PC COMP/C/102086/302/11/2024</v>
      </c>
    </row>
    <row r="254" spans="1:36" hidden="1" x14ac:dyDescent="0.25">
      <c r="A254">
        <v>253</v>
      </c>
      <c r="B254" t="s">
        <v>35</v>
      </c>
      <c r="C254" t="s">
        <v>3158</v>
      </c>
      <c r="D254" t="s">
        <v>37</v>
      </c>
      <c r="E254" t="s">
        <v>3159</v>
      </c>
      <c r="F254" t="s">
        <v>138</v>
      </c>
      <c r="G254" t="s">
        <v>3160</v>
      </c>
      <c r="H254" t="s">
        <v>3161</v>
      </c>
      <c r="I254" t="s">
        <v>3162</v>
      </c>
      <c r="J254" t="s">
        <v>141</v>
      </c>
      <c r="K254" t="s">
        <v>3163</v>
      </c>
      <c r="L254">
        <v>531000</v>
      </c>
      <c r="M254">
        <v>885000</v>
      </c>
      <c r="N254" t="s">
        <v>3164</v>
      </c>
      <c r="O254" s="1">
        <v>45620</v>
      </c>
      <c r="P254" t="s">
        <v>3165</v>
      </c>
      <c r="Q254" t="s">
        <v>3166</v>
      </c>
      <c r="R254" t="s">
        <v>146</v>
      </c>
      <c r="S254" t="s">
        <v>3167</v>
      </c>
      <c r="T254" t="s">
        <v>3168</v>
      </c>
      <c r="U254" t="s">
        <v>651</v>
      </c>
      <c r="V254" t="s">
        <v>456</v>
      </c>
      <c r="W254" t="s">
        <v>456</v>
      </c>
      <c r="X254" t="s">
        <v>457</v>
      </c>
      <c r="Y254" t="s">
        <v>3169</v>
      </c>
      <c r="Z254">
        <v>5</v>
      </c>
      <c r="AA254" t="s">
        <v>55</v>
      </c>
      <c r="AB254" t="s">
        <v>3170</v>
      </c>
      <c r="AC254" t="s">
        <v>3035</v>
      </c>
      <c r="AD254" t="s">
        <v>58</v>
      </c>
      <c r="AE254">
        <v>663750</v>
      </c>
      <c r="AF254">
        <v>13275</v>
      </c>
      <c r="AJ254" t="str">
        <f>_xlfn.XLOOKUP(Table9[[#This Row],[Engine No.]],'[1]Dubai Islamic Consumer'!$Q$3:$Q$1176,'[1]Dubai Islamic Consumer'!$B$3:$B$1176,,,)</f>
        <v>KHI/HO/D/MO/PC COMP/C/102086/301/11/2024</v>
      </c>
    </row>
    <row r="255" spans="1:36" hidden="1" x14ac:dyDescent="0.25">
      <c r="A255">
        <v>254</v>
      </c>
      <c r="B255" t="s">
        <v>35</v>
      </c>
      <c r="C255" t="s">
        <v>3171</v>
      </c>
      <c r="D255" t="s">
        <v>37</v>
      </c>
      <c r="E255" t="s">
        <v>3172</v>
      </c>
      <c r="F255" t="s">
        <v>107</v>
      </c>
      <c r="G255" t="s">
        <v>3173</v>
      </c>
      <c r="H255" t="s">
        <v>3174</v>
      </c>
      <c r="I255" t="s">
        <v>3174</v>
      </c>
      <c r="J255" t="s">
        <v>3174</v>
      </c>
      <c r="K255" t="s">
        <v>3175</v>
      </c>
      <c r="L255">
        <v>672000</v>
      </c>
      <c r="M255">
        <v>840000</v>
      </c>
      <c r="N255" t="s">
        <v>3176</v>
      </c>
      <c r="O255" s="1">
        <v>45620</v>
      </c>
      <c r="P255" t="s">
        <v>3177</v>
      </c>
      <c r="Q255" t="s">
        <v>3178</v>
      </c>
      <c r="R255" t="s">
        <v>146</v>
      </c>
      <c r="S255" t="s">
        <v>3179</v>
      </c>
      <c r="T255" t="s">
        <v>639</v>
      </c>
      <c r="U255" t="s">
        <v>335</v>
      </c>
      <c r="V255" t="s">
        <v>2836</v>
      </c>
      <c r="W255" t="s">
        <v>132</v>
      </c>
      <c r="X255" t="s">
        <v>133</v>
      </c>
      <c r="Y255" t="s">
        <v>3180</v>
      </c>
      <c r="Z255">
        <v>5</v>
      </c>
      <c r="AA255" t="s">
        <v>323</v>
      </c>
      <c r="AB255" t="s">
        <v>3181</v>
      </c>
      <c r="AC255" t="s">
        <v>2796</v>
      </c>
      <c r="AD255" t="s">
        <v>299</v>
      </c>
      <c r="AE255">
        <v>672000</v>
      </c>
      <c r="AF255">
        <v>10080</v>
      </c>
      <c r="AJ255" t="str">
        <f>_xlfn.XLOOKUP(Table9[[#This Row],[Engine No.]],'[1]Dubai Islamic Consumer'!$Q$3:$Q$1176,'[1]Dubai Islamic Consumer'!$B$3:$B$1176,,,)</f>
        <v>KHI/HO/D/MO/PC COMP/C/102086/300/11/2024</v>
      </c>
    </row>
    <row r="256" spans="1:36" hidden="1" x14ac:dyDescent="0.25">
      <c r="A256">
        <v>255</v>
      </c>
      <c r="B256" t="s">
        <v>35</v>
      </c>
      <c r="C256" t="s">
        <v>3182</v>
      </c>
      <c r="D256" t="s">
        <v>37</v>
      </c>
      <c r="E256" t="s">
        <v>3183</v>
      </c>
      <c r="F256" t="s">
        <v>525</v>
      </c>
      <c r="G256" t="s">
        <v>3184</v>
      </c>
      <c r="H256" t="s">
        <v>48</v>
      </c>
      <c r="I256" t="s">
        <v>3185</v>
      </c>
      <c r="J256" t="s">
        <v>48</v>
      </c>
      <c r="K256" t="s">
        <v>3186</v>
      </c>
      <c r="L256">
        <v>999750</v>
      </c>
      <c r="M256">
        <v>1333000</v>
      </c>
      <c r="N256" t="s">
        <v>3187</v>
      </c>
      <c r="O256" s="1">
        <v>45620</v>
      </c>
      <c r="P256" t="s">
        <v>3188</v>
      </c>
      <c r="Q256" t="s">
        <v>3189</v>
      </c>
      <c r="R256" t="s">
        <v>47</v>
      </c>
      <c r="S256" t="s">
        <v>48</v>
      </c>
      <c r="T256" t="s">
        <v>210</v>
      </c>
      <c r="U256" t="s">
        <v>50</v>
      </c>
      <c r="V256" t="s">
        <v>211</v>
      </c>
      <c r="W256" t="s">
        <v>132</v>
      </c>
      <c r="X256" t="s">
        <v>133</v>
      </c>
      <c r="Y256" t="s">
        <v>3190</v>
      </c>
      <c r="Z256">
        <v>5</v>
      </c>
      <c r="AA256" t="s">
        <v>1055</v>
      </c>
      <c r="AB256" t="s">
        <v>3191</v>
      </c>
      <c r="AC256" t="s">
        <v>2034</v>
      </c>
      <c r="AD256" t="s">
        <v>58</v>
      </c>
      <c r="AE256">
        <v>1066400</v>
      </c>
      <c r="AF256">
        <v>21328</v>
      </c>
      <c r="AJ256" t="str">
        <f>_xlfn.XLOOKUP(Table9[[#This Row],[Engine No.]],'[1]Dubai Islamic Consumer'!$Q$3:$Q$1176,'[1]Dubai Islamic Consumer'!$B$3:$B$1176,,,)</f>
        <v>KHI/HO/D/MO/PC COMP/C/102086/299/11/2024</v>
      </c>
    </row>
    <row r="257" spans="1:36" hidden="1" x14ac:dyDescent="0.25">
      <c r="A257">
        <v>256</v>
      </c>
      <c r="B257" t="s">
        <v>35</v>
      </c>
      <c r="C257" t="s">
        <v>3192</v>
      </c>
      <c r="D257" t="s">
        <v>37</v>
      </c>
      <c r="E257" t="s">
        <v>3193</v>
      </c>
      <c r="F257" t="s">
        <v>39</v>
      </c>
      <c r="G257" t="s">
        <v>3194</v>
      </c>
      <c r="H257" t="s">
        <v>48</v>
      </c>
      <c r="I257" t="s">
        <v>3195</v>
      </c>
      <c r="J257" t="s">
        <v>48</v>
      </c>
      <c r="K257" t="s">
        <v>3196</v>
      </c>
      <c r="L257">
        <v>1449840</v>
      </c>
      <c r="M257">
        <v>2589000</v>
      </c>
      <c r="N257" t="s">
        <v>3197</v>
      </c>
      <c r="O257" s="1">
        <v>45620</v>
      </c>
      <c r="P257" t="s">
        <v>3198</v>
      </c>
      <c r="Q257" t="s">
        <v>3199</v>
      </c>
      <c r="R257" t="s">
        <v>47</v>
      </c>
      <c r="S257" t="s">
        <v>48</v>
      </c>
      <c r="T257" t="s">
        <v>2587</v>
      </c>
      <c r="U257" t="s">
        <v>50</v>
      </c>
      <c r="V257" t="s">
        <v>211</v>
      </c>
      <c r="W257" t="s">
        <v>132</v>
      </c>
      <c r="X257" t="s">
        <v>533</v>
      </c>
      <c r="Y257" t="s">
        <v>3200</v>
      </c>
      <c r="Z257">
        <v>4</v>
      </c>
      <c r="AA257" t="s">
        <v>55</v>
      </c>
      <c r="AB257" t="s">
        <v>3201</v>
      </c>
      <c r="AC257" t="s">
        <v>2796</v>
      </c>
      <c r="AD257" t="s">
        <v>58</v>
      </c>
      <c r="AE257">
        <v>2071200</v>
      </c>
      <c r="AF257">
        <v>41424</v>
      </c>
      <c r="AJ257" t="str">
        <f>_xlfn.XLOOKUP(Table9[[#This Row],[Engine No.]],'[1]Dubai Islamic Consumer'!$Q$3:$Q$1176,'[1]Dubai Islamic Consumer'!$B$3:$B$1176,,,)</f>
        <v>KHI/HO/D/MO/PC COMP/C/102086/297/11/2024</v>
      </c>
    </row>
    <row r="258" spans="1:36" hidden="1" x14ac:dyDescent="0.25">
      <c r="A258">
        <v>257</v>
      </c>
      <c r="B258" t="s">
        <v>35</v>
      </c>
      <c r="C258" t="s">
        <v>3202</v>
      </c>
      <c r="D258" t="s">
        <v>37</v>
      </c>
      <c r="E258" t="s">
        <v>3203</v>
      </c>
      <c r="F258" t="s">
        <v>138</v>
      </c>
      <c r="G258" t="s">
        <v>3204</v>
      </c>
      <c r="H258" t="s">
        <v>3205</v>
      </c>
      <c r="I258" t="s">
        <v>3206</v>
      </c>
      <c r="J258" t="s">
        <v>3205</v>
      </c>
      <c r="K258" t="s">
        <v>3207</v>
      </c>
      <c r="L258">
        <v>1470000</v>
      </c>
      <c r="M258">
        <v>2100000</v>
      </c>
      <c r="N258" t="s">
        <v>3208</v>
      </c>
      <c r="O258" s="1">
        <v>45620</v>
      </c>
      <c r="P258" t="s">
        <v>3209</v>
      </c>
      <c r="Q258" t="s">
        <v>3210</v>
      </c>
      <c r="R258" t="s">
        <v>146</v>
      </c>
      <c r="S258" t="s">
        <v>3211</v>
      </c>
      <c r="T258" t="s">
        <v>3212</v>
      </c>
      <c r="U258" t="s">
        <v>335</v>
      </c>
      <c r="V258" t="s">
        <v>2836</v>
      </c>
      <c r="W258" t="s">
        <v>132</v>
      </c>
      <c r="X258" t="s">
        <v>133</v>
      </c>
      <c r="Y258" t="s">
        <v>3213</v>
      </c>
      <c r="Z258">
        <v>5</v>
      </c>
      <c r="AA258" t="s">
        <v>323</v>
      </c>
      <c r="AB258" t="s">
        <v>3214</v>
      </c>
      <c r="AC258" t="s">
        <v>3155</v>
      </c>
      <c r="AD258" t="s">
        <v>299</v>
      </c>
      <c r="AE258">
        <v>1680000</v>
      </c>
      <c r="AF258">
        <v>25200</v>
      </c>
      <c r="AJ258" t="str">
        <f>_xlfn.XLOOKUP(Table9[[#This Row],[Engine No.]],'[1]Dubai Islamic Consumer'!$Q$3:$Q$1176,'[1]Dubai Islamic Consumer'!$B$3:$B$1176,,,)</f>
        <v>KHI/HO/D/MO/PC COMP/C/102086/294/11/2024</v>
      </c>
    </row>
    <row r="259" spans="1:36" hidden="1" x14ac:dyDescent="0.25">
      <c r="A259">
        <v>258</v>
      </c>
      <c r="B259" t="s">
        <v>35</v>
      </c>
      <c r="C259" t="s">
        <v>3215</v>
      </c>
      <c r="D259" t="s">
        <v>37</v>
      </c>
      <c r="E259" t="s">
        <v>3216</v>
      </c>
      <c r="F259" t="s">
        <v>107</v>
      </c>
      <c r="G259" t="s">
        <v>3217</v>
      </c>
      <c r="H259" t="s">
        <v>3218</v>
      </c>
      <c r="I259" t="s">
        <v>3218</v>
      </c>
      <c r="J259" t="s">
        <v>3218</v>
      </c>
      <c r="K259" t="s">
        <v>3219</v>
      </c>
      <c r="L259">
        <v>1890000</v>
      </c>
      <c r="M259">
        <v>2700000</v>
      </c>
      <c r="N259" t="s">
        <v>3220</v>
      </c>
      <c r="O259" s="1">
        <v>45620</v>
      </c>
      <c r="P259" t="s">
        <v>3221</v>
      </c>
      <c r="Q259" t="s">
        <v>3222</v>
      </c>
      <c r="R259" t="s">
        <v>146</v>
      </c>
      <c r="S259" t="s">
        <v>3223</v>
      </c>
      <c r="T259" t="s">
        <v>3224</v>
      </c>
      <c r="U259" t="s">
        <v>335</v>
      </c>
      <c r="V259" t="s">
        <v>2335</v>
      </c>
      <c r="W259" t="s">
        <v>456</v>
      </c>
      <c r="X259" t="s">
        <v>457</v>
      </c>
      <c r="Y259" t="s">
        <v>3225</v>
      </c>
      <c r="Z259">
        <v>5</v>
      </c>
      <c r="AA259" t="s">
        <v>227</v>
      </c>
      <c r="AB259" t="s">
        <v>3226</v>
      </c>
      <c r="AC259" t="s">
        <v>2428</v>
      </c>
      <c r="AD259" t="s">
        <v>58</v>
      </c>
      <c r="AE259">
        <v>2025000</v>
      </c>
      <c r="AF259">
        <v>40500</v>
      </c>
      <c r="AJ259" t="str">
        <f>_xlfn.XLOOKUP(Table9[[#This Row],[Engine No.]],'[1]Dubai Islamic Consumer'!$Q$3:$Q$1176,'[1]Dubai Islamic Consumer'!$B$3:$B$1176,,,)</f>
        <v>KHI/HO/D/MO/PC COMP/C/102086/293/11/2024</v>
      </c>
    </row>
    <row r="260" spans="1:36" hidden="1" x14ac:dyDescent="0.25">
      <c r="A260">
        <v>259</v>
      </c>
      <c r="B260" t="s">
        <v>35</v>
      </c>
      <c r="C260" t="s">
        <v>3227</v>
      </c>
      <c r="D260" t="s">
        <v>37</v>
      </c>
      <c r="E260" t="s">
        <v>3228</v>
      </c>
      <c r="F260" t="s">
        <v>39</v>
      </c>
      <c r="G260" t="s">
        <v>3229</v>
      </c>
      <c r="H260" t="s">
        <v>3230</v>
      </c>
      <c r="I260" t="s">
        <v>3230</v>
      </c>
      <c r="J260" t="s">
        <v>3231</v>
      </c>
      <c r="K260" t="s">
        <v>3232</v>
      </c>
      <c r="L260">
        <v>1715000</v>
      </c>
      <c r="M260">
        <v>2450000</v>
      </c>
      <c r="N260" t="s">
        <v>3233</v>
      </c>
      <c r="O260" s="1">
        <v>45620</v>
      </c>
      <c r="P260" t="s">
        <v>3234</v>
      </c>
      <c r="Q260" t="s">
        <v>3235</v>
      </c>
      <c r="R260" t="s">
        <v>146</v>
      </c>
      <c r="S260" t="s">
        <v>3236</v>
      </c>
      <c r="T260" t="s">
        <v>3237</v>
      </c>
      <c r="U260" t="s">
        <v>496</v>
      </c>
      <c r="V260" t="s">
        <v>3155</v>
      </c>
      <c r="W260" t="s">
        <v>1053</v>
      </c>
      <c r="X260" t="s">
        <v>388</v>
      </c>
      <c r="Y260" t="s">
        <v>3238</v>
      </c>
      <c r="Z260">
        <v>5</v>
      </c>
      <c r="AA260" t="s">
        <v>118</v>
      </c>
      <c r="AB260" t="s">
        <v>3239</v>
      </c>
      <c r="AC260" t="s">
        <v>2796</v>
      </c>
      <c r="AD260" t="s">
        <v>299</v>
      </c>
      <c r="AE260">
        <v>1960000</v>
      </c>
      <c r="AF260">
        <v>29400</v>
      </c>
      <c r="AJ260" t="str">
        <f>_xlfn.XLOOKUP(Table9[[#This Row],[Engine No.]],'[1]Dubai Islamic Consumer'!$Q$3:$Q$1176,'[1]Dubai Islamic Consumer'!$B$3:$B$1176,,,)</f>
        <v>KHI/HO/D/MO/PC COMP/C/102086/291/11/2024</v>
      </c>
    </row>
    <row r="261" spans="1:36" hidden="1" x14ac:dyDescent="0.25">
      <c r="A261">
        <v>260</v>
      </c>
      <c r="B261" t="s">
        <v>35</v>
      </c>
      <c r="C261" t="s">
        <v>3240</v>
      </c>
      <c r="D261" t="s">
        <v>37</v>
      </c>
      <c r="E261" t="s">
        <v>3241</v>
      </c>
      <c r="F261" t="s">
        <v>245</v>
      </c>
      <c r="G261" t="s">
        <v>3242</v>
      </c>
      <c r="H261" t="s">
        <v>48</v>
      </c>
      <c r="I261" t="s">
        <v>48</v>
      </c>
      <c r="J261" t="s">
        <v>48</v>
      </c>
      <c r="K261" t="s">
        <v>3243</v>
      </c>
      <c r="L261">
        <v>5063400</v>
      </c>
      <c r="M261">
        <v>8439000</v>
      </c>
      <c r="N261" t="s">
        <v>3244</v>
      </c>
      <c r="O261" s="1">
        <v>45620</v>
      </c>
      <c r="P261" t="s">
        <v>3245</v>
      </c>
      <c r="Q261" t="s">
        <v>3246</v>
      </c>
      <c r="R261" t="s">
        <v>47</v>
      </c>
      <c r="S261" t="s">
        <v>48</v>
      </c>
      <c r="T261" t="s">
        <v>130</v>
      </c>
      <c r="U261" t="s">
        <v>98</v>
      </c>
      <c r="V261" t="s">
        <v>99</v>
      </c>
      <c r="W261" t="s">
        <v>532</v>
      </c>
      <c r="X261" t="s">
        <v>533</v>
      </c>
      <c r="Y261" t="s">
        <v>3247</v>
      </c>
      <c r="Z261">
        <v>5</v>
      </c>
      <c r="AA261" t="s">
        <v>55</v>
      </c>
      <c r="AB261" t="s">
        <v>3248</v>
      </c>
      <c r="AC261" t="s">
        <v>3035</v>
      </c>
      <c r="AD261" t="s">
        <v>299</v>
      </c>
      <c r="AE261">
        <v>6329250</v>
      </c>
      <c r="AF261">
        <v>94939</v>
      </c>
      <c r="AJ261" t="str">
        <f>_xlfn.XLOOKUP(Table9[[#This Row],[Engine No.]],'[1]Dubai Islamic Consumer'!$Q$3:$Q$1176,'[1]Dubai Islamic Consumer'!$B$3:$B$1176,,,)</f>
        <v>KHI/HO/D/MO/PC COMP/C/102086/290/11/2024</v>
      </c>
    </row>
    <row r="262" spans="1:36" hidden="1" x14ac:dyDescent="0.25">
      <c r="A262">
        <v>261</v>
      </c>
      <c r="B262" t="s">
        <v>35</v>
      </c>
      <c r="C262" t="s">
        <v>3249</v>
      </c>
      <c r="D262" t="s">
        <v>37</v>
      </c>
      <c r="E262" t="s">
        <v>3250</v>
      </c>
      <c r="F262" t="s">
        <v>138</v>
      </c>
      <c r="G262" t="s">
        <v>3251</v>
      </c>
      <c r="H262" t="s">
        <v>48</v>
      </c>
      <c r="I262" t="s">
        <v>3252</v>
      </c>
      <c r="J262" t="s">
        <v>48</v>
      </c>
      <c r="K262" t="s">
        <v>3253</v>
      </c>
      <c r="L262">
        <v>6410600</v>
      </c>
      <c r="M262">
        <v>9158000</v>
      </c>
      <c r="N262" t="s">
        <v>3254</v>
      </c>
      <c r="O262" s="1">
        <v>45620</v>
      </c>
      <c r="P262" t="s">
        <v>3255</v>
      </c>
      <c r="Q262" t="s">
        <v>3256</v>
      </c>
      <c r="R262" t="s">
        <v>47</v>
      </c>
      <c r="S262" t="s">
        <v>48</v>
      </c>
      <c r="T262" t="s">
        <v>3257</v>
      </c>
      <c r="U262" t="s">
        <v>50</v>
      </c>
      <c r="V262" t="s">
        <v>3258</v>
      </c>
      <c r="W262" t="s">
        <v>1053</v>
      </c>
      <c r="X262" t="s">
        <v>388</v>
      </c>
      <c r="Y262" t="s">
        <v>3259</v>
      </c>
      <c r="Z262">
        <v>5</v>
      </c>
      <c r="AA262" t="s">
        <v>323</v>
      </c>
      <c r="AB262" t="s">
        <v>3260</v>
      </c>
      <c r="AC262" t="s">
        <v>1627</v>
      </c>
      <c r="AD262" t="s">
        <v>86</v>
      </c>
      <c r="AE262">
        <v>7326400</v>
      </c>
      <c r="AF262">
        <v>128212</v>
      </c>
      <c r="AJ262" t="str">
        <f>_xlfn.XLOOKUP(Table9[[#This Row],[Engine No.]],'[1]Dubai Islamic Consumer'!$Q$3:$Q$1176,'[1]Dubai Islamic Consumer'!$B$3:$B$1176,,,)</f>
        <v>KHI/HO/D/MO/PC COMP/C/102086/289/11/2024</v>
      </c>
    </row>
    <row r="263" spans="1:36" hidden="1" x14ac:dyDescent="0.25">
      <c r="A263">
        <v>262</v>
      </c>
      <c r="B263" t="s">
        <v>35</v>
      </c>
      <c r="C263" t="s">
        <v>3261</v>
      </c>
      <c r="D263" t="s">
        <v>37</v>
      </c>
      <c r="E263" t="s">
        <v>3262</v>
      </c>
      <c r="F263" t="s">
        <v>406</v>
      </c>
      <c r="G263" t="s">
        <v>3263</v>
      </c>
      <c r="H263" t="s">
        <v>3264</v>
      </c>
      <c r="I263" t="s">
        <v>3265</v>
      </c>
      <c r="J263" t="s">
        <v>48</v>
      </c>
      <c r="K263" t="s">
        <v>3266</v>
      </c>
      <c r="L263">
        <v>2377700</v>
      </c>
      <c r="M263">
        <v>3658000</v>
      </c>
      <c r="N263" t="s">
        <v>3267</v>
      </c>
      <c r="O263" s="1">
        <v>45620</v>
      </c>
      <c r="P263" t="s">
        <v>3268</v>
      </c>
      <c r="Q263" t="s">
        <v>3269</v>
      </c>
      <c r="R263" t="s">
        <v>47</v>
      </c>
      <c r="S263" t="s">
        <v>48</v>
      </c>
      <c r="T263" t="s">
        <v>1128</v>
      </c>
      <c r="U263" t="s">
        <v>98</v>
      </c>
      <c r="V263" t="s">
        <v>3270</v>
      </c>
      <c r="W263" t="s">
        <v>532</v>
      </c>
      <c r="X263" t="s">
        <v>533</v>
      </c>
      <c r="Y263" t="s">
        <v>3271</v>
      </c>
      <c r="Z263">
        <v>5</v>
      </c>
      <c r="AA263" t="s">
        <v>118</v>
      </c>
      <c r="AB263" t="s">
        <v>3272</v>
      </c>
      <c r="AC263" t="s">
        <v>2335</v>
      </c>
      <c r="AD263" t="s">
        <v>58</v>
      </c>
      <c r="AE263">
        <v>2743500</v>
      </c>
      <c r="AF263">
        <v>54870</v>
      </c>
      <c r="AJ263" t="str">
        <f>_xlfn.XLOOKUP(Table9[[#This Row],[Engine No.]],'[1]Dubai Islamic Consumer'!$Q$3:$Q$1176,'[1]Dubai Islamic Consumer'!$B$3:$B$1176,,,)</f>
        <v>KHI/HO/D/MO/PC COMP/C/102086/288/11/2024</v>
      </c>
    </row>
    <row r="264" spans="1:36" hidden="1" x14ac:dyDescent="0.25">
      <c r="A264">
        <v>263</v>
      </c>
      <c r="B264" t="s">
        <v>35</v>
      </c>
      <c r="C264" t="s">
        <v>3273</v>
      </c>
      <c r="D264" t="s">
        <v>37</v>
      </c>
      <c r="E264" t="s">
        <v>3274</v>
      </c>
      <c r="F264" t="s">
        <v>138</v>
      </c>
      <c r="G264" t="s">
        <v>3275</v>
      </c>
      <c r="H264" t="s">
        <v>3276</v>
      </c>
      <c r="I264" t="s">
        <v>3276</v>
      </c>
      <c r="J264" t="s">
        <v>141</v>
      </c>
      <c r="K264" t="s">
        <v>3277</v>
      </c>
      <c r="L264">
        <v>1900000</v>
      </c>
      <c r="M264">
        <v>2375000</v>
      </c>
      <c r="N264" t="s">
        <v>3278</v>
      </c>
      <c r="O264" s="1">
        <v>45620</v>
      </c>
      <c r="P264" t="s">
        <v>3279</v>
      </c>
      <c r="Q264" t="s">
        <v>3280</v>
      </c>
      <c r="R264" t="s">
        <v>146</v>
      </c>
      <c r="S264" t="s">
        <v>3281</v>
      </c>
      <c r="T264" t="s">
        <v>3282</v>
      </c>
      <c r="U264" t="s">
        <v>50</v>
      </c>
      <c r="V264" t="s">
        <v>3155</v>
      </c>
      <c r="W264" t="s">
        <v>1053</v>
      </c>
      <c r="X264" t="s">
        <v>388</v>
      </c>
      <c r="Y264" t="s">
        <v>3283</v>
      </c>
      <c r="Z264">
        <v>5</v>
      </c>
      <c r="AA264" t="s">
        <v>323</v>
      </c>
      <c r="AB264" t="s">
        <v>3284</v>
      </c>
      <c r="AC264" t="s">
        <v>2796</v>
      </c>
      <c r="AD264" t="s">
        <v>299</v>
      </c>
      <c r="AE264">
        <v>1900000</v>
      </c>
      <c r="AF264">
        <v>28500</v>
      </c>
      <c r="AJ264" t="str">
        <f>_xlfn.XLOOKUP(Table9[[#This Row],[Engine No.]],'[1]Dubai Islamic Consumer'!$Q$3:$Q$1176,'[1]Dubai Islamic Consumer'!$B$3:$B$1176,,,)</f>
        <v>KHI/HO/D/MO/PC COMP/C/102086/281/11/2024</v>
      </c>
    </row>
    <row r="265" spans="1:36" hidden="1" x14ac:dyDescent="0.25">
      <c r="A265">
        <v>264</v>
      </c>
      <c r="B265" t="s">
        <v>35</v>
      </c>
      <c r="C265" t="s">
        <v>3285</v>
      </c>
      <c r="D265" t="s">
        <v>37</v>
      </c>
      <c r="E265" t="s">
        <v>3286</v>
      </c>
      <c r="F265" t="s">
        <v>107</v>
      </c>
      <c r="G265" t="s">
        <v>3287</v>
      </c>
      <c r="H265" t="s">
        <v>3288</v>
      </c>
      <c r="I265" t="s">
        <v>3288</v>
      </c>
      <c r="J265" t="s">
        <v>3289</v>
      </c>
      <c r="K265" t="s">
        <v>3290</v>
      </c>
      <c r="L265">
        <v>927500</v>
      </c>
      <c r="M265">
        <v>1855000</v>
      </c>
      <c r="N265" t="s">
        <v>3291</v>
      </c>
      <c r="O265" s="1">
        <v>45621</v>
      </c>
      <c r="P265" t="s">
        <v>3292</v>
      </c>
      <c r="Q265" t="s">
        <v>3293</v>
      </c>
      <c r="R265" t="s">
        <v>47</v>
      </c>
      <c r="S265" t="s">
        <v>3294</v>
      </c>
      <c r="T265" t="s">
        <v>67</v>
      </c>
      <c r="U265" t="s">
        <v>614</v>
      </c>
      <c r="V265" t="s">
        <v>3295</v>
      </c>
      <c r="W265" t="s">
        <v>3296</v>
      </c>
      <c r="X265" t="s">
        <v>457</v>
      </c>
      <c r="Y265" t="s">
        <v>3297</v>
      </c>
      <c r="Z265">
        <v>6</v>
      </c>
      <c r="AA265" t="s">
        <v>227</v>
      </c>
      <c r="AB265" t="s">
        <v>3298</v>
      </c>
      <c r="AC265" t="s">
        <v>3296</v>
      </c>
      <c r="AD265" t="s">
        <v>171</v>
      </c>
      <c r="AE265">
        <v>1298500</v>
      </c>
      <c r="AF265">
        <v>32463</v>
      </c>
      <c r="AJ265" t="str">
        <f>_xlfn.XLOOKUP(Table9[[#This Row],[Engine No.]],'[1]Dubai Islamic Consumer'!$Q$3:$Q$1176,'[1]Dubai Islamic Consumer'!$B$3:$B$1176,,,)</f>
        <v>KHI/HO/D/MO/PC COMP/C/102086/280/11/2024</v>
      </c>
    </row>
    <row r="266" spans="1:36" hidden="1" x14ac:dyDescent="0.25">
      <c r="A266">
        <v>265</v>
      </c>
      <c r="B266" t="s">
        <v>35</v>
      </c>
      <c r="C266" t="s">
        <v>3299</v>
      </c>
      <c r="D266" t="s">
        <v>37</v>
      </c>
      <c r="E266" t="s">
        <v>3300</v>
      </c>
      <c r="F266" t="s">
        <v>245</v>
      </c>
      <c r="G266" t="s">
        <v>3301</v>
      </c>
      <c r="H266" t="s">
        <v>3302</v>
      </c>
      <c r="I266" t="s">
        <v>48</v>
      </c>
      <c r="J266" t="s">
        <v>141</v>
      </c>
      <c r="K266" t="s">
        <v>3303</v>
      </c>
      <c r="L266">
        <v>720000</v>
      </c>
      <c r="M266">
        <v>900000</v>
      </c>
      <c r="N266" t="s">
        <v>3304</v>
      </c>
      <c r="O266" s="1">
        <v>45621</v>
      </c>
      <c r="P266" t="s">
        <v>3305</v>
      </c>
      <c r="Q266" t="s">
        <v>3306</v>
      </c>
      <c r="R266" t="s">
        <v>146</v>
      </c>
      <c r="S266" t="s">
        <v>3307</v>
      </c>
      <c r="T266" t="s">
        <v>3308</v>
      </c>
      <c r="U266" t="s">
        <v>496</v>
      </c>
      <c r="V266" t="s">
        <v>2836</v>
      </c>
      <c r="W266" t="s">
        <v>132</v>
      </c>
      <c r="X266" t="s">
        <v>133</v>
      </c>
      <c r="Y266" t="s">
        <v>3309</v>
      </c>
      <c r="Z266">
        <v>5</v>
      </c>
      <c r="AA266" t="s">
        <v>323</v>
      </c>
      <c r="AB266" t="s">
        <v>3310</v>
      </c>
      <c r="AC266" t="s">
        <v>1053</v>
      </c>
      <c r="AD266" t="s">
        <v>299</v>
      </c>
      <c r="AE266">
        <v>720000</v>
      </c>
      <c r="AF266">
        <v>10800</v>
      </c>
      <c r="AJ266" t="str">
        <f>_xlfn.XLOOKUP(Table9[[#This Row],[Engine No.]],'[1]Dubai Islamic Consumer'!$Q$3:$Q$1176,'[1]Dubai Islamic Consumer'!$B$3:$B$1176,,,)</f>
        <v>KHI/HO/D/MO/PC COMP/C/102086/279/11/2024</v>
      </c>
    </row>
    <row r="267" spans="1:36" hidden="1" x14ac:dyDescent="0.25">
      <c r="A267">
        <v>266</v>
      </c>
      <c r="B267" t="s">
        <v>35</v>
      </c>
      <c r="C267" t="s">
        <v>3311</v>
      </c>
      <c r="D267" t="s">
        <v>37</v>
      </c>
      <c r="E267" t="s">
        <v>3312</v>
      </c>
      <c r="F267" t="s">
        <v>525</v>
      </c>
      <c r="G267" t="s">
        <v>3313</v>
      </c>
      <c r="H267" t="s">
        <v>631</v>
      </c>
      <c r="I267" t="s">
        <v>3314</v>
      </c>
      <c r="J267" t="s">
        <v>3315</v>
      </c>
      <c r="K267" t="s">
        <v>3316</v>
      </c>
      <c r="L267">
        <v>1265000</v>
      </c>
      <c r="M267">
        <v>2300000</v>
      </c>
      <c r="N267" t="s">
        <v>3317</v>
      </c>
      <c r="O267" s="1">
        <v>45621</v>
      </c>
      <c r="P267" t="s">
        <v>3318</v>
      </c>
      <c r="Q267" t="s">
        <v>3319</v>
      </c>
      <c r="R267" t="s">
        <v>146</v>
      </c>
      <c r="S267" t="s">
        <v>3320</v>
      </c>
      <c r="T267" t="s">
        <v>1189</v>
      </c>
      <c r="U267" t="s">
        <v>903</v>
      </c>
      <c r="V267" t="s">
        <v>3321</v>
      </c>
      <c r="W267" t="s">
        <v>532</v>
      </c>
      <c r="X267" t="s">
        <v>533</v>
      </c>
      <c r="Y267" t="s">
        <v>3322</v>
      </c>
      <c r="Z267">
        <v>5</v>
      </c>
      <c r="AA267" t="s">
        <v>55</v>
      </c>
      <c r="AB267" t="s">
        <v>3323</v>
      </c>
      <c r="AC267" t="s">
        <v>456</v>
      </c>
      <c r="AD267" t="s">
        <v>58</v>
      </c>
      <c r="AE267">
        <v>1725000</v>
      </c>
      <c r="AF267">
        <v>34500</v>
      </c>
      <c r="AJ267" t="str">
        <f>_xlfn.XLOOKUP(Table9[[#This Row],[Engine No.]],'[1]Dubai Islamic Consumer'!$Q$3:$Q$1176,'[1]Dubai Islamic Consumer'!$B$3:$B$1176,,,)</f>
        <v>KHI/HO/D/MO/PC COMP/C/102086/276/11/2024</v>
      </c>
    </row>
    <row r="268" spans="1:36" hidden="1" x14ac:dyDescent="0.25">
      <c r="A268">
        <v>267</v>
      </c>
      <c r="B268" t="s">
        <v>35</v>
      </c>
      <c r="C268" t="s">
        <v>3324</v>
      </c>
      <c r="D268" t="s">
        <v>37</v>
      </c>
      <c r="E268" t="s">
        <v>3325</v>
      </c>
      <c r="F268" t="s">
        <v>245</v>
      </c>
      <c r="G268" t="s">
        <v>3326</v>
      </c>
      <c r="H268" t="s">
        <v>3327</v>
      </c>
      <c r="I268" t="s">
        <v>48</v>
      </c>
      <c r="J268" t="s">
        <v>3328</v>
      </c>
      <c r="K268" t="s">
        <v>3329</v>
      </c>
      <c r="L268">
        <v>1100000</v>
      </c>
      <c r="M268">
        <v>2000000</v>
      </c>
      <c r="N268" t="s">
        <v>3330</v>
      </c>
      <c r="O268" s="1">
        <v>45621</v>
      </c>
      <c r="P268" t="s">
        <v>3331</v>
      </c>
      <c r="Q268" t="s">
        <v>3332</v>
      </c>
      <c r="R268" t="s">
        <v>146</v>
      </c>
      <c r="S268" t="s">
        <v>3333</v>
      </c>
      <c r="T268" t="s">
        <v>495</v>
      </c>
      <c r="U268" t="s">
        <v>335</v>
      </c>
      <c r="V268" t="s">
        <v>3155</v>
      </c>
      <c r="W268" t="s">
        <v>1053</v>
      </c>
      <c r="X268" t="s">
        <v>388</v>
      </c>
      <c r="Y268" t="s">
        <v>3334</v>
      </c>
      <c r="Z268">
        <v>5</v>
      </c>
      <c r="AA268" t="s">
        <v>323</v>
      </c>
      <c r="AB268" t="s">
        <v>3335</v>
      </c>
      <c r="AC268" t="s">
        <v>2796</v>
      </c>
      <c r="AD268" t="s">
        <v>299</v>
      </c>
      <c r="AE268">
        <v>1600000</v>
      </c>
      <c r="AF268">
        <v>24000</v>
      </c>
      <c r="AJ268" t="str">
        <f>_xlfn.XLOOKUP(Table9[[#This Row],[Engine No.]],'[1]Dubai Islamic Consumer'!$Q$3:$Q$1176,'[1]Dubai Islamic Consumer'!$B$3:$B$1176,,,)</f>
        <v>KHI/HO/D/MO/PC COMP/C/102086/275/11/2024</v>
      </c>
    </row>
    <row r="269" spans="1:36" hidden="1" x14ac:dyDescent="0.25">
      <c r="A269">
        <v>268</v>
      </c>
      <c r="B269" t="s">
        <v>35</v>
      </c>
      <c r="C269" t="s">
        <v>3336</v>
      </c>
      <c r="D269" t="s">
        <v>37</v>
      </c>
      <c r="E269" t="s">
        <v>3337</v>
      </c>
      <c r="F269" t="s">
        <v>138</v>
      </c>
      <c r="G269" t="s">
        <v>3338</v>
      </c>
      <c r="H269" t="s">
        <v>3339</v>
      </c>
      <c r="I269" t="s">
        <v>3340</v>
      </c>
      <c r="J269" t="s">
        <v>3339</v>
      </c>
      <c r="K269" t="s">
        <v>3341</v>
      </c>
      <c r="L269">
        <v>1190000</v>
      </c>
      <c r="M269">
        <v>1700000</v>
      </c>
      <c r="N269" t="s">
        <v>3342</v>
      </c>
      <c r="O269" s="1">
        <v>45621</v>
      </c>
      <c r="P269" t="s">
        <v>3343</v>
      </c>
      <c r="Q269" t="s">
        <v>3344</v>
      </c>
      <c r="R269" t="s">
        <v>146</v>
      </c>
      <c r="S269" t="s">
        <v>3345</v>
      </c>
      <c r="T269" t="s">
        <v>2195</v>
      </c>
      <c r="U269" t="s">
        <v>496</v>
      </c>
      <c r="V269" t="s">
        <v>2836</v>
      </c>
      <c r="W269" t="s">
        <v>132</v>
      </c>
      <c r="X269" t="s">
        <v>133</v>
      </c>
      <c r="Y269" t="s">
        <v>3346</v>
      </c>
      <c r="Z269">
        <v>5</v>
      </c>
      <c r="AA269" t="s">
        <v>323</v>
      </c>
      <c r="AB269" t="s">
        <v>3347</v>
      </c>
      <c r="AC269" t="s">
        <v>1053</v>
      </c>
      <c r="AD269" t="s">
        <v>299</v>
      </c>
      <c r="AE269">
        <v>1360000</v>
      </c>
      <c r="AF269">
        <v>20400</v>
      </c>
      <c r="AJ269" t="str">
        <f>_xlfn.XLOOKUP(Table9[[#This Row],[Engine No.]],'[1]Dubai Islamic Consumer'!$Q$3:$Q$1176,'[1]Dubai Islamic Consumer'!$B$3:$B$1176,,,)</f>
        <v>KHI/HO/D/MO/PC COMP/C/102086/274/11/2024</v>
      </c>
    </row>
    <row r="270" spans="1:36" hidden="1" x14ac:dyDescent="0.25">
      <c r="A270">
        <v>269</v>
      </c>
      <c r="B270" t="s">
        <v>35</v>
      </c>
      <c r="C270" t="s">
        <v>3348</v>
      </c>
      <c r="D270" t="s">
        <v>37</v>
      </c>
      <c r="E270" t="s">
        <v>1364</v>
      </c>
      <c r="F270" t="s">
        <v>39</v>
      </c>
      <c r="G270" t="s">
        <v>3349</v>
      </c>
      <c r="H270" t="s">
        <v>3350</v>
      </c>
      <c r="I270" t="s">
        <v>3351</v>
      </c>
      <c r="J270" t="s">
        <v>3350</v>
      </c>
      <c r="K270" t="s">
        <v>3352</v>
      </c>
      <c r="L270">
        <v>1296400</v>
      </c>
      <c r="M270">
        <v>1852000</v>
      </c>
      <c r="N270" t="s">
        <v>3353</v>
      </c>
      <c r="O270" s="1">
        <v>45621</v>
      </c>
      <c r="P270" t="s">
        <v>3354</v>
      </c>
      <c r="Q270" t="s">
        <v>3355</v>
      </c>
      <c r="R270" t="s">
        <v>47</v>
      </c>
      <c r="S270" t="s">
        <v>48</v>
      </c>
      <c r="T270" t="s">
        <v>3356</v>
      </c>
      <c r="U270" t="s">
        <v>50</v>
      </c>
      <c r="V270" t="s">
        <v>2836</v>
      </c>
      <c r="W270" t="s">
        <v>132</v>
      </c>
      <c r="X270" t="s">
        <v>533</v>
      </c>
      <c r="Y270" t="s">
        <v>3357</v>
      </c>
      <c r="Z270">
        <v>4</v>
      </c>
      <c r="AA270" t="s">
        <v>118</v>
      </c>
      <c r="AB270" t="s">
        <v>3358</v>
      </c>
      <c r="AC270" t="s">
        <v>1053</v>
      </c>
      <c r="AD270" t="s">
        <v>58</v>
      </c>
      <c r="AE270">
        <v>1481600</v>
      </c>
      <c r="AF270">
        <v>29632</v>
      </c>
      <c r="AJ270" t="str">
        <f>_xlfn.XLOOKUP(Table9[[#This Row],[Engine No.]],'[1]Dubai Islamic Consumer'!$Q$3:$Q$1176,'[1]Dubai Islamic Consumer'!$B$3:$B$1176,,,)</f>
        <v>KHI/HO/D/MO/PC COMP/C/102086/272/11/2024</v>
      </c>
    </row>
    <row r="271" spans="1:36" hidden="1" x14ac:dyDescent="0.25">
      <c r="A271">
        <v>270</v>
      </c>
      <c r="B271" t="s">
        <v>35</v>
      </c>
      <c r="C271" t="s">
        <v>3359</v>
      </c>
      <c r="D271" t="s">
        <v>37</v>
      </c>
      <c r="E271" t="s">
        <v>3360</v>
      </c>
      <c r="F271" t="s">
        <v>138</v>
      </c>
      <c r="G271" t="s">
        <v>3361</v>
      </c>
      <c r="H271" t="s">
        <v>631</v>
      </c>
      <c r="I271" t="s">
        <v>3362</v>
      </c>
      <c r="J271" t="s">
        <v>631</v>
      </c>
      <c r="K271" t="s">
        <v>3363</v>
      </c>
      <c r="L271">
        <v>1350000</v>
      </c>
      <c r="M271">
        <v>1800000</v>
      </c>
      <c r="N271" t="s">
        <v>3364</v>
      </c>
      <c r="O271" s="1">
        <v>45621</v>
      </c>
      <c r="P271" t="s">
        <v>3365</v>
      </c>
      <c r="Q271" t="s">
        <v>3366</v>
      </c>
      <c r="R271" t="s">
        <v>146</v>
      </c>
      <c r="S271" t="s">
        <v>3367</v>
      </c>
      <c r="T271" t="s">
        <v>613</v>
      </c>
      <c r="U271" t="s">
        <v>50</v>
      </c>
      <c r="V271" t="s">
        <v>3368</v>
      </c>
      <c r="W271" t="s">
        <v>132</v>
      </c>
      <c r="X271" t="s">
        <v>133</v>
      </c>
      <c r="Y271" t="s">
        <v>3369</v>
      </c>
      <c r="Z271">
        <v>5</v>
      </c>
      <c r="AA271" t="s">
        <v>323</v>
      </c>
      <c r="AB271" t="s">
        <v>3370</v>
      </c>
      <c r="AC271" t="s">
        <v>3155</v>
      </c>
      <c r="AD271" t="s">
        <v>299</v>
      </c>
      <c r="AE271">
        <v>1440000</v>
      </c>
      <c r="AF271">
        <v>21600</v>
      </c>
      <c r="AJ271" t="str">
        <f>_xlfn.XLOOKUP(Table9[[#This Row],[Engine No.]],'[1]Dubai Islamic Consumer'!$Q$3:$Q$1176,'[1]Dubai Islamic Consumer'!$B$3:$B$1176,,,)</f>
        <v>KHI/HO/D/MO/PC COMP/C/102086/271/11/2024</v>
      </c>
    </row>
    <row r="272" spans="1:36" hidden="1" x14ac:dyDescent="0.25">
      <c r="A272">
        <v>271</v>
      </c>
      <c r="B272" t="s">
        <v>35</v>
      </c>
      <c r="C272" t="s">
        <v>3371</v>
      </c>
      <c r="D272" t="s">
        <v>37</v>
      </c>
      <c r="E272" t="s">
        <v>3372</v>
      </c>
      <c r="F272" t="s">
        <v>138</v>
      </c>
      <c r="G272" t="s">
        <v>3373</v>
      </c>
      <c r="H272" t="s">
        <v>3374</v>
      </c>
      <c r="I272" t="s">
        <v>3374</v>
      </c>
      <c r="J272" t="s">
        <v>3375</v>
      </c>
      <c r="K272" t="s">
        <v>3376</v>
      </c>
      <c r="L272">
        <v>1435000</v>
      </c>
      <c r="M272">
        <v>2050000</v>
      </c>
      <c r="N272" t="s">
        <v>3377</v>
      </c>
      <c r="O272" s="1">
        <v>45621</v>
      </c>
      <c r="P272" t="s">
        <v>3378</v>
      </c>
      <c r="Q272" t="s">
        <v>3379</v>
      </c>
      <c r="R272" t="s">
        <v>146</v>
      </c>
      <c r="S272" t="s">
        <v>3380</v>
      </c>
      <c r="T272" t="s">
        <v>3381</v>
      </c>
      <c r="U272" t="s">
        <v>614</v>
      </c>
      <c r="V272" t="s">
        <v>2836</v>
      </c>
      <c r="W272" t="s">
        <v>132</v>
      </c>
      <c r="X272" t="s">
        <v>133</v>
      </c>
      <c r="Y272" t="s">
        <v>3382</v>
      </c>
      <c r="Z272">
        <v>5</v>
      </c>
      <c r="AA272" t="s">
        <v>323</v>
      </c>
      <c r="AB272" t="s">
        <v>3383</v>
      </c>
      <c r="AC272" t="s">
        <v>3155</v>
      </c>
      <c r="AD272" t="s">
        <v>299</v>
      </c>
      <c r="AE272">
        <v>1640000</v>
      </c>
      <c r="AF272">
        <v>24600</v>
      </c>
      <c r="AJ272" t="str">
        <f>_xlfn.XLOOKUP(Table9[[#This Row],[Engine No.]],'[1]Dubai Islamic Consumer'!$Q$3:$Q$1176,'[1]Dubai Islamic Consumer'!$B$3:$B$1176,,,)</f>
        <v>KHI/HO/D/MO/PC COMP/C/102086/269/11/2024</v>
      </c>
    </row>
    <row r="273" spans="1:36" hidden="1" x14ac:dyDescent="0.25">
      <c r="A273">
        <v>272</v>
      </c>
      <c r="B273" t="s">
        <v>35</v>
      </c>
      <c r="C273" t="s">
        <v>3384</v>
      </c>
      <c r="D273" t="s">
        <v>37</v>
      </c>
      <c r="E273" t="s">
        <v>3385</v>
      </c>
      <c r="F273" t="s">
        <v>138</v>
      </c>
      <c r="G273" t="s">
        <v>3386</v>
      </c>
      <c r="H273" t="s">
        <v>3387</v>
      </c>
      <c r="I273" t="s">
        <v>3387</v>
      </c>
      <c r="J273" t="s">
        <v>141</v>
      </c>
      <c r="K273" t="s">
        <v>3388</v>
      </c>
      <c r="L273">
        <v>1960000</v>
      </c>
      <c r="M273">
        <v>2800000</v>
      </c>
      <c r="N273" t="s">
        <v>3389</v>
      </c>
      <c r="O273" s="1">
        <v>45621</v>
      </c>
      <c r="P273" t="s">
        <v>3390</v>
      </c>
      <c r="Q273" t="s">
        <v>3391</v>
      </c>
      <c r="R273" t="s">
        <v>146</v>
      </c>
      <c r="S273" t="s">
        <v>3392</v>
      </c>
      <c r="T273" t="s">
        <v>1166</v>
      </c>
      <c r="U273" t="s">
        <v>614</v>
      </c>
      <c r="V273" t="s">
        <v>3035</v>
      </c>
      <c r="W273" t="s">
        <v>456</v>
      </c>
      <c r="X273" t="s">
        <v>457</v>
      </c>
      <c r="Y273" t="s">
        <v>3393</v>
      </c>
      <c r="Z273">
        <v>5</v>
      </c>
      <c r="AA273" t="s">
        <v>55</v>
      </c>
      <c r="AB273" t="s">
        <v>3394</v>
      </c>
      <c r="AC273" t="s">
        <v>3035</v>
      </c>
      <c r="AD273" t="s">
        <v>58</v>
      </c>
      <c r="AE273">
        <v>2100000</v>
      </c>
      <c r="AF273">
        <v>42000</v>
      </c>
      <c r="AJ273" t="str">
        <f>_xlfn.XLOOKUP(Table9[[#This Row],[Engine No.]],'[1]Dubai Islamic Consumer'!$Q$3:$Q$1176,'[1]Dubai Islamic Consumer'!$B$3:$B$1176,,,)</f>
        <v>KHI/HO/D/MO/PC COMP/C/102086/267/11/2024</v>
      </c>
    </row>
    <row r="274" spans="1:36" hidden="1" x14ac:dyDescent="0.25">
      <c r="A274">
        <v>273</v>
      </c>
      <c r="B274" t="s">
        <v>35</v>
      </c>
      <c r="C274" t="s">
        <v>3395</v>
      </c>
      <c r="D274" t="s">
        <v>37</v>
      </c>
      <c r="E274" t="s">
        <v>2350</v>
      </c>
      <c r="F274" t="s">
        <v>107</v>
      </c>
      <c r="G274" t="s">
        <v>3396</v>
      </c>
      <c r="H274" t="s">
        <v>3397</v>
      </c>
      <c r="I274" t="s">
        <v>3397</v>
      </c>
      <c r="J274" t="s">
        <v>3397</v>
      </c>
      <c r="K274" t="s">
        <v>3398</v>
      </c>
      <c r="L274">
        <v>2089500</v>
      </c>
      <c r="M274">
        <v>2985000</v>
      </c>
      <c r="N274" t="s">
        <v>3399</v>
      </c>
      <c r="O274" s="1">
        <v>45621</v>
      </c>
      <c r="P274" t="s">
        <v>3400</v>
      </c>
      <c r="Q274" t="s">
        <v>3401</v>
      </c>
      <c r="R274" t="s">
        <v>146</v>
      </c>
      <c r="S274" t="s">
        <v>3402</v>
      </c>
      <c r="T274" t="s">
        <v>1397</v>
      </c>
      <c r="U274" t="s">
        <v>98</v>
      </c>
      <c r="V274" t="s">
        <v>3321</v>
      </c>
      <c r="W274" t="s">
        <v>532</v>
      </c>
      <c r="X274" t="s">
        <v>533</v>
      </c>
      <c r="Y274" t="s">
        <v>3403</v>
      </c>
      <c r="Z274">
        <v>5</v>
      </c>
      <c r="AA274" t="s">
        <v>227</v>
      </c>
      <c r="AB274" t="s">
        <v>3404</v>
      </c>
      <c r="AC274" t="s">
        <v>3035</v>
      </c>
      <c r="AD274" t="s">
        <v>58</v>
      </c>
      <c r="AE274">
        <v>2238750</v>
      </c>
      <c r="AF274">
        <v>44775</v>
      </c>
      <c r="AJ274" t="str">
        <f>_xlfn.XLOOKUP(Table9[[#This Row],[Engine No.]],'[1]Dubai Islamic Consumer'!$Q$3:$Q$1176,'[1]Dubai Islamic Consumer'!$B$3:$B$1176,,,)</f>
        <v>KHI/HO/D/MO/PC COMP/C/102086/266/11/2024</v>
      </c>
    </row>
    <row r="275" spans="1:36" hidden="1" x14ac:dyDescent="0.25">
      <c r="A275">
        <v>274</v>
      </c>
      <c r="B275" t="s">
        <v>35</v>
      </c>
      <c r="C275" t="s">
        <v>3405</v>
      </c>
      <c r="D275" t="s">
        <v>37</v>
      </c>
      <c r="E275" t="s">
        <v>3406</v>
      </c>
      <c r="F275" t="s">
        <v>138</v>
      </c>
      <c r="G275" t="s">
        <v>3407</v>
      </c>
      <c r="H275" t="s">
        <v>3408</v>
      </c>
      <c r="I275" t="s">
        <v>3408</v>
      </c>
      <c r="J275" t="s">
        <v>3408</v>
      </c>
      <c r="K275" t="s">
        <v>3409</v>
      </c>
      <c r="L275">
        <v>2343250</v>
      </c>
      <c r="M275">
        <v>3605000</v>
      </c>
      <c r="N275" t="s">
        <v>3410</v>
      </c>
      <c r="O275" s="1">
        <v>45621</v>
      </c>
      <c r="P275" t="s">
        <v>3411</v>
      </c>
      <c r="Q275" t="s">
        <v>3412</v>
      </c>
      <c r="R275" t="s">
        <v>47</v>
      </c>
      <c r="S275" t="s">
        <v>48</v>
      </c>
      <c r="T275" t="s">
        <v>1128</v>
      </c>
      <c r="U275" t="s">
        <v>50</v>
      </c>
      <c r="V275" t="s">
        <v>2836</v>
      </c>
      <c r="W275" t="s">
        <v>132</v>
      </c>
      <c r="X275" t="s">
        <v>533</v>
      </c>
      <c r="Y275" t="s">
        <v>3413</v>
      </c>
      <c r="Z275">
        <v>4</v>
      </c>
      <c r="AA275" t="s">
        <v>323</v>
      </c>
      <c r="AB275" t="s">
        <v>3414</v>
      </c>
      <c r="AC275" t="s">
        <v>3155</v>
      </c>
      <c r="AD275" t="s">
        <v>58</v>
      </c>
      <c r="AE275">
        <v>2884000</v>
      </c>
      <c r="AF275">
        <v>57680</v>
      </c>
      <c r="AJ275" t="str">
        <f>_xlfn.XLOOKUP(Table9[[#This Row],[Engine No.]],'[1]Dubai Islamic Consumer'!$Q$3:$Q$1176,'[1]Dubai Islamic Consumer'!$B$3:$B$1176,,,)</f>
        <v>KHI/HO/D/MO/PC COMP/C/102086/264/11/2024</v>
      </c>
    </row>
    <row r="276" spans="1:36" hidden="1" x14ac:dyDescent="0.25">
      <c r="A276">
        <v>275</v>
      </c>
      <c r="B276" t="s">
        <v>35</v>
      </c>
      <c r="C276" t="s">
        <v>3415</v>
      </c>
      <c r="D276" t="s">
        <v>37</v>
      </c>
      <c r="E276" t="s">
        <v>3416</v>
      </c>
      <c r="F276" t="s">
        <v>245</v>
      </c>
      <c r="G276" t="s">
        <v>3417</v>
      </c>
      <c r="H276" t="s">
        <v>3418</v>
      </c>
      <c r="I276" t="s">
        <v>3419</v>
      </c>
      <c r="J276" t="s">
        <v>3420</v>
      </c>
      <c r="K276" t="s">
        <v>3421</v>
      </c>
      <c r="L276">
        <v>3258000</v>
      </c>
      <c r="M276">
        <v>5430000</v>
      </c>
      <c r="N276" t="s">
        <v>3422</v>
      </c>
      <c r="O276" s="1">
        <v>45621</v>
      </c>
      <c r="P276" t="s">
        <v>3423</v>
      </c>
      <c r="Q276" t="s">
        <v>3424</v>
      </c>
      <c r="R276" t="s">
        <v>47</v>
      </c>
      <c r="S276" t="s">
        <v>48</v>
      </c>
      <c r="T276" t="s">
        <v>115</v>
      </c>
      <c r="U276" t="s">
        <v>98</v>
      </c>
      <c r="V276" t="s">
        <v>415</v>
      </c>
      <c r="W276" t="s">
        <v>532</v>
      </c>
      <c r="X276" t="s">
        <v>533</v>
      </c>
      <c r="Y276" t="s">
        <v>3425</v>
      </c>
      <c r="Z276">
        <v>5</v>
      </c>
      <c r="AA276" t="s">
        <v>48</v>
      </c>
      <c r="AB276" t="s">
        <v>48</v>
      </c>
      <c r="AC276" t="s">
        <v>48</v>
      </c>
      <c r="AD276" t="s">
        <v>299</v>
      </c>
      <c r="AE276">
        <v>4072500</v>
      </c>
      <c r="AF276">
        <v>61088</v>
      </c>
      <c r="AJ276" t="str">
        <f>_xlfn.XLOOKUP(Table9[[#This Row],[Engine No.]],'[1]Dubai Islamic Consumer'!$Q$3:$Q$1176,'[1]Dubai Islamic Consumer'!$B$3:$B$1176,,,)</f>
        <v>KHI/HO/D/MO/PC COMP/C/102086/262/11/2024</v>
      </c>
    </row>
    <row r="277" spans="1:36" hidden="1" x14ac:dyDescent="0.25">
      <c r="A277">
        <v>276</v>
      </c>
      <c r="B277" t="s">
        <v>35</v>
      </c>
      <c r="C277" t="s">
        <v>3426</v>
      </c>
      <c r="D277" t="s">
        <v>37</v>
      </c>
      <c r="E277" t="s">
        <v>3427</v>
      </c>
      <c r="F277" t="s">
        <v>525</v>
      </c>
      <c r="G277" t="s">
        <v>3428</v>
      </c>
      <c r="H277" t="s">
        <v>631</v>
      </c>
      <c r="I277" t="s">
        <v>3429</v>
      </c>
      <c r="J277" t="s">
        <v>3430</v>
      </c>
      <c r="K277" t="s">
        <v>3431</v>
      </c>
      <c r="L277">
        <v>1798000</v>
      </c>
      <c r="M277">
        <v>2900000</v>
      </c>
      <c r="N277" t="s">
        <v>3432</v>
      </c>
      <c r="O277" s="1">
        <v>45621</v>
      </c>
      <c r="P277" t="s">
        <v>3433</v>
      </c>
      <c r="Q277" t="s">
        <v>3434</v>
      </c>
      <c r="R277" t="s">
        <v>146</v>
      </c>
      <c r="S277" t="s">
        <v>3435</v>
      </c>
      <c r="T277" t="s">
        <v>2599</v>
      </c>
      <c r="U277" t="s">
        <v>496</v>
      </c>
      <c r="V277" t="s">
        <v>2836</v>
      </c>
      <c r="W277" t="s">
        <v>132</v>
      </c>
      <c r="X277" t="s">
        <v>133</v>
      </c>
      <c r="Y277" t="s">
        <v>3436</v>
      </c>
      <c r="Z277">
        <v>5</v>
      </c>
      <c r="AA277" t="s">
        <v>118</v>
      </c>
      <c r="AB277" t="s">
        <v>3437</v>
      </c>
      <c r="AC277" t="s">
        <v>2796</v>
      </c>
      <c r="AD277" t="s">
        <v>299</v>
      </c>
      <c r="AE277">
        <v>2320000</v>
      </c>
      <c r="AF277">
        <v>34800</v>
      </c>
      <c r="AJ277" t="str">
        <f>_xlfn.XLOOKUP(Table9[[#This Row],[Engine No.]],'[1]Dubai Islamic Consumer'!$Q$3:$Q$1176,'[1]Dubai Islamic Consumer'!$B$3:$B$1176,,,)</f>
        <v>KHI/HO/D/MO/PC COMP/C/102086/261/11/2024</v>
      </c>
    </row>
    <row r="278" spans="1:36" hidden="1" x14ac:dyDescent="0.25">
      <c r="A278">
        <v>277</v>
      </c>
      <c r="B278" t="s">
        <v>35</v>
      </c>
      <c r="C278" t="s">
        <v>3438</v>
      </c>
      <c r="D278" t="s">
        <v>37</v>
      </c>
      <c r="E278" t="s">
        <v>3439</v>
      </c>
      <c r="F278" t="s">
        <v>39</v>
      </c>
      <c r="G278" t="s">
        <v>3440</v>
      </c>
      <c r="H278" t="s">
        <v>3441</v>
      </c>
      <c r="I278" t="s">
        <v>3442</v>
      </c>
      <c r="J278" t="s">
        <v>3443</v>
      </c>
      <c r="K278" t="s">
        <v>3444</v>
      </c>
      <c r="L278">
        <v>1396000</v>
      </c>
      <c r="M278">
        <v>1745000</v>
      </c>
      <c r="N278" t="s">
        <v>3445</v>
      </c>
      <c r="O278" s="1">
        <v>45622</v>
      </c>
      <c r="P278" t="s">
        <v>3446</v>
      </c>
      <c r="Q278" t="s">
        <v>3447</v>
      </c>
      <c r="R278" t="s">
        <v>47</v>
      </c>
      <c r="S278" t="s">
        <v>3448</v>
      </c>
      <c r="T278" t="s">
        <v>3449</v>
      </c>
      <c r="U278" t="s">
        <v>614</v>
      </c>
      <c r="V278" t="s">
        <v>3295</v>
      </c>
      <c r="W278" t="s">
        <v>3296</v>
      </c>
      <c r="X278" t="s">
        <v>457</v>
      </c>
      <c r="Y278" t="s">
        <v>3450</v>
      </c>
      <c r="Z278">
        <v>6</v>
      </c>
      <c r="AA278" t="s">
        <v>55</v>
      </c>
      <c r="AB278" t="s">
        <v>3451</v>
      </c>
      <c r="AC278" t="s">
        <v>3296</v>
      </c>
      <c r="AD278" t="s">
        <v>171</v>
      </c>
      <c r="AE278">
        <v>1221500</v>
      </c>
      <c r="AF278">
        <v>30538</v>
      </c>
      <c r="AJ278" t="str">
        <f>_xlfn.XLOOKUP(Table9[[#This Row],[Engine No.]],'[1]Dubai Islamic Consumer'!$Q$3:$Q$1176,'[1]Dubai Islamic Consumer'!$B$3:$B$1176,,,)</f>
        <v>KHI/HO/D/MO/PC COMP/C/102086/257/11/2024</v>
      </c>
    </row>
    <row r="279" spans="1:36" hidden="1" x14ac:dyDescent="0.25">
      <c r="A279">
        <v>278</v>
      </c>
      <c r="B279" t="s">
        <v>35</v>
      </c>
      <c r="C279" t="s">
        <v>3452</v>
      </c>
      <c r="D279" t="s">
        <v>37</v>
      </c>
      <c r="E279" t="s">
        <v>3453</v>
      </c>
      <c r="F279" t="s">
        <v>138</v>
      </c>
      <c r="G279" t="s">
        <v>3454</v>
      </c>
      <c r="H279" t="s">
        <v>3455</v>
      </c>
      <c r="I279" t="s">
        <v>3456</v>
      </c>
      <c r="J279" t="s">
        <v>3456</v>
      </c>
      <c r="K279" t="s">
        <v>3457</v>
      </c>
      <c r="L279">
        <v>1064700</v>
      </c>
      <c r="M279">
        <v>1521000</v>
      </c>
      <c r="N279" t="s">
        <v>3458</v>
      </c>
      <c r="O279" s="1">
        <v>45622</v>
      </c>
      <c r="P279" t="s">
        <v>3459</v>
      </c>
      <c r="Q279" t="s">
        <v>3460</v>
      </c>
      <c r="R279" t="s">
        <v>47</v>
      </c>
      <c r="S279" t="s">
        <v>48</v>
      </c>
      <c r="T279" t="s">
        <v>613</v>
      </c>
      <c r="U279" t="s">
        <v>50</v>
      </c>
      <c r="V279" t="s">
        <v>3461</v>
      </c>
      <c r="W279" t="s">
        <v>132</v>
      </c>
      <c r="X279" t="s">
        <v>133</v>
      </c>
      <c r="Y279" t="s">
        <v>3462</v>
      </c>
      <c r="Z279">
        <v>5</v>
      </c>
      <c r="AA279" t="s">
        <v>55</v>
      </c>
      <c r="AB279" t="s">
        <v>3463</v>
      </c>
      <c r="AC279" t="s">
        <v>2034</v>
      </c>
      <c r="AD279" t="s">
        <v>58</v>
      </c>
      <c r="AE279">
        <v>1216800</v>
      </c>
      <c r="AF279">
        <v>24336</v>
      </c>
      <c r="AJ279" t="str">
        <f>_xlfn.XLOOKUP(Table9[[#This Row],[Engine No.]],'[1]Dubai Islamic Consumer'!$Q$3:$Q$1176,'[1]Dubai Islamic Consumer'!$B$3:$B$1176,,,)</f>
        <v>KHI/HO/D/MO/PC COMP/C/102086/256/11/2024</v>
      </c>
    </row>
    <row r="280" spans="1:36" hidden="1" x14ac:dyDescent="0.25">
      <c r="A280">
        <v>279</v>
      </c>
      <c r="B280" t="s">
        <v>35</v>
      </c>
      <c r="C280" t="s">
        <v>3464</v>
      </c>
      <c r="D280" t="s">
        <v>37</v>
      </c>
      <c r="E280" t="s">
        <v>3465</v>
      </c>
      <c r="F280" t="s">
        <v>138</v>
      </c>
      <c r="G280" t="s">
        <v>3466</v>
      </c>
      <c r="H280" t="s">
        <v>3467</v>
      </c>
      <c r="I280" t="s">
        <v>3467</v>
      </c>
      <c r="J280" t="s">
        <v>141</v>
      </c>
      <c r="K280" t="s">
        <v>3468</v>
      </c>
      <c r="L280">
        <v>1350000</v>
      </c>
      <c r="M280">
        <v>1800000</v>
      </c>
      <c r="N280" t="s">
        <v>3469</v>
      </c>
      <c r="O280" s="1">
        <v>45622</v>
      </c>
      <c r="P280" t="s">
        <v>3470</v>
      </c>
      <c r="Q280" t="s">
        <v>3471</v>
      </c>
      <c r="R280" t="s">
        <v>146</v>
      </c>
      <c r="S280" t="s">
        <v>3472</v>
      </c>
      <c r="T280" t="s">
        <v>873</v>
      </c>
      <c r="U280" t="s">
        <v>903</v>
      </c>
      <c r="V280" t="s">
        <v>456</v>
      </c>
      <c r="W280" t="s">
        <v>456</v>
      </c>
      <c r="X280" t="s">
        <v>457</v>
      </c>
      <c r="Y280" t="s">
        <v>3473</v>
      </c>
      <c r="Z280">
        <v>5</v>
      </c>
      <c r="AA280" t="s">
        <v>55</v>
      </c>
      <c r="AB280" t="s">
        <v>3474</v>
      </c>
      <c r="AC280" t="s">
        <v>456</v>
      </c>
      <c r="AD280" t="s">
        <v>58</v>
      </c>
      <c r="AE280">
        <v>1350000</v>
      </c>
      <c r="AF280">
        <v>27000</v>
      </c>
      <c r="AJ280" t="str">
        <f>_xlfn.XLOOKUP(Table9[[#This Row],[Engine No.]],'[1]Dubai Islamic Consumer'!$Q$3:$Q$1176,'[1]Dubai Islamic Consumer'!$B$3:$B$1176,,,)</f>
        <v>KHI/HO/D/MO/PC COMP/C/102086/255/11/2024</v>
      </c>
    </row>
    <row r="281" spans="1:36" hidden="1" x14ac:dyDescent="0.25">
      <c r="A281">
        <v>280</v>
      </c>
      <c r="B281" t="s">
        <v>35</v>
      </c>
      <c r="C281" t="s">
        <v>3475</v>
      </c>
      <c r="D281" t="s">
        <v>37</v>
      </c>
      <c r="E281" t="s">
        <v>1376</v>
      </c>
      <c r="F281" t="s">
        <v>138</v>
      </c>
      <c r="G281" t="s">
        <v>3476</v>
      </c>
      <c r="H281" t="s">
        <v>3477</v>
      </c>
      <c r="I281" t="s">
        <v>3477</v>
      </c>
      <c r="J281" t="s">
        <v>3478</v>
      </c>
      <c r="K281" t="s">
        <v>3479</v>
      </c>
      <c r="L281">
        <v>1425000</v>
      </c>
      <c r="M281">
        <v>1900000</v>
      </c>
      <c r="N281" t="s">
        <v>3480</v>
      </c>
      <c r="O281" s="1">
        <v>45622</v>
      </c>
      <c r="P281" t="s">
        <v>3481</v>
      </c>
      <c r="Q281" t="s">
        <v>3482</v>
      </c>
      <c r="R281" t="s">
        <v>146</v>
      </c>
      <c r="S281" t="s">
        <v>3483</v>
      </c>
      <c r="T281" t="s">
        <v>3484</v>
      </c>
      <c r="U281" t="s">
        <v>614</v>
      </c>
      <c r="V281" t="s">
        <v>3321</v>
      </c>
      <c r="W281" t="s">
        <v>532</v>
      </c>
      <c r="X281" t="s">
        <v>533</v>
      </c>
      <c r="Y281" t="s">
        <v>3485</v>
      </c>
      <c r="Z281">
        <v>5</v>
      </c>
      <c r="AA281" t="s">
        <v>227</v>
      </c>
      <c r="AB281" t="s">
        <v>3486</v>
      </c>
      <c r="AC281" t="s">
        <v>456</v>
      </c>
      <c r="AD281" t="s">
        <v>58</v>
      </c>
      <c r="AE281">
        <v>1425000</v>
      </c>
      <c r="AF281">
        <v>28500</v>
      </c>
      <c r="AJ281" t="str">
        <f>_xlfn.XLOOKUP(Table9[[#This Row],[Engine No.]],'[1]Dubai Islamic Consumer'!$Q$3:$Q$1176,'[1]Dubai Islamic Consumer'!$B$3:$B$1176,,,)</f>
        <v>KHI/HO/D/MO/PC COMP/C/102086/254/11/2024</v>
      </c>
    </row>
    <row r="282" spans="1:36" hidden="1" x14ac:dyDescent="0.25">
      <c r="A282">
        <v>281</v>
      </c>
      <c r="B282" t="s">
        <v>35</v>
      </c>
      <c r="C282" t="s">
        <v>3487</v>
      </c>
      <c r="D282" t="s">
        <v>37</v>
      </c>
      <c r="E282" t="s">
        <v>3488</v>
      </c>
      <c r="F282" t="s">
        <v>39</v>
      </c>
      <c r="G282" t="s">
        <v>3489</v>
      </c>
      <c r="H282" t="s">
        <v>3490</v>
      </c>
      <c r="I282" t="s">
        <v>3491</v>
      </c>
      <c r="J282" t="s">
        <v>3490</v>
      </c>
      <c r="K282" t="s">
        <v>3492</v>
      </c>
      <c r="L282">
        <v>1470000</v>
      </c>
      <c r="M282">
        <v>2100000</v>
      </c>
      <c r="N282" t="s">
        <v>3493</v>
      </c>
      <c r="O282" s="1">
        <v>45622</v>
      </c>
      <c r="P282" t="s">
        <v>3494</v>
      </c>
      <c r="Q282" t="s">
        <v>3495</v>
      </c>
      <c r="R282" t="s">
        <v>146</v>
      </c>
      <c r="S282" t="s">
        <v>3496</v>
      </c>
      <c r="T282" t="s">
        <v>3497</v>
      </c>
      <c r="U282" t="s">
        <v>50</v>
      </c>
      <c r="V282" t="s">
        <v>2836</v>
      </c>
      <c r="W282" t="s">
        <v>132</v>
      </c>
      <c r="X282" t="s">
        <v>133</v>
      </c>
      <c r="Y282" t="s">
        <v>3498</v>
      </c>
      <c r="Z282">
        <v>5</v>
      </c>
      <c r="AA282" t="s">
        <v>118</v>
      </c>
      <c r="AB282" t="s">
        <v>3499</v>
      </c>
      <c r="AC282" t="s">
        <v>1053</v>
      </c>
      <c r="AD282" t="s">
        <v>299</v>
      </c>
      <c r="AE282">
        <v>1680000</v>
      </c>
      <c r="AF282">
        <v>25200</v>
      </c>
      <c r="AJ282" t="str">
        <f>_xlfn.XLOOKUP(Table9[[#This Row],[Engine No.]],'[1]Dubai Islamic Consumer'!$Q$3:$Q$1176,'[1]Dubai Islamic Consumer'!$B$3:$B$1176,,,)</f>
        <v>KHI/HO/D/MO/PC COMP/C/102086/253/11/2024</v>
      </c>
    </row>
    <row r="283" spans="1:36" hidden="1" x14ac:dyDescent="0.25">
      <c r="A283">
        <v>282</v>
      </c>
      <c r="B283" t="s">
        <v>35</v>
      </c>
      <c r="C283" t="s">
        <v>3500</v>
      </c>
      <c r="D283" t="s">
        <v>37</v>
      </c>
      <c r="E283" t="s">
        <v>3501</v>
      </c>
      <c r="F283" t="s">
        <v>39</v>
      </c>
      <c r="G283" t="s">
        <v>3502</v>
      </c>
      <c r="H283" t="s">
        <v>3503</v>
      </c>
      <c r="I283" t="s">
        <v>3504</v>
      </c>
      <c r="J283" t="s">
        <v>3503</v>
      </c>
      <c r="K283" t="s">
        <v>3505</v>
      </c>
      <c r="L283">
        <v>1860000</v>
      </c>
      <c r="M283">
        <v>3100000</v>
      </c>
      <c r="N283" t="s">
        <v>3506</v>
      </c>
      <c r="O283" s="1">
        <v>45622</v>
      </c>
      <c r="P283" t="s">
        <v>3507</v>
      </c>
      <c r="Q283" t="s">
        <v>3508</v>
      </c>
      <c r="R283" t="s">
        <v>146</v>
      </c>
      <c r="S283" t="s">
        <v>3509</v>
      </c>
      <c r="T283" t="s">
        <v>1289</v>
      </c>
      <c r="U283" t="s">
        <v>614</v>
      </c>
      <c r="V283" t="s">
        <v>3368</v>
      </c>
      <c r="W283" t="s">
        <v>132</v>
      </c>
      <c r="X283" t="s">
        <v>133</v>
      </c>
      <c r="Y283" t="s">
        <v>3510</v>
      </c>
      <c r="Z283">
        <v>5</v>
      </c>
      <c r="AA283" t="s">
        <v>118</v>
      </c>
      <c r="AB283" t="s">
        <v>3511</v>
      </c>
      <c r="AC283" t="s">
        <v>1053</v>
      </c>
      <c r="AD283" t="s">
        <v>299</v>
      </c>
      <c r="AE283">
        <v>2480000</v>
      </c>
      <c r="AF283">
        <v>37200</v>
      </c>
      <c r="AJ283" t="str">
        <f>_xlfn.XLOOKUP(Table9[[#This Row],[Engine No.]],'[1]Dubai Islamic Consumer'!$Q$3:$Q$1176,'[1]Dubai Islamic Consumer'!$B$3:$B$1176,,,)</f>
        <v>KHI/HO/D/MO/PC COMP/C/102086/252/11/2024</v>
      </c>
    </row>
    <row r="284" spans="1:36" hidden="1" x14ac:dyDescent="0.25">
      <c r="A284">
        <v>283</v>
      </c>
      <c r="B284" t="s">
        <v>35</v>
      </c>
      <c r="C284" t="s">
        <v>3512</v>
      </c>
      <c r="D284" t="s">
        <v>37</v>
      </c>
      <c r="E284" t="s">
        <v>3513</v>
      </c>
      <c r="F284" t="s">
        <v>3514</v>
      </c>
      <c r="G284" t="s">
        <v>3515</v>
      </c>
      <c r="H284" t="s">
        <v>3516</v>
      </c>
      <c r="I284" t="s">
        <v>3517</v>
      </c>
      <c r="J284" t="s">
        <v>3518</v>
      </c>
      <c r="K284" t="s">
        <v>3519</v>
      </c>
      <c r="L284">
        <v>2240000</v>
      </c>
      <c r="M284">
        <v>3200000</v>
      </c>
      <c r="N284" t="s">
        <v>3520</v>
      </c>
      <c r="O284" s="1">
        <v>45622</v>
      </c>
      <c r="P284" t="s">
        <v>3521</v>
      </c>
      <c r="Q284" t="s">
        <v>3522</v>
      </c>
      <c r="R284" t="s">
        <v>146</v>
      </c>
      <c r="S284" t="s">
        <v>3523</v>
      </c>
      <c r="T284" t="s">
        <v>714</v>
      </c>
      <c r="U284" t="s">
        <v>651</v>
      </c>
      <c r="V284" t="s">
        <v>2836</v>
      </c>
      <c r="W284" t="s">
        <v>132</v>
      </c>
      <c r="X284" t="s">
        <v>133</v>
      </c>
      <c r="Y284" t="s">
        <v>3524</v>
      </c>
      <c r="Z284">
        <v>5</v>
      </c>
      <c r="AA284" t="s">
        <v>323</v>
      </c>
      <c r="AB284" t="s">
        <v>3525</v>
      </c>
      <c r="AC284" t="s">
        <v>1053</v>
      </c>
      <c r="AD284" t="s">
        <v>299</v>
      </c>
      <c r="AE284">
        <v>2560000</v>
      </c>
      <c r="AF284">
        <v>38400</v>
      </c>
      <c r="AJ284" t="str">
        <f>_xlfn.XLOOKUP(Table9[[#This Row],[Engine No.]],'[1]Dubai Islamic Consumer'!$Q$3:$Q$1176,'[1]Dubai Islamic Consumer'!$B$3:$B$1176,,,)</f>
        <v>KHI/HO/D/MO/PC COMP/C/102086/249/11/2024</v>
      </c>
    </row>
    <row r="285" spans="1:36" hidden="1" x14ac:dyDescent="0.25">
      <c r="A285">
        <v>284</v>
      </c>
      <c r="B285" t="s">
        <v>35</v>
      </c>
      <c r="C285" t="s">
        <v>3526</v>
      </c>
      <c r="D285" t="s">
        <v>37</v>
      </c>
      <c r="E285" t="s">
        <v>3527</v>
      </c>
      <c r="F285" t="s">
        <v>138</v>
      </c>
      <c r="G285" t="s">
        <v>3528</v>
      </c>
      <c r="H285" t="s">
        <v>1505</v>
      </c>
      <c r="I285" t="s">
        <v>3529</v>
      </c>
      <c r="J285" t="s">
        <v>3530</v>
      </c>
      <c r="K285" t="s">
        <v>3531</v>
      </c>
      <c r="L285">
        <v>2939480</v>
      </c>
      <c r="M285">
        <v>6836000</v>
      </c>
      <c r="N285" t="s">
        <v>3532</v>
      </c>
      <c r="O285" s="1">
        <v>45622</v>
      </c>
      <c r="P285" t="s">
        <v>3533</v>
      </c>
      <c r="Q285" t="s">
        <v>3534</v>
      </c>
      <c r="R285" t="s">
        <v>47</v>
      </c>
      <c r="S285" t="s">
        <v>48</v>
      </c>
      <c r="T285" t="s">
        <v>3535</v>
      </c>
      <c r="U285" t="s">
        <v>50</v>
      </c>
      <c r="V285" t="s">
        <v>716</v>
      </c>
      <c r="W285" t="s">
        <v>132</v>
      </c>
      <c r="X285" t="s">
        <v>133</v>
      </c>
      <c r="Y285" t="s">
        <v>3536</v>
      </c>
      <c r="Z285">
        <v>5</v>
      </c>
      <c r="AA285" t="s">
        <v>323</v>
      </c>
      <c r="AB285" t="s">
        <v>3537</v>
      </c>
      <c r="AC285" t="s">
        <v>2796</v>
      </c>
      <c r="AD285" t="s">
        <v>58</v>
      </c>
      <c r="AE285">
        <v>5468800</v>
      </c>
      <c r="AF285">
        <v>109376</v>
      </c>
      <c r="AJ285" t="str">
        <f>_xlfn.XLOOKUP(Table9[[#This Row],[Engine No.]],'[1]Dubai Islamic Consumer'!$Q$3:$Q$1176,'[1]Dubai Islamic Consumer'!$B$3:$B$1176,,,)</f>
        <v>KHI/HO/D/MO/PC COMP/C/102086/245/11/2024</v>
      </c>
    </row>
    <row r="286" spans="1:36" hidden="1" x14ac:dyDescent="0.25">
      <c r="A286">
        <v>285</v>
      </c>
      <c r="B286" t="s">
        <v>35</v>
      </c>
      <c r="C286" t="s">
        <v>3538</v>
      </c>
      <c r="D286" t="s">
        <v>37</v>
      </c>
      <c r="E286" t="s">
        <v>3539</v>
      </c>
      <c r="F286" t="s">
        <v>107</v>
      </c>
      <c r="G286" t="s">
        <v>3540</v>
      </c>
      <c r="H286" t="s">
        <v>3541</v>
      </c>
      <c r="I286" t="s">
        <v>3541</v>
      </c>
      <c r="J286" t="s">
        <v>3541</v>
      </c>
      <c r="K286" t="s">
        <v>3542</v>
      </c>
      <c r="L286">
        <v>1139418</v>
      </c>
      <c r="M286">
        <v>2762000</v>
      </c>
      <c r="N286" t="s">
        <v>3543</v>
      </c>
      <c r="O286" s="1">
        <v>45584</v>
      </c>
      <c r="P286" t="s">
        <v>3544</v>
      </c>
      <c r="Q286" t="s">
        <v>3545</v>
      </c>
      <c r="R286" t="s">
        <v>47</v>
      </c>
      <c r="S286" t="s">
        <v>48</v>
      </c>
      <c r="T286" t="s">
        <v>3546</v>
      </c>
      <c r="U286" t="s">
        <v>148</v>
      </c>
      <c r="V286" t="s">
        <v>3547</v>
      </c>
      <c r="W286" t="s">
        <v>3548</v>
      </c>
      <c r="X286" t="s">
        <v>3549</v>
      </c>
      <c r="Y286" t="s">
        <v>3550</v>
      </c>
      <c r="Z286">
        <v>6</v>
      </c>
      <c r="AA286" t="s">
        <v>152</v>
      </c>
      <c r="AB286" t="s">
        <v>3551</v>
      </c>
      <c r="AC286" t="s">
        <v>3552</v>
      </c>
      <c r="AD286" t="s">
        <v>58</v>
      </c>
      <c r="AE286">
        <v>2347700</v>
      </c>
      <c r="AF286">
        <v>46954</v>
      </c>
      <c r="AJ286" t="str">
        <f>_xlfn.XLOOKUP(Table9[[#This Row],[Engine No.]],'[1]Dubai Islamic Consumer'!$Q$3:$Q$1176,'[1]Dubai Islamic Consumer'!$B$3:$B$1176,,,)</f>
        <v>KHI/HO/D/MO/PC COMP/C/99821/291/10/2024</v>
      </c>
    </row>
    <row r="287" spans="1:36" hidden="1" x14ac:dyDescent="0.25">
      <c r="A287">
        <v>286</v>
      </c>
      <c r="B287" t="s">
        <v>35</v>
      </c>
      <c r="C287" t="s">
        <v>3553</v>
      </c>
      <c r="D287" t="s">
        <v>37</v>
      </c>
      <c r="E287" t="s">
        <v>3554</v>
      </c>
      <c r="F287" t="s">
        <v>138</v>
      </c>
      <c r="G287" t="s">
        <v>3555</v>
      </c>
      <c r="H287" t="s">
        <v>3556</v>
      </c>
      <c r="I287" t="s">
        <v>3556</v>
      </c>
      <c r="J287" t="s">
        <v>3556</v>
      </c>
      <c r="K287" t="s">
        <v>3557</v>
      </c>
      <c r="L287">
        <v>2937500</v>
      </c>
      <c r="M287">
        <v>6250000</v>
      </c>
      <c r="N287" t="s">
        <v>3558</v>
      </c>
      <c r="O287" t="s">
        <v>3559</v>
      </c>
      <c r="P287" t="s">
        <v>3560</v>
      </c>
      <c r="Q287" t="s">
        <v>3561</v>
      </c>
      <c r="R287" t="s">
        <v>146</v>
      </c>
      <c r="S287" t="s">
        <v>3562</v>
      </c>
      <c r="T287" t="s">
        <v>3563</v>
      </c>
      <c r="U287" t="s">
        <v>50</v>
      </c>
      <c r="V287" s="1">
        <v>45257</v>
      </c>
      <c r="W287" t="s">
        <v>387</v>
      </c>
      <c r="X287" t="s">
        <v>388</v>
      </c>
      <c r="Y287" t="s">
        <v>3564</v>
      </c>
      <c r="Z287">
        <v>3</v>
      </c>
      <c r="AA287" t="s">
        <v>55</v>
      </c>
      <c r="AB287" t="s">
        <v>3565</v>
      </c>
      <c r="AC287" t="s">
        <v>387</v>
      </c>
      <c r="AD287" t="s">
        <v>86</v>
      </c>
      <c r="AE287">
        <v>5625000</v>
      </c>
      <c r="AF287">
        <v>98438</v>
      </c>
      <c r="AJ287" t="str">
        <f>_xlfn.XLOOKUP(Table9[[#This Row],[Engine No.]],'[1]Dubai Islamic Consumer'!$Q$3:$Q$1176,'[1]Dubai Islamic Consumer'!$B$3:$B$1176,,,)</f>
        <v>KHI/HO/D/MO/PC COMP/C/102086/244/11/2024</v>
      </c>
    </row>
    <row r="288" spans="1:36" hidden="1" x14ac:dyDescent="0.25">
      <c r="A288">
        <v>287</v>
      </c>
      <c r="B288" t="s">
        <v>35</v>
      </c>
      <c r="C288" t="s">
        <v>3566</v>
      </c>
      <c r="D288" t="s">
        <v>37</v>
      </c>
      <c r="E288" t="s">
        <v>3567</v>
      </c>
      <c r="F288" t="s">
        <v>138</v>
      </c>
      <c r="G288" t="s">
        <v>3568</v>
      </c>
      <c r="H288" t="s">
        <v>3569</v>
      </c>
      <c r="I288" t="s">
        <v>3569</v>
      </c>
      <c r="J288" t="s">
        <v>3569</v>
      </c>
      <c r="K288" t="s">
        <v>3570</v>
      </c>
      <c r="L288">
        <v>1113000</v>
      </c>
      <c r="M288">
        <v>1590000</v>
      </c>
      <c r="N288" t="s">
        <v>3571</v>
      </c>
      <c r="O288" t="s">
        <v>3559</v>
      </c>
      <c r="P288" t="s">
        <v>3572</v>
      </c>
      <c r="Q288" t="s">
        <v>3573</v>
      </c>
      <c r="R288" t="s">
        <v>146</v>
      </c>
      <c r="S288" t="s">
        <v>3574</v>
      </c>
      <c r="T288" t="s">
        <v>1909</v>
      </c>
      <c r="U288" t="s">
        <v>651</v>
      </c>
      <c r="V288" s="1">
        <v>45257</v>
      </c>
      <c r="W288" t="s">
        <v>387</v>
      </c>
      <c r="X288" t="s">
        <v>2210</v>
      </c>
      <c r="Y288" t="s">
        <v>3575</v>
      </c>
      <c r="Z288">
        <v>4</v>
      </c>
      <c r="AA288" t="s">
        <v>55</v>
      </c>
      <c r="AB288" t="s">
        <v>3576</v>
      </c>
      <c r="AC288" t="s">
        <v>387</v>
      </c>
      <c r="AD288" t="s">
        <v>86</v>
      </c>
      <c r="AE288">
        <v>1431000</v>
      </c>
      <c r="AF288">
        <v>25043</v>
      </c>
      <c r="AJ288" t="str">
        <f>_xlfn.XLOOKUP(Table9[[#This Row],[Engine No.]],'[1]Dubai Islamic Consumer'!$Q$3:$Q$1176,'[1]Dubai Islamic Consumer'!$B$3:$B$1176,,,)</f>
        <v>KHI/HO/D/MO/PC COMP/C/102086/243/11/2024</v>
      </c>
    </row>
    <row r="289" spans="1:36" hidden="1" x14ac:dyDescent="0.25">
      <c r="A289">
        <v>288</v>
      </c>
      <c r="B289" t="s">
        <v>35</v>
      </c>
      <c r="C289" t="s">
        <v>3538</v>
      </c>
      <c r="D289" t="s">
        <v>37</v>
      </c>
      <c r="E289" t="s">
        <v>3539</v>
      </c>
      <c r="F289" t="s">
        <v>107</v>
      </c>
      <c r="G289" t="s">
        <v>3540</v>
      </c>
      <c r="H289" t="s">
        <v>3541</v>
      </c>
      <c r="I289" t="s">
        <v>3541</v>
      </c>
      <c r="J289" t="s">
        <v>3541</v>
      </c>
      <c r="K289" t="s">
        <v>3542</v>
      </c>
      <c r="L289">
        <v>1139418</v>
      </c>
      <c r="M289">
        <v>2762000</v>
      </c>
      <c r="N289" t="s">
        <v>3543</v>
      </c>
      <c r="O289">
        <v>45584</v>
      </c>
      <c r="P289" t="s">
        <v>3544</v>
      </c>
      <c r="Q289" t="s">
        <v>3545</v>
      </c>
      <c r="R289" t="s">
        <v>47</v>
      </c>
      <c r="S289" t="s">
        <v>48</v>
      </c>
      <c r="T289" t="s">
        <v>3546</v>
      </c>
      <c r="U289" t="s">
        <v>148</v>
      </c>
      <c r="V289" t="s">
        <v>3547</v>
      </c>
      <c r="W289" t="s">
        <v>3548</v>
      </c>
      <c r="X289" t="s">
        <v>3549</v>
      </c>
      <c r="Y289" t="s">
        <v>3550</v>
      </c>
      <c r="Z289">
        <v>6</v>
      </c>
      <c r="AA289" t="s">
        <v>152</v>
      </c>
      <c r="AB289" t="s">
        <v>3551</v>
      </c>
      <c r="AC289" t="s">
        <v>3552</v>
      </c>
      <c r="AD289" t="s">
        <v>58</v>
      </c>
      <c r="AE289">
        <v>2347700</v>
      </c>
      <c r="AF289">
        <v>46954</v>
      </c>
      <c r="AH289" t="s">
        <v>3577</v>
      </c>
      <c r="AJ289" t="str">
        <f>_xlfn.XLOOKUP(Table9[[#This Row],[Engine No.]],'[1]Dubai Islamic Consumer'!$Q$3:$Q$1176,'[1]Dubai Islamic Consumer'!$B$3:$B$1176,,,)</f>
        <v>KHI/HO/D/MO/PC COMP/C/99821/291/10/2024</v>
      </c>
    </row>
    <row r="290" spans="1:36" hidden="1" x14ac:dyDescent="0.25">
      <c r="A290">
        <v>289</v>
      </c>
      <c r="B290" t="s">
        <v>35</v>
      </c>
      <c r="C290" t="s">
        <v>3578</v>
      </c>
      <c r="D290" t="s">
        <v>37</v>
      </c>
      <c r="E290" t="s">
        <v>3579</v>
      </c>
      <c r="F290" t="s">
        <v>107</v>
      </c>
      <c r="G290" t="s">
        <v>3580</v>
      </c>
      <c r="H290" t="s">
        <v>3581</v>
      </c>
      <c r="I290" t="s">
        <v>3582</v>
      </c>
      <c r="J290" t="s">
        <v>3583</v>
      </c>
      <c r="K290" t="s">
        <v>3584</v>
      </c>
      <c r="L290">
        <v>1123228</v>
      </c>
      <c r="M290">
        <v>1975000</v>
      </c>
      <c r="N290" t="s">
        <v>3585</v>
      </c>
      <c r="O290" t="s">
        <v>3586</v>
      </c>
      <c r="P290" t="s">
        <v>3587</v>
      </c>
      <c r="Q290" t="s">
        <v>3588</v>
      </c>
      <c r="R290" t="s">
        <v>47</v>
      </c>
      <c r="S290" t="s">
        <v>3589</v>
      </c>
      <c r="T290" t="s">
        <v>3590</v>
      </c>
      <c r="U290" t="s">
        <v>614</v>
      </c>
      <c r="V290" t="s">
        <v>3591</v>
      </c>
      <c r="W290" t="s">
        <v>3592</v>
      </c>
      <c r="X290" t="s">
        <v>3593</v>
      </c>
      <c r="Y290" t="s">
        <v>3594</v>
      </c>
      <c r="Z290">
        <v>7</v>
      </c>
      <c r="AA290" t="s">
        <v>55</v>
      </c>
      <c r="AB290" t="s">
        <v>3595</v>
      </c>
      <c r="AC290" t="s">
        <v>3596</v>
      </c>
      <c r="AD290" t="s">
        <v>171</v>
      </c>
      <c r="AE290">
        <v>1481250</v>
      </c>
      <c r="AF290">
        <v>37031</v>
      </c>
      <c r="AH290" t="s">
        <v>3577</v>
      </c>
      <c r="AJ290" t="str">
        <f>_xlfn.XLOOKUP(Table9[[#This Row],[Engine No.]],'[1]Dubai Islamic Consumer'!$Q$3:$Q$1176,'[1]Dubai Islamic Consumer'!$B$3:$B$1176,,,)</f>
        <v>KHI/HO/D/MO/PC COMP/C/97805/11/09/2024</v>
      </c>
    </row>
    <row r="291" spans="1:36" hidden="1" x14ac:dyDescent="0.25">
      <c r="A291">
        <v>290</v>
      </c>
      <c r="B291" t="s">
        <v>35</v>
      </c>
      <c r="C291" t="s">
        <v>3597</v>
      </c>
      <c r="D291" t="s">
        <v>37</v>
      </c>
      <c r="E291" t="s">
        <v>3598</v>
      </c>
      <c r="F291" t="s">
        <v>138</v>
      </c>
      <c r="G291" t="s">
        <v>3599</v>
      </c>
      <c r="H291" t="s">
        <v>1505</v>
      </c>
      <c r="I291" t="s">
        <v>3600</v>
      </c>
      <c r="J291" t="s">
        <v>3601</v>
      </c>
      <c r="K291" t="s">
        <v>3602</v>
      </c>
      <c r="L291">
        <v>737334</v>
      </c>
      <c r="M291">
        <v>1700000</v>
      </c>
      <c r="N291" t="s">
        <v>3603</v>
      </c>
      <c r="O291" s="1">
        <v>45592</v>
      </c>
      <c r="P291" t="s">
        <v>3604</v>
      </c>
      <c r="Q291" t="s">
        <v>3605</v>
      </c>
      <c r="R291" t="s">
        <v>1215</v>
      </c>
      <c r="S291" t="s">
        <v>3606</v>
      </c>
      <c r="T291" t="s">
        <v>3607</v>
      </c>
      <c r="U291" t="s">
        <v>335</v>
      </c>
      <c r="V291" t="s">
        <v>3608</v>
      </c>
      <c r="W291" t="s">
        <v>3609</v>
      </c>
      <c r="X291" t="s">
        <v>3610</v>
      </c>
      <c r="Y291" t="s">
        <v>3611</v>
      </c>
      <c r="Z291">
        <v>7</v>
      </c>
      <c r="AA291" t="s">
        <v>55</v>
      </c>
      <c r="AB291" t="s">
        <v>3612</v>
      </c>
      <c r="AC291" t="s">
        <v>3613</v>
      </c>
      <c r="AD291" t="s">
        <v>171</v>
      </c>
      <c r="AE291">
        <v>1275000</v>
      </c>
      <c r="AF291">
        <v>31875</v>
      </c>
      <c r="AH291" t="s">
        <v>3577</v>
      </c>
      <c r="AJ291" t="str">
        <f>_xlfn.XLOOKUP(Table9[[#This Row],[Engine No.]],'[1]Dubai Islamic Consumer'!$Q$3:$Q$1176,'[1]Dubai Islamic Consumer'!$B$3:$B$1176,,,)</f>
        <v>KHI/HO/D/MO/PC COMP/C/99821/3/10/2024</v>
      </c>
    </row>
    <row r="292" spans="1:36" hidden="1" x14ac:dyDescent="0.25">
      <c r="A292">
        <v>291</v>
      </c>
      <c r="B292" t="s">
        <v>35</v>
      </c>
      <c r="C292" t="s">
        <v>3614</v>
      </c>
      <c r="D292" t="s">
        <v>37</v>
      </c>
      <c r="E292" t="s">
        <v>3615</v>
      </c>
      <c r="F292" t="s">
        <v>138</v>
      </c>
      <c r="G292" t="s">
        <v>3616</v>
      </c>
      <c r="H292" t="s">
        <v>3617</v>
      </c>
      <c r="I292" t="s">
        <v>3617</v>
      </c>
      <c r="J292" t="s">
        <v>3618</v>
      </c>
      <c r="K292" t="s">
        <v>3619</v>
      </c>
      <c r="L292">
        <v>511672</v>
      </c>
      <c r="M292">
        <v>1460000</v>
      </c>
      <c r="N292" t="s">
        <v>3620</v>
      </c>
      <c r="O292" s="1">
        <v>45595</v>
      </c>
      <c r="P292" t="s">
        <v>3621</v>
      </c>
      <c r="Q292" t="s">
        <v>3622</v>
      </c>
      <c r="R292" t="s">
        <v>146</v>
      </c>
      <c r="S292" t="e">
        <v>#N/A</v>
      </c>
      <c r="T292" t="s">
        <v>2553</v>
      </c>
      <c r="U292" t="s">
        <v>335</v>
      </c>
      <c r="V292" t="s">
        <v>3623</v>
      </c>
      <c r="W292" t="s">
        <v>3609</v>
      </c>
      <c r="X292" t="s">
        <v>3610</v>
      </c>
      <c r="Y292" t="s">
        <v>3624</v>
      </c>
      <c r="Z292">
        <v>7</v>
      </c>
      <c r="AA292" t="s">
        <v>55</v>
      </c>
      <c r="AB292" t="s">
        <v>3625</v>
      </c>
      <c r="AC292" t="s">
        <v>3623</v>
      </c>
      <c r="AD292" t="s">
        <v>171</v>
      </c>
      <c r="AE292">
        <v>1021999.9999999999</v>
      </c>
      <c r="AF292">
        <v>25550</v>
      </c>
      <c r="AJ292" t="str">
        <f>_xlfn.XLOOKUP(Table9[[#This Row],[Engine No.]],'[1]Dubai Islamic Consumer'!$Q$3:$Q$1176,'[1]Dubai Islamic Consumer'!$B$3:$B$1176,,,)</f>
        <v>KHI/HO/D/MO/PC COMP/C/99821/50/10/2024</v>
      </c>
    </row>
    <row r="293" spans="1:36" hidden="1" x14ac:dyDescent="0.25">
      <c r="A293">
        <v>292</v>
      </c>
      <c r="B293" t="s">
        <v>35</v>
      </c>
      <c r="C293" t="s">
        <v>3626</v>
      </c>
      <c r="D293" t="s">
        <v>37</v>
      </c>
      <c r="E293" t="s">
        <v>3627</v>
      </c>
      <c r="F293" t="s">
        <v>138</v>
      </c>
      <c r="G293" t="s">
        <v>3628</v>
      </c>
      <c r="H293" t="s">
        <v>3629</v>
      </c>
      <c r="I293" t="s">
        <v>3629</v>
      </c>
      <c r="J293" t="s">
        <v>3630</v>
      </c>
      <c r="K293" t="s">
        <v>3631</v>
      </c>
      <c r="L293">
        <v>475805</v>
      </c>
      <c r="M293">
        <v>1745000</v>
      </c>
      <c r="N293" t="s">
        <v>3632</v>
      </c>
      <c r="O293" s="1">
        <v>45595</v>
      </c>
      <c r="P293" t="s">
        <v>3633</v>
      </c>
      <c r="Q293" t="s">
        <v>3634</v>
      </c>
      <c r="R293" t="s">
        <v>47</v>
      </c>
      <c r="S293" t="s">
        <v>3635</v>
      </c>
      <c r="T293" t="s">
        <v>3449</v>
      </c>
      <c r="U293" t="s">
        <v>614</v>
      </c>
      <c r="V293" t="s">
        <v>3623</v>
      </c>
      <c r="W293" t="s">
        <v>3609</v>
      </c>
      <c r="X293" t="s">
        <v>3610</v>
      </c>
      <c r="Y293" t="s">
        <v>3636</v>
      </c>
      <c r="Z293">
        <v>7</v>
      </c>
      <c r="AA293" t="s">
        <v>55</v>
      </c>
      <c r="AB293" t="s">
        <v>3637</v>
      </c>
      <c r="AC293" t="s">
        <v>3623</v>
      </c>
      <c r="AD293" t="s">
        <v>171</v>
      </c>
      <c r="AE293">
        <v>1221500</v>
      </c>
      <c r="AF293">
        <v>30538</v>
      </c>
      <c r="AJ293" t="str">
        <f>_xlfn.XLOOKUP(Table9[[#This Row],[Engine No.]],'[1]Dubai Islamic Consumer'!$Q$3:$Q$1176,'[1]Dubai Islamic Consumer'!$B$3:$B$1176,,,)</f>
        <v>KHI/HO/D/MO/PC COMP/C/99821/51/10/2024</v>
      </c>
    </row>
    <row r="294" spans="1:36" hidden="1" x14ac:dyDescent="0.25">
      <c r="A294">
        <v>293</v>
      </c>
      <c r="B294" t="s">
        <v>35</v>
      </c>
      <c r="C294" t="s">
        <v>3638</v>
      </c>
      <c r="D294" t="s">
        <v>37</v>
      </c>
      <c r="E294" t="s">
        <v>3639</v>
      </c>
      <c r="F294" t="s">
        <v>107</v>
      </c>
      <c r="G294" t="s">
        <v>3640</v>
      </c>
      <c r="H294" t="s">
        <v>3641</v>
      </c>
      <c r="I294" t="s">
        <v>3641</v>
      </c>
      <c r="J294" t="s">
        <v>3642</v>
      </c>
      <c r="K294" t="s">
        <v>3643</v>
      </c>
      <c r="L294">
        <v>308420</v>
      </c>
      <c r="M294">
        <v>800000</v>
      </c>
      <c r="N294" t="s">
        <v>3644</v>
      </c>
      <c r="O294" s="1">
        <v>45595</v>
      </c>
      <c r="P294" t="s">
        <v>3645</v>
      </c>
      <c r="Q294" t="s">
        <v>3646</v>
      </c>
      <c r="R294" t="s">
        <v>146</v>
      </c>
      <c r="S294" t="s">
        <v>3647</v>
      </c>
      <c r="T294" t="s">
        <v>3648</v>
      </c>
      <c r="U294" t="s">
        <v>335</v>
      </c>
      <c r="V294" t="s">
        <v>99</v>
      </c>
      <c r="W294" t="s">
        <v>104</v>
      </c>
      <c r="X294" t="s">
        <v>3610</v>
      </c>
      <c r="Y294" t="s">
        <v>3649</v>
      </c>
      <c r="Z294">
        <v>6</v>
      </c>
      <c r="AA294" t="s">
        <v>227</v>
      </c>
      <c r="AB294" t="s">
        <v>3650</v>
      </c>
      <c r="AC294" t="s">
        <v>99</v>
      </c>
      <c r="AD294" t="s">
        <v>58</v>
      </c>
      <c r="AE294">
        <v>600000</v>
      </c>
      <c r="AF294">
        <v>12000</v>
      </c>
      <c r="AJ294" t="str">
        <f>_xlfn.XLOOKUP(Table9[[#This Row],[Engine No.]],'[1]Dubai Islamic Consumer'!$Q$3:$Q$1176,'[1]Dubai Islamic Consumer'!$B$3:$B$1176,,,)</f>
        <v>KHI/HO/D/MO/PC COMP/C/99821/58/10/2024</v>
      </c>
    </row>
    <row r="295" spans="1:36" hidden="1" x14ac:dyDescent="0.25">
      <c r="A295">
        <v>294</v>
      </c>
      <c r="B295" t="s">
        <v>35</v>
      </c>
      <c r="C295" t="s">
        <v>3651</v>
      </c>
      <c r="D295" t="s">
        <v>37</v>
      </c>
      <c r="E295" t="s">
        <v>3652</v>
      </c>
      <c r="F295" t="s">
        <v>138</v>
      </c>
      <c r="G295" t="s">
        <v>3653</v>
      </c>
      <c r="H295" t="s">
        <v>3654</v>
      </c>
      <c r="I295" t="s">
        <v>3654</v>
      </c>
      <c r="J295" t="s">
        <v>141</v>
      </c>
      <c r="K295" t="s">
        <v>3655</v>
      </c>
      <c r="L295">
        <v>1218050</v>
      </c>
      <c r="M295">
        <v>1433000</v>
      </c>
      <c r="N295" t="s">
        <v>3656</v>
      </c>
      <c r="O295" s="1">
        <v>45622</v>
      </c>
      <c r="P295" t="s">
        <v>3657</v>
      </c>
      <c r="Q295" t="s">
        <v>3658</v>
      </c>
      <c r="R295" t="s">
        <v>47</v>
      </c>
      <c r="S295" t="s">
        <v>48</v>
      </c>
      <c r="T295" t="s">
        <v>673</v>
      </c>
      <c r="U295" t="s">
        <v>98</v>
      </c>
      <c r="V295" t="s">
        <v>456</v>
      </c>
      <c r="W295" t="s">
        <v>456</v>
      </c>
      <c r="X295" t="s">
        <v>457</v>
      </c>
      <c r="Y295" t="s">
        <v>3659</v>
      </c>
      <c r="Z295">
        <v>5</v>
      </c>
      <c r="AA295" t="s">
        <v>227</v>
      </c>
      <c r="AB295" t="s">
        <v>3660</v>
      </c>
      <c r="AC295" t="s">
        <v>456</v>
      </c>
      <c r="AD295" t="s">
        <v>58</v>
      </c>
      <c r="AE295">
        <v>1074750</v>
      </c>
      <c r="AF295">
        <v>21495</v>
      </c>
      <c r="AJ295" t="str">
        <f>_xlfn.XLOOKUP(Table9[[#This Row],[Engine No.]],'[1]Dubai Islamic Consumer'!$Q$3:$Q$1176,'[1]Dubai Islamic Consumer'!$B$3:$B$1176,,,)</f>
        <v>KHI/HO/D/MO/PC COMP/C/102086/241/11/2024</v>
      </c>
    </row>
    <row r="296" spans="1:36" hidden="1" x14ac:dyDescent="0.25">
      <c r="A296">
        <v>295</v>
      </c>
      <c r="B296" t="s">
        <v>35</v>
      </c>
      <c r="C296" t="s">
        <v>3661</v>
      </c>
      <c r="D296" t="s">
        <v>37</v>
      </c>
      <c r="E296" t="s">
        <v>3662</v>
      </c>
      <c r="F296" t="s">
        <v>245</v>
      </c>
      <c r="G296" t="s">
        <v>3663</v>
      </c>
      <c r="H296" t="s">
        <v>3664</v>
      </c>
      <c r="I296" t="s">
        <v>48</v>
      </c>
      <c r="J296" t="s">
        <v>3665</v>
      </c>
      <c r="K296" t="s">
        <v>3666</v>
      </c>
      <c r="L296">
        <v>750372</v>
      </c>
      <c r="M296">
        <v>3115000</v>
      </c>
      <c r="N296" t="s">
        <v>3667</v>
      </c>
      <c r="O296" s="1">
        <v>45592</v>
      </c>
      <c r="P296" t="s">
        <v>3668</v>
      </c>
      <c r="Q296" t="s">
        <v>3669</v>
      </c>
      <c r="R296" t="s">
        <v>47</v>
      </c>
      <c r="S296" t="s">
        <v>3670</v>
      </c>
      <c r="T296" t="s">
        <v>3671</v>
      </c>
      <c r="U296" t="s">
        <v>614</v>
      </c>
      <c r="V296" t="s">
        <v>3672</v>
      </c>
      <c r="W296" t="s">
        <v>3609</v>
      </c>
      <c r="X296" t="s">
        <v>3610</v>
      </c>
      <c r="Y296" t="s">
        <v>3673</v>
      </c>
      <c r="Z296">
        <v>7</v>
      </c>
      <c r="AA296" t="s">
        <v>227</v>
      </c>
      <c r="AB296" t="s">
        <v>3674</v>
      </c>
      <c r="AC296" t="s">
        <v>3675</v>
      </c>
      <c r="AD296" t="s">
        <v>171</v>
      </c>
      <c r="AE296">
        <v>2180500</v>
      </c>
      <c r="AF296">
        <v>54513</v>
      </c>
      <c r="AJ296" t="str">
        <f>_xlfn.XLOOKUP(Table9[[#This Row],[Engine No.]],'[1]Dubai Islamic Consumer'!$Q$3:$Q$1176,'[1]Dubai Islamic Consumer'!$B$3:$B$1176,,,)</f>
        <v>KHI/HO/D/MO/PC COMP/C/99821/89/10/2024</v>
      </c>
    </row>
    <row r="297" spans="1:36" hidden="1" x14ac:dyDescent="0.25">
      <c r="A297">
        <v>296</v>
      </c>
      <c r="B297" t="s">
        <v>35</v>
      </c>
      <c r="C297" t="s">
        <v>3676</v>
      </c>
      <c r="D297" t="s">
        <v>37</v>
      </c>
      <c r="E297" t="s">
        <v>3677</v>
      </c>
      <c r="F297" t="s">
        <v>138</v>
      </c>
      <c r="G297" t="s">
        <v>3678</v>
      </c>
      <c r="H297" t="s">
        <v>48</v>
      </c>
      <c r="I297" t="s">
        <v>3679</v>
      </c>
      <c r="J297" t="s">
        <v>3680</v>
      </c>
      <c r="K297" t="s">
        <v>3681</v>
      </c>
      <c r="L297">
        <v>281313</v>
      </c>
      <c r="M297">
        <v>1450000</v>
      </c>
      <c r="N297" t="s">
        <v>3682</v>
      </c>
      <c r="O297" s="1">
        <v>45591</v>
      </c>
      <c r="P297" t="s">
        <v>3683</v>
      </c>
      <c r="Q297" t="s">
        <v>3684</v>
      </c>
      <c r="R297" t="s">
        <v>47</v>
      </c>
      <c r="S297" t="s">
        <v>3685</v>
      </c>
      <c r="T297" t="s">
        <v>3686</v>
      </c>
      <c r="U297" t="s">
        <v>651</v>
      </c>
      <c r="V297" t="s">
        <v>254</v>
      </c>
      <c r="W297" t="s">
        <v>1849</v>
      </c>
      <c r="X297" t="s">
        <v>3687</v>
      </c>
      <c r="Y297" t="s">
        <v>3688</v>
      </c>
      <c r="Z297">
        <v>6</v>
      </c>
      <c r="AA297" t="s">
        <v>55</v>
      </c>
      <c r="AB297" t="s">
        <v>3689</v>
      </c>
      <c r="AC297" t="s">
        <v>254</v>
      </c>
      <c r="AD297" t="s">
        <v>58</v>
      </c>
      <c r="AE297">
        <v>1087500</v>
      </c>
      <c r="AF297">
        <v>21750</v>
      </c>
      <c r="AJ297" t="str">
        <f>_xlfn.XLOOKUP(Table9[[#This Row],[Engine No.]],'[1]Dubai Islamic Consumer'!$Q$3:$Q$1176,'[1]Dubai Islamic Consumer'!$B$3:$B$1176,,,)</f>
        <v>KHI/HO/D/MO/PC COMP/C/99821/91/10/2024</v>
      </c>
    </row>
    <row r="298" spans="1:36" hidden="1" x14ac:dyDescent="0.25">
      <c r="A298">
        <v>297</v>
      </c>
      <c r="B298" t="s">
        <v>35</v>
      </c>
      <c r="C298" t="s">
        <v>3690</v>
      </c>
      <c r="D298" t="s">
        <v>37</v>
      </c>
      <c r="E298" t="s">
        <v>3691</v>
      </c>
      <c r="F298" t="s">
        <v>89</v>
      </c>
      <c r="G298" t="s">
        <v>3692</v>
      </c>
      <c r="H298" t="s">
        <v>1505</v>
      </c>
      <c r="I298" t="s">
        <v>3693</v>
      </c>
      <c r="J298" t="s">
        <v>3694</v>
      </c>
      <c r="K298" t="s">
        <v>3695</v>
      </c>
      <c r="L298">
        <v>2299510</v>
      </c>
      <c r="M298">
        <v>8439000</v>
      </c>
      <c r="N298" t="s">
        <v>3696</v>
      </c>
      <c r="O298" s="1">
        <v>45588</v>
      </c>
      <c r="P298" t="s">
        <v>3697</v>
      </c>
      <c r="Q298" t="s">
        <v>3698</v>
      </c>
      <c r="R298" t="s">
        <v>47</v>
      </c>
      <c r="S298" t="s">
        <v>48</v>
      </c>
      <c r="T298" t="s">
        <v>3699</v>
      </c>
      <c r="U298" t="s">
        <v>98</v>
      </c>
      <c r="V298" t="s">
        <v>3700</v>
      </c>
      <c r="W298" t="s">
        <v>104</v>
      </c>
      <c r="X298" t="s">
        <v>3610</v>
      </c>
      <c r="Y298" t="s">
        <v>3701</v>
      </c>
      <c r="Z298">
        <v>6</v>
      </c>
      <c r="AA298" t="s">
        <v>227</v>
      </c>
      <c r="AB298" t="s">
        <v>3702</v>
      </c>
      <c r="AC298" t="s">
        <v>3703</v>
      </c>
      <c r="AD298" t="s">
        <v>299</v>
      </c>
      <c r="AE298">
        <v>6329250</v>
      </c>
      <c r="AF298">
        <v>94939</v>
      </c>
      <c r="AJ298" t="str">
        <f>_xlfn.XLOOKUP(Table9[[#This Row],[Engine No.]],'[1]Dubai Islamic Consumer'!$Q$3:$Q$1176,'[1]Dubai Islamic Consumer'!$B$3:$B$1176,,,)</f>
        <v>KHI/HO/D/MO/PC COMP/C/99821/95/10/2024</v>
      </c>
    </row>
    <row r="299" spans="1:36" hidden="1" x14ac:dyDescent="0.25">
      <c r="A299">
        <v>298</v>
      </c>
      <c r="B299" t="s">
        <v>35</v>
      </c>
      <c r="C299" t="s">
        <v>3704</v>
      </c>
      <c r="D299" t="s">
        <v>37</v>
      </c>
      <c r="E299" t="s">
        <v>3705</v>
      </c>
      <c r="F299" t="s">
        <v>138</v>
      </c>
      <c r="G299" t="s">
        <v>3706</v>
      </c>
      <c r="H299" t="s">
        <v>48</v>
      </c>
      <c r="I299" t="s">
        <v>3707</v>
      </c>
      <c r="J299" t="s">
        <v>48</v>
      </c>
      <c r="K299" t="s">
        <v>3708</v>
      </c>
      <c r="L299">
        <v>451745</v>
      </c>
      <c r="M299">
        <v>1308000</v>
      </c>
      <c r="N299" t="s">
        <v>3709</v>
      </c>
      <c r="O299" s="1">
        <v>45588</v>
      </c>
      <c r="P299" t="s">
        <v>3710</v>
      </c>
      <c r="Q299" t="s">
        <v>3711</v>
      </c>
      <c r="R299" t="s">
        <v>47</v>
      </c>
      <c r="S299" t="s">
        <v>3712</v>
      </c>
      <c r="T299" t="s">
        <v>673</v>
      </c>
      <c r="U299" t="s">
        <v>614</v>
      </c>
      <c r="V299" t="s">
        <v>3675</v>
      </c>
      <c r="W299" t="s">
        <v>3713</v>
      </c>
      <c r="X299" t="s">
        <v>3687</v>
      </c>
      <c r="Y299" t="s">
        <v>3714</v>
      </c>
      <c r="Z299">
        <v>7</v>
      </c>
      <c r="AA299" t="s">
        <v>55</v>
      </c>
      <c r="AB299" t="s">
        <v>3715</v>
      </c>
      <c r="AC299" t="s">
        <v>3716</v>
      </c>
      <c r="AD299" t="s">
        <v>171</v>
      </c>
      <c r="AE299">
        <v>915600</v>
      </c>
      <c r="AF299">
        <v>22890</v>
      </c>
      <c r="AJ299" t="str">
        <f>_xlfn.XLOOKUP(Table9[[#This Row],[Engine No.]],'[1]Dubai Islamic Consumer'!$Q$3:$Q$1176,'[1]Dubai Islamic Consumer'!$B$3:$B$1176,,,)</f>
        <v>KHI/HO/D/MO/PC COMP/C/99821/102/10/2024</v>
      </c>
    </row>
    <row r="300" spans="1:36" hidden="1" x14ac:dyDescent="0.25">
      <c r="A300">
        <v>299</v>
      </c>
      <c r="B300" t="s">
        <v>35</v>
      </c>
      <c r="C300" t="s">
        <v>3717</v>
      </c>
      <c r="D300" t="s">
        <v>37</v>
      </c>
      <c r="E300" t="s">
        <v>3718</v>
      </c>
      <c r="F300" t="s">
        <v>107</v>
      </c>
      <c r="G300" t="s">
        <v>3719</v>
      </c>
      <c r="H300" t="s">
        <v>3720</v>
      </c>
      <c r="I300" t="s">
        <v>3721</v>
      </c>
      <c r="J300" t="s">
        <v>3722</v>
      </c>
      <c r="K300" t="s">
        <v>3723</v>
      </c>
      <c r="L300">
        <v>1306550</v>
      </c>
      <c r="M300">
        <v>3733000</v>
      </c>
      <c r="N300" t="s">
        <v>3724</v>
      </c>
      <c r="O300" s="1">
        <v>45623</v>
      </c>
      <c r="P300" t="s">
        <v>3725</v>
      </c>
      <c r="Q300" t="s">
        <v>3726</v>
      </c>
      <c r="R300" t="s">
        <v>47</v>
      </c>
      <c r="S300" t="s">
        <v>3727</v>
      </c>
      <c r="T300" t="s">
        <v>2835</v>
      </c>
      <c r="U300" t="s">
        <v>614</v>
      </c>
      <c r="V300" t="s">
        <v>3728</v>
      </c>
      <c r="W300" t="s">
        <v>3729</v>
      </c>
      <c r="X300" t="s">
        <v>533</v>
      </c>
      <c r="Y300" t="s">
        <v>3730</v>
      </c>
      <c r="Z300">
        <v>6</v>
      </c>
      <c r="AA300" t="s">
        <v>55</v>
      </c>
      <c r="AB300" t="s">
        <v>3731</v>
      </c>
      <c r="AC300" t="s">
        <v>3295</v>
      </c>
      <c r="AD300" t="s">
        <v>171</v>
      </c>
      <c r="AE300">
        <v>2613100</v>
      </c>
      <c r="AF300">
        <v>65328</v>
      </c>
      <c r="AJ300" t="str">
        <f>_xlfn.XLOOKUP(Table9[[#This Row],[Engine No.]],'[1]Dubai Islamic Consumer'!$Q$3:$Q$1176,'[1]Dubai Islamic Consumer'!$B$3:$B$1176,,,)</f>
        <v>KHI/HO/D/MO/PC COMP/C/102086/239/11/2024</v>
      </c>
    </row>
    <row r="301" spans="1:36" hidden="1" x14ac:dyDescent="0.25">
      <c r="A301">
        <v>300</v>
      </c>
      <c r="B301" t="s">
        <v>35</v>
      </c>
      <c r="C301" t="s">
        <v>3732</v>
      </c>
      <c r="D301" t="s">
        <v>37</v>
      </c>
      <c r="E301" t="s">
        <v>3172</v>
      </c>
      <c r="F301" t="s">
        <v>107</v>
      </c>
      <c r="G301" t="s">
        <v>3173</v>
      </c>
      <c r="H301" t="s">
        <v>3174</v>
      </c>
      <c r="I301" t="s">
        <v>3174</v>
      </c>
      <c r="J301" t="s">
        <v>3174</v>
      </c>
      <c r="K301" t="s">
        <v>3175</v>
      </c>
      <c r="L301">
        <v>1186500</v>
      </c>
      <c r="M301">
        <v>1695000</v>
      </c>
      <c r="N301" t="s">
        <v>3733</v>
      </c>
      <c r="O301" s="1">
        <v>45623</v>
      </c>
      <c r="P301" t="s">
        <v>3734</v>
      </c>
      <c r="Q301" t="s">
        <v>3735</v>
      </c>
      <c r="R301" t="s">
        <v>47</v>
      </c>
      <c r="S301" t="s">
        <v>48</v>
      </c>
      <c r="T301" t="s">
        <v>224</v>
      </c>
      <c r="U301" t="s">
        <v>98</v>
      </c>
      <c r="V301" t="s">
        <v>1862</v>
      </c>
      <c r="W301" t="s">
        <v>532</v>
      </c>
      <c r="X301" t="s">
        <v>533</v>
      </c>
      <c r="Y301" t="s">
        <v>3736</v>
      </c>
      <c r="Z301">
        <v>5</v>
      </c>
      <c r="AA301" t="s">
        <v>55</v>
      </c>
      <c r="AB301" t="s">
        <v>3737</v>
      </c>
      <c r="AC301" t="s">
        <v>3321</v>
      </c>
      <c r="AD301" t="s">
        <v>58</v>
      </c>
      <c r="AE301">
        <v>1271250</v>
      </c>
      <c r="AF301">
        <v>25425</v>
      </c>
      <c r="AJ301" t="str">
        <f>_xlfn.XLOOKUP(Table9[[#This Row],[Engine No.]],'[1]Dubai Islamic Consumer'!$Q$3:$Q$1176,'[1]Dubai Islamic Consumer'!$B$3:$B$1176,,,)</f>
        <v>KHI/HO/D/MO/PC COMP/C/102086/238/11/2024</v>
      </c>
    </row>
    <row r="302" spans="1:36" hidden="1" x14ac:dyDescent="0.25">
      <c r="A302">
        <v>301</v>
      </c>
      <c r="B302" t="s">
        <v>35</v>
      </c>
      <c r="C302" t="s">
        <v>3738</v>
      </c>
      <c r="D302" t="s">
        <v>37</v>
      </c>
      <c r="E302" t="s">
        <v>3739</v>
      </c>
      <c r="F302" t="s">
        <v>138</v>
      </c>
      <c r="G302" t="s">
        <v>3740</v>
      </c>
      <c r="H302" t="s">
        <v>3741</v>
      </c>
      <c r="I302" t="s">
        <v>3741</v>
      </c>
      <c r="J302" t="s">
        <v>3742</v>
      </c>
      <c r="K302" t="s">
        <v>3743</v>
      </c>
      <c r="L302">
        <v>904300</v>
      </c>
      <c r="M302">
        <v>2574000</v>
      </c>
      <c r="N302" t="s">
        <v>3744</v>
      </c>
      <c r="O302" s="1">
        <v>45586</v>
      </c>
      <c r="P302" t="s">
        <v>3745</v>
      </c>
      <c r="Q302" t="s">
        <v>3746</v>
      </c>
      <c r="R302" t="s">
        <v>47</v>
      </c>
      <c r="S302" t="s">
        <v>48</v>
      </c>
      <c r="T302" t="s">
        <v>480</v>
      </c>
      <c r="U302" t="s">
        <v>98</v>
      </c>
      <c r="V302" t="s">
        <v>3703</v>
      </c>
      <c r="W302" t="s">
        <v>1849</v>
      </c>
      <c r="X302" t="s">
        <v>3687</v>
      </c>
      <c r="Y302" t="s">
        <v>3747</v>
      </c>
      <c r="Z302">
        <v>6</v>
      </c>
      <c r="AA302" t="s">
        <v>227</v>
      </c>
      <c r="AB302" t="s">
        <v>3748</v>
      </c>
      <c r="AC302" t="s">
        <v>810</v>
      </c>
      <c r="AD302" t="s">
        <v>58</v>
      </c>
      <c r="AE302">
        <v>1930500</v>
      </c>
      <c r="AF302">
        <v>38610</v>
      </c>
      <c r="AJ302" t="str">
        <f>_xlfn.XLOOKUP(Table9[[#This Row],[Engine No.]],'[1]Dubai Islamic Consumer'!$Q$3:$Q$1176,'[1]Dubai Islamic Consumer'!$B$3:$B$1176,,,)</f>
        <v>KHI/HO/D/MO/PC COMP/C/99821/125/10/2024</v>
      </c>
    </row>
    <row r="303" spans="1:36" hidden="1" x14ac:dyDescent="0.25">
      <c r="A303">
        <v>302</v>
      </c>
      <c r="B303" t="s">
        <v>35</v>
      </c>
      <c r="C303" t="s">
        <v>3749</v>
      </c>
      <c r="D303" t="s">
        <v>37</v>
      </c>
      <c r="E303" t="s">
        <v>3750</v>
      </c>
      <c r="F303" t="s">
        <v>245</v>
      </c>
      <c r="G303" t="s">
        <v>3751</v>
      </c>
      <c r="H303" t="s">
        <v>3752</v>
      </c>
      <c r="I303" t="s">
        <v>48</v>
      </c>
      <c r="J303" t="s">
        <v>3753</v>
      </c>
      <c r="K303" t="s">
        <v>3754</v>
      </c>
      <c r="L303">
        <v>556912</v>
      </c>
      <c r="M303">
        <v>1695000</v>
      </c>
      <c r="N303" t="s">
        <v>3755</v>
      </c>
      <c r="O303" s="1">
        <v>45586</v>
      </c>
      <c r="P303" t="s">
        <v>3756</v>
      </c>
      <c r="Q303" t="s">
        <v>3757</v>
      </c>
      <c r="R303" t="s">
        <v>47</v>
      </c>
      <c r="S303" t="s">
        <v>48</v>
      </c>
      <c r="T303" t="s">
        <v>224</v>
      </c>
      <c r="U303" t="s">
        <v>98</v>
      </c>
      <c r="V303" t="s">
        <v>2293</v>
      </c>
      <c r="W303" t="s">
        <v>1849</v>
      </c>
      <c r="X303" t="s">
        <v>3687</v>
      </c>
      <c r="Y303" t="s">
        <v>3758</v>
      </c>
      <c r="Z303">
        <v>6</v>
      </c>
      <c r="AA303" t="s">
        <v>55</v>
      </c>
      <c r="AB303" t="s">
        <v>3759</v>
      </c>
      <c r="AC303" t="s">
        <v>3760</v>
      </c>
      <c r="AD303" t="s">
        <v>58</v>
      </c>
      <c r="AE303">
        <v>1271250</v>
      </c>
      <c r="AF303">
        <v>25425</v>
      </c>
      <c r="AJ303" t="str">
        <f>_xlfn.XLOOKUP(Table9[[#This Row],[Engine No.]],'[1]Dubai Islamic Consumer'!$Q$3:$Q$1176,'[1]Dubai Islamic Consumer'!$B$3:$B$1176,,,)</f>
        <v>KHI/HO/D/MO/PC COMP/C/99821/129/10/2024</v>
      </c>
    </row>
    <row r="304" spans="1:36" hidden="1" x14ac:dyDescent="0.25">
      <c r="A304">
        <v>303</v>
      </c>
      <c r="B304" t="s">
        <v>35</v>
      </c>
      <c r="C304" t="s">
        <v>3761</v>
      </c>
      <c r="D304" t="s">
        <v>37</v>
      </c>
      <c r="E304" t="s">
        <v>3762</v>
      </c>
      <c r="F304" t="s">
        <v>290</v>
      </c>
      <c r="G304" t="s">
        <v>3763</v>
      </c>
      <c r="H304" t="s">
        <v>3764</v>
      </c>
      <c r="I304" t="s">
        <v>3764</v>
      </c>
      <c r="J304" t="s">
        <v>3764</v>
      </c>
      <c r="K304" t="s">
        <v>3765</v>
      </c>
      <c r="L304">
        <v>1650321</v>
      </c>
      <c r="M304">
        <v>5430000</v>
      </c>
      <c r="N304" t="s">
        <v>3766</v>
      </c>
      <c r="O304" s="1">
        <v>45584</v>
      </c>
      <c r="P304" t="s">
        <v>3767</v>
      </c>
      <c r="Q304" t="s">
        <v>3768</v>
      </c>
      <c r="R304" t="s">
        <v>47</v>
      </c>
      <c r="S304" t="s">
        <v>48</v>
      </c>
      <c r="T304" t="s">
        <v>115</v>
      </c>
      <c r="U304" t="s">
        <v>98</v>
      </c>
      <c r="V304" t="s">
        <v>2019</v>
      </c>
      <c r="W304" t="s">
        <v>3769</v>
      </c>
      <c r="X304" t="s">
        <v>3770</v>
      </c>
      <c r="Y304" t="s">
        <v>3771</v>
      </c>
      <c r="Z304">
        <v>6</v>
      </c>
      <c r="AA304" t="s">
        <v>48</v>
      </c>
      <c r="AB304" t="s">
        <v>48</v>
      </c>
      <c r="AC304" t="s">
        <v>48</v>
      </c>
      <c r="AD304" t="s">
        <v>299</v>
      </c>
      <c r="AE304">
        <v>4072500</v>
      </c>
      <c r="AF304">
        <v>61088</v>
      </c>
      <c r="AJ304" t="str">
        <f>_xlfn.XLOOKUP(Table9[[#This Row],[Engine No.]],'[1]Dubai Islamic Consumer'!$Q$3:$Q$1176,'[1]Dubai Islamic Consumer'!$B$3:$B$1176,,,)</f>
        <v>KHI/HO/D/MO/PC COMP/C/99821/134/10/2024</v>
      </c>
    </row>
    <row r="305" spans="1:36" hidden="1" x14ac:dyDescent="0.25">
      <c r="A305">
        <v>304</v>
      </c>
      <c r="B305" t="s">
        <v>35</v>
      </c>
      <c r="C305" t="s">
        <v>3772</v>
      </c>
      <c r="D305" t="s">
        <v>37</v>
      </c>
      <c r="E305" t="s">
        <v>3773</v>
      </c>
      <c r="F305" t="s">
        <v>89</v>
      </c>
      <c r="G305" t="s">
        <v>3774</v>
      </c>
      <c r="H305" t="s">
        <v>3775</v>
      </c>
      <c r="I305" t="s">
        <v>48</v>
      </c>
      <c r="J305" t="s">
        <v>3776</v>
      </c>
      <c r="K305" t="s">
        <v>3777</v>
      </c>
      <c r="L305">
        <v>580255</v>
      </c>
      <c r="M305">
        <v>1695000</v>
      </c>
      <c r="N305" t="s">
        <v>3778</v>
      </c>
      <c r="O305" s="1">
        <v>45584</v>
      </c>
      <c r="P305" t="s">
        <v>3779</v>
      </c>
      <c r="Q305" t="s">
        <v>3780</v>
      </c>
      <c r="R305" t="s">
        <v>47</v>
      </c>
      <c r="S305" t="s">
        <v>48</v>
      </c>
      <c r="T305" t="s">
        <v>3781</v>
      </c>
      <c r="U305" t="s">
        <v>98</v>
      </c>
      <c r="V305" t="s">
        <v>3782</v>
      </c>
      <c r="W305" t="s">
        <v>104</v>
      </c>
      <c r="X305" t="s">
        <v>3610</v>
      </c>
      <c r="Y305" t="s">
        <v>3783</v>
      </c>
      <c r="Z305">
        <v>6</v>
      </c>
      <c r="AA305" t="s">
        <v>227</v>
      </c>
      <c r="AB305" t="s">
        <v>3784</v>
      </c>
      <c r="AC305" t="s">
        <v>2019</v>
      </c>
      <c r="AD305" t="s">
        <v>58</v>
      </c>
      <c r="AE305">
        <v>1271250</v>
      </c>
      <c r="AF305">
        <v>25425</v>
      </c>
      <c r="AJ305" t="str">
        <f>_xlfn.XLOOKUP(Table9[[#This Row],[Engine No.]],'[1]Dubai Islamic Consumer'!$Q$3:$Q$1176,'[1]Dubai Islamic Consumer'!$B$3:$B$1176,,,)</f>
        <v>KHI/HO/D/MO/PC COMP/C/99821/147/10/2024</v>
      </c>
    </row>
    <row r="306" spans="1:36" hidden="1" x14ac:dyDescent="0.25">
      <c r="A306">
        <v>305</v>
      </c>
      <c r="B306" t="s">
        <v>35</v>
      </c>
      <c r="C306" t="s">
        <v>3785</v>
      </c>
      <c r="D306" t="s">
        <v>37</v>
      </c>
      <c r="E306" t="s">
        <v>3786</v>
      </c>
      <c r="F306" t="s">
        <v>245</v>
      </c>
      <c r="G306" t="s">
        <v>3787</v>
      </c>
      <c r="H306" t="s">
        <v>3788</v>
      </c>
      <c r="I306" t="s">
        <v>48</v>
      </c>
      <c r="J306" t="s">
        <v>3789</v>
      </c>
      <c r="K306" t="s">
        <v>3790</v>
      </c>
      <c r="L306">
        <v>1228656</v>
      </c>
      <c r="M306">
        <v>3981500</v>
      </c>
      <c r="N306" t="s">
        <v>3791</v>
      </c>
      <c r="O306" s="1">
        <v>45578</v>
      </c>
      <c r="P306" t="s">
        <v>3792</v>
      </c>
      <c r="Q306" t="s">
        <v>3793</v>
      </c>
      <c r="R306" t="s">
        <v>47</v>
      </c>
      <c r="S306" t="s">
        <v>48</v>
      </c>
      <c r="T306" t="s">
        <v>97</v>
      </c>
      <c r="U306" t="s">
        <v>98</v>
      </c>
      <c r="V306" t="s">
        <v>415</v>
      </c>
      <c r="W306" t="s">
        <v>3769</v>
      </c>
      <c r="X306" t="s">
        <v>3770</v>
      </c>
      <c r="Y306" t="s">
        <v>3794</v>
      </c>
      <c r="Z306">
        <v>6</v>
      </c>
      <c r="AA306" t="s">
        <v>55</v>
      </c>
      <c r="AB306" t="s">
        <v>3795</v>
      </c>
      <c r="AC306" t="s">
        <v>1862</v>
      </c>
      <c r="AD306" t="s">
        <v>58</v>
      </c>
      <c r="AE306">
        <v>2986125</v>
      </c>
      <c r="AF306">
        <v>59723</v>
      </c>
      <c r="AJ306" t="str">
        <f>_xlfn.XLOOKUP(Table9[[#This Row],[Engine No.]],'[1]Dubai Islamic Consumer'!$Q$3:$Q$1176,'[1]Dubai Islamic Consumer'!$B$3:$B$1176,,,)</f>
        <v>KHI/HO/D/MO/PC COMP/C/99821/174/10/2024</v>
      </c>
    </row>
    <row r="307" spans="1:36" hidden="1" x14ac:dyDescent="0.25">
      <c r="A307">
        <v>306</v>
      </c>
      <c r="B307" t="s">
        <v>35</v>
      </c>
      <c r="C307" t="s">
        <v>3796</v>
      </c>
      <c r="D307" t="s">
        <v>37</v>
      </c>
      <c r="E307" t="s">
        <v>3797</v>
      </c>
      <c r="F307" t="s">
        <v>107</v>
      </c>
      <c r="G307" t="s">
        <v>3798</v>
      </c>
      <c r="H307" t="s">
        <v>3799</v>
      </c>
      <c r="I307" t="s">
        <v>3799</v>
      </c>
      <c r="J307" t="s">
        <v>3799</v>
      </c>
      <c r="K307" t="s">
        <v>3800</v>
      </c>
      <c r="L307">
        <v>2072250</v>
      </c>
      <c r="M307">
        <v>2763000</v>
      </c>
      <c r="N307" t="s">
        <v>3801</v>
      </c>
      <c r="O307" s="1">
        <v>45623</v>
      </c>
      <c r="P307" t="s">
        <v>3802</v>
      </c>
      <c r="Q307" t="s">
        <v>3803</v>
      </c>
      <c r="R307" t="s">
        <v>47</v>
      </c>
      <c r="S307" t="s">
        <v>48</v>
      </c>
      <c r="T307" t="s">
        <v>3804</v>
      </c>
      <c r="U307" t="s">
        <v>98</v>
      </c>
      <c r="V307" t="s">
        <v>3321</v>
      </c>
      <c r="W307" t="s">
        <v>532</v>
      </c>
      <c r="X307" t="s">
        <v>533</v>
      </c>
      <c r="Y307" t="s">
        <v>3805</v>
      </c>
      <c r="Z307">
        <v>5</v>
      </c>
      <c r="AA307" t="s">
        <v>227</v>
      </c>
      <c r="AB307" t="s">
        <v>3806</v>
      </c>
      <c r="AC307" t="s">
        <v>3807</v>
      </c>
      <c r="AD307" t="s">
        <v>58</v>
      </c>
      <c r="AE307">
        <v>2072250</v>
      </c>
      <c r="AF307">
        <v>41445</v>
      </c>
      <c r="AJ307" t="str">
        <f>_xlfn.XLOOKUP(Table9[[#This Row],[Engine No.]],'[1]Dubai Islamic Consumer'!$Q$3:$Q$1176,'[1]Dubai Islamic Consumer'!$B$3:$B$1176,,,)</f>
        <v>KHI/HO/D/MO/PC COMP/C/102086/237/11/2024</v>
      </c>
    </row>
    <row r="308" spans="1:36" hidden="1" x14ac:dyDescent="0.25">
      <c r="A308">
        <v>307</v>
      </c>
      <c r="B308" t="s">
        <v>35</v>
      </c>
      <c r="C308" t="s">
        <v>3808</v>
      </c>
      <c r="D308" t="s">
        <v>37</v>
      </c>
      <c r="E308" t="s">
        <v>3809</v>
      </c>
      <c r="F308" t="s">
        <v>107</v>
      </c>
      <c r="G308" t="s">
        <v>3810</v>
      </c>
      <c r="H308" t="s">
        <v>3811</v>
      </c>
      <c r="I308" t="s">
        <v>3811</v>
      </c>
      <c r="J308" t="s">
        <v>3812</v>
      </c>
      <c r="K308" t="s">
        <v>3813</v>
      </c>
      <c r="L308">
        <v>2116000</v>
      </c>
      <c r="M308">
        <v>2645000</v>
      </c>
      <c r="N308" t="s">
        <v>3814</v>
      </c>
      <c r="O308" s="1">
        <v>45623</v>
      </c>
      <c r="P308" t="s">
        <v>3815</v>
      </c>
      <c r="Q308" t="s">
        <v>3816</v>
      </c>
      <c r="R308" t="s">
        <v>47</v>
      </c>
      <c r="S308" t="s">
        <v>48</v>
      </c>
      <c r="T308" t="s">
        <v>3817</v>
      </c>
      <c r="U308" t="s">
        <v>98</v>
      </c>
      <c r="V308" t="s">
        <v>99</v>
      </c>
      <c r="W308" t="s">
        <v>532</v>
      </c>
      <c r="X308" t="s">
        <v>533</v>
      </c>
      <c r="Y308" t="s">
        <v>3818</v>
      </c>
      <c r="Z308">
        <v>5</v>
      </c>
      <c r="AA308" t="s">
        <v>55</v>
      </c>
      <c r="AB308" t="s">
        <v>3819</v>
      </c>
      <c r="AC308" t="s">
        <v>3807</v>
      </c>
      <c r="AD308" t="s">
        <v>58</v>
      </c>
      <c r="AE308">
        <v>1983750</v>
      </c>
      <c r="AF308">
        <v>39675</v>
      </c>
      <c r="AJ308" t="str">
        <f>_xlfn.XLOOKUP(Table9[[#This Row],[Engine No.]],'[1]Dubai Islamic Consumer'!$Q$3:$Q$1176,'[1]Dubai Islamic Consumer'!$B$3:$B$1176,,,)</f>
        <v>KHI/HO/D/MO/PC COMP/C/102086/236/11/2024</v>
      </c>
    </row>
    <row r="309" spans="1:36" hidden="1" x14ac:dyDescent="0.25">
      <c r="A309">
        <v>308</v>
      </c>
      <c r="B309" t="s">
        <v>35</v>
      </c>
      <c r="C309" t="s">
        <v>3820</v>
      </c>
      <c r="D309" t="s">
        <v>37</v>
      </c>
      <c r="E309" t="s">
        <v>3821</v>
      </c>
      <c r="F309" t="s">
        <v>138</v>
      </c>
      <c r="G309" t="s">
        <v>3822</v>
      </c>
      <c r="H309" t="s">
        <v>3823</v>
      </c>
      <c r="I309" t="s">
        <v>3824</v>
      </c>
      <c r="J309" t="s">
        <v>3823</v>
      </c>
      <c r="K309" t="s">
        <v>3825</v>
      </c>
      <c r="L309">
        <v>2486250</v>
      </c>
      <c r="M309">
        <v>3315000</v>
      </c>
      <c r="N309" t="s">
        <v>3826</v>
      </c>
      <c r="O309" s="1">
        <v>45623</v>
      </c>
      <c r="P309" t="s">
        <v>3827</v>
      </c>
      <c r="Q309" t="s">
        <v>3828</v>
      </c>
      <c r="R309" t="s">
        <v>47</v>
      </c>
      <c r="S309" t="s">
        <v>48</v>
      </c>
      <c r="T309" t="s">
        <v>1189</v>
      </c>
      <c r="U309" t="s">
        <v>98</v>
      </c>
      <c r="V309" t="s">
        <v>3829</v>
      </c>
      <c r="W309" t="s">
        <v>3830</v>
      </c>
      <c r="X309" t="s">
        <v>3831</v>
      </c>
      <c r="Y309" t="s">
        <v>3832</v>
      </c>
      <c r="Z309">
        <v>5</v>
      </c>
      <c r="AA309" t="s">
        <v>227</v>
      </c>
      <c r="AB309" t="s">
        <v>3833</v>
      </c>
      <c r="AC309" t="s">
        <v>1589</v>
      </c>
      <c r="AD309" t="s">
        <v>58</v>
      </c>
      <c r="AE309">
        <v>2486250</v>
      </c>
      <c r="AF309">
        <v>49725</v>
      </c>
      <c r="AJ309" t="str">
        <f>_xlfn.XLOOKUP(Table9[[#This Row],[Engine No.]],'[1]Dubai Islamic Consumer'!$Q$3:$Q$1176,'[1]Dubai Islamic Consumer'!$B$3:$B$1176,,,)</f>
        <v>KHI/HO/D/MO/PC COMP/C/102086/235/11/2024</v>
      </c>
    </row>
    <row r="310" spans="1:36" hidden="1" x14ac:dyDescent="0.25">
      <c r="A310">
        <v>309</v>
      </c>
      <c r="B310" t="s">
        <v>35</v>
      </c>
      <c r="C310" t="s">
        <v>3834</v>
      </c>
      <c r="D310" t="s">
        <v>37</v>
      </c>
      <c r="E310" t="s">
        <v>3835</v>
      </c>
      <c r="F310" t="s">
        <v>107</v>
      </c>
      <c r="G310" t="s">
        <v>3836</v>
      </c>
      <c r="H310" t="s">
        <v>3837</v>
      </c>
      <c r="I310" t="s">
        <v>3837</v>
      </c>
      <c r="J310" t="s">
        <v>3837</v>
      </c>
      <c r="K310" t="s">
        <v>3838</v>
      </c>
      <c r="L310">
        <v>922339</v>
      </c>
      <c r="M310">
        <v>2395000</v>
      </c>
      <c r="N310" t="s">
        <v>3839</v>
      </c>
      <c r="O310" s="1">
        <v>45576</v>
      </c>
      <c r="P310" t="s">
        <v>3840</v>
      </c>
      <c r="Q310" t="s">
        <v>3841</v>
      </c>
      <c r="R310" t="s">
        <v>146</v>
      </c>
      <c r="S310" t="s">
        <v>3842</v>
      </c>
      <c r="T310" t="s">
        <v>873</v>
      </c>
      <c r="U310" t="s">
        <v>614</v>
      </c>
      <c r="V310" t="s">
        <v>3843</v>
      </c>
      <c r="W310" t="s">
        <v>3769</v>
      </c>
      <c r="X310" t="s">
        <v>3770</v>
      </c>
      <c r="Y310" t="s">
        <v>3844</v>
      </c>
      <c r="Z310">
        <v>6</v>
      </c>
      <c r="AA310" t="s">
        <v>257</v>
      </c>
      <c r="AB310" t="s">
        <v>3845</v>
      </c>
      <c r="AC310" t="s">
        <v>3846</v>
      </c>
      <c r="AD310" t="s">
        <v>58</v>
      </c>
      <c r="AE310">
        <v>1796250</v>
      </c>
      <c r="AF310">
        <v>35925</v>
      </c>
      <c r="AJ310" t="str">
        <f>_xlfn.XLOOKUP(Table9[[#This Row],[Engine No.]],'[1]Dubai Islamic Consumer'!$Q$3:$Q$1176,'[1]Dubai Islamic Consumer'!$B$3:$B$1176,,,)</f>
        <v>KHI/HO/D/MO/PC COMP/C/99821/183/10/2024</v>
      </c>
    </row>
    <row r="311" spans="1:36" hidden="1" x14ac:dyDescent="0.25">
      <c r="A311">
        <v>310</v>
      </c>
      <c r="B311" t="s">
        <v>35</v>
      </c>
      <c r="C311" t="s">
        <v>3847</v>
      </c>
      <c r="D311" t="s">
        <v>37</v>
      </c>
      <c r="E311" t="s">
        <v>3848</v>
      </c>
      <c r="F311" t="s">
        <v>107</v>
      </c>
      <c r="G311" t="s">
        <v>3849</v>
      </c>
      <c r="H311" t="s">
        <v>3850</v>
      </c>
      <c r="I311" t="s">
        <v>3850</v>
      </c>
      <c r="J311" t="s">
        <v>3851</v>
      </c>
      <c r="K311" t="s">
        <v>3852</v>
      </c>
      <c r="L311">
        <v>1039631</v>
      </c>
      <c r="M311">
        <v>3981500</v>
      </c>
      <c r="N311" t="s">
        <v>3853</v>
      </c>
      <c r="O311" s="1">
        <v>45573</v>
      </c>
      <c r="P311" t="s">
        <v>3854</v>
      </c>
      <c r="Q311" t="s">
        <v>3855</v>
      </c>
      <c r="R311" t="s">
        <v>47</v>
      </c>
      <c r="S311" t="s">
        <v>48</v>
      </c>
      <c r="T311" t="s">
        <v>1861</v>
      </c>
      <c r="U311" t="s">
        <v>98</v>
      </c>
      <c r="V311" t="s">
        <v>1398</v>
      </c>
      <c r="W311" t="s">
        <v>3769</v>
      </c>
      <c r="X311" t="s">
        <v>3770</v>
      </c>
      <c r="Y311" t="s">
        <v>3856</v>
      </c>
      <c r="Z311">
        <v>6</v>
      </c>
      <c r="AA311" t="s">
        <v>55</v>
      </c>
      <c r="AB311" t="s">
        <v>3857</v>
      </c>
      <c r="AC311" t="s">
        <v>3858</v>
      </c>
      <c r="AD311" t="s">
        <v>58</v>
      </c>
      <c r="AE311">
        <v>2986125</v>
      </c>
      <c r="AF311">
        <v>59723</v>
      </c>
      <c r="AJ311" t="str">
        <f>_xlfn.XLOOKUP(Table9[[#This Row],[Engine No.]],'[1]Dubai Islamic Consumer'!$Q$3:$Q$1176,'[1]Dubai Islamic Consumer'!$B$3:$B$1176,,,)</f>
        <v>KHI/HO/D/MO/PC COMP/C/99821/196/10/2024</v>
      </c>
    </row>
    <row r="312" spans="1:36" hidden="1" x14ac:dyDescent="0.25">
      <c r="A312">
        <v>311</v>
      </c>
      <c r="B312" t="s">
        <v>35</v>
      </c>
      <c r="C312" t="s">
        <v>3859</v>
      </c>
      <c r="D312" t="s">
        <v>37</v>
      </c>
      <c r="E312" t="s">
        <v>3860</v>
      </c>
      <c r="F312" t="s">
        <v>245</v>
      </c>
      <c r="G312" t="s">
        <v>3861</v>
      </c>
      <c r="H312" t="s">
        <v>3862</v>
      </c>
      <c r="I312" t="s">
        <v>48</v>
      </c>
      <c r="J312" t="s">
        <v>3863</v>
      </c>
      <c r="K312" t="s">
        <v>3864</v>
      </c>
      <c r="L312">
        <v>300168</v>
      </c>
      <c r="M312">
        <v>800000</v>
      </c>
      <c r="N312" t="s">
        <v>3865</v>
      </c>
      <c r="O312" s="1">
        <v>45571</v>
      </c>
      <c r="P312" t="s">
        <v>3866</v>
      </c>
      <c r="Q312" t="s">
        <v>3867</v>
      </c>
      <c r="R312" t="s">
        <v>146</v>
      </c>
      <c r="S312" t="s">
        <v>3868</v>
      </c>
      <c r="T312" t="s">
        <v>3869</v>
      </c>
      <c r="U312" t="s">
        <v>496</v>
      </c>
      <c r="V312" t="s">
        <v>3870</v>
      </c>
      <c r="W312" t="s">
        <v>3871</v>
      </c>
      <c r="X312" t="s">
        <v>3872</v>
      </c>
      <c r="Y312" t="s">
        <v>3873</v>
      </c>
      <c r="Z312">
        <v>7</v>
      </c>
      <c r="AA312" t="s">
        <v>55</v>
      </c>
      <c r="AB312" t="s">
        <v>3874</v>
      </c>
      <c r="AC312" t="s">
        <v>3875</v>
      </c>
      <c r="AD312" t="s">
        <v>171</v>
      </c>
      <c r="AE312">
        <v>560000</v>
      </c>
      <c r="AF312">
        <v>14000</v>
      </c>
      <c r="AJ312" t="str">
        <f>_xlfn.XLOOKUP(Table9[[#This Row],[Engine No.]],'[1]Dubai Islamic Consumer'!$Q$3:$Q$1176,'[1]Dubai Islamic Consumer'!$B$3:$B$1176,,,)</f>
        <v>KHI/HO/D/MO/PC COMP/C/99821/212/10/2024</v>
      </c>
    </row>
    <row r="313" spans="1:36" hidden="1" x14ac:dyDescent="0.25">
      <c r="A313">
        <v>312</v>
      </c>
      <c r="B313" t="s">
        <v>35</v>
      </c>
      <c r="C313" t="s">
        <v>3876</v>
      </c>
      <c r="D313" t="s">
        <v>37</v>
      </c>
      <c r="E313" t="s">
        <v>3877</v>
      </c>
      <c r="F313" t="s">
        <v>245</v>
      </c>
      <c r="G313" t="s">
        <v>3878</v>
      </c>
      <c r="H313" t="s">
        <v>3879</v>
      </c>
      <c r="I313" t="s">
        <v>48</v>
      </c>
      <c r="J313" t="s">
        <v>141</v>
      </c>
      <c r="K313" t="s">
        <v>3880</v>
      </c>
      <c r="L313">
        <v>858600</v>
      </c>
      <c r="M313">
        <v>3180000</v>
      </c>
      <c r="N313" t="s">
        <v>3881</v>
      </c>
      <c r="O313" s="1">
        <v>45623</v>
      </c>
      <c r="P313" t="s">
        <v>3882</v>
      </c>
      <c r="Q313" t="s">
        <v>3883</v>
      </c>
      <c r="R313" t="s">
        <v>47</v>
      </c>
      <c r="S313" t="s">
        <v>48</v>
      </c>
      <c r="T313" t="s">
        <v>3884</v>
      </c>
      <c r="U313" t="s">
        <v>148</v>
      </c>
      <c r="V313" t="s">
        <v>2181</v>
      </c>
      <c r="W313" t="s">
        <v>940</v>
      </c>
      <c r="X313" t="s">
        <v>533</v>
      </c>
      <c r="Y313" t="s">
        <v>3885</v>
      </c>
      <c r="Z313">
        <v>3</v>
      </c>
      <c r="AA313" t="s">
        <v>323</v>
      </c>
      <c r="AB313" t="s">
        <v>3886</v>
      </c>
      <c r="AC313" t="s">
        <v>3887</v>
      </c>
      <c r="AD313" t="s">
        <v>86</v>
      </c>
      <c r="AE313">
        <v>2703000</v>
      </c>
      <c r="AF313">
        <v>47303</v>
      </c>
      <c r="AJ313" t="str">
        <f>_xlfn.XLOOKUP(Table9[[#This Row],[Engine No.]],'[1]Dubai Islamic Consumer'!$Q$3:$Q$1176,'[1]Dubai Islamic Consumer'!$B$3:$B$1176,,,)</f>
        <v>KHI/HO/D/MO/PC COMP/C/102086/234/11/2024</v>
      </c>
    </row>
    <row r="314" spans="1:36" hidden="1" x14ac:dyDescent="0.25">
      <c r="A314">
        <v>313</v>
      </c>
      <c r="B314" t="s">
        <v>35</v>
      </c>
      <c r="C314" t="s">
        <v>3888</v>
      </c>
      <c r="D314" t="s">
        <v>37</v>
      </c>
      <c r="E314" t="s">
        <v>3889</v>
      </c>
      <c r="F314" t="s">
        <v>107</v>
      </c>
      <c r="G314" t="s">
        <v>3890</v>
      </c>
      <c r="H314" t="s">
        <v>48</v>
      </c>
      <c r="I314" t="s">
        <v>3891</v>
      </c>
      <c r="J314" t="s">
        <v>48</v>
      </c>
      <c r="K314" t="s">
        <v>3892</v>
      </c>
      <c r="L314">
        <v>1348430</v>
      </c>
      <c r="M314">
        <v>2703000</v>
      </c>
      <c r="N314" t="s">
        <v>3893</v>
      </c>
      <c r="O314" s="1">
        <v>45593</v>
      </c>
      <c r="P314" t="s">
        <v>3894</v>
      </c>
      <c r="Q314" t="s">
        <v>3895</v>
      </c>
      <c r="R314" t="s">
        <v>47</v>
      </c>
      <c r="S314" t="s">
        <v>48</v>
      </c>
      <c r="T314" t="s">
        <v>2918</v>
      </c>
      <c r="U314" t="s">
        <v>50</v>
      </c>
      <c r="V314" t="s">
        <v>3896</v>
      </c>
      <c r="W314" t="s">
        <v>287</v>
      </c>
      <c r="X314" t="s">
        <v>3897</v>
      </c>
      <c r="Y314" t="s">
        <v>3898</v>
      </c>
      <c r="Z314">
        <v>7</v>
      </c>
      <c r="AA314" t="s">
        <v>55</v>
      </c>
      <c r="AB314" t="s">
        <v>3899</v>
      </c>
      <c r="AC314" t="s">
        <v>214</v>
      </c>
      <c r="AD314" t="s">
        <v>58</v>
      </c>
      <c r="AE314">
        <v>2162400</v>
      </c>
      <c r="AF314">
        <v>43248</v>
      </c>
      <c r="AJ314" t="str">
        <f>_xlfn.XLOOKUP(Table9[[#This Row],[Engine No.]],'[1]Dubai Islamic Consumer'!$Q$3:$Q$1176,'[1]Dubai Islamic Consumer'!$B$3:$B$1176,,,)</f>
        <v>KHI/HO/D/MO/PC COMP/C/99821/264/10/2024</v>
      </c>
    </row>
    <row r="315" spans="1:36" hidden="1" x14ac:dyDescent="0.25">
      <c r="A315">
        <v>314</v>
      </c>
      <c r="B315" t="s">
        <v>35</v>
      </c>
      <c r="C315" t="s">
        <v>3900</v>
      </c>
      <c r="D315" t="s">
        <v>37</v>
      </c>
      <c r="E315" t="s">
        <v>3901</v>
      </c>
      <c r="F315" t="s">
        <v>245</v>
      </c>
      <c r="G315" t="s">
        <v>3902</v>
      </c>
      <c r="H315" t="s">
        <v>3903</v>
      </c>
      <c r="I315" t="s">
        <v>48</v>
      </c>
      <c r="J315" t="s">
        <v>141</v>
      </c>
      <c r="K315" t="s">
        <v>3904</v>
      </c>
      <c r="L315">
        <v>2730000</v>
      </c>
      <c r="M315">
        <v>3900000</v>
      </c>
      <c r="N315" t="s">
        <v>3905</v>
      </c>
      <c r="O315" s="1">
        <v>45623</v>
      </c>
      <c r="P315" t="s">
        <v>3906</v>
      </c>
      <c r="Q315" t="s">
        <v>3907</v>
      </c>
      <c r="R315" t="s">
        <v>146</v>
      </c>
      <c r="S315" t="s">
        <v>3908</v>
      </c>
      <c r="T315" t="s">
        <v>1065</v>
      </c>
      <c r="U315" t="s">
        <v>496</v>
      </c>
      <c r="V315" t="s">
        <v>2181</v>
      </c>
      <c r="W315" t="s">
        <v>940</v>
      </c>
      <c r="X315" t="s">
        <v>533</v>
      </c>
      <c r="Y315" t="s">
        <v>3909</v>
      </c>
      <c r="Z315">
        <v>3</v>
      </c>
      <c r="AA315" t="s">
        <v>323</v>
      </c>
      <c r="AB315" t="s">
        <v>48</v>
      </c>
      <c r="AC315" t="s">
        <v>3887</v>
      </c>
      <c r="AD315" t="s">
        <v>86</v>
      </c>
      <c r="AE315">
        <v>3315000</v>
      </c>
      <c r="AF315">
        <v>58013</v>
      </c>
      <c r="AJ315" t="str">
        <f>_xlfn.XLOOKUP(Table9[[#This Row],[Engine No.]],'[1]Dubai Islamic Consumer'!$Q$3:$Q$1176,'[1]Dubai Islamic Consumer'!$B$3:$B$1176,,,)</f>
        <v>KHI/HO/D/MO/PC COMP/C/102086/233/11/2024</v>
      </c>
    </row>
    <row r="316" spans="1:36" hidden="1" x14ac:dyDescent="0.25">
      <c r="A316">
        <v>315</v>
      </c>
      <c r="B316" t="s">
        <v>35</v>
      </c>
      <c r="C316" t="s">
        <v>3910</v>
      </c>
      <c r="D316" t="s">
        <v>37</v>
      </c>
      <c r="E316" t="s">
        <v>3911</v>
      </c>
      <c r="F316" t="s">
        <v>107</v>
      </c>
      <c r="G316" t="s">
        <v>3912</v>
      </c>
      <c r="H316" t="s">
        <v>3913</v>
      </c>
      <c r="I316" t="s">
        <v>3913</v>
      </c>
      <c r="J316" t="s">
        <v>3913</v>
      </c>
      <c r="K316" t="s">
        <v>3914</v>
      </c>
      <c r="L316">
        <v>538497</v>
      </c>
      <c r="M316">
        <v>900000</v>
      </c>
      <c r="N316" t="s">
        <v>3915</v>
      </c>
      <c r="O316" s="1">
        <v>45639</v>
      </c>
      <c r="P316" t="s">
        <v>3916</v>
      </c>
      <c r="Q316" t="s">
        <v>3917</v>
      </c>
      <c r="R316" t="s">
        <v>146</v>
      </c>
      <c r="S316" t="s">
        <v>3918</v>
      </c>
      <c r="T316" t="s">
        <v>3919</v>
      </c>
      <c r="U316" t="s">
        <v>903</v>
      </c>
      <c r="V316" s="1">
        <v>44011</v>
      </c>
      <c r="W316" t="s">
        <v>3920</v>
      </c>
      <c r="X316" t="s">
        <v>3921</v>
      </c>
      <c r="Y316" t="s">
        <v>3922</v>
      </c>
      <c r="Z316">
        <v>7</v>
      </c>
      <c r="AA316" t="s">
        <v>3923</v>
      </c>
      <c r="AB316" t="s">
        <v>3924</v>
      </c>
      <c r="AC316" t="s">
        <v>3925</v>
      </c>
      <c r="AD316" t="s">
        <v>880</v>
      </c>
      <c r="AE316">
        <v>585000</v>
      </c>
      <c r="AF316">
        <v>18135</v>
      </c>
      <c r="AG316" t="s">
        <v>3926</v>
      </c>
      <c r="AH316" t="s">
        <v>3577</v>
      </c>
      <c r="AJ316" t="str">
        <f>_xlfn.XLOOKUP(Table9[[#This Row],[Engine No.]],'[1]Dubai Islamic Consumer'!$Q$3:$Q$1176,'[1]Dubai Islamic Consumer'!$B$3:$B$1176,,,)</f>
        <v>KHI/HO/D/MO/PC COMP/C/103702/7/12/2024</v>
      </c>
    </row>
    <row r="317" spans="1:36" hidden="1" x14ac:dyDescent="0.25">
      <c r="A317">
        <v>316</v>
      </c>
      <c r="B317" t="s">
        <v>35</v>
      </c>
      <c r="C317" t="s">
        <v>3927</v>
      </c>
      <c r="D317" t="s">
        <v>37</v>
      </c>
      <c r="E317" t="s">
        <v>3928</v>
      </c>
      <c r="F317" t="s">
        <v>107</v>
      </c>
      <c r="G317" t="s">
        <v>3929</v>
      </c>
      <c r="H317" t="s">
        <v>3930</v>
      </c>
      <c r="I317" t="s">
        <v>3930</v>
      </c>
      <c r="J317" t="s">
        <v>3931</v>
      </c>
      <c r="K317" t="s">
        <v>3932</v>
      </c>
      <c r="L317">
        <v>829189</v>
      </c>
      <c r="M317">
        <v>1135000</v>
      </c>
      <c r="N317" t="s">
        <v>3933</v>
      </c>
      <c r="O317" s="1">
        <v>45638</v>
      </c>
      <c r="P317" t="s">
        <v>3934</v>
      </c>
      <c r="Q317" t="s">
        <v>3935</v>
      </c>
      <c r="R317" t="s">
        <v>47</v>
      </c>
      <c r="S317" t="s">
        <v>3936</v>
      </c>
      <c r="T317" t="s">
        <v>3937</v>
      </c>
      <c r="U317" t="s">
        <v>614</v>
      </c>
      <c r="V317" s="1">
        <v>43964</v>
      </c>
      <c r="W317" t="s">
        <v>167</v>
      </c>
      <c r="X317" t="s">
        <v>3938</v>
      </c>
      <c r="Y317" t="s">
        <v>3939</v>
      </c>
      <c r="Z317">
        <v>7</v>
      </c>
      <c r="AA317" t="s">
        <v>55</v>
      </c>
      <c r="AB317" t="s">
        <v>3940</v>
      </c>
      <c r="AC317" t="s">
        <v>3941</v>
      </c>
      <c r="AD317" t="s">
        <v>171</v>
      </c>
      <c r="AE317">
        <v>851250</v>
      </c>
      <c r="AF317">
        <v>21281</v>
      </c>
      <c r="AG317" t="s">
        <v>3942</v>
      </c>
      <c r="AH317" t="s">
        <v>3577</v>
      </c>
      <c r="AJ317" t="str">
        <f>_xlfn.XLOOKUP(Table9[[#This Row],[Engine No.]],'[1]Dubai Islamic Consumer'!$Q$3:$Q$1176,'[1]Dubai Islamic Consumer'!$B$3:$B$1176,,,)</f>
        <v>KHI/HO/D/MO/PC COMP/C/103702/10/12/2024</v>
      </c>
    </row>
    <row r="318" spans="1:36" hidden="1" x14ac:dyDescent="0.25">
      <c r="A318">
        <v>317</v>
      </c>
      <c r="B318" t="s">
        <v>35</v>
      </c>
      <c r="C318" t="s">
        <v>3943</v>
      </c>
      <c r="D318" t="s">
        <v>37</v>
      </c>
      <c r="E318" t="s">
        <v>3944</v>
      </c>
      <c r="F318" t="s">
        <v>245</v>
      </c>
      <c r="G318" t="s">
        <v>3945</v>
      </c>
      <c r="H318" t="s">
        <v>3946</v>
      </c>
      <c r="I318" t="s">
        <v>48</v>
      </c>
      <c r="J318" t="s">
        <v>141</v>
      </c>
      <c r="K318" t="s">
        <v>3947</v>
      </c>
      <c r="L318">
        <v>2029300</v>
      </c>
      <c r="M318">
        <v>2899000</v>
      </c>
      <c r="N318" t="s">
        <v>3948</v>
      </c>
      <c r="O318" s="1">
        <v>45623</v>
      </c>
      <c r="P318" t="s">
        <v>3949</v>
      </c>
      <c r="Q318" t="s">
        <v>3950</v>
      </c>
      <c r="R318" t="s">
        <v>47</v>
      </c>
      <c r="S318" t="s">
        <v>48</v>
      </c>
      <c r="T318" t="s">
        <v>889</v>
      </c>
      <c r="U318" t="s">
        <v>148</v>
      </c>
      <c r="V318" t="s">
        <v>3951</v>
      </c>
      <c r="W318" t="s">
        <v>940</v>
      </c>
      <c r="X318" t="s">
        <v>1638</v>
      </c>
      <c r="Y318" t="s">
        <v>3952</v>
      </c>
      <c r="Z318">
        <v>5</v>
      </c>
      <c r="AA318" t="s">
        <v>55</v>
      </c>
      <c r="AB318" t="s">
        <v>3953</v>
      </c>
      <c r="AC318" t="s">
        <v>2181</v>
      </c>
      <c r="AD318" t="s">
        <v>58</v>
      </c>
      <c r="AE318">
        <v>2464150</v>
      </c>
      <c r="AF318">
        <v>49283</v>
      </c>
      <c r="AJ318" t="str">
        <f>_xlfn.XLOOKUP(Table9[[#This Row],[Engine No.]],'[1]Dubai Islamic Consumer'!$Q$3:$Q$1176,'[1]Dubai Islamic Consumer'!$B$3:$B$1176,,,)</f>
        <v>KHI/HO/D/MO/PC COMP/C/102086/232/11/2024</v>
      </c>
    </row>
    <row r="319" spans="1:36" hidden="1" x14ac:dyDescent="0.25">
      <c r="A319">
        <v>318</v>
      </c>
      <c r="B319" t="s">
        <v>35</v>
      </c>
      <c r="C319" t="s">
        <v>3954</v>
      </c>
      <c r="D319" t="s">
        <v>37</v>
      </c>
      <c r="E319" t="s">
        <v>3955</v>
      </c>
      <c r="F319" t="s">
        <v>138</v>
      </c>
      <c r="G319" t="s">
        <v>3956</v>
      </c>
      <c r="H319" t="s">
        <v>3957</v>
      </c>
      <c r="I319" t="s">
        <v>3957</v>
      </c>
      <c r="J319" t="s">
        <v>141</v>
      </c>
      <c r="K319" t="s">
        <v>3958</v>
      </c>
      <c r="L319">
        <v>1470000</v>
      </c>
      <c r="M319">
        <v>2100000</v>
      </c>
      <c r="N319" t="s">
        <v>3959</v>
      </c>
      <c r="O319" t="s">
        <v>3960</v>
      </c>
      <c r="P319" t="s">
        <v>3961</v>
      </c>
      <c r="Q319" t="s">
        <v>3962</v>
      </c>
      <c r="R319" t="s">
        <v>146</v>
      </c>
      <c r="S319" t="s">
        <v>3963</v>
      </c>
      <c r="T319" t="s">
        <v>194</v>
      </c>
      <c r="U319" t="s">
        <v>614</v>
      </c>
      <c r="V319" s="1">
        <v>45287</v>
      </c>
      <c r="W319" t="s">
        <v>3964</v>
      </c>
      <c r="X319" t="s">
        <v>3965</v>
      </c>
      <c r="Y319" t="s">
        <v>3966</v>
      </c>
      <c r="Z319">
        <v>5</v>
      </c>
      <c r="AA319" t="s">
        <v>55</v>
      </c>
      <c r="AB319" t="s">
        <v>3967</v>
      </c>
      <c r="AC319" t="s">
        <v>3964</v>
      </c>
      <c r="AD319" t="s">
        <v>86</v>
      </c>
      <c r="AE319">
        <v>1890000</v>
      </c>
      <c r="AF319">
        <v>33075</v>
      </c>
      <c r="AJ319" t="str">
        <f>_xlfn.XLOOKUP(Table9[[#This Row],[Engine No.]],'[1]Dubai Islamic Consumer'!$Q$3:$Q$1176,'[1]Dubai Islamic Consumer'!$B$3:$B$1176,,,)</f>
        <v>KHI/HO/D/MO/PC COMP/C/103702/268/12/2024</v>
      </c>
    </row>
    <row r="320" spans="1:36" hidden="1" x14ac:dyDescent="0.25">
      <c r="A320">
        <v>319</v>
      </c>
      <c r="B320" t="s">
        <v>35</v>
      </c>
      <c r="C320" t="s">
        <v>3968</v>
      </c>
      <c r="D320" t="s">
        <v>37</v>
      </c>
      <c r="E320" t="s">
        <v>3969</v>
      </c>
      <c r="F320" t="s">
        <v>138</v>
      </c>
      <c r="G320" t="s">
        <v>3970</v>
      </c>
      <c r="H320" t="s">
        <v>3971</v>
      </c>
      <c r="I320" t="s">
        <v>3971</v>
      </c>
      <c r="J320" t="s">
        <v>3971</v>
      </c>
      <c r="K320" t="s">
        <v>3972</v>
      </c>
      <c r="L320">
        <v>1907750</v>
      </c>
      <c r="M320">
        <v>2935000</v>
      </c>
      <c r="N320" t="s">
        <v>3973</v>
      </c>
      <c r="O320" t="s">
        <v>3974</v>
      </c>
      <c r="P320" t="s">
        <v>3975</v>
      </c>
      <c r="Q320" t="s">
        <v>3976</v>
      </c>
      <c r="R320" t="s">
        <v>47</v>
      </c>
      <c r="S320" t="s">
        <v>48</v>
      </c>
      <c r="T320" t="s">
        <v>613</v>
      </c>
      <c r="U320" t="s">
        <v>386</v>
      </c>
      <c r="V320" s="1">
        <v>45287</v>
      </c>
      <c r="W320" t="s">
        <v>3964</v>
      </c>
      <c r="X320" t="s">
        <v>3977</v>
      </c>
      <c r="Y320" t="s">
        <v>3978</v>
      </c>
      <c r="Z320">
        <v>2</v>
      </c>
      <c r="AA320" t="s">
        <v>55</v>
      </c>
      <c r="AB320" t="s">
        <v>3979</v>
      </c>
      <c r="AC320" t="s">
        <v>3964</v>
      </c>
      <c r="AD320" t="s">
        <v>86</v>
      </c>
      <c r="AE320">
        <v>2641500</v>
      </c>
      <c r="AF320">
        <v>46226</v>
      </c>
      <c r="AJ320" t="str">
        <f>_xlfn.XLOOKUP(Table9[[#This Row],[Engine No.]],'[1]Dubai Islamic Consumer'!$Q$3:$Q$1176,'[1]Dubai Islamic Consumer'!$B$3:$B$1176,,,)</f>
        <v>KHI/HO/D/MO/PC COMP/C/103702/285/12/2024</v>
      </c>
    </row>
    <row r="321" spans="1:36" hidden="1" x14ac:dyDescent="0.25">
      <c r="A321">
        <v>320</v>
      </c>
      <c r="B321" t="s">
        <v>35</v>
      </c>
      <c r="C321" t="s">
        <v>3980</v>
      </c>
      <c r="D321" t="s">
        <v>37</v>
      </c>
      <c r="E321" t="s">
        <v>3981</v>
      </c>
      <c r="F321" t="s">
        <v>138</v>
      </c>
      <c r="G321" t="s">
        <v>3982</v>
      </c>
      <c r="H321" t="s">
        <v>48</v>
      </c>
      <c r="I321" t="s">
        <v>3983</v>
      </c>
      <c r="J321" t="s">
        <v>48</v>
      </c>
      <c r="K321" t="s">
        <v>3984</v>
      </c>
      <c r="L321">
        <v>953150</v>
      </c>
      <c r="M321">
        <v>1733000</v>
      </c>
      <c r="N321" t="s">
        <v>3985</v>
      </c>
      <c r="O321" s="1">
        <v>45651</v>
      </c>
      <c r="P321" t="s">
        <v>3986</v>
      </c>
      <c r="Q321" t="s">
        <v>3987</v>
      </c>
      <c r="R321" t="s">
        <v>47</v>
      </c>
      <c r="S321" t="s">
        <v>48</v>
      </c>
      <c r="T321" t="s">
        <v>194</v>
      </c>
      <c r="U321" t="s">
        <v>148</v>
      </c>
      <c r="V321" s="1">
        <v>44740</v>
      </c>
      <c r="W321" t="s">
        <v>3988</v>
      </c>
      <c r="X321" t="s">
        <v>3989</v>
      </c>
      <c r="Y321" t="s">
        <v>3990</v>
      </c>
      <c r="Z321">
        <v>5</v>
      </c>
      <c r="AA321" t="s">
        <v>227</v>
      </c>
      <c r="AB321" t="s">
        <v>3991</v>
      </c>
      <c r="AC321" t="s">
        <v>3992</v>
      </c>
      <c r="AD321" t="s">
        <v>58</v>
      </c>
      <c r="AE321">
        <v>1473050</v>
      </c>
      <c r="AF321">
        <v>29461</v>
      </c>
      <c r="AJ321" t="str">
        <f>_xlfn.XLOOKUP(Table9[[#This Row],[Engine No.]],'[1]Dubai Islamic Consumer'!$Q$3:$Q$1176,'[1]Dubai Islamic Consumer'!$B$3:$B$1176,,,)</f>
        <v>KHI/HO/D/MO/PC COMP/C/103702/287/12/2024</v>
      </c>
    </row>
    <row r="322" spans="1:36" hidden="1" x14ac:dyDescent="0.25">
      <c r="A322">
        <v>321</v>
      </c>
      <c r="B322" t="s">
        <v>35</v>
      </c>
      <c r="C322" t="s">
        <v>3993</v>
      </c>
      <c r="D322" t="s">
        <v>37</v>
      </c>
      <c r="E322" t="s">
        <v>2578</v>
      </c>
      <c r="F322" t="s">
        <v>39</v>
      </c>
      <c r="G322" t="s">
        <v>3994</v>
      </c>
      <c r="H322" t="s">
        <v>48</v>
      </c>
      <c r="I322" t="s">
        <v>3995</v>
      </c>
      <c r="J322" t="s">
        <v>48</v>
      </c>
      <c r="K322" t="s">
        <v>3996</v>
      </c>
      <c r="L322">
        <v>20500000</v>
      </c>
      <c r="M322">
        <v>41000000</v>
      </c>
      <c r="N322" t="s">
        <v>3997</v>
      </c>
      <c r="O322" s="1">
        <v>45649</v>
      </c>
      <c r="P322" t="s">
        <v>3998</v>
      </c>
      <c r="Q322" t="s">
        <v>3999</v>
      </c>
      <c r="R322" t="s">
        <v>1215</v>
      </c>
      <c r="S322" t="s">
        <v>48</v>
      </c>
      <c r="T322" t="s">
        <v>4000</v>
      </c>
      <c r="U322" t="s">
        <v>335</v>
      </c>
      <c r="V322" s="1">
        <v>44193</v>
      </c>
      <c r="W322" t="s">
        <v>4001</v>
      </c>
      <c r="X322" t="s">
        <v>3977</v>
      </c>
      <c r="Y322" t="s">
        <v>4002</v>
      </c>
      <c r="Z322">
        <v>5</v>
      </c>
      <c r="AA322" t="s">
        <v>55</v>
      </c>
      <c r="AB322" t="s">
        <v>4003</v>
      </c>
      <c r="AC322" t="s">
        <v>4004</v>
      </c>
      <c r="AD322" t="s">
        <v>299</v>
      </c>
      <c r="AE322">
        <v>30750000</v>
      </c>
      <c r="AF322">
        <v>461250</v>
      </c>
      <c r="AJ322" t="str">
        <f>_xlfn.XLOOKUP(Table9[[#This Row],[Engine No.]],'[1]Dubai Islamic Consumer'!$Q$3:$Q$1176,'[1]Dubai Islamic Consumer'!$B$3:$B$1176,,,)</f>
        <v>KHI/HO/D/MO/PC COMP/C/103702/288/12/2024</v>
      </c>
    </row>
    <row r="323" spans="1:36" hidden="1" x14ac:dyDescent="0.25">
      <c r="A323">
        <v>322</v>
      </c>
      <c r="B323" t="s">
        <v>35</v>
      </c>
      <c r="C323" t="s">
        <v>4005</v>
      </c>
      <c r="D323" t="s">
        <v>37</v>
      </c>
      <c r="E323" t="s">
        <v>4006</v>
      </c>
      <c r="F323" t="s">
        <v>138</v>
      </c>
      <c r="G323" t="s">
        <v>4007</v>
      </c>
      <c r="H323" t="s">
        <v>4008</v>
      </c>
      <c r="I323" t="s">
        <v>4008</v>
      </c>
      <c r="J323" t="s">
        <v>141</v>
      </c>
      <c r="K323" t="s">
        <v>4009</v>
      </c>
      <c r="L323">
        <v>1202500</v>
      </c>
      <c r="M323">
        <v>1850000</v>
      </c>
      <c r="N323" t="s">
        <v>4010</v>
      </c>
      <c r="O323" s="1">
        <v>45649</v>
      </c>
      <c r="P323" t="s">
        <v>4011</v>
      </c>
      <c r="Q323" t="s">
        <v>4012</v>
      </c>
      <c r="R323" t="s">
        <v>146</v>
      </c>
      <c r="S323" t="s">
        <v>4013</v>
      </c>
      <c r="T323" t="s">
        <v>4014</v>
      </c>
      <c r="U323" t="s">
        <v>651</v>
      </c>
      <c r="V323" s="1">
        <v>44557</v>
      </c>
      <c r="W323" t="s">
        <v>4015</v>
      </c>
      <c r="X323" t="s">
        <v>4016</v>
      </c>
      <c r="Y323" t="s">
        <v>4017</v>
      </c>
      <c r="Z323">
        <v>5</v>
      </c>
      <c r="AA323" t="s">
        <v>118</v>
      </c>
      <c r="AB323" t="s">
        <v>4018</v>
      </c>
      <c r="AC323" t="s">
        <v>4019</v>
      </c>
      <c r="AD323" t="s">
        <v>299</v>
      </c>
      <c r="AE323">
        <v>1480000</v>
      </c>
      <c r="AF323">
        <v>22200</v>
      </c>
      <c r="AJ323" t="str">
        <f>_xlfn.XLOOKUP(Table9[[#This Row],[Engine No.]],'[1]Dubai Islamic Consumer'!$Q$3:$Q$1176,'[1]Dubai Islamic Consumer'!$B$3:$B$1176,,,)</f>
        <v>KHI/HO/D/MO/PC COMP/C/103702/305/12/2024</v>
      </c>
    </row>
    <row r="324" spans="1:36" hidden="1" x14ac:dyDescent="0.25">
      <c r="A324">
        <v>323</v>
      </c>
      <c r="B324" t="s">
        <v>35</v>
      </c>
      <c r="C324" t="s">
        <v>4020</v>
      </c>
      <c r="D324" t="s">
        <v>37</v>
      </c>
      <c r="E324" t="s">
        <v>4021</v>
      </c>
      <c r="F324" t="s">
        <v>4022</v>
      </c>
      <c r="G324" t="s">
        <v>4023</v>
      </c>
      <c r="H324" t="s">
        <v>4024</v>
      </c>
      <c r="I324" t="s">
        <v>4025</v>
      </c>
      <c r="J324" t="s">
        <v>4024</v>
      </c>
      <c r="K324" t="s">
        <v>4026</v>
      </c>
      <c r="L324">
        <v>1300000</v>
      </c>
      <c r="M324">
        <v>1625000</v>
      </c>
      <c r="N324" t="s">
        <v>4027</v>
      </c>
      <c r="O324" s="1">
        <v>45648</v>
      </c>
      <c r="P324" t="s">
        <v>4028</v>
      </c>
      <c r="Q324" t="s">
        <v>4029</v>
      </c>
      <c r="R324" t="s">
        <v>47</v>
      </c>
      <c r="S324" t="s">
        <v>4030</v>
      </c>
      <c r="T324" t="s">
        <v>321</v>
      </c>
      <c r="U324" t="s">
        <v>614</v>
      </c>
      <c r="V324" s="1">
        <v>43825</v>
      </c>
      <c r="W324" t="s">
        <v>4031</v>
      </c>
      <c r="X324" t="s">
        <v>3977</v>
      </c>
      <c r="Y324" t="s">
        <v>4032</v>
      </c>
      <c r="Z324">
        <v>6</v>
      </c>
      <c r="AA324" t="s">
        <v>227</v>
      </c>
      <c r="AB324" t="s">
        <v>4033</v>
      </c>
      <c r="AC324" t="s">
        <v>4034</v>
      </c>
      <c r="AD324" t="s">
        <v>171</v>
      </c>
      <c r="AE324">
        <v>1137500</v>
      </c>
      <c r="AF324">
        <v>28438</v>
      </c>
      <c r="AJ324" t="str">
        <f>_xlfn.XLOOKUP(Table9[[#This Row],[Engine No.]],'[1]Dubai Islamic Consumer'!$Q$3:$Q$1176,'[1]Dubai Islamic Consumer'!$B$3:$B$1176,,,)</f>
        <v>KHI/HO/D/MO/PC COMP/C/103702/318/12/2024</v>
      </c>
    </row>
    <row r="325" spans="1:36" hidden="1" x14ac:dyDescent="0.25">
      <c r="A325">
        <v>324</v>
      </c>
      <c r="B325" t="s">
        <v>35</v>
      </c>
      <c r="C325" t="s">
        <v>4035</v>
      </c>
      <c r="D325" t="s">
        <v>37</v>
      </c>
      <c r="E325" t="s">
        <v>1096</v>
      </c>
      <c r="F325" t="s">
        <v>89</v>
      </c>
      <c r="G325" t="s">
        <v>4036</v>
      </c>
      <c r="H325" t="s">
        <v>48</v>
      </c>
      <c r="I325" t="s">
        <v>4037</v>
      </c>
      <c r="J325" t="s">
        <v>48</v>
      </c>
      <c r="K325" t="s">
        <v>4038</v>
      </c>
      <c r="L325">
        <v>1456000</v>
      </c>
      <c r="M325">
        <v>2800000</v>
      </c>
      <c r="N325" t="s">
        <v>4039</v>
      </c>
      <c r="O325" s="1">
        <v>45623</v>
      </c>
      <c r="P325" t="s">
        <v>4040</v>
      </c>
      <c r="Q325" t="s">
        <v>4041</v>
      </c>
      <c r="R325" t="s">
        <v>146</v>
      </c>
      <c r="S325" t="s">
        <v>4042</v>
      </c>
      <c r="T325" t="s">
        <v>1732</v>
      </c>
      <c r="U325" t="s">
        <v>496</v>
      </c>
      <c r="V325" t="s">
        <v>4043</v>
      </c>
      <c r="W325" t="s">
        <v>940</v>
      </c>
      <c r="X325" t="s">
        <v>533</v>
      </c>
      <c r="Y325" t="s">
        <v>4044</v>
      </c>
      <c r="Z325">
        <v>3</v>
      </c>
      <c r="AA325" t="s">
        <v>323</v>
      </c>
      <c r="AB325" t="s">
        <v>4045</v>
      </c>
      <c r="AC325" t="s">
        <v>3887</v>
      </c>
      <c r="AD325" t="s">
        <v>86</v>
      </c>
      <c r="AE325">
        <v>2380000</v>
      </c>
      <c r="AF325">
        <v>41650</v>
      </c>
      <c r="AJ325" t="str">
        <f>_xlfn.XLOOKUP(Table9[[#This Row],[Engine No.]],'[1]Dubai Islamic Consumer'!$Q$3:$Q$1176,'[1]Dubai Islamic Consumer'!$B$3:$B$1176,,,)</f>
        <v>KHI/HO/D/MO/PC COMP/C/102086/231/11/2024</v>
      </c>
    </row>
    <row r="326" spans="1:36" hidden="1" x14ac:dyDescent="0.25">
      <c r="A326">
        <v>325</v>
      </c>
      <c r="B326" t="s">
        <v>35</v>
      </c>
      <c r="C326" t="s">
        <v>4046</v>
      </c>
      <c r="D326" t="s">
        <v>37</v>
      </c>
      <c r="E326" t="s">
        <v>4047</v>
      </c>
      <c r="F326" t="s">
        <v>525</v>
      </c>
      <c r="G326" t="s">
        <v>4048</v>
      </c>
      <c r="H326" t="s">
        <v>48</v>
      </c>
      <c r="I326" t="s">
        <v>4049</v>
      </c>
      <c r="J326" t="s">
        <v>48</v>
      </c>
      <c r="K326" t="s">
        <v>4050</v>
      </c>
      <c r="L326">
        <v>1275000</v>
      </c>
      <c r="M326">
        <v>1500000</v>
      </c>
      <c r="N326" t="s">
        <v>4051</v>
      </c>
      <c r="O326" s="1">
        <v>45648</v>
      </c>
      <c r="P326" t="s">
        <v>4052</v>
      </c>
      <c r="Q326" t="s">
        <v>4053</v>
      </c>
      <c r="R326" t="s">
        <v>858</v>
      </c>
      <c r="S326" t="s">
        <v>48</v>
      </c>
      <c r="T326" t="s">
        <v>4054</v>
      </c>
      <c r="U326" t="s">
        <v>148</v>
      </c>
      <c r="V326" s="1">
        <v>44922</v>
      </c>
      <c r="W326" t="s">
        <v>3988</v>
      </c>
      <c r="X326" t="s">
        <v>3989</v>
      </c>
      <c r="Y326" t="s">
        <v>4055</v>
      </c>
      <c r="Z326">
        <v>5</v>
      </c>
      <c r="AA326" t="s">
        <v>55</v>
      </c>
      <c r="AB326" t="s">
        <v>4056</v>
      </c>
      <c r="AC326" t="s">
        <v>4057</v>
      </c>
      <c r="AD326" t="s">
        <v>943</v>
      </c>
      <c r="AE326">
        <v>1275000</v>
      </c>
      <c r="AF326">
        <v>17850</v>
      </c>
      <c r="AJ326" t="str">
        <f>_xlfn.XLOOKUP(Table9[[#This Row],[Engine No.]],'[1]Dubai Islamic Consumer'!$Q$3:$Q$1176,'[1]Dubai Islamic Consumer'!$B$3:$B$1176,,,)</f>
        <v>KHI/HO/D/MO/PC COMP/C/103702/324/12/2024</v>
      </c>
    </row>
    <row r="327" spans="1:36" hidden="1" x14ac:dyDescent="0.25">
      <c r="A327">
        <v>326</v>
      </c>
      <c r="B327" t="s">
        <v>35</v>
      </c>
      <c r="C327" t="s">
        <v>4058</v>
      </c>
      <c r="D327" t="s">
        <v>37</v>
      </c>
      <c r="E327" t="s">
        <v>4059</v>
      </c>
      <c r="F327" t="s">
        <v>138</v>
      </c>
      <c r="G327" t="s">
        <v>4060</v>
      </c>
      <c r="H327" t="s">
        <v>4061</v>
      </c>
      <c r="I327" t="s">
        <v>4061</v>
      </c>
      <c r="J327" t="s">
        <v>141</v>
      </c>
      <c r="K327" t="s">
        <v>4062</v>
      </c>
      <c r="L327">
        <v>1440000</v>
      </c>
      <c r="M327">
        <v>2250000</v>
      </c>
      <c r="N327" t="s">
        <v>4063</v>
      </c>
      <c r="O327" s="1">
        <v>45623</v>
      </c>
      <c r="P327" t="s">
        <v>4064</v>
      </c>
      <c r="Q327" t="s">
        <v>4065</v>
      </c>
      <c r="R327" t="s">
        <v>146</v>
      </c>
      <c r="S327" t="s">
        <v>4066</v>
      </c>
      <c r="T327" t="s">
        <v>2449</v>
      </c>
      <c r="U327" t="s">
        <v>50</v>
      </c>
      <c r="V327" t="s">
        <v>4043</v>
      </c>
      <c r="W327" t="s">
        <v>940</v>
      </c>
      <c r="X327" t="s">
        <v>1638</v>
      </c>
      <c r="Y327" t="s">
        <v>4067</v>
      </c>
      <c r="Z327">
        <v>5</v>
      </c>
      <c r="AA327" t="s">
        <v>227</v>
      </c>
      <c r="AB327" t="s">
        <v>4068</v>
      </c>
      <c r="AC327" t="s">
        <v>2181</v>
      </c>
      <c r="AD327" t="s">
        <v>86</v>
      </c>
      <c r="AE327">
        <v>1912500</v>
      </c>
      <c r="AF327">
        <v>33469</v>
      </c>
      <c r="AJ327" t="str">
        <f>_xlfn.XLOOKUP(Table9[[#This Row],[Engine No.]],'[1]Dubai Islamic Consumer'!$Q$3:$Q$1176,'[1]Dubai Islamic Consumer'!$B$3:$B$1176,,,)</f>
        <v>KHI/HO/D/MO/PC COMP/C/102086/230/11/2024</v>
      </c>
    </row>
    <row r="328" spans="1:36" hidden="1" x14ac:dyDescent="0.25">
      <c r="A328">
        <v>327</v>
      </c>
      <c r="B328" t="s">
        <v>35</v>
      </c>
      <c r="C328" t="s">
        <v>4069</v>
      </c>
      <c r="D328" t="s">
        <v>37</v>
      </c>
      <c r="E328" t="s">
        <v>4070</v>
      </c>
      <c r="F328" t="s">
        <v>245</v>
      </c>
      <c r="G328" t="s">
        <v>4071</v>
      </c>
      <c r="H328" t="s">
        <v>4072</v>
      </c>
      <c r="I328" t="s">
        <v>48</v>
      </c>
      <c r="J328" t="s">
        <v>4072</v>
      </c>
      <c r="K328" t="s">
        <v>4073</v>
      </c>
      <c r="L328">
        <v>1706250</v>
      </c>
      <c r="M328">
        <v>2275000</v>
      </c>
      <c r="N328" t="s">
        <v>4074</v>
      </c>
      <c r="O328" s="1">
        <v>45648</v>
      </c>
      <c r="P328" t="s">
        <v>4075</v>
      </c>
      <c r="Q328" t="s">
        <v>4076</v>
      </c>
      <c r="R328" t="s">
        <v>1215</v>
      </c>
      <c r="S328" t="s">
        <v>48</v>
      </c>
      <c r="T328" t="s">
        <v>4077</v>
      </c>
      <c r="U328" t="s">
        <v>496</v>
      </c>
      <c r="V328" s="1">
        <v>44189</v>
      </c>
      <c r="W328" t="s">
        <v>4001</v>
      </c>
      <c r="X328" t="s">
        <v>3977</v>
      </c>
      <c r="Y328" t="s">
        <v>4078</v>
      </c>
      <c r="Z328">
        <v>5</v>
      </c>
      <c r="AA328" t="s">
        <v>227</v>
      </c>
      <c r="AB328" t="s">
        <v>4079</v>
      </c>
      <c r="AC328" t="s">
        <v>4080</v>
      </c>
      <c r="AD328" t="s">
        <v>58</v>
      </c>
      <c r="AE328">
        <v>1706250</v>
      </c>
      <c r="AF328">
        <v>34125</v>
      </c>
      <c r="AJ328" t="str">
        <f>_xlfn.XLOOKUP(Table9[[#This Row],[Engine No.]],'[1]Dubai Islamic Consumer'!$Q$3:$Q$1176,'[1]Dubai Islamic Consumer'!$B$3:$B$1176,,,)</f>
        <v>KHI/HO/D/MO/PC COMP/C/103702/327/12/2024</v>
      </c>
    </row>
    <row r="329" spans="1:36" hidden="1" x14ac:dyDescent="0.25">
      <c r="A329">
        <v>328</v>
      </c>
      <c r="B329" t="s">
        <v>35</v>
      </c>
      <c r="C329" t="s">
        <v>4081</v>
      </c>
      <c r="D329" t="s">
        <v>37</v>
      </c>
      <c r="E329" t="s">
        <v>4082</v>
      </c>
      <c r="F329" t="s">
        <v>525</v>
      </c>
      <c r="G329" t="s">
        <v>4083</v>
      </c>
      <c r="H329" t="s">
        <v>4084</v>
      </c>
      <c r="I329" t="s">
        <v>4084</v>
      </c>
      <c r="J329" t="s">
        <v>141</v>
      </c>
      <c r="K329" t="s">
        <v>4085</v>
      </c>
      <c r="L329">
        <v>1488750</v>
      </c>
      <c r="M329">
        <v>1985000</v>
      </c>
      <c r="N329" t="s">
        <v>4086</v>
      </c>
      <c r="O329" s="1">
        <v>45648</v>
      </c>
      <c r="P329" t="s">
        <v>4087</v>
      </c>
      <c r="Q329" t="s">
        <v>4088</v>
      </c>
      <c r="R329" t="s">
        <v>47</v>
      </c>
      <c r="S329" t="s">
        <v>48</v>
      </c>
      <c r="T329" t="s">
        <v>2208</v>
      </c>
      <c r="U329" t="s">
        <v>98</v>
      </c>
      <c r="V329" s="1">
        <v>44069</v>
      </c>
      <c r="W329" t="s">
        <v>4001</v>
      </c>
      <c r="X329" t="s">
        <v>3989</v>
      </c>
      <c r="Y329" t="s">
        <v>4089</v>
      </c>
      <c r="Z329">
        <v>7</v>
      </c>
      <c r="AA329" t="s">
        <v>55</v>
      </c>
      <c r="AB329" t="s">
        <v>4090</v>
      </c>
      <c r="AC329" t="s">
        <v>4091</v>
      </c>
      <c r="AD329" t="s">
        <v>58</v>
      </c>
      <c r="AE329">
        <v>1488750</v>
      </c>
      <c r="AF329">
        <v>29775</v>
      </c>
      <c r="AJ329" t="str">
        <f>_xlfn.XLOOKUP(Table9[[#This Row],[Engine No.]],'[1]Dubai Islamic Consumer'!$Q$3:$Q$1176,'[1]Dubai Islamic Consumer'!$B$3:$B$1176,,,)</f>
        <v>KHI/HO/D/MO/PC COMP/C/103702/328/12/2024</v>
      </c>
    </row>
    <row r="330" spans="1:36" hidden="1" x14ac:dyDescent="0.25">
      <c r="A330">
        <v>329</v>
      </c>
      <c r="B330" t="s">
        <v>35</v>
      </c>
      <c r="C330" t="s">
        <v>4092</v>
      </c>
      <c r="D330" t="s">
        <v>37</v>
      </c>
      <c r="E330" t="s">
        <v>231</v>
      </c>
      <c r="F330" t="s">
        <v>107</v>
      </c>
      <c r="G330" t="s">
        <v>4093</v>
      </c>
      <c r="H330" t="s">
        <v>4094</v>
      </c>
      <c r="I330" t="s">
        <v>4094</v>
      </c>
      <c r="J330" t="s">
        <v>4095</v>
      </c>
      <c r="K330" t="s">
        <v>4096</v>
      </c>
      <c r="L330">
        <v>1001250</v>
      </c>
      <c r="M330">
        <v>1335000</v>
      </c>
      <c r="N330" t="s">
        <v>4097</v>
      </c>
      <c r="O330" s="1">
        <v>45648</v>
      </c>
      <c r="P330" t="s">
        <v>4098</v>
      </c>
      <c r="Q330" t="s">
        <v>4099</v>
      </c>
      <c r="R330" t="s">
        <v>47</v>
      </c>
      <c r="S330" t="s">
        <v>48</v>
      </c>
      <c r="T330" t="s">
        <v>194</v>
      </c>
      <c r="U330" t="s">
        <v>50</v>
      </c>
      <c r="V330" s="1">
        <v>44470</v>
      </c>
      <c r="W330" t="s">
        <v>4100</v>
      </c>
      <c r="X330" t="s">
        <v>4101</v>
      </c>
      <c r="Y330" t="s">
        <v>4102</v>
      </c>
      <c r="Z330">
        <v>5</v>
      </c>
      <c r="AA330" t="s">
        <v>55</v>
      </c>
      <c r="AB330" t="s">
        <v>4103</v>
      </c>
      <c r="AC330" t="s">
        <v>4019</v>
      </c>
      <c r="AD330" t="s">
        <v>58</v>
      </c>
      <c r="AE330">
        <v>1134750</v>
      </c>
      <c r="AF330">
        <v>22695</v>
      </c>
      <c r="AJ330" t="str">
        <f>_xlfn.XLOOKUP(Table9[[#This Row],[Engine No.]],'[1]Dubai Islamic Consumer'!$Q$3:$Q$1176,'[1]Dubai Islamic Consumer'!$B$3:$B$1176,,,)</f>
        <v>KHI/HO/D/MO/PC COMP/C/103702/331/12/2024</v>
      </c>
    </row>
    <row r="331" spans="1:36" hidden="1" x14ac:dyDescent="0.25">
      <c r="A331">
        <v>330</v>
      </c>
      <c r="B331" t="s">
        <v>35</v>
      </c>
      <c r="C331" t="s">
        <v>4104</v>
      </c>
      <c r="D331" t="s">
        <v>37</v>
      </c>
      <c r="E331" t="s">
        <v>4105</v>
      </c>
      <c r="F331" t="s">
        <v>39</v>
      </c>
      <c r="G331" t="s">
        <v>4106</v>
      </c>
      <c r="H331" t="s">
        <v>48</v>
      </c>
      <c r="I331" t="s">
        <v>4107</v>
      </c>
      <c r="J331" t="s">
        <v>48</v>
      </c>
      <c r="K331" t="s">
        <v>4108</v>
      </c>
      <c r="L331">
        <v>1627500</v>
      </c>
      <c r="M331">
        <v>2325000</v>
      </c>
      <c r="N331" t="s">
        <v>4109</v>
      </c>
      <c r="O331" t="s">
        <v>4110</v>
      </c>
      <c r="P331" t="s">
        <v>4111</v>
      </c>
      <c r="Q331" t="s">
        <v>4112</v>
      </c>
      <c r="R331" t="s">
        <v>146</v>
      </c>
      <c r="S331" t="s">
        <v>4113</v>
      </c>
      <c r="T331" t="s">
        <v>321</v>
      </c>
      <c r="U331" t="s">
        <v>50</v>
      </c>
      <c r="V331" s="1">
        <v>45260</v>
      </c>
      <c r="W331" t="s">
        <v>4114</v>
      </c>
      <c r="X331" t="s">
        <v>133</v>
      </c>
      <c r="Y331" t="s">
        <v>4115</v>
      </c>
      <c r="Z331">
        <v>3</v>
      </c>
      <c r="AA331" t="s">
        <v>55</v>
      </c>
      <c r="AB331" t="s">
        <v>4116</v>
      </c>
      <c r="AC331" t="s">
        <v>4117</v>
      </c>
      <c r="AD331" t="s">
        <v>86</v>
      </c>
      <c r="AE331">
        <v>2092500</v>
      </c>
      <c r="AF331">
        <v>36619</v>
      </c>
      <c r="AJ331" t="str">
        <f>_xlfn.XLOOKUP(Table9[[#This Row],[Engine No.]],'[1]Dubai Islamic Consumer'!$Q$3:$Q$1176,'[1]Dubai Islamic Consumer'!$B$3:$B$1176,,,)</f>
        <v>KHI/HO/D/MO/PC COMP/C/102086/228/11/2024</v>
      </c>
    </row>
    <row r="332" spans="1:36" hidden="1" x14ac:dyDescent="0.25">
      <c r="A332">
        <v>331</v>
      </c>
      <c r="B332" t="s">
        <v>35</v>
      </c>
      <c r="C332" t="s">
        <v>4118</v>
      </c>
      <c r="D332" t="s">
        <v>37</v>
      </c>
      <c r="E332" t="s">
        <v>4119</v>
      </c>
      <c r="F332" t="s">
        <v>138</v>
      </c>
      <c r="G332" t="s">
        <v>4120</v>
      </c>
      <c r="H332" t="s">
        <v>4121</v>
      </c>
      <c r="I332" t="s">
        <v>4122</v>
      </c>
      <c r="J332" t="s">
        <v>4123</v>
      </c>
      <c r="K332" t="s">
        <v>4124</v>
      </c>
      <c r="L332">
        <v>1984500</v>
      </c>
      <c r="M332">
        <v>4050000</v>
      </c>
      <c r="N332" t="s">
        <v>4125</v>
      </c>
      <c r="O332" t="s">
        <v>4110</v>
      </c>
      <c r="P332" t="s">
        <v>4126</v>
      </c>
      <c r="Q332" t="s">
        <v>4127</v>
      </c>
      <c r="R332" t="s">
        <v>146</v>
      </c>
      <c r="S332" t="s">
        <v>4128</v>
      </c>
      <c r="T332" t="s">
        <v>1826</v>
      </c>
      <c r="U332" t="s">
        <v>50</v>
      </c>
      <c r="V332" s="1">
        <v>45260</v>
      </c>
      <c r="W332" t="s">
        <v>4114</v>
      </c>
      <c r="X332" t="s">
        <v>133</v>
      </c>
      <c r="Y332" t="s">
        <v>4129</v>
      </c>
      <c r="Z332">
        <v>3</v>
      </c>
      <c r="AA332" t="s">
        <v>55</v>
      </c>
      <c r="AB332" t="s">
        <v>4130</v>
      </c>
      <c r="AC332" t="s">
        <v>4131</v>
      </c>
      <c r="AD332" t="s">
        <v>86</v>
      </c>
      <c r="AE332">
        <v>3645000</v>
      </c>
      <c r="AF332">
        <v>63788</v>
      </c>
      <c r="AJ332" t="str">
        <f>_xlfn.XLOOKUP(Table9[[#This Row],[Engine No.]],'[1]Dubai Islamic Consumer'!$Q$3:$Q$1176,'[1]Dubai Islamic Consumer'!$B$3:$B$1176,,,)</f>
        <v>KHI/HO/D/MO/PC COMP/C/102086/226/11/2024</v>
      </c>
    </row>
    <row r="333" spans="1:36" hidden="1" x14ac:dyDescent="0.25">
      <c r="A333">
        <v>332</v>
      </c>
      <c r="B333" t="s">
        <v>35</v>
      </c>
      <c r="C333" t="s">
        <v>4132</v>
      </c>
      <c r="D333" t="s">
        <v>37</v>
      </c>
      <c r="E333" t="s">
        <v>4133</v>
      </c>
      <c r="F333" t="s">
        <v>138</v>
      </c>
      <c r="G333" t="s">
        <v>4134</v>
      </c>
      <c r="H333" t="s">
        <v>4135</v>
      </c>
      <c r="I333" t="s">
        <v>4135</v>
      </c>
      <c r="J333" t="s">
        <v>141</v>
      </c>
      <c r="K333" t="s">
        <v>4136</v>
      </c>
      <c r="L333">
        <v>1332500</v>
      </c>
      <c r="M333">
        <v>2050000</v>
      </c>
      <c r="N333" t="s">
        <v>4137</v>
      </c>
      <c r="O333" t="s">
        <v>4110</v>
      </c>
      <c r="P333" t="s">
        <v>4138</v>
      </c>
      <c r="Q333" t="s">
        <v>4139</v>
      </c>
      <c r="R333" t="s">
        <v>146</v>
      </c>
      <c r="S333" t="s">
        <v>4140</v>
      </c>
      <c r="T333" t="s">
        <v>194</v>
      </c>
      <c r="U333" t="s">
        <v>50</v>
      </c>
      <c r="V333" s="1">
        <v>45260</v>
      </c>
      <c r="W333" t="s">
        <v>4114</v>
      </c>
      <c r="X333" t="s">
        <v>133</v>
      </c>
      <c r="Y333" t="s">
        <v>4141</v>
      </c>
      <c r="Z333">
        <v>3</v>
      </c>
      <c r="AA333" t="s">
        <v>55</v>
      </c>
      <c r="AB333" t="s">
        <v>4142</v>
      </c>
      <c r="AC333" t="s">
        <v>4131</v>
      </c>
      <c r="AD333" t="s">
        <v>86</v>
      </c>
      <c r="AE333">
        <v>1845000</v>
      </c>
      <c r="AF333">
        <v>32288</v>
      </c>
      <c r="AJ333" t="str">
        <f>_xlfn.XLOOKUP(Table9[[#This Row],[Engine No.]],'[1]Dubai Islamic Consumer'!$Q$3:$Q$1176,'[1]Dubai Islamic Consumer'!$B$3:$B$1176,,,)</f>
        <v>KHI/HO/D/MO/PC COMP/C/102086/225/11/2024</v>
      </c>
    </row>
    <row r="334" spans="1:36" hidden="1" x14ac:dyDescent="0.25">
      <c r="A334">
        <v>333</v>
      </c>
      <c r="B334" t="s">
        <v>35</v>
      </c>
      <c r="C334" t="s">
        <v>4143</v>
      </c>
      <c r="D334" t="s">
        <v>37</v>
      </c>
      <c r="E334" t="s">
        <v>4144</v>
      </c>
      <c r="F334" t="s">
        <v>138</v>
      </c>
      <c r="G334" t="s">
        <v>4145</v>
      </c>
      <c r="H334" t="s">
        <v>4146</v>
      </c>
      <c r="I334" t="s">
        <v>4146</v>
      </c>
      <c r="J334" t="s">
        <v>141</v>
      </c>
      <c r="K334" t="s">
        <v>4147</v>
      </c>
      <c r="L334">
        <v>1625000</v>
      </c>
      <c r="M334">
        <v>2500000</v>
      </c>
      <c r="N334" t="s">
        <v>4148</v>
      </c>
      <c r="O334" t="s">
        <v>4110</v>
      </c>
      <c r="P334" t="s">
        <v>4149</v>
      </c>
      <c r="Q334" t="s">
        <v>4150</v>
      </c>
      <c r="R334" t="s">
        <v>146</v>
      </c>
      <c r="S334" t="s">
        <v>4151</v>
      </c>
      <c r="T334" t="s">
        <v>4152</v>
      </c>
      <c r="U334" t="s">
        <v>98</v>
      </c>
      <c r="V334" s="1">
        <v>45260</v>
      </c>
      <c r="W334" t="s">
        <v>4114</v>
      </c>
      <c r="X334" t="s">
        <v>133</v>
      </c>
      <c r="Y334" t="s">
        <v>4153</v>
      </c>
      <c r="Z334">
        <v>3</v>
      </c>
      <c r="AA334" t="s">
        <v>55</v>
      </c>
      <c r="AB334" t="s">
        <v>4154</v>
      </c>
      <c r="AC334" t="s">
        <v>4155</v>
      </c>
      <c r="AD334" t="s">
        <v>86</v>
      </c>
      <c r="AE334">
        <v>2250000</v>
      </c>
      <c r="AF334">
        <v>39375</v>
      </c>
      <c r="AJ334" t="str">
        <f>_xlfn.XLOOKUP(Table9[[#This Row],[Engine No.]],'[1]Dubai Islamic Consumer'!$Q$3:$Q$1176,'[1]Dubai Islamic Consumer'!$B$3:$B$1176,,,)</f>
        <v>KHI/HO/D/MO/PC COMP/C/102086/224/11/2024</v>
      </c>
    </row>
    <row r="335" spans="1:36" hidden="1" x14ac:dyDescent="0.25">
      <c r="A335">
        <v>334</v>
      </c>
      <c r="B335" t="s">
        <v>35</v>
      </c>
      <c r="C335" t="s">
        <v>4156</v>
      </c>
      <c r="D335" t="s">
        <v>37</v>
      </c>
      <c r="E335" t="s">
        <v>4157</v>
      </c>
      <c r="F335" t="s">
        <v>406</v>
      </c>
      <c r="G335" t="s">
        <v>4158</v>
      </c>
      <c r="H335" t="s">
        <v>48</v>
      </c>
      <c r="I335" t="s">
        <v>4159</v>
      </c>
      <c r="J335" t="s">
        <v>48</v>
      </c>
      <c r="K335" t="s">
        <v>4160</v>
      </c>
      <c r="L335">
        <v>1306400</v>
      </c>
      <c r="M335">
        <v>1633000</v>
      </c>
      <c r="N335" t="s">
        <v>4161</v>
      </c>
      <c r="O335" s="1">
        <v>45623</v>
      </c>
      <c r="P335" t="s">
        <v>4162</v>
      </c>
      <c r="Q335" t="s">
        <v>4163</v>
      </c>
      <c r="R335" t="s">
        <v>47</v>
      </c>
      <c r="S335" t="s">
        <v>48</v>
      </c>
      <c r="T335" t="s">
        <v>835</v>
      </c>
      <c r="U335" t="s">
        <v>98</v>
      </c>
      <c r="V335" t="s">
        <v>99</v>
      </c>
      <c r="W335" t="s">
        <v>532</v>
      </c>
      <c r="X335" t="s">
        <v>533</v>
      </c>
      <c r="Y335" t="s">
        <v>4164</v>
      </c>
      <c r="Z335">
        <v>5</v>
      </c>
      <c r="AA335" t="s">
        <v>55</v>
      </c>
      <c r="AB335" t="s">
        <v>4165</v>
      </c>
      <c r="AC335" t="s">
        <v>2335</v>
      </c>
      <c r="AD335" t="s">
        <v>58</v>
      </c>
      <c r="AE335">
        <v>1224750</v>
      </c>
      <c r="AF335">
        <v>24495</v>
      </c>
      <c r="AJ335" t="str">
        <f>_xlfn.XLOOKUP(Table9[[#This Row],[Engine No.]],'[1]Dubai Islamic Consumer'!$Q$3:$Q$1176,'[1]Dubai Islamic Consumer'!$B$3:$B$1176,,,)</f>
        <v>KHI/HO/D/MO/PC COMP/C/102086/223/11/2024</v>
      </c>
    </row>
    <row r="336" spans="1:36" hidden="1" x14ac:dyDescent="0.25">
      <c r="A336">
        <v>335</v>
      </c>
      <c r="B336" t="s">
        <v>35</v>
      </c>
      <c r="C336" t="s">
        <v>4166</v>
      </c>
      <c r="D336" t="s">
        <v>37</v>
      </c>
      <c r="E336" t="s">
        <v>4167</v>
      </c>
      <c r="F336" t="s">
        <v>138</v>
      </c>
      <c r="G336" t="s">
        <v>4168</v>
      </c>
      <c r="H336" t="s">
        <v>4169</v>
      </c>
      <c r="I336" t="s">
        <v>4169</v>
      </c>
      <c r="J336" t="s">
        <v>4169</v>
      </c>
      <c r="K336" t="s">
        <v>4170</v>
      </c>
      <c r="L336">
        <v>1001250</v>
      </c>
      <c r="M336">
        <v>1335000</v>
      </c>
      <c r="N336" t="s">
        <v>4171</v>
      </c>
      <c r="O336" s="1">
        <v>45647</v>
      </c>
      <c r="P336" t="s">
        <v>4172</v>
      </c>
      <c r="Q336" t="s">
        <v>4173</v>
      </c>
      <c r="R336" t="s">
        <v>47</v>
      </c>
      <c r="S336" t="s">
        <v>48</v>
      </c>
      <c r="T336" t="s">
        <v>194</v>
      </c>
      <c r="U336" t="s">
        <v>50</v>
      </c>
      <c r="V336" s="1">
        <v>44434</v>
      </c>
      <c r="W336" t="s">
        <v>4015</v>
      </c>
      <c r="X336" t="s">
        <v>4016</v>
      </c>
      <c r="Y336" t="s">
        <v>4174</v>
      </c>
      <c r="Z336">
        <v>5</v>
      </c>
      <c r="AA336" t="s">
        <v>55</v>
      </c>
      <c r="AB336" t="s">
        <v>4175</v>
      </c>
      <c r="AC336" t="s">
        <v>4176</v>
      </c>
      <c r="AD336" t="s">
        <v>58</v>
      </c>
      <c r="AE336">
        <v>1068000</v>
      </c>
      <c r="AF336">
        <v>21360</v>
      </c>
      <c r="AJ336" t="str">
        <f>_xlfn.XLOOKUP(Table9[[#This Row],[Engine No.]],'[1]Dubai Islamic Consumer'!$Q$3:$Q$1176,'[1]Dubai Islamic Consumer'!$B$3:$B$1176,,,)</f>
        <v>KHI/HO/D/MO/PC COMP/C/103702/338/12/2024</v>
      </c>
    </row>
    <row r="337" spans="1:36" hidden="1" x14ac:dyDescent="0.25">
      <c r="A337">
        <v>336</v>
      </c>
      <c r="B337" t="s">
        <v>35</v>
      </c>
      <c r="C337" t="s">
        <v>4177</v>
      </c>
      <c r="D337" t="s">
        <v>37</v>
      </c>
      <c r="E337" t="s">
        <v>4178</v>
      </c>
      <c r="F337" t="s">
        <v>107</v>
      </c>
      <c r="G337" t="s">
        <v>4179</v>
      </c>
      <c r="H337" t="s">
        <v>4180</v>
      </c>
      <c r="I337" t="s">
        <v>4180</v>
      </c>
      <c r="J337" t="s">
        <v>4180</v>
      </c>
      <c r="K337" t="s">
        <v>4181</v>
      </c>
      <c r="L337">
        <v>686000</v>
      </c>
      <c r="M337">
        <v>980000</v>
      </c>
      <c r="N337" t="s">
        <v>4182</v>
      </c>
      <c r="O337" s="1">
        <v>45624</v>
      </c>
      <c r="P337" t="s">
        <v>4183</v>
      </c>
      <c r="Q337" t="s">
        <v>4184</v>
      </c>
      <c r="R337" t="s">
        <v>146</v>
      </c>
      <c r="S337" t="s">
        <v>4185</v>
      </c>
      <c r="T337" t="s">
        <v>4186</v>
      </c>
      <c r="U337" t="s">
        <v>496</v>
      </c>
      <c r="V337" t="s">
        <v>3368</v>
      </c>
      <c r="W337" t="s">
        <v>132</v>
      </c>
      <c r="X337" t="s">
        <v>1191</v>
      </c>
      <c r="Y337" t="s">
        <v>4187</v>
      </c>
      <c r="Z337">
        <v>7</v>
      </c>
      <c r="AA337" t="s">
        <v>118</v>
      </c>
      <c r="AB337" t="s">
        <v>4188</v>
      </c>
      <c r="AC337" t="s">
        <v>2836</v>
      </c>
      <c r="AD337" t="s">
        <v>299</v>
      </c>
      <c r="AE337">
        <v>784000</v>
      </c>
      <c r="AF337">
        <v>11760</v>
      </c>
      <c r="AJ337" t="str">
        <f>_xlfn.XLOOKUP(Table9[[#This Row],[Engine No.]],'[1]Dubai Islamic Consumer'!$Q$3:$Q$1176,'[1]Dubai Islamic Consumer'!$B$3:$B$1176,,,)</f>
        <v>KHI/HO/D/MO/PC COMP/C/102086/218/11/2024</v>
      </c>
    </row>
    <row r="338" spans="1:36" hidden="1" x14ac:dyDescent="0.25">
      <c r="A338">
        <v>337</v>
      </c>
      <c r="B338" t="s">
        <v>35</v>
      </c>
      <c r="C338" t="s">
        <v>4189</v>
      </c>
      <c r="D338" t="s">
        <v>37</v>
      </c>
      <c r="E338" t="s">
        <v>4190</v>
      </c>
      <c r="F338" t="s">
        <v>4191</v>
      </c>
      <c r="G338" t="s">
        <v>4192</v>
      </c>
      <c r="H338" t="s">
        <v>4193</v>
      </c>
      <c r="I338" t="s">
        <v>4193</v>
      </c>
      <c r="J338" t="s">
        <v>4193</v>
      </c>
      <c r="K338" t="s">
        <v>4194</v>
      </c>
      <c r="L338">
        <v>1015000</v>
      </c>
      <c r="M338">
        <v>1450000</v>
      </c>
      <c r="N338" t="s">
        <v>4195</v>
      </c>
      <c r="O338" s="1">
        <v>45624</v>
      </c>
      <c r="P338" t="s">
        <v>4196</v>
      </c>
      <c r="Q338" t="s">
        <v>4197</v>
      </c>
      <c r="R338" t="s">
        <v>146</v>
      </c>
      <c r="S338" t="s">
        <v>4198</v>
      </c>
      <c r="T338" t="s">
        <v>4199</v>
      </c>
      <c r="U338" t="s">
        <v>335</v>
      </c>
      <c r="V338" t="s">
        <v>3368</v>
      </c>
      <c r="W338" t="s">
        <v>132</v>
      </c>
      <c r="X338" t="s">
        <v>133</v>
      </c>
      <c r="Y338" t="s">
        <v>4200</v>
      </c>
      <c r="Z338">
        <v>5</v>
      </c>
      <c r="AA338" t="s">
        <v>323</v>
      </c>
      <c r="AB338" t="s">
        <v>4201</v>
      </c>
      <c r="AC338" t="s">
        <v>3155</v>
      </c>
      <c r="AD338" t="s">
        <v>299</v>
      </c>
      <c r="AE338">
        <v>1160000</v>
      </c>
      <c r="AF338">
        <v>17400</v>
      </c>
      <c r="AJ338" t="str">
        <f>_xlfn.XLOOKUP(Table9[[#This Row],[Engine No.]],'[1]Dubai Islamic Consumer'!$Q$3:$Q$1176,'[1]Dubai Islamic Consumer'!$B$3:$B$1176,,,)</f>
        <v>KHI/HO/D/MO/PC COMP/C/102086/215/11/2024</v>
      </c>
    </row>
    <row r="339" spans="1:36" hidden="1" x14ac:dyDescent="0.25">
      <c r="A339">
        <v>338</v>
      </c>
      <c r="B339" t="s">
        <v>35</v>
      </c>
      <c r="C339" t="s">
        <v>4202</v>
      </c>
      <c r="D339" t="s">
        <v>37</v>
      </c>
      <c r="E339" t="s">
        <v>4203</v>
      </c>
      <c r="F339" t="s">
        <v>107</v>
      </c>
      <c r="G339" t="s">
        <v>4204</v>
      </c>
      <c r="H339" t="s">
        <v>4205</v>
      </c>
      <c r="I339" t="s">
        <v>4205</v>
      </c>
      <c r="J339" t="s">
        <v>4205</v>
      </c>
      <c r="K339" t="s">
        <v>4206</v>
      </c>
      <c r="L339">
        <v>988650</v>
      </c>
      <c r="M339">
        <v>1521000</v>
      </c>
      <c r="N339" t="s">
        <v>4207</v>
      </c>
      <c r="O339" s="1">
        <v>45624</v>
      </c>
      <c r="P339" t="s">
        <v>4208</v>
      </c>
      <c r="Q339" t="s">
        <v>4209</v>
      </c>
      <c r="R339" t="s">
        <v>47</v>
      </c>
      <c r="S339" t="s">
        <v>48</v>
      </c>
      <c r="T339" t="s">
        <v>783</v>
      </c>
      <c r="U339" t="s">
        <v>50</v>
      </c>
      <c r="V339" t="s">
        <v>3368</v>
      </c>
      <c r="W339" t="s">
        <v>132</v>
      </c>
      <c r="X339" t="s">
        <v>1191</v>
      </c>
      <c r="Y339" t="s">
        <v>4210</v>
      </c>
      <c r="Z339">
        <v>7</v>
      </c>
      <c r="AA339" t="s">
        <v>118</v>
      </c>
      <c r="AB339" t="s">
        <v>4211</v>
      </c>
      <c r="AC339" t="s">
        <v>2836</v>
      </c>
      <c r="AD339" t="s">
        <v>58</v>
      </c>
      <c r="AE339">
        <v>1216800</v>
      </c>
      <c r="AF339">
        <v>24336</v>
      </c>
      <c r="AJ339" t="str">
        <f>_xlfn.XLOOKUP(Table9[[#This Row],[Engine No.]],'[1]Dubai Islamic Consumer'!$Q$3:$Q$1176,'[1]Dubai Islamic Consumer'!$B$3:$B$1176,,,)</f>
        <v>KHI/HO/D/MO/PC COMP/C/102086/214/11/2024</v>
      </c>
    </row>
    <row r="340" spans="1:36" hidden="1" x14ac:dyDescent="0.25">
      <c r="A340">
        <v>339</v>
      </c>
      <c r="B340" t="s">
        <v>35</v>
      </c>
      <c r="C340" t="s">
        <v>4212</v>
      </c>
      <c r="D340" t="s">
        <v>37</v>
      </c>
      <c r="E340" t="s">
        <v>4213</v>
      </c>
      <c r="F340" t="s">
        <v>39</v>
      </c>
      <c r="G340" t="s">
        <v>4214</v>
      </c>
      <c r="H340" t="s">
        <v>4215</v>
      </c>
      <c r="I340" t="s">
        <v>4216</v>
      </c>
      <c r="J340" t="s">
        <v>4215</v>
      </c>
      <c r="K340" t="s">
        <v>4217</v>
      </c>
      <c r="L340">
        <v>1190000</v>
      </c>
      <c r="M340">
        <v>1700000</v>
      </c>
      <c r="N340" t="s">
        <v>4218</v>
      </c>
      <c r="O340" s="1">
        <v>45624</v>
      </c>
      <c r="P340" t="s">
        <v>4219</v>
      </c>
      <c r="Q340" t="s">
        <v>4220</v>
      </c>
      <c r="R340" t="s">
        <v>146</v>
      </c>
      <c r="S340" t="s">
        <v>4221</v>
      </c>
      <c r="T340" t="s">
        <v>495</v>
      </c>
      <c r="U340" t="s">
        <v>715</v>
      </c>
      <c r="V340" t="s">
        <v>3368</v>
      </c>
      <c r="W340" t="s">
        <v>132</v>
      </c>
      <c r="X340" t="s">
        <v>533</v>
      </c>
      <c r="Y340" t="s">
        <v>4222</v>
      </c>
      <c r="Z340">
        <v>4</v>
      </c>
      <c r="AA340" t="s">
        <v>118</v>
      </c>
      <c r="AB340" t="s">
        <v>4223</v>
      </c>
      <c r="AC340" t="s">
        <v>2836</v>
      </c>
      <c r="AD340" t="s">
        <v>58</v>
      </c>
      <c r="AE340">
        <v>1360000</v>
      </c>
      <c r="AF340">
        <v>27200</v>
      </c>
      <c r="AJ340" t="str">
        <f>_xlfn.XLOOKUP(Table9[[#This Row],[Engine No.]],'[1]Dubai Islamic Consumer'!$Q$3:$Q$1176,'[1]Dubai Islamic Consumer'!$B$3:$B$1176,,,)</f>
        <v>KHI/HO/D/MO/PC COMP/C/102086/208/11/2024</v>
      </c>
    </row>
    <row r="341" spans="1:36" hidden="1" x14ac:dyDescent="0.25">
      <c r="A341">
        <v>340</v>
      </c>
      <c r="B341" t="s">
        <v>35</v>
      </c>
      <c r="C341" t="s">
        <v>4224</v>
      </c>
      <c r="D341" t="s">
        <v>37</v>
      </c>
      <c r="E341" t="s">
        <v>4225</v>
      </c>
      <c r="F341" t="s">
        <v>107</v>
      </c>
      <c r="G341" t="s">
        <v>4226</v>
      </c>
      <c r="H341" t="s">
        <v>4227</v>
      </c>
      <c r="I341" t="s">
        <v>4227</v>
      </c>
      <c r="J341" t="s">
        <v>4227</v>
      </c>
      <c r="K341" t="s">
        <v>4228</v>
      </c>
      <c r="L341">
        <v>1216800</v>
      </c>
      <c r="M341">
        <v>1521000</v>
      </c>
      <c r="N341" t="s">
        <v>4229</v>
      </c>
      <c r="O341" s="1">
        <v>45624</v>
      </c>
      <c r="P341" t="s">
        <v>4230</v>
      </c>
      <c r="Q341" t="s">
        <v>4231</v>
      </c>
      <c r="R341" t="s">
        <v>47</v>
      </c>
      <c r="S341" t="s">
        <v>48</v>
      </c>
      <c r="T341" t="s">
        <v>2449</v>
      </c>
      <c r="U341" t="s">
        <v>50</v>
      </c>
      <c r="V341" t="s">
        <v>3368</v>
      </c>
      <c r="W341" t="s">
        <v>132</v>
      </c>
      <c r="X341" t="s">
        <v>133</v>
      </c>
      <c r="Y341" t="s">
        <v>4232</v>
      </c>
      <c r="Z341">
        <v>5</v>
      </c>
      <c r="AA341" t="s">
        <v>118</v>
      </c>
      <c r="AB341" t="s">
        <v>4233</v>
      </c>
      <c r="AC341" t="s">
        <v>2836</v>
      </c>
      <c r="AD341" t="s">
        <v>58</v>
      </c>
      <c r="AE341">
        <v>1216800</v>
      </c>
      <c r="AF341">
        <v>24336</v>
      </c>
      <c r="AJ341" t="str">
        <f>_xlfn.XLOOKUP(Table9[[#This Row],[Engine No.]],'[1]Dubai Islamic Consumer'!$Q$3:$Q$1176,'[1]Dubai Islamic Consumer'!$B$3:$B$1176,,,)</f>
        <v>KHI/HO/D/MO/PC COMP/C/102086/206/11/2024</v>
      </c>
    </row>
    <row r="342" spans="1:36" hidden="1" x14ac:dyDescent="0.25">
      <c r="A342">
        <v>341</v>
      </c>
      <c r="B342" t="s">
        <v>35</v>
      </c>
      <c r="C342" t="s">
        <v>4234</v>
      </c>
      <c r="D342" t="s">
        <v>37</v>
      </c>
      <c r="E342" t="s">
        <v>4235</v>
      </c>
      <c r="F342" t="s">
        <v>107</v>
      </c>
      <c r="G342" t="s">
        <v>4236</v>
      </c>
      <c r="H342" t="s">
        <v>4237</v>
      </c>
      <c r="I342" t="s">
        <v>4237</v>
      </c>
      <c r="J342" t="s">
        <v>4237</v>
      </c>
      <c r="K342" t="s">
        <v>4238</v>
      </c>
      <c r="L342">
        <v>1302500</v>
      </c>
      <c r="M342">
        <v>2605000</v>
      </c>
      <c r="N342" t="s">
        <v>4239</v>
      </c>
      <c r="O342" s="1">
        <v>45624</v>
      </c>
      <c r="P342" t="s">
        <v>4240</v>
      </c>
      <c r="Q342" t="s">
        <v>4241</v>
      </c>
      <c r="R342" t="s">
        <v>47</v>
      </c>
      <c r="S342" t="s">
        <v>48</v>
      </c>
      <c r="T342" t="s">
        <v>2113</v>
      </c>
      <c r="U342" t="s">
        <v>50</v>
      </c>
      <c r="V342" t="s">
        <v>3368</v>
      </c>
      <c r="W342" t="s">
        <v>132</v>
      </c>
      <c r="X342" t="s">
        <v>133</v>
      </c>
      <c r="Y342" t="s">
        <v>4242</v>
      </c>
      <c r="Z342">
        <v>5</v>
      </c>
      <c r="AA342" t="s">
        <v>118</v>
      </c>
      <c r="AB342" t="s">
        <v>4243</v>
      </c>
      <c r="AC342" t="s">
        <v>3368</v>
      </c>
      <c r="AD342" t="s">
        <v>58</v>
      </c>
      <c r="AE342">
        <v>2084000</v>
      </c>
      <c r="AF342">
        <v>41680</v>
      </c>
      <c r="AJ342" t="str">
        <f>_xlfn.XLOOKUP(Table9[[#This Row],[Engine No.]],'[1]Dubai Islamic Consumer'!$Q$3:$Q$1176,'[1]Dubai Islamic Consumer'!$B$3:$B$1176,,,)</f>
        <v>KHI/HO/D/MO/PC COMP/C/102086/203/11/2024</v>
      </c>
    </row>
    <row r="343" spans="1:36" hidden="1" x14ac:dyDescent="0.25">
      <c r="A343">
        <v>342</v>
      </c>
      <c r="B343" t="s">
        <v>35</v>
      </c>
      <c r="C343" t="s">
        <v>4244</v>
      </c>
      <c r="D343" t="s">
        <v>37</v>
      </c>
      <c r="E343" t="s">
        <v>4245</v>
      </c>
      <c r="F343" t="s">
        <v>138</v>
      </c>
      <c r="G343" t="s">
        <v>4246</v>
      </c>
      <c r="H343" t="s">
        <v>4247</v>
      </c>
      <c r="I343" t="s">
        <v>4248</v>
      </c>
      <c r="J343" t="s">
        <v>141</v>
      </c>
      <c r="K343" t="s">
        <v>4249</v>
      </c>
      <c r="L343">
        <v>1387500</v>
      </c>
      <c r="M343">
        <v>1850000</v>
      </c>
      <c r="N343" t="s">
        <v>4250</v>
      </c>
      <c r="O343" s="1">
        <v>45624</v>
      </c>
      <c r="P343" t="s">
        <v>4251</v>
      </c>
      <c r="Q343" t="s">
        <v>4252</v>
      </c>
      <c r="R343" t="s">
        <v>146</v>
      </c>
      <c r="S343" t="s">
        <v>4253</v>
      </c>
      <c r="T343" t="s">
        <v>4254</v>
      </c>
      <c r="U343" t="s">
        <v>496</v>
      </c>
      <c r="V343" t="s">
        <v>3368</v>
      </c>
      <c r="W343" t="s">
        <v>132</v>
      </c>
      <c r="X343" t="s">
        <v>133</v>
      </c>
      <c r="Y343" t="s">
        <v>4255</v>
      </c>
      <c r="Z343">
        <v>5</v>
      </c>
      <c r="AA343" t="s">
        <v>118</v>
      </c>
      <c r="AB343" t="s">
        <v>4256</v>
      </c>
      <c r="AC343" t="s">
        <v>3368</v>
      </c>
      <c r="AD343" t="s">
        <v>299</v>
      </c>
      <c r="AE343">
        <v>1480000</v>
      </c>
      <c r="AF343">
        <v>22200</v>
      </c>
      <c r="AJ343" t="str">
        <f>_xlfn.XLOOKUP(Table9[[#This Row],[Engine No.]],'[1]Dubai Islamic Consumer'!$Q$3:$Q$1176,'[1]Dubai Islamic Consumer'!$B$3:$B$1176,,,)</f>
        <v>KHI/HO/D/MO/PC COMP/C/102086/202/11/2024</v>
      </c>
    </row>
    <row r="344" spans="1:36" hidden="1" x14ac:dyDescent="0.25">
      <c r="A344">
        <v>343</v>
      </c>
      <c r="B344" t="s">
        <v>35</v>
      </c>
      <c r="C344" t="s">
        <v>4257</v>
      </c>
      <c r="D344" t="s">
        <v>37</v>
      </c>
      <c r="E344" t="s">
        <v>4258</v>
      </c>
      <c r="F344" t="s">
        <v>138</v>
      </c>
      <c r="G344" t="s">
        <v>4259</v>
      </c>
      <c r="H344" t="s">
        <v>48</v>
      </c>
      <c r="I344" t="s">
        <v>4260</v>
      </c>
      <c r="J344" t="s">
        <v>48</v>
      </c>
      <c r="K344" t="s">
        <v>4261</v>
      </c>
      <c r="L344">
        <v>1425000</v>
      </c>
      <c r="M344">
        <v>1900000</v>
      </c>
      <c r="N344" t="s">
        <v>4262</v>
      </c>
      <c r="O344" s="1">
        <v>45624</v>
      </c>
      <c r="P344" t="s">
        <v>4263</v>
      </c>
      <c r="Q344" t="s">
        <v>4264</v>
      </c>
      <c r="R344" t="s">
        <v>146</v>
      </c>
      <c r="S344" t="s">
        <v>4265</v>
      </c>
      <c r="T344" t="s">
        <v>67</v>
      </c>
      <c r="U344" t="s">
        <v>614</v>
      </c>
      <c r="V344" t="s">
        <v>3368</v>
      </c>
      <c r="W344" t="s">
        <v>132</v>
      </c>
      <c r="X344" t="s">
        <v>133</v>
      </c>
      <c r="Y344" t="s">
        <v>4266</v>
      </c>
      <c r="Z344">
        <v>5</v>
      </c>
      <c r="AA344" t="s">
        <v>118</v>
      </c>
      <c r="AB344" t="s">
        <v>4267</v>
      </c>
      <c r="AC344" t="s">
        <v>2836</v>
      </c>
      <c r="AD344" t="s">
        <v>299</v>
      </c>
      <c r="AE344">
        <v>1520000</v>
      </c>
      <c r="AF344">
        <v>22800</v>
      </c>
      <c r="AJ344" t="str">
        <f>_xlfn.XLOOKUP(Table9[[#This Row],[Engine No.]],'[1]Dubai Islamic Consumer'!$Q$3:$Q$1176,'[1]Dubai Islamic Consumer'!$B$3:$B$1176,,,)</f>
        <v>KHI/HO/D/MO/PC COMP/C/102086/201/11/2024</v>
      </c>
    </row>
    <row r="345" spans="1:36" hidden="1" x14ac:dyDescent="0.25">
      <c r="A345">
        <v>344</v>
      </c>
      <c r="B345" t="s">
        <v>35</v>
      </c>
      <c r="C345" t="s">
        <v>4268</v>
      </c>
      <c r="D345" t="s">
        <v>37</v>
      </c>
      <c r="E345" t="s">
        <v>4269</v>
      </c>
      <c r="F345" t="s">
        <v>245</v>
      </c>
      <c r="G345" t="s">
        <v>4270</v>
      </c>
      <c r="H345" t="s">
        <v>4271</v>
      </c>
      <c r="I345" t="s">
        <v>48</v>
      </c>
      <c r="J345" t="s">
        <v>141</v>
      </c>
      <c r="K345" t="s">
        <v>4272</v>
      </c>
      <c r="L345">
        <v>1480000</v>
      </c>
      <c r="M345">
        <v>1850000</v>
      </c>
      <c r="N345" t="s">
        <v>4273</v>
      </c>
      <c r="O345" s="1">
        <v>45624</v>
      </c>
      <c r="P345" t="s">
        <v>4274</v>
      </c>
      <c r="Q345" t="s">
        <v>4275</v>
      </c>
      <c r="R345" t="s">
        <v>146</v>
      </c>
      <c r="S345" t="s">
        <v>4276</v>
      </c>
      <c r="T345" t="s">
        <v>181</v>
      </c>
      <c r="U345" t="s">
        <v>496</v>
      </c>
      <c r="V345" t="s">
        <v>3368</v>
      </c>
      <c r="W345" t="s">
        <v>132</v>
      </c>
      <c r="X345" t="s">
        <v>133</v>
      </c>
      <c r="Y345" t="s">
        <v>4277</v>
      </c>
      <c r="Z345">
        <v>5</v>
      </c>
      <c r="AA345" t="s">
        <v>323</v>
      </c>
      <c r="AB345" t="s">
        <v>4278</v>
      </c>
      <c r="AC345" t="s">
        <v>2836</v>
      </c>
      <c r="AD345" t="s">
        <v>299</v>
      </c>
      <c r="AE345">
        <v>1480000</v>
      </c>
      <c r="AF345">
        <v>22200</v>
      </c>
      <c r="AJ345" t="str">
        <f>_xlfn.XLOOKUP(Table9[[#This Row],[Engine No.]],'[1]Dubai Islamic Consumer'!$Q$3:$Q$1176,'[1]Dubai Islamic Consumer'!$B$3:$B$1176,,,)</f>
        <v>KHI/HO/D/MO/PC COMP/C/102086/200/11/2024</v>
      </c>
    </row>
    <row r="346" spans="1:36" hidden="1" x14ac:dyDescent="0.25">
      <c r="A346">
        <v>345</v>
      </c>
      <c r="B346" t="s">
        <v>35</v>
      </c>
      <c r="C346" t="s">
        <v>4279</v>
      </c>
      <c r="D346" t="s">
        <v>37</v>
      </c>
      <c r="E346" t="s">
        <v>4280</v>
      </c>
      <c r="F346" t="s">
        <v>138</v>
      </c>
      <c r="G346" t="s">
        <v>4281</v>
      </c>
      <c r="H346" t="s">
        <v>48</v>
      </c>
      <c r="I346" t="s">
        <v>4282</v>
      </c>
      <c r="J346" t="s">
        <v>48</v>
      </c>
      <c r="K346" t="s">
        <v>4283</v>
      </c>
      <c r="L346">
        <v>1505100</v>
      </c>
      <c r="M346">
        <v>2595000</v>
      </c>
      <c r="N346" t="s">
        <v>4284</v>
      </c>
      <c r="O346" s="1">
        <v>45624</v>
      </c>
      <c r="P346" t="s">
        <v>4285</v>
      </c>
      <c r="Q346" t="s">
        <v>4286</v>
      </c>
      <c r="R346" t="s">
        <v>47</v>
      </c>
      <c r="S346" t="s">
        <v>48</v>
      </c>
      <c r="T346" t="s">
        <v>699</v>
      </c>
      <c r="U346" t="s">
        <v>50</v>
      </c>
      <c r="V346" t="s">
        <v>3368</v>
      </c>
      <c r="W346" t="s">
        <v>132</v>
      </c>
      <c r="X346" t="s">
        <v>133</v>
      </c>
      <c r="Y346" t="s">
        <v>4287</v>
      </c>
      <c r="Z346">
        <v>5</v>
      </c>
      <c r="AA346" t="s">
        <v>118</v>
      </c>
      <c r="AB346" t="s">
        <v>4288</v>
      </c>
      <c r="AC346" t="s">
        <v>2836</v>
      </c>
      <c r="AD346" t="s">
        <v>58</v>
      </c>
      <c r="AE346">
        <v>2076000</v>
      </c>
      <c r="AF346">
        <v>41520</v>
      </c>
      <c r="AJ346" t="str">
        <f>_xlfn.XLOOKUP(Table9[[#This Row],[Engine No.]],'[1]Dubai Islamic Consumer'!$Q$3:$Q$1176,'[1]Dubai Islamic Consumer'!$B$3:$B$1176,,,)</f>
        <v>KHI/HO/D/MO/PC COMP/C/102086/198/11/2024</v>
      </c>
    </row>
    <row r="347" spans="1:36" hidden="1" x14ac:dyDescent="0.25">
      <c r="A347">
        <v>346</v>
      </c>
      <c r="B347" t="s">
        <v>35</v>
      </c>
      <c r="C347" t="s">
        <v>4289</v>
      </c>
      <c r="D347" t="s">
        <v>37</v>
      </c>
      <c r="E347" t="s">
        <v>4290</v>
      </c>
      <c r="F347" t="s">
        <v>138</v>
      </c>
      <c r="G347" t="s">
        <v>4291</v>
      </c>
      <c r="H347" t="s">
        <v>4292</v>
      </c>
      <c r="I347" t="s">
        <v>4292</v>
      </c>
      <c r="J347" t="s">
        <v>141</v>
      </c>
      <c r="K347" t="s">
        <v>4293</v>
      </c>
      <c r="L347">
        <v>1481600</v>
      </c>
      <c r="M347">
        <v>1852000</v>
      </c>
      <c r="N347" t="s">
        <v>4294</v>
      </c>
      <c r="O347" s="1">
        <v>45624</v>
      </c>
      <c r="P347" t="s">
        <v>4295</v>
      </c>
      <c r="Q347" t="s">
        <v>4296</v>
      </c>
      <c r="R347" t="s">
        <v>47</v>
      </c>
      <c r="S347" t="s">
        <v>48</v>
      </c>
      <c r="T347" t="s">
        <v>3356</v>
      </c>
      <c r="U347" t="s">
        <v>50</v>
      </c>
      <c r="V347" t="s">
        <v>3368</v>
      </c>
      <c r="W347" t="s">
        <v>132</v>
      </c>
      <c r="X347" t="s">
        <v>1191</v>
      </c>
      <c r="Y347" t="s">
        <v>4297</v>
      </c>
      <c r="Z347">
        <v>7</v>
      </c>
      <c r="AA347" t="s">
        <v>118</v>
      </c>
      <c r="AB347" t="s">
        <v>4298</v>
      </c>
      <c r="AC347" t="s">
        <v>2836</v>
      </c>
      <c r="AD347" t="s">
        <v>58</v>
      </c>
      <c r="AE347">
        <v>1481600</v>
      </c>
      <c r="AF347">
        <v>29632</v>
      </c>
      <c r="AJ347" t="str">
        <f>_xlfn.XLOOKUP(Table9[[#This Row],[Engine No.]],'[1]Dubai Islamic Consumer'!$Q$3:$Q$1176,'[1]Dubai Islamic Consumer'!$B$3:$B$1176,,,)</f>
        <v>KHI/HO/D/MO/PC COMP/C/102086/197/11/2024</v>
      </c>
    </row>
    <row r="348" spans="1:36" hidden="1" x14ac:dyDescent="0.25">
      <c r="A348">
        <v>347</v>
      </c>
      <c r="B348" t="s">
        <v>35</v>
      </c>
      <c r="C348" t="s">
        <v>4299</v>
      </c>
      <c r="D348" t="s">
        <v>37</v>
      </c>
      <c r="E348" t="s">
        <v>4300</v>
      </c>
      <c r="F348" t="s">
        <v>107</v>
      </c>
      <c r="G348" t="s">
        <v>4301</v>
      </c>
      <c r="H348" t="s">
        <v>4302</v>
      </c>
      <c r="I348" t="s">
        <v>4302</v>
      </c>
      <c r="J348" t="s">
        <v>4302</v>
      </c>
      <c r="K348" t="s">
        <v>4303</v>
      </c>
      <c r="L348">
        <v>1621800</v>
      </c>
      <c r="M348">
        <v>2703000</v>
      </c>
      <c r="N348" t="s">
        <v>4304</v>
      </c>
      <c r="O348" s="1">
        <v>45624</v>
      </c>
      <c r="P348" t="s">
        <v>4305</v>
      </c>
      <c r="Q348" t="s">
        <v>4306</v>
      </c>
      <c r="R348" t="s">
        <v>47</v>
      </c>
      <c r="S348" t="s">
        <v>48</v>
      </c>
      <c r="T348" t="s">
        <v>1826</v>
      </c>
      <c r="U348" t="s">
        <v>50</v>
      </c>
      <c r="V348" t="s">
        <v>3008</v>
      </c>
      <c r="W348" t="s">
        <v>132</v>
      </c>
      <c r="X348" t="s">
        <v>133</v>
      </c>
      <c r="Y348" t="s">
        <v>4307</v>
      </c>
      <c r="Z348">
        <v>5</v>
      </c>
      <c r="AA348" t="s">
        <v>55</v>
      </c>
      <c r="AB348" t="s">
        <v>4308</v>
      </c>
      <c r="AC348" t="s">
        <v>3368</v>
      </c>
      <c r="AD348" t="s">
        <v>58</v>
      </c>
      <c r="AE348">
        <v>2162400</v>
      </c>
      <c r="AF348">
        <v>43248</v>
      </c>
      <c r="AJ348" t="str">
        <f>_xlfn.XLOOKUP(Table9[[#This Row],[Engine No.]],'[1]Dubai Islamic Consumer'!$Q$3:$Q$1176,'[1]Dubai Islamic Consumer'!$B$3:$B$1176,,,)</f>
        <v>KHI/HO/D/MO/PC COMP/C/102086/190/11/2024</v>
      </c>
    </row>
    <row r="349" spans="1:36" hidden="1" x14ac:dyDescent="0.25">
      <c r="A349">
        <v>348</v>
      </c>
      <c r="B349" t="s">
        <v>35</v>
      </c>
      <c r="C349" t="s">
        <v>4309</v>
      </c>
      <c r="D349" t="s">
        <v>37</v>
      </c>
      <c r="E349" t="s">
        <v>4310</v>
      </c>
      <c r="F349" t="s">
        <v>138</v>
      </c>
      <c r="G349" t="s">
        <v>4311</v>
      </c>
      <c r="H349" t="s">
        <v>4312</v>
      </c>
      <c r="I349" t="s">
        <v>4313</v>
      </c>
      <c r="J349" t="s">
        <v>4312</v>
      </c>
      <c r="K349" t="s">
        <v>4314</v>
      </c>
      <c r="L349">
        <v>1664000</v>
      </c>
      <c r="M349">
        <v>2080000</v>
      </c>
      <c r="N349" t="s">
        <v>4315</v>
      </c>
      <c r="O349" s="1">
        <v>45624</v>
      </c>
      <c r="P349" t="s">
        <v>4316</v>
      </c>
      <c r="Q349" t="s">
        <v>4317</v>
      </c>
      <c r="R349" t="s">
        <v>146</v>
      </c>
      <c r="S349" t="s">
        <v>4318</v>
      </c>
      <c r="T349" t="s">
        <v>3282</v>
      </c>
      <c r="U349" t="s">
        <v>614</v>
      </c>
      <c r="V349" t="s">
        <v>3368</v>
      </c>
      <c r="W349" t="s">
        <v>132</v>
      </c>
      <c r="X349" t="s">
        <v>133</v>
      </c>
      <c r="Y349" t="s">
        <v>4319</v>
      </c>
      <c r="Z349">
        <v>5</v>
      </c>
      <c r="AA349" t="s">
        <v>118</v>
      </c>
      <c r="AB349" t="s">
        <v>4320</v>
      </c>
      <c r="AC349" t="s">
        <v>2836</v>
      </c>
      <c r="AD349" t="s">
        <v>299</v>
      </c>
      <c r="AE349">
        <v>1664000</v>
      </c>
      <c r="AF349">
        <v>24960</v>
      </c>
      <c r="AJ349" t="str">
        <f>_xlfn.XLOOKUP(Table9[[#This Row],[Engine No.]],'[1]Dubai Islamic Consumer'!$Q$3:$Q$1176,'[1]Dubai Islamic Consumer'!$B$3:$B$1176,,,)</f>
        <v>KHI/HO/D/MO/PC COMP/C/102086/189/11/2024</v>
      </c>
    </row>
    <row r="350" spans="1:36" hidden="1" x14ac:dyDescent="0.25">
      <c r="A350">
        <v>349</v>
      </c>
      <c r="B350" t="s">
        <v>35</v>
      </c>
      <c r="C350" t="s">
        <v>4321</v>
      </c>
      <c r="D350" t="s">
        <v>37</v>
      </c>
      <c r="E350" t="s">
        <v>4322</v>
      </c>
      <c r="F350" t="s">
        <v>138</v>
      </c>
      <c r="G350" t="s">
        <v>4323</v>
      </c>
      <c r="H350" t="s">
        <v>48</v>
      </c>
      <c r="I350" t="s">
        <v>4324</v>
      </c>
      <c r="J350" t="s">
        <v>4325</v>
      </c>
      <c r="K350" t="s">
        <v>4326</v>
      </c>
      <c r="L350">
        <v>2162000</v>
      </c>
      <c r="M350">
        <v>4324000</v>
      </c>
      <c r="N350" t="s">
        <v>4327</v>
      </c>
      <c r="O350" t="s">
        <v>4328</v>
      </c>
      <c r="P350" t="s">
        <v>4329</v>
      </c>
      <c r="Q350" t="s">
        <v>4330</v>
      </c>
      <c r="R350" t="s">
        <v>47</v>
      </c>
      <c r="S350" t="s">
        <v>48</v>
      </c>
      <c r="T350" t="s">
        <v>4331</v>
      </c>
      <c r="U350" t="s">
        <v>386</v>
      </c>
      <c r="V350" s="1">
        <v>45286</v>
      </c>
      <c r="W350" t="s">
        <v>3964</v>
      </c>
      <c r="X350" t="s">
        <v>3977</v>
      </c>
      <c r="Y350" t="s">
        <v>4332</v>
      </c>
      <c r="Z350">
        <v>2</v>
      </c>
      <c r="AA350" t="s">
        <v>55</v>
      </c>
      <c r="AB350" t="s">
        <v>4333</v>
      </c>
      <c r="AC350" t="s">
        <v>4334</v>
      </c>
      <c r="AD350" t="s">
        <v>86</v>
      </c>
      <c r="AE350">
        <v>3891600</v>
      </c>
      <c r="AF350">
        <v>68103</v>
      </c>
      <c r="AJ350" t="str">
        <f>_xlfn.XLOOKUP(Table9[[#This Row],[Engine No.]],'[1]Dubai Islamic Consumer'!$Q$3:$Q$1176,'[1]Dubai Islamic Consumer'!$B$3:$B$1176,,,)</f>
        <v>KHI/HO/D/MO/PC COMP/C/103702/340/12/2024</v>
      </c>
    </row>
    <row r="351" spans="1:36" hidden="1" x14ac:dyDescent="0.25">
      <c r="A351">
        <v>350</v>
      </c>
      <c r="B351" t="s">
        <v>35</v>
      </c>
      <c r="C351" t="s">
        <v>4335</v>
      </c>
      <c r="D351" t="s">
        <v>37</v>
      </c>
      <c r="E351" t="s">
        <v>4336</v>
      </c>
      <c r="F351" t="s">
        <v>138</v>
      </c>
      <c r="G351" t="s">
        <v>4337</v>
      </c>
      <c r="H351" t="s">
        <v>48</v>
      </c>
      <c r="I351" t="s">
        <v>4338</v>
      </c>
      <c r="J351" t="s">
        <v>48</v>
      </c>
      <c r="K351" t="s">
        <v>4339</v>
      </c>
      <c r="L351">
        <v>1872563</v>
      </c>
      <c r="M351">
        <v>2905000</v>
      </c>
      <c r="N351" t="s">
        <v>4340</v>
      </c>
      <c r="O351" s="1">
        <v>45624</v>
      </c>
      <c r="P351" t="s">
        <v>4341</v>
      </c>
      <c r="Q351" t="s">
        <v>4342</v>
      </c>
      <c r="R351" t="s">
        <v>47</v>
      </c>
      <c r="S351" t="s">
        <v>48</v>
      </c>
      <c r="T351" t="s">
        <v>2918</v>
      </c>
      <c r="U351" t="s">
        <v>50</v>
      </c>
      <c r="V351" t="s">
        <v>68</v>
      </c>
      <c r="W351" t="s">
        <v>132</v>
      </c>
      <c r="X351" t="s">
        <v>133</v>
      </c>
      <c r="Y351" t="s">
        <v>4343</v>
      </c>
      <c r="Z351">
        <v>5</v>
      </c>
      <c r="AA351" t="s">
        <v>118</v>
      </c>
      <c r="AB351" t="s">
        <v>4344</v>
      </c>
      <c r="AC351" t="s">
        <v>2836</v>
      </c>
      <c r="AD351" t="s">
        <v>58</v>
      </c>
      <c r="AE351">
        <v>2324000</v>
      </c>
      <c r="AF351">
        <v>46480</v>
      </c>
      <c r="AJ351" t="str">
        <f>_xlfn.XLOOKUP(Table9[[#This Row],[Engine No.]],'[1]Dubai Islamic Consumer'!$Q$3:$Q$1176,'[1]Dubai Islamic Consumer'!$B$3:$B$1176,,,)</f>
        <v>KHI/HO/D/MO/PC COMP/C/102086/188/11/2024</v>
      </c>
    </row>
    <row r="352" spans="1:36" hidden="1" x14ac:dyDescent="0.25">
      <c r="A352">
        <v>351</v>
      </c>
      <c r="B352" t="s">
        <v>35</v>
      </c>
      <c r="C352" t="s">
        <v>4345</v>
      </c>
      <c r="D352" t="s">
        <v>37</v>
      </c>
      <c r="E352" t="s">
        <v>4346</v>
      </c>
      <c r="F352" t="s">
        <v>138</v>
      </c>
      <c r="G352" t="s">
        <v>4347</v>
      </c>
      <c r="H352" t="s">
        <v>48</v>
      </c>
      <c r="I352" t="s">
        <v>4348</v>
      </c>
      <c r="J352" t="s">
        <v>48</v>
      </c>
      <c r="K352" t="s">
        <v>4349</v>
      </c>
      <c r="L352">
        <v>1750000</v>
      </c>
      <c r="M352">
        <v>2500000</v>
      </c>
      <c r="N352" t="s">
        <v>4350</v>
      </c>
      <c r="O352" t="s">
        <v>4328</v>
      </c>
      <c r="P352" t="s">
        <v>4351</v>
      </c>
      <c r="Q352" t="s">
        <v>4352</v>
      </c>
      <c r="R352" t="s">
        <v>146</v>
      </c>
      <c r="S352" t="s">
        <v>4353</v>
      </c>
      <c r="T352" t="s">
        <v>4354</v>
      </c>
      <c r="U352" t="s">
        <v>496</v>
      </c>
      <c r="V352" s="1">
        <v>45286</v>
      </c>
      <c r="W352" t="s">
        <v>3964</v>
      </c>
      <c r="X352" t="s">
        <v>4016</v>
      </c>
      <c r="Y352" t="s">
        <v>4355</v>
      </c>
      <c r="Z352">
        <v>3</v>
      </c>
      <c r="AA352" t="s">
        <v>55</v>
      </c>
      <c r="AB352" t="s">
        <v>4356</v>
      </c>
      <c r="AC352" t="s">
        <v>4357</v>
      </c>
      <c r="AD352" t="s">
        <v>86</v>
      </c>
      <c r="AE352">
        <v>2250000</v>
      </c>
      <c r="AF352">
        <v>39375</v>
      </c>
      <c r="AJ352" t="str">
        <f>_xlfn.XLOOKUP(Table9[[#This Row],[Engine No.]],'[1]Dubai Islamic Consumer'!$Q$3:$Q$1176,'[1]Dubai Islamic Consumer'!$B$3:$B$1176,,,)</f>
        <v>KHI/HO/D/MO/PC COMP/C/103702/342/12/2024</v>
      </c>
    </row>
    <row r="353" spans="1:36" hidden="1" x14ac:dyDescent="0.25">
      <c r="A353">
        <v>352</v>
      </c>
      <c r="B353" t="s">
        <v>35</v>
      </c>
      <c r="C353" t="s">
        <v>4358</v>
      </c>
      <c r="D353" t="s">
        <v>37</v>
      </c>
      <c r="E353" t="s">
        <v>4359</v>
      </c>
      <c r="F353" t="s">
        <v>107</v>
      </c>
      <c r="G353" t="s">
        <v>4360</v>
      </c>
      <c r="H353" t="s">
        <v>4361</v>
      </c>
      <c r="I353" t="s">
        <v>4361</v>
      </c>
      <c r="J353" t="s">
        <v>4361</v>
      </c>
      <c r="K353" t="s">
        <v>4362</v>
      </c>
      <c r="L353">
        <v>2116000</v>
      </c>
      <c r="M353">
        <v>2645000</v>
      </c>
      <c r="N353" t="s">
        <v>4363</v>
      </c>
      <c r="O353" s="1">
        <v>45624</v>
      </c>
      <c r="P353" t="s">
        <v>4364</v>
      </c>
      <c r="Q353" t="s">
        <v>4365</v>
      </c>
      <c r="R353" t="s">
        <v>47</v>
      </c>
      <c r="S353" t="s">
        <v>48</v>
      </c>
      <c r="T353" t="s">
        <v>4366</v>
      </c>
      <c r="U353" t="s">
        <v>50</v>
      </c>
      <c r="V353" t="s">
        <v>4367</v>
      </c>
      <c r="W353" t="s">
        <v>132</v>
      </c>
      <c r="X353" t="s">
        <v>133</v>
      </c>
      <c r="Y353" t="s">
        <v>4368</v>
      </c>
      <c r="Z353">
        <v>5</v>
      </c>
      <c r="AA353" t="s">
        <v>55</v>
      </c>
      <c r="AB353" t="s">
        <v>4369</v>
      </c>
      <c r="AC353" t="s">
        <v>3368</v>
      </c>
      <c r="AD353" t="s">
        <v>58</v>
      </c>
      <c r="AE353">
        <v>2116000</v>
      </c>
      <c r="AF353">
        <v>42320</v>
      </c>
      <c r="AJ353" t="str">
        <f>_xlfn.XLOOKUP(Table9[[#This Row],[Engine No.]],'[1]Dubai Islamic Consumer'!$Q$3:$Q$1176,'[1]Dubai Islamic Consumer'!$B$3:$B$1176,,,)</f>
        <v>KHI/HO/D/MO/PC COMP/C/102086/187/11/2024</v>
      </c>
    </row>
    <row r="354" spans="1:36" hidden="1" x14ac:dyDescent="0.25">
      <c r="A354">
        <v>353</v>
      </c>
      <c r="B354" t="s">
        <v>35</v>
      </c>
      <c r="C354" t="s">
        <v>4370</v>
      </c>
      <c r="D354" t="s">
        <v>37</v>
      </c>
      <c r="E354" t="s">
        <v>4371</v>
      </c>
      <c r="F354" t="s">
        <v>290</v>
      </c>
      <c r="G354" t="s">
        <v>4372</v>
      </c>
      <c r="H354" t="s">
        <v>48</v>
      </c>
      <c r="I354" t="s">
        <v>4373</v>
      </c>
      <c r="J354" t="s">
        <v>48</v>
      </c>
      <c r="K354" t="s">
        <v>4374</v>
      </c>
      <c r="L354">
        <v>2162400</v>
      </c>
      <c r="M354">
        <v>2703000</v>
      </c>
      <c r="N354" t="s">
        <v>4375</v>
      </c>
      <c r="O354" s="1">
        <v>45624</v>
      </c>
      <c r="P354" t="s">
        <v>4376</v>
      </c>
      <c r="Q354" t="s">
        <v>4377</v>
      </c>
      <c r="R354" t="s">
        <v>47</v>
      </c>
      <c r="S354" t="s">
        <v>48</v>
      </c>
      <c r="T354" t="s">
        <v>2918</v>
      </c>
      <c r="U354" t="s">
        <v>50</v>
      </c>
      <c r="V354" t="s">
        <v>4378</v>
      </c>
      <c r="W354" t="s">
        <v>132</v>
      </c>
      <c r="X354" t="s">
        <v>133</v>
      </c>
      <c r="Y354" t="s">
        <v>4379</v>
      </c>
      <c r="Z354">
        <v>5</v>
      </c>
      <c r="AA354" t="s">
        <v>55</v>
      </c>
      <c r="AB354" t="s">
        <v>4380</v>
      </c>
      <c r="AC354" t="s">
        <v>2836</v>
      </c>
      <c r="AD354" t="s">
        <v>58</v>
      </c>
      <c r="AE354">
        <v>2162400</v>
      </c>
      <c r="AF354">
        <v>43248</v>
      </c>
      <c r="AJ354" t="str">
        <f>_xlfn.XLOOKUP(Table9[[#This Row],[Engine No.]],'[1]Dubai Islamic Consumer'!$Q$3:$Q$1176,'[1]Dubai Islamic Consumer'!$B$3:$B$1176,,,)</f>
        <v>KHI/HO/D/MO/PC COMP/C/102086/185/11/2024</v>
      </c>
    </row>
    <row r="355" spans="1:36" hidden="1" x14ac:dyDescent="0.25">
      <c r="A355">
        <v>354</v>
      </c>
      <c r="B355" t="s">
        <v>35</v>
      </c>
      <c r="C355" t="s">
        <v>4381</v>
      </c>
      <c r="D355" t="s">
        <v>37</v>
      </c>
      <c r="E355" t="s">
        <v>2260</v>
      </c>
      <c r="F355" t="s">
        <v>39</v>
      </c>
      <c r="G355" t="s">
        <v>4382</v>
      </c>
      <c r="H355" t="s">
        <v>4383</v>
      </c>
      <c r="I355" t="s">
        <v>4384</v>
      </c>
      <c r="J355" t="s">
        <v>4383</v>
      </c>
      <c r="K355" t="s">
        <v>4385</v>
      </c>
      <c r="L355">
        <v>2732100</v>
      </c>
      <c r="M355">
        <v>3903000</v>
      </c>
      <c r="N355" t="s">
        <v>4386</v>
      </c>
      <c r="O355" s="1">
        <v>45624</v>
      </c>
      <c r="P355" t="s">
        <v>4387</v>
      </c>
      <c r="Q355" t="s">
        <v>4388</v>
      </c>
      <c r="R355" t="s">
        <v>47</v>
      </c>
      <c r="S355" t="s">
        <v>48</v>
      </c>
      <c r="T355" t="s">
        <v>4389</v>
      </c>
      <c r="U355" t="s">
        <v>50</v>
      </c>
      <c r="V355" t="s">
        <v>3368</v>
      </c>
      <c r="W355" t="s">
        <v>132</v>
      </c>
      <c r="X355" t="s">
        <v>133</v>
      </c>
      <c r="Y355" t="s">
        <v>4390</v>
      </c>
      <c r="Z355">
        <v>5</v>
      </c>
      <c r="AA355" t="s">
        <v>118</v>
      </c>
      <c r="AB355" t="s">
        <v>4391</v>
      </c>
      <c r="AC355" t="s">
        <v>2836</v>
      </c>
      <c r="AD355" t="s">
        <v>58</v>
      </c>
      <c r="AE355">
        <v>3122400</v>
      </c>
      <c r="AF355">
        <v>62448</v>
      </c>
      <c r="AJ355" t="str">
        <f>_xlfn.XLOOKUP(Table9[[#This Row],[Engine No.]],'[1]Dubai Islamic Consumer'!$Q$3:$Q$1176,'[1]Dubai Islamic Consumer'!$B$3:$B$1176,,,)</f>
        <v>KHI/HO/D/MO/PC COMP/C/102086/184/11/2024</v>
      </c>
    </row>
    <row r="356" spans="1:36" hidden="1" x14ac:dyDescent="0.25">
      <c r="A356">
        <v>355</v>
      </c>
      <c r="B356" t="s">
        <v>35</v>
      </c>
      <c r="C356" t="s">
        <v>4392</v>
      </c>
      <c r="D356" t="s">
        <v>37</v>
      </c>
      <c r="E356" t="s">
        <v>4393</v>
      </c>
      <c r="F356" t="s">
        <v>138</v>
      </c>
      <c r="G356" t="s">
        <v>4394</v>
      </c>
      <c r="H356" t="s">
        <v>48</v>
      </c>
      <c r="I356" t="s">
        <v>4395</v>
      </c>
      <c r="J356" t="s">
        <v>48</v>
      </c>
      <c r="K356" t="s">
        <v>4396</v>
      </c>
      <c r="L356">
        <v>2816800</v>
      </c>
      <c r="M356">
        <v>4024000</v>
      </c>
      <c r="N356" t="s">
        <v>4397</v>
      </c>
      <c r="O356" s="1">
        <v>45624</v>
      </c>
      <c r="P356" t="s">
        <v>4398</v>
      </c>
      <c r="Q356" t="s">
        <v>4399</v>
      </c>
      <c r="R356" t="s">
        <v>47</v>
      </c>
      <c r="S356" t="s">
        <v>48</v>
      </c>
      <c r="T356" t="s">
        <v>97</v>
      </c>
      <c r="U356" t="s">
        <v>50</v>
      </c>
      <c r="V356" t="s">
        <v>4400</v>
      </c>
      <c r="W356" t="s">
        <v>132</v>
      </c>
      <c r="X356" t="s">
        <v>133</v>
      </c>
      <c r="Y356" t="s">
        <v>4401</v>
      </c>
      <c r="Z356">
        <v>5</v>
      </c>
      <c r="AA356" t="s">
        <v>55</v>
      </c>
      <c r="AB356" t="s">
        <v>4402</v>
      </c>
      <c r="AC356" t="s">
        <v>2034</v>
      </c>
      <c r="AD356" t="s">
        <v>58</v>
      </c>
      <c r="AE356">
        <v>3219200</v>
      </c>
      <c r="AF356">
        <v>64384</v>
      </c>
      <c r="AJ356" t="str">
        <f>_xlfn.XLOOKUP(Table9[[#This Row],[Engine No.]],'[1]Dubai Islamic Consumer'!$Q$3:$Q$1176,'[1]Dubai Islamic Consumer'!$B$3:$B$1176,,,)</f>
        <v>KHI/HO/D/MO/PC COMP/C/102086/183/11/2024</v>
      </c>
    </row>
    <row r="357" spans="1:36" hidden="1" x14ac:dyDescent="0.25">
      <c r="A357">
        <v>356</v>
      </c>
      <c r="B357" t="s">
        <v>35</v>
      </c>
      <c r="C357" t="s">
        <v>4403</v>
      </c>
      <c r="D357" t="s">
        <v>37</v>
      </c>
      <c r="E357" t="s">
        <v>4404</v>
      </c>
      <c r="F357" t="s">
        <v>138</v>
      </c>
      <c r="G357" t="s">
        <v>4405</v>
      </c>
      <c r="H357" t="s">
        <v>48</v>
      </c>
      <c r="I357" t="s">
        <v>4406</v>
      </c>
      <c r="J357" t="s">
        <v>48</v>
      </c>
      <c r="K357" t="s">
        <v>4407</v>
      </c>
      <c r="L357">
        <v>2816800</v>
      </c>
      <c r="M357">
        <v>4024000</v>
      </c>
      <c r="N357" t="s">
        <v>4408</v>
      </c>
      <c r="O357" s="1">
        <v>45624</v>
      </c>
      <c r="P357" t="s">
        <v>4409</v>
      </c>
      <c r="Q357" t="s">
        <v>4410</v>
      </c>
      <c r="R357" t="s">
        <v>47</v>
      </c>
      <c r="S357" t="s">
        <v>48</v>
      </c>
      <c r="T357" t="s">
        <v>4411</v>
      </c>
      <c r="U357" t="s">
        <v>50</v>
      </c>
      <c r="V357" t="s">
        <v>1167</v>
      </c>
      <c r="W357" t="s">
        <v>132</v>
      </c>
      <c r="X357" t="s">
        <v>133</v>
      </c>
      <c r="Y357" t="s">
        <v>4412</v>
      </c>
      <c r="Z357">
        <v>5</v>
      </c>
      <c r="AA357" t="s">
        <v>55</v>
      </c>
      <c r="AB357" t="s">
        <v>4413</v>
      </c>
      <c r="AC357" t="s">
        <v>3155</v>
      </c>
      <c r="AD357" t="s">
        <v>58</v>
      </c>
      <c r="AE357">
        <v>3219200</v>
      </c>
      <c r="AF357">
        <v>64384</v>
      </c>
      <c r="AJ357" t="str">
        <f>_xlfn.XLOOKUP(Table9[[#This Row],[Engine No.]],'[1]Dubai Islamic Consumer'!$Q$3:$Q$1176,'[1]Dubai Islamic Consumer'!$B$3:$B$1176,,,)</f>
        <v>KHI/HO/D/MO/PC COMP/C/102086/182/11/2024</v>
      </c>
    </row>
    <row r="358" spans="1:36" hidden="1" x14ac:dyDescent="0.25">
      <c r="A358">
        <v>357</v>
      </c>
      <c r="B358" t="s">
        <v>35</v>
      </c>
      <c r="C358" t="s">
        <v>4414</v>
      </c>
      <c r="D358" t="s">
        <v>37</v>
      </c>
      <c r="E358" t="s">
        <v>4415</v>
      </c>
      <c r="F358" t="s">
        <v>107</v>
      </c>
      <c r="G358" t="s">
        <v>4416</v>
      </c>
      <c r="H358" t="s">
        <v>4417</v>
      </c>
      <c r="I358" t="s">
        <v>4417</v>
      </c>
      <c r="J358" t="s">
        <v>4417</v>
      </c>
      <c r="K358" t="s">
        <v>4418</v>
      </c>
      <c r="L358">
        <v>771400</v>
      </c>
      <c r="M358">
        <v>1330000</v>
      </c>
      <c r="N358" t="s">
        <v>4419</v>
      </c>
      <c r="O358" s="1">
        <v>45624</v>
      </c>
      <c r="P358" t="s">
        <v>4420</v>
      </c>
      <c r="Q358" t="s">
        <v>4421</v>
      </c>
      <c r="R358" t="s">
        <v>146</v>
      </c>
      <c r="S358" t="s">
        <v>4422</v>
      </c>
      <c r="T358" t="s">
        <v>321</v>
      </c>
      <c r="U358" t="s">
        <v>335</v>
      </c>
      <c r="V358" t="s">
        <v>3368</v>
      </c>
      <c r="W358" t="s">
        <v>132</v>
      </c>
      <c r="X358" t="s">
        <v>1191</v>
      </c>
      <c r="Y358" t="s">
        <v>4423</v>
      </c>
      <c r="Z358">
        <v>7</v>
      </c>
      <c r="AA358" t="s">
        <v>118</v>
      </c>
      <c r="AB358" t="s">
        <v>4424</v>
      </c>
      <c r="AC358" t="s">
        <v>2836</v>
      </c>
      <c r="AD358" t="s">
        <v>299</v>
      </c>
      <c r="AE358">
        <v>1064000</v>
      </c>
      <c r="AF358">
        <v>15960</v>
      </c>
      <c r="AJ358" t="str">
        <f>_xlfn.XLOOKUP(Table9[[#This Row],[Engine No.]],'[1]Dubai Islamic Consumer'!$Q$3:$Q$1176,'[1]Dubai Islamic Consumer'!$B$3:$B$1176,,,)</f>
        <v>KHI/HO/D/MO/PC COMP/C/102086/179/11/2024</v>
      </c>
    </row>
    <row r="359" spans="1:36" hidden="1" x14ac:dyDescent="0.25">
      <c r="A359">
        <v>358</v>
      </c>
      <c r="B359" t="s">
        <v>35</v>
      </c>
      <c r="C359" t="s">
        <v>4425</v>
      </c>
      <c r="D359" t="s">
        <v>37</v>
      </c>
      <c r="E359" t="s">
        <v>4426</v>
      </c>
      <c r="F359" t="s">
        <v>107</v>
      </c>
      <c r="G359" t="s">
        <v>4427</v>
      </c>
      <c r="H359" t="s">
        <v>4428</v>
      </c>
      <c r="I359" t="s">
        <v>4428</v>
      </c>
      <c r="J359" t="s">
        <v>4428</v>
      </c>
      <c r="K359" t="s">
        <v>4429</v>
      </c>
      <c r="L359">
        <v>1950000</v>
      </c>
      <c r="M359">
        <v>3000000</v>
      </c>
      <c r="N359" t="s">
        <v>4430</v>
      </c>
      <c r="O359" s="1">
        <v>45647</v>
      </c>
      <c r="P359" t="s">
        <v>4431</v>
      </c>
      <c r="Q359" t="s">
        <v>4432</v>
      </c>
      <c r="R359" t="s">
        <v>146</v>
      </c>
      <c r="S359" t="s">
        <v>4433</v>
      </c>
      <c r="T359" t="s">
        <v>4434</v>
      </c>
      <c r="U359" t="s">
        <v>651</v>
      </c>
      <c r="V359" s="1">
        <v>44553</v>
      </c>
      <c r="W359" t="s">
        <v>4015</v>
      </c>
      <c r="X359" t="s">
        <v>4016</v>
      </c>
      <c r="Y359" t="s">
        <v>4435</v>
      </c>
      <c r="Z359">
        <v>5</v>
      </c>
      <c r="AA359" t="s">
        <v>55</v>
      </c>
      <c r="AB359" t="s">
        <v>4436</v>
      </c>
      <c r="AC359" t="s">
        <v>4437</v>
      </c>
      <c r="AD359" t="s">
        <v>299</v>
      </c>
      <c r="AE359">
        <v>2400000</v>
      </c>
      <c r="AF359">
        <v>36000</v>
      </c>
      <c r="AJ359" t="str">
        <f>_xlfn.XLOOKUP(Table9[[#This Row],[Engine No.]],'[1]Dubai Islamic Consumer'!$Q$3:$Q$1176,'[1]Dubai Islamic Consumer'!$B$3:$B$1176,,,)</f>
        <v>KHI/HO/D/MO/PC COMP/C/103702/348/12/2024</v>
      </c>
    </row>
    <row r="360" spans="1:36" hidden="1" x14ac:dyDescent="0.25">
      <c r="A360">
        <v>359</v>
      </c>
      <c r="B360" t="s">
        <v>35</v>
      </c>
      <c r="C360" t="s">
        <v>4438</v>
      </c>
      <c r="D360" t="s">
        <v>37</v>
      </c>
      <c r="E360" t="s">
        <v>1902</v>
      </c>
      <c r="F360" t="s">
        <v>107</v>
      </c>
      <c r="G360" t="s">
        <v>4439</v>
      </c>
      <c r="H360" t="s">
        <v>4440</v>
      </c>
      <c r="I360" t="s">
        <v>4440</v>
      </c>
      <c r="J360" t="s">
        <v>4440</v>
      </c>
      <c r="K360" t="s">
        <v>4441</v>
      </c>
      <c r="L360">
        <v>2736300</v>
      </c>
      <c r="M360">
        <v>3909000</v>
      </c>
      <c r="N360" t="s">
        <v>4442</v>
      </c>
      <c r="O360" s="1">
        <v>45647</v>
      </c>
      <c r="P360" t="s">
        <v>4443</v>
      </c>
      <c r="Q360" t="s">
        <v>4444</v>
      </c>
      <c r="R360" t="s">
        <v>47</v>
      </c>
      <c r="S360" t="s">
        <v>48</v>
      </c>
      <c r="T360" t="s">
        <v>4445</v>
      </c>
      <c r="U360" t="s">
        <v>50</v>
      </c>
      <c r="V360" s="1">
        <v>44554</v>
      </c>
      <c r="W360" t="s">
        <v>4015</v>
      </c>
      <c r="X360" t="s">
        <v>4016</v>
      </c>
      <c r="Y360" t="s">
        <v>4446</v>
      </c>
      <c r="Z360">
        <v>5</v>
      </c>
      <c r="AA360" t="s">
        <v>55</v>
      </c>
      <c r="AB360" t="s">
        <v>4447</v>
      </c>
      <c r="AC360" t="s">
        <v>4448</v>
      </c>
      <c r="AD360" t="s">
        <v>299</v>
      </c>
      <c r="AE360">
        <v>3127200</v>
      </c>
      <c r="AF360">
        <v>46908</v>
      </c>
      <c r="AJ360" t="str">
        <f>_xlfn.XLOOKUP(Table9[[#This Row],[Engine No.]],'[1]Dubai Islamic Consumer'!$Q$3:$Q$1176,'[1]Dubai Islamic Consumer'!$B$3:$B$1176,,,)</f>
        <v>KHI/HO/D/MO/PC COMP/C/103702/356/12/2024</v>
      </c>
    </row>
    <row r="361" spans="1:36" hidden="1" x14ac:dyDescent="0.25">
      <c r="A361">
        <v>360</v>
      </c>
      <c r="B361" t="s">
        <v>35</v>
      </c>
      <c r="C361" t="s">
        <v>4449</v>
      </c>
      <c r="D361" t="s">
        <v>37</v>
      </c>
      <c r="E361" t="s">
        <v>4450</v>
      </c>
      <c r="F361" t="s">
        <v>245</v>
      </c>
      <c r="G361" t="s">
        <v>4451</v>
      </c>
      <c r="H361" t="s">
        <v>4452</v>
      </c>
      <c r="I361" t="s">
        <v>48</v>
      </c>
      <c r="J361" t="s">
        <v>4453</v>
      </c>
      <c r="K361" t="s">
        <v>4454</v>
      </c>
      <c r="L361">
        <v>1332500</v>
      </c>
      <c r="M361">
        <v>2050000</v>
      </c>
      <c r="N361" t="s">
        <v>4455</v>
      </c>
      <c r="O361" s="1">
        <v>45624</v>
      </c>
      <c r="P361" t="s">
        <v>4456</v>
      </c>
      <c r="Q361" t="s">
        <v>4457</v>
      </c>
      <c r="R361" t="s">
        <v>146</v>
      </c>
      <c r="S361" t="s">
        <v>4458</v>
      </c>
      <c r="T361" t="s">
        <v>4459</v>
      </c>
      <c r="U361" t="s">
        <v>335</v>
      </c>
      <c r="V361" t="s">
        <v>4043</v>
      </c>
      <c r="W361" t="s">
        <v>940</v>
      </c>
      <c r="X361" t="s">
        <v>1638</v>
      </c>
      <c r="Y361" t="s">
        <v>4460</v>
      </c>
      <c r="Z361">
        <v>5</v>
      </c>
      <c r="AA361" t="s">
        <v>323</v>
      </c>
      <c r="AB361" t="s">
        <v>4461</v>
      </c>
      <c r="AC361" t="s">
        <v>2181</v>
      </c>
      <c r="AD361" t="s">
        <v>86</v>
      </c>
      <c r="AE361">
        <v>1742500</v>
      </c>
      <c r="AF361">
        <v>30494</v>
      </c>
      <c r="AJ361" t="str">
        <f>_xlfn.XLOOKUP(Table9[[#This Row],[Engine No.]],'[1]Dubai Islamic Consumer'!$Q$3:$Q$1176,'[1]Dubai Islamic Consumer'!$B$3:$B$1176,,,)</f>
        <v>KHI/HO/D/MO/PC COMP/C/102086/178/11/2024</v>
      </c>
    </row>
    <row r="362" spans="1:36" hidden="1" x14ac:dyDescent="0.25">
      <c r="A362">
        <v>361</v>
      </c>
      <c r="B362" t="s">
        <v>35</v>
      </c>
      <c r="C362" t="s">
        <v>4462</v>
      </c>
      <c r="D362" t="s">
        <v>37</v>
      </c>
      <c r="E362" t="s">
        <v>4463</v>
      </c>
      <c r="F362" t="s">
        <v>245</v>
      </c>
      <c r="G362" t="s">
        <v>4464</v>
      </c>
      <c r="H362" t="s">
        <v>4465</v>
      </c>
      <c r="I362" t="s">
        <v>48</v>
      </c>
      <c r="J362" t="s">
        <v>141</v>
      </c>
      <c r="K362" t="s">
        <v>4466</v>
      </c>
      <c r="L362">
        <v>1750000</v>
      </c>
      <c r="M362">
        <v>2500000</v>
      </c>
      <c r="N362" t="s">
        <v>4467</v>
      </c>
      <c r="O362" s="1">
        <v>45647</v>
      </c>
      <c r="P362" t="s">
        <v>4468</v>
      </c>
      <c r="Q362" t="s">
        <v>4469</v>
      </c>
      <c r="R362" t="s">
        <v>146</v>
      </c>
      <c r="S362" t="s">
        <v>4470</v>
      </c>
      <c r="T362" t="s">
        <v>902</v>
      </c>
      <c r="U362" t="s">
        <v>903</v>
      </c>
      <c r="V362" s="1">
        <v>44552</v>
      </c>
      <c r="W362" t="s">
        <v>4015</v>
      </c>
      <c r="X362" t="s">
        <v>4016</v>
      </c>
      <c r="Y362" t="s">
        <v>4471</v>
      </c>
      <c r="Z362">
        <v>5</v>
      </c>
      <c r="AA362" t="s">
        <v>118</v>
      </c>
      <c r="AB362" t="s">
        <v>4472</v>
      </c>
      <c r="AC362" t="s">
        <v>4473</v>
      </c>
      <c r="AD362" t="s">
        <v>299</v>
      </c>
      <c r="AE362">
        <v>2000000</v>
      </c>
      <c r="AF362">
        <v>30000</v>
      </c>
      <c r="AJ362" t="str">
        <f>_xlfn.XLOOKUP(Table9[[#This Row],[Engine No.]],'[1]Dubai Islamic Consumer'!$Q$3:$Q$1176,'[1]Dubai Islamic Consumer'!$B$3:$B$1176,,,)</f>
        <v>KHI/HO/D/MO/PC COMP/C/103702/359/12/2024</v>
      </c>
    </row>
    <row r="363" spans="1:36" hidden="1" x14ac:dyDescent="0.25">
      <c r="A363">
        <v>362</v>
      </c>
      <c r="B363" t="s">
        <v>35</v>
      </c>
      <c r="C363" t="s">
        <v>4474</v>
      </c>
      <c r="D363" t="s">
        <v>37</v>
      </c>
      <c r="E363" t="s">
        <v>4475</v>
      </c>
      <c r="F363" t="s">
        <v>138</v>
      </c>
      <c r="G363" t="s">
        <v>4476</v>
      </c>
      <c r="H363" t="s">
        <v>48</v>
      </c>
      <c r="I363" t="s">
        <v>4477</v>
      </c>
      <c r="J363" t="s">
        <v>4478</v>
      </c>
      <c r="K363" t="s">
        <v>4479</v>
      </c>
      <c r="L363">
        <v>1599500</v>
      </c>
      <c r="M363">
        <v>2285000</v>
      </c>
      <c r="N363" t="s">
        <v>4480</v>
      </c>
      <c r="O363" s="1">
        <v>45647</v>
      </c>
      <c r="P363" t="s">
        <v>4481</v>
      </c>
      <c r="Q363" t="s">
        <v>4482</v>
      </c>
      <c r="R363" t="s">
        <v>146</v>
      </c>
      <c r="S363" t="s">
        <v>4483</v>
      </c>
      <c r="T363" t="s">
        <v>3282</v>
      </c>
      <c r="U363" t="s">
        <v>50</v>
      </c>
      <c r="V363" s="1">
        <v>44554</v>
      </c>
      <c r="W363" t="s">
        <v>4015</v>
      </c>
      <c r="X363" t="s">
        <v>3977</v>
      </c>
      <c r="Y363" t="s">
        <v>4484</v>
      </c>
      <c r="Z363">
        <v>4</v>
      </c>
      <c r="AA363" t="s">
        <v>55</v>
      </c>
      <c r="AB363" t="s">
        <v>4485</v>
      </c>
      <c r="AC363" t="s">
        <v>4437</v>
      </c>
      <c r="AD363" t="s">
        <v>299</v>
      </c>
      <c r="AE363">
        <v>1828000</v>
      </c>
      <c r="AF363">
        <v>27420</v>
      </c>
      <c r="AJ363" t="str">
        <f>_xlfn.XLOOKUP(Table9[[#This Row],[Engine No.]],'[1]Dubai Islamic Consumer'!$Q$3:$Q$1176,'[1]Dubai Islamic Consumer'!$B$3:$B$1176,,,)</f>
        <v>KHI/HO/D/MO/PC COMP/C/103702/360/12/2024</v>
      </c>
    </row>
    <row r="364" spans="1:36" hidden="1" x14ac:dyDescent="0.25">
      <c r="A364">
        <v>363</v>
      </c>
      <c r="B364" t="s">
        <v>35</v>
      </c>
      <c r="C364" t="s">
        <v>4486</v>
      </c>
      <c r="D364" t="s">
        <v>37</v>
      </c>
      <c r="E364" t="s">
        <v>2986</v>
      </c>
      <c r="F364" t="s">
        <v>138</v>
      </c>
      <c r="G364" t="s">
        <v>4487</v>
      </c>
      <c r="H364" t="s">
        <v>4488</v>
      </c>
      <c r="I364" t="s">
        <v>4488</v>
      </c>
      <c r="J364" t="s">
        <v>141</v>
      </c>
      <c r="K364" t="s">
        <v>4489</v>
      </c>
      <c r="L364">
        <v>1578750</v>
      </c>
      <c r="M364">
        <v>2105000</v>
      </c>
      <c r="N364" t="s">
        <v>4490</v>
      </c>
      <c r="O364" s="1">
        <v>45647</v>
      </c>
      <c r="P364" t="s">
        <v>4491</v>
      </c>
      <c r="Q364" t="s">
        <v>4492</v>
      </c>
      <c r="R364" t="s">
        <v>47</v>
      </c>
      <c r="S364" t="s">
        <v>48</v>
      </c>
      <c r="T364" t="s">
        <v>1323</v>
      </c>
      <c r="U364" t="s">
        <v>50</v>
      </c>
      <c r="V364" s="1">
        <v>44553</v>
      </c>
      <c r="W364" t="s">
        <v>4015</v>
      </c>
      <c r="X364" t="s">
        <v>4016</v>
      </c>
      <c r="Y364" t="s">
        <v>4493</v>
      </c>
      <c r="Z364">
        <v>5</v>
      </c>
      <c r="AA364" t="s">
        <v>55</v>
      </c>
      <c r="AB364" t="s">
        <v>4494</v>
      </c>
      <c r="AC364" t="s">
        <v>4437</v>
      </c>
      <c r="AD364" t="s">
        <v>58</v>
      </c>
      <c r="AE364">
        <v>1684000</v>
      </c>
      <c r="AF364">
        <v>33680</v>
      </c>
      <c r="AJ364" t="str">
        <f>_xlfn.XLOOKUP(Table9[[#This Row],[Engine No.]],'[1]Dubai Islamic Consumer'!$Q$3:$Q$1176,'[1]Dubai Islamic Consumer'!$B$3:$B$1176,,,)</f>
        <v>KHI/HO/D/MO/PC COMP/C/103702/361/12/2024</v>
      </c>
    </row>
    <row r="365" spans="1:36" hidden="1" x14ac:dyDescent="0.25">
      <c r="A365">
        <v>364</v>
      </c>
      <c r="B365" t="s">
        <v>35</v>
      </c>
      <c r="C365" t="s">
        <v>4495</v>
      </c>
      <c r="D365" t="s">
        <v>37</v>
      </c>
      <c r="E365" t="s">
        <v>4496</v>
      </c>
      <c r="F365" t="s">
        <v>138</v>
      </c>
      <c r="G365" t="s">
        <v>4497</v>
      </c>
      <c r="H365" t="s">
        <v>4498</v>
      </c>
      <c r="I365" t="s">
        <v>4498</v>
      </c>
      <c r="J365" t="s">
        <v>141</v>
      </c>
      <c r="K365" t="s">
        <v>4499</v>
      </c>
      <c r="L365">
        <v>1137500</v>
      </c>
      <c r="M365">
        <v>1750000</v>
      </c>
      <c r="N365" t="s">
        <v>4500</v>
      </c>
      <c r="O365" s="1">
        <v>45624</v>
      </c>
      <c r="P365" t="s">
        <v>4501</v>
      </c>
      <c r="Q365" t="s">
        <v>4502</v>
      </c>
      <c r="R365" t="s">
        <v>146</v>
      </c>
      <c r="S365" t="s">
        <v>4503</v>
      </c>
      <c r="T365" t="s">
        <v>194</v>
      </c>
      <c r="U365" t="s">
        <v>98</v>
      </c>
      <c r="V365" t="s">
        <v>4043</v>
      </c>
      <c r="W365" t="s">
        <v>940</v>
      </c>
      <c r="X365" t="s">
        <v>533</v>
      </c>
      <c r="Y365" t="s">
        <v>4504</v>
      </c>
      <c r="Z365">
        <v>3</v>
      </c>
      <c r="AA365" t="s">
        <v>152</v>
      </c>
      <c r="AB365" t="s">
        <v>4505</v>
      </c>
      <c r="AC365" t="s">
        <v>4043</v>
      </c>
      <c r="AD365" t="s">
        <v>86</v>
      </c>
      <c r="AE365">
        <v>1487500</v>
      </c>
      <c r="AF365">
        <v>26031</v>
      </c>
      <c r="AJ365" t="str">
        <f>_xlfn.XLOOKUP(Table9[[#This Row],[Engine No.]],'[1]Dubai Islamic Consumer'!$Q$3:$Q$1176,'[1]Dubai Islamic Consumer'!$B$3:$B$1176,,,)</f>
        <v>KHI/HO/D/MO/PC COMP/C/102086/173/11/2024</v>
      </c>
    </row>
    <row r="366" spans="1:36" hidden="1" x14ac:dyDescent="0.25">
      <c r="A366">
        <v>365</v>
      </c>
      <c r="B366" t="s">
        <v>35</v>
      </c>
      <c r="C366" t="s">
        <v>4506</v>
      </c>
      <c r="D366" t="s">
        <v>37</v>
      </c>
      <c r="E366" t="s">
        <v>4507</v>
      </c>
      <c r="F366" t="s">
        <v>138</v>
      </c>
      <c r="G366" t="s">
        <v>4508</v>
      </c>
      <c r="H366" t="s">
        <v>48</v>
      </c>
      <c r="I366" t="s">
        <v>4509</v>
      </c>
      <c r="J366" t="s">
        <v>48</v>
      </c>
      <c r="K366" t="s">
        <v>4510</v>
      </c>
      <c r="L366">
        <v>1365000</v>
      </c>
      <c r="M366">
        <v>2100000</v>
      </c>
      <c r="N366" t="s">
        <v>4511</v>
      </c>
      <c r="O366" s="1">
        <v>45647</v>
      </c>
      <c r="P366" t="s">
        <v>4512</v>
      </c>
      <c r="Q366" t="s">
        <v>4513</v>
      </c>
      <c r="R366" t="s">
        <v>146</v>
      </c>
      <c r="S366" t="s">
        <v>4514</v>
      </c>
      <c r="T366" t="s">
        <v>1732</v>
      </c>
      <c r="U366" t="s">
        <v>651</v>
      </c>
      <c r="V366" s="1">
        <v>44557</v>
      </c>
      <c r="W366" t="s">
        <v>4015</v>
      </c>
      <c r="X366" t="s">
        <v>4016</v>
      </c>
      <c r="Y366" t="s">
        <v>4515</v>
      </c>
      <c r="Z366">
        <v>5</v>
      </c>
      <c r="AA366" t="s">
        <v>55</v>
      </c>
      <c r="AB366" t="s">
        <v>4516</v>
      </c>
      <c r="AC366" t="s">
        <v>4015</v>
      </c>
      <c r="AD366" t="s">
        <v>299</v>
      </c>
      <c r="AE366">
        <v>1680000</v>
      </c>
      <c r="AF366">
        <v>25200</v>
      </c>
      <c r="AJ366" t="str">
        <f>_xlfn.XLOOKUP(Table9[[#This Row],[Engine No.]],'[1]Dubai Islamic Consumer'!$Q$3:$Q$1176,'[1]Dubai Islamic Consumer'!$B$3:$B$1176,,,)</f>
        <v>KHI/HO/D/MO/PC COMP/C/103702/366/12/2024</v>
      </c>
    </row>
    <row r="367" spans="1:36" hidden="1" x14ac:dyDescent="0.25">
      <c r="A367">
        <v>366</v>
      </c>
      <c r="B367" t="s">
        <v>35</v>
      </c>
      <c r="C367" t="s">
        <v>4517</v>
      </c>
      <c r="D367" t="s">
        <v>37</v>
      </c>
      <c r="E367" t="s">
        <v>4518</v>
      </c>
      <c r="F367" t="s">
        <v>107</v>
      </c>
      <c r="G367" t="s">
        <v>4519</v>
      </c>
      <c r="H367" t="s">
        <v>4520</v>
      </c>
      <c r="I367" t="s">
        <v>4520</v>
      </c>
      <c r="J367" t="s">
        <v>4521</v>
      </c>
      <c r="K367" t="s">
        <v>4522</v>
      </c>
      <c r="L367">
        <v>1190000</v>
      </c>
      <c r="M367">
        <v>1700000</v>
      </c>
      <c r="N367" t="s">
        <v>4523</v>
      </c>
      <c r="O367" s="1">
        <v>45647</v>
      </c>
      <c r="P367" t="s">
        <v>4524</v>
      </c>
      <c r="Q367" t="s">
        <v>4525</v>
      </c>
      <c r="R367" t="s">
        <v>146</v>
      </c>
      <c r="S367" t="s">
        <v>4526</v>
      </c>
      <c r="T367" t="s">
        <v>181</v>
      </c>
      <c r="U367" t="s">
        <v>335</v>
      </c>
      <c r="V367" s="1">
        <v>44553</v>
      </c>
      <c r="W367" t="s">
        <v>4015</v>
      </c>
      <c r="X367" t="s">
        <v>3965</v>
      </c>
      <c r="Y367" t="s">
        <v>4527</v>
      </c>
      <c r="Z367">
        <v>7</v>
      </c>
      <c r="AA367" t="s">
        <v>55</v>
      </c>
      <c r="AB367" t="s">
        <v>4528</v>
      </c>
      <c r="AC367" t="s">
        <v>4448</v>
      </c>
      <c r="AD367" t="s">
        <v>299</v>
      </c>
      <c r="AE367">
        <v>1360000</v>
      </c>
      <c r="AF367">
        <v>20400</v>
      </c>
      <c r="AJ367" t="str">
        <f>_xlfn.XLOOKUP(Table9[[#This Row],[Engine No.]],'[1]Dubai Islamic Consumer'!$Q$3:$Q$1176,'[1]Dubai Islamic Consumer'!$B$3:$B$1176,,,)</f>
        <v>KHI/HO/D/MO/PC COMP/C/103702/369/12/2024</v>
      </c>
    </row>
    <row r="368" spans="1:36" hidden="1" x14ac:dyDescent="0.25">
      <c r="A368">
        <v>367</v>
      </c>
      <c r="B368" t="s">
        <v>35</v>
      </c>
      <c r="C368" t="s">
        <v>4529</v>
      </c>
      <c r="D368" t="s">
        <v>37</v>
      </c>
      <c r="E368" t="s">
        <v>4530</v>
      </c>
      <c r="F368" t="s">
        <v>245</v>
      </c>
      <c r="G368" t="s">
        <v>4531</v>
      </c>
      <c r="H368" t="s">
        <v>4532</v>
      </c>
      <c r="I368" t="s">
        <v>48</v>
      </c>
      <c r="J368" t="s">
        <v>4533</v>
      </c>
      <c r="K368" t="s">
        <v>4534</v>
      </c>
      <c r="L368">
        <v>1169000</v>
      </c>
      <c r="M368">
        <v>1670000</v>
      </c>
      <c r="N368" t="s">
        <v>4535</v>
      </c>
      <c r="O368" s="1">
        <v>45647</v>
      </c>
      <c r="P368" t="s">
        <v>4536</v>
      </c>
      <c r="Q368" t="s">
        <v>4537</v>
      </c>
      <c r="R368" t="s">
        <v>146</v>
      </c>
      <c r="S368" t="s">
        <v>4538</v>
      </c>
      <c r="T368" t="s">
        <v>613</v>
      </c>
      <c r="U368" t="s">
        <v>614</v>
      </c>
      <c r="V368" s="1">
        <v>44552</v>
      </c>
      <c r="W368" t="s">
        <v>4015</v>
      </c>
      <c r="X368" t="s">
        <v>3965</v>
      </c>
      <c r="Y368" t="s">
        <v>4539</v>
      </c>
      <c r="Z368">
        <v>7</v>
      </c>
      <c r="AA368" t="s">
        <v>55</v>
      </c>
      <c r="AB368" t="s">
        <v>4540</v>
      </c>
      <c r="AC368" t="s">
        <v>4448</v>
      </c>
      <c r="AD368" t="s">
        <v>299</v>
      </c>
      <c r="AE368">
        <v>1336000</v>
      </c>
      <c r="AF368">
        <v>20040</v>
      </c>
      <c r="AJ368" t="str">
        <f>_xlfn.XLOOKUP(Table9[[#This Row],[Engine No.]],'[1]Dubai Islamic Consumer'!$Q$3:$Q$1176,'[1]Dubai Islamic Consumer'!$B$3:$B$1176,,,)</f>
        <v>KHI/HO/D/MO/PC COMP/C/103702/370/12/2024</v>
      </c>
    </row>
    <row r="369" spans="1:36" hidden="1" x14ac:dyDescent="0.25">
      <c r="A369">
        <v>368</v>
      </c>
      <c r="B369" t="s">
        <v>35</v>
      </c>
      <c r="C369" t="s">
        <v>4541</v>
      </c>
      <c r="D369" t="s">
        <v>37</v>
      </c>
      <c r="E369" t="s">
        <v>4542</v>
      </c>
      <c r="F369" t="s">
        <v>138</v>
      </c>
      <c r="G369" t="s">
        <v>4543</v>
      </c>
      <c r="H369" t="s">
        <v>48</v>
      </c>
      <c r="I369" t="s">
        <v>4544</v>
      </c>
      <c r="J369" t="s">
        <v>4545</v>
      </c>
      <c r="K369" t="s">
        <v>4546</v>
      </c>
      <c r="L369">
        <v>1200000</v>
      </c>
      <c r="M369">
        <v>1500000</v>
      </c>
      <c r="N369" t="s">
        <v>4547</v>
      </c>
      <c r="O369" s="1">
        <v>45647</v>
      </c>
      <c r="P369" t="s">
        <v>4548</v>
      </c>
      <c r="Q369" t="s">
        <v>4549</v>
      </c>
      <c r="R369" t="s">
        <v>47</v>
      </c>
      <c r="S369" t="s">
        <v>4550</v>
      </c>
      <c r="T369" t="s">
        <v>1946</v>
      </c>
      <c r="U369" t="s">
        <v>903</v>
      </c>
      <c r="V369" s="1">
        <v>44189</v>
      </c>
      <c r="W369" t="s">
        <v>4001</v>
      </c>
      <c r="X369" t="s">
        <v>3977</v>
      </c>
      <c r="Y369" t="s">
        <v>4551</v>
      </c>
      <c r="Z369">
        <v>5</v>
      </c>
      <c r="AA369" t="s">
        <v>227</v>
      </c>
      <c r="AB369" t="s">
        <v>4552</v>
      </c>
      <c r="AC369" t="s">
        <v>4080</v>
      </c>
      <c r="AD369" t="s">
        <v>58</v>
      </c>
      <c r="AE369">
        <v>1125000</v>
      </c>
      <c r="AF369">
        <v>22500</v>
      </c>
      <c r="AJ369" t="str">
        <f>_xlfn.XLOOKUP(Table9[[#This Row],[Engine No.]],'[1]Dubai Islamic Consumer'!$Q$3:$Q$1176,'[1]Dubai Islamic Consumer'!$B$3:$B$1176,,,)</f>
        <v>KHI/HO/D/MO/PC COMP/C/103702/374/12/2024</v>
      </c>
    </row>
    <row r="370" spans="1:36" hidden="1" x14ac:dyDescent="0.25">
      <c r="A370">
        <v>369</v>
      </c>
      <c r="B370" t="s">
        <v>35</v>
      </c>
      <c r="C370" t="s">
        <v>4553</v>
      </c>
      <c r="D370" t="s">
        <v>37</v>
      </c>
      <c r="E370" t="s">
        <v>4554</v>
      </c>
      <c r="F370" t="s">
        <v>138</v>
      </c>
      <c r="G370" t="s">
        <v>4555</v>
      </c>
      <c r="H370" t="s">
        <v>4556</v>
      </c>
      <c r="I370" t="s">
        <v>4556</v>
      </c>
      <c r="J370" t="s">
        <v>141</v>
      </c>
      <c r="K370" t="s">
        <v>4557</v>
      </c>
      <c r="L370">
        <v>2976000</v>
      </c>
      <c r="M370">
        <v>4960000</v>
      </c>
      <c r="N370" t="s">
        <v>4558</v>
      </c>
      <c r="O370" t="s">
        <v>4559</v>
      </c>
      <c r="P370" t="s">
        <v>4560</v>
      </c>
      <c r="Q370" t="s">
        <v>4561</v>
      </c>
      <c r="R370" t="s">
        <v>47</v>
      </c>
      <c r="S370" t="s">
        <v>48</v>
      </c>
      <c r="T370" t="s">
        <v>889</v>
      </c>
      <c r="U370" t="s">
        <v>386</v>
      </c>
      <c r="V370" s="1">
        <v>45286</v>
      </c>
      <c r="W370" t="s">
        <v>3964</v>
      </c>
      <c r="X370" t="s">
        <v>4016</v>
      </c>
      <c r="Y370" t="s">
        <v>4562</v>
      </c>
      <c r="Z370">
        <v>3</v>
      </c>
      <c r="AA370" t="s">
        <v>55</v>
      </c>
      <c r="AB370" t="s">
        <v>4563</v>
      </c>
      <c r="AC370" t="s">
        <v>4564</v>
      </c>
      <c r="AD370" t="s">
        <v>86</v>
      </c>
      <c r="AE370">
        <v>4464000</v>
      </c>
      <c r="AF370">
        <v>78120</v>
      </c>
      <c r="AJ370" t="str">
        <f>_xlfn.XLOOKUP(Table9[[#This Row],[Engine No.]],'[1]Dubai Islamic Consumer'!$Q$3:$Q$1176,'[1]Dubai Islamic Consumer'!$B$3:$B$1176,,,)</f>
        <v>KHI/HO/D/MO/PC COMP/C/103702/377/12/2024</v>
      </c>
    </row>
    <row r="371" spans="1:36" hidden="1" x14ac:dyDescent="0.25">
      <c r="A371">
        <v>370</v>
      </c>
      <c r="B371" t="s">
        <v>35</v>
      </c>
      <c r="C371" t="s">
        <v>4565</v>
      </c>
      <c r="D371" t="s">
        <v>37</v>
      </c>
      <c r="E371" t="s">
        <v>4566</v>
      </c>
      <c r="F371" t="s">
        <v>138</v>
      </c>
      <c r="G371" t="s">
        <v>4567</v>
      </c>
      <c r="H371" t="s">
        <v>4568</v>
      </c>
      <c r="I371" t="s">
        <v>4568</v>
      </c>
      <c r="J371" t="s">
        <v>141</v>
      </c>
      <c r="K371" t="s">
        <v>4569</v>
      </c>
      <c r="L371">
        <v>2170000</v>
      </c>
      <c r="M371">
        <v>3100000</v>
      </c>
      <c r="N371" t="s">
        <v>4570</v>
      </c>
      <c r="O371" t="s">
        <v>4559</v>
      </c>
      <c r="P371" t="s">
        <v>4571</v>
      </c>
      <c r="Q371" t="s">
        <v>4572</v>
      </c>
      <c r="R371" t="s">
        <v>146</v>
      </c>
      <c r="S371" t="s">
        <v>4573</v>
      </c>
      <c r="T371" t="s">
        <v>4574</v>
      </c>
      <c r="U371" t="s">
        <v>335</v>
      </c>
      <c r="V371" s="1">
        <v>45282</v>
      </c>
      <c r="W371" t="s">
        <v>3964</v>
      </c>
      <c r="X371" t="s">
        <v>4016</v>
      </c>
      <c r="Y371" t="s">
        <v>4575</v>
      </c>
      <c r="Z371">
        <v>3</v>
      </c>
      <c r="AA371" t="s">
        <v>55</v>
      </c>
      <c r="AB371" t="s">
        <v>4576</v>
      </c>
      <c r="AC371" t="s">
        <v>4564</v>
      </c>
      <c r="AD371" t="s">
        <v>86</v>
      </c>
      <c r="AE371">
        <v>2790000</v>
      </c>
      <c r="AF371">
        <v>48825</v>
      </c>
      <c r="AJ371" t="str">
        <f>_xlfn.XLOOKUP(Table9[[#This Row],[Engine No.]],'[1]Dubai Islamic Consumer'!$Q$3:$Q$1176,'[1]Dubai Islamic Consumer'!$B$3:$B$1176,,,)</f>
        <v>KHI/HO/D/MO/PC COMP/C/103702/379/12/2024</v>
      </c>
    </row>
    <row r="372" spans="1:36" hidden="1" x14ac:dyDescent="0.25">
      <c r="A372">
        <v>371</v>
      </c>
      <c r="B372" t="s">
        <v>35</v>
      </c>
      <c r="C372" t="s">
        <v>4577</v>
      </c>
      <c r="D372" t="s">
        <v>37</v>
      </c>
      <c r="E372" t="s">
        <v>4578</v>
      </c>
      <c r="F372" t="s">
        <v>138</v>
      </c>
      <c r="G372" t="s">
        <v>4579</v>
      </c>
      <c r="H372" t="s">
        <v>4580</v>
      </c>
      <c r="I372" t="s">
        <v>4581</v>
      </c>
      <c r="J372" t="s">
        <v>4580</v>
      </c>
      <c r="K372" t="s">
        <v>4582</v>
      </c>
      <c r="L372">
        <v>2662200</v>
      </c>
      <c r="M372">
        <v>4930000</v>
      </c>
      <c r="N372" t="s">
        <v>4583</v>
      </c>
      <c r="O372" t="s">
        <v>4559</v>
      </c>
      <c r="P372" t="s">
        <v>4584</v>
      </c>
      <c r="Q372" t="s">
        <v>4585</v>
      </c>
      <c r="R372" t="s">
        <v>146</v>
      </c>
      <c r="S372" t="s">
        <v>4586</v>
      </c>
      <c r="T372" t="s">
        <v>601</v>
      </c>
      <c r="U372" t="s">
        <v>496</v>
      </c>
      <c r="V372" s="1">
        <v>45281</v>
      </c>
      <c r="W372" t="s">
        <v>4587</v>
      </c>
      <c r="X372" t="s">
        <v>4588</v>
      </c>
      <c r="Y372" t="s">
        <v>4589</v>
      </c>
      <c r="Z372">
        <v>3</v>
      </c>
      <c r="AA372" t="s">
        <v>55</v>
      </c>
      <c r="AB372" t="s">
        <v>4590</v>
      </c>
      <c r="AC372" t="s">
        <v>4587</v>
      </c>
      <c r="AD372" t="s">
        <v>86</v>
      </c>
      <c r="AE372">
        <v>4437000</v>
      </c>
      <c r="AF372">
        <v>77648</v>
      </c>
      <c r="AJ372" t="str">
        <f>_xlfn.XLOOKUP(Table9[[#This Row],[Engine No.]],'[1]Dubai Islamic Consumer'!$Q$3:$Q$1176,'[1]Dubai Islamic Consumer'!$B$3:$B$1176,,,)</f>
        <v>KHI/HO/D/MO/PC COMP/C/103702/382/12/2024</v>
      </c>
    </row>
    <row r="373" spans="1:36" hidden="1" x14ac:dyDescent="0.25">
      <c r="A373">
        <v>372</v>
      </c>
      <c r="B373" t="s">
        <v>35</v>
      </c>
      <c r="C373" t="s">
        <v>4591</v>
      </c>
      <c r="D373" t="s">
        <v>37</v>
      </c>
      <c r="E373" t="s">
        <v>4592</v>
      </c>
      <c r="F373" t="s">
        <v>138</v>
      </c>
      <c r="G373" t="s">
        <v>4593</v>
      </c>
      <c r="H373" t="s">
        <v>4594</v>
      </c>
      <c r="I373" t="s">
        <v>4595</v>
      </c>
      <c r="J373" t="s">
        <v>4594</v>
      </c>
      <c r="K373" t="s">
        <v>4596</v>
      </c>
      <c r="L373">
        <v>2520000</v>
      </c>
      <c r="M373">
        <v>3600000</v>
      </c>
      <c r="N373" t="s">
        <v>4597</v>
      </c>
      <c r="O373" s="1">
        <v>45646</v>
      </c>
      <c r="P373" t="s">
        <v>4598</v>
      </c>
      <c r="Q373" t="s">
        <v>4599</v>
      </c>
      <c r="R373" t="s">
        <v>146</v>
      </c>
      <c r="S373" t="s">
        <v>4600</v>
      </c>
      <c r="T373" t="s">
        <v>601</v>
      </c>
      <c r="U373" t="s">
        <v>496</v>
      </c>
      <c r="V373" s="1">
        <v>44552</v>
      </c>
      <c r="W373" t="s">
        <v>4015</v>
      </c>
      <c r="X373" t="s">
        <v>4016</v>
      </c>
      <c r="Y373" t="s">
        <v>4601</v>
      </c>
      <c r="Z373">
        <v>5</v>
      </c>
      <c r="AA373" t="s">
        <v>55</v>
      </c>
      <c r="AB373" t="s">
        <v>4602</v>
      </c>
      <c r="AC373" t="s">
        <v>4473</v>
      </c>
      <c r="AD373" t="s">
        <v>299</v>
      </c>
      <c r="AE373">
        <v>2880000</v>
      </c>
      <c r="AF373">
        <v>43200</v>
      </c>
      <c r="AJ373" t="str">
        <f>_xlfn.XLOOKUP(Table9[[#This Row],[Engine No.]],'[1]Dubai Islamic Consumer'!$Q$3:$Q$1176,'[1]Dubai Islamic Consumer'!$B$3:$B$1176,,,)</f>
        <v>KHI/HO/D/MO/PC COMP/C/103702/383/12/2024</v>
      </c>
    </row>
    <row r="374" spans="1:36" hidden="1" x14ac:dyDescent="0.25">
      <c r="A374">
        <v>373</v>
      </c>
      <c r="B374" t="s">
        <v>35</v>
      </c>
      <c r="C374" t="s">
        <v>4603</v>
      </c>
      <c r="D374" t="s">
        <v>37</v>
      </c>
      <c r="E374" t="s">
        <v>4604</v>
      </c>
      <c r="F374" t="s">
        <v>138</v>
      </c>
      <c r="G374" t="s">
        <v>4605</v>
      </c>
      <c r="H374" t="s">
        <v>4606</v>
      </c>
      <c r="I374" t="s">
        <v>4606</v>
      </c>
      <c r="J374" t="s">
        <v>4606</v>
      </c>
      <c r="K374" t="s">
        <v>4607</v>
      </c>
      <c r="L374">
        <v>2380000</v>
      </c>
      <c r="M374">
        <v>3400000</v>
      </c>
      <c r="N374" t="s">
        <v>4608</v>
      </c>
      <c r="O374" s="1">
        <v>45646</v>
      </c>
      <c r="P374" t="s">
        <v>4609</v>
      </c>
      <c r="Q374" t="s">
        <v>4610</v>
      </c>
      <c r="R374" t="s">
        <v>146</v>
      </c>
      <c r="S374" t="s">
        <v>4611</v>
      </c>
      <c r="T374" t="s">
        <v>1128</v>
      </c>
      <c r="U374" t="s">
        <v>614</v>
      </c>
      <c r="V374" s="1">
        <v>44552</v>
      </c>
      <c r="W374" t="s">
        <v>4015</v>
      </c>
      <c r="X374" t="s">
        <v>4016</v>
      </c>
      <c r="Y374" t="s">
        <v>4612</v>
      </c>
      <c r="Z374">
        <v>5</v>
      </c>
      <c r="AA374" t="s">
        <v>55</v>
      </c>
      <c r="AB374" t="s">
        <v>4613</v>
      </c>
      <c r="AC374" t="s">
        <v>4448</v>
      </c>
      <c r="AD374" t="s">
        <v>299</v>
      </c>
      <c r="AE374">
        <v>2720000</v>
      </c>
      <c r="AF374">
        <v>40800</v>
      </c>
      <c r="AJ374" t="str">
        <f>_xlfn.XLOOKUP(Table9[[#This Row],[Engine No.]],'[1]Dubai Islamic Consumer'!$Q$3:$Q$1176,'[1]Dubai Islamic Consumer'!$B$3:$B$1176,,,)</f>
        <v>KHI/HO/D/MO/PC COMP/C/103702/384/12/2024</v>
      </c>
    </row>
    <row r="375" spans="1:36" hidden="1" x14ac:dyDescent="0.25">
      <c r="A375">
        <v>374</v>
      </c>
      <c r="B375" t="s">
        <v>35</v>
      </c>
      <c r="C375" t="s">
        <v>4614</v>
      </c>
      <c r="D375" t="s">
        <v>37</v>
      </c>
      <c r="E375" t="s">
        <v>4615</v>
      </c>
      <c r="F375" t="s">
        <v>89</v>
      </c>
      <c r="G375" t="s">
        <v>4616</v>
      </c>
      <c r="H375" t="s">
        <v>4617</v>
      </c>
      <c r="I375" t="s">
        <v>48</v>
      </c>
      <c r="J375" t="s">
        <v>4618</v>
      </c>
      <c r="K375" t="s">
        <v>4619</v>
      </c>
      <c r="L375">
        <v>1645000</v>
      </c>
      <c r="M375">
        <v>2350000</v>
      </c>
      <c r="N375" t="s">
        <v>4620</v>
      </c>
      <c r="O375" s="1">
        <v>45646</v>
      </c>
      <c r="P375" t="s">
        <v>4621</v>
      </c>
      <c r="Q375" t="s">
        <v>4622</v>
      </c>
      <c r="R375" t="s">
        <v>146</v>
      </c>
      <c r="S375" t="s">
        <v>4623</v>
      </c>
      <c r="T375" t="s">
        <v>348</v>
      </c>
      <c r="U375" t="s">
        <v>335</v>
      </c>
      <c r="V375" s="1">
        <v>44551</v>
      </c>
      <c r="W375" t="s">
        <v>4473</v>
      </c>
      <c r="X375" t="s">
        <v>4588</v>
      </c>
      <c r="Y375" t="s">
        <v>4624</v>
      </c>
      <c r="Z375">
        <v>5</v>
      </c>
      <c r="AA375" t="s">
        <v>118</v>
      </c>
      <c r="AB375" t="s">
        <v>4625</v>
      </c>
      <c r="AC375" t="s">
        <v>4176</v>
      </c>
      <c r="AD375" t="s">
        <v>299</v>
      </c>
      <c r="AE375">
        <v>1880000</v>
      </c>
      <c r="AF375">
        <v>28200</v>
      </c>
      <c r="AJ375" t="str">
        <f>_xlfn.XLOOKUP(Table9[[#This Row],[Engine No.]],'[1]Dubai Islamic Consumer'!$Q$3:$Q$1176,'[1]Dubai Islamic Consumer'!$B$3:$B$1176,,,)</f>
        <v>KHI/HO/D/MO/PC COMP/C/103702/391/12/2024</v>
      </c>
    </row>
    <row r="376" spans="1:36" hidden="1" x14ac:dyDescent="0.25">
      <c r="A376">
        <v>375</v>
      </c>
      <c r="B376" t="s">
        <v>35</v>
      </c>
      <c r="C376" t="s">
        <v>4626</v>
      </c>
      <c r="D376" t="s">
        <v>37</v>
      </c>
      <c r="E376" t="s">
        <v>558</v>
      </c>
      <c r="F376" t="s">
        <v>138</v>
      </c>
      <c r="G376" t="s">
        <v>4627</v>
      </c>
      <c r="H376" t="s">
        <v>4628</v>
      </c>
      <c r="I376" t="s">
        <v>4628</v>
      </c>
      <c r="J376" t="s">
        <v>141</v>
      </c>
      <c r="K376" t="s">
        <v>4629</v>
      </c>
      <c r="L376">
        <v>1320000</v>
      </c>
      <c r="M376">
        <v>2200000</v>
      </c>
      <c r="N376" t="s">
        <v>4630</v>
      </c>
      <c r="O376" s="1">
        <v>45646</v>
      </c>
      <c r="P376" t="s">
        <v>4631</v>
      </c>
      <c r="Q376" t="s">
        <v>4632</v>
      </c>
      <c r="R376" t="s">
        <v>146</v>
      </c>
      <c r="S376" t="s">
        <v>4633</v>
      </c>
      <c r="T376" t="s">
        <v>1289</v>
      </c>
      <c r="U376" t="s">
        <v>335</v>
      </c>
      <c r="V376" s="1">
        <v>44553</v>
      </c>
      <c r="W376" t="s">
        <v>4015</v>
      </c>
      <c r="X376" t="s">
        <v>4016</v>
      </c>
      <c r="Y376" t="s">
        <v>4634</v>
      </c>
      <c r="Z376">
        <v>5</v>
      </c>
      <c r="AA376" t="s">
        <v>55</v>
      </c>
      <c r="AB376" t="s">
        <v>4635</v>
      </c>
      <c r="AC376" t="s">
        <v>4473</v>
      </c>
      <c r="AD376" t="s">
        <v>299</v>
      </c>
      <c r="AE376">
        <v>1760000</v>
      </c>
      <c r="AF376">
        <v>26400</v>
      </c>
      <c r="AJ376" t="str">
        <f>_xlfn.XLOOKUP(Table9[[#This Row],[Engine No.]],'[1]Dubai Islamic Consumer'!$Q$3:$Q$1176,'[1]Dubai Islamic Consumer'!$B$3:$B$1176,,,)</f>
        <v>KHI/HO/D/MO/PC COMP/C/103702/395/12/2024</v>
      </c>
    </row>
    <row r="377" spans="1:36" hidden="1" x14ac:dyDescent="0.25">
      <c r="A377">
        <v>376</v>
      </c>
      <c r="B377" t="s">
        <v>35</v>
      </c>
      <c r="C377" t="s">
        <v>4636</v>
      </c>
      <c r="D377" t="s">
        <v>37</v>
      </c>
      <c r="E377" t="s">
        <v>4637</v>
      </c>
      <c r="F377" t="s">
        <v>245</v>
      </c>
      <c r="G377" t="s">
        <v>4638</v>
      </c>
      <c r="H377" t="s">
        <v>4639</v>
      </c>
      <c r="I377" t="s">
        <v>48</v>
      </c>
      <c r="J377" t="s">
        <v>4639</v>
      </c>
      <c r="K377" t="s">
        <v>4640</v>
      </c>
      <c r="L377">
        <v>1206400</v>
      </c>
      <c r="M377">
        <v>1508000</v>
      </c>
      <c r="N377" t="s">
        <v>4641</v>
      </c>
      <c r="O377" s="1">
        <v>45646</v>
      </c>
      <c r="P377" t="s">
        <v>4642</v>
      </c>
      <c r="Q377" t="s">
        <v>4643</v>
      </c>
      <c r="R377" t="s">
        <v>47</v>
      </c>
      <c r="S377" t="s">
        <v>48</v>
      </c>
      <c r="T377" t="s">
        <v>194</v>
      </c>
      <c r="U377" t="s">
        <v>50</v>
      </c>
      <c r="V377" s="1">
        <v>44552</v>
      </c>
      <c r="W377" t="s">
        <v>4015</v>
      </c>
      <c r="X377" t="s">
        <v>3965</v>
      </c>
      <c r="Y377" t="s">
        <v>4644</v>
      </c>
      <c r="Z377">
        <v>7</v>
      </c>
      <c r="AA377" t="s">
        <v>55</v>
      </c>
      <c r="AB377" t="s">
        <v>4645</v>
      </c>
      <c r="AC377" t="s">
        <v>4448</v>
      </c>
      <c r="AD377" t="s">
        <v>58</v>
      </c>
      <c r="AE377">
        <v>1206400</v>
      </c>
      <c r="AF377">
        <v>24128</v>
      </c>
      <c r="AJ377" t="str">
        <f>_xlfn.XLOOKUP(Table9[[#This Row],[Engine No.]],'[1]Dubai Islamic Consumer'!$Q$3:$Q$1176,'[1]Dubai Islamic Consumer'!$B$3:$B$1176,,,)</f>
        <v>KHI/HO/D/MO/PC COMP/C/103702/396/12/2024</v>
      </c>
    </row>
    <row r="378" spans="1:36" hidden="1" x14ac:dyDescent="0.25">
      <c r="A378">
        <v>377</v>
      </c>
      <c r="B378" t="s">
        <v>35</v>
      </c>
      <c r="C378" t="s">
        <v>4646</v>
      </c>
      <c r="D378" t="s">
        <v>37</v>
      </c>
      <c r="E378" t="s">
        <v>4647</v>
      </c>
      <c r="F378" t="s">
        <v>138</v>
      </c>
      <c r="G378" t="s">
        <v>4648</v>
      </c>
      <c r="H378" t="s">
        <v>48</v>
      </c>
      <c r="I378" t="s">
        <v>4649</v>
      </c>
      <c r="J378" t="s">
        <v>48</v>
      </c>
      <c r="K378" t="s">
        <v>4650</v>
      </c>
      <c r="L378">
        <v>857500</v>
      </c>
      <c r="M378">
        <v>1225000</v>
      </c>
      <c r="N378" t="s">
        <v>4651</v>
      </c>
      <c r="O378" t="s">
        <v>4652</v>
      </c>
      <c r="P378" t="s">
        <v>4653</v>
      </c>
      <c r="Q378" t="s">
        <v>4654</v>
      </c>
      <c r="R378" t="s">
        <v>146</v>
      </c>
      <c r="S378" t="s">
        <v>4655</v>
      </c>
      <c r="T378" t="s">
        <v>4656</v>
      </c>
      <c r="U378" t="s">
        <v>50</v>
      </c>
      <c r="V378" s="1">
        <v>45260</v>
      </c>
      <c r="W378" t="s">
        <v>4114</v>
      </c>
      <c r="X378" t="s">
        <v>1191</v>
      </c>
      <c r="Y378" t="s">
        <v>4657</v>
      </c>
      <c r="Z378">
        <v>5</v>
      </c>
      <c r="AA378" t="s">
        <v>55</v>
      </c>
      <c r="AB378" t="s">
        <v>4658</v>
      </c>
      <c r="AC378" t="s">
        <v>4131</v>
      </c>
      <c r="AD378" t="s">
        <v>299</v>
      </c>
      <c r="AE378">
        <v>1102500</v>
      </c>
      <c r="AF378">
        <v>16538</v>
      </c>
      <c r="AJ378" t="str">
        <f>_xlfn.XLOOKUP(Table9[[#This Row],[Engine No.]],'[1]Dubai Islamic Consumer'!$Q$3:$Q$1176,'[1]Dubai Islamic Consumer'!$B$3:$B$1176,,,)</f>
        <v>KHI/HO/D/MO/PC COMP/C/102086/169/11/2024</v>
      </c>
    </row>
    <row r="379" spans="1:36" hidden="1" x14ac:dyDescent="0.25">
      <c r="A379">
        <v>378</v>
      </c>
      <c r="B379" t="s">
        <v>35</v>
      </c>
      <c r="C379" t="s">
        <v>4659</v>
      </c>
      <c r="D379" t="s">
        <v>37</v>
      </c>
      <c r="E379" t="s">
        <v>4660</v>
      </c>
      <c r="F379" t="s">
        <v>138</v>
      </c>
      <c r="G379" t="s">
        <v>4661</v>
      </c>
      <c r="H379" t="s">
        <v>4662</v>
      </c>
      <c r="I379" t="s">
        <v>4662</v>
      </c>
      <c r="J379" t="s">
        <v>141</v>
      </c>
      <c r="K379" t="s">
        <v>4663</v>
      </c>
      <c r="L379">
        <v>1260000</v>
      </c>
      <c r="M379">
        <v>2100000</v>
      </c>
      <c r="N379" t="s">
        <v>4664</v>
      </c>
      <c r="O379" t="s">
        <v>4652</v>
      </c>
      <c r="P379" t="s">
        <v>4665</v>
      </c>
      <c r="Q379" t="s">
        <v>4666</v>
      </c>
      <c r="R379" t="s">
        <v>146</v>
      </c>
      <c r="S379" t="s">
        <v>4667</v>
      </c>
      <c r="T379" t="s">
        <v>194</v>
      </c>
      <c r="U379" t="s">
        <v>98</v>
      </c>
      <c r="V379" s="1">
        <v>45260</v>
      </c>
      <c r="W379" t="s">
        <v>4114</v>
      </c>
      <c r="X379" t="s">
        <v>1191</v>
      </c>
      <c r="Y379" t="s">
        <v>4668</v>
      </c>
      <c r="Z379">
        <v>5</v>
      </c>
      <c r="AA379" t="s">
        <v>55</v>
      </c>
      <c r="AB379" t="s">
        <v>4669</v>
      </c>
      <c r="AC379" t="s">
        <v>4131</v>
      </c>
      <c r="AD379" t="s">
        <v>86</v>
      </c>
      <c r="AE379">
        <v>1890000</v>
      </c>
      <c r="AF379">
        <v>33075</v>
      </c>
      <c r="AJ379" t="str">
        <f>_xlfn.XLOOKUP(Table9[[#This Row],[Engine No.]],'[1]Dubai Islamic Consumer'!$Q$3:$Q$1176,'[1]Dubai Islamic Consumer'!$B$3:$B$1176,,,)</f>
        <v>KHI/HO/D/MO/PC COMP/C/102086/168/11/2024</v>
      </c>
    </row>
    <row r="380" spans="1:36" hidden="1" x14ac:dyDescent="0.25">
      <c r="A380">
        <v>379</v>
      </c>
      <c r="B380" t="s">
        <v>35</v>
      </c>
      <c r="C380" t="s">
        <v>4670</v>
      </c>
      <c r="D380" t="s">
        <v>37</v>
      </c>
      <c r="E380" t="s">
        <v>4671</v>
      </c>
      <c r="F380" t="s">
        <v>39</v>
      </c>
      <c r="G380" t="s">
        <v>4672</v>
      </c>
      <c r="H380" t="s">
        <v>4673</v>
      </c>
      <c r="I380" t="s">
        <v>4674</v>
      </c>
      <c r="J380" t="s">
        <v>4673</v>
      </c>
      <c r="K380" t="s">
        <v>4675</v>
      </c>
      <c r="L380">
        <v>1007500</v>
      </c>
      <c r="M380">
        <v>1550000</v>
      </c>
      <c r="N380" t="s">
        <v>4676</v>
      </c>
      <c r="O380" s="1">
        <v>45646</v>
      </c>
      <c r="P380" t="s">
        <v>4677</v>
      </c>
      <c r="Q380" t="s">
        <v>4678</v>
      </c>
      <c r="R380" t="s">
        <v>146</v>
      </c>
      <c r="S380" t="s">
        <v>4679</v>
      </c>
      <c r="T380" t="s">
        <v>321</v>
      </c>
      <c r="U380" t="s">
        <v>614</v>
      </c>
      <c r="V380" s="1">
        <v>44552</v>
      </c>
      <c r="W380" t="s">
        <v>4015</v>
      </c>
      <c r="X380" t="s">
        <v>3965</v>
      </c>
      <c r="Y380" t="s">
        <v>4680</v>
      </c>
      <c r="Z380">
        <v>7</v>
      </c>
      <c r="AA380" t="s">
        <v>118</v>
      </c>
      <c r="AB380" t="s">
        <v>4681</v>
      </c>
      <c r="AC380" t="s">
        <v>4473</v>
      </c>
      <c r="AD380" t="s">
        <v>299</v>
      </c>
      <c r="AE380">
        <v>1240000</v>
      </c>
      <c r="AF380">
        <v>18600</v>
      </c>
      <c r="AJ380" t="str">
        <f>_xlfn.XLOOKUP(Table9[[#This Row],[Engine No.]],'[1]Dubai Islamic Consumer'!$Q$3:$Q$1176,'[1]Dubai Islamic Consumer'!$B$3:$B$1176,,,)</f>
        <v>KHI/HO/D/MO/PC COMP/C/103702/397/12/2024</v>
      </c>
    </row>
    <row r="381" spans="1:36" hidden="1" x14ac:dyDescent="0.25">
      <c r="A381">
        <v>380</v>
      </c>
      <c r="B381" t="s">
        <v>35</v>
      </c>
      <c r="C381" t="s">
        <v>4682</v>
      </c>
      <c r="D381" t="s">
        <v>37</v>
      </c>
      <c r="E381" t="s">
        <v>3101</v>
      </c>
      <c r="F381" t="s">
        <v>89</v>
      </c>
      <c r="G381" t="s">
        <v>4683</v>
      </c>
      <c r="H381" t="s">
        <v>631</v>
      </c>
      <c r="I381" t="s">
        <v>4684</v>
      </c>
      <c r="J381" t="s">
        <v>4685</v>
      </c>
      <c r="K381" t="s">
        <v>4686</v>
      </c>
      <c r="L381">
        <v>976650</v>
      </c>
      <c r="M381">
        <v>1149000</v>
      </c>
      <c r="N381" t="s">
        <v>4687</v>
      </c>
      <c r="O381" s="1">
        <v>45646</v>
      </c>
      <c r="P381" t="s">
        <v>4688</v>
      </c>
      <c r="Q381" t="s">
        <v>4689</v>
      </c>
      <c r="R381" t="s">
        <v>47</v>
      </c>
      <c r="S381" t="s">
        <v>48</v>
      </c>
      <c r="T381" t="s">
        <v>966</v>
      </c>
      <c r="U381" t="s">
        <v>50</v>
      </c>
      <c r="V381" s="1">
        <v>44552</v>
      </c>
      <c r="W381" t="s">
        <v>4015</v>
      </c>
      <c r="X381" t="s">
        <v>4016</v>
      </c>
      <c r="Y381" t="s">
        <v>4690</v>
      </c>
      <c r="Z381">
        <v>5</v>
      </c>
      <c r="AA381" t="s">
        <v>118</v>
      </c>
      <c r="AB381" t="s">
        <v>4691</v>
      </c>
      <c r="AC381" t="s">
        <v>4473</v>
      </c>
      <c r="AD381" t="s">
        <v>58</v>
      </c>
      <c r="AE381">
        <v>919200</v>
      </c>
      <c r="AF381">
        <v>18384</v>
      </c>
      <c r="AJ381" t="str">
        <f>_xlfn.XLOOKUP(Table9[[#This Row],[Engine No.]],'[1]Dubai Islamic Consumer'!$Q$3:$Q$1176,'[1]Dubai Islamic Consumer'!$B$3:$B$1176,,,)</f>
        <v>KHI/HO/D/MO/PC COMP/C/103702/398/12/2024</v>
      </c>
    </row>
    <row r="382" spans="1:36" hidden="1" x14ac:dyDescent="0.25">
      <c r="A382">
        <v>381</v>
      </c>
      <c r="B382" t="s">
        <v>35</v>
      </c>
      <c r="C382" t="s">
        <v>4692</v>
      </c>
      <c r="D382" t="s">
        <v>37</v>
      </c>
      <c r="E382" t="s">
        <v>4693</v>
      </c>
      <c r="F382" t="s">
        <v>692</v>
      </c>
      <c r="G382" t="s">
        <v>4694</v>
      </c>
      <c r="H382" t="s">
        <v>4695</v>
      </c>
      <c r="I382" t="s">
        <v>4695</v>
      </c>
      <c r="J382" t="s">
        <v>4695</v>
      </c>
      <c r="K382" t="s">
        <v>4696</v>
      </c>
      <c r="L382">
        <v>1682850</v>
      </c>
      <c r="M382">
        <v>2589000</v>
      </c>
      <c r="N382" t="s">
        <v>4697</v>
      </c>
      <c r="O382" s="1">
        <v>45624</v>
      </c>
      <c r="P382" t="s">
        <v>4698</v>
      </c>
      <c r="Q382" t="s">
        <v>4699</v>
      </c>
      <c r="R382" t="s">
        <v>47</v>
      </c>
      <c r="S382" t="s">
        <v>48</v>
      </c>
      <c r="T382" t="s">
        <v>1301</v>
      </c>
      <c r="U382" t="s">
        <v>50</v>
      </c>
      <c r="V382" t="s">
        <v>4700</v>
      </c>
      <c r="W382" t="s">
        <v>132</v>
      </c>
      <c r="X382" t="s">
        <v>133</v>
      </c>
      <c r="Y382" t="s">
        <v>4701</v>
      </c>
      <c r="Z382">
        <v>5</v>
      </c>
      <c r="AA382" t="s">
        <v>323</v>
      </c>
      <c r="AB382" t="s">
        <v>4702</v>
      </c>
      <c r="AC382" t="s">
        <v>2836</v>
      </c>
      <c r="AD382" t="s">
        <v>58</v>
      </c>
      <c r="AE382">
        <v>2071200</v>
      </c>
      <c r="AF382">
        <v>41424</v>
      </c>
      <c r="AJ382" t="str">
        <f>_xlfn.XLOOKUP(Table9[[#This Row],[Engine No.]],'[1]Dubai Islamic Consumer'!$Q$3:$Q$1176,'[1]Dubai Islamic Consumer'!$B$3:$B$1176,,,)</f>
        <v>KHI/HO/D/MO/PC COMP/C/102086/164/11/2024</v>
      </c>
    </row>
    <row r="383" spans="1:36" hidden="1" x14ac:dyDescent="0.25">
      <c r="A383">
        <v>382</v>
      </c>
      <c r="B383" t="s">
        <v>35</v>
      </c>
      <c r="C383" t="s">
        <v>4703</v>
      </c>
      <c r="D383" t="s">
        <v>37</v>
      </c>
      <c r="E383" t="s">
        <v>4704</v>
      </c>
      <c r="F383" t="s">
        <v>525</v>
      </c>
      <c r="G383" t="s">
        <v>4705</v>
      </c>
      <c r="H383" t="s">
        <v>4706</v>
      </c>
      <c r="I383" t="s">
        <v>4707</v>
      </c>
      <c r="J383" t="s">
        <v>4706</v>
      </c>
      <c r="K383" t="s">
        <v>4708</v>
      </c>
      <c r="L383">
        <v>2880000</v>
      </c>
      <c r="M383">
        <v>4500000</v>
      </c>
      <c r="N383" t="s">
        <v>4709</v>
      </c>
      <c r="O383" t="s">
        <v>4710</v>
      </c>
      <c r="P383" t="s">
        <v>4711</v>
      </c>
      <c r="Q383" t="s">
        <v>4712</v>
      </c>
      <c r="R383" t="s">
        <v>146</v>
      </c>
      <c r="S383" t="s">
        <v>48</v>
      </c>
      <c r="T383" t="s">
        <v>4713</v>
      </c>
      <c r="U383" t="s">
        <v>148</v>
      </c>
      <c r="V383" s="1">
        <v>45281</v>
      </c>
      <c r="W383" t="s">
        <v>4587</v>
      </c>
      <c r="X383" t="s">
        <v>4588</v>
      </c>
      <c r="Y383" t="s">
        <v>4714</v>
      </c>
      <c r="Z383">
        <v>3</v>
      </c>
      <c r="AA383" t="s">
        <v>152</v>
      </c>
      <c r="AB383" t="s">
        <v>4715</v>
      </c>
      <c r="AC383" t="s">
        <v>4587</v>
      </c>
      <c r="AD383" t="s">
        <v>86</v>
      </c>
      <c r="AE383">
        <v>4050000</v>
      </c>
      <c r="AF383">
        <v>70875</v>
      </c>
      <c r="AJ383" t="str">
        <f>_xlfn.XLOOKUP(Table9[[#This Row],[Engine No.]],'[1]Dubai Islamic Consumer'!$Q$3:$Q$1176,'[1]Dubai Islamic Consumer'!$B$3:$B$1176,,,)</f>
        <v>KHI/HO/D/MO/PC COMP/C/103702/399/12/2024</v>
      </c>
    </row>
    <row r="384" spans="1:36" hidden="1" x14ac:dyDescent="0.25">
      <c r="A384">
        <v>383</v>
      </c>
      <c r="B384" t="s">
        <v>35</v>
      </c>
      <c r="C384" t="s">
        <v>4716</v>
      </c>
      <c r="D384" t="s">
        <v>37</v>
      </c>
      <c r="E384" t="s">
        <v>4717</v>
      </c>
      <c r="F384" t="s">
        <v>138</v>
      </c>
      <c r="G384" t="s">
        <v>4718</v>
      </c>
      <c r="H384" t="s">
        <v>4719</v>
      </c>
      <c r="I384" t="s">
        <v>4719</v>
      </c>
      <c r="J384" t="s">
        <v>4719</v>
      </c>
      <c r="K384" t="s">
        <v>4720</v>
      </c>
      <c r="L384">
        <v>2054500</v>
      </c>
      <c r="M384">
        <v>2935000</v>
      </c>
      <c r="N384" t="s">
        <v>4721</v>
      </c>
      <c r="O384" t="s">
        <v>4710</v>
      </c>
      <c r="P384" t="s">
        <v>4722</v>
      </c>
      <c r="Q384" t="s">
        <v>4723</v>
      </c>
      <c r="R384" t="s">
        <v>47</v>
      </c>
      <c r="S384" t="s">
        <v>48</v>
      </c>
      <c r="T384" t="s">
        <v>613</v>
      </c>
      <c r="U384" t="s">
        <v>386</v>
      </c>
      <c r="V384" s="1">
        <v>45281</v>
      </c>
      <c r="W384" t="s">
        <v>4587</v>
      </c>
      <c r="X384" t="s">
        <v>4724</v>
      </c>
      <c r="Y384" t="s">
        <v>4725</v>
      </c>
      <c r="Z384">
        <v>5</v>
      </c>
      <c r="AA384" t="s">
        <v>55</v>
      </c>
      <c r="AB384" t="s">
        <v>4726</v>
      </c>
      <c r="AC384" t="s">
        <v>4727</v>
      </c>
      <c r="AD384" t="s">
        <v>86</v>
      </c>
      <c r="AE384">
        <v>2641500</v>
      </c>
      <c r="AF384">
        <v>46226</v>
      </c>
      <c r="AJ384" t="str">
        <f>_xlfn.XLOOKUP(Table9[[#This Row],[Engine No.]],'[1]Dubai Islamic Consumer'!$Q$3:$Q$1176,'[1]Dubai Islamic Consumer'!$B$3:$B$1176,,,)</f>
        <v>KHI/HO/D/MO/PC COMP/C/103702/400/12/2024</v>
      </c>
    </row>
    <row r="385" spans="1:36" hidden="1" x14ac:dyDescent="0.25">
      <c r="A385">
        <v>384</v>
      </c>
      <c r="B385" t="s">
        <v>35</v>
      </c>
      <c r="C385" t="s">
        <v>4728</v>
      </c>
      <c r="D385" t="s">
        <v>37</v>
      </c>
      <c r="E385" t="s">
        <v>4729</v>
      </c>
      <c r="F385" t="s">
        <v>138</v>
      </c>
      <c r="G385" t="s">
        <v>4730</v>
      </c>
      <c r="H385" t="s">
        <v>48</v>
      </c>
      <c r="I385" t="s">
        <v>4731</v>
      </c>
      <c r="J385" t="s">
        <v>48</v>
      </c>
      <c r="K385" t="s">
        <v>4732</v>
      </c>
      <c r="L385">
        <v>2260500</v>
      </c>
      <c r="M385">
        <v>3425000</v>
      </c>
      <c r="N385" t="s">
        <v>4733</v>
      </c>
      <c r="O385" t="s">
        <v>4710</v>
      </c>
      <c r="P385" t="s">
        <v>4734</v>
      </c>
      <c r="Q385" t="s">
        <v>4735</v>
      </c>
      <c r="R385" t="s">
        <v>146</v>
      </c>
      <c r="S385" t="s">
        <v>4736</v>
      </c>
      <c r="T385" t="s">
        <v>2783</v>
      </c>
      <c r="U385" t="s">
        <v>50</v>
      </c>
      <c r="V385" s="1">
        <v>45281</v>
      </c>
      <c r="W385" t="s">
        <v>4587</v>
      </c>
      <c r="X385" t="s">
        <v>4588</v>
      </c>
      <c r="Y385" t="s">
        <v>4737</v>
      </c>
      <c r="Z385">
        <v>3</v>
      </c>
      <c r="AA385" t="s">
        <v>55</v>
      </c>
      <c r="AB385" t="s">
        <v>4738</v>
      </c>
      <c r="AC385" t="s">
        <v>4587</v>
      </c>
      <c r="AD385" t="s">
        <v>86</v>
      </c>
      <c r="AE385">
        <v>3082500</v>
      </c>
      <c r="AF385">
        <v>53944</v>
      </c>
      <c r="AJ385" t="str">
        <f>_xlfn.XLOOKUP(Table9[[#This Row],[Engine No.]],'[1]Dubai Islamic Consumer'!$Q$3:$Q$1176,'[1]Dubai Islamic Consumer'!$B$3:$B$1176,,,)</f>
        <v>KHI/HO/D/MO/PC COMP/C/103702/401/12/2024</v>
      </c>
    </row>
    <row r="386" spans="1:36" hidden="1" x14ac:dyDescent="0.25">
      <c r="A386">
        <v>385</v>
      </c>
      <c r="B386" t="s">
        <v>35</v>
      </c>
      <c r="C386" t="s">
        <v>4739</v>
      </c>
      <c r="D386" t="s">
        <v>37</v>
      </c>
      <c r="E386" t="s">
        <v>4740</v>
      </c>
      <c r="F386" t="s">
        <v>107</v>
      </c>
      <c r="G386" t="s">
        <v>4741</v>
      </c>
      <c r="H386" t="s">
        <v>4742</v>
      </c>
      <c r="I386" t="s">
        <v>4743</v>
      </c>
      <c r="J386" t="s">
        <v>4744</v>
      </c>
      <c r="K386" t="s">
        <v>4745</v>
      </c>
      <c r="L386">
        <v>958750</v>
      </c>
      <c r="M386">
        <v>1475000</v>
      </c>
      <c r="N386" t="s">
        <v>4746</v>
      </c>
      <c r="O386" s="1">
        <v>45645</v>
      </c>
      <c r="P386" t="s">
        <v>4747</v>
      </c>
      <c r="Q386" t="s">
        <v>4748</v>
      </c>
      <c r="R386" t="s">
        <v>47</v>
      </c>
      <c r="S386" t="s">
        <v>48</v>
      </c>
      <c r="T386" t="s">
        <v>2516</v>
      </c>
      <c r="U386" t="s">
        <v>148</v>
      </c>
      <c r="V386" s="1">
        <v>44712</v>
      </c>
      <c r="W386" t="s">
        <v>3988</v>
      </c>
      <c r="X386" t="s">
        <v>3989</v>
      </c>
      <c r="Y386" t="s">
        <v>4749</v>
      </c>
      <c r="Z386">
        <v>5</v>
      </c>
      <c r="AA386" t="s">
        <v>152</v>
      </c>
      <c r="AB386" t="s">
        <v>4750</v>
      </c>
      <c r="AC386" t="s">
        <v>4751</v>
      </c>
      <c r="AD386" t="s">
        <v>299</v>
      </c>
      <c r="AE386">
        <v>1253750</v>
      </c>
      <c r="AF386">
        <v>18806</v>
      </c>
      <c r="AJ386" t="str">
        <f>_xlfn.XLOOKUP(Table9[[#This Row],[Engine No.]],'[1]Dubai Islamic Consumer'!$Q$3:$Q$1176,'[1]Dubai Islamic Consumer'!$B$3:$B$1176,,,)</f>
        <v>KHI/HO/D/MO/PC COMP/C/103702/403/12/2024</v>
      </c>
    </row>
    <row r="387" spans="1:36" hidden="1" x14ac:dyDescent="0.25">
      <c r="A387">
        <v>386</v>
      </c>
      <c r="B387" t="s">
        <v>35</v>
      </c>
      <c r="C387" t="s">
        <v>4752</v>
      </c>
      <c r="D387" t="s">
        <v>37</v>
      </c>
      <c r="E387" t="s">
        <v>4753</v>
      </c>
      <c r="F387" t="s">
        <v>107</v>
      </c>
      <c r="G387" t="s">
        <v>4754</v>
      </c>
      <c r="H387" t="s">
        <v>4755</v>
      </c>
      <c r="I387" t="s">
        <v>4755</v>
      </c>
      <c r="J387" t="s">
        <v>4755</v>
      </c>
      <c r="K387" t="s">
        <v>4756</v>
      </c>
      <c r="L387">
        <v>750000</v>
      </c>
      <c r="M387">
        <v>1250000</v>
      </c>
      <c r="N387" t="s">
        <v>4757</v>
      </c>
      <c r="O387" s="1">
        <v>45625</v>
      </c>
      <c r="P387" t="s">
        <v>4758</v>
      </c>
      <c r="Q387" t="s">
        <v>4759</v>
      </c>
      <c r="R387" t="s">
        <v>1215</v>
      </c>
      <c r="S387" t="s">
        <v>4760</v>
      </c>
      <c r="T387" t="s">
        <v>4761</v>
      </c>
      <c r="U387" t="s">
        <v>903</v>
      </c>
      <c r="V387" t="s">
        <v>3728</v>
      </c>
      <c r="W387" t="s">
        <v>3729</v>
      </c>
      <c r="X387" t="s">
        <v>133</v>
      </c>
      <c r="Y387" t="s">
        <v>4762</v>
      </c>
      <c r="Z387">
        <v>7</v>
      </c>
      <c r="AA387" t="s">
        <v>55</v>
      </c>
      <c r="AB387" t="s">
        <v>4763</v>
      </c>
      <c r="AC387" t="s">
        <v>3728</v>
      </c>
      <c r="AD387" t="s">
        <v>171</v>
      </c>
      <c r="AE387">
        <v>875000</v>
      </c>
      <c r="AF387">
        <v>21875</v>
      </c>
      <c r="AJ387" t="str">
        <f>_xlfn.XLOOKUP(Table9[[#This Row],[Engine No.]],'[1]Dubai Islamic Consumer'!$Q$3:$Q$1176,'[1]Dubai Islamic Consumer'!$B$3:$B$1176,,,)</f>
        <v>KHI/HO/D/MO/PC COMP/C/102086/161/11/2024</v>
      </c>
    </row>
    <row r="388" spans="1:36" hidden="1" x14ac:dyDescent="0.25">
      <c r="A388">
        <v>387</v>
      </c>
      <c r="B388" t="s">
        <v>35</v>
      </c>
      <c r="C388" t="s">
        <v>4764</v>
      </c>
      <c r="D388" t="s">
        <v>37</v>
      </c>
      <c r="E388" t="s">
        <v>4765</v>
      </c>
      <c r="F388" t="s">
        <v>39</v>
      </c>
      <c r="G388" t="s">
        <v>4766</v>
      </c>
      <c r="H388" t="s">
        <v>4767</v>
      </c>
      <c r="I388" t="s">
        <v>4768</v>
      </c>
      <c r="J388" t="s">
        <v>4767</v>
      </c>
      <c r="K388" t="s">
        <v>4769</v>
      </c>
      <c r="L388">
        <v>680000</v>
      </c>
      <c r="M388">
        <v>850000</v>
      </c>
      <c r="N388" t="s">
        <v>4770</v>
      </c>
      <c r="O388" s="1">
        <v>45625</v>
      </c>
      <c r="P388" t="s">
        <v>4771</v>
      </c>
      <c r="Q388" t="s">
        <v>4772</v>
      </c>
      <c r="R388" t="s">
        <v>146</v>
      </c>
      <c r="S388" t="s">
        <v>4773</v>
      </c>
      <c r="T388" t="s">
        <v>639</v>
      </c>
      <c r="U388" t="s">
        <v>335</v>
      </c>
      <c r="V388" t="s">
        <v>3368</v>
      </c>
      <c r="W388" t="s">
        <v>132</v>
      </c>
      <c r="X388" t="s">
        <v>133</v>
      </c>
      <c r="Y388" t="s">
        <v>4774</v>
      </c>
      <c r="Z388">
        <v>5</v>
      </c>
      <c r="AA388" t="s">
        <v>118</v>
      </c>
      <c r="AB388" t="s">
        <v>4775</v>
      </c>
      <c r="AC388" t="s">
        <v>3368</v>
      </c>
      <c r="AD388" t="s">
        <v>299</v>
      </c>
      <c r="AE388">
        <v>680000</v>
      </c>
      <c r="AF388">
        <v>10200</v>
      </c>
      <c r="AJ388" t="str">
        <f>_xlfn.XLOOKUP(Table9[[#This Row],[Engine No.]],'[1]Dubai Islamic Consumer'!$Q$3:$Q$1176,'[1]Dubai Islamic Consumer'!$B$3:$B$1176,,,)</f>
        <v>KHI/HO/D/MO/PC COMP/C/102086/157/11/2024</v>
      </c>
    </row>
    <row r="389" spans="1:36" hidden="1" x14ac:dyDescent="0.25">
      <c r="A389">
        <v>388</v>
      </c>
      <c r="B389" t="s">
        <v>35</v>
      </c>
      <c r="C389" t="s">
        <v>4776</v>
      </c>
      <c r="D389" t="s">
        <v>37</v>
      </c>
      <c r="E389" t="s">
        <v>4777</v>
      </c>
      <c r="F389" t="s">
        <v>138</v>
      </c>
      <c r="G389" t="s">
        <v>4778</v>
      </c>
      <c r="H389" t="s">
        <v>4779</v>
      </c>
      <c r="I389" t="s">
        <v>4779</v>
      </c>
      <c r="J389" t="s">
        <v>4780</v>
      </c>
      <c r="K389" t="s">
        <v>4781</v>
      </c>
      <c r="L389">
        <v>1020000</v>
      </c>
      <c r="M389">
        <v>1700000</v>
      </c>
      <c r="N389" t="s">
        <v>4782</v>
      </c>
      <c r="O389" s="1">
        <v>45625</v>
      </c>
      <c r="P389" t="s">
        <v>4783</v>
      </c>
      <c r="Q389" t="s">
        <v>4784</v>
      </c>
      <c r="R389" t="s">
        <v>146</v>
      </c>
      <c r="S389" t="s">
        <v>4785</v>
      </c>
      <c r="T389" t="s">
        <v>1141</v>
      </c>
      <c r="U389" t="s">
        <v>651</v>
      </c>
      <c r="V389" t="s">
        <v>4786</v>
      </c>
      <c r="W389" t="s">
        <v>2306</v>
      </c>
      <c r="X389" t="s">
        <v>533</v>
      </c>
      <c r="Y389" t="s">
        <v>4787</v>
      </c>
      <c r="Z389">
        <v>7</v>
      </c>
      <c r="AA389" t="s">
        <v>55</v>
      </c>
      <c r="AB389" t="s">
        <v>4788</v>
      </c>
      <c r="AC389" t="s">
        <v>4786</v>
      </c>
      <c r="AD389" t="s">
        <v>880</v>
      </c>
      <c r="AE389">
        <v>1105000</v>
      </c>
      <c r="AF389">
        <v>34255</v>
      </c>
      <c r="AJ389" t="str">
        <f>_xlfn.XLOOKUP(Table9[[#This Row],[Engine No.]],'[1]Dubai Islamic Consumer'!$Q$3:$Q$1176,'[1]Dubai Islamic Consumer'!$B$3:$B$1176,,,)</f>
        <v>KHI/HO/D/MO/PC COMP/C/102086/154/11/2024</v>
      </c>
    </row>
    <row r="390" spans="1:36" hidden="1" x14ac:dyDescent="0.25">
      <c r="A390">
        <v>389</v>
      </c>
      <c r="B390" t="s">
        <v>35</v>
      </c>
      <c r="C390" t="s">
        <v>4789</v>
      </c>
      <c r="D390" t="s">
        <v>37</v>
      </c>
      <c r="E390" t="s">
        <v>4790</v>
      </c>
      <c r="F390" t="s">
        <v>138</v>
      </c>
      <c r="G390" t="s">
        <v>4791</v>
      </c>
      <c r="H390" t="s">
        <v>4792</v>
      </c>
      <c r="I390" t="s">
        <v>4793</v>
      </c>
      <c r="J390" t="s">
        <v>4792</v>
      </c>
      <c r="K390" t="s">
        <v>4794</v>
      </c>
      <c r="L390">
        <v>1690000</v>
      </c>
      <c r="M390">
        <v>2600000</v>
      </c>
      <c r="N390" t="s">
        <v>4795</v>
      </c>
      <c r="O390" s="1">
        <v>45645</v>
      </c>
      <c r="P390" t="s">
        <v>4796</v>
      </c>
      <c r="Q390" t="s">
        <v>4797</v>
      </c>
      <c r="R390" t="s">
        <v>146</v>
      </c>
      <c r="S390" t="s">
        <v>4798</v>
      </c>
      <c r="T390" t="s">
        <v>601</v>
      </c>
      <c r="U390" t="s">
        <v>903</v>
      </c>
      <c r="V390" s="1">
        <v>44552</v>
      </c>
      <c r="W390" t="s">
        <v>4015</v>
      </c>
      <c r="X390" t="s">
        <v>4016</v>
      </c>
      <c r="Y390" t="s">
        <v>4799</v>
      </c>
      <c r="Z390">
        <v>5</v>
      </c>
      <c r="AA390" t="s">
        <v>55</v>
      </c>
      <c r="AB390" t="s">
        <v>4800</v>
      </c>
      <c r="AC390" t="s">
        <v>4176</v>
      </c>
      <c r="AD390" t="s">
        <v>299</v>
      </c>
      <c r="AE390">
        <v>2080000</v>
      </c>
      <c r="AF390">
        <v>31200</v>
      </c>
      <c r="AJ390" t="str">
        <f>_xlfn.XLOOKUP(Table9[[#This Row],[Engine No.]],'[1]Dubai Islamic Consumer'!$Q$3:$Q$1176,'[1]Dubai Islamic Consumer'!$B$3:$B$1176,,,)</f>
        <v>KHI/HO/D/MO/PC COMP/C/103702/406/12/2024</v>
      </c>
    </row>
    <row r="391" spans="1:36" hidden="1" x14ac:dyDescent="0.25">
      <c r="A391">
        <v>390</v>
      </c>
      <c r="B391" t="s">
        <v>35</v>
      </c>
      <c r="C391" t="s">
        <v>4801</v>
      </c>
      <c r="D391" t="s">
        <v>37</v>
      </c>
      <c r="E391" t="s">
        <v>4802</v>
      </c>
      <c r="F391" t="s">
        <v>138</v>
      </c>
      <c r="G391" t="s">
        <v>4803</v>
      </c>
      <c r="H391" t="s">
        <v>4804</v>
      </c>
      <c r="I391" t="s">
        <v>4805</v>
      </c>
      <c r="J391" t="s">
        <v>4804</v>
      </c>
      <c r="K391" t="s">
        <v>4806</v>
      </c>
      <c r="L391">
        <v>1252550</v>
      </c>
      <c r="M391">
        <v>1927000</v>
      </c>
      <c r="N391" t="s">
        <v>4807</v>
      </c>
      <c r="O391" s="1">
        <v>45645</v>
      </c>
      <c r="P391" t="s">
        <v>4808</v>
      </c>
      <c r="Q391" t="s">
        <v>4809</v>
      </c>
      <c r="R391" t="s">
        <v>47</v>
      </c>
      <c r="S391" t="s">
        <v>48</v>
      </c>
      <c r="T391" t="s">
        <v>360</v>
      </c>
      <c r="U391" t="s">
        <v>50</v>
      </c>
      <c r="V391" s="1">
        <v>44551</v>
      </c>
      <c r="W391" t="s">
        <v>4473</v>
      </c>
      <c r="X391" t="s">
        <v>4588</v>
      </c>
      <c r="Y391" t="s">
        <v>4810</v>
      </c>
      <c r="Z391">
        <v>5</v>
      </c>
      <c r="AA391" t="s">
        <v>55</v>
      </c>
      <c r="AB391" t="s">
        <v>4811</v>
      </c>
      <c r="AC391" t="s">
        <v>4176</v>
      </c>
      <c r="AD391" t="s">
        <v>58</v>
      </c>
      <c r="AE391">
        <v>1541600</v>
      </c>
      <c r="AF391">
        <v>30832</v>
      </c>
      <c r="AJ391" t="str">
        <f>_xlfn.XLOOKUP(Table9[[#This Row],[Engine No.]],'[1]Dubai Islamic Consumer'!$Q$3:$Q$1176,'[1]Dubai Islamic Consumer'!$B$3:$B$1176,,,)</f>
        <v>KHI/HO/D/MO/PC COMP/C/103702/410/12/2024</v>
      </c>
    </row>
    <row r="392" spans="1:36" hidden="1" x14ac:dyDescent="0.25">
      <c r="A392">
        <v>391</v>
      </c>
      <c r="B392" t="s">
        <v>35</v>
      </c>
      <c r="C392" t="s">
        <v>4812</v>
      </c>
      <c r="D392" t="s">
        <v>37</v>
      </c>
      <c r="E392" t="s">
        <v>4813</v>
      </c>
      <c r="F392" t="s">
        <v>107</v>
      </c>
      <c r="G392" t="s">
        <v>4814</v>
      </c>
      <c r="H392" t="s">
        <v>4815</v>
      </c>
      <c r="I392" t="s">
        <v>4815</v>
      </c>
      <c r="J392" t="s">
        <v>4815</v>
      </c>
      <c r="K392" t="s">
        <v>4816</v>
      </c>
      <c r="L392">
        <v>1246000</v>
      </c>
      <c r="M392">
        <v>1780000</v>
      </c>
      <c r="N392" t="s">
        <v>4817</v>
      </c>
      <c r="O392" s="1">
        <v>45645</v>
      </c>
      <c r="P392" t="s">
        <v>4818</v>
      </c>
      <c r="Q392" t="s">
        <v>4819</v>
      </c>
      <c r="R392" t="s">
        <v>146</v>
      </c>
      <c r="S392" t="s">
        <v>4820</v>
      </c>
      <c r="T392" t="s">
        <v>4821</v>
      </c>
      <c r="U392" t="s">
        <v>614</v>
      </c>
      <c r="V392" s="1">
        <v>44553</v>
      </c>
      <c r="W392" t="s">
        <v>4015</v>
      </c>
      <c r="X392" t="s">
        <v>4016</v>
      </c>
      <c r="Y392" t="s">
        <v>4822</v>
      </c>
      <c r="Z392">
        <v>5</v>
      </c>
      <c r="AA392" t="s">
        <v>55</v>
      </c>
      <c r="AB392" t="s">
        <v>4823</v>
      </c>
      <c r="AC392" t="s">
        <v>4176</v>
      </c>
      <c r="AD392" t="s">
        <v>299</v>
      </c>
      <c r="AE392">
        <v>1424000</v>
      </c>
      <c r="AF392">
        <v>21360</v>
      </c>
      <c r="AJ392" t="str">
        <f>_xlfn.XLOOKUP(Table9[[#This Row],[Engine No.]],'[1]Dubai Islamic Consumer'!$Q$3:$Q$1176,'[1]Dubai Islamic Consumer'!$B$3:$B$1176,,,)</f>
        <v>KHI/HO/D/MO/PC COMP/C/103702/411/12/2024</v>
      </c>
    </row>
    <row r="393" spans="1:36" hidden="1" x14ac:dyDescent="0.25">
      <c r="A393">
        <v>392</v>
      </c>
      <c r="B393" t="s">
        <v>35</v>
      </c>
      <c r="C393" t="s">
        <v>4824</v>
      </c>
      <c r="D393" t="s">
        <v>37</v>
      </c>
      <c r="E393" t="s">
        <v>4825</v>
      </c>
      <c r="F393" t="s">
        <v>39</v>
      </c>
      <c r="G393" t="s">
        <v>4826</v>
      </c>
      <c r="H393" t="s">
        <v>4827</v>
      </c>
      <c r="I393" t="s">
        <v>4828</v>
      </c>
      <c r="J393" t="s">
        <v>4827</v>
      </c>
      <c r="K393" t="s">
        <v>4829</v>
      </c>
      <c r="L393">
        <v>926000</v>
      </c>
      <c r="M393">
        <v>1852000</v>
      </c>
      <c r="N393" t="s">
        <v>4830</v>
      </c>
      <c r="O393" s="1">
        <v>45625</v>
      </c>
      <c r="P393" t="s">
        <v>4831</v>
      </c>
      <c r="Q393" t="s">
        <v>4832</v>
      </c>
      <c r="R393" t="s">
        <v>47</v>
      </c>
      <c r="S393" t="s">
        <v>48</v>
      </c>
      <c r="T393" t="s">
        <v>4833</v>
      </c>
      <c r="U393" t="s">
        <v>50</v>
      </c>
      <c r="V393" t="s">
        <v>3368</v>
      </c>
      <c r="W393" t="s">
        <v>132</v>
      </c>
      <c r="X393" t="s">
        <v>133</v>
      </c>
      <c r="Y393" t="s">
        <v>4834</v>
      </c>
      <c r="Z393">
        <v>5</v>
      </c>
      <c r="AA393" t="s">
        <v>118</v>
      </c>
      <c r="AB393" t="s">
        <v>4835</v>
      </c>
      <c r="AC393" t="s">
        <v>3368</v>
      </c>
      <c r="AD393" t="s">
        <v>58</v>
      </c>
      <c r="AE393">
        <v>1481600</v>
      </c>
      <c r="AF393">
        <v>29632</v>
      </c>
      <c r="AJ393" t="str">
        <f>_xlfn.XLOOKUP(Table9[[#This Row],[Engine No.]],'[1]Dubai Islamic Consumer'!$Q$3:$Q$1176,'[1]Dubai Islamic Consumer'!$B$3:$B$1176,,,)</f>
        <v>KHI/HO/D/MO/PC COMP/C/102086/149/11/2024</v>
      </c>
    </row>
    <row r="394" spans="1:36" hidden="1" x14ac:dyDescent="0.25">
      <c r="A394">
        <v>393</v>
      </c>
      <c r="B394" t="s">
        <v>35</v>
      </c>
      <c r="C394" t="s">
        <v>4836</v>
      </c>
      <c r="D394" t="s">
        <v>37</v>
      </c>
      <c r="E394" t="s">
        <v>4837</v>
      </c>
      <c r="F394" t="s">
        <v>107</v>
      </c>
      <c r="G394" t="s">
        <v>4838</v>
      </c>
      <c r="H394" t="s">
        <v>4839</v>
      </c>
      <c r="I394" t="s">
        <v>4839</v>
      </c>
      <c r="J394" t="s">
        <v>4839</v>
      </c>
      <c r="K394" t="s">
        <v>4840</v>
      </c>
      <c r="L394">
        <v>919200</v>
      </c>
      <c r="M394">
        <v>1149000</v>
      </c>
      <c r="N394" t="s">
        <v>4841</v>
      </c>
      <c r="O394" s="1">
        <v>45645</v>
      </c>
      <c r="P394" t="s">
        <v>4842</v>
      </c>
      <c r="Q394" t="s">
        <v>4843</v>
      </c>
      <c r="R394" t="s">
        <v>47</v>
      </c>
      <c r="S394" t="s">
        <v>47</v>
      </c>
      <c r="T394" t="s">
        <v>4844</v>
      </c>
      <c r="U394" t="s">
        <v>50</v>
      </c>
      <c r="V394" s="1">
        <v>44554</v>
      </c>
      <c r="W394" t="s">
        <v>4015</v>
      </c>
      <c r="X394" t="s">
        <v>4016</v>
      </c>
      <c r="Y394" t="s">
        <v>4845</v>
      </c>
      <c r="Z394">
        <v>5</v>
      </c>
      <c r="AA394" t="s">
        <v>55</v>
      </c>
      <c r="AB394" t="s">
        <v>4846</v>
      </c>
      <c r="AC394" t="s">
        <v>4176</v>
      </c>
      <c r="AD394" t="s">
        <v>58</v>
      </c>
      <c r="AE394">
        <v>919200</v>
      </c>
      <c r="AF394">
        <v>18384</v>
      </c>
      <c r="AJ394" t="str">
        <f>_xlfn.XLOOKUP(Table9[[#This Row],[Engine No.]],'[1]Dubai Islamic Consumer'!$Q$3:$Q$1176,'[1]Dubai Islamic Consumer'!$B$3:$B$1176,,,)</f>
        <v>KHI/HO/D/MO/PC COMP/C/103702/413/12/2024</v>
      </c>
    </row>
    <row r="395" spans="1:36" hidden="1" x14ac:dyDescent="0.25">
      <c r="A395">
        <v>394</v>
      </c>
      <c r="B395" t="s">
        <v>35</v>
      </c>
      <c r="C395" t="s">
        <v>4847</v>
      </c>
      <c r="D395" t="s">
        <v>37</v>
      </c>
      <c r="E395" t="s">
        <v>4848</v>
      </c>
      <c r="F395" t="s">
        <v>138</v>
      </c>
      <c r="G395" t="s">
        <v>4849</v>
      </c>
      <c r="H395" t="s">
        <v>48</v>
      </c>
      <c r="I395" t="s">
        <v>4850</v>
      </c>
      <c r="J395" t="s">
        <v>48</v>
      </c>
      <c r="K395" t="s">
        <v>4851</v>
      </c>
      <c r="L395">
        <v>1890000</v>
      </c>
      <c r="M395">
        <v>2700000</v>
      </c>
      <c r="N395" t="s">
        <v>4852</v>
      </c>
      <c r="O395" t="s">
        <v>4853</v>
      </c>
      <c r="P395" t="s">
        <v>4854</v>
      </c>
      <c r="Q395" t="s">
        <v>4855</v>
      </c>
      <c r="R395" t="s">
        <v>146</v>
      </c>
      <c r="S395" t="s">
        <v>4856</v>
      </c>
      <c r="T395" t="s">
        <v>613</v>
      </c>
      <c r="U395" t="s">
        <v>148</v>
      </c>
      <c r="V395" s="1">
        <v>45282</v>
      </c>
      <c r="W395" t="s">
        <v>3964</v>
      </c>
      <c r="X395" t="s">
        <v>3965</v>
      </c>
      <c r="Y395" t="s">
        <v>4857</v>
      </c>
      <c r="Z395">
        <v>5</v>
      </c>
      <c r="AA395" t="s">
        <v>55</v>
      </c>
      <c r="AB395" t="s">
        <v>4858</v>
      </c>
      <c r="AC395" t="s">
        <v>4727</v>
      </c>
      <c r="AD395" t="s">
        <v>86</v>
      </c>
      <c r="AE395">
        <v>2430000</v>
      </c>
      <c r="AF395">
        <v>42525</v>
      </c>
      <c r="AJ395" t="str">
        <f>_xlfn.XLOOKUP(Table9[[#This Row],[Engine No.]],'[1]Dubai Islamic Consumer'!$Q$3:$Q$1176,'[1]Dubai Islamic Consumer'!$B$3:$B$1176,,,)</f>
        <v>KHI/HO/D/MO/PC COMP/C/103702/415/12/2024</v>
      </c>
    </row>
    <row r="396" spans="1:36" hidden="1" x14ac:dyDescent="0.25">
      <c r="A396">
        <v>395</v>
      </c>
      <c r="B396" t="s">
        <v>35</v>
      </c>
      <c r="C396" t="s">
        <v>4859</v>
      </c>
      <c r="D396" t="s">
        <v>37</v>
      </c>
      <c r="E396" t="s">
        <v>4860</v>
      </c>
      <c r="F396" t="s">
        <v>138</v>
      </c>
      <c r="G396" t="s">
        <v>4861</v>
      </c>
      <c r="H396" t="s">
        <v>4862</v>
      </c>
      <c r="I396" t="s">
        <v>4862</v>
      </c>
      <c r="J396" t="s">
        <v>141</v>
      </c>
      <c r="K396" t="s">
        <v>4863</v>
      </c>
      <c r="L396">
        <v>980000</v>
      </c>
      <c r="M396">
        <v>1400000</v>
      </c>
      <c r="N396" t="s">
        <v>4864</v>
      </c>
      <c r="O396" s="1">
        <v>45625</v>
      </c>
      <c r="P396" t="s">
        <v>4865</v>
      </c>
      <c r="Q396" t="s">
        <v>4866</v>
      </c>
      <c r="R396" t="s">
        <v>146</v>
      </c>
      <c r="S396" t="s">
        <v>4867</v>
      </c>
      <c r="T396" t="s">
        <v>4868</v>
      </c>
      <c r="U396" t="s">
        <v>903</v>
      </c>
      <c r="V396" t="s">
        <v>3368</v>
      </c>
      <c r="W396" t="s">
        <v>132</v>
      </c>
      <c r="X396" t="s">
        <v>133</v>
      </c>
      <c r="Y396" t="s">
        <v>4869</v>
      </c>
      <c r="Z396">
        <v>5</v>
      </c>
      <c r="AA396" t="s">
        <v>118</v>
      </c>
      <c r="AB396" t="s">
        <v>4870</v>
      </c>
      <c r="AC396" t="s">
        <v>3368</v>
      </c>
      <c r="AD396" t="s">
        <v>299</v>
      </c>
      <c r="AE396">
        <v>1120000</v>
      </c>
      <c r="AF396">
        <v>16800</v>
      </c>
      <c r="AJ396" t="str">
        <f>_xlfn.XLOOKUP(Table9[[#This Row],[Engine No.]],'[1]Dubai Islamic Consumer'!$Q$3:$Q$1176,'[1]Dubai Islamic Consumer'!$B$3:$B$1176,,,)</f>
        <v>KHI/HO/D/MO/PC COMP/C/102086/148/11/2024</v>
      </c>
    </row>
    <row r="397" spans="1:36" hidden="1" x14ac:dyDescent="0.25">
      <c r="A397">
        <v>396</v>
      </c>
      <c r="B397" t="s">
        <v>35</v>
      </c>
      <c r="C397" t="s">
        <v>4871</v>
      </c>
      <c r="D397" t="s">
        <v>37</v>
      </c>
      <c r="E397" t="s">
        <v>4872</v>
      </c>
      <c r="F397" t="s">
        <v>138</v>
      </c>
      <c r="G397" t="s">
        <v>4873</v>
      </c>
      <c r="H397" t="s">
        <v>4874</v>
      </c>
      <c r="I397" t="s">
        <v>4874</v>
      </c>
      <c r="J397" t="s">
        <v>141</v>
      </c>
      <c r="K397" t="s">
        <v>4875</v>
      </c>
      <c r="L397">
        <v>2928000</v>
      </c>
      <c r="M397">
        <v>6100000</v>
      </c>
      <c r="N397" t="s">
        <v>4876</v>
      </c>
      <c r="O397" t="s">
        <v>4853</v>
      </c>
      <c r="P397" t="s">
        <v>4877</v>
      </c>
      <c r="Q397" t="s">
        <v>4878</v>
      </c>
      <c r="R397" t="s">
        <v>146</v>
      </c>
      <c r="S397" t="s">
        <v>4879</v>
      </c>
      <c r="T397" t="s">
        <v>4389</v>
      </c>
      <c r="U397" t="s">
        <v>50</v>
      </c>
      <c r="V397" s="1">
        <v>45279</v>
      </c>
      <c r="W397" t="s">
        <v>4587</v>
      </c>
      <c r="X397" t="s">
        <v>4588</v>
      </c>
      <c r="Y397" t="s">
        <v>4880</v>
      </c>
      <c r="Z397">
        <v>3</v>
      </c>
      <c r="AA397" t="s">
        <v>55</v>
      </c>
      <c r="AB397" t="s">
        <v>4881</v>
      </c>
      <c r="AC397" t="s">
        <v>4882</v>
      </c>
      <c r="AD397" t="s">
        <v>86</v>
      </c>
      <c r="AE397">
        <v>5490000</v>
      </c>
      <c r="AF397">
        <v>96075</v>
      </c>
      <c r="AJ397" t="str">
        <f>_xlfn.XLOOKUP(Table9[[#This Row],[Engine No.]],'[1]Dubai Islamic Consumer'!$Q$3:$Q$1176,'[1]Dubai Islamic Consumer'!$B$3:$B$1176,,,)</f>
        <v>KHI/HO/D/MO/PC COMP/C/103702/417/12/2024</v>
      </c>
    </row>
    <row r="398" spans="1:36" hidden="1" x14ac:dyDescent="0.25">
      <c r="A398">
        <v>397</v>
      </c>
      <c r="B398" t="s">
        <v>35</v>
      </c>
      <c r="C398" t="s">
        <v>4883</v>
      </c>
      <c r="D398" t="s">
        <v>37</v>
      </c>
      <c r="E398" t="s">
        <v>4884</v>
      </c>
      <c r="F398" t="s">
        <v>138</v>
      </c>
      <c r="G398" t="s">
        <v>4885</v>
      </c>
      <c r="H398" t="s">
        <v>4886</v>
      </c>
      <c r="I398" t="s">
        <v>4886</v>
      </c>
      <c r="J398" t="s">
        <v>141</v>
      </c>
      <c r="K398" t="s">
        <v>4887</v>
      </c>
      <c r="L398">
        <v>1500000</v>
      </c>
      <c r="M398">
        <v>3000000</v>
      </c>
      <c r="N398" t="s">
        <v>4888</v>
      </c>
      <c r="O398" t="s">
        <v>4853</v>
      </c>
      <c r="P398" t="s">
        <v>4889</v>
      </c>
      <c r="Q398" t="s">
        <v>4890</v>
      </c>
      <c r="R398" t="s">
        <v>146</v>
      </c>
      <c r="S398" t="s">
        <v>4891</v>
      </c>
      <c r="T398" t="s">
        <v>1289</v>
      </c>
      <c r="U398" t="s">
        <v>651</v>
      </c>
      <c r="V398" s="1">
        <v>45281</v>
      </c>
      <c r="W398" t="s">
        <v>4587</v>
      </c>
      <c r="X398" t="s">
        <v>4588</v>
      </c>
      <c r="Y398" t="s">
        <v>4892</v>
      </c>
      <c r="Z398">
        <v>3</v>
      </c>
      <c r="AA398" t="s">
        <v>55</v>
      </c>
      <c r="AB398" t="s">
        <v>4893</v>
      </c>
      <c r="AC398" t="s">
        <v>4587</v>
      </c>
      <c r="AD398" t="s">
        <v>86</v>
      </c>
      <c r="AE398">
        <v>2700000</v>
      </c>
      <c r="AF398">
        <v>47250</v>
      </c>
      <c r="AJ398" t="str">
        <f>_xlfn.XLOOKUP(Table9[[#This Row],[Engine No.]],'[1]Dubai Islamic Consumer'!$Q$3:$Q$1176,'[1]Dubai Islamic Consumer'!$B$3:$B$1176,,,)</f>
        <v>KHI/HO/D/MO/PC COMP/C/103702/419/12/2024</v>
      </c>
    </row>
    <row r="399" spans="1:36" hidden="1" x14ac:dyDescent="0.25">
      <c r="A399">
        <v>398</v>
      </c>
      <c r="B399" t="s">
        <v>35</v>
      </c>
      <c r="C399" t="s">
        <v>4894</v>
      </c>
      <c r="D399" t="s">
        <v>37</v>
      </c>
      <c r="E399" t="s">
        <v>4895</v>
      </c>
      <c r="F399" t="s">
        <v>107</v>
      </c>
      <c r="G399" t="s">
        <v>4896</v>
      </c>
      <c r="H399" t="s">
        <v>4897</v>
      </c>
      <c r="I399" t="s">
        <v>4897</v>
      </c>
      <c r="J399" t="s">
        <v>4897</v>
      </c>
      <c r="K399" t="s">
        <v>4898</v>
      </c>
      <c r="L399">
        <v>1007500</v>
      </c>
      <c r="M399">
        <v>1550000</v>
      </c>
      <c r="N399" t="s">
        <v>4899</v>
      </c>
      <c r="O399" s="1">
        <v>45625</v>
      </c>
      <c r="P399" t="s">
        <v>4900</v>
      </c>
      <c r="Q399" t="s">
        <v>4901</v>
      </c>
      <c r="R399" t="s">
        <v>146</v>
      </c>
      <c r="S399" t="s">
        <v>4902</v>
      </c>
      <c r="T399" t="s">
        <v>321</v>
      </c>
      <c r="U399" t="s">
        <v>496</v>
      </c>
      <c r="V399" t="s">
        <v>4903</v>
      </c>
      <c r="W399" t="s">
        <v>132</v>
      </c>
      <c r="X399" t="s">
        <v>133</v>
      </c>
      <c r="Y399" t="s">
        <v>4904</v>
      </c>
      <c r="Z399">
        <v>5</v>
      </c>
      <c r="AA399" t="s">
        <v>118</v>
      </c>
      <c r="AB399" t="s">
        <v>4905</v>
      </c>
      <c r="AC399" t="s">
        <v>3368</v>
      </c>
      <c r="AD399" t="s">
        <v>299</v>
      </c>
      <c r="AE399">
        <v>1240000</v>
      </c>
      <c r="AF399">
        <v>18600</v>
      </c>
      <c r="AJ399" t="str">
        <f>_xlfn.XLOOKUP(Table9[[#This Row],[Engine No.]],'[1]Dubai Islamic Consumer'!$Q$3:$Q$1176,'[1]Dubai Islamic Consumer'!$B$3:$B$1176,,,)</f>
        <v>KHI/HO/D/MO/PC COMP/C/102086/147/11/2024</v>
      </c>
    </row>
    <row r="400" spans="1:36" hidden="1" x14ac:dyDescent="0.25">
      <c r="A400">
        <v>399</v>
      </c>
      <c r="B400" t="s">
        <v>35</v>
      </c>
      <c r="C400" t="s">
        <v>4906</v>
      </c>
      <c r="D400" t="s">
        <v>37</v>
      </c>
      <c r="E400" t="s">
        <v>4907</v>
      </c>
      <c r="F400" t="s">
        <v>138</v>
      </c>
      <c r="G400" t="s">
        <v>4908</v>
      </c>
      <c r="H400" t="s">
        <v>48</v>
      </c>
      <c r="I400" t="s">
        <v>4909</v>
      </c>
      <c r="J400" t="s">
        <v>48</v>
      </c>
      <c r="K400" t="s">
        <v>4910</v>
      </c>
      <c r="L400">
        <v>1260000</v>
      </c>
      <c r="M400">
        <v>1800000</v>
      </c>
      <c r="N400" t="s">
        <v>4911</v>
      </c>
      <c r="O400" s="1">
        <v>45625</v>
      </c>
      <c r="P400" t="s">
        <v>4912</v>
      </c>
      <c r="Q400" t="s">
        <v>4913</v>
      </c>
      <c r="R400" t="s">
        <v>1215</v>
      </c>
      <c r="S400" t="s">
        <v>4914</v>
      </c>
      <c r="T400" t="s">
        <v>4915</v>
      </c>
      <c r="U400" t="s">
        <v>715</v>
      </c>
      <c r="V400" t="s">
        <v>3321</v>
      </c>
      <c r="W400" t="s">
        <v>532</v>
      </c>
      <c r="X400" t="s">
        <v>533</v>
      </c>
      <c r="Y400" t="s">
        <v>4916</v>
      </c>
      <c r="Z400">
        <v>5</v>
      </c>
      <c r="AA400" t="s">
        <v>55</v>
      </c>
      <c r="AB400" t="s">
        <v>4917</v>
      </c>
      <c r="AC400" t="s">
        <v>3321</v>
      </c>
      <c r="AD400" t="s">
        <v>58</v>
      </c>
      <c r="AE400">
        <v>1350000</v>
      </c>
      <c r="AF400">
        <v>27000</v>
      </c>
      <c r="AJ400" t="str">
        <f>_xlfn.XLOOKUP(Table9[[#This Row],[Engine No.]],'[1]Dubai Islamic Consumer'!$Q$3:$Q$1176,'[1]Dubai Islamic Consumer'!$B$3:$B$1176,,,)</f>
        <v>KHI/HO/D/MO/PC COMP/C/102086/146/11/2024</v>
      </c>
    </row>
    <row r="401" spans="1:36" hidden="1" x14ac:dyDescent="0.25">
      <c r="A401">
        <v>400</v>
      </c>
      <c r="B401" t="s">
        <v>35</v>
      </c>
      <c r="C401" t="s">
        <v>4918</v>
      </c>
      <c r="D401" t="s">
        <v>37</v>
      </c>
      <c r="E401" t="s">
        <v>4919</v>
      </c>
      <c r="F401" t="s">
        <v>138</v>
      </c>
      <c r="G401" t="s">
        <v>4920</v>
      </c>
      <c r="H401" t="s">
        <v>4921</v>
      </c>
      <c r="I401" t="s">
        <v>4921</v>
      </c>
      <c r="J401" t="s">
        <v>141</v>
      </c>
      <c r="K401" t="s">
        <v>4922</v>
      </c>
      <c r="L401">
        <v>1400000</v>
      </c>
      <c r="M401">
        <v>2800000</v>
      </c>
      <c r="N401" t="s">
        <v>4923</v>
      </c>
      <c r="O401" t="s">
        <v>4853</v>
      </c>
      <c r="P401" t="s">
        <v>4924</v>
      </c>
      <c r="Q401" t="s">
        <v>4925</v>
      </c>
      <c r="R401" t="s">
        <v>146</v>
      </c>
      <c r="S401" t="s">
        <v>4926</v>
      </c>
      <c r="T401" t="s">
        <v>2994</v>
      </c>
      <c r="U401" t="s">
        <v>50</v>
      </c>
      <c r="V401" s="1">
        <v>45281</v>
      </c>
      <c r="W401" t="s">
        <v>4587</v>
      </c>
      <c r="X401" t="s">
        <v>4724</v>
      </c>
      <c r="Y401" t="s">
        <v>4927</v>
      </c>
      <c r="Z401">
        <v>5</v>
      </c>
      <c r="AA401" t="s">
        <v>55</v>
      </c>
      <c r="AB401" t="s">
        <v>4928</v>
      </c>
      <c r="AC401" t="s">
        <v>4587</v>
      </c>
      <c r="AD401" t="s">
        <v>86</v>
      </c>
      <c r="AE401">
        <v>2520000</v>
      </c>
      <c r="AF401">
        <v>44100</v>
      </c>
      <c r="AJ401" t="e">
        <f>_xlfn.XLOOKUP(Table9[[#This Row],[Engine No.]],'[1]Dubai Islamic Consumer'!$Q$3:$Q$1176,'[1]Dubai Islamic Consumer'!$B$3:$B$1176,,,)</f>
        <v>#N/A</v>
      </c>
    </row>
    <row r="402" spans="1:36" hidden="1" x14ac:dyDescent="0.25">
      <c r="A402">
        <v>401</v>
      </c>
      <c r="B402" t="s">
        <v>35</v>
      </c>
      <c r="C402" t="s">
        <v>4929</v>
      </c>
      <c r="D402" t="s">
        <v>37</v>
      </c>
      <c r="E402" t="s">
        <v>4930</v>
      </c>
      <c r="F402" t="s">
        <v>245</v>
      </c>
      <c r="G402" t="s">
        <v>4931</v>
      </c>
      <c r="H402" t="s">
        <v>48</v>
      </c>
      <c r="I402" t="s">
        <v>4932</v>
      </c>
      <c r="J402" t="s">
        <v>48</v>
      </c>
      <c r="K402" t="s">
        <v>4933</v>
      </c>
      <c r="L402">
        <v>1100000</v>
      </c>
      <c r="M402">
        <v>2000000</v>
      </c>
      <c r="N402" t="s">
        <v>4934</v>
      </c>
      <c r="O402" s="1">
        <v>45625</v>
      </c>
      <c r="P402" t="s">
        <v>4935</v>
      </c>
      <c r="Q402" t="s">
        <v>4936</v>
      </c>
      <c r="R402" t="s">
        <v>146</v>
      </c>
      <c r="S402" t="s">
        <v>4937</v>
      </c>
      <c r="T402" t="s">
        <v>2994</v>
      </c>
      <c r="U402" t="s">
        <v>98</v>
      </c>
      <c r="V402" t="s">
        <v>3368</v>
      </c>
      <c r="W402" t="s">
        <v>132</v>
      </c>
      <c r="X402" t="s">
        <v>533</v>
      </c>
      <c r="Y402" t="s">
        <v>4938</v>
      </c>
      <c r="Z402">
        <v>4</v>
      </c>
      <c r="AA402" t="s">
        <v>118</v>
      </c>
      <c r="AB402" t="s">
        <v>4939</v>
      </c>
      <c r="AC402" t="s">
        <v>3368</v>
      </c>
      <c r="AD402" t="s">
        <v>299</v>
      </c>
      <c r="AE402">
        <v>1600000</v>
      </c>
      <c r="AF402">
        <v>24000</v>
      </c>
      <c r="AJ402" t="str">
        <f>_xlfn.XLOOKUP(Table9[[#This Row],[Engine No.]],'[1]Dubai Islamic Consumer'!$Q$3:$Q$1176,'[1]Dubai Islamic Consumer'!$B$3:$B$1176,,,)</f>
        <v>KHI/HO/D/MO/PC COMP/C/102086/143/11/2024</v>
      </c>
    </row>
    <row r="403" spans="1:36" hidden="1" x14ac:dyDescent="0.25">
      <c r="A403">
        <v>402</v>
      </c>
      <c r="B403" t="s">
        <v>35</v>
      </c>
      <c r="C403" t="s">
        <v>4940</v>
      </c>
      <c r="D403" t="s">
        <v>37</v>
      </c>
      <c r="E403" t="s">
        <v>4941</v>
      </c>
      <c r="F403" t="s">
        <v>138</v>
      </c>
      <c r="G403" t="s">
        <v>4942</v>
      </c>
      <c r="H403" t="s">
        <v>48</v>
      </c>
      <c r="I403" t="s">
        <v>4943</v>
      </c>
      <c r="J403" t="s">
        <v>4944</v>
      </c>
      <c r="K403" t="s">
        <v>4945</v>
      </c>
      <c r="L403">
        <v>2484000</v>
      </c>
      <c r="M403">
        <v>4600000</v>
      </c>
      <c r="N403" t="s">
        <v>4946</v>
      </c>
      <c r="O403" t="s">
        <v>4853</v>
      </c>
      <c r="P403" t="s">
        <v>4947</v>
      </c>
      <c r="Q403" t="s">
        <v>4948</v>
      </c>
      <c r="R403" t="s">
        <v>146</v>
      </c>
      <c r="S403" t="s">
        <v>4949</v>
      </c>
      <c r="T403" t="s">
        <v>1128</v>
      </c>
      <c r="U403" t="s">
        <v>614</v>
      </c>
      <c r="V403" s="1">
        <v>45280</v>
      </c>
      <c r="W403" t="s">
        <v>4587</v>
      </c>
      <c r="X403" t="s">
        <v>4588</v>
      </c>
      <c r="Y403" t="s">
        <v>4950</v>
      </c>
      <c r="Z403">
        <v>3</v>
      </c>
      <c r="AA403" t="s">
        <v>55</v>
      </c>
      <c r="AB403" t="s">
        <v>4951</v>
      </c>
      <c r="AC403" t="s">
        <v>4727</v>
      </c>
      <c r="AD403" t="s">
        <v>86</v>
      </c>
      <c r="AE403">
        <v>4140000</v>
      </c>
      <c r="AF403">
        <v>72450</v>
      </c>
      <c r="AJ403" t="str">
        <f>_xlfn.XLOOKUP(Table9[[#This Row],[Engine No.]],'[1]Dubai Islamic Consumer'!$Q$3:$Q$1176,'[1]Dubai Islamic Consumer'!$B$3:$B$1176,,,)</f>
        <v>KHI/HO/D/MO/PC COMP/C/103702/422/12/2024</v>
      </c>
    </row>
    <row r="404" spans="1:36" hidden="1" x14ac:dyDescent="0.25">
      <c r="A404">
        <v>403</v>
      </c>
      <c r="B404" t="s">
        <v>35</v>
      </c>
      <c r="C404" t="s">
        <v>4952</v>
      </c>
      <c r="D404" t="s">
        <v>37</v>
      </c>
      <c r="E404" t="s">
        <v>4953</v>
      </c>
      <c r="F404" t="s">
        <v>138</v>
      </c>
      <c r="G404" t="s">
        <v>4954</v>
      </c>
      <c r="H404" t="s">
        <v>48</v>
      </c>
      <c r="I404" t="s">
        <v>4955</v>
      </c>
      <c r="J404" t="s">
        <v>48</v>
      </c>
      <c r="K404" t="s">
        <v>4956</v>
      </c>
      <c r="L404">
        <v>1380000</v>
      </c>
      <c r="M404">
        <v>2300000</v>
      </c>
      <c r="N404" t="s">
        <v>4957</v>
      </c>
      <c r="O404" s="1">
        <v>45625</v>
      </c>
      <c r="P404" t="s">
        <v>4958</v>
      </c>
      <c r="Q404" t="s">
        <v>4959</v>
      </c>
      <c r="R404" t="s">
        <v>146</v>
      </c>
      <c r="S404" t="s">
        <v>4960</v>
      </c>
      <c r="T404" t="s">
        <v>1141</v>
      </c>
      <c r="U404" t="s">
        <v>651</v>
      </c>
      <c r="V404" t="s">
        <v>3321</v>
      </c>
      <c r="W404" t="s">
        <v>532</v>
      </c>
      <c r="X404" t="s">
        <v>533</v>
      </c>
      <c r="Y404" t="s">
        <v>4961</v>
      </c>
      <c r="Z404">
        <v>5</v>
      </c>
      <c r="AA404" t="s">
        <v>55</v>
      </c>
      <c r="AB404" t="s">
        <v>4962</v>
      </c>
      <c r="AC404" t="s">
        <v>3321</v>
      </c>
      <c r="AD404" t="s">
        <v>58</v>
      </c>
      <c r="AE404">
        <v>1725000</v>
      </c>
      <c r="AF404">
        <v>34500</v>
      </c>
      <c r="AJ404" t="str">
        <f>_xlfn.XLOOKUP(Table9[[#This Row],[Engine No.]],'[1]Dubai Islamic Consumer'!$Q$3:$Q$1176,'[1]Dubai Islamic Consumer'!$B$3:$B$1176,,,)</f>
        <v>KHI/HO/D/MO/PC COMP/C/102086/142/11/2024</v>
      </c>
    </row>
    <row r="405" spans="1:36" hidden="1" x14ac:dyDescent="0.25">
      <c r="A405">
        <v>404</v>
      </c>
      <c r="B405" t="s">
        <v>35</v>
      </c>
      <c r="C405" t="s">
        <v>4963</v>
      </c>
      <c r="D405" t="s">
        <v>37</v>
      </c>
      <c r="E405" t="s">
        <v>4964</v>
      </c>
      <c r="F405" t="s">
        <v>138</v>
      </c>
      <c r="G405" t="s">
        <v>4965</v>
      </c>
      <c r="H405" t="s">
        <v>141</v>
      </c>
      <c r="I405" t="s">
        <v>4966</v>
      </c>
      <c r="J405" t="s">
        <v>141</v>
      </c>
      <c r="K405" t="s">
        <v>4967</v>
      </c>
      <c r="L405">
        <v>1120000</v>
      </c>
      <c r="M405">
        <v>1750000</v>
      </c>
      <c r="N405" t="s">
        <v>4968</v>
      </c>
      <c r="O405" s="1">
        <v>45625</v>
      </c>
      <c r="P405" t="s">
        <v>4969</v>
      </c>
      <c r="Q405" t="s">
        <v>4970</v>
      </c>
      <c r="R405" t="s">
        <v>146</v>
      </c>
      <c r="S405" t="s">
        <v>4971</v>
      </c>
      <c r="T405" t="s">
        <v>613</v>
      </c>
      <c r="U405" t="s">
        <v>50</v>
      </c>
      <c r="V405" t="s">
        <v>4972</v>
      </c>
      <c r="W405" t="s">
        <v>132</v>
      </c>
      <c r="X405" t="s">
        <v>1638</v>
      </c>
      <c r="Y405" t="s">
        <v>4973</v>
      </c>
      <c r="Z405">
        <v>6</v>
      </c>
      <c r="AA405" t="s">
        <v>118</v>
      </c>
      <c r="AB405" t="s">
        <v>4974</v>
      </c>
      <c r="AC405" t="s">
        <v>3368</v>
      </c>
      <c r="AD405" t="s">
        <v>299</v>
      </c>
      <c r="AE405">
        <v>1400000</v>
      </c>
      <c r="AF405">
        <v>21000</v>
      </c>
      <c r="AJ405" t="str">
        <f>_xlfn.XLOOKUP(Table9[[#This Row],[Engine No.]],'[1]Dubai Islamic Consumer'!$Q$3:$Q$1176,'[1]Dubai Islamic Consumer'!$B$3:$B$1176,,,)</f>
        <v>KHI/HO/D/MO/PC COMP/C/102086/141/11/2024</v>
      </c>
    </row>
    <row r="406" spans="1:36" hidden="1" x14ac:dyDescent="0.25">
      <c r="A406">
        <v>405</v>
      </c>
      <c r="B406" t="s">
        <v>35</v>
      </c>
      <c r="C406" t="s">
        <v>4975</v>
      </c>
      <c r="D406" t="s">
        <v>37</v>
      </c>
      <c r="E406" t="s">
        <v>4976</v>
      </c>
      <c r="F406" t="s">
        <v>107</v>
      </c>
      <c r="G406" t="s">
        <v>4977</v>
      </c>
      <c r="H406" t="s">
        <v>48</v>
      </c>
      <c r="I406" t="s">
        <v>4978</v>
      </c>
      <c r="J406" t="s">
        <v>48</v>
      </c>
      <c r="K406" t="s">
        <v>4979</v>
      </c>
      <c r="L406">
        <v>1172500</v>
      </c>
      <c r="M406">
        <v>1675000</v>
      </c>
      <c r="N406" t="s">
        <v>4980</v>
      </c>
      <c r="O406" s="1">
        <v>45625</v>
      </c>
      <c r="P406" t="s">
        <v>4981</v>
      </c>
      <c r="Q406" t="s">
        <v>4982</v>
      </c>
      <c r="R406" t="s">
        <v>146</v>
      </c>
      <c r="S406" t="s">
        <v>4983</v>
      </c>
      <c r="T406" t="s">
        <v>4984</v>
      </c>
      <c r="U406" t="s">
        <v>98</v>
      </c>
      <c r="V406" t="s">
        <v>3368</v>
      </c>
      <c r="W406" t="s">
        <v>132</v>
      </c>
      <c r="X406" t="s">
        <v>133</v>
      </c>
      <c r="Y406" t="s">
        <v>4985</v>
      </c>
      <c r="Z406">
        <v>5</v>
      </c>
      <c r="AA406" t="s">
        <v>118</v>
      </c>
      <c r="AB406" t="s">
        <v>4986</v>
      </c>
      <c r="AC406" t="s">
        <v>3368</v>
      </c>
      <c r="AD406" t="s">
        <v>299</v>
      </c>
      <c r="AE406">
        <v>1340000</v>
      </c>
      <c r="AF406">
        <v>20100</v>
      </c>
      <c r="AJ406" t="str">
        <f>_xlfn.XLOOKUP(Table9[[#This Row],[Engine No.]],'[1]Dubai Islamic Consumer'!$Q$3:$Q$1176,'[1]Dubai Islamic Consumer'!$B$3:$B$1176,,,)</f>
        <v>KHI/HO/D/MO/PC COMP/C/102086/140/11/2024</v>
      </c>
    </row>
    <row r="407" spans="1:36" hidden="1" x14ac:dyDescent="0.25">
      <c r="A407">
        <v>406</v>
      </c>
      <c r="B407" t="s">
        <v>35</v>
      </c>
      <c r="C407" t="s">
        <v>4987</v>
      </c>
      <c r="D407" t="s">
        <v>37</v>
      </c>
      <c r="E407" t="s">
        <v>4988</v>
      </c>
      <c r="F407" t="s">
        <v>138</v>
      </c>
      <c r="G407" t="s">
        <v>4989</v>
      </c>
      <c r="H407" t="s">
        <v>631</v>
      </c>
      <c r="I407" t="s">
        <v>48</v>
      </c>
      <c r="J407" t="s">
        <v>48</v>
      </c>
      <c r="K407" t="s">
        <v>4990</v>
      </c>
      <c r="L407">
        <v>1190000</v>
      </c>
      <c r="M407">
        <v>1700000</v>
      </c>
      <c r="N407" t="s">
        <v>4991</v>
      </c>
      <c r="O407" s="1">
        <v>45625</v>
      </c>
      <c r="P407" t="s">
        <v>4992</v>
      </c>
      <c r="Q407" t="s">
        <v>4993</v>
      </c>
      <c r="R407" t="s">
        <v>146</v>
      </c>
      <c r="S407" t="s">
        <v>4994</v>
      </c>
      <c r="T407" t="s">
        <v>3132</v>
      </c>
      <c r="U407" t="s">
        <v>335</v>
      </c>
      <c r="V407" t="s">
        <v>3368</v>
      </c>
      <c r="W407" t="s">
        <v>132</v>
      </c>
      <c r="X407" t="s">
        <v>133</v>
      </c>
      <c r="Y407" t="s">
        <v>4995</v>
      </c>
      <c r="Z407">
        <v>5</v>
      </c>
      <c r="AA407" t="s">
        <v>118</v>
      </c>
      <c r="AB407" t="s">
        <v>4996</v>
      </c>
      <c r="AC407" t="s">
        <v>3368</v>
      </c>
      <c r="AD407" t="s">
        <v>299</v>
      </c>
      <c r="AE407">
        <v>1360000</v>
      </c>
      <c r="AF407">
        <v>20400</v>
      </c>
      <c r="AJ407" t="str">
        <f>_xlfn.XLOOKUP(Table9[[#This Row],[Engine No.]],'[1]Dubai Islamic Consumer'!$Q$3:$Q$1176,'[1]Dubai Islamic Consumer'!$B$3:$B$1176,,,)</f>
        <v>KHI/HO/D/MO/PC COMP/C/102086/139/11/2024</v>
      </c>
    </row>
    <row r="408" spans="1:36" hidden="1" x14ac:dyDescent="0.25">
      <c r="A408">
        <v>407</v>
      </c>
      <c r="B408" t="s">
        <v>35</v>
      </c>
      <c r="C408" t="s">
        <v>4997</v>
      </c>
      <c r="D408" t="s">
        <v>37</v>
      </c>
      <c r="E408" t="s">
        <v>4998</v>
      </c>
      <c r="F408" t="s">
        <v>138</v>
      </c>
      <c r="G408" t="s">
        <v>4999</v>
      </c>
      <c r="H408" t="s">
        <v>5000</v>
      </c>
      <c r="I408" t="s">
        <v>5000</v>
      </c>
      <c r="J408" t="s">
        <v>5000</v>
      </c>
      <c r="K408" t="s">
        <v>5001</v>
      </c>
      <c r="L408">
        <v>1173000</v>
      </c>
      <c r="M408">
        <v>1700000</v>
      </c>
      <c r="N408" t="s">
        <v>5002</v>
      </c>
      <c r="O408" s="1">
        <v>45625</v>
      </c>
      <c r="P408" t="s">
        <v>5003</v>
      </c>
      <c r="Q408" t="s">
        <v>5004</v>
      </c>
      <c r="R408" t="s">
        <v>146</v>
      </c>
      <c r="S408" t="s">
        <v>48</v>
      </c>
      <c r="T408" t="s">
        <v>783</v>
      </c>
      <c r="U408" t="s">
        <v>98</v>
      </c>
      <c r="V408" t="s">
        <v>3368</v>
      </c>
      <c r="W408" t="s">
        <v>132</v>
      </c>
      <c r="X408" t="s">
        <v>1191</v>
      </c>
      <c r="Y408" t="s">
        <v>5005</v>
      </c>
      <c r="Z408">
        <v>7</v>
      </c>
      <c r="AA408" t="s">
        <v>118</v>
      </c>
      <c r="AB408" t="s">
        <v>5006</v>
      </c>
      <c r="AC408" t="s">
        <v>3368</v>
      </c>
      <c r="AD408" t="s">
        <v>299</v>
      </c>
      <c r="AE408">
        <v>1360000</v>
      </c>
      <c r="AF408">
        <v>20400</v>
      </c>
      <c r="AJ408" t="str">
        <f>_xlfn.XLOOKUP(Table9[[#This Row],[Engine No.]],'[1]Dubai Islamic Consumer'!$Q$3:$Q$1176,'[1]Dubai Islamic Consumer'!$B$3:$B$1176,,,)</f>
        <v>KHI/HO/D/MO/PC COMP/C/102086/137/11/2024</v>
      </c>
    </row>
    <row r="409" spans="1:36" hidden="1" x14ac:dyDescent="0.25">
      <c r="A409">
        <v>408</v>
      </c>
      <c r="B409" t="s">
        <v>35</v>
      </c>
      <c r="C409" t="s">
        <v>5007</v>
      </c>
      <c r="D409" t="s">
        <v>37</v>
      </c>
      <c r="E409" t="s">
        <v>5008</v>
      </c>
      <c r="F409" t="s">
        <v>107</v>
      </c>
      <c r="G409" t="s">
        <v>5009</v>
      </c>
      <c r="H409" t="s">
        <v>48</v>
      </c>
      <c r="I409" t="s">
        <v>5010</v>
      </c>
      <c r="J409" t="s">
        <v>5011</v>
      </c>
      <c r="K409" t="s">
        <v>5012</v>
      </c>
      <c r="L409">
        <v>1225000</v>
      </c>
      <c r="M409">
        <v>1750000</v>
      </c>
      <c r="N409" t="s">
        <v>5013</v>
      </c>
      <c r="O409" s="1">
        <v>45625</v>
      </c>
      <c r="P409" t="s">
        <v>5014</v>
      </c>
      <c r="Q409" t="s">
        <v>5015</v>
      </c>
      <c r="R409" t="s">
        <v>146</v>
      </c>
      <c r="S409" t="s">
        <v>5016</v>
      </c>
      <c r="T409" t="s">
        <v>495</v>
      </c>
      <c r="U409" t="s">
        <v>651</v>
      </c>
      <c r="V409" t="s">
        <v>3368</v>
      </c>
      <c r="W409" t="s">
        <v>132</v>
      </c>
      <c r="X409" t="s">
        <v>133</v>
      </c>
      <c r="Y409" t="s">
        <v>5017</v>
      </c>
      <c r="Z409">
        <v>5</v>
      </c>
      <c r="AA409" t="s">
        <v>118</v>
      </c>
      <c r="AB409" t="s">
        <v>5018</v>
      </c>
      <c r="AC409" t="s">
        <v>3368</v>
      </c>
      <c r="AD409" t="s">
        <v>299</v>
      </c>
      <c r="AE409">
        <v>1400000</v>
      </c>
      <c r="AF409">
        <v>21000</v>
      </c>
      <c r="AJ409" t="str">
        <f>_xlfn.XLOOKUP(Table9[[#This Row],[Engine No.]],'[1]Dubai Islamic Consumer'!$Q$3:$Q$1176,'[1]Dubai Islamic Consumer'!$B$3:$B$1176,,,)</f>
        <v>KHI/HO/D/MO/PC COMP/C/102086/136/11/2024</v>
      </c>
    </row>
    <row r="410" spans="1:36" hidden="1" x14ac:dyDescent="0.25">
      <c r="A410">
        <v>409</v>
      </c>
      <c r="B410" t="s">
        <v>35</v>
      </c>
      <c r="C410" t="s">
        <v>5019</v>
      </c>
      <c r="D410" t="s">
        <v>37</v>
      </c>
      <c r="E410" t="s">
        <v>5020</v>
      </c>
      <c r="F410" t="s">
        <v>107</v>
      </c>
      <c r="G410" t="s">
        <v>5021</v>
      </c>
      <c r="H410" t="s">
        <v>5022</v>
      </c>
      <c r="I410" t="s">
        <v>5023</v>
      </c>
      <c r="J410" t="s">
        <v>48</v>
      </c>
      <c r="K410" t="s">
        <v>5024</v>
      </c>
      <c r="L410">
        <v>1244400</v>
      </c>
      <c r="M410">
        <v>2074000</v>
      </c>
      <c r="N410" t="s">
        <v>5025</v>
      </c>
      <c r="O410" s="1">
        <v>45625</v>
      </c>
      <c r="P410" t="s">
        <v>5026</v>
      </c>
      <c r="Q410" t="s">
        <v>5027</v>
      </c>
      <c r="R410" t="s">
        <v>47</v>
      </c>
      <c r="S410" t="s">
        <v>48</v>
      </c>
      <c r="T410" t="s">
        <v>5028</v>
      </c>
      <c r="U410" t="s">
        <v>50</v>
      </c>
      <c r="V410" t="s">
        <v>5029</v>
      </c>
      <c r="W410" t="s">
        <v>132</v>
      </c>
      <c r="X410" t="s">
        <v>133</v>
      </c>
      <c r="Y410" t="s">
        <v>5030</v>
      </c>
      <c r="Z410">
        <v>5</v>
      </c>
      <c r="AA410" t="s">
        <v>55</v>
      </c>
      <c r="AB410" t="s">
        <v>5031</v>
      </c>
      <c r="AC410" t="s">
        <v>3368</v>
      </c>
      <c r="AD410" t="s">
        <v>58</v>
      </c>
      <c r="AE410">
        <v>1659200</v>
      </c>
      <c r="AF410">
        <v>33184</v>
      </c>
      <c r="AJ410" t="str">
        <f>_xlfn.XLOOKUP(Table9[[#This Row],[Engine No.]],'[1]Dubai Islamic Consumer'!$Q$3:$Q$1176,'[1]Dubai Islamic Consumer'!$B$3:$B$1176,,,)</f>
        <v>KHI/HO/D/MO/PC COMP/C/102086/135/11/2024</v>
      </c>
    </row>
    <row r="411" spans="1:36" hidden="1" x14ac:dyDescent="0.25">
      <c r="A411">
        <v>410</v>
      </c>
      <c r="B411" t="s">
        <v>35</v>
      </c>
      <c r="C411" t="s">
        <v>5032</v>
      </c>
      <c r="D411" t="s">
        <v>37</v>
      </c>
      <c r="E411" t="s">
        <v>5033</v>
      </c>
      <c r="F411" t="s">
        <v>107</v>
      </c>
      <c r="G411" t="s">
        <v>5034</v>
      </c>
      <c r="H411" t="s">
        <v>5035</v>
      </c>
      <c r="I411" t="s">
        <v>5036</v>
      </c>
      <c r="J411" t="s">
        <v>48</v>
      </c>
      <c r="K411" t="s">
        <v>5037</v>
      </c>
      <c r="L411">
        <v>1251250</v>
      </c>
      <c r="M411">
        <v>1925000</v>
      </c>
      <c r="N411" t="s">
        <v>5038</v>
      </c>
      <c r="O411" s="1">
        <v>45625</v>
      </c>
      <c r="P411" t="s">
        <v>5039</v>
      </c>
      <c r="Q411" t="s">
        <v>5040</v>
      </c>
      <c r="R411" t="s">
        <v>146</v>
      </c>
      <c r="S411" t="s">
        <v>5041</v>
      </c>
      <c r="T411" t="s">
        <v>1651</v>
      </c>
      <c r="U411" t="s">
        <v>614</v>
      </c>
      <c r="V411" t="s">
        <v>3368</v>
      </c>
      <c r="W411" t="s">
        <v>132</v>
      </c>
      <c r="X411" t="s">
        <v>133</v>
      </c>
      <c r="Y411" t="s">
        <v>5042</v>
      </c>
      <c r="Z411">
        <v>5</v>
      </c>
      <c r="AA411" t="s">
        <v>118</v>
      </c>
      <c r="AB411" t="s">
        <v>5043</v>
      </c>
      <c r="AC411" t="s">
        <v>3368</v>
      </c>
      <c r="AD411" t="s">
        <v>299</v>
      </c>
      <c r="AE411">
        <v>1540000</v>
      </c>
      <c r="AF411">
        <v>23100</v>
      </c>
      <c r="AJ411" t="str">
        <f>_xlfn.XLOOKUP(Table9[[#This Row],[Engine No.]],'[1]Dubai Islamic Consumer'!$Q$3:$Q$1176,'[1]Dubai Islamic Consumer'!$B$3:$B$1176,,,)</f>
        <v>KHI/HO/D/MO/PC COMP/C/102086/134/11/2024</v>
      </c>
    </row>
    <row r="412" spans="1:36" hidden="1" x14ac:dyDescent="0.25">
      <c r="A412">
        <v>411</v>
      </c>
      <c r="B412" t="s">
        <v>35</v>
      </c>
      <c r="C412" t="s">
        <v>5044</v>
      </c>
      <c r="D412" t="s">
        <v>37</v>
      </c>
      <c r="E412" t="s">
        <v>5045</v>
      </c>
      <c r="F412" t="s">
        <v>89</v>
      </c>
      <c r="G412" t="s">
        <v>5046</v>
      </c>
      <c r="H412" t="s">
        <v>5047</v>
      </c>
      <c r="I412" t="s">
        <v>48</v>
      </c>
      <c r="J412" t="s">
        <v>5048</v>
      </c>
      <c r="K412" t="s">
        <v>5049</v>
      </c>
      <c r="L412">
        <v>1277500</v>
      </c>
      <c r="M412">
        <v>1825000</v>
      </c>
      <c r="N412" t="s">
        <v>5050</v>
      </c>
      <c r="O412" s="1">
        <v>45625</v>
      </c>
      <c r="P412" t="s">
        <v>5051</v>
      </c>
      <c r="Q412" t="s">
        <v>5052</v>
      </c>
      <c r="R412" t="s">
        <v>146</v>
      </c>
      <c r="S412" t="s">
        <v>5053</v>
      </c>
      <c r="T412" t="s">
        <v>1323</v>
      </c>
      <c r="U412" t="s">
        <v>335</v>
      </c>
      <c r="V412" t="s">
        <v>3368</v>
      </c>
      <c r="W412" t="s">
        <v>132</v>
      </c>
      <c r="X412" t="s">
        <v>133</v>
      </c>
      <c r="Y412" t="s">
        <v>5054</v>
      </c>
      <c r="Z412">
        <v>5</v>
      </c>
      <c r="AA412" t="s">
        <v>118</v>
      </c>
      <c r="AB412" t="s">
        <v>5055</v>
      </c>
      <c r="AC412" t="s">
        <v>3368</v>
      </c>
      <c r="AD412" t="s">
        <v>299</v>
      </c>
      <c r="AE412">
        <v>1460000</v>
      </c>
      <c r="AF412">
        <v>21900</v>
      </c>
      <c r="AJ412" t="str">
        <f>_xlfn.XLOOKUP(Table9[[#This Row],[Engine No.]],'[1]Dubai Islamic Consumer'!$Q$3:$Q$1176,'[1]Dubai Islamic Consumer'!$B$3:$B$1176,,,)</f>
        <v>KHI/HO/D/MO/PC COMP/C/102086/133/11/2024</v>
      </c>
    </row>
    <row r="413" spans="1:36" hidden="1" x14ac:dyDescent="0.25">
      <c r="A413">
        <v>412</v>
      </c>
      <c r="B413" t="s">
        <v>35</v>
      </c>
      <c r="C413" t="s">
        <v>5056</v>
      </c>
      <c r="D413" t="s">
        <v>37</v>
      </c>
      <c r="E413" t="s">
        <v>5057</v>
      </c>
      <c r="F413" t="s">
        <v>107</v>
      </c>
      <c r="G413" t="s">
        <v>5058</v>
      </c>
      <c r="H413" t="s">
        <v>5059</v>
      </c>
      <c r="I413" t="s">
        <v>5060</v>
      </c>
      <c r="J413" t="s">
        <v>48</v>
      </c>
      <c r="K413" t="s">
        <v>5061</v>
      </c>
      <c r="L413">
        <v>1296400</v>
      </c>
      <c r="M413">
        <v>1852000</v>
      </c>
      <c r="N413" t="s">
        <v>5062</v>
      </c>
      <c r="O413" s="1">
        <v>45625</v>
      </c>
      <c r="P413" t="s">
        <v>5063</v>
      </c>
      <c r="Q413" t="s">
        <v>5064</v>
      </c>
      <c r="R413" t="s">
        <v>47</v>
      </c>
      <c r="S413" t="s">
        <v>48</v>
      </c>
      <c r="T413" t="s">
        <v>3356</v>
      </c>
      <c r="U413" t="s">
        <v>50</v>
      </c>
      <c r="V413" t="s">
        <v>4972</v>
      </c>
      <c r="W413" t="s">
        <v>132</v>
      </c>
      <c r="X413" t="s">
        <v>133</v>
      </c>
      <c r="Y413" t="s">
        <v>5065</v>
      </c>
      <c r="Z413">
        <v>5</v>
      </c>
      <c r="AA413" t="s">
        <v>118</v>
      </c>
      <c r="AB413" t="s">
        <v>5066</v>
      </c>
      <c r="AC413" t="s">
        <v>3368</v>
      </c>
      <c r="AD413" t="s">
        <v>58</v>
      </c>
      <c r="AE413">
        <v>1481600</v>
      </c>
      <c r="AF413">
        <v>29632</v>
      </c>
      <c r="AJ413" t="str">
        <f>_xlfn.XLOOKUP(Table9[[#This Row],[Engine No.]],'[1]Dubai Islamic Consumer'!$Q$3:$Q$1176,'[1]Dubai Islamic Consumer'!$B$3:$B$1176,,,)</f>
        <v>KHI/HO/D/MO/PC COMP/C/102086/132/11/2024</v>
      </c>
    </row>
    <row r="414" spans="1:36" hidden="1" x14ac:dyDescent="0.25">
      <c r="A414">
        <v>413</v>
      </c>
      <c r="B414" t="s">
        <v>35</v>
      </c>
      <c r="C414" t="s">
        <v>5067</v>
      </c>
      <c r="D414" t="s">
        <v>37</v>
      </c>
      <c r="E414" t="s">
        <v>5068</v>
      </c>
      <c r="F414" t="s">
        <v>5069</v>
      </c>
      <c r="G414" t="s">
        <v>5070</v>
      </c>
      <c r="H414" t="s">
        <v>5071</v>
      </c>
      <c r="I414" t="s">
        <v>5071</v>
      </c>
      <c r="J414" t="s">
        <v>5071</v>
      </c>
      <c r="K414" t="s">
        <v>5072</v>
      </c>
      <c r="L414">
        <v>1330000</v>
      </c>
      <c r="M414">
        <v>1900000</v>
      </c>
      <c r="N414" t="s">
        <v>5073</v>
      </c>
      <c r="O414" s="1">
        <v>45625</v>
      </c>
      <c r="P414" t="s">
        <v>5074</v>
      </c>
      <c r="Q414" t="s">
        <v>5075</v>
      </c>
      <c r="R414" t="s">
        <v>146</v>
      </c>
      <c r="S414" t="s">
        <v>5076</v>
      </c>
      <c r="T414" t="s">
        <v>1323</v>
      </c>
      <c r="U414" t="s">
        <v>98</v>
      </c>
      <c r="V414" t="s">
        <v>3368</v>
      </c>
      <c r="W414" t="s">
        <v>132</v>
      </c>
      <c r="X414" t="s">
        <v>1638</v>
      </c>
      <c r="Y414" t="s">
        <v>5077</v>
      </c>
      <c r="Z414">
        <v>6</v>
      </c>
      <c r="AA414" t="s">
        <v>118</v>
      </c>
      <c r="AB414" t="s">
        <v>5078</v>
      </c>
      <c r="AC414" t="s">
        <v>3368</v>
      </c>
      <c r="AD414" t="s">
        <v>299</v>
      </c>
      <c r="AE414">
        <v>1520000</v>
      </c>
      <c r="AF414">
        <v>22800</v>
      </c>
      <c r="AJ414" t="str">
        <f>_xlfn.XLOOKUP(Table9[[#This Row],[Engine No.]],'[1]Dubai Islamic Consumer'!$Q$3:$Q$1176,'[1]Dubai Islamic Consumer'!$B$3:$B$1176,,,)</f>
        <v>KHI/HO/D/MO/PC COMP/C/102086/129/11/2024</v>
      </c>
    </row>
    <row r="415" spans="1:36" hidden="1" x14ac:dyDescent="0.25">
      <c r="A415">
        <v>414</v>
      </c>
      <c r="B415" t="s">
        <v>35</v>
      </c>
      <c r="C415" t="s">
        <v>5079</v>
      </c>
      <c r="D415" t="s">
        <v>37</v>
      </c>
      <c r="E415" t="s">
        <v>5080</v>
      </c>
      <c r="F415" t="s">
        <v>138</v>
      </c>
      <c r="G415" t="s">
        <v>5081</v>
      </c>
      <c r="H415" t="s">
        <v>48</v>
      </c>
      <c r="I415" t="s">
        <v>5082</v>
      </c>
      <c r="J415" t="s">
        <v>48</v>
      </c>
      <c r="K415" t="s">
        <v>5083</v>
      </c>
      <c r="L415">
        <v>1319500</v>
      </c>
      <c r="M415">
        <v>1885000</v>
      </c>
      <c r="N415" t="s">
        <v>5084</v>
      </c>
      <c r="O415" s="1">
        <v>45625</v>
      </c>
      <c r="P415" t="s">
        <v>5085</v>
      </c>
      <c r="Q415" t="s">
        <v>5086</v>
      </c>
      <c r="R415" t="s">
        <v>146</v>
      </c>
      <c r="S415" t="s">
        <v>5087</v>
      </c>
      <c r="T415" t="s">
        <v>1323</v>
      </c>
      <c r="U415" t="s">
        <v>496</v>
      </c>
      <c r="V415" t="s">
        <v>3368</v>
      </c>
      <c r="W415" t="s">
        <v>132</v>
      </c>
      <c r="X415" t="s">
        <v>1191</v>
      </c>
      <c r="Y415" t="s">
        <v>5088</v>
      </c>
      <c r="Z415">
        <v>7</v>
      </c>
      <c r="AA415" t="s">
        <v>118</v>
      </c>
      <c r="AB415" t="s">
        <v>5089</v>
      </c>
      <c r="AC415" t="s">
        <v>3368</v>
      </c>
      <c r="AD415" t="s">
        <v>299</v>
      </c>
      <c r="AE415">
        <v>1508000</v>
      </c>
      <c r="AF415">
        <v>22620</v>
      </c>
      <c r="AJ415" t="str">
        <f>_xlfn.XLOOKUP(Table9[[#This Row],[Engine No.]],'[1]Dubai Islamic Consumer'!$Q$3:$Q$1176,'[1]Dubai Islamic Consumer'!$B$3:$B$1176,,,)</f>
        <v>KHI/HO/D/MO/PC COMP/C/102086/128/11/2024</v>
      </c>
    </row>
    <row r="416" spans="1:36" hidden="1" x14ac:dyDescent="0.25">
      <c r="A416">
        <v>415</v>
      </c>
      <c r="B416" t="s">
        <v>35</v>
      </c>
      <c r="C416" t="s">
        <v>5090</v>
      </c>
      <c r="D416" t="s">
        <v>37</v>
      </c>
      <c r="E416" t="s">
        <v>5091</v>
      </c>
      <c r="F416" t="s">
        <v>138</v>
      </c>
      <c r="G416" t="s">
        <v>5092</v>
      </c>
      <c r="H416" t="s">
        <v>5093</v>
      </c>
      <c r="I416" t="s">
        <v>48</v>
      </c>
      <c r="J416" t="s">
        <v>48</v>
      </c>
      <c r="K416" t="s">
        <v>5094</v>
      </c>
      <c r="L416">
        <v>1408500</v>
      </c>
      <c r="M416">
        <v>2817000</v>
      </c>
      <c r="N416" t="s">
        <v>5095</v>
      </c>
      <c r="O416" s="1">
        <v>45625</v>
      </c>
      <c r="P416" t="s">
        <v>5096</v>
      </c>
      <c r="Q416" t="s">
        <v>5097</v>
      </c>
      <c r="R416" t="s">
        <v>47</v>
      </c>
      <c r="S416" t="s">
        <v>48</v>
      </c>
      <c r="T416" t="s">
        <v>495</v>
      </c>
      <c r="U416" t="s">
        <v>50</v>
      </c>
      <c r="V416" t="s">
        <v>4972</v>
      </c>
      <c r="W416" t="s">
        <v>132</v>
      </c>
      <c r="X416" t="s">
        <v>533</v>
      </c>
      <c r="Y416" t="s">
        <v>5098</v>
      </c>
      <c r="Z416">
        <v>4</v>
      </c>
      <c r="AA416" t="s">
        <v>118</v>
      </c>
      <c r="AB416" t="s">
        <v>5099</v>
      </c>
      <c r="AC416" t="s">
        <v>3368</v>
      </c>
      <c r="AD416" t="s">
        <v>58</v>
      </c>
      <c r="AE416">
        <v>2253600</v>
      </c>
      <c r="AF416">
        <v>45072</v>
      </c>
      <c r="AJ416" t="str">
        <f>_xlfn.XLOOKUP(Table9[[#This Row],[Engine No.]],'[1]Dubai Islamic Consumer'!$Q$3:$Q$1176,'[1]Dubai Islamic Consumer'!$B$3:$B$1176,,,)</f>
        <v>KHI/HO/D/MO/PC COMP/C/102086/125/11/2024</v>
      </c>
    </row>
    <row r="417" spans="1:36" hidden="1" x14ac:dyDescent="0.25">
      <c r="A417">
        <v>416</v>
      </c>
      <c r="B417" t="s">
        <v>35</v>
      </c>
      <c r="C417" t="s">
        <v>5100</v>
      </c>
      <c r="D417" t="s">
        <v>37</v>
      </c>
      <c r="E417" t="s">
        <v>5101</v>
      </c>
      <c r="F417" t="s">
        <v>138</v>
      </c>
      <c r="G417" t="s">
        <v>5102</v>
      </c>
      <c r="H417" t="s">
        <v>48</v>
      </c>
      <c r="I417" t="s">
        <v>5103</v>
      </c>
      <c r="J417" t="s">
        <v>48</v>
      </c>
      <c r="K417" t="s">
        <v>5104</v>
      </c>
      <c r="L417">
        <v>2030000</v>
      </c>
      <c r="M417">
        <v>2900000</v>
      </c>
      <c r="N417" t="s">
        <v>5105</v>
      </c>
      <c r="O417" t="s">
        <v>4853</v>
      </c>
      <c r="P417" t="s">
        <v>5106</v>
      </c>
      <c r="Q417" t="s">
        <v>5107</v>
      </c>
      <c r="R417" t="s">
        <v>146</v>
      </c>
      <c r="S417" t="s">
        <v>5108</v>
      </c>
      <c r="T417" t="s">
        <v>3282</v>
      </c>
      <c r="U417" t="s">
        <v>614</v>
      </c>
      <c r="V417" s="1">
        <v>45280</v>
      </c>
      <c r="W417" t="s">
        <v>4587</v>
      </c>
      <c r="X417" t="s">
        <v>4724</v>
      </c>
      <c r="Y417" t="s">
        <v>5109</v>
      </c>
      <c r="Z417">
        <v>5</v>
      </c>
      <c r="AA417" t="s">
        <v>55</v>
      </c>
      <c r="AB417" t="s">
        <v>5110</v>
      </c>
      <c r="AC417" t="s">
        <v>5111</v>
      </c>
      <c r="AD417" t="s">
        <v>86</v>
      </c>
      <c r="AE417">
        <v>2610000</v>
      </c>
      <c r="AF417">
        <v>45675</v>
      </c>
      <c r="AJ417" t="str">
        <f>_xlfn.XLOOKUP(Table9[[#This Row],[Engine No.]],'[1]Dubai Islamic Consumer'!$Q$3:$Q$1176,'[1]Dubai Islamic Consumer'!$B$3:$B$1176,,,)</f>
        <v>KHI/HO/D/MO/PC COMP/C/103702/423/12/2024</v>
      </c>
    </row>
    <row r="418" spans="1:36" hidden="1" x14ac:dyDescent="0.25">
      <c r="A418">
        <v>417</v>
      </c>
      <c r="B418" t="s">
        <v>35</v>
      </c>
      <c r="C418" t="s">
        <v>5112</v>
      </c>
      <c r="D418" t="s">
        <v>37</v>
      </c>
      <c r="E418" t="s">
        <v>2350</v>
      </c>
      <c r="F418" t="s">
        <v>39</v>
      </c>
      <c r="G418" t="s">
        <v>5113</v>
      </c>
      <c r="H418" t="s">
        <v>5114</v>
      </c>
      <c r="I418" t="s">
        <v>5115</v>
      </c>
      <c r="J418" t="s">
        <v>5116</v>
      </c>
      <c r="K418" t="s">
        <v>5117</v>
      </c>
      <c r="L418">
        <v>1466500</v>
      </c>
      <c r="M418">
        <v>2933000</v>
      </c>
      <c r="N418" t="s">
        <v>5118</v>
      </c>
      <c r="O418" s="1">
        <v>45625</v>
      </c>
      <c r="P418" t="s">
        <v>5119</v>
      </c>
      <c r="Q418" t="s">
        <v>5120</v>
      </c>
      <c r="R418" t="s">
        <v>47</v>
      </c>
      <c r="S418" t="s">
        <v>48</v>
      </c>
      <c r="T418" t="s">
        <v>2357</v>
      </c>
      <c r="U418" t="s">
        <v>50</v>
      </c>
      <c r="V418" t="s">
        <v>2717</v>
      </c>
      <c r="W418" t="s">
        <v>132</v>
      </c>
      <c r="X418" t="s">
        <v>133</v>
      </c>
      <c r="Y418" t="s">
        <v>5121</v>
      </c>
      <c r="Z418">
        <v>5</v>
      </c>
      <c r="AA418" t="s">
        <v>55</v>
      </c>
      <c r="AB418" t="s">
        <v>5122</v>
      </c>
      <c r="AC418" t="s">
        <v>3368</v>
      </c>
      <c r="AD418" t="s">
        <v>58</v>
      </c>
      <c r="AE418">
        <v>2346400</v>
      </c>
      <c r="AF418">
        <v>46928</v>
      </c>
      <c r="AJ418" t="str">
        <f>_xlfn.XLOOKUP(Table9[[#This Row],[Engine No.]],'[1]Dubai Islamic Consumer'!$Q$3:$Q$1176,'[1]Dubai Islamic Consumer'!$B$3:$B$1176,,,)</f>
        <v>KHI/HO/D/MO/PC COMP/C/102086/124/11/2024</v>
      </c>
    </row>
    <row r="419" spans="1:36" hidden="1" x14ac:dyDescent="0.25">
      <c r="A419">
        <v>418</v>
      </c>
      <c r="B419" t="s">
        <v>35</v>
      </c>
      <c r="C419" t="s">
        <v>5123</v>
      </c>
      <c r="D419" t="s">
        <v>37</v>
      </c>
      <c r="E419" t="s">
        <v>5124</v>
      </c>
      <c r="F419" t="s">
        <v>245</v>
      </c>
      <c r="G419" t="s">
        <v>5125</v>
      </c>
      <c r="H419" t="s">
        <v>48</v>
      </c>
      <c r="I419" t="s">
        <v>5126</v>
      </c>
      <c r="J419" t="s">
        <v>48</v>
      </c>
      <c r="K419" t="s">
        <v>5127</v>
      </c>
      <c r="L419">
        <v>3196000</v>
      </c>
      <c r="M419">
        <v>3760000</v>
      </c>
      <c r="N419" t="s">
        <v>5128</v>
      </c>
      <c r="O419" s="1">
        <v>45644</v>
      </c>
      <c r="P419" t="s">
        <v>5129</v>
      </c>
      <c r="Q419" t="s">
        <v>5130</v>
      </c>
      <c r="R419" t="s">
        <v>858</v>
      </c>
      <c r="S419" t="s">
        <v>48</v>
      </c>
      <c r="T419" t="s">
        <v>5131</v>
      </c>
      <c r="U419" t="s">
        <v>148</v>
      </c>
      <c r="V419" s="1">
        <v>44917</v>
      </c>
      <c r="W419" t="s">
        <v>3988</v>
      </c>
      <c r="X419" t="s">
        <v>5132</v>
      </c>
      <c r="Y419" t="s">
        <v>5133</v>
      </c>
      <c r="Z419">
        <v>7</v>
      </c>
      <c r="AA419" t="s">
        <v>323</v>
      </c>
      <c r="AB419" t="s">
        <v>5134</v>
      </c>
      <c r="AC419" t="s">
        <v>5135</v>
      </c>
      <c r="AD419" t="s">
        <v>943</v>
      </c>
      <c r="AE419">
        <v>3196000</v>
      </c>
      <c r="AF419">
        <v>44744</v>
      </c>
      <c r="AJ419" t="str">
        <f>_xlfn.XLOOKUP(Table9[[#This Row],[Engine No.]],'[1]Dubai Islamic Consumer'!$Q$3:$Q$1176,'[1]Dubai Islamic Consumer'!$B$3:$B$1176,,,)</f>
        <v>KHI/HO/D/MO/PC COMP/C/103702/424/12/2024</v>
      </c>
    </row>
    <row r="420" spans="1:36" hidden="1" x14ac:dyDescent="0.25">
      <c r="A420">
        <v>419</v>
      </c>
      <c r="B420" t="s">
        <v>35</v>
      </c>
      <c r="C420" t="s">
        <v>5136</v>
      </c>
      <c r="D420" t="s">
        <v>37</v>
      </c>
      <c r="E420" t="s">
        <v>5137</v>
      </c>
      <c r="F420" t="s">
        <v>138</v>
      </c>
      <c r="G420" t="s">
        <v>5138</v>
      </c>
      <c r="H420" t="s">
        <v>5139</v>
      </c>
      <c r="I420" t="s">
        <v>5140</v>
      </c>
      <c r="J420" t="s">
        <v>5141</v>
      </c>
      <c r="K420" t="s">
        <v>5142</v>
      </c>
      <c r="L420">
        <v>3201950</v>
      </c>
      <c r="M420">
        <v>3767000</v>
      </c>
      <c r="N420" t="s">
        <v>5143</v>
      </c>
      <c r="O420" s="1">
        <v>45644</v>
      </c>
      <c r="P420" t="s">
        <v>5144</v>
      </c>
      <c r="Q420" t="s">
        <v>5145</v>
      </c>
      <c r="R420" t="s">
        <v>47</v>
      </c>
      <c r="S420" t="s">
        <v>48</v>
      </c>
      <c r="T420" t="s">
        <v>97</v>
      </c>
      <c r="U420" t="s">
        <v>614</v>
      </c>
      <c r="V420" s="1">
        <v>43822</v>
      </c>
      <c r="W420" t="s">
        <v>4031</v>
      </c>
      <c r="X420" t="s">
        <v>4016</v>
      </c>
      <c r="Y420" t="s">
        <v>5146</v>
      </c>
      <c r="Z420">
        <v>7</v>
      </c>
      <c r="AA420" t="s">
        <v>227</v>
      </c>
      <c r="AB420" t="s">
        <v>5147</v>
      </c>
      <c r="AC420" t="s">
        <v>5148</v>
      </c>
      <c r="AD420" t="s">
        <v>171</v>
      </c>
      <c r="AE420">
        <v>2636900</v>
      </c>
      <c r="AF420">
        <v>65923</v>
      </c>
      <c r="AJ420" t="str">
        <f>_xlfn.XLOOKUP(Table9[[#This Row],[Engine No.]],'[1]Dubai Islamic Consumer'!$Q$3:$Q$1176,'[1]Dubai Islamic Consumer'!$B$3:$B$1176,,,)</f>
        <v>KHI/HO/D/MO/PC COMP/C/103702/420/12/2024</v>
      </c>
    </row>
    <row r="421" spans="1:36" hidden="1" x14ac:dyDescent="0.25">
      <c r="A421">
        <v>420</v>
      </c>
      <c r="B421" t="s">
        <v>35</v>
      </c>
      <c r="C421" t="s">
        <v>5149</v>
      </c>
      <c r="D421" t="s">
        <v>37</v>
      </c>
      <c r="E421" t="s">
        <v>5150</v>
      </c>
      <c r="F421" t="s">
        <v>290</v>
      </c>
      <c r="G421" t="s">
        <v>5151</v>
      </c>
      <c r="H421" t="s">
        <v>5152</v>
      </c>
      <c r="I421" t="s">
        <v>5152</v>
      </c>
      <c r="J421" t="s">
        <v>5152</v>
      </c>
      <c r="K421" t="s">
        <v>5153</v>
      </c>
      <c r="L421">
        <v>1394000</v>
      </c>
      <c r="M421">
        <v>1640000</v>
      </c>
      <c r="N421" t="s">
        <v>5154</v>
      </c>
      <c r="O421" s="1">
        <v>45644</v>
      </c>
      <c r="P421" t="s">
        <v>5155</v>
      </c>
      <c r="Q421" t="s">
        <v>5156</v>
      </c>
      <c r="R421" t="s">
        <v>47</v>
      </c>
      <c r="S421" t="s">
        <v>48</v>
      </c>
      <c r="T421" t="s">
        <v>321</v>
      </c>
      <c r="U421" t="s">
        <v>50</v>
      </c>
      <c r="V421" s="1">
        <v>44250</v>
      </c>
      <c r="W421" t="s">
        <v>1684</v>
      </c>
      <c r="X421" t="s">
        <v>5157</v>
      </c>
      <c r="Y421" t="s">
        <v>5158</v>
      </c>
      <c r="Z421">
        <v>7</v>
      </c>
      <c r="AA421" t="s">
        <v>227</v>
      </c>
      <c r="AB421" t="s">
        <v>5159</v>
      </c>
      <c r="AC421" t="s">
        <v>5160</v>
      </c>
      <c r="AD421" t="s">
        <v>58</v>
      </c>
      <c r="AE421">
        <v>1312000</v>
      </c>
      <c r="AF421">
        <v>26240</v>
      </c>
      <c r="AJ421" t="str">
        <f>_xlfn.XLOOKUP(Table9[[#This Row],[Engine No.]],'[1]Dubai Islamic Consumer'!$Q$3:$Q$1176,'[1]Dubai Islamic Consumer'!$B$3:$B$1176,,,)</f>
        <v>KHI/HO/D/MO/PC COMP/C/103702/418/12/2024</v>
      </c>
    </row>
    <row r="422" spans="1:36" hidden="1" x14ac:dyDescent="0.25">
      <c r="A422">
        <v>421</v>
      </c>
      <c r="B422" t="s">
        <v>35</v>
      </c>
      <c r="C422" t="s">
        <v>5161</v>
      </c>
      <c r="D422" t="s">
        <v>37</v>
      </c>
      <c r="E422" t="s">
        <v>5162</v>
      </c>
      <c r="F422" t="s">
        <v>39</v>
      </c>
      <c r="G422" t="s">
        <v>5163</v>
      </c>
      <c r="H422" t="s">
        <v>5164</v>
      </c>
      <c r="I422" t="s">
        <v>5165</v>
      </c>
      <c r="J422" t="s">
        <v>5164</v>
      </c>
      <c r="K422" t="s">
        <v>5166</v>
      </c>
      <c r="L422">
        <v>1575000</v>
      </c>
      <c r="M422">
        <v>2250000</v>
      </c>
      <c r="N422" t="s">
        <v>5167</v>
      </c>
      <c r="O422" s="1">
        <v>45625</v>
      </c>
      <c r="P422" t="s">
        <v>5168</v>
      </c>
      <c r="Q422" t="s">
        <v>5169</v>
      </c>
      <c r="R422" t="s">
        <v>146</v>
      </c>
      <c r="S422" t="s">
        <v>5170</v>
      </c>
      <c r="T422" t="s">
        <v>5171</v>
      </c>
      <c r="U422" t="s">
        <v>496</v>
      </c>
      <c r="V422" t="s">
        <v>3368</v>
      </c>
      <c r="W422" t="s">
        <v>132</v>
      </c>
      <c r="X422" t="s">
        <v>133</v>
      </c>
      <c r="Y422" t="s">
        <v>5172</v>
      </c>
      <c r="Z422">
        <v>5</v>
      </c>
      <c r="AA422" t="s">
        <v>118</v>
      </c>
      <c r="AB422" t="s">
        <v>5173</v>
      </c>
      <c r="AC422" t="s">
        <v>3368</v>
      </c>
      <c r="AD422" t="s">
        <v>299</v>
      </c>
      <c r="AE422">
        <v>1800000</v>
      </c>
      <c r="AF422">
        <v>27000</v>
      </c>
      <c r="AJ422" t="str">
        <f>_xlfn.XLOOKUP(Table9[[#This Row],[Engine No.]],'[1]Dubai Islamic Consumer'!$Q$3:$Q$1176,'[1]Dubai Islamic Consumer'!$B$3:$B$1176,,,)</f>
        <v>KHI/HO/D/MO/PC COMP/C/102086/123/11/2024</v>
      </c>
    </row>
    <row r="423" spans="1:36" hidden="1" x14ac:dyDescent="0.25">
      <c r="A423">
        <v>422</v>
      </c>
      <c r="B423" t="s">
        <v>35</v>
      </c>
      <c r="C423" t="s">
        <v>5174</v>
      </c>
      <c r="D423" t="s">
        <v>37</v>
      </c>
      <c r="E423" t="s">
        <v>5175</v>
      </c>
      <c r="F423" t="s">
        <v>138</v>
      </c>
      <c r="G423" t="s">
        <v>5176</v>
      </c>
      <c r="H423" t="s">
        <v>5177</v>
      </c>
      <c r="I423" t="s">
        <v>5177</v>
      </c>
      <c r="J423" t="s">
        <v>141</v>
      </c>
      <c r="K423" t="s">
        <v>5178</v>
      </c>
      <c r="L423">
        <v>1960000</v>
      </c>
      <c r="M423">
        <v>2450000</v>
      </c>
      <c r="N423" t="s">
        <v>5179</v>
      </c>
      <c r="O423" s="1">
        <v>45625</v>
      </c>
      <c r="P423" t="s">
        <v>5180</v>
      </c>
      <c r="Q423" t="s">
        <v>5181</v>
      </c>
      <c r="R423" t="s">
        <v>146</v>
      </c>
      <c r="S423" t="s">
        <v>5182</v>
      </c>
      <c r="T423" t="s">
        <v>5183</v>
      </c>
      <c r="U423" t="s">
        <v>651</v>
      </c>
      <c r="V423" t="s">
        <v>3321</v>
      </c>
      <c r="W423" t="s">
        <v>532</v>
      </c>
      <c r="X423" t="s">
        <v>533</v>
      </c>
      <c r="Y423" t="s">
        <v>5184</v>
      </c>
      <c r="Z423">
        <v>5</v>
      </c>
      <c r="AA423" t="s">
        <v>227</v>
      </c>
      <c r="AB423" t="s">
        <v>5185</v>
      </c>
      <c r="AC423" t="s">
        <v>3321</v>
      </c>
      <c r="AD423" t="s">
        <v>58</v>
      </c>
      <c r="AE423">
        <v>1837500</v>
      </c>
      <c r="AF423">
        <v>36750</v>
      </c>
      <c r="AJ423" t="str">
        <f>_xlfn.XLOOKUP(Table9[[#This Row],[Engine No.]],'[1]Dubai Islamic Consumer'!$Q$3:$Q$1176,'[1]Dubai Islamic Consumer'!$B$3:$B$1176,,,)</f>
        <v>KHI/HO/D/MO/PC COMP/C/102086/121/11/2024</v>
      </c>
    </row>
    <row r="424" spans="1:36" hidden="1" x14ac:dyDescent="0.25">
      <c r="A424">
        <v>423</v>
      </c>
      <c r="B424" t="s">
        <v>35</v>
      </c>
      <c r="C424" t="s">
        <v>5186</v>
      </c>
      <c r="D424" t="s">
        <v>37</v>
      </c>
      <c r="E424" t="s">
        <v>5187</v>
      </c>
      <c r="F424" t="s">
        <v>138</v>
      </c>
      <c r="G424" t="s">
        <v>5188</v>
      </c>
      <c r="H424" t="s">
        <v>48</v>
      </c>
      <c r="I424" t="s">
        <v>5189</v>
      </c>
      <c r="J424" t="s">
        <v>5190</v>
      </c>
      <c r="K424" t="s">
        <v>5191</v>
      </c>
      <c r="L424">
        <v>1662500</v>
      </c>
      <c r="M424">
        <v>2375000</v>
      </c>
      <c r="N424" t="s">
        <v>5192</v>
      </c>
      <c r="O424" s="1">
        <v>45625</v>
      </c>
      <c r="P424" t="s">
        <v>5193</v>
      </c>
      <c r="Q424" t="s">
        <v>5194</v>
      </c>
      <c r="R424" t="s">
        <v>146</v>
      </c>
      <c r="S424" t="s">
        <v>5195</v>
      </c>
      <c r="T424" t="s">
        <v>2967</v>
      </c>
      <c r="U424" t="s">
        <v>50</v>
      </c>
      <c r="V424" t="s">
        <v>4972</v>
      </c>
      <c r="W424" t="s">
        <v>132</v>
      </c>
      <c r="X424" t="s">
        <v>133</v>
      </c>
      <c r="Y424" t="s">
        <v>5196</v>
      </c>
      <c r="Z424">
        <v>5</v>
      </c>
      <c r="AA424" t="s">
        <v>118</v>
      </c>
      <c r="AB424" t="s">
        <v>5197</v>
      </c>
      <c r="AC424" t="s">
        <v>3368</v>
      </c>
      <c r="AD424" t="s">
        <v>299</v>
      </c>
      <c r="AE424">
        <v>1900000</v>
      </c>
      <c r="AF424">
        <v>28500</v>
      </c>
      <c r="AJ424" t="str">
        <f>_xlfn.XLOOKUP(Table9[[#This Row],[Engine No.]],'[1]Dubai Islamic Consumer'!$Q$3:$Q$1176,'[1]Dubai Islamic Consumer'!$B$3:$B$1176,,,)</f>
        <v>KHI/HO/D/MO/PC COMP/C/102086/120/11/2024</v>
      </c>
    </row>
    <row r="425" spans="1:36" hidden="1" x14ac:dyDescent="0.25">
      <c r="A425">
        <v>424</v>
      </c>
      <c r="B425" t="s">
        <v>35</v>
      </c>
      <c r="C425" t="s">
        <v>5198</v>
      </c>
      <c r="D425" t="s">
        <v>37</v>
      </c>
      <c r="E425" t="s">
        <v>5199</v>
      </c>
      <c r="F425" t="s">
        <v>245</v>
      </c>
      <c r="G425" t="s">
        <v>5200</v>
      </c>
      <c r="H425" t="s">
        <v>631</v>
      </c>
      <c r="I425" t="s">
        <v>5201</v>
      </c>
      <c r="J425" t="s">
        <v>5202</v>
      </c>
      <c r="K425" t="s">
        <v>5203</v>
      </c>
      <c r="L425">
        <v>2956850</v>
      </c>
      <c r="M425">
        <v>4549000</v>
      </c>
      <c r="N425" t="s">
        <v>5204</v>
      </c>
      <c r="O425" t="s">
        <v>5205</v>
      </c>
      <c r="P425" t="s">
        <v>5206</v>
      </c>
      <c r="Q425" t="s">
        <v>5207</v>
      </c>
      <c r="R425" t="s">
        <v>47</v>
      </c>
      <c r="S425" t="s">
        <v>48</v>
      </c>
      <c r="T425" t="s">
        <v>5208</v>
      </c>
      <c r="U425" t="s">
        <v>386</v>
      </c>
      <c r="V425" s="1">
        <v>45286</v>
      </c>
      <c r="W425" t="s">
        <v>3964</v>
      </c>
      <c r="X425" t="s">
        <v>4016</v>
      </c>
      <c r="Y425" t="s">
        <v>5209</v>
      </c>
      <c r="Z425">
        <v>3</v>
      </c>
      <c r="AA425" t="s">
        <v>152</v>
      </c>
      <c r="AB425" t="s">
        <v>5210</v>
      </c>
      <c r="AC425" t="s">
        <v>5111</v>
      </c>
      <c r="AD425" t="s">
        <v>299</v>
      </c>
      <c r="AE425">
        <v>4094100</v>
      </c>
      <c r="AF425">
        <v>61412</v>
      </c>
      <c r="AJ425" t="str">
        <f>_xlfn.XLOOKUP(Table9[[#This Row],[Engine No.]],'[1]Dubai Islamic Consumer'!$Q$3:$Q$1176,'[1]Dubai Islamic Consumer'!$B$3:$B$1176,,,)</f>
        <v>KHI/HO/D/MO/PC COMP/C/103702/414/12/2024</v>
      </c>
    </row>
    <row r="426" spans="1:36" hidden="1" x14ac:dyDescent="0.25">
      <c r="A426">
        <v>425</v>
      </c>
      <c r="B426" t="s">
        <v>35</v>
      </c>
      <c r="C426" t="s">
        <v>5211</v>
      </c>
      <c r="D426" t="s">
        <v>37</v>
      </c>
      <c r="E426" t="s">
        <v>5212</v>
      </c>
      <c r="F426" t="s">
        <v>692</v>
      </c>
      <c r="G426" t="s">
        <v>5213</v>
      </c>
      <c r="H426" t="s">
        <v>5214</v>
      </c>
      <c r="I426" t="s">
        <v>5214</v>
      </c>
      <c r="J426" t="s">
        <v>5214</v>
      </c>
      <c r="K426" t="s">
        <v>5215</v>
      </c>
      <c r="L426">
        <v>1784300</v>
      </c>
      <c r="M426">
        <v>2549000</v>
      </c>
      <c r="N426" t="s">
        <v>5216</v>
      </c>
      <c r="O426" s="1">
        <v>45625</v>
      </c>
      <c r="P426" t="s">
        <v>5217</v>
      </c>
      <c r="Q426" t="s">
        <v>5218</v>
      </c>
      <c r="R426" t="s">
        <v>146</v>
      </c>
      <c r="S426" t="s">
        <v>48</v>
      </c>
      <c r="T426" t="s">
        <v>2783</v>
      </c>
      <c r="U426" t="s">
        <v>50</v>
      </c>
      <c r="V426" t="s">
        <v>3368</v>
      </c>
      <c r="W426" t="s">
        <v>132</v>
      </c>
      <c r="X426" t="s">
        <v>133</v>
      </c>
      <c r="Y426" t="s">
        <v>5219</v>
      </c>
      <c r="Z426">
        <v>5</v>
      </c>
      <c r="AA426" t="s">
        <v>55</v>
      </c>
      <c r="AB426" t="s">
        <v>5220</v>
      </c>
      <c r="AC426" t="s">
        <v>3368</v>
      </c>
      <c r="AD426" t="s">
        <v>299</v>
      </c>
      <c r="AE426">
        <v>2039200</v>
      </c>
      <c r="AF426">
        <v>30588</v>
      </c>
      <c r="AJ426" t="str">
        <f>_xlfn.XLOOKUP(Table9[[#This Row],[Engine No.]],'[1]Dubai Islamic Consumer'!$Q$3:$Q$1176,'[1]Dubai Islamic Consumer'!$B$3:$B$1176,,,)</f>
        <v>KHI/HO/D/MO/PC COMP/C/102086/119/11/2024</v>
      </c>
    </row>
    <row r="427" spans="1:36" hidden="1" x14ac:dyDescent="0.25">
      <c r="A427">
        <v>426</v>
      </c>
      <c r="B427" t="s">
        <v>35</v>
      </c>
      <c r="C427" t="s">
        <v>5221</v>
      </c>
      <c r="D427" t="s">
        <v>37</v>
      </c>
      <c r="E427" t="s">
        <v>5222</v>
      </c>
      <c r="F427" t="s">
        <v>39</v>
      </c>
      <c r="G427" t="s">
        <v>5223</v>
      </c>
      <c r="H427" t="s">
        <v>5224</v>
      </c>
      <c r="I427" t="s">
        <v>5225</v>
      </c>
      <c r="J427" t="s">
        <v>5224</v>
      </c>
      <c r="K427" t="s">
        <v>5226</v>
      </c>
      <c r="L427">
        <v>1787100</v>
      </c>
      <c r="M427">
        <v>2553000</v>
      </c>
      <c r="N427" t="s">
        <v>5227</v>
      </c>
      <c r="O427" s="1">
        <v>45625</v>
      </c>
      <c r="P427" t="s">
        <v>5228</v>
      </c>
      <c r="Q427" t="s">
        <v>5229</v>
      </c>
      <c r="R427" t="s">
        <v>47</v>
      </c>
      <c r="S427" t="s">
        <v>48</v>
      </c>
      <c r="T427" t="s">
        <v>1826</v>
      </c>
      <c r="U427" t="s">
        <v>50</v>
      </c>
      <c r="V427" t="s">
        <v>5230</v>
      </c>
      <c r="W427" t="s">
        <v>132</v>
      </c>
      <c r="X427" t="s">
        <v>133</v>
      </c>
      <c r="Y427" t="s">
        <v>5231</v>
      </c>
      <c r="Z427">
        <v>5</v>
      </c>
      <c r="AA427" t="s">
        <v>55</v>
      </c>
      <c r="AB427" t="s">
        <v>5232</v>
      </c>
      <c r="AC427" t="s">
        <v>3368</v>
      </c>
      <c r="AD427" t="s">
        <v>58</v>
      </c>
      <c r="AE427">
        <v>2042400</v>
      </c>
      <c r="AF427">
        <v>40848</v>
      </c>
      <c r="AJ427" t="str">
        <f>_xlfn.XLOOKUP(Table9[[#This Row],[Engine No.]],'[1]Dubai Islamic Consumer'!$Q$3:$Q$1176,'[1]Dubai Islamic Consumer'!$B$3:$B$1176,,,)</f>
        <v>KHI/HO/D/MO/PC COMP/C/102086/118/11/2024</v>
      </c>
    </row>
    <row r="428" spans="1:36" hidden="1" x14ac:dyDescent="0.25">
      <c r="A428">
        <v>427</v>
      </c>
      <c r="B428" t="s">
        <v>35</v>
      </c>
      <c r="C428" t="s">
        <v>5233</v>
      </c>
      <c r="D428" t="s">
        <v>37</v>
      </c>
      <c r="E428" t="s">
        <v>5234</v>
      </c>
      <c r="F428" t="s">
        <v>138</v>
      </c>
      <c r="G428" t="s">
        <v>5235</v>
      </c>
      <c r="H428" t="s">
        <v>48</v>
      </c>
      <c r="I428" t="s">
        <v>5236</v>
      </c>
      <c r="J428" t="s">
        <v>48</v>
      </c>
      <c r="K428" t="s">
        <v>5237</v>
      </c>
      <c r="L428">
        <v>1540000</v>
      </c>
      <c r="M428">
        <v>2200000</v>
      </c>
      <c r="N428" t="s">
        <v>5238</v>
      </c>
      <c r="O428" t="s">
        <v>5205</v>
      </c>
      <c r="P428" t="s">
        <v>5239</v>
      </c>
      <c r="Q428" t="s">
        <v>5240</v>
      </c>
      <c r="R428" t="s">
        <v>146</v>
      </c>
      <c r="S428" t="s">
        <v>5241</v>
      </c>
      <c r="T428" t="s">
        <v>321</v>
      </c>
      <c r="U428" t="s">
        <v>614</v>
      </c>
      <c r="V428" s="1">
        <v>45281</v>
      </c>
      <c r="W428" t="s">
        <v>4587</v>
      </c>
      <c r="X428" t="s">
        <v>4588</v>
      </c>
      <c r="Y428" t="s">
        <v>5242</v>
      </c>
      <c r="Z428">
        <v>3</v>
      </c>
      <c r="AA428" t="s">
        <v>55</v>
      </c>
      <c r="AB428" t="s">
        <v>5243</v>
      </c>
      <c r="AC428" t="s">
        <v>5111</v>
      </c>
      <c r="AD428" t="s">
        <v>86</v>
      </c>
      <c r="AE428">
        <v>1980000</v>
      </c>
      <c r="AF428">
        <v>34650</v>
      </c>
      <c r="AJ428" t="str">
        <f>_xlfn.XLOOKUP(Table9[[#This Row],[Engine No.]],'[1]Dubai Islamic Consumer'!$Q$3:$Q$1176,'[1]Dubai Islamic Consumer'!$B$3:$B$1176,,,)</f>
        <v>KHI/HO/D/MO/PC COMP/C/103702/412/12/2024</v>
      </c>
    </row>
    <row r="429" spans="1:36" hidden="1" x14ac:dyDescent="0.25">
      <c r="A429">
        <v>428</v>
      </c>
      <c r="B429" t="s">
        <v>35</v>
      </c>
      <c r="C429" t="s">
        <v>5244</v>
      </c>
      <c r="D429" t="s">
        <v>37</v>
      </c>
      <c r="E429" t="s">
        <v>5245</v>
      </c>
      <c r="F429" t="s">
        <v>89</v>
      </c>
      <c r="G429" t="s">
        <v>5246</v>
      </c>
      <c r="H429" t="s">
        <v>1505</v>
      </c>
      <c r="I429" t="s">
        <v>5247</v>
      </c>
      <c r="J429" t="s">
        <v>5248</v>
      </c>
      <c r="K429" t="s">
        <v>5249</v>
      </c>
      <c r="L429">
        <v>1820000</v>
      </c>
      <c r="M429">
        <v>2600000</v>
      </c>
      <c r="N429" t="s">
        <v>5250</v>
      </c>
      <c r="O429" s="1">
        <v>45625</v>
      </c>
      <c r="P429" t="s">
        <v>5251</v>
      </c>
      <c r="Q429" t="s">
        <v>5252</v>
      </c>
      <c r="R429" t="s">
        <v>146</v>
      </c>
      <c r="S429" t="s">
        <v>5253</v>
      </c>
      <c r="T429" t="s">
        <v>1289</v>
      </c>
      <c r="U429" t="s">
        <v>496</v>
      </c>
      <c r="V429" t="s">
        <v>3368</v>
      </c>
      <c r="W429" t="s">
        <v>132</v>
      </c>
      <c r="X429" t="s">
        <v>133</v>
      </c>
      <c r="Y429" t="s">
        <v>5254</v>
      </c>
      <c r="Z429">
        <v>5</v>
      </c>
      <c r="AA429" t="s">
        <v>118</v>
      </c>
      <c r="AB429" t="s">
        <v>5255</v>
      </c>
      <c r="AC429" t="s">
        <v>3368</v>
      </c>
      <c r="AD429" t="s">
        <v>299</v>
      </c>
      <c r="AE429">
        <v>2080000</v>
      </c>
      <c r="AF429">
        <v>31200</v>
      </c>
      <c r="AJ429" t="str">
        <f>_xlfn.XLOOKUP(Table9[[#This Row],[Engine No.]],'[1]Dubai Islamic Consumer'!$Q$3:$Q$1176,'[1]Dubai Islamic Consumer'!$B$3:$B$1176,,,)</f>
        <v>KHI/HO/D/MO/PC COMP/C/102086/116/11/2024</v>
      </c>
    </row>
    <row r="430" spans="1:36" hidden="1" x14ac:dyDescent="0.25">
      <c r="A430">
        <v>429</v>
      </c>
      <c r="B430" t="s">
        <v>35</v>
      </c>
      <c r="C430" t="s">
        <v>5256</v>
      </c>
      <c r="D430" t="s">
        <v>37</v>
      </c>
      <c r="E430" t="s">
        <v>5257</v>
      </c>
      <c r="F430" t="s">
        <v>138</v>
      </c>
      <c r="G430" t="s">
        <v>5258</v>
      </c>
      <c r="H430" t="s">
        <v>5259</v>
      </c>
      <c r="I430" t="s">
        <v>5259</v>
      </c>
      <c r="J430" t="s">
        <v>5260</v>
      </c>
      <c r="K430" t="s">
        <v>5261</v>
      </c>
      <c r="L430">
        <v>2652000</v>
      </c>
      <c r="M430">
        <v>3315000</v>
      </c>
      <c r="N430" t="s">
        <v>5262</v>
      </c>
      <c r="O430" s="1">
        <v>45643</v>
      </c>
      <c r="P430" t="s">
        <v>5263</v>
      </c>
      <c r="Q430" t="s">
        <v>5264</v>
      </c>
      <c r="R430" t="s">
        <v>47</v>
      </c>
      <c r="S430" t="s">
        <v>48</v>
      </c>
      <c r="T430" t="s">
        <v>5265</v>
      </c>
      <c r="U430" t="s">
        <v>98</v>
      </c>
      <c r="V430" s="1">
        <v>44186</v>
      </c>
      <c r="W430" t="s">
        <v>5266</v>
      </c>
      <c r="X430" t="s">
        <v>5267</v>
      </c>
      <c r="Y430" t="s">
        <v>5268</v>
      </c>
      <c r="Z430">
        <v>5</v>
      </c>
      <c r="AA430" t="s">
        <v>227</v>
      </c>
      <c r="AB430" t="s">
        <v>5269</v>
      </c>
      <c r="AC430" t="s">
        <v>5270</v>
      </c>
      <c r="AD430" t="s">
        <v>58</v>
      </c>
      <c r="AE430">
        <v>2486250</v>
      </c>
      <c r="AF430">
        <v>49725</v>
      </c>
      <c r="AJ430" t="str">
        <f>_xlfn.XLOOKUP(Table9[[#This Row],[Engine No.]],'[1]Dubai Islamic Consumer'!$Q$3:$Q$1176,'[1]Dubai Islamic Consumer'!$B$3:$B$1176,,,)</f>
        <v>KHI/HO/D/MO/PC COMP/C/103702/409/12/2024</v>
      </c>
    </row>
    <row r="431" spans="1:36" hidden="1" x14ac:dyDescent="0.25">
      <c r="A431">
        <v>430</v>
      </c>
      <c r="B431" t="s">
        <v>35</v>
      </c>
      <c r="C431" t="s">
        <v>5271</v>
      </c>
      <c r="D431" t="s">
        <v>37</v>
      </c>
      <c r="E431" t="s">
        <v>5272</v>
      </c>
      <c r="F431" t="s">
        <v>107</v>
      </c>
      <c r="G431" t="s">
        <v>5273</v>
      </c>
      <c r="H431" t="s">
        <v>48</v>
      </c>
      <c r="I431" t="s">
        <v>48</v>
      </c>
      <c r="J431" t="s">
        <v>48</v>
      </c>
      <c r="K431" t="s">
        <v>5274</v>
      </c>
      <c r="L431">
        <v>1925000</v>
      </c>
      <c r="M431">
        <v>2750000</v>
      </c>
      <c r="N431" t="s">
        <v>5275</v>
      </c>
      <c r="O431" s="1">
        <v>45625</v>
      </c>
      <c r="P431" t="s">
        <v>5276</v>
      </c>
      <c r="Q431" t="s">
        <v>5277</v>
      </c>
      <c r="R431" t="s">
        <v>146</v>
      </c>
      <c r="S431" t="s">
        <v>5278</v>
      </c>
      <c r="T431" t="s">
        <v>1289</v>
      </c>
      <c r="U431" t="s">
        <v>496</v>
      </c>
      <c r="V431" t="s">
        <v>4972</v>
      </c>
      <c r="W431" t="s">
        <v>132</v>
      </c>
      <c r="X431" t="s">
        <v>133</v>
      </c>
      <c r="Y431" t="s">
        <v>5279</v>
      </c>
      <c r="Z431">
        <v>5</v>
      </c>
      <c r="AA431" t="s">
        <v>118</v>
      </c>
      <c r="AB431" t="s">
        <v>5280</v>
      </c>
      <c r="AC431" t="s">
        <v>3368</v>
      </c>
      <c r="AD431" t="s">
        <v>299</v>
      </c>
      <c r="AE431">
        <v>2200000</v>
      </c>
      <c r="AF431">
        <v>33000</v>
      </c>
      <c r="AJ431" t="str">
        <f>_xlfn.XLOOKUP(Table9[[#This Row],[Engine No.]],'[1]Dubai Islamic Consumer'!$Q$3:$Q$1176,'[1]Dubai Islamic Consumer'!$B$3:$B$1176,,,)</f>
        <v>KHI/HO/D/MO/PC COMP/C/102086/112/11/2024</v>
      </c>
    </row>
    <row r="432" spans="1:36" hidden="1" x14ac:dyDescent="0.25">
      <c r="A432">
        <v>431</v>
      </c>
      <c r="B432" t="s">
        <v>35</v>
      </c>
      <c r="C432" t="s">
        <v>5281</v>
      </c>
      <c r="D432" t="s">
        <v>37</v>
      </c>
      <c r="E432" t="s">
        <v>5282</v>
      </c>
      <c r="F432" t="s">
        <v>138</v>
      </c>
      <c r="G432" t="s">
        <v>5283</v>
      </c>
      <c r="H432" t="s">
        <v>48</v>
      </c>
      <c r="I432" t="s">
        <v>5284</v>
      </c>
      <c r="J432" t="s">
        <v>48</v>
      </c>
      <c r="K432" t="s">
        <v>5285</v>
      </c>
      <c r="L432">
        <v>2436000</v>
      </c>
      <c r="M432">
        <v>3480000</v>
      </c>
      <c r="N432" t="s">
        <v>5286</v>
      </c>
      <c r="O432" s="1">
        <v>45625</v>
      </c>
      <c r="P432" t="s">
        <v>5287</v>
      </c>
      <c r="Q432" t="s">
        <v>5288</v>
      </c>
      <c r="R432" t="s">
        <v>1215</v>
      </c>
      <c r="S432" t="s">
        <v>5289</v>
      </c>
      <c r="T432" t="s">
        <v>1216</v>
      </c>
      <c r="U432" t="s">
        <v>903</v>
      </c>
      <c r="V432" t="s">
        <v>3321</v>
      </c>
      <c r="W432" t="s">
        <v>532</v>
      </c>
      <c r="X432" t="s">
        <v>533</v>
      </c>
      <c r="Y432" t="s">
        <v>5290</v>
      </c>
      <c r="Z432">
        <v>5</v>
      </c>
      <c r="AA432" t="s">
        <v>55</v>
      </c>
      <c r="AB432" t="s">
        <v>5291</v>
      </c>
      <c r="AC432" t="s">
        <v>3321</v>
      </c>
      <c r="AD432" t="s">
        <v>58</v>
      </c>
      <c r="AE432">
        <v>2610000</v>
      </c>
      <c r="AF432">
        <v>52200</v>
      </c>
      <c r="AJ432" t="str">
        <f>_xlfn.XLOOKUP(Table9[[#This Row],[Engine No.]],'[1]Dubai Islamic Consumer'!$Q$3:$Q$1176,'[1]Dubai Islamic Consumer'!$B$3:$B$1176,,,)</f>
        <v>KHI/HO/D/MO/PC COMP/C/102086/111/11/2024</v>
      </c>
    </row>
    <row r="433" spans="1:36" hidden="1" x14ac:dyDescent="0.25">
      <c r="A433">
        <v>432</v>
      </c>
      <c r="B433" t="s">
        <v>35</v>
      </c>
      <c r="C433" t="s">
        <v>5292</v>
      </c>
      <c r="D433" t="s">
        <v>37</v>
      </c>
      <c r="E433" t="s">
        <v>5293</v>
      </c>
      <c r="F433" t="s">
        <v>39</v>
      </c>
      <c r="G433" t="s">
        <v>5294</v>
      </c>
      <c r="H433" t="s">
        <v>5295</v>
      </c>
      <c r="I433" t="s">
        <v>5296</v>
      </c>
      <c r="J433" t="s">
        <v>5297</v>
      </c>
      <c r="K433" t="s">
        <v>5298</v>
      </c>
      <c r="L433">
        <v>2015000</v>
      </c>
      <c r="M433">
        <v>3100000</v>
      </c>
      <c r="N433" t="s">
        <v>5299</v>
      </c>
      <c r="O433" s="1">
        <v>45625</v>
      </c>
      <c r="P433" t="s">
        <v>5300</v>
      </c>
      <c r="Q433" t="s">
        <v>5301</v>
      </c>
      <c r="R433" t="s">
        <v>146</v>
      </c>
      <c r="S433" t="s">
        <v>5302</v>
      </c>
      <c r="T433" t="s">
        <v>1189</v>
      </c>
      <c r="U433" t="s">
        <v>496</v>
      </c>
      <c r="V433" t="s">
        <v>4972</v>
      </c>
      <c r="W433" t="s">
        <v>132</v>
      </c>
      <c r="X433" t="s">
        <v>133</v>
      </c>
      <c r="Y433" t="s">
        <v>5303</v>
      </c>
      <c r="Z433">
        <v>5</v>
      </c>
      <c r="AA433" t="s">
        <v>118</v>
      </c>
      <c r="AB433" t="s">
        <v>5304</v>
      </c>
      <c r="AC433" t="s">
        <v>3368</v>
      </c>
      <c r="AD433" t="s">
        <v>299</v>
      </c>
      <c r="AE433">
        <v>2480000</v>
      </c>
      <c r="AF433">
        <v>37200</v>
      </c>
      <c r="AJ433" t="str">
        <f>_xlfn.XLOOKUP(Table9[[#This Row],[Engine No.]],'[1]Dubai Islamic Consumer'!$Q$3:$Q$1176,'[1]Dubai Islamic Consumer'!$B$3:$B$1176,,,)</f>
        <v>KHI/HO/D/MO/PC COMP/C/102086/110/11/2024</v>
      </c>
    </row>
    <row r="434" spans="1:36" hidden="1" x14ac:dyDescent="0.25">
      <c r="A434">
        <v>433</v>
      </c>
      <c r="B434" t="s">
        <v>35</v>
      </c>
      <c r="C434" t="s">
        <v>5305</v>
      </c>
      <c r="D434" t="s">
        <v>37</v>
      </c>
      <c r="E434" t="s">
        <v>5306</v>
      </c>
      <c r="F434" t="s">
        <v>39</v>
      </c>
      <c r="G434" t="s">
        <v>5307</v>
      </c>
      <c r="H434" t="s">
        <v>5308</v>
      </c>
      <c r="I434" t="s">
        <v>5309</v>
      </c>
      <c r="J434" t="s">
        <v>5308</v>
      </c>
      <c r="K434" t="s">
        <v>5310</v>
      </c>
      <c r="L434">
        <v>2325000</v>
      </c>
      <c r="M434">
        <v>3100000</v>
      </c>
      <c r="N434" t="s">
        <v>5311</v>
      </c>
      <c r="O434" s="1">
        <v>45625</v>
      </c>
      <c r="P434" t="s">
        <v>5312</v>
      </c>
      <c r="Q434" t="s">
        <v>5313</v>
      </c>
      <c r="R434" t="s">
        <v>146</v>
      </c>
      <c r="S434" t="s">
        <v>5314</v>
      </c>
      <c r="T434" t="s">
        <v>5315</v>
      </c>
      <c r="U434" t="s">
        <v>651</v>
      </c>
      <c r="V434" t="s">
        <v>3321</v>
      </c>
      <c r="W434" t="s">
        <v>532</v>
      </c>
      <c r="X434" t="s">
        <v>133</v>
      </c>
      <c r="Y434" t="s">
        <v>5316</v>
      </c>
      <c r="Z434">
        <v>6</v>
      </c>
      <c r="AA434" t="s">
        <v>227</v>
      </c>
      <c r="AB434" t="s">
        <v>5317</v>
      </c>
      <c r="AC434" t="s">
        <v>3321</v>
      </c>
      <c r="AD434" t="s">
        <v>58</v>
      </c>
      <c r="AE434">
        <v>2325000</v>
      </c>
      <c r="AF434">
        <v>46500</v>
      </c>
      <c r="AJ434" t="str">
        <f>_xlfn.XLOOKUP(Table9[[#This Row],[Engine No.]],'[1]Dubai Islamic Consumer'!$Q$3:$Q$1176,'[1]Dubai Islamic Consumer'!$B$3:$B$1176,,,)</f>
        <v>KHI/HO/D/MO/PC COMP/C/102086/107/11/2024</v>
      </c>
    </row>
    <row r="435" spans="1:36" hidden="1" x14ac:dyDescent="0.25">
      <c r="A435">
        <v>434</v>
      </c>
      <c r="B435" t="s">
        <v>35</v>
      </c>
      <c r="C435" t="s">
        <v>5318</v>
      </c>
      <c r="D435" t="s">
        <v>37</v>
      </c>
      <c r="E435" t="s">
        <v>5319</v>
      </c>
      <c r="F435" t="s">
        <v>138</v>
      </c>
      <c r="G435" t="s">
        <v>5320</v>
      </c>
      <c r="H435" t="s">
        <v>5321</v>
      </c>
      <c r="I435" t="s">
        <v>5321</v>
      </c>
      <c r="J435" t="s">
        <v>141</v>
      </c>
      <c r="K435" t="s">
        <v>5322</v>
      </c>
      <c r="L435">
        <v>2050000</v>
      </c>
      <c r="M435">
        <v>4100000</v>
      </c>
      <c r="N435" t="s">
        <v>5323</v>
      </c>
      <c r="O435" s="1">
        <v>45625</v>
      </c>
      <c r="P435" t="s">
        <v>5324</v>
      </c>
      <c r="Q435" t="s">
        <v>5325</v>
      </c>
      <c r="R435" t="s">
        <v>146</v>
      </c>
      <c r="S435" t="s">
        <v>5326</v>
      </c>
      <c r="T435" t="s">
        <v>5327</v>
      </c>
      <c r="U435" t="s">
        <v>50</v>
      </c>
      <c r="V435" t="s">
        <v>4972</v>
      </c>
      <c r="W435" t="s">
        <v>132</v>
      </c>
      <c r="X435" t="s">
        <v>133</v>
      </c>
      <c r="Y435" t="s">
        <v>5328</v>
      </c>
      <c r="Z435">
        <v>5</v>
      </c>
      <c r="AA435" t="s">
        <v>118</v>
      </c>
      <c r="AB435" t="s">
        <v>5329</v>
      </c>
      <c r="AC435" t="s">
        <v>5330</v>
      </c>
      <c r="AD435" t="s">
        <v>299</v>
      </c>
      <c r="AE435">
        <v>3280000</v>
      </c>
      <c r="AF435">
        <v>49200</v>
      </c>
      <c r="AJ435" t="str">
        <f>_xlfn.XLOOKUP(Table9[[#This Row],[Engine No.]],'[1]Dubai Islamic Consumer'!$Q$3:$Q$1176,'[1]Dubai Islamic Consumer'!$B$3:$B$1176,,,)</f>
        <v>KHI/HO/D/MO/PC COMP/C/102086/106/11/2024</v>
      </c>
    </row>
    <row r="436" spans="1:36" hidden="1" x14ac:dyDescent="0.25">
      <c r="A436">
        <v>435</v>
      </c>
      <c r="B436" t="s">
        <v>35</v>
      </c>
      <c r="C436" t="s">
        <v>5331</v>
      </c>
      <c r="D436" t="s">
        <v>37</v>
      </c>
      <c r="E436" t="s">
        <v>5332</v>
      </c>
      <c r="F436" t="s">
        <v>107</v>
      </c>
      <c r="G436" t="s">
        <v>5333</v>
      </c>
      <c r="H436" t="s">
        <v>5334</v>
      </c>
      <c r="I436" t="s">
        <v>5334</v>
      </c>
      <c r="J436" t="s">
        <v>5334</v>
      </c>
      <c r="K436" t="s">
        <v>5335</v>
      </c>
      <c r="L436">
        <v>2082500</v>
      </c>
      <c r="M436">
        <v>2975000</v>
      </c>
      <c r="N436" t="s">
        <v>5336</v>
      </c>
      <c r="O436" s="1">
        <v>45625</v>
      </c>
      <c r="P436" t="s">
        <v>5337</v>
      </c>
      <c r="Q436" t="s">
        <v>5338</v>
      </c>
      <c r="R436" t="s">
        <v>146</v>
      </c>
      <c r="S436" t="s">
        <v>5339</v>
      </c>
      <c r="T436" t="s">
        <v>2357</v>
      </c>
      <c r="U436" t="s">
        <v>98</v>
      </c>
      <c r="V436" t="s">
        <v>4972</v>
      </c>
      <c r="W436" t="s">
        <v>132</v>
      </c>
      <c r="X436" t="s">
        <v>133</v>
      </c>
      <c r="Y436" t="s">
        <v>5340</v>
      </c>
      <c r="Z436">
        <v>5</v>
      </c>
      <c r="AA436" t="s">
        <v>118</v>
      </c>
      <c r="AB436" t="s">
        <v>5341</v>
      </c>
      <c r="AC436" t="s">
        <v>3368</v>
      </c>
      <c r="AD436" t="s">
        <v>299</v>
      </c>
      <c r="AE436">
        <v>2380000</v>
      </c>
      <c r="AF436">
        <v>35700</v>
      </c>
      <c r="AJ436" t="str">
        <f>_xlfn.XLOOKUP(Table9[[#This Row],[Engine No.]],'[1]Dubai Islamic Consumer'!$Q$3:$Q$1176,'[1]Dubai Islamic Consumer'!$B$3:$B$1176,,,)</f>
        <v>KHI/HO/D/MO/PC COMP/C/102086/105/11/2024</v>
      </c>
    </row>
    <row r="437" spans="1:36" hidden="1" x14ac:dyDescent="0.25">
      <c r="A437">
        <v>436</v>
      </c>
      <c r="B437" t="s">
        <v>35</v>
      </c>
      <c r="C437" t="s">
        <v>5342</v>
      </c>
      <c r="D437" t="s">
        <v>37</v>
      </c>
      <c r="E437" t="s">
        <v>5343</v>
      </c>
      <c r="F437" t="s">
        <v>39</v>
      </c>
      <c r="G437" t="s">
        <v>5344</v>
      </c>
      <c r="H437" t="s">
        <v>5345</v>
      </c>
      <c r="I437" t="s">
        <v>5346</v>
      </c>
      <c r="J437" t="s">
        <v>5347</v>
      </c>
      <c r="K437" t="s">
        <v>5348</v>
      </c>
      <c r="L437">
        <v>2554400</v>
      </c>
      <c r="M437">
        <v>3193000</v>
      </c>
      <c r="N437" t="s">
        <v>5349</v>
      </c>
      <c r="O437" s="1">
        <v>45625</v>
      </c>
      <c r="P437" t="s">
        <v>5350</v>
      </c>
      <c r="Q437" t="s">
        <v>5351</v>
      </c>
      <c r="R437" t="s">
        <v>47</v>
      </c>
      <c r="S437" t="s">
        <v>48</v>
      </c>
      <c r="T437" t="s">
        <v>5352</v>
      </c>
      <c r="U437" t="s">
        <v>98</v>
      </c>
      <c r="V437" t="s">
        <v>847</v>
      </c>
      <c r="W437" t="s">
        <v>532</v>
      </c>
      <c r="X437" t="s">
        <v>533</v>
      </c>
      <c r="Y437" t="s">
        <v>5353</v>
      </c>
      <c r="Z437">
        <v>5</v>
      </c>
      <c r="AA437" t="s">
        <v>55</v>
      </c>
      <c r="AB437" t="s">
        <v>5354</v>
      </c>
      <c r="AC437" t="s">
        <v>3321</v>
      </c>
      <c r="AD437" t="s">
        <v>58</v>
      </c>
      <c r="AE437">
        <v>2394750</v>
      </c>
      <c r="AF437">
        <v>47895</v>
      </c>
      <c r="AJ437" t="str">
        <f>_xlfn.XLOOKUP(Table9[[#This Row],[Engine No.]],'[1]Dubai Islamic Consumer'!$Q$3:$Q$1176,'[1]Dubai Islamic Consumer'!$B$3:$B$1176,,,)</f>
        <v>KHI/HO/D/MO/PC COMP/C/102086/104/11/2024</v>
      </c>
    </row>
    <row r="438" spans="1:36" hidden="1" x14ac:dyDescent="0.25">
      <c r="A438">
        <v>437</v>
      </c>
      <c r="B438" t="s">
        <v>35</v>
      </c>
      <c r="C438" t="s">
        <v>5355</v>
      </c>
      <c r="D438" t="s">
        <v>37</v>
      </c>
      <c r="E438" t="s">
        <v>5356</v>
      </c>
      <c r="F438" t="s">
        <v>107</v>
      </c>
      <c r="G438" t="s">
        <v>5357</v>
      </c>
      <c r="H438" t="s">
        <v>5358</v>
      </c>
      <c r="I438" t="s">
        <v>5358</v>
      </c>
      <c r="J438" t="s">
        <v>5358</v>
      </c>
      <c r="K438" t="s">
        <v>5359</v>
      </c>
      <c r="L438">
        <v>2191000</v>
      </c>
      <c r="M438">
        <v>3130000</v>
      </c>
      <c r="N438" t="s">
        <v>5360</v>
      </c>
      <c r="O438" s="1">
        <v>45625</v>
      </c>
      <c r="P438" t="s">
        <v>5361</v>
      </c>
      <c r="Q438" t="s">
        <v>5362</v>
      </c>
      <c r="R438" t="s">
        <v>146</v>
      </c>
      <c r="S438" t="s">
        <v>5363</v>
      </c>
      <c r="T438" t="s">
        <v>3671</v>
      </c>
      <c r="U438" t="s">
        <v>496</v>
      </c>
      <c r="V438" t="s">
        <v>3368</v>
      </c>
      <c r="W438" t="s">
        <v>132</v>
      </c>
      <c r="X438" t="s">
        <v>533</v>
      </c>
      <c r="Y438" t="s">
        <v>5364</v>
      </c>
      <c r="Z438">
        <v>4</v>
      </c>
      <c r="AA438" t="s">
        <v>118</v>
      </c>
      <c r="AB438" t="s">
        <v>5365</v>
      </c>
      <c r="AC438" t="s">
        <v>3368</v>
      </c>
      <c r="AD438" t="s">
        <v>299</v>
      </c>
      <c r="AE438">
        <v>2504000</v>
      </c>
      <c r="AF438">
        <v>37560</v>
      </c>
      <c r="AJ438" t="str">
        <f>_xlfn.XLOOKUP(Table9[[#This Row],[Engine No.]],'[1]Dubai Islamic Consumer'!$Q$3:$Q$1176,'[1]Dubai Islamic Consumer'!$B$3:$B$1176,,,)</f>
        <v>KHI/HO/D/MO/PC COMP/C/102086/102/11/2024</v>
      </c>
    </row>
    <row r="439" spans="1:36" hidden="1" x14ac:dyDescent="0.25">
      <c r="A439">
        <v>438</v>
      </c>
      <c r="B439" t="s">
        <v>35</v>
      </c>
      <c r="C439" t="s">
        <v>5366</v>
      </c>
      <c r="D439" t="s">
        <v>37</v>
      </c>
      <c r="E439" t="s">
        <v>5367</v>
      </c>
      <c r="F439" t="s">
        <v>107</v>
      </c>
      <c r="G439" t="s">
        <v>5368</v>
      </c>
      <c r="H439" t="s">
        <v>48</v>
      </c>
      <c r="I439" t="s">
        <v>5369</v>
      </c>
      <c r="J439" t="s">
        <v>48</v>
      </c>
      <c r="K439" t="s">
        <v>5370</v>
      </c>
      <c r="L439">
        <v>2152500</v>
      </c>
      <c r="M439">
        <v>3075000</v>
      </c>
      <c r="N439" t="s">
        <v>5371</v>
      </c>
      <c r="O439" s="1">
        <v>45625</v>
      </c>
      <c r="P439" t="s">
        <v>5372</v>
      </c>
      <c r="Q439" t="s">
        <v>5373</v>
      </c>
      <c r="R439" t="s">
        <v>146</v>
      </c>
      <c r="S439" t="s">
        <v>5374</v>
      </c>
      <c r="T439" t="s">
        <v>2357</v>
      </c>
      <c r="U439" t="s">
        <v>98</v>
      </c>
      <c r="V439" t="s">
        <v>3368</v>
      </c>
      <c r="W439" t="s">
        <v>132</v>
      </c>
      <c r="X439" t="s">
        <v>133</v>
      </c>
      <c r="Y439" t="s">
        <v>5375</v>
      </c>
      <c r="Z439">
        <v>5</v>
      </c>
      <c r="AA439" t="s">
        <v>118</v>
      </c>
      <c r="AB439" t="s">
        <v>5376</v>
      </c>
      <c r="AC439" t="s">
        <v>3368</v>
      </c>
      <c r="AD439" t="s">
        <v>299</v>
      </c>
      <c r="AE439">
        <v>2460000</v>
      </c>
      <c r="AF439">
        <v>36900</v>
      </c>
      <c r="AJ439" t="str">
        <f>_xlfn.XLOOKUP(Table9[[#This Row],[Engine No.]],'[1]Dubai Islamic Consumer'!$Q$3:$Q$1176,'[1]Dubai Islamic Consumer'!$B$3:$B$1176,,,)</f>
        <v>KHI/HO/D/MO/PC COMP/C/102086/101/11/2024</v>
      </c>
    </row>
    <row r="440" spans="1:36" hidden="1" x14ac:dyDescent="0.25">
      <c r="A440">
        <v>439</v>
      </c>
      <c r="B440" t="s">
        <v>35</v>
      </c>
      <c r="C440" t="s">
        <v>5377</v>
      </c>
      <c r="D440" t="s">
        <v>37</v>
      </c>
      <c r="E440" t="s">
        <v>5378</v>
      </c>
      <c r="F440" t="s">
        <v>107</v>
      </c>
      <c r="G440" t="s">
        <v>5379</v>
      </c>
      <c r="H440" t="s">
        <v>5380</v>
      </c>
      <c r="I440" t="s">
        <v>5380</v>
      </c>
      <c r="J440" t="s">
        <v>5380</v>
      </c>
      <c r="K440" t="s">
        <v>5381</v>
      </c>
      <c r="L440">
        <v>2210000</v>
      </c>
      <c r="M440">
        <v>3400000</v>
      </c>
      <c r="N440" t="s">
        <v>5382</v>
      </c>
      <c r="O440" s="1">
        <v>45625</v>
      </c>
      <c r="P440" t="s">
        <v>5383</v>
      </c>
      <c r="Q440" t="s">
        <v>5384</v>
      </c>
      <c r="R440" t="s">
        <v>146</v>
      </c>
      <c r="S440" t="s">
        <v>5385</v>
      </c>
      <c r="T440" t="s">
        <v>714</v>
      </c>
      <c r="U440" t="s">
        <v>335</v>
      </c>
      <c r="V440" t="s">
        <v>4972</v>
      </c>
      <c r="W440" t="s">
        <v>132</v>
      </c>
      <c r="X440" t="s">
        <v>133</v>
      </c>
      <c r="Y440" t="s">
        <v>5386</v>
      </c>
      <c r="Z440">
        <v>5</v>
      </c>
      <c r="AA440" t="s">
        <v>118</v>
      </c>
      <c r="AB440" t="s">
        <v>5387</v>
      </c>
      <c r="AC440" t="s">
        <v>3368</v>
      </c>
      <c r="AD440" t="s">
        <v>299</v>
      </c>
      <c r="AE440">
        <v>2720000</v>
      </c>
      <c r="AF440">
        <v>40800</v>
      </c>
      <c r="AJ440" t="str">
        <f>_xlfn.XLOOKUP(Table9[[#This Row],[Engine No.]],'[1]Dubai Islamic Consumer'!$Q$3:$Q$1176,'[1]Dubai Islamic Consumer'!$B$3:$B$1176,,,)</f>
        <v>KHI/HO/D/MO/PC COMP/C/102086/95/11/2024</v>
      </c>
    </row>
    <row r="441" spans="1:36" hidden="1" x14ac:dyDescent="0.25">
      <c r="A441">
        <v>440</v>
      </c>
      <c r="B441" t="s">
        <v>35</v>
      </c>
      <c r="C441" t="s">
        <v>5388</v>
      </c>
      <c r="D441" t="s">
        <v>37</v>
      </c>
      <c r="E441" t="s">
        <v>5389</v>
      </c>
      <c r="F441" t="s">
        <v>138</v>
      </c>
      <c r="G441" t="s">
        <v>5390</v>
      </c>
      <c r="H441" t="s">
        <v>5391</v>
      </c>
      <c r="I441" t="s">
        <v>5391</v>
      </c>
      <c r="J441" t="s">
        <v>141</v>
      </c>
      <c r="K441" t="s">
        <v>5392</v>
      </c>
      <c r="L441">
        <v>1020000</v>
      </c>
      <c r="M441">
        <v>1360000</v>
      </c>
      <c r="N441" t="s">
        <v>5393</v>
      </c>
      <c r="O441" s="1">
        <v>45643</v>
      </c>
      <c r="P441" t="s">
        <v>5394</v>
      </c>
      <c r="Q441" t="s">
        <v>5395</v>
      </c>
      <c r="R441" t="s">
        <v>146</v>
      </c>
      <c r="S441" t="s">
        <v>5396</v>
      </c>
      <c r="T441" t="s">
        <v>210</v>
      </c>
      <c r="U441" t="s">
        <v>614</v>
      </c>
      <c r="V441" s="1">
        <v>44187</v>
      </c>
      <c r="W441" t="s">
        <v>5266</v>
      </c>
      <c r="X441" t="s">
        <v>5267</v>
      </c>
      <c r="Y441" t="s">
        <v>5397</v>
      </c>
      <c r="Z441">
        <v>5</v>
      </c>
      <c r="AA441" t="s">
        <v>55</v>
      </c>
      <c r="AB441" t="s">
        <v>5398</v>
      </c>
      <c r="AC441" t="s">
        <v>5266</v>
      </c>
      <c r="AD441" t="s">
        <v>58</v>
      </c>
      <c r="AE441">
        <v>1020000</v>
      </c>
      <c r="AF441">
        <v>20400</v>
      </c>
      <c r="AJ441" t="str">
        <f>_xlfn.XLOOKUP(Table9[[#This Row],[Engine No.]],'[1]Dubai Islamic Consumer'!$Q$3:$Q$1176,'[1]Dubai Islamic Consumer'!$B$3:$B$1176,,,)</f>
        <v>KHI/HO/D/MO/PC COMP/C/103702/405/12/2024</v>
      </c>
    </row>
    <row r="442" spans="1:36" hidden="1" x14ac:dyDescent="0.25">
      <c r="A442">
        <v>441</v>
      </c>
      <c r="B442" t="s">
        <v>35</v>
      </c>
      <c r="C442" t="s">
        <v>5399</v>
      </c>
      <c r="D442" t="s">
        <v>37</v>
      </c>
      <c r="E442" t="s">
        <v>5400</v>
      </c>
      <c r="F442" t="s">
        <v>245</v>
      </c>
      <c r="G442" t="s">
        <v>5401</v>
      </c>
      <c r="H442" t="s">
        <v>5402</v>
      </c>
      <c r="I442" t="s">
        <v>48</v>
      </c>
      <c r="J442" t="s">
        <v>5403</v>
      </c>
      <c r="K442" t="s">
        <v>5404</v>
      </c>
      <c r="L442">
        <v>2471000</v>
      </c>
      <c r="M442">
        <v>3530000</v>
      </c>
      <c r="N442" t="s">
        <v>5405</v>
      </c>
      <c r="O442" s="1">
        <v>45625</v>
      </c>
      <c r="P442" t="s">
        <v>5406</v>
      </c>
      <c r="Q442" t="s">
        <v>5407</v>
      </c>
      <c r="R442" t="s">
        <v>146</v>
      </c>
      <c r="S442" t="s">
        <v>5408</v>
      </c>
      <c r="T442" t="s">
        <v>1065</v>
      </c>
      <c r="U442" t="s">
        <v>496</v>
      </c>
      <c r="V442" t="s">
        <v>3368</v>
      </c>
      <c r="W442" t="s">
        <v>132</v>
      </c>
      <c r="X442" t="s">
        <v>133</v>
      </c>
      <c r="Y442" t="s">
        <v>5409</v>
      </c>
      <c r="Z442">
        <v>5</v>
      </c>
      <c r="AA442" t="s">
        <v>118</v>
      </c>
      <c r="AB442" t="s">
        <v>5410</v>
      </c>
      <c r="AC442" t="s">
        <v>3368</v>
      </c>
      <c r="AD442" t="s">
        <v>299</v>
      </c>
      <c r="AE442">
        <v>2824000</v>
      </c>
      <c r="AF442">
        <v>42360</v>
      </c>
      <c r="AJ442" t="str">
        <f>_xlfn.XLOOKUP(Table9[[#This Row],[Engine No.]],'[1]Dubai Islamic Consumer'!$Q$3:$Q$1176,'[1]Dubai Islamic Consumer'!$B$3:$B$1176,,,)</f>
        <v>KHI/HO/D/MO/PC COMP/C/102086/93/11/2024</v>
      </c>
    </row>
    <row r="443" spans="1:36" hidden="1" x14ac:dyDescent="0.25">
      <c r="A443">
        <v>442</v>
      </c>
      <c r="B443" t="s">
        <v>35</v>
      </c>
      <c r="C443" t="s">
        <v>5411</v>
      </c>
      <c r="D443" t="s">
        <v>37</v>
      </c>
      <c r="E443" t="s">
        <v>5412</v>
      </c>
      <c r="F443" t="s">
        <v>138</v>
      </c>
      <c r="G443" t="s">
        <v>5413</v>
      </c>
      <c r="H443" t="s">
        <v>5414</v>
      </c>
      <c r="I443" t="s">
        <v>5414</v>
      </c>
      <c r="J443" t="s">
        <v>141</v>
      </c>
      <c r="K443" t="s">
        <v>5415</v>
      </c>
      <c r="L443">
        <v>2730000</v>
      </c>
      <c r="M443">
        <v>4200000</v>
      </c>
      <c r="N443" t="s">
        <v>5416</v>
      </c>
      <c r="O443" s="1">
        <v>45625</v>
      </c>
      <c r="P443" t="s">
        <v>5417</v>
      </c>
      <c r="Q443" t="s">
        <v>5418</v>
      </c>
      <c r="R443" t="s">
        <v>146</v>
      </c>
      <c r="S443" t="s">
        <v>5419</v>
      </c>
      <c r="T443" t="s">
        <v>1065</v>
      </c>
      <c r="U443" t="s">
        <v>50</v>
      </c>
      <c r="V443" t="s">
        <v>3368</v>
      </c>
      <c r="W443" t="s">
        <v>132</v>
      </c>
      <c r="X443" t="s">
        <v>133</v>
      </c>
      <c r="Y443" t="s">
        <v>5420</v>
      </c>
      <c r="Z443">
        <v>5</v>
      </c>
      <c r="AA443" t="s">
        <v>118</v>
      </c>
      <c r="AB443" t="s">
        <v>5421</v>
      </c>
      <c r="AC443" t="s">
        <v>3368</v>
      </c>
      <c r="AD443" t="s">
        <v>299</v>
      </c>
      <c r="AE443">
        <v>3360000</v>
      </c>
      <c r="AF443">
        <v>50400</v>
      </c>
      <c r="AJ443" t="str">
        <f>_xlfn.XLOOKUP(Table9[[#This Row],[Engine No.]],'[1]Dubai Islamic Consumer'!$Q$3:$Q$1176,'[1]Dubai Islamic Consumer'!$B$3:$B$1176,,,)</f>
        <v>KHI/HO/D/MO/PC COMP/C/102086/92/11/2024</v>
      </c>
    </row>
    <row r="444" spans="1:36" hidden="1" x14ac:dyDescent="0.25">
      <c r="A444">
        <v>443</v>
      </c>
      <c r="B444" t="s">
        <v>35</v>
      </c>
      <c r="C444" t="s">
        <v>5422</v>
      </c>
      <c r="D444" t="s">
        <v>37</v>
      </c>
      <c r="E444" t="s">
        <v>5423</v>
      </c>
      <c r="F444" t="s">
        <v>89</v>
      </c>
      <c r="G444" t="s">
        <v>5424</v>
      </c>
      <c r="H444" t="s">
        <v>5425</v>
      </c>
      <c r="I444" t="s">
        <v>48</v>
      </c>
      <c r="J444" t="s">
        <v>141</v>
      </c>
      <c r="K444" t="s">
        <v>5426</v>
      </c>
      <c r="L444">
        <v>2543100</v>
      </c>
      <c r="M444">
        <v>3633000</v>
      </c>
      <c r="N444" t="s">
        <v>5427</v>
      </c>
      <c r="O444" s="1">
        <v>45642</v>
      </c>
      <c r="P444" t="s">
        <v>5428</v>
      </c>
      <c r="Q444" t="s">
        <v>5429</v>
      </c>
      <c r="R444" t="s">
        <v>47</v>
      </c>
      <c r="S444" t="s">
        <v>48</v>
      </c>
      <c r="T444" t="s">
        <v>5430</v>
      </c>
      <c r="U444" t="s">
        <v>50</v>
      </c>
      <c r="V444" s="1">
        <v>44552</v>
      </c>
      <c r="W444" t="s">
        <v>4015</v>
      </c>
      <c r="X444" t="s">
        <v>4016</v>
      </c>
      <c r="Y444" t="s">
        <v>5431</v>
      </c>
      <c r="Z444">
        <v>5</v>
      </c>
      <c r="AA444" t="s">
        <v>118</v>
      </c>
      <c r="AB444" t="s">
        <v>5432</v>
      </c>
      <c r="AC444" t="s">
        <v>5433</v>
      </c>
      <c r="AD444" t="s">
        <v>58</v>
      </c>
      <c r="AE444">
        <v>2906400</v>
      </c>
      <c r="AF444">
        <v>58128</v>
      </c>
      <c r="AJ444" t="str">
        <f>_xlfn.XLOOKUP(Table9[[#This Row],[Engine No.]],'[1]Dubai Islamic Consumer'!$Q$3:$Q$1176,'[1]Dubai Islamic Consumer'!$B$3:$B$1176,,,)</f>
        <v>KHI/HO/D/MO/PC COMP/C/103702/394/12/2024</v>
      </c>
    </row>
    <row r="445" spans="1:36" hidden="1" x14ac:dyDescent="0.25">
      <c r="A445">
        <v>444</v>
      </c>
      <c r="B445" t="s">
        <v>35</v>
      </c>
      <c r="C445" t="s">
        <v>5434</v>
      </c>
      <c r="D445" t="s">
        <v>37</v>
      </c>
      <c r="E445" t="s">
        <v>731</v>
      </c>
      <c r="F445" t="s">
        <v>107</v>
      </c>
      <c r="G445" t="s">
        <v>732</v>
      </c>
      <c r="H445" t="s">
        <v>733</v>
      </c>
      <c r="I445" t="s">
        <v>734</v>
      </c>
      <c r="J445" t="s">
        <v>735</v>
      </c>
      <c r="K445" t="s">
        <v>736</v>
      </c>
      <c r="L445">
        <v>3869500</v>
      </c>
      <c r="M445">
        <v>7739000</v>
      </c>
      <c r="N445" t="s">
        <v>5435</v>
      </c>
      <c r="O445" s="1">
        <v>45625</v>
      </c>
      <c r="P445" t="s">
        <v>5436</v>
      </c>
      <c r="Q445" t="s">
        <v>5437</v>
      </c>
      <c r="R445" t="s">
        <v>47</v>
      </c>
      <c r="S445" t="s">
        <v>48</v>
      </c>
      <c r="T445" t="s">
        <v>1588</v>
      </c>
      <c r="U445" t="s">
        <v>98</v>
      </c>
      <c r="V445" t="s">
        <v>3270</v>
      </c>
      <c r="W445" t="s">
        <v>532</v>
      </c>
      <c r="X445" t="s">
        <v>533</v>
      </c>
      <c r="Y445" t="s">
        <v>5438</v>
      </c>
      <c r="Z445">
        <v>5</v>
      </c>
      <c r="AA445" t="s">
        <v>227</v>
      </c>
      <c r="AB445" t="s">
        <v>5439</v>
      </c>
      <c r="AC445" t="s">
        <v>3321</v>
      </c>
      <c r="AD445" t="s">
        <v>299</v>
      </c>
      <c r="AE445">
        <v>5804250</v>
      </c>
      <c r="AF445">
        <v>87064</v>
      </c>
      <c r="AJ445" t="str">
        <f>_xlfn.XLOOKUP(Table9[[#This Row],[Engine No.]],'[1]Dubai Islamic Consumer'!$Q$3:$Q$1176,'[1]Dubai Islamic Consumer'!$B$3:$B$1176,,,)</f>
        <v>KHI/HO/D/MO/PC COMP/C/102086/91/11/2024</v>
      </c>
    </row>
    <row r="446" spans="1:36" hidden="1" x14ac:dyDescent="0.25">
      <c r="A446">
        <v>445</v>
      </c>
      <c r="B446" t="s">
        <v>35</v>
      </c>
      <c r="C446" t="s">
        <v>5440</v>
      </c>
      <c r="D446" t="s">
        <v>37</v>
      </c>
      <c r="E446" t="s">
        <v>5441</v>
      </c>
      <c r="F446" t="s">
        <v>138</v>
      </c>
      <c r="G446" t="s">
        <v>5442</v>
      </c>
      <c r="H446" t="s">
        <v>5443</v>
      </c>
      <c r="I446" t="s">
        <v>5444</v>
      </c>
      <c r="J446" t="s">
        <v>3478</v>
      </c>
      <c r="K446" t="s">
        <v>5445</v>
      </c>
      <c r="L446">
        <v>3953000</v>
      </c>
      <c r="M446">
        <v>5900000</v>
      </c>
      <c r="N446" t="s">
        <v>5446</v>
      </c>
      <c r="O446" s="1">
        <v>45625</v>
      </c>
      <c r="P446" t="s">
        <v>5447</v>
      </c>
      <c r="Q446" t="s">
        <v>5448</v>
      </c>
      <c r="R446" t="s">
        <v>146</v>
      </c>
      <c r="S446" t="s">
        <v>5449</v>
      </c>
      <c r="T446" t="s">
        <v>1346</v>
      </c>
      <c r="U446" t="s">
        <v>903</v>
      </c>
      <c r="V446" t="s">
        <v>3321</v>
      </c>
      <c r="W446" t="s">
        <v>532</v>
      </c>
      <c r="X446" t="s">
        <v>533</v>
      </c>
      <c r="Y446" t="s">
        <v>5450</v>
      </c>
      <c r="Z446">
        <v>5</v>
      </c>
      <c r="AA446" t="s">
        <v>55</v>
      </c>
      <c r="AB446" t="s">
        <v>5451</v>
      </c>
      <c r="AC446" t="s">
        <v>3321</v>
      </c>
      <c r="AD446" t="s">
        <v>299</v>
      </c>
      <c r="AE446">
        <v>4425000</v>
      </c>
      <c r="AF446">
        <v>66375</v>
      </c>
      <c r="AJ446" t="str">
        <f>_xlfn.XLOOKUP(Table9[[#This Row],[Engine No.]],'[1]Dubai Islamic Consumer'!$Q$3:$Q$1176,'[1]Dubai Islamic Consumer'!$B$3:$B$1176,,,)</f>
        <v>KHI/HO/D/MO/PC COMP/C/102086/90/11/2024</v>
      </c>
    </row>
    <row r="447" spans="1:36" hidden="1" x14ac:dyDescent="0.25">
      <c r="A447">
        <v>446</v>
      </c>
      <c r="B447" t="s">
        <v>35</v>
      </c>
      <c r="C447" t="s">
        <v>5452</v>
      </c>
      <c r="D447" t="s">
        <v>37</v>
      </c>
      <c r="E447" t="s">
        <v>5453</v>
      </c>
      <c r="F447" t="s">
        <v>245</v>
      </c>
      <c r="G447" t="s">
        <v>5454</v>
      </c>
      <c r="H447" t="s">
        <v>48</v>
      </c>
      <c r="I447" t="s">
        <v>5455</v>
      </c>
      <c r="J447" t="s">
        <v>5456</v>
      </c>
      <c r="K447" t="s">
        <v>5457</v>
      </c>
      <c r="L447">
        <v>2985280</v>
      </c>
      <c r="M447">
        <v>3928000</v>
      </c>
      <c r="N447" t="s">
        <v>5458</v>
      </c>
      <c r="O447" s="1">
        <v>45642</v>
      </c>
      <c r="P447" t="s">
        <v>5459</v>
      </c>
      <c r="Q447" t="s">
        <v>5460</v>
      </c>
      <c r="R447" t="s">
        <v>47</v>
      </c>
      <c r="S447" t="s">
        <v>48</v>
      </c>
      <c r="T447" t="s">
        <v>2835</v>
      </c>
      <c r="U447" t="s">
        <v>98</v>
      </c>
      <c r="V447" s="1">
        <v>44069</v>
      </c>
      <c r="W447" t="s">
        <v>4001</v>
      </c>
      <c r="X447" t="s">
        <v>3977</v>
      </c>
      <c r="Y447" t="s">
        <v>5461</v>
      </c>
      <c r="Z447">
        <v>5</v>
      </c>
      <c r="AA447" t="s">
        <v>227</v>
      </c>
      <c r="AB447" t="s">
        <v>5462</v>
      </c>
      <c r="AC447" t="s">
        <v>5270</v>
      </c>
      <c r="AD447" t="s">
        <v>58</v>
      </c>
      <c r="AE447">
        <v>2946000</v>
      </c>
      <c r="AF447">
        <v>58920</v>
      </c>
      <c r="AJ447" t="str">
        <f>_xlfn.XLOOKUP(Table9[[#This Row],[Engine No.]],'[1]Dubai Islamic Consumer'!$Q$3:$Q$1176,'[1]Dubai Islamic Consumer'!$B$3:$B$1176,,,)</f>
        <v>KHI/HO/D/MO/PC COMP/C/103702/393/12/2024</v>
      </c>
    </row>
    <row r="448" spans="1:36" hidden="1" x14ac:dyDescent="0.25">
      <c r="A448">
        <v>447</v>
      </c>
      <c r="B448" t="s">
        <v>35</v>
      </c>
      <c r="C448" t="s">
        <v>5463</v>
      </c>
      <c r="D448" t="s">
        <v>37</v>
      </c>
      <c r="E448" t="s">
        <v>5464</v>
      </c>
      <c r="F448" t="s">
        <v>138</v>
      </c>
      <c r="G448" t="s">
        <v>5465</v>
      </c>
      <c r="H448" t="s">
        <v>48</v>
      </c>
      <c r="I448" t="s">
        <v>5466</v>
      </c>
      <c r="J448" t="s">
        <v>48</v>
      </c>
      <c r="K448" t="s">
        <v>5467</v>
      </c>
      <c r="L448">
        <v>4049250</v>
      </c>
      <c r="M448">
        <v>5399000</v>
      </c>
      <c r="N448" t="s">
        <v>5468</v>
      </c>
      <c r="O448" s="1">
        <v>45625</v>
      </c>
      <c r="P448" t="s">
        <v>5469</v>
      </c>
      <c r="Q448" t="s">
        <v>5470</v>
      </c>
      <c r="R448" t="s">
        <v>47</v>
      </c>
      <c r="S448" t="s">
        <v>48</v>
      </c>
      <c r="T448" t="s">
        <v>115</v>
      </c>
      <c r="U448" t="s">
        <v>98</v>
      </c>
      <c r="V448" t="s">
        <v>3321</v>
      </c>
      <c r="W448" t="s">
        <v>532</v>
      </c>
      <c r="X448" t="s">
        <v>533</v>
      </c>
      <c r="Y448" t="s">
        <v>5471</v>
      </c>
      <c r="Z448">
        <v>5</v>
      </c>
      <c r="AA448" t="s">
        <v>48</v>
      </c>
      <c r="AB448" t="s">
        <v>48</v>
      </c>
      <c r="AC448" t="s">
        <v>48</v>
      </c>
      <c r="AD448" t="s">
        <v>299</v>
      </c>
      <c r="AE448">
        <v>4049250</v>
      </c>
      <c r="AF448">
        <v>60739</v>
      </c>
      <c r="AJ448" t="str">
        <f>_xlfn.XLOOKUP(Table9[[#This Row],[Engine No.]],'[1]Dubai Islamic Consumer'!$Q$3:$Q$1176,'[1]Dubai Islamic Consumer'!$B$3:$B$1176,,,)</f>
        <v>KHI/HO/D/MO/PC COMP/C/102086/84/11/2024</v>
      </c>
    </row>
    <row r="449" spans="1:36" hidden="1" x14ac:dyDescent="0.25">
      <c r="A449">
        <v>448</v>
      </c>
      <c r="B449" t="s">
        <v>35</v>
      </c>
      <c r="C449" t="s">
        <v>5472</v>
      </c>
      <c r="D449" t="s">
        <v>37</v>
      </c>
      <c r="E449" t="s">
        <v>5473</v>
      </c>
      <c r="F449" t="s">
        <v>39</v>
      </c>
      <c r="G449" t="s">
        <v>5474</v>
      </c>
      <c r="H449" t="s">
        <v>48</v>
      </c>
      <c r="I449" t="s">
        <v>5475</v>
      </c>
      <c r="J449" t="s">
        <v>48</v>
      </c>
      <c r="K449" t="s">
        <v>5476</v>
      </c>
      <c r="L449">
        <v>5585400</v>
      </c>
      <c r="M449">
        <v>9309000</v>
      </c>
      <c r="N449" t="s">
        <v>5477</v>
      </c>
      <c r="O449" s="1">
        <v>45625</v>
      </c>
      <c r="P449" t="s">
        <v>5478</v>
      </c>
      <c r="Q449" t="s">
        <v>5479</v>
      </c>
      <c r="R449" t="s">
        <v>47</v>
      </c>
      <c r="S449" t="s">
        <v>48</v>
      </c>
      <c r="T449" t="s">
        <v>1346</v>
      </c>
      <c r="U449" t="s">
        <v>50</v>
      </c>
      <c r="V449" t="s">
        <v>5480</v>
      </c>
      <c r="W449" t="s">
        <v>132</v>
      </c>
      <c r="X449" t="s">
        <v>533</v>
      </c>
      <c r="Y449" t="s">
        <v>5481</v>
      </c>
      <c r="Z449">
        <v>4</v>
      </c>
      <c r="AA449" t="s">
        <v>118</v>
      </c>
      <c r="AB449" t="s">
        <v>5482</v>
      </c>
      <c r="AC449" t="s">
        <v>3368</v>
      </c>
      <c r="AD449" t="s">
        <v>86</v>
      </c>
      <c r="AE449">
        <v>7447200</v>
      </c>
      <c r="AF449">
        <v>130326</v>
      </c>
      <c r="AJ449" t="str">
        <f>_xlfn.XLOOKUP(Table9[[#This Row],[Engine No.]],'[1]Dubai Islamic Consumer'!$Q$3:$Q$1176,'[1]Dubai Islamic Consumer'!$B$3:$B$1176,,,)</f>
        <v>KHI/HO/D/MO/PC COMP/C/102086/82/11/2024</v>
      </c>
    </row>
    <row r="450" spans="1:36" hidden="1" x14ac:dyDescent="0.25">
      <c r="A450">
        <v>449</v>
      </c>
      <c r="B450" t="s">
        <v>35</v>
      </c>
      <c r="C450" t="s">
        <v>5483</v>
      </c>
      <c r="D450" t="s">
        <v>37</v>
      </c>
      <c r="E450" t="s">
        <v>5484</v>
      </c>
      <c r="F450" t="s">
        <v>89</v>
      </c>
      <c r="G450" t="s">
        <v>5485</v>
      </c>
      <c r="H450" t="s">
        <v>48</v>
      </c>
      <c r="I450" t="s">
        <v>5486</v>
      </c>
      <c r="J450" t="s">
        <v>5487</v>
      </c>
      <c r="K450" t="s">
        <v>5488</v>
      </c>
      <c r="L450">
        <v>2553200</v>
      </c>
      <c r="M450">
        <v>3928000</v>
      </c>
      <c r="N450" t="s">
        <v>5489</v>
      </c>
      <c r="O450" s="1">
        <v>45642</v>
      </c>
      <c r="P450" t="s">
        <v>5490</v>
      </c>
      <c r="Q450" t="s">
        <v>5491</v>
      </c>
      <c r="R450" t="s">
        <v>47</v>
      </c>
      <c r="S450" t="s">
        <v>48</v>
      </c>
      <c r="T450" t="s">
        <v>5492</v>
      </c>
      <c r="U450" t="s">
        <v>98</v>
      </c>
      <c r="V450" s="1">
        <v>44074</v>
      </c>
      <c r="W450" t="s">
        <v>4001</v>
      </c>
      <c r="X450" t="s">
        <v>3977</v>
      </c>
      <c r="Y450" t="s">
        <v>5493</v>
      </c>
      <c r="Z450">
        <v>5</v>
      </c>
      <c r="AA450" t="s">
        <v>227</v>
      </c>
      <c r="AB450" t="s">
        <v>5494</v>
      </c>
      <c r="AC450" t="s">
        <v>5270</v>
      </c>
      <c r="AD450" t="s">
        <v>58</v>
      </c>
      <c r="AE450">
        <v>2946000</v>
      </c>
      <c r="AF450">
        <v>58920</v>
      </c>
      <c r="AJ450" t="str">
        <f>_xlfn.XLOOKUP(Table9[[#This Row],[Engine No.]],'[1]Dubai Islamic Consumer'!$Q$3:$Q$1176,'[1]Dubai Islamic Consumer'!$B$3:$B$1176,,,)</f>
        <v>KHI/HO/D/MO/PC COMP/C/103702/392/12/2024</v>
      </c>
    </row>
    <row r="451" spans="1:36" hidden="1" x14ac:dyDescent="0.25">
      <c r="A451">
        <v>450</v>
      </c>
      <c r="B451" t="s">
        <v>35</v>
      </c>
      <c r="C451" t="s">
        <v>5495</v>
      </c>
      <c r="D451" t="s">
        <v>37</v>
      </c>
      <c r="E451" t="s">
        <v>231</v>
      </c>
      <c r="F451" t="s">
        <v>138</v>
      </c>
      <c r="G451" t="s">
        <v>5496</v>
      </c>
      <c r="H451" t="s">
        <v>1505</v>
      </c>
      <c r="I451" t="s">
        <v>5497</v>
      </c>
      <c r="J451" t="s">
        <v>5498</v>
      </c>
      <c r="K451" t="s">
        <v>5499</v>
      </c>
      <c r="L451">
        <v>2520250</v>
      </c>
      <c r="M451">
        <v>2965000</v>
      </c>
      <c r="N451" t="s">
        <v>5500</v>
      </c>
      <c r="O451" s="1">
        <v>45642</v>
      </c>
      <c r="P451" t="s">
        <v>5501</v>
      </c>
      <c r="Q451" t="s">
        <v>5502</v>
      </c>
      <c r="R451" t="s">
        <v>47</v>
      </c>
      <c r="S451" t="s">
        <v>48</v>
      </c>
      <c r="T451" t="s">
        <v>2357</v>
      </c>
      <c r="U451" t="s">
        <v>98</v>
      </c>
      <c r="V451" s="1">
        <v>44183</v>
      </c>
      <c r="W451" t="s">
        <v>5266</v>
      </c>
      <c r="X451" t="s">
        <v>5267</v>
      </c>
      <c r="Y451" t="s">
        <v>5503</v>
      </c>
      <c r="Z451">
        <v>5</v>
      </c>
      <c r="AA451" t="s">
        <v>227</v>
      </c>
      <c r="AB451" t="s">
        <v>5504</v>
      </c>
      <c r="AC451" t="s">
        <v>5505</v>
      </c>
      <c r="AD451" t="s">
        <v>58</v>
      </c>
      <c r="AE451">
        <v>2223750</v>
      </c>
      <c r="AF451">
        <v>44475</v>
      </c>
      <c r="AJ451" t="str">
        <f>_xlfn.XLOOKUP(Table9[[#This Row],[Engine No.]],'[1]Dubai Islamic Consumer'!$Q$3:$Q$1176,'[1]Dubai Islamic Consumer'!$B$3:$B$1176,,,)</f>
        <v>KHI/HO/D/MO/PC COMP/C/103702/390/12/2024</v>
      </c>
    </row>
    <row r="452" spans="1:36" hidden="1" x14ac:dyDescent="0.25">
      <c r="A452">
        <v>451</v>
      </c>
      <c r="B452" t="s">
        <v>35</v>
      </c>
      <c r="C452" t="s">
        <v>5506</v>
      </c>
      <c r="D452" t="s">
        <v>37</v>
      </c>
      <c r="E452" t="s">
        <v>5507</v>
      </c>
      <c r="F452" t="s">
        <v>138</v>
      </c>
      <c r="G452" t="s">
        <v>5508</v>
      </c>
      <c r="H452" t="s">
        <v>5509</v>
      </c>
      <c r="I452" t="s">
        <v>5510</v>
      </c>
      <c r="J452" t="s">
        <v>141</v>
      </c>
      <c r="K452" t="s">
        <v>5511</v>
      </c>
      <c r="L452">
        <v>2160000</v>
      </c>
      <c r="M452">
        <v>2700000</v>
      </c>
      <c r="N452" t="s">
        <v>5512</v>
      </c>
      <c r="O452" s="1">
        <v>45642</v>
      </c>
      <c r="P452" t="s">
        <v>5513</v>
      </c>
      <c r="Q452" t="s">
        <v>5514</v>
      </c>
      <c r="R452" t="s">
        <v>146</v>
      </c>
      <c r="S452" t="s">
        <v>5515</v>
      </c>
      <c r="T452" t="s">
        <v>1971</v>
      </c>
      <c r="U452" t="s">
        <v>98</v>
      </c>
      <c r="V452" s="1">
        <v>44183</v>
      </c>
      <c r="W452" t="s">
        <v>5266</v>
      </c>
      <c r="X452" t="s">
        <v>5267</v>
      </c>
      <c r="Y452" t="s">
        <v>5516</v>
      </c>
      <c r="Z452">
        <v>5</v>
      </c>
      <c r="AA452" t="s">
        <v>55</v>
      </c>
      <c r="AB452" t="s">
        <v>5517</v>
      </c>
      <c r="AC452" t="s">
        <v>5505</v>
      </c>
      <c r="AD452" t="s">
        <v>299</v>
      </c>
      <c r="AE452">
        <v>2025000</v>
      </c>
      <c r="AF452">
        <v>30375</v>
      </c>
      <c r="AJ452" t="str">
        <f>_xlfn.XLOOKUP(Table9[[#This Row],[Engine No.]],'[1]Dubai Islamic Consumer'!$Q$3:$Q$1176,'[1]Dubai Islamic Consumer'!$B$3:$B$1176,,,)</f>
        <v>KHI/HO/D/MO/PC COMP/C/103702/387/12/2024</v>
      </c>
    </row>
    <row r="453" spans="1:36" hidden="1" x14ac:dyDescent="0.25">
      <c r="A453">
        <v>452</v>
      </c>
      <c r="B453" t="s">
        <v>35</v>
      </c>
      <c r="C453" t="s">
        <v>5518</v>
      </c>
      <c r="D453" t="s">
        <v>37</v>
      </c>
      <c r="E453" t="s">
        <v>5519</v>
      </c>
      <c r="F453" t="s">
        <v>39</v>
      </c>
      <c r="G453" t="s">
        <v>5520</v>
      </c>
      <c r="H453" t="s">
        <v>5521</v>
      </c>
      <c r="I453" t="s">
        <v>5521</v>
      </c>
      <c r="J453" t="s">
        <v>5521</v>
      </c>
      <c r="K453" t="s">
        <v>5522</v>
      </c>
      <c r="L453">
        <v>804300</v>
      </c>
      <c r="M453">
        <v>1149000</v>
      </c>
      <c r="N453" t="s">
        <v>5523</v>
      </c>
      <c r="O453" s="1">
        <v>45625</v>
      </c>
      <c r="P453" t="s">
        <v>5524</v>
      </c>
      <c r="Q453" t="s">
        <v>5525</v>
      </c>
      <c r="R453" t="s">
        <v>47</v>
      </c>
      <c r="S453" t="s">
        <v>48</v>
      </c>
      <c r="T453" t="s">
        <v>5526</v>
      </c>
      <c r="U453" t="s">
        <v>50</v>
      </c>
      <c r="V453" t="s">
        <v>3368</v>
      </c>
      <c r="W453" t="s">
        <v>132</v>
      </c>
      <c r="X453" t="s">
        <v>133</v>
      </c>
      <c r="Y453" t="s">
        <v>5527</v>
      </c>
      <c r="Z453">
        <v>5</v>
      </c>
      <c r="AA453" t="s">
        <v>118</v>
      </c>
      <c r="AB453" t="s">
        <v>5528</v>
      </c>
      <c r="AC453" t="s">
        <v>3368</v>
      </c>
      <c r="AD453" t="s">
        <v>58</v>
      </c>
      <c r="AE453">
        <v>919200</v>
      </c>
      <c r="AF453">
        <v>18384</v>
      </c>
      <c r="AJ453" t="str">
        <f>_xlfn.XLOOKUP(Table9[[#This Row],[Engine No.]],'[1]Dubai Islamic Consumer'!$Q$3:$Q$1176,'[1]Dubai Islamic Consumer'!$B$3:$B$1176,,,)</f>
        <v>KHI/HO/D/MO/PC COMP/C/102086/81/11/2024</v>
      </c>
    </row>
    <row r="454" spans="1:36" hidden="1" x14ac:dyDescent="0.25">
      <c r="A454">
        <v>453</v>
      </c>
      <c r="B454" t="s">
        <v>35</v>
      </c>
      <c r="C454" t="s">
        <v>5529</v>
      </c>
      <c r="D454" t="s">
        <v>37</v>
      </c>
      <c r="E454" t="s">
        <v>5530</v>
      </c>
      <c r="F454" t="s">
        <v>138</v>
      </c>
      <c r="G454" t="s">
        <v>5531</v>
      </c>
      <c r="H454" t="s">
        <v>5532</v>
      </c>
      <c r="I454" t="s">
        <v>5532</v>
      </c>
      <c r="J454" t="s">
        <v>141</v>
      </c>
      <c r="K454" t="s">
        <v>5533</v>
      </c>
      <c r="L454">
        <v>1240000</v>
      </c>
      <c r="M454">
        <v>1550000</v>
      </c>
      <c r="N454" t="s">
        <v>5534</v>
      </c>
      <c r="O454" s="1">
        <v>45642</v>
      </c>
      <c r="P454" t="s">
        <v>5535</v>
      </c>
      <c r="Q454" t="s">
        <v>5536</v>
      </c>
      <c r="R454" t="s">
        <v>146</v>
      </c>
      <c r="S454" t="s">
        <v>5537</v>
      </c>
      <c r="T454" t="s">
        <v>1909</v>
      </c>
      <c r="U454" t="s">
        <v>335</v>
      </c>
      <c r="V454" s="1">
        <v>44550</v>
      </c>
      <c r="W454" t="s">
        <v>4473</v>
      </c>
      <c r="X454" t="s">
        <v>4724</v>
      </c>
      <c r="Y454" t="s">
        <v>5538</v>
      </c>
      <c r="Z454">
        <v>7</v>
      </c>
      <c r="AA454" t="s">
        <v>55</v>
      </c>
      <c r="AB454" t="s">
        <v>5539</v>
      </c>
      <c r="AC454" t="s">
        <v>5433</v>
      </c>
      <c r="AD454" t="s">
        <v>299</v>
      </c>
      <c r="AE454">
        <v>1240000</v>
      </c>
      <c r="AF454">
        <v>18600</v>
      </c>
      <c r="AJ454" t="str">
        <f>_xlfn.XLOOKUP(Table9[[#This Row],[Engine No.]],'[1]Dubai Islamic Consumer'!$Q$3:$Q$1176,'[1]Dubai Islamic Consumer'!$B$3:$B$1176,,,)</f>
        <v>KHI/HO/D/MO/PC COMP/C/103702/381/12/2024</v>
      </c>
    </row>
    <row r="455" spans="1:36" hidden="1" x14ac:dyDescent="0.25">
      <c r="A455">
        <v>454</v>
      </c>
      <c r="B455" t="s">
        <v>35</v>
      </c>
      <c r="C455" t="s">
        <v>5540</v>
      </c>
      <c r="D455" t="s">
        <v>37</v>
      </c>
      <c r="E455" t="s">
        <v>5541</v>
      </c>
      <c r="F455" t="s">
        <v>107</v>
      </c>
      <c r="G455" t="s">
        <v>5542</v>
      </c>
      <c r="H455" t="s">
        <v>48</v>
      </c>
      <c r="I455" t="s">
        <v>5543</v>
      </c>
      <c r="J455" t="s">
        <v>5544</v>
      </c>
      <c r="K455" t="s">
        <v>5545</v>
      </c>
      <c r="L455">
        <v>1275000</v>
      </c>
      <c r="M455">
        <v>1700000</v>
      </c>
      <c r="N455" t="s">
        <v>5546</v>
      </c>
      <c r="O455" s="1">
        <v>45642</v>
      </c>
      <c r="P455" t="s">
        <v>5547</v>
      </c>
      <c r="Q455" t="s">
        <v>5548</v>
      </c>
      <c r="R455" t="s">
        <v>146</v>
      </c>
      <c r="S455" t="s">
        <v>5549</v>
      </c>
      <c r="T455" t="s">
        <v>2195</v>
      </c>
      <c r="U455" t="s">
        <v>496</v>
      </c>
      <c r="V455" s="1">
        <v>44553</v>
      </c>
      <c r="W455" t="s">
        <v>4015</v>
      </c>
      <c r="X455" t="s">
        <v>4016</v>
      </c>
      <c r="Y455" t="s">
        <v>5550</v>
      </c>
      <c r="Z455">
        <v>5</v>
      </c>
      <c r="AA455" t="s">
        <v>55</v>
      </c>
      <c r="AB455" t="s">
        <v>5551</v>
      </c>
      <c r="AC455" t="s">
        <v>4473</v>
      </c>
      <c r="AD455" t="s">
        <v>299</v>
      </c>
      <c r="AE455">
        <v>1360000</v>
      </c>
      <c r="AF455">
        <v>20400</v>
      </c>
      <c r="AJ455" t="str">
        <f>_xlfn.XLOOKUP(Table9[[#This Row],[Engine No.]],'[1]Dubai Islamic Consumer'!$Q$3:$Q$1176,'[1]Dubai Islamic Consumer'!$B$3:$B$1176,,,)</f>
        <v>KHI/HO/D/MO/PC COMP/C/103702/380/12/2024</v>
      </c>
    </row>
    <row r="456" spans="1:36" hidden="1" x14ac:dyDescent="0.25">
      <c r="A456">
        <v>455</v>
      </c>
      <c r="B456" t="s">
        <v>35</v>
      </c>
      <c r="C456" t="s">
        <v>5552</v>
      </c>
      <c r="D456" t="s">
        <v>37</v>
      </c>
      <c r="E456" t="s">
        <v>5553</v>
      </c>
      <c r="F456" t="s">
        <v>107</v>
      </c>
      <c r="G456" t="s">
        <v>5554</v>
      </c>
      <c r="H456" t="s">
        <v>5555</v>
      </c>
      <c r="I456" t="s">
        <v>5555</v>
      </c>
      <c r="J456" t="s">
        <v>5555</v>
      </c>
      <c r="K456" t="s">
        <v>5556</v>
      </c>
      <c r="L456">
        <v>1120000</v>
      </c>
      <c r="M456">
        <v>1600000</v>
      </c>
      <c r="N456" t="s">
        <v>5557</v>
      </c>
      <c r="O456" s="1">
        <v>45642</v>
      </c>
      <c r="P456" t="s">
        <v>5558</v>
      </c>
      <c r="Q456" t="s">
        <v>5559</v>
      </c>
      <c r="R456" t="s">
        <v>146</v>
      </c>
      <c r="S456" t="s">
        <v>5560</v>
      </c>
      <c r="T456" t="s">
        <v>3356</v>
      </c>
      <c r="U456" t="s">
        <v>50</v>
      </c>
      <c r="V456" s="1">
        <v>44551</v>
      </c>
      <c r="W456" t="s">
        <v>4473</v>
      </c>
      <c r="X456" t="s">
        <v>5561</v>
      </c>
      <c r="Y456" t="s">
        <v>5562</v>
      </c>
      <c r="Z456">
        <v>6</v>
      </c>
      <c r="AA456" t="s">
        <v>55</v>
      </c>
      <c r="AB456" t="s">
        <v>5563</v>
      </c>
      <c r="AC456" t="s">
        <v>4176</v>
      </c>
      <c r="AD456" t="s">
        <v>299</v>
      </c>
      <c r="AE456">
        <v>1280000</v>
      </c>
      <c r="AF456">
        <v>19200</v>
      </c>
      <c r="AJ456" t="str">
        <f>_xlfn.XLOOKUP(Table9[[#This Row],[Engine No.]],'[1]Dubai Islamic Consumer'!$Q$3:$Q$1176,'[1]Dubai Islamic Consumer'!$B$3:$B$1176,,,)</f>
        <v>KHI/HO/D/MO/PC COMP/C/103702/378/12/2024</v>
      </c>
    </row>
    <row r="457" spans="1:36" hidden="1" x14ac:dyDescent="0.25">
      <c r="A457">
        <v>456</v>
      </c>
      <c r="B457" t="s">
        <v>35</v>
      </c>
      <c r="C457" t="s">
        <v>5564</v>
      </c>
      <c r="D457" t="s">
        <v>37</v>
      </c>
      <c r="E457" t="s">
        <v>5565</v>
      </c>
      <c r="F457" t="s">
        <v>89</v>
      </c>
      <c r="G457" t="s">
        <v>5566</v>
      </c>
      <c r="H457" t="s">
        <v>5567</v>
      </c>
      <c r="I457" t="s">
        <v>48</v>
      </c>
      <c r="J457" t="s">
        <v>141</v>
      </c>
      <c r="K457" t="s">
        <v>5568</v>
      </c>
      <c r="L457">
        <v>992000</v>
      </c>
      <c r="M457">
        <v>1240000</v>
      </c>
      <c r="N457" t="s">
        <v>5569</v>
      </c>
      <c r="O457" s="1">
        <v>45642</v>
      </c>
      <c r="P457" t="s">
        <v>5570</v>
      </c>
      <c r="Q457" t="s">
        <v>5571</v>
      </c>
      <c r="R457" t="s">
        <v>146</v>
      </c>
      <c r="S457" t="s">
        <v>5572</v>
      </c>
      <c r="T457" t="s">
        <v>181</v>
      </c>
      <c r="U457" t="s">
        <v>903</v>
      </c>
      <c r="V457" s="1">
        <v>44547</v>
      </c>
      <c r="W457" t="s">
        <v>4473</v>
      </c>
      <c r="X457" t="s">
        <v>4588</v>
      </c>
      <c r="Y457" t="s">
        <v>5573</v>
      </c>
      <c r="Z457">
        <v>5</v>
      </c>
      <c r="AA457" t="s">
        <v>118</v>
      </c>
      <c r="AB457" t="s">
        <v>5574</v>
      </c>
      <c r="AC457" t="s">
        <v>5575</v>
      </c>
      <c r="AD457" t="s">
        <v>299</v>
      </c>
      <c r="AE457">
        <v>992000</v>
      </c>
      <c r="AF457">
        <v>14880</v>
      </c>
      <c r="AJ457" t="str">
        <f>_xlfn.XLOOKUP(Table9[[#This Row],[Engine No.]],'[1]Dubai Islamic Consumer'!$Q$3:$Q$1176,'[1]Dubai Islamic Consumer'!$B$3:$B$1176,,,)</f>
        <v>KHI/HO/D/MO/PC COMP/C/103702/376/12/2024</v>
      </c>
    </row>
    <row r="458" spans="1:36" hidden="1" x14ac:dyDescent="0.25">
      <c r="A458">
        <v>457</v>
      </c>
      <c r="B458" t="s">
        <v>35</v>
      </c>
      <c r="C458" t="s">
        <v>5576</v>
      </c>
      <c r="D458" t="s">
        <v>37</v>
      </c>
      <c r="E458" t="s">
        <v>5577</v>
      </c>
      <c r="F458" t="s">
        <v>4022</v>
      </c>
      <c r="G458" t="s">
        <v>5578</v>
      </c>
      <c r="H458" t="s">
        <v>5579</v>
      </c>
      <c r="I458" t="s">
        <v>5580</v>
      </c>
      <c r="J458" t="s">
        <v>5581</v>
      </c>
      <c r="K458" t="s">
        <v>5582</v>
      </c>
      <c r="L458">
        <v>1035000</v>
      </c>
      <c r="M458">
        <v>1380000</v>
      </c>
      <c r="N458" t="s">
        <v>5583</v>
      </c>
      <c r="O458" s="1">
        <v>45642</v>
      </c>
      <c r="P458" t="s">
        <v>5584</v>
      </c>
      <c r="Q458" t="s">
        <v>5585</v>
      </c>
      <c r="R458" t="s">
        <v>47</v>
      </c>
      <c r="S458" t="s">
        <v>5586</v>
      </c>
      <c r="T458" t="s">
        <v>1909</v>
      </c>
      <c r="U458" t="s">
        <v>496</v>
      </c>
      <c r="V458" s="1">
        <v>43458</v>
      </c>
      <c r="W458" t="s">
        <v>5587</v>
      </c>
      <c r="X458" t="s">
        <v>5267</v>
      </c>
      <c r="Y458" t="s">
        <v>5588</v>
      </c>
      <c r="Z458">
        <v>7</v>
      </c>
      <c r="AA458" t="s">
        <v>323</v>
      </c>
      <c r="AB458" t="s">
        <v>5589</v>
      </c>
      <c r="AC458" t="s">
        <v>5590</v>
      </c>
      <c r="AD458" t="s">
        <v>171</v>
      </c>
      <c r="AE458">
        <v>897000</v>
      </c>
      <c r="AF458">
        <v>22425</v>
      </c>
      <c r="AJ458" t="str">
        <f>_xlfn.XLOOKUP(Table9[[#This Row],[Engine No.]],'[1]Dubai Islamic Consumer'!$Q$3:$Q$1176,'[1]Dubai Islamic Consumer'!$B$3:$B$1176,,,)</f>
        <v>KHI/HO/D/MO/PC COMP/C/103702/371/12/2024</v>
      </c>
    </row>
    <row r="459" spans="1:36" hidden="1" x14ac:dyDescent="0.25">
      <c r="A459">
        <v>458</v>
      </c>
      <c r="B459" t="s">
        <v>35</v>
      </c>
      <c r="C459" t="s">
        <v>5591</v>
      </c>
      <c r="D459" t="s">
        <v>37</v>
      </c>
      <c r="E459" t="s">
        <v>5592</v>
      </c>
      <c r="F459" t="s">
        <v>39</v>
      </c>
      <c r="G459" t="s">
        <v>5593</v>
      </c>
      <c r="H459" t="s">
        <v>5594</v>
      </c>
      <c r="I459" t="s">
        <v>5595</v>
      </c>
      <c r="J459" t="s">
        <v>5594</v>
      </c>
      <c r="K459" t="s">
        <v>5596</v>
      </c>
      <c r="L459">
        <v>975000</v>
      </c>
      <c r="M459">
        <v>1500000</v>
      </c>
      <c r="N459" t="s">
        <v>5597</v>
      </c>
      <c r="O459" s="1">
        <v>45641</v>
      </c>
      <c r="P459" t="s">
        <v>5598</v>
      </c>
      <c r="Q459" t="s">
        <v>5599</v>
      </c>
      <c r="R459" t="s">
        <v>146</v>
      </c>
      <c r="S459" t="s">
        <v>5600</v>
      </c>
      <c r="T459" t="s">
        <v>321</v>
      </c>
      <c r="U459" t="s">
        <v>496</v>
      </c>
      <c r="V459" s="1">
        <v>44550</v>
      </c>
      <c r="W459" t="s">
        <v>4473</v>
      </c>
      <c r="X459" t="s">
        <v>5267</v>
      </c>
      <c r="Y459" t="s">
        <v>5601</v>
      </c>
      <c r="Z459">
        <v>4</v>
      </c>
      <c r="AA459" t="s">
        <v>118</v>
      </c>
      <c r="AB459" t="s">
        <v>5602</v>
      </c>
      <c r="AC459" t="s">
        <v>5433</v>
      </c>
      <c r="AD459" t="s">
        <v>299</v>
      </c>
      <c r="AE459">
        <v>1200000</v>
      </c>
      <c r="AF459">
        <v>18000</v>
      </c>
      <c r="AJ459" t="str">
        <f>_xlfn.XLOOKUP(Table9[[#This Row],[Engine No.]],'[1]Dubai Islamic Consumer'!$Q$3:$Q$1176,'[1]Dubai Islamic Consumer'!$B$3:$B$1176,,,)</f>
        <v>KHI/HO/D/MO/PC COMP/C/103702/367/12/2024</v>
      </c>
    </row>
    <row r="460" spans="1:36" hidden="1" x14ac:dyDescent="0.25">
      <c r="A460">
        <v>459</v>
      </c>
      <c r="B460" t="s">
        <v>35</v>
      </c>
      <c r="C460" t="s">
        <v>5603</v>
      </c>
      <c r="D460" t="s">
        <v>37</v>
      </c>
      <c r="E460" t="s">
        <v>5604</v>
      </c>
      <c r="F460" t="s">
        <v>138</v>
      </c>
      <c r="G460" t="s">
        <v>5605</v>
      </c>
      <c r="H460" t="s">
        <v>5606</v>
      </c>
      <c r="I460" t="s">
        <v>5606</v>
      </c>
      <c r="J460" t="s">
        <v>5606</v>
      </c>
      <c r="K460" t="s">
        <v>5607</v>
      </c>
      <c r="L460">
        <v>1320200</v>
      </c>
      <c r="M460">
        <v>1886000</v>
      </c>
      <c r="N460" t="s">
        <v>5608</v>
      </c>
      <c r="O460" s="1">
        <v>45641</v>
      </c>
      <c r="P460" t="s">
        <v>5609</v>
      </c>
      <c r="Q460" t="s">
        <v>5610</v>
      </c>
      <c r="R460" t="s">
        <v>47</v>
      </c>
      <c r="S460" t="s">
        <v>48</v>
      </c>
      <c r="T460" t="s">
        <v>1276</v>
      </c>
      <c r="U460" t="s">
        <v>148</v>
      </c>
      <c r="V460" s="1">
        <v>44666</v>
      </c>
      <c r="W460" t="s">
        <v>3988</v>
      </c>
      <c r="X460" t="s">
        <v>3989</v>
      </c>
      <c r="Y460" t="s">
        <v>5611</v>
      </c>
      <c r="Z460">
        <v>5</v>
      </c>
      <c r="AA460" t="s">
        <v>55</v>
      </c>
      <c r="AB460" t="s">
        <v>5612</v>
      </c>
      <c r="AC460" t="s">
        <v>3992</v>
      </c>
      <c r="AD460" t="s">
        <v>58</v>
      </c>
      <c r="AE460">
        <v>1603100</v>
      </c>
      <c r="AF460">
        <v>32062</v>
      </c>
      <c r="AJ460" t="str">
        <f>_xlfn.XLOOKUP(Table9[[#This Row],[Engine No.]],'[1]Dubai Islamic Consumer'!$Q$3:$Q$1176,'[1]Dubai Islamic Consumer'!$B$3:$B$1176,,,)</f>
        <v>KHI/HO/D/MO/PC COMP/C/103702/365/12/2024</v>
      </c>
    </row>
    <row r="461" spans="1:36" hidden="1" x14ac:dyDescent="0.25">
      <c r="A461">
        <v>460</v>
      </c>
      <c r="B461" t="s">
        <v>35</v>
      </c>
      <c r="C461" t="s">
        <v>5613</v>
      </c>
      <c r="D461" t="s">
        <v>37</v>
      </c>
      <c r="E461" t="s">
        <v>5614</v>
      </c>
      <c r="F461" t="s">
        <v>107</v>
      </c>
      <c r="G461" t="s">
        <v>5615</v>
      </c>
      <c r="H461" t="s">
        <v>5616</v>
      </c>
      <c r="I461" t="s">
        <v>5616</v>
      </c>
      <c r="J461" t="s">
        <v>5616</v>
      </c>
      <c r="K461" t="s">
        <v>5617</v>
      </c>
      <c r="L461">
        <v>1213100</v>
      </c>
      <c r="M461">
        <v>1733000</v>
      </c>
      <c r="N461" t="s">
        <v>5618</v>
      </c>
      <c r="O461" s="1">
        <v>45641</v>
      </c>
      <c r="P461" t="s">
        <v>5619</v>
      </c>
      <c r="Q461" t="s">
        <v>5620</v>
      </c>
      <c r="R461" t="s">
        <v>47</v>
      </c>
      <c r="S461" t="s">
        <v>48</v>
      </c>
      <c r="T461" t="s">
        <v>194</v>
      </c>
      <c r="U461" t="s">
        <v>148</v>
      </c>
      <c r="V461" s="1">
        <v>44735</v>
      </c>
      <c r="W461" t="s">
        <v>5621</v>
      </c>
      <c r="X461" t="s">
        <v>5561</v>
      </c>
      <c r="Y461" t="s">
        <v>5622</v>
      </c>
      <c r="Z461">
        <v>5</v>
      </c>
      <c r="AA461" t="s">
        <v>227</v>
      </c>
      <c r="AB461" t="s">
        <v>5623</v>
      </c>
      <c r="AC461" t="s">
        <v>3992</v>
      </c>
      <c r="AD461" t="s">
        <v>58</v>
      </c>
      <c r="AE461">
        <v>1473050</v>
      </c>
      <c r="AF461">
        <v>29461</v>
      </c>
      <c r="AJ461" t="str">
        <f>_xlfn.XLOOKUP(Table9[[#This Row],[Engine No.]],'[1]Dubai Islamic Consumer'!$Q$3:$Q$1176,'[1]Dubai Islamic Consumer'!$B$3:$B$1176,,,)</f>
        <v>KHI/HO/D/MO/PC COMP/C/103702/363/12/2024</v>
      </c>
    </row>
    <row r="462" spans="1:36" hidden="1" x14ac:dyDescent="0.25">
      <c r="A462">
        <v>461</v>
      </c>
      <c r="B462" t="s">
        <v>35</v>
      </c>
      <c r="C462" t="s">
        <v>5624</v>
      </c>
      <c r="D462" t="s">
        <v>37</v>
      </c>
      <c r="E462" t="s">
        <v>5625</v>
      </c>
      <c r="F462" t="s">
        <v>138</v>
      </c>
      <c r="G462" t="s">
        <v>5626</v>
      </c>
      <c r="H462" t="s">
        <v>5627</v>
      </c>
      <c r="I462" t="s">
        <v>5628</v>
      </c>
      <c r="J462" t="s">
        <v>5629</v>
      </c>
      <c r="K462" t="s">
        <v>5630</v>
      </c>
      <c r="L462">
        <v>1920000</v>
      </c>
      <c r="M462">
        <v>3200000</v>
      </c>
      <c r="N462" t="s">
        <v>5631</v>
      </c>
      <c r="O462" s="1">
        <v>45641</v>
      </c>
      <c r="P462" t="s">
        <v>5632</v>
      </c>
      <c r="Q462" t="s">
        <v>5633</v>
      </c>
      <c r="R462" t="s">
        <v>146</v>
      </c>
      <c r="S462" t="s">
        <v>5634</v>
      </c>
      <c r="T462" t="s">
        <v>601</v>
      </c>
      <c r="U462" t="s">
        <v>335</v>
      </c>
      <c r="V462" s="1">
        <v>44914</v>
      </c>
      <c r="W462" t="s">
        <v>5621</v>
      </c>
      <c r="X462" t="s">
        <v>5267</v>
      </c>
      <c r="Y462" t="s">
        <v>5635</v>
      </c>
      <c r="Z462">
        <v>3</v>
      </c>
      <c r="AA462" t="s">
        <v>227</v>
      </c>
      <c r="AB462" t="s">
        <v>5636</v>
      </c>
      <c r="AC462" t="s">
        <v>3992</v>
      </c>
      <c r="AD462" t="s">
        <v>86</v>
      </c>
      <c r="AE462">
        <v>2720000</v>
      </c>
      <c r="AF462">
        <v>47600</v>
      </c>
      <c r="AJ462" t="str">
        <f>_xlfn.XLOOKUP(Table9[[#This Row],[Engine No.]],'[1]Dubai Islamic Consumer'!$Q$3:$Q$1176,'[1]Dubai Islamic Consumer'!$B$3:$B$1176,,,)</f>
        <v>KHI/HO/D/MO/PC COMP/C/103702/362/12/2024</v>
      </c>
    </row>
    <row r="463" spans="1:36" hidden="1" x14ac:dyDescent="0.25">
      <c r="A463">
        <v>462</v>
      </c>
      <c r="B463" t="s">
        <v>35</v>
      </c>
      <c r="C463" t="s">
        <v>5637</v>
      </c>
      <c r="D463" t="s">
        <v>37</v>
      </c>
      <c r="E463" t="s">
        <v>5638</v>
      </c>
      <c r="F463" t="s">
        <v>245</v>
      </c>
      <c r="G463" t="s">
        <v>5639</v>
      </c>
      <c r="H463" t="s">
        <v>5640</v>
      </c>
      <c r="I463" t="s">
        <v>5641</v>
      </c>
      <c r="J463" t="s">
        <v>5642</v>
      </c>
      <c r="K463" t="s">
        <v>5643</v>
      </c>
      <c r="L463">
        <v>2826880</v>
      </c>
      <c r="M463">
        <v>4417000</v>
      </c>
      <c r="N463" t="s">
        <v>5644</v>
      </c>
      <c r="O463" s="1">
        <v>45641</v>
      </c>
      <c r="P463" t="s">
        <v>5645</v>
      </c>
      <c r="Q463" t="s">
        <v>5646</v>
      </c>
      <c r="R463" t="s">
        <v>47</v>
      </c>
      <c r="S463" t="s">
        <v>48</v>
      </c>
      <c r="T463" t="s">
        <v>5647</v>
      </c>
      <c r="U463" t="s">
        <v>50</v>
      </c>
      <c r="V463" s="1">
        <v>44550</v>
      </c>
      <c r="W463" t="s">
        <v>4473</v>
      </c>
      <c r="X463" t="s">
        <v>4588</v>
      </c>
      <c r="Y463" t="s">
        <v>5648</v>
      </c>
      <c r="Z463">
        <v>5</v>
      </c>
      <c r="AA463" t="s">
        <v>118</v>
      </c>
      <c r="AB463" t="s">
        <v>5649</v>
      </c>
      <c r="AC463" t="s">
        <v>5575</v>
      </c>
      <c r="AD463" t="s">
        <v>58</v>
      </c>
      <c r="AE463">
        <v>3533600</v>
      </c>
      <c r="AF463">
        <v>70672</v>
      </c>
      <c r="AJ463" t="str">
        <f>_xlfn.XLOOKUP(Table9[[#This Row],[Engine No.]],'[1]Dubai Islamic Consumer'!$Q$3:$Q$1176,'[1]Dubai Islamic Consumer'!$B$3:$B$1176,,,)</f>
        <v>KHI/HO/D/MO/PC COMP/C/103702/355/12/2024</v>
      </c>
    </row>
    <row r="464" spans="1:36" hidden="1" x14ac:dyDescent="0.25">
      <c r="A464">
        <v>463</v>
      </c>
      <c r="B464" t="s">
        <v>35</v>
      </c>
      <c r="C464" t="s">
        <v>5650</v>
      </c>
      <c r="D464" t="s">
        <v>37</v>
      </c>
      <c r="E464" t="s">
        <v>5651</v>
      </c>
      <c r="F464" t="s">
        <v>138</v>
      </c>
      <c r="G464" t="s">
        <v>5652</v>
      </c>
      <c r="H464" t="s">
        <v>5653</v>
      </c>
      <c r="I464" t="s">
        <v>5653</v>
      </c>
      <c r="J464" t="s">
        <v>5653</v>
      </c>
      <c r="K464" t="s">
        <v>5654</v>
      </c>
      <c r="L464">
        <v>2345000</v>
      </c>
      <c r="M464">
        <v>3350000</v>
      </c>
      <c r="N464" t="s">
        <v>5655</v>
      </c>
      <c r="O464" s="1">
        <v>45641</v>
      </c>
      <c r="P464" t="s">
        <v>5656</v>
      </c>
      <c r="Q464" t="s">
        <v>5657</v>
      </c>
      <c r="R464" t="s">
        <v>146</v>
      </c>
      <c r="S464" t="s">
        <v>48</v>
      </c>
      <c r="T464" t="s">
        <v>4411</v>
      </c>
      <c r="U464" t="s">
        <v>651</v>
      </c>
      <c r="V464" s="1">
        <v>44547</v>
      </c>
      <c r="W464" t="s">
        <v>4473</v>
      </c>
      <c r="X464" t="s">
        <v>4588</v>
      </c>
      <c r="Y464" t="s">
        <v>5658</v>
      </c>
      <c r="Z464">
        <v>5</v>
      </c>
      <c r="AA464" t="s">
        <v>55</v>
      </c>
      <c r="AB464" t="s">
        <v>5659</v>
      </c>
      <c r="AC464" t="s">
        <v>5433</v>
      </c>
      <c r="AD464" t="s">
        <v>299</v>
      </c>
      <c r="AE464">
        <v>2680000</v>
      </c>
      <c r="AF464">
        <v>40200</v>
      </c>
      <c r="AJ464" t="str">
        <f>_xlfn.XLOOKUP(Table9[[#This Row],[Engine No.]],'[1]Dubai Islamic Consumer'!$Q$3:$Q$1176,'[1]Dubai Islamic Consumer'!$B$3:$B$1176,,,)</f>
        <v>KHI/HO/D/MO/PC COMP/C/103702/354/12/2024</v>
      </c>
    </row>
    <row r="465" spans="1:36" hidden="1" x14ac:dyDescent="0.25">
      <c r="A465">
        <v>464</v>
      </c>
      <c r="B465" t="s">
        <v>35</v>
      </c>
      <c r="C465" t="s">
        <v>5660</v>
      </c>
      <c r="D465" t="s">
        <v>37</v>
      </c>
      <c r="E465" t="s">
        <v>5661</v>
      </c>
      <c r="F465" t="s">
        <v>138</v>
      </c>
      <c r="G465" t="s">
        <v>5662</v>
      </c>
      <c r="H465" t="s">
        <v>5663</v>
      </c>
      <c r="I465" t="s">
        <v>5663</v>
      </c>
      <c r="J465" t="s">
        <v>5663</v>
      </c>
      <c r="K465" t="s">
        <v>5664</v>
      </c>
      <c r="L465">
        <v>2285500</v>
      </c>
      <c r="M465">
        <v>3265000</v>
      </c>
      <c r="N465" t="s">
        <v>5665</v>
      </c>
      <c r="O465" s="1">
        <v>45641</v>
      </c>
      <c r="P465" t="s">
        <v>5666</v>
      </c>
      <c r="Q465" t="s">
        <v>5667</v>
      </c>
      <c r="R465" t="s">
        <v>146</v>
      </c>
      <c r="S465" t="s">
        <v>5668</v>
      </c>
      <c r="T465" t="s">
        <v>5669</v>
      </c>
      <c r="U465" t="s">
        <v>335</v>
      </c>
      <c r="V465" s="1">
        <v>44550</v>
      </c>
      <c r="W465" t="s">
        <v>4473</v>
      </c>
      <c r="X465" t="s">
        <v>4588</v>
      </c>
      <c r="Y465" t="s">
        <v>5670</v>
      </c>
      <c r="Z465">
        <v>5</v>
      </c>
      <c r="AA465" t="s">
        <v>55</v>
      </c>
      <c r="AB465" t="s">
        <v>5671</v>
      </c>
      <c r="AC465" t="s">
        <v>5433</v>
      </c>
      <c r="AD465" t="s">
        <v>299</v>
      </c>
      <c r="AE465">
        <v>2612000</v>
      </c>
      <c r="AF465">
        <v>39180</v>
      </c>
      <c r="AJ465" t="str">
        <f>_xlfn.XLOOKUP(Table9[[#This Row],[Engine No.]],'[1]Dubai Islamic Consumer'!$Q$3:$Q$1176,'[1]Dubai Islamic Consumer'!$B$3:$B$1176,,,)</f>
        <v>KHI/HO/D/MO/PC COMP/C/103702/353/12/2024</v>
      </c>
    </row>
    <row r="466" spans="1:36" hidden="1" x14ac:dyDescent="0.25">
      <c r="A466">
        <v>465</v>
      </c>
      <c r="B466" t="s">
        <v>35</v>
      </c>
      <c r="C466" t="s">
        <v>5672</v>
      </c>
      <c r="D466" t="s">
        <v>37</v>
      </c>
      <c r="E466" t="s">
        <v>5673</v>
      </c>
      <c r="F466" t="s">
        <v>138</v>
      </c>
      <c r="G466" t="s">
        <v>5674</v>
      </c>
      <c r="H466" t="s">
        <v>5675</v>
      </c>
      <c r="I466" t="s">
        <v>5676</v>
      </c>
      <c r="J466" t="s">
        <v>5675</v>
      </c>
      <c r="K466" t="s">
        <v>5677</v>
      </c>
      <c r="L466">
        <v>1859900</v>
      </c>
      <c r="M466">
        <v>2657000</v>
      </c>
      <c r="N466" t="s">
        <v>5678</v>
      </c>
      <c r="O466" s="1">
        <v>45641</v>
      </c>
      <c r="P466" t="s">
        <v>5679</v>
      </c>
      <c r="Q466" t="s">
        <v>5680</v>
      </c>
      <c r="R466" t="s">
        <v>47</v>
      </c>
      <c r="S466" t="s">
        <v>48</v>
      </c>
      <c r="T466" t="s">
        <v>480</v>
      </c>
      <c r="U466" t="s">
        <v>98</v>
      </c>
      <c r="V466" s="1">
        <v>44155</v>
      </c>
      <c r="W466" t="s">
        <v>5266</v>
      </c>
      <c r="X466" t="s">
        <v>5561</v>
      </c>
      <c r="Y466" t="s">
        <v>5681</v>
      </c>
      <c r="Z466">
        <v>7</v>
      </c>
      <c r="AA466" t="s">
        <v>227</v>
      </c>
      <c r="AB466" t="s">
        <v>5682</v>
      </c>
      <c r="AC466" t="s">
        <v>5683</v>
      </c>
      <c r="AD466" t="s">
        <v>58</v>
      </c>
      <c r="AE466">
        <v>1992750</v>
      </c>
      <c r="AF466">
        <v>39855</v>
      </c>
      <c r="AJ466" t="str">
        <f>_xlfn.XLOOKUP(Table9[[#This Row],[Engine No.]],'[1]Dubai Islamic Consumer'!$Q$3:$Q$1176,'[1]Dubai Islamic Consumer'!$B$3:$B$1176,,,)</f>
        <v>KHI/HO/D/MO/PC COMP/C/103702/352/12/2024</v>
      </c>
    </row>
    <row r="467" spans="1:36" hidden="1" x14ac:dyDescent="0.25">
      <c r="A467">
        <v>466</v>
      </c>
      <c r="B467" t="s">
        <v>35</v>
      </c>
      <c r="C467" t="s">
        <v>5684</v>
      </c>
      <c r="D467" t="s">
        <v>37</v>
      </c>
      <c r="E467" t="s">
        <v>5685</v>
      </c>
      <c r="F467" t="s">
        <v>290</v>
      </c>
      <c r="G467" t="s">
        <v>5686</v>
      </c>
      <c r="H467" t="s">
        <v>5687</v>
      </c>
      <c r="I467" t="s">
        <v>5688</v>
      </c>
      <c r="J467" t="s">
        <v>48</v>
      </c>
      <c r="K467" t="s">
        <v>5689</v>
      </c>
      <c r="L467">
        <v>1613150</v>
      </c>
      <c r="M467">
        <v>2933000</v>
      </c>
      <c r="N467" t="s">
        <v>5690</v>
      </c>
      <c r="O467" s="1">
        <v>45641</v>
      </c>
      <c r="P467" t="s">
        <v>5691</v>
      </c>
      <c r="Q467" t="s">
        <v>5692</v>
      </c>
      <c r="R467" t="s">
        <v>47</v>
      </c>
      <c r="S467" t="s">
        <v>48</v>
      </c>
      <c r="T467" t="s">
        <v>5693</v>
      </c>
      <c r="U467" t="s">
        <v>50</v>
      </c>
      <c r="V467" s="1">
        <v>44552</v>
      </c>
      <c r="W467" t="s">
        <v>4015</v>
      </c>
      <c r="X467" t="s">
        <v>4016</v>
      </c>
      <c r="Y467" t="s">
        <v>5694</v>
      </c>
      <c r="Z467">
        <v>5</v>
      </c>
      <c r="AA467" t="s">
        <v>55</v>
      </c>
      <c r="AB467" t="s">
        <v>5695</v>
      </c>
      <c r="AC467" t="s">
        <v>4176</v>
      </c>
      <c r="AD467" t="s">
        <v>58</v>
      </c>
      <c r="AE467">
        <v>2346400</v>
      </c>
      <c r="AF467">
        <v>46928</v>
      </c>
      <c r="AJ467" t="str">
        <f>_xlfn.XLOOKUP(Table9[[#This Row],[Engine No.]],'[1]Dubai Islamic Consumer'!$Q$3:$Q$1176,'[1]Dubai Islamic Consumer'!$B$3:$B$1176,,,)</f>
        <v>KHI/HO/D/MO/PC COMP/C/103702/350/12/2024</v>
      </c>
    </row>
    <row r="468" spans="1:36" hidden="1" x14ac:dyDescent="0.25">
      <c r="A468">
        <v>467</v>
      </c>
      <c r="B468" t="s">
        <v>35</v>
      </c>
      <c r="C468" t="s">
        <v>5696</v>
      </c>
      <c r="D468" t="s">
        <v>37</v>
      </c>
      <c r="E468" t="s">
        <v>5697</v>
      </c>
      <c r="F468" t="s">
        <v>107</v>
      </c>
      <c r="G468" t="s">
        <v>5698</v>
      </c>
      <c r="H468" t="s">
        <v>48</v>
      </c>
      <c r="I468" t="s">
        <v>5699</v>
      </c>
      <c r="J468" t="s">
        <v>48</v>
      </c>
      <c r="K468" t="s">
        <v>5700</v>
      </c>
      <c r="L468">
        <v>1360000</v>
      </c>
      <c r="M468">
        <v>1700000</v>
      </c>
      <c r="N468" t="s">
        <v>5701</v>
      </c>
      <c r="O468" s="1">
        <v>45641</v>
      </c>
      <c r="P468" t="s">
        <v>5702</v>
      </c>
      <c r="Q468" t="s">
        <v>5703</v>
      </c>
      <c r="R468" t="s">
        <v>146</v>
      </c>
      <c r="S468" t="s">
        <v>5704</v>
      </c>
      <c r="T468" t="s">
        <v>3282</v>
      </c>
      <c r="U468" t="s">
        <v>98</v>
      </c>
      <c r="V468" s="1">
        <v>44551</v>
      </c>
      <c r="W468" t="s">
        <v>4473</v>
      </c>
      <c r="X468" t="s">
        <v>4588</v>
      </c>
      <c r="Y468" t="s">
        <v>5705</v>
      </c>
      <c r="Z468">
        <v>5</v>
      </c>
      <c r="AA468" t="s">
        <v>55</v>
      </c>
      <c r="AB468" t="s">
        <v>5706</v>
      </c>
      <c r="AC468" t="s">
        <v>4176</v>
      </c>
      <c r="AD468" t="s">
        <v>299</v>
      </c>
      <c r="AE468">
        <v>1360000</v>
      </c>
      <c r="AF468">
        <v>20400</v>
      </c>
      <c r="AJ468" t="str">
        <f>_xlfn.XLOOKUP(Table9[[#This Row],[Engine No.]],'[1]Dubai Islamic Consumer'!$Q$3:$Q$1176,'[1]Dubai Islamic Consumer'!$B$3:$B$1176,,,)</f>
        <v>KHI/HO/D/MO/PC COMP/C/103702/349/12/2024</v>
      </c>
    </row>
    <row r="469" spans="1:36" hidden="1" x14ac:dyDescent="0.25">
      <c r="A469">
        <v>468</v>
      </c>
      <c r="B469" t="s">
        <v>35</v>
      </c>
      <c r="C469" t="s">
        <v>5707</v>
      </c>
      <c r="D469" t="s">
        <v>37</v>
      </c>
      <c r="E469" t="s">
        <v>5708</v>
      </c>
      <c r="F469" t="s">
        <v>138</v>
      </c>
      <c r="G469" t="s">
        <v>5709</v>
      </c>
      <c r="H469" t="s">
        <v>5710</v>
      </c>
      <c r="I469" t="s">
        <v>5710</v>
      </c>
      <c r="J469" t="s">
        <v>5710</v>
      </c>
      <c r="K469" t="s">
        <v>5711</v>
      </c>
      <c r="L469">
        <v>1295000</v>
      </c>
      <c r="M469">
        <v>1850000</v>
      </c>
      <c r="N469" t="s">
        <v>5712</v>
      </c>
      <c r="O469" s="1">
        <v>45641</v>
      </c>
      <c r="P469" t="s">
        <v>5713</v>
      </c>
      <c r="Q469" t="s">
        <v>5714</v>
      </c>
      <c r="R469" t="s">
        <v>146</v>
      </c>
      <c r="S469" t="s">
        <v>5715</v>
      </c>
      <c r="T469" t="s">
        <v>5716</v>
      </c>
      <c r="U469" t="s">
        <v>651</v>
      </c>
      <c r="V469" s="1">
        <v>44550</v>
      </c>
      <c r="W469" t="s">
        <v>4473</v>
      </c>
      <c r="X469" t="s">
        <v>4588</v>
      </c>
      <c r="Y469" t="s">
        <v>5717</v>
      </c>
      <c r="Z469">
        <v>5</v>
      </c>
      <c r="AA469" t="s">
        <v>55</v>
      </c>
      <c r="AB469" t="s">
        <v>5718</v>
      </c>
      <c r="AC469" t="s">
        <v>4176</v>
      </c>
      <c r="AD469" t="s">
        <v>299</v>
      </c>
      <c r="AE469">
        <v>1480000</v>
      </c>
      <c r="AF469">
        <v>22200</v>
      </c>
      <c r="AJ469" t="str">
        <f>_xlfn.XLOOKUP(Table9[[#This Row],[Engine No.]],'[1]Dubai Islamic Consumer'!$Q$3:$Q$1176,'[1]Dubai Islamic Consumer'!$B$3:$B$1176,,,)</f>
        <v>KHI/HO/D/MO/PC COMP/C/103702/347/12/2024</v>
      </c>
    </row>
    <row r="470" spans="1:36" hidden="1" x14ac:dyDescent="0.25">
      <c r="A470">
        <v>469</v>
      </c>
      <c r="B470" t="s">
        <v>35</v>
      </c>
      <c r="C470" t="s">
        <v>5719</v>
      </c>
      <c r="D470" t="s">
        <v>37</v>
      </c>
      <c r="E470" t="s">
        <v>5720</v>
      </c>
      <c r="F470" t="s">
        <v>89</v>
      </c>
      <c r="G470" t="s">
        <v>5721</v>
      </c>
      <c r="H470" t="s">
        <v>5722</v>
      </c>
      <c r="I470" t="s">
        <v>5722</v>
      </c>
      <c r="J470" t="s">
        <v>5723</v>
      </c>
      <c r="K470" t="s">
        <v>5724</v>
      </c>
      <c r="L470">
        <v>1628250</v>
      </c>
      <c r="M470">
        <v>2505000</v>
      </c>
      <c r="N470" t="s">
        <v>5725</v>
      </c>
      <c r="O470" s="1">
        <v>45641</v>
      </c>
      <c r="P470" t="s">
        <v>5726</v>
      </c>
      <c r="Q470" t="s">
        <v>5727</v>
      </c>
      <c r="R470" t="s">
        <v>47</v>
      </c>
      <c r="S470" t="s">
        <v>5728</v>
      </c>
      <c r="T470" t="s">
        <v>480</v>
      </c>
      <c r="U470" t="s">
        <v>614</v>
      </c>
      <c r="V470" s="1">
        <v>43815</v>
      </c>
      <c r="W470" t="s">
        <v>5729</v>
      </c>
      <c r="X470" t="s">
        <v>5267</v>
      </c>
      <c r="Y470" t="s">
        <v>5730</v>
      </c>
      <c r="Z470">
        <v>6</v>
      </c>
      <c r="AA470" t="s">
        <v>55</v>
      </c>
      <c r="AB470" t="s">
        <v>5731</v>
      </c>
      <c r="AC470" t="s">
        <v>5732</v>
      </c>
      <c r="AD470" t="s">
        <v>171</v>
      </c>
      <c r="AE470">
        <v>1753500</v>
      </c>
      <c r="AF470">
        <v>43838</v>
      </c>
      <c r="AJ470" t="str">
        <f>_xlfn.XLOOKUP(Table9[[#This Row],[Engine No.]],'[1]Dubai Islamic Consumer'!$Q$3:$Q$1176,'[1]Dubai Islamic Consumer'!$B$3:$B$1176,,,)</f>
        <v>KHI/HO/D/MO/PC COMP/C/103702/346/12/2024</v>
      </c>
    </row>
    <row r="471" spans="1:36" hidden="1" x14ac:dyDescent="0.25">
      <c r="A471">
        <v>470</v>
      </c>
      <c r="B471" t="s">
        <v>35</v>
      </c>
      <c r="C471" t="s">
        <v>5733</v>
      </c>
      <c r="D471" t="s">
        <v>37</v>
      </c>
      <c r="E471" t="s">
        <v>5734</v>
      </c>
      <c r="F471" t="s">
        <v>39</v>
      </c>
      <c r="G471" t="s">
        <v>5735</v>
      </c>
      <c r="H471" t="s">
        <v>5736</v>
      </c>
      <c r="I471" t="s">
        <v>5737</v>
      </c>
      <c r="J471" t="s">
        <v>5736</v>
      </c>
      <c r="K471" t="s">
        <v>5738</v>
      </c>
      <c r="L471">
        <v>1207500</v>
      </c>
      <c r="M471">
        <v>1610000</v>
      </c>
      <c r="N471" t="s">
        <v>5739</v>
      </c>
      <c r="O471" s="1">
        <v>45641</v>
      </c>
      <c r="P471" t="s">
        <v>5740</v>
      </c>
      <c r="Q471" t="s">
        <v>5741</v>
      </c>
      <c r="R471" t="s">
        <v>47</v>
      </c>
      <c r="S471" t="s">
        <v>48</v>
      </c>
      <c r="T471" t="s">
        <v>3356</v>
      </c>
      <c r="U471" t="s">
        <v>50</v>
      </c>
      <c r="V471" s="1">
        <v>44441</v>
      </c>
      <c r="W471" t="s">
        <v>4473</v>
      </c>
      <c r="X471" t="s">
        <v>4588</v>
      </c>
      <c r="Y471" t="s">
        <v>5742</v>
      </c>
      <c r="Z471">
        <v>5</v>
      </c>
      <c r="AA471" t="s">
        <v>55</v>
      </c>
      <c r="AB471" t="s">
        <v>5743</v>
      </c>
      <c r="AC471" t="s">
        <v>5575</v>
      </c>
      <c r="AD471" t="s">
        <v>58</v>
      </c>
      <c r="AE471">
        <v>1288000</v>
      </c>
      <c r="AF471">
        <v>25760</v>
      </c>
      <c r="AJ471" t="str">
        <f>_xlfn.XLOOKUP(Table9[[#This Row],[Engine No.]],'[1]Dubai Islamic Consumer'!$Q$3:$Q$1176,'[1]Dubai Islamic Consumer'!$B$3:$B$1176,,,)</f>
        <v>KHI/HO/D/MO/PC COMP/C/103702/345/12/2024</v>
      </c>
    </row>
    <row r="472" spans="1:36" hidden="1" x14ac:dyDescent="0.25">
      <c r="A472">
        <v>471</v>
      </c>
      <c r="B472" t="s">
        <v>35</v>
      </c>
      <c r="C472" t="s">
        <v>5744</v>
      </c>
      <c r="D472" t="s">
        <v>37</v>
      </c>
      <c r="E472" t="s">
        <v>5745</v>
      </c>
      <c r="F472" t="s">
        <v>138</v>
      </c>
      <c r="G472" t="s">
        <v>5746</v>
      </c>
      <c r="H472" t="s">
        <v>5747</v>
      </c>
      <c r="I472" t="s">
        <v>5748</v>
      </c>
      <c r="J472" t="s">
        <v>5747</v>
      </c>
      <c r="K472" t="s">
        <v>5749</v>
      </c>
      <c r="L472">
        <v>1120000</v>
      </c>
      <c r="M472">
        <v>1400000</v>
      </c>
      <c r="N472" t="s">
        <v>5750</v>
      </c>
      <c r="O472" s="1">
        <v>45641</v>
      </c>
      <c r="P472" t="s">
        <v>5751</v>
      </c>
      <c r="Q472" t="s">
        <v>5752</v>
      </c>
      <c r="R472" t="s">
        <v>146</v>
      </c>
      <c r="S472" t="s">
        <v>5753</v>
      </c>
      <c r="T472" t="s">
        <v>5754</v>
      </c>
      <c r="U472" t="s">
        <v>496</v>
      </c>
      <c r="V472" s="1">
        <v>44550</v>
      </c>
      <c r="W472" t="s">
        <v>4473</v>
      </c>
      <c r="X472" t="s">
        <v>4588</v>
      </c>
      <c r="Y472" t="s">
        <v>5755</v>
      </c>
      <c r="Z472">
        <v>5</v>
      </c>
      <c r="AA472" t="s">
        <v>55</v>
      </c>
      <c r="AB472" t="s">
        <v>5756</v>
      </c>
      <c r="AC472" t="s">
        <v>5575</v>
      </c>
      <c r="AD472" t="s">
        <v>299</v>
      </c>
      <c r="AE472">
        <v>1120000</v>
      </c>
      <c r="AF472">
        <v>16800</v>
      </c>
      <c r="AJ472" t="str">
        <f>_xlfn.XLOOKUP(Table9[[#This Row],[Engine No.]],'[1]Dubai Islamic Consumer'!$Q$3:$Q$1176,'[1]Dubai Islamic Consumer'!$B$3:$B$1176,,,)</f>
        <v>KHI/HO/D/MO/PC COMP/C/103702/344/12/2024</v>
      </c>
    </row>
    <row r="473" spans="1:36" hidden="1" x14ac:dyDescent="0.25">
      <c r="A473">
        <v>472</v>
      </c>
      <c r="B473" t="s">
        <v>35</v>
      </c>
      <c r="C473" t="s">
        <v>5757</v>
      </c>
      <c r="D473" t="s">
        <v>37</v>
      </c>
      <c r="E473" t="s">
        <v>5758</v>
      </c>
      <c r="F473" t="s">
        <v>525</v>
      </c>
      <c r="G473" t="s">
        <v>5759</v>
      </c>
      <c r="H473" t="s">
        <v>5760</v>
      </c>
      <c r="I473" t="s">
        <v>5760</v>
      </c>
      <c r="J473" t="s">
        <v>5760</v>
      </c>
      <c r="K473" t="s">
        <v>5761</v>
      </c>
      <c r="L473">
        <v>1131000</v>
      </c>
      <c r="M473">
        <v>1508000</v>
      </c>
      <c r="N473" t="s">
        <v>5762</v>
      </c>
      <c r="O473" s="1">
        <v>45641</v>
      </c>
      <c r="P473" t="s">
        <v>5763</v>
      </c>
      <c r="Q473" t="s">
        <v>5764</v>
      </c>
      <c r="R473" t="s">
        <v>146</v>
      </c>
      <c r="S473" t="s">
        <v>5765</v>
      </c>
      <c r="T473" t="s">
        <v>673</v>
      </c>
      <c r="U473" t="s">
        <v>98</v>
      </c>
      <c r="V473" s="1">
        <v>44553</v>
      </c>
      <c r="W473" t="s">
        <v>4015</v>
      </c>
      <c r="X473" t="s">
        <v>3977</v>
      </c>
      <c r="Y473" t="s">
        <v>5766</v>
      </c>
      <c r="Z473">
        <v>4</v>
      </c>
      <c r="AA473" t="s">
        <v>118</v>
      </c>
      <c r="AB473" t="s">
        <v>5767</v>
      </c>
      <c r="AC473" t="s">
        <v>4473</v>
      </c>
      <c r="AD473" t="s">
        <v>299</v>
      </c>
      <c r="AE473">
        <v>1206400</v>
      </c>
      <c r="AF473">
        <v>18096</v>
      </c>
      <c r="AJ473" t="str">
        <f>_xlfn.XLOOKUP(Table9[[#This Row],[Engine No.]],'[1]Dubai Islamic Consumer'!$Q$3:$Q$1176,'[1]Dubai Islamic Consumer'!$B$3:$B$1176,,,)</f>
        <v>KHI/HO/D/MO/PC COMP/C/103702/343/12/2024</v>
      </c>
    </row>
    <row r="474" spans="1:36" hidden="1" x14ac:dyDescent="0.25">
      <c r="A474">
        <v>473</v>
      </c>
      <c r="B474" t="s">
        <v>35</v>
      </c>
      <c r="C474" t="s">
        <v>5768</v>
      </c>
      <c r="D474" t="s">
        <v>37</v>
      </c>
      <c r="E474" t="s">
        <v>5769</v>
      </c>
      <c r="F474" t="s">
        <v>525</v>
      </c>
      <c r="G474" t="s">
        <v>5770</v>
      </c>
      <c r="H474" t="s">
        <v>48</v>
      </c>
      <c r="I474" t="s">
        <v>5771</v>
      </c>
      <c r="J474" t="s">
        <v>48</v>
      </c>
      <c r="K474" t="s">
        <v>5772</v>
      </c>
      <c r="L474">
        <v>1050000</v>
      </c>
      <c r="M474">
        <v>1500000</v>
      </c>
      <c r="N474" t="s">
        <v>5773</v>
      </c>
      <c r="O474" s="1">
        <v>45641</v>
      </c>
      <c r="P474" t="s">
        <v>5774</v>
      </c>
      <c r="Q474" t="s">
        <v>5775</v>
      </c>
      <c r="R474" t="s">
        <v>146</v>
      </c>
      <c r="S474" t="s">
        <v>5776</v>
      </c>
      <c r="T474" t="s">
        <v>210</v>
      </c>
      <c r="U474" t="s">
        <v>98</v>
      </c>
      <c r="V474" s="1">
        <v>44550</v>
      </c>
      <c r="W474" t="s">
        <v>4473</v>
      </c>
      <c r="X474" t="s">
        <v>4588</v>
      </c>
      <c r="Y474" t="s">
        <v>5777</v>
      </c>
      <c r="Z474">
        <v>5</v>
      </c>
      <c r="AA474" t="s">
        <v>118</v>
      </c>
      <c r="AB474" t="s">
        <v>5778</v>
      </c>
      <c r="AC474" t="s">
        <v>5779</v>
      </c>
      <c r="AD474" t="s">
        <v>299</v>
      </c>
      <c r="AE474">
        <v>1200000</v>
      </c>
      <c r="AF474">
        <v>18000</v>
      </c>
      <c r="AJ474" t="str">
        <f>_xlfn.XLOOKUP(Table9[[#This Row],[Engine No.]],'[1]Dubai Islamic Consumer'!$Q$3:$Q$1176,'[1]Dubai Islamic Consumer'!$B$3:$B$1176,,,)</f>
        <v>KHI/HO/D/MO/PC COMP/C/103702/341/12/2024</v>
      </c>
    </row>
    <row r="475" spans="1:36" hidden="1" x14ac:dyDescent="0.25">
      <c r="A475">
        <v>474</v>
      </c>
      <c r="B475" t="s">
        <v>35</v>
      </c>
      <c r="C475" t="s">
        <v>5780</v>
      </c>
      <c r="D475" t="s">
        <v>37</v>
      </c>
      <c r="E475" t="s">
        <v>5781</v>
      </c>
      <c r="F475" t="s">
        <v>138</v>
      </c>
      <c r="G475" t="s">
        <v>5782</v>
      </c>
      <c r="H475" t="s">
        <v>5783</v>
      </c>
      <c r="I475" t="s">
        <v>5783</v>
      </c>
      <c r="J475" t="s">
        <v>5783</v>
      </c>
      <c r="K475" t="s">
        <v>5784</v>
      </c>
      <c r="L475">
        <v>2054500</v>
      </c>
      <c r="M475">
        <v>2935000</v>
      </c>
      <c r="N475" t="s">
        <v>5785</v>
      </c>
      <c r="O475" t="s">
        <v>5786</v>
      </c>
      <c r="P475" t="s">
        <v>5787</v>
      </c>
      <c r="Q475" t="s">
        <v>5788</v>
      </c>
      <c r="R475" t="s">
        <v>47</v>
      </c>
      <c r="S475" t="s">
        <v>48</v>
      </c>
      <c r="T475" t="s">
        <v>613</v>
      </c>
      <c r="U475" t="s">
        <v>386</v>
      </c>
      <c r="V475" s="1">
        <v>45279</v>
      </c>
      <c r="W475" t="s">
        <v>4587</v>
      </c>
      <c r="X475" t="s">
        <v>5561</v>
      </c>
      <c r="Y475" t="s">
        <v>5789</v>
      </c>
      <c r="Z475">
        <v>4</v>
      </c>
      <c r="AA475" t="s">
        <v>55</v>
      </c>
      <c r="AB475" t="s">
        <v>5790</v>
      </c>
      <c r="AC475" t="s">
        <v>5111</v>
      </c>
      <c r="AD475" t="s">
        <v>86</v>
      </c>
      <c r="AE475">
        <v>2641500</v>
      </c>
      <c r="AF475">
        <v>46226</v>
      </c>
      <c r="AJ475" t="str">
        <f>_xlfn.XLOOKUP(Table9[[#This Row],[Engine No.]],'[1]Dubai Islamic Consumer'!$Q$3:$Q$1176,'[1]Dubai Islamic Consumer'!$B$3:$B$1176,,,)</f>
        <v>KHI/HO/D/MO/PC COMP/C/103702/336/12/2024</v>
      </c>
    </row>
    <row r="476" spans="1:36" hidden="1" x14ac:dyDescent="0.25">
      <c r="A476">
        <v>475</v>
      </c>
      <c r="B476" t="s">
        <v>35</v>
      </c>
      <c r="C476" t="s">
        <v>5791</v>
      </c>
      <c r="D476" t="s">
        <v>37</v>
      </c>
      <c r="E476" t="s">
        <v>5792</v>
      </c>
      <c r="F476" t="s">
        <v>138</v>
      </c>
      <c r="G476" t="s">
        <v>5793</v>
      </c>
      <c r="H476" t="s">
        <v>5794</v>
      </c>
      <c r="I476" t="s">
        <v>5795</v>
      </c>
      <c r="J476" t="s">
        <v>141</v>
      </c>
      <c r="K476" t="s">
        <v>5796</v>
      </c>
      <c r="L476">
        <v>3000000</v>
      </c>
      <c r="M476">
        <v>5000000</v>
      </c>
      <c r="N476" t="s">
        <v>5797</v>
      </c>
      <c r="O476" t="s">
        <v>5786</v>
      </c>
      <c r="P476" t="s">
        <v>5798</v>
      </c>
      <c r="Q476" t="s">
        <v>5799</v>
      </c>
      <c r="R476" t="s">
        <v>146</v>
      </c>
      <c r="S476" t="s">
        <v>5800</v>
      </c>
      <c r="T476" t="s">
        <v>1128</v>
      </c>
      <c r="U476" t="s">
        <v>50</v>
      </c>
      <c r="V476" s="1">
        <v>45279</v>
      </c>
      <c r="W476" t="s">
        <v>4587</v>
      </c>
      <c r="X476" t="s">
        <v>4588</v>
      </c>
      <c r="Y476" t="s">
        <v>5801</v>
      </c>
      <c r="Z476">
        <v>3</v>
      </c>
      <c r="AA476" t="s">
        <v>152</v>
      </c>
      <c r="AB476" t="s">
        <v>5802</v>
      </c>
      <c r="AC476" t="s">
        <v>5803</v>
      </c>
      <c r="AD476" t="s">
        <v>86</v>
      </c>
      <c r="AE476">
        <v>4500000</v>
      </c>
      <c r="AF476">
        <v>78750</v>
      </c>
      <c r="AJ476" t="e">
        <f>_xlfn.XLOOKUP(Table9[[#This Row],[Engine No.]],'[1]Dubai Islamic Consumer'!$Q$3:$Q$1176,'[1]Dubai Islamic Consumer'!$B$3:$B$1176,,,)</f>
        <v>#N/A</v>
      </c>
    </row>
    <row r="477" spans="1:36" hidden="1" x14ac:dyDescent="0.25">
      <c r="A477">
        <v>476</v>
      </c>
      <c r="B477" t="s">
        <v>35</v>
      </c>
      <c r="C477" t="s">
        <v>5804</v>
      </c>
      <c r="D477" t="s">
        <v>37</v>
      </c>
      <c r="E477" t="s">
        <v>5805</v>
      </c>
      <c r="F477" t="s">
        <v>138</v>
      </c>
      <c r="G477" t="s">
        <v>5806</v>
      </c>
      <c r="H477" t="s">
        <v>48</v>
      </c>
      <c r="I477" t="s">
        <v>48</v>
      </c>
      <c r="J477" t="s">
        <v>48</v>
      </c>
      <c r="K477" t="s">
        <v>5807</v>
      </c>
      <c r="L477">
        <v>1654871</v>
      </c>
      <c r="M477">
        <v>2364102</v>
      </c>
      <c r="N477" t="s">
        <v>5808</v>
      </c>
      <c r="O477" s="1">
        <v>45625</v>
      </c>
      <c r="P477" t="s">
        <v>5809</v>
      </c>
      <c r="Q477" t="s">
        <v>5810</v>
      </c>
      <c r="R477" t="s">
        <v>47</v>
      </c>
      <c r="S477" t="s">
        <v>48</v>
      </c>
      <c r="T477" t="s">
        <v>2994</v>
      </c>
      <c r="U477" t="s">
        <v>148</v>
      </c>
      <c r="V477" t="s">
        <v>5811</v>
      </c>
      <c r="W477" t="s">
        <v>940</v>
      </c>
      <c r="X477" t="s">
        <v>1638</v>
      </c>
      <c r="Y477" t="s">
        <v>5812</v>
      </c>
      <c r="Z477">
        <v>5</v>
      </c>
      <c r="AA477" t="s">
        <v>152</v>
      </c>
      <c r="AB477" t="s">
        <v>5813</v>
      </c>
      <c r="AC477" t="s">
        <v>4043</v>
      </c>
      <c r="AD477" t="s">
        <v>86</v>
      </c>
      <c r="AE477">
        <v>2009486.7</v>
      </c>
      <c r="AF477">
        <v>35166</v>
      </c>
      <c r="AJ477" t="str">
        <f>_xlfn.XLOOKUP(Table9[[#This Row],[Engine No.]],'[1]Dubai Islamic Consumer'!$Q$3:$Q$1176,'[1]Dubai Islamic Consumer'!$B$3:$B$1176,,,)</f>
        <v>KHI/HO/D/MO/PC COMP/C/102086/79/11/2024</v>
      </c>
    </row>
    <row r="478" spans="1:36" hidden="1" x14ac:dyDescent="0.25">
      <c r="A478">
        <v>477</v>
      </c>
      <c r="B478" t="s">
        <v>35</v>
      </c>
      <c r="C478" t="s">
        <v>5814</v>
      </c>
      <c r="D478" t="s">
        <v>37</v>
      </c>
      <c r="E478" t="s">
        <v>5815</v>
      </c>
      <c r="F478" t="s">
        <v>138</v>
      </c>
      <c r="G478" t="s">
        <v>5816</v>
      </c>
      <c r="H478" t="s">
        <v>5817</v>
      </c>
      <c r="I478" t="s">
        <v>5817</v>
      </c>
      <c r="J478" t="s">
        <v>141</v>
      </c>
      <c r="K478" t="s">
        <v>5818</v>
      </c>
      <c r="L478">
        <v>1155000</v>
      </c>
      <c r="M478">
        <v>5250000</v>
      </c>
      <c r="N478" t="s">
        <v>5819</v>
      </c>
      <c r="O478" t="s">
        <v>5786</v>
      </c>
      <c r="P478" t="s">
        <v>5820</v>
      </c>
      <c r="Q478" t="s">
        <v>5821</v>
      </c>
      <c r="R478" t="s">
        <v>146</v>
      </c>
      <c r="S478" t="s">
        <v>5822</v>
      </c>
      <c r="T478" t="s">
        <v>1128</v>
      </c>
      <c r="U478" t="s">
        <v>148</v>
      </c>
      <c r="V478" s="1">
        <v>45279</v>
      </c>
      <c r="W478" t="s">
        <v>4587</v>
      </c>
      <c r="X478" t="s">
        <v>4588</v>
      </c>
      <c r="Y478" t="s">
        <v>5823</v>
      </c>
      <c r="Z478">
        <v>3</v>
      </c>
      <c r="AA478" t="s">
        <v>118</v>
      </c>
      <c r="AB478" t="s">
        <v>5824</v>
      </c>
      <c r="AC478" t="s">
        <v>5111</v>
      </c>
      <c r="AD478" t="s">
        <v>299</v>
      </c>
      <c r="AE478">
        <v>4725000</v>
      </c>
      <c r="AF478">
        <v>70875</v>
      </c>
      <c r="AJ478" t="str">
        <f>_xlfn.XLOOKUP(Table9[[#This Row],[Engine No.]],'[1]Dubai Islamic Consumer'!$Q$3:$Q$1176,'[1]Dubai Islamic Consumer'!$B$3:$B$1176,,,)</f>
        <v>KHI/HO/D/MO/PC COMP/C/103702/334/12/2024</v>
      </c>
    </row>
    <row r="479" spans="1:36" hidden="1" x14ac:dyDescent="0.25">
      <c r="A479">
        <v>478</v>
      </c>
      <c r="B479" t="s">
        <v>35</v>
      </c>
      <c r="C479" t="s">
        <v>5825</v>
      </c>
      <c r="D479" t="s">
        <v>37</v>
      </c>
      <c r="E479" t="s">
        <v>5826</v>
      </c>
      <c r="F479" t="s">
        <v>138</v>
      </c>
      <c r="G479" t="s">
        <v>5827</v>
      </c>
      <c r="H479" t="s">
        <v>48</v>
      </c>
      <c r="I479" t="s">
        <v>5828</v>
      </c>
      <c r="J479" t="s">
        <v>48</v>
      </c>
      <c r="K479" t="s">
        <v>5829</v>
      </c>
      <c r="L479">
        <v>1387500</v>
      </c>
      <c r="M479">
        <v>2775000</v>
      </c>
      <c r="N479" t="s">
        <v>5830</v>
      </c>
      <c r="O479" t="s">
        <v>5786</v>
      </c>
      <c r="P479" t="s">
        <v>5831</v>
      </c>
      <c r="Q479" t="s">
        <v>5832</v>
      </c>
      <c r="R479" t="s">
        <v>146</v>
      </c>
      <c r="S479" t="s">
        <v>5833</v>
      </c>
      <c r="T479" t="s">
        <v>2461</v>
      </c>
      <c r="U479" t="s">
        <v>148</v>
      </c>
      <c r="V479" s="1">
        <v>45278</v>
      </c>
      <c r="W479" t="s">
        <v>4587</v>
      </c>
      <c r="X479" t="s">
        <v>4588</v>
      </c>
      <c r="Y479" t="s">
        <v>5834</v>
      </c>
      <c r="Z479">
        <v>3</v>
      </c>
      <c r="AA479" t="s">
        <v>55</v>
      </c>
      <c r="AB479" t="s">
        <v>5111</v>
      </c>
      <c r="AC479" t="s">
        <v>5205</v>
      </c>
      <c r="AD479" t="s">
        <v>86</v>
      </c>
      <c r="AE479">
        <v>2497500</v>
      </c>
      <c r="AF479">
        <v>43706</v>
      </c>
      <c r="AJ479" t="str">
        <f>_xlfn.XLOOKUP(Table9[[#This Row],[Engine No.]],'[1]Dubai Islamic Consumer'!$Q$3:$Q$1176,'[1]Dubai Islamic Consumer'!$B$3:$B$1176,,,)</f>
        <v>KHI/HO/D/MO/PC COMP/C/103702/333/12/2024</v>
      </c>
    </row>
    <row r="480" spans="1:36" hidden="1" x14ac:dyDescent="0.25">
      <c r="A480">
        <v>479</v>
      </c>
      <c r="B480" t="s">
        <v>35</v>
      </c>
      <c r="C480" t="s">
        <v>5835</v>
      </c>
      <c r="D480" t="s">
        <v>37</v>
      </c>
      <c r="E480" t="s">
        <v>5836</v>
      </c>
      <c r="F480" t="s">
        <v>138</v>
      </c>
      <c r="G480" t="s">
        <v>5837</v>
      </c>
      <c r="H480" t="s">
        <v>5838</v>
      </c>
      <c r="I480" t="s">
        <v>5839</v>
      </c>
      <c r="J480" t="s">
        <v>5838</v>
      </c>
      <c r="K480" t="s">
        <v>5840</v>
      </c>
      <c r="L480">
        <v>2996000</v>
      </c>
      <c r="M480">
        <v>4280000</v>
      </c>
      <c r="N480" t="s">
        <v>5841</v>
      </c>
      <c r="O480" t="s">
        <v>5786</v>
      </c>
      <c r="P480" t="s">
        <v>5842</v>
      </c>
      <c r="Q480" t="s">
        <v>5843</v>
      </c>
      <c r="R480" t="s">
        <v>146</v>
      </c>
      <c r="S480" t="s">
        <v>5844</v>
      </c>
      <c r="T480" t="s">
        <v>1128</v>
      </c>
      <c r="U480" t="s">
        <v>614</v>
      </c>
      <c r="V480" s="1">
        <v>45278</v>
      </c>
      <c r="W480" t="s">
        <v>4587</v>
      </c>
      <c r="X480" t="s">
        <v>4588</v>
      </c>
      <c r="Y480" t="s">
        <v>5845</v>
      </c>
      <c r="Z480">
        <v>3</v>
      </c>
      <c r="AA480" t="s">
        <v>55</v>
      </c>
      <c r="AB480" t="s">
        <v>5846</v>
      </c>
      <c r="AC480" t="s">
        <v>5111</v>
      </c>
      <c r="AD480" t="s">
        <v>86</v>
      </c>
      <c r="AE480">
        <v>3852000</v>
      </c>
      <c r="AF480">
        <v>67410</v>
      </c>
      <c r="AJ480" t="str">
        <f>_xlfn.XLOOKUP(Table9[[#This Row],[Engine No.]],'[1]Dubai Islamic Consumer'!$Q$3:$Q$1176,'[1]Dubai Islamic Consumer'!$B$3:$B$1176,,,)</f>
        <v>KHI/HO/D/MO/PC COMP/C/103702/332/12/2024</v>
      </c>
    </row>
    <row r="481" spans="1:36" hidden="1" x14ac:dyDescent="0.25">
      <c r="A481">
        <v>480</v>
      </c>
      <c r="B481" t="s">
        <v>35</v>
      </c>
      <c r="C481" t="s">
        <v>5847</v>
      </c>
      <c r="D481" t="s">
        <v>37</v>
      </c>
      <c r="E481" t="s">
        <v>5848</v>
      </c>
      <c r="F481" t="s">
        <v>138</v>
      </c>
      <c r="G481" t="s">
        <v>5849</v>
      </c>
      <c r="H481" t="s">
        <v>141</v>
      </c>
      <c r="I481" t="s">
        <v>5850</v>
      </c>
      <c r="J481" t="s">
        <v>5851</v>
      </c>
      <c r="K481" t="s">
        <v>5852</v>
      </c>
      <c r="L481">
        <v>1828400</v>
      </c>
      <c r="M481">
        <v>2612000</v>
      </c>
      <c r="N481" t="s">
        <v>5853</v>
      </c>
      <c r="O481" t="s">
        <v>5786</v>
      </c>
      <c r="P481" t="s">
        <v>5854</v>
      </c>
      <c r="Q481" t="s">
        <v>5855</v>
      </c>
      <c r="R481" t="s">
        <v>47</v>
      </c>
      <c r="S481" t="s">
        <v>48</v>
      </c>
      <c r="T481" t="s">
        <v>194</v>
      </c>
      <c r="U481" t="s">
        <v>386</v>
      </c>
      <c r="V481" s="1">
        <v>45254</v>
      </c>
      <c r="W481" t="s">
        <v>4587</v>
      </c>
      <c r="X481" t="s">
        <v>4724</v>
      </c>
      <c r="Y481" t="s">
        <v>5856</v>
      </c>
      <c r="Z481">
        <v>5</v>
      </c>
      <c r="AA481" t="s">
        <v>55</v>
      </c>
      <c r="AB481" t="s">
        <v>5857</v>
      </c>
      <c r="AC481" t="s">
        <v>5111</v>
      </c>
      <c r="AD481" t="s">
        <v>86</v>
      </c>
      <c r="AE481">
        <v>2350800</v>
      </c>
      <c r="AF481">
        <v>41139</v>
      </c>
      <c r="AJ481" t="str">
        <f>_xlfn.XLOOKUP(Table9[[#This Row],[Engine No.]],'[1]Dubai Islamic Consumer'!$Q$3:$Q$1176,'[1]Dubai Islamic Consumer'!$B$3:$B$1176,,,)</f>
        <v>KHI/HO/D/MO/PC COMP/C/103702/330/12/2024</v>
      </c>
    </row>
    <row r="482" spans="1:36" hidden="1" x14ac:dyDescent="0.25">
      <c r="A482">
        <v>481</v>
      </c>
      <c r="B482" t="s">
        <v>35</v>
      </c>
      <c r="C482" t="s">
        <v>5858</v>
      </c>
      <c r="D482" t="s">
        <v>37</v>
      </c>
      <c r="E482" t="s">
        <v>5859</v>
      </c>
      <c r="F482" t="s">
        <v>290</v>
      </c>
      <c r="G482" t="s">
        <v>5860</v>
      </c>
      <c r="H482" t="s">
        <v>5861</v>
      </c>
      <c r="I482" t="s">
        <v>5862</v>
      </c>
      <c r="J482" t="s">
        <v>5862</v>
      </c>
      <c r="K482" t="s">
        <v>5863</v>
      </c>
      <c r="L482">
        <v>2864550</v>
      </c>
      <c r="M482">
        <v>4407000</v>
      </c>
      <c r="N482" t="s">
        <v>5864</v>
      </c>
      <c r="O482" s="1">
        <v>45640</v>
      </c>
      <c r="P482" t="s">
        <v>5865</v>
      </c>
      <c r="Q482" t="s">
        <v>5866</v>
      </c>
      <c r="R482" t="s">
        <v>47</v>
      </c>
      <c r="S482" t="s">
        <v>48</v>
      </c>
      <c r="T482" t="s">
        <v>5867</v>
      </c>
      <c r="U482" t="s">
        <v>50</v>
      </c>
      <c r="V482" s="1">
        <v>44551</v>
      </c>
      <c r="W482" t="s">
        <v>4473</v>
      </c>
      <c r="X482" t="s">
        <v>5267</v>
      </c>
      <c r="Y482" t="s">
        <v>5868</v>
      </c>
      <c r="Z482">
        <v>4</v>
      </c>
      <c r="AA482" t="s">
        <v>55</v>
      </c>
      <c r="AB482" t="s">
        <v>5869</v>
      </c>
      <c r="AC482" t="s">
        <v>5433</v>
      </c>
      <c r="AD482" t="s">
        <v>58</v>
      </c>
      <c r="AE482">
        <v>3525600</v>
      </c>
      <c r="AF482">
        <v>70512</v>
      </c>
      <c r="AJ482" t="str">
        <f>_xlfn.XLOOKUP(Table9[[#This Row],[Engine No.]],'[1]Dubai Islamic Consumer'!$Q$3:$Q$1176,'[1]Dubai Islamic Consumer'!$B$3:$B$1176,,,)</f>
        <v>KHI/HO/D/MO/PC COMP/C/103702/319/12/2024</v>
      </c>
    </row>
    <row r="483" spans="1:36" hidden="1" x14ac:dyDescent="0.25">
      <c r="A483">
        <v>482</v>
      </c>
      <c r="B483" t="s">
        <v>35</v>
      </c>
      <c r="C483" t="s">
        <v>5870</v>
      </c>
      <c r="D483" t="s">
        <v>37</v>
      </c>
      <c r="E483" t="s">
        <v>5871</v>
      </c>
      <c r="F483" t="s">
        <v>138</v>
      </c>
      <c r="G483" t="s">
        <v>5872</v>
      </c>
      <c r="H483" t="s">
        <v>48</v>
      </c>
      <c r="I483" t="s">
        <v>5873</v>
      </c>
      <c r="J483" t="s">
        <v>48</v>
      </c>
      <c r="K483" t="s">
        <v>5874</v>
      </c>
      <c r="L483">
        <v>1922900</v>
      </c>
      <c r="M483">
        <v>2747000</v>
      </c>
      <c r="N483" t="s">
        <v>5875</v>
      </c>
      <c r="O483" s="1">
        <v>45640</v>
      </c>
      <c r="P483" t="s">
        <v>5876</v>
      </c>
      <c r="Q483" t="s">
        <v>5877</v>
      </c>
      <c r="R483" t="s">
        <v>47</v>
      </c>
      <c r="S483" t="s">
        <v>48</v>
      </c>
      <c r="T483" t="s">
        <v>5878</v>
      </c>
      <c r="U483" t="s">
        <v>50</v>
      </c>
      <c r="V483" s="1">
        <v>44530</v>
      </c>
      <c r="W483" t="s">
        <v>4473</v>
      </c>
      <c r="X483" t="s">
        <v>4588</v>
      </c>
      <c r="Y483" t="s">
        <v>5879</v>
      </c>
      <c r="Z483">
        <v>5</v>
      </c>
      <c r="AA483" t="s">
        <v>118</v>
      </c>
      <c r="AB483" t="s">
        <v>5880</v>
      </c>
      <c r="AC483" t="s">
        <v>5881</v>
      </c>
      <c r="AD483" t="s">
        <v>58</v>
      </c>
      <c r="AE483">
        <v>2197600</v>
      </c>
      <c r="AF483">
        <v>43952</v>
      </c>
      <c r="AJ483" t="str">
        <f>_xlfn.XLOOKUP(Table9[[#This Row],[Engine No.]],'[1]Dubai Islamic Consumer'!$Q$3:$Q$1176,'[1]Dubai Islamic Consumer'!$B$3:$B$1176,,,)</f>
        <v>KHI/HO/D/MO/PC COMP/C/103702/317/12/2024</v>
      </c>
    </row>
    <row r="484" spans="1:36" hidden="1" x14ac:dyDescent="0.25">
      <c r="A484">
        <v>483</v>
      </c>
      <c r="B484" t="s">
        <v>35</v>
      </c>
      <c r="C484" t="s">
        <v>5882</v>
      </c>
      <c r="D484" t="s">
        <v>37</v>
      </c>
      <c r="E484" t="s">
        <v>5883</v>
      </c>
      <c r="F484" t="s">
        <v>107</v>
      </c>
      <c r="G484" t="s">
        <v>5884</v>
      </c>
      <c r="H484" t="s">
        <v>5885</v>
      </c>
      <c r="I484" t="s">
        <v>5885</v>
      </c>
      <c r="J484" t="s">
        <v>5885</v>
      </c>
      <c r="K484" t="s">
        <v>5886</v>
      </c>
      <c r="L484">
        <v>1795800</v>
      </c>
      <c r="M484">
        <v>2993000</v>
      </c>
      <c r="N484" t="s">
        <v>5887</v>
      </c>
      <c r="O484" s="1">
        <v>45640</v>
      </c>
      <c r="P484" t="s">
        <v>5888</v>
      </c>
      <c r="Q484" t="s">
        <v>5889</v>
      </c>
      <c r="R484" t="s">
        <v>47</v>
      </c>
      <c r="S484" t="s">
        <v>48</v>
      </c>
      <c r="T484" t="s">
        <v>5890</v>
      </c>
      <c r="U484" t="s">
        <v>98</v>
      </c>
      <c r="V484" s="1">
        <v>44042</v>
      </c>
      <c r="W484" t="s">
        <v>4001</v>
      </c>
      <c r="X484" t="s">
        <v>3977</v>
      </c>
      <c r="Y484" t="s">
        <v>5891</v>
      </c>
      <c r="Z484">
        <v>5</v>
      </c>
      <c r="AA484" t="s">
        <v>227</v>
      </c>
      <c r="AB484" t="s">
        <v>5892</v>
      </c>
      <c r="AC484" t="s">
        <v>5893</v>
      </c>
      <c r="AD484" t="s">
        <v>58</v>
      </c>
      <c r="AE484">
        <v>2244750</v>
      </c>
      <c r="AF484">
        <v>44895</v>
      </c>
      <c r="AJ484" t="str">
        <f>_xlfn.XLOOKUP(Table9[[#This Row],[Engine No.]],'[1]Dubai Islamic Consumer'!$Q$3:$Q$1176,'[1]Dubai Islamic Consumer'!$B$3:$B$1176,,,)</f>
        <v>KHI/HO/D/MO/PC COMP/C/103702/315/12/2024</v>
      </c>
    </row>
    <row r="485" spans="1:36" hidden="1" x14ac:dyDescent="0.25">
      <c r="A485">
        <v>484</v>
      </c>
      <c r="B485" t="s">
        <v>35</v>
      </c>
      <c r="C485" t="s">
        <v>5894</v>
      </c>
      <c r="D485" t="s">
        <v>37</v>
      </c>
      <c r="E485" t="s">
        <v>5895</v>
      </c>
      <c r="F485" t="s">
        <v>138</v>
      </c>
      <c r="G485" t="s">
        <v>5896</v>
      </c>
      <c r="H485" t="s">
        <v>48</v>
      </c>
      <c r="I485" t="s">
        <v>48</v>
      </c>
      <c r="J485" t="s">
        <v>48</v>
      </c>
      <c r="K485" t="s">
        <v>5897</v>
      </c>
      <c r="L485">
        <v>1320000</v>
      </c>
      <c r="M485">
        <v>2400000</v>
      </c>
      <c r="N485" t="s">
        <v>5898</v>
      </c>
      <c r="O485" s="1">
        <v>45640</v>
      </c>
      <c r="P485" t="s">
        <v>5899</v>
      </c>
      <c r="Q485" t="s">
        <v>5900</v>
      </c>
      <c r="R485" t="s">
        <v>146</v>
      </c>
      <c r="S485" t="s">
        <v>5901</v>
      </c>
      <c r="T485" t="s">
        <v>495</v>
      </c>
      <c r="U485" t="s">
        <v>496</v>
      </c>
      <c r="V485" s="1">
        <v>44546</v>
      </c>
      <c r="W485" t="s">
        <v>4473</v>
      </c>
      <c r="X485" t="s">
        <v>4588</v>
      </c>
      <c r="Y485" t="s">
        <v>5902</v>
      </c>
      <c r="Z485">
        <v>5</v>
      </c>
      <c r="AA485" t="s">
        <v>55</v>
      </c>
      <c r="AB485" t="s">
        <v>5903</v>
      </c>
      <c r="AC485" t="s">
        <v>5575</v>
      </c>
      <c r="AD485" t="s">
        <v>299</v>
      </c>
      <c r="AE485">
        <v>1920000</v>
      </c>
      <c r="AF485">
        <v>28800</v>
      </c>
      <c r="AJ485" t="str">
        <f>_xlfn.XLOOKUP(Table9[[#This Row],[Engine No.]],'[1]Dubai Islamic Consumer'!$Q$3:$Q$1176,'[1]Dubai Islamic Consumer'!$B$3:$B$1176,,,)</f>
        <v>KHI/HO/D/MO/PC COMP/C/103702/310/12/2024</v>
      </c>
    </row>
    <row r="486" spans="1:36" hidden="1" x14ac:dyDescent="0.25">
      <c r="A486">
        <v>485</v>
      </c>
      <c r="B486" t="s">
        <v>35</v>
      </c>
      <c r="C486" t="s">
        <v>5904</v>
      </c>
      <c r="D486" t="s">
        <v>37</v>
      </c>
      <c r="E486" t="s">
        <v>5905</v>
      </c>
      <c r="F486" t="s">
        <v>107</v>
      </c>
      <c r="G486" t="s">
        <v>5906</v>
      </c>
      <c r="H486" t="s">
        <v>5907</v>
      </c>
      <c r="I486" t="s">
        <v>5907</v>
      </c>
      <c r="J486" t="s">
        <v>5907</v>
      </c>
      <c r="K486" t="s">
        <v>5908</v>
      </c>
      <c r="L486">
        <v>1241250</v>
      </c>
      <c r="M486">
        <v>1655000</v>
      </c>
      <c r="N486" t="s">
        <v>5909</v>
      </c>
      <c r="O486" s="1">
        <v>45640</v>
      </c>
      <c r="P486" t="s">
        <v>5910</v>
      </c>
      <c r="Q486" t="s">
        <v>5911</v>
      </c>
      <c r="R486" t="s">
        <v>47</v>
      </c>
      <c r="S486" t="s">
        <v>48</v>
      </c>
      <c r="T486" t="s">
        <v>181</v>
      </c>
      <c r="U486" t="s">
        <v>50</v>
      </c>
      <c r="V486" s="1">
        <v>44441</v>
      </c>
      <c r="W486" t="s">
        <v>4015</v>
      </c>
      <c r="X486" t="s">
        <v>3977</v>
      </c>
      <c r="Y486" t="s">
        <v>5912</v>
      </c>
      <c r="Z486">
        <v>4</v>
      </c>
      <c r="AA486" t="s">
        <v>55</v>
      </c>
      <c r="AB486" t="s">
        <v>5913</v>
      </c>
      <c r="AC486" t="s">
        <v>5914</v>
      </c>
      <c r="AD486" t="s">
        <v>58</v>
      </c>
      <c r="AE486">
        <v>1324000</v>
      </c>
      <c r="AF486">
        <v>26480</v>
      </c>
      <c r="AJ486" t="str">
        <f>_xlfn.XLOOKUP(Table9[[#This Row],[Engine No.]],'[1]Dubai Islamic Consumer'!$Q$3:$Q$1176,'[1]Dubai Islamic Consumer'!$B$3:$B$1176,,,)</f>
        <v>KHI/HO/D/MO/PC COMP/C/103702/306/12/2024</v>
      </c>
    </row>
    <row r="487" spans="1:36" hidden="1" x14ac:dyDescent="0.25">
      <c r="A487">
        <v>486</v>
      </c>
      <c r="B487" t="s">
        <v>35</v>
      </c>
      <c r="C487" t="s">
        <v>5915</v>
      </c>
      <c r="D487" t="s">
        <v>37</v>
      </c>
      <c r="E487" t="s">
        <v>5916</v>
      </c>
      <c r="F487" t="s">
        <v>39</v>
      </c>
      <c r="G487" t="s">
        <v>5917</v>
      </c>
      <c r="H487" t="s">
        <v>5918</v>
      </c>
      <c r="I487" t="s">
        <v>5919</v>
      </c>
      <c r="J487" t="s">
        <v>5920</v>
      </c>
      <c r="K487" t="s">
        <v>5921</v>
      </c>
      <c r="L487">
        <v>1076250</v>
      </c>
      <c r="M487">
        <v>1435000</v>
      </c>
      <c r="N487" t="s">
        <v>5922</v>
      </c>
      <c r="O487" s="1">
        <v>45640</v>
      </c>
      <c r="P487" t="s">
        <v>5923</v>
      </c>
      <c r="Q487" t="s">
        <v>5924</v>
      </c>
      <c r="R487" t="s">
        <v>146</v>
      </c>
      <c r="S487" t="s">
        <v>5925</v>
      </c>
      <c r="T487" t="s">
        <v>321</v>
      </c>
      <c r="U487" t="s">
        <v>651</v>
      </c>
      <c r="V487" s="1">
        <v>44550</v>
      </c>
      <c r="W487" t="s">
        <v>4473</v>
      </c>
      <c r="X487" t="s">
        <v>4588</v>
      </c>
      <c r="Y487" t="s">
        <v>5926</v>
      </c>
      <c r="Z487">
        <v>5</v>
      </c>
      <c r="AA487" t="s">
        <v>118</v>
      </c>
      <c r="AB487" t="s">
        <v>5927</v>
      </c>
      <c r="AC487" t="s">
        <v>5914</v>
      </c>
      <c r="AD487" t="s">
        <v>299</v>
      </c>
      <c r="AE487">
        <v>1148000</v>
      </c>
      <c r="AF487">
        <v>17220</v>
      </c>
      <c r="AJ487" t="str">
        <f>_xlfn.XLOOKUP(Table9[[#This Row],[Engine No.]],'[1]Dubai Islamic Consumer'!$Q$3:$Q$1176,'[1]Dubai Islamic Consumer'!$B$3:$B$1176,,,)</f>
        <v>KHI/HO/D/MO/PC COMP/C/103702/303/12/2024</v>
      </c>
    </row>
    <row r="488" spans="1:36" hidden="1" x14ac:dyDescent="0.25">
      <c r="A488">
        <v>487</v>
      </c>
      <c r="B488" t="s">
        <v>35</v>
      </c>
      <c r="C488" t="s">
        <v>5928</v>
      </c>
      <c r="D488" t="s">
        <v>37</v>
      </c>
      <c r="E488" t="s">
        <v>5929</v>
      </c>
      <c r="F488" t="s">
        <v>89</v>
      </c>
      <c r="G488" t="s">
        <v>5930</v>
      </c>
      <c r="H488" t="s">
        <v>5931</v>
      </c>
      <c r="I488" t="s">
        <v>48</v>
      </c>
      <c r="J488" t="s">
        <v>5932</v>
      </c>
      <c r="K488" t="s">
        <v>5933</v>
      </c>
      <c r="L488">
        <v>1146400</v>
      </c>
      <c r="M488">
        <v>1433000</v>
      </c>
      <c r="N488" t="s">
        <v>5934</v>
      </c>
      <c r="O488" s="1">
        <v>45640</v>
      </c>
      <c r="P488" t="s">
        <v>5935</v>
      </c>
      <c r="Q488" t="s">
        <v>5936</v>
      </c>
      <c r="R488" t="s">
        <v>47</v>
      </c>
      <c r="S488" t="s">
        <v>48</v>
      </c>
      <c r="T488" t="s">
        <v>210</v>
      </c>
      <c r="U488" t="s">
        <v>98</v>
      </c>
      <c r="V488" s="1">
        <v>44182</v>
      </c>
      <c r="W488" t="s">
        <v>5266</v>
      </c>
      <c r="X488" t="s">
        <v>5267</v>
      </c>
      <c r="Y488" t="s">
        <v>5937</v>
      </c>
      <c r="Z488">
        <v>5</v>
      </c>
      <c r="AA488" t="s">
        <v>227</v>
      </c>
      <c r="AB488" t="s">
        <v>5938</v>
      </c>
      <c r="AC488" t="s">
        <v>5939</v>
      </c>
      <c r="AD488" t="s">
        <v>58</v>
      </c>
      <c r="AE488">
        <v>1074750</v>
      </c>
      <c r="AF488">
        <v>21495</v>
      </c>
      <c r="AJ488" t="str">
        <f>_xlfn.XLOOKUP(Table9[[#This Row],[Engine No.]],'[1]Dubai Islamic Consumer'!$Q$3:$Q$1176,'[1]Dubai Islamic Consumer'!$B$3:$B$1176,,,)</f>
        <v>KHI/HO/D/MO/PC COMP/C/103702/302/12/2024</v>
      </c>
    </row>
    <row r="489" spans="1:36" hidden="1" x14ac:dyDescent="0.25">
      <c r="A489">
        <v>488</v>
      </c>
      <c r="B489" t="s">
        <v>35</v>
      </c>
      <c r="C489" t="s">
        <v>5940</v>
      </c>
      <c r="D489" t="s">
        <v>37</v>
      </c>
      <c r="E489" t="s">
        <v>5941</v>
      </c>
      <c r="F489" t="s">
        <v>138</v>
      </c>
      <c r="G489" t="s">
        <v>5942</v>
      </c>
      <c r="H489" t="s">
        <v>5943</v>
      </c>
      <c r="I489" t="s">
        <v>5943</v>
      </c>
      <c r="J489" t="s">
        <v>141</v>
      </c>
      <c r="K489" t="s">
        <v>5944</v>
      </c>
      <c r="L489">
        <v>1012460</v>
      </c>
      <c r="M489">
        <v>1633000</v>
      </c>
      <c r="N489" t="s">
        <v>5945</v>
      </c>
      <c r="O489" s="1">
        <v>45640</v>
      </c>
      <c r="P489" t="s">
        <v>5946</v>
      </c>
      <c r="Q489" t="s">
        <v>5947</v>
      </c>
      <c r="R489" t="s">
        <v>47</v>
      </c>
      <c r="S489" t="s">
        <v>48</v>
      </c>
      <c r="T489" t="s">
        <v>783</v>
      </c>
      <c r="U489" t="s">
        <v>98</v>
      </c>
      <c r="V489" s="1">
        <v>44180</v>
      </c>
      <c r="W489" t="s">
        <v>5266</v>
      </c>
      <c r="X489" t="s">
        <v>5561</v>
      </c>
      <c r="Y489" t="s">
        <v>5948</v>
      </c>
      <c r="Z489">
        <v>7</v>
      </c>
      <c r="AA489" t="s">
        <v>227</v>
      </c>
      <c r="AB489" t="s">
        <v>5949</v>
      </c>
      <c r="AC489" t="s">
        <v>5939</v>
      </c>
      <c r="AD489" t="s">
        <v>58</v>
      </c>
      <c r="AE489">
        <v>1224750</v>
      </c>
      <c r="AF489">
        <v>24495</v>
      </c>
      <c r="AJ489" t="str">
        <f>_xlfn.XLOOKUP(Table9[[#This Row],[Engine No.]],'[1]Dubai Islamic Consumer'!$Q$3:$Q$1176,'[1]Dubai Islamic Consumer'!$B$3:$B$1176,,,)</f>
        <v>KHI/HO/D/MO/PC COMP/C/103702/301/12/2024</v>
      </c>
    </row>
    <row r="490" spans="1:36" hidden="1" x14ac:dyDescent="0.25">
      <c r="A490">
        <v>489</v>
      </c>
      <c r="B490" t="s">
        <v>35</v>
      </c>
      <c r="C490" t="s">
        <v>5950</v>
      </c>
      <c r="D490" t="s">
        <v>37</v>
      </c>
      <c r="E490" t="s">
        <v>5951</v>
      </c>
      <c r="F490" t="s">
        <v>138</v>
      </c>
      <c r="G490" t="s">
        <v>5952</v>
      </c>
      <c r="H490" t="s">
        <v>48</v>
      </c>
      <c r="I490" t="s">
        <v>5953</v>
      </c>
      <c r="J490" t="s">
        <v>48</v>
      </c>
      <c r="K490" t="s">
        <v>5954</v>
      </c>
      <c r="L490">
        <v>1995000</v>
      </c>
      <c r="M490">
        <v>2850000</v>
      </c>
      <c r="N490" t="s">
        <v>5955</v>
      </c>
      <c r="O490" t="s">
        <v>5956</v>
      </c>
      <c r="P490" t="s">
        <v>5957</v>
      </c>
      <c r="Q490" t="s">
        <v>5958</v>
      </c>
      <c r="R490" t="s">
        <v>146</v>
      </c>
      <c r="S490" t="s">
        <v>5959</v>
      </c>
      <c r="T490" t="s">
        <v>613</v>
      </c>
      <c r="U490" t="s">
        <v>148</v>
      </c>
      <c r="V490" s="1">
        <v>45279</v>
      </c>
      <c r="W490" t="s">
        <v>4587</v>
      </c>
      <c r="X490" t="s">
        <v>4724</v>
      </c>
      <c r="Y490" t="s">
        <v>5960</v>
      </c>
      <c r="Z490">
        <v>5</v>
      </c>
      <c r="AA490" t="s">
        <v>55</v>
      </c>
      <c r="AB490" t="s">
        <v>5961</v>
      </c>
      <c r="AC490" t="s">
        <v>5803</v>
      </c>
      <c r="AD490" t="s">
        <v>86</v>
      </c>
      <c r="AE490">
        <v>2565000</v>
      </c>
      <c r="AF490">
        <v>44888</v>
      </c>
      <c r="AJ490" t="str">
        <f>_xlfn.XLOOKUP(Table9[[#This Row],[Engine No.]],'[1]Dubai Islamic Consumer'!$Q$3:$Q$1176,'[1]Dubai Islamic Consumer'!$B$3:$B$1176,,,)</f>
        <v>KHI/HO/D/MO/PC COMP/C/103702/293/12/2024</v>
      </c>
    </row>
    <row r="491" spans="1:36" hidden="1" x14ac:dyDescent="0.25">
      <c r="A491">
        <v>490</v>
      </c>
      <c r="B491" t="s">
        <v>35</v>
      </c>
      <c r="C491" t="s">
        <v>5962</v>
      </c>
      <c r="D491" t="s">
        <v>37</v>
      </c>
      <c r="E491" t="s">
        <v>5963</v>
      </c>
      <c r="F491" t="s">
        <v>138</v>
      </c>
      <c r="G491" t="s">
        <v>5964</v>
      </c>
      <c r="H491" t="s">
        <v>48</v>
      </c>
      <c r="I491" t="s">
        <v>5965</v>
      </c>
      <c r="J491" t="s">
        <v>48</v>
      </c>
      <c r="K491" t="s">
        <v>5966</v>
      </c>
      <c r="L491">
        <v>1907750</v>
      </c>
      <c r="M491">
        <v>2935000</v>
      </c>
      <c r="N491" t="s">
        <v>5967</v>
      </c>
      <c r="O491" t="s">
        <v>5956</v>
      </c>
      <c r="P491" t="s">
        <v>5968</v>
      </c>
      <c r="Q491" t="s">
        <v>5969</v>
      </c>
      <c r="R491" t="s">
        <v>47</v>
      </c>
      <c r="S491" t="s">
        <v>48</v>
      </c>
      <c r="T491" t="s">
        <v>613</v>
      </c>
      <c r="U491" t="s">
        <v>386</v>
      </c>
      <c r="V491" s="1">
        <v>45275</v>
      </c>
      <c r="W491" t="s">
        <v>4587</v>
      </c>
      <c r="X491" t="s">
        <v>4588</v>
      </c>
      <c r="Y491" t="s">
        <v>5970</v>
      </c>
      <c r="Z491">
        <v>3</v>
      </c>
      <c r="AA491" t="s">
        <v>55</v>
      </c>
      <c r="AB491" t="s">
        <v>5971</v>
      </c>
      <c r="AC491" t="s">
        <v>5803</v>
      </c>
      <c r="AD491" t="s">
        <v>86</v>
      </c>
      <c r="AE491">
        <v>2641500</v>
      </c>
      <c r="AF491">
        <v>46226</v>
      </c>
      <c r="AJ491" t="str">
        <f>_xlfn.XLOOKUP(Table9[[#This Row],[Engine No.]],'[1]Dubai Islamic Consumer'!$Q$3:$Q$1176,'[1]Dubai Islamic Consumer'!$B$3:$B$1176,,,)</f>
        <v>KHI/HO/D/MO/PC COMP/C/103702/292/12/2024</v>
      </c>
    </row>
    <row r="492" spans="1:36" hidden="1" x14ac:dyDescent="0.25">
      <c r="A492">
        <v>491</v>
      </c>
      <c r="B492" t="s">
        <v>35</v>
      </c>
      <c r="C492" t="s">
        <v>5972</v>
      </c>
      <c r="D492" t="s">
        <v>37</v>
      </c>
      <c r="E492" t="s">
        <v>5973</v>
      </c>
      <c r="F492" t="s">
        <v>138</v>
      </c>
      <c r="G492" t="s">
        <v>5974</v>
      </c>
      <c r="H492" t="s">
        <v>5975</v>
      </c>
      <c r="I492" t="s">
        <v>5975</v>
      </c>
      <c r="J492" t="s">
        <v>5975</v>
      </c>
      <c r="K492" t="s">
        <v>5976</v>
      </c>
      <c r="L492">
        <v>1527500</v>
      </c>
      <c r="M492">
        <v>3250000</v>
      </c>
      <c r="N492" t="s">
        <v>5977</v>
      </c>
      <c r="O492" s="1">
        <v>45639</v>
      </c>
      <c r="P492" t="s">
        <v>5978</v>
      </c>
      <c r="Q492" t="s">
        <v>5979</v>
      </c>
      <c r="R492" t="s">
        <v>146</v>
      </c>
      <c r="S492" t="s">
        <v>5980</v>
      </c>
      <c r="T492" t="s">
        <v>601</v>
      </c>
      <c r="U492" t="s">
        <v>651</v>
      </c>
      <c r="V492" s="1">
        <v>44910</v>
      </c>
      <c r="W492" t="s">
        <v>5621</v>
      </c>
      <c r="X492" t="s">
        <v>5267</v>
      </c>
      <c r="Y492" t="s">
        <v>5981</v>
      </c>
      <c r="Z492">
        <v>3</v>
      </c>
      <c r="AA492" t="s">
        <v>152</v>
      </c>
      <c r="AB492" t="s">
        <v>5982</v>
      </c>
      <c r="AC492" t="s">
        <v>5983</v>
      </c>
      <c r="AD492" t="s">
        <v>86</v>
      </c>
      <c r="AE492">
        <v>2762500</v>
      </c>
      <c r="AF492">
        <v>48344</v>
      </c>
      <c r="AJ492" t="str">
        <f>_xlfn.XLOOKUP(Table9[[#This Row],[Engine No.]],'[1]Dubai Islamic Consumer'!$Q$3:$Q$1176,'[1]Dubai Islamic Consumer'!$B$3:$B$1176,,,)</f>
        <v>KHI/HO/D/MO/PC COMP/C/103702/284/12/2024</v>
      </c>
    </row>
    <row r="493" spans="1:36" hidden="1" x14ac:dyDescent="0.25">
      <c r="A493">
        <v>492</v>
      </c>
      <c r="B493" t="s">
        <v>35</v>
      </c>
      <c r="C493" t="s">
        <v>5984</v>
      </c>
      <c r="D493" t="s">
        <v>37</v>
      </c>
      <c r="E493" t="s">
        <v>5985</v>
      </c>
      <c r="F493" t="s">
        <v>107</v>
      </c>
      <c r="G493" t="s">
        <v>5986</v>
      </c>
      <c r="H493" t="s">
        <v>48</v>
      </c>
      <c r="I493" t="s">
        <v>5987</v>
      </c>
      <c r="J493" t="s">
        <v>48</v>
      </c>
      <c r="K493" t="s">
        <v>5988</v>
      </c>
      <c r="L493">
        <v>3410200</v>
      </c>
      <c r="M493">
        <v>4012000</v>
      </c>
      <c r="N493" t="s">
        <v>5989</v>
      </c>
      <c r="O493" s="1">
        <v>45639</v>
      </c>
      <c r="P493" t="s">
        <v>5990</v>
      </c>
      <c r="Q493" t="s">
        <v>5991</v>
      </c>
      <c r="R493" t="s">
        <v>858</v>
      </c>
      <c r="S493" t="s">
        <v>48</v>
      </c>
      <c r="T493" t="s">
        <v>5992</v>
      </c>
      <c r="U493" t="s">
        <v>50</v>
      </c>
      <c r="V493" s="1">
        <v>44550</v>
      </c>
      <c r="W493" t="s">
        <v>4473</v>
      </c>
      <c r="X493" t="s">
        <v>4588</v>
      </c>
      <c r="Y493" t="s">
        <v>5993</v>
      </c>
      <c r="Z493">
        <v>5</v>
      </c>
      <c r="AA493" t="s">
        <v>55</v>
      </c>
      <c r="AB493" t="s">
        <v>5994</v>
      </c>
      <c r="AC493" t="s">
        <v>5995</v>
      </c>
      <c r="AD493" t="s">
        <v>943</v>
      </c>
      <c r="AE493">
        <v>3209600</v>
      </c>
      <c r="AF493">
        <v>44934</v>
      </c>
      <c r="AJ493" t="str">
        <f>_xlfn.XLOOKUP(Table9[[#This Row],[Engine No.]],'[1]Dubai Islamic Consumer'!$Q$3:$Q$1176,'[1]Dubai Islamic Consumer'!$B$3:$B$1176,,,)</f>
        <v>KHI/HO/D/MO/PC COMP/C/103702/282/12/2024</v>
      </c>
    </row>
    <row r="494" spans="1:36" hidden="1" x14ac:dyDescent="0.25">
      <c r="A494">
        <v>493</v>
      </c>
      <c r="B494" t="s">
        <v>35</v>
      </c>
      <c r="C494" t="s">
        <v>5996</v>
      </c>
      <c r="D494" t="s">
        <v>37</v>
      </c>
      <c r="E494" t="s">
        <v>5997</v>
      </c>
      <c r="F494" t="s">
        <v>245</v>
      </c>
      <c r="G494" t="s">
        <v>5998</v>
      </c>
      <c r="H494" t="s">
        <v>5999</v>
      </c>
      <c r="I494" t="s">
        <v>48</v>
      </c>
      <c r="J494" t="s">
        <v>141</v>
      </c>
      <c r="K494" t="s">
        <v>6000</v>
      </c>
      <c r="L494">
        <v>1725500</v>
      </c>
      <c r="M494">
        <v>2465000</v>
      </c>
      <c r="N494" t="s">
        <v>6001</v>
      </c>
      <c r="O494" s="1">
        <v>45639</v>
      </c>
      <c r="P494" t="s">
        <v>6002</v>
      </c>
      <c r="Q494" t="s">
        <v>6003</v>
      </c>
      <c r="R494" t="s">
        <v>47</v>
      </c>
      <c r="S494" t="s">
        <v>48</v>
      </c>
      <c r="T494" t="s">
        <v>873</v>
      </c>
      <c r="U494" t="s">
        <v>98</v>
      </c>
      <c r="V494" s="1">
        <v>44174</v>
      </c>
      <c r="W494" t="s">
        <v>5266</v>
      </c>
      <c r="X494" t="s">
        <v>5561</v>
      </c>
      <c r="Y494" t="s">
        <v>6004</v>
      </c>
      <c r="Z494">
        <v>7</v>
      </c>
      <c r="AA494" t="s">
        <v>55</v>
      </c>
      <c r="AB494" t="s">
        <v>6005</v>
      </c>
      <c r="AC494" t="s">
        <v>5939</v>
      </c>
      <c r="AD494" t="s">
        <v>58</v>
      </c>
      <c r="AE494">
        <v>1848750</v>
      </c>
      <c r="AF494">
        <v>36975</v>
      </c>
      <c r="AJ494" t="str">
        <f>_xlfn.XLOOKUP(Table9[[#This Row],[Engine No.]],'[1]Dubai Islamic Consumer'!$Q$3:$Q$1176,'[1]Dubai Islamic Consumer'!$B$3:$B$1176,,,)</f>
        <v>KHI/HO/D/MO/PC COMP/C/103702/275/12/2024</v>
      </c>
    </row>
    <row r="495" spans="1:36" hidden="1" x14ac:dyDescent="0.25">
      <c r="A495">
        <v>494</v>
      </c>
      <c r="B495" t="s">
        <v>35</v>
      </c>
      <c r="C495" t="s">
        <v>6006</v>
      </c>
      <c r="D495" t="s">
        <v>37</v>
      </c>
      <c r="E495" t="s">
        <v>6007</v>
      </c>
      <c r="F495" t="s">
        <v>1774</v>
      </c>
      <c r="G495" t="s">
        <v>6008</v>
      </c>
      <c r="H495" t="s">
        <v>6009</v>
      </c>
      <c r="I495" t="s">
        <v>48</v>
      </c>
      <c r="J495" t="s">
        <v>6010</v>
      </c>
      <c r="K495" t="s">
        <v>6011</v>
      </c>
      <c r="L495">
        <v>1036000</v>
      </c>
      <c r="M495">
        <v>1480000</v>
      </c>
      <c r="N495" t="s">
        <v>6012</v>
      </c>
      <c r="O495" s="1">
        <v>45625</v>
      </c>
      <c r="P495" t="s">
        <v>6013</v>
      </c>
      <c r="Q495" t="s">
        <v>6014</v>
      </c>
      <c r="R495" t="s">
        <v>146</v>
      </c>
      <c r="S495" t="s">
        <v>6015</v>
      </c>
      <c r="T495" t="s">
        <v>194</v>
      </c>
      <c r="U495" t="s">
        <v>50</v>
      </c>
      <c r="V495" t="s">
        <v>3368</v>
      </c>
      <c r="W495" t="s">
        <v>132</v>
      </c>
      <c r="X495" t="s">
        <v>533</v>
      </c>
      <c r="Y495" t="s">
        <v>6016</v>
      </c>
      <c r="Z495">
        <v>4</v>
      </c>
      <c r="AA495" t="s">
        <v>118</v>
      </c>
      <c r="AB495" t="s">
        <v>6017</v>
      </c>
      <c r="AC495" t="s">
        <v>3368</v>
      </c>
      <c r="AD495" t="s">
        <v>299</v>
      </c>
      <c r="AE495">
        <v>1184000</v>
      </c>
      <c r="AF495">
        <v>17760</v>
      </c>
      <c r="AJ495" t="str">
        <f>_xlfn.XLOOKUP(Table9[[#This Row],[Engine No.]],'[1]Dubai Islamic Consumer'!$Q$3:$Q$1176,'[1]Dubai Islamic Consumer'!$B$3:$B$1176,,,)</f>
        <v>KHI/HO/D/MO/PC COMP/C/102086/73/11/2024</v>
      </c>
    </row>
    <row r="496" spans="1:36" hidden="1" x14ac:dyDescent="0.25">
      <c r="A496">
        <v>495</v>
      </c>
      <c r="B496" t="s">
        <v>35</v>
      </c>
      <c r="C496" t="s">
        <v>6018</v>
      </c>
      <c r="D496" t="s">
        <v>37</v>
      </c>
      <c r="E496" t="s">
        <v>6019</v>
      </c>
      <c r="F496" t="s">
        <v>107</v>
      </c>
      <c r="G496" t="s">
        <v>6020</v>
      </c>
      <c r="H496" t="s">
        <v>6021</v>
      </c>
      <c r="I496" t="s">
        <v>6021</v>
      </c>
      <c r="J496" t="s">
        <v>6022</v>
      </c>
      <c r="K496" t="s">
        <v>6023</v>
      </c>
      <c r="L496">
        <v>1140000</v>
      </c>
      <c r="M496">
        <v>1425000</v>
      </c>
      <c r="N496" t="s">
        <v>6024</v>
      </c>
      <c r="O496" s="1">
        <v>45625</v>
      </c>
      <c r="P496" t="s">
        <v>6025</v>
      </c>
      <c r="Q496" t="s">
        <v>6026</v>
      </c>
      <c r="R496" t="s">
        <v>146</v>
      </c>
      <c r="S496" t="s">
        <v>6027</v>
      </c>
      <c r="T496" t="s">
        <v>194</v>
      </c>
      <c r="U496" t="s">
        <v>614</v>
      </c>
      <c r="V496" t="s">
        <v>3368</v>
      </c>
      <c r="W496" t="s">
        <v>132</v>
      </c>
      <c r="X496" t="s">
        <v>1638</v>
      </c>
      <c r="Y496" t="s">
        <v>6028</v>
      </c>
      <c r="Z496">
        <v>6</v>
      </c>
      <c r="AA496" t="s">
        <v>118</v>
      </c>
      <c r="AB496" t="s">
        <v>6029</v>
      </c>
      <c r="AC496" t="s">
        <v>3368</v>
      </c>
      <c r="AD496" t="s">
        <v>299</v>
      </c>
      <c r="AE496">
        <v>1140000</v>
      </c>
      <c r="AF496">
        <v>17100</v>
      </c>
      <c r="AJ496" t="str">
        <f>_xlfn.XLOOKUP(Table9[[#This Row],[Engine No.]],'[1]Dubai Islamic Consumer'!$Q$3:$Q$1176,'[1]Dubai Islamic Consumer'!$B$3:$B$1176,,,)</f>
        <v>KHI/HO/D/MO/PC COMP/C/102086/72/11/2024</v>
      </c>
    </row>
    <row r="497" spans="1:36" hidden="1" x14ac:dyDescent="0.25">
      <c r="A497">
        <v>496</v>
      </c>
      <c r="B497" t="s">
        <v>35</v>
      </c>
      <c r="C497" t="s">
        <v>6030</v>
      </c>
      <c r="D497" t="s">
        <v>37</v>
      </c>
      <c r="E497" t="s">
        <v>6031</v>
      </c>
      <c r="F497" t="s">
        <v>138</v>
      </c>
      <c r="G497" t="s">
        <v>6032</v>
      </c>
      <c r="H497" t="s">
        <v>6033</v>
      </c>
      <c r="I497" t="s">
        <v>6033</v>
      </c>
      <c r="J497" t="s">
        <v>6034</v>
      </c>
      <c r="K497" t="s">
        <v>6035</v>
      </c>
      <c r="L497">
        <v>920000</v>
      </c>
      <c r="M497">
        <v>1150000</v>
      </c>
      <c r="N497" t="s">
        <v>6036</v>
      </c>
      <c r="O497" s="1">
        <v>45639</v>
      </c>
      <c r="P497" t="s">
        <v>6037</v>
      </c>
      <c r="Q497" t="s">
        <v>6038</v>
      </c>
      <c r="R497" t="s">
        <v>146</v>
      </c>
      <c r="S497" t="s">
        <v>6039</v>
      </c>
      <c r="T497" t="s">
        <v>321</v>
      </c>
      <c r="U497" t="s">
        <v>651</v>
      </c>
      <c r="V497" s="1">
        <v>44547</v>
      </c>
      <c r="W497" t="s">
        <v>4473</v>
      </c>
      <c r="X497" t="s">
        <v>4588</v>
      </c>
      <c r="Y497" t="s">
        <v>6040</v>
      </c>
      <c r="Z497">
        <v>5</v>
      </c>
      <c r="AA497" t="s">
        <v>55</v>
      </c>
      <c r="AB497" t="s">
        <v>6041</v>
      </c>
      <c r="AC497" t="s">
        <v>5433</v>
      </c>
      <c r="AD497" t="s">
        <v>299</v>
      </c>
      <c r="AE497">
        <v>920000</v>
      </c>
      <c r="AF497">
        <v>13800</v>
      </c>
      <c r="AJ497" t="str">
        <f>_xlfn.XLOOKUP(Table9[[#This Row],[Engine No.]],'[1]Dubai Islamic Consumer'!$Q$3:$Q$1176,'[1]Dubai Islamic Consumer'!$B$3:$B$1176,,,)</f>
        <v>KHI/HO/D/MO/PC COMP/C/103702/271/12/2024</v>
      </c>
    </row>
    <row r="498" spans="1:36" hidden="1" x14ac:dyDescent="0.25">
      <c r="A498">
        <v>497</v>
      </c>
      <c r="B498" t="s">
        <v>35</v>
      </c>
      <c r="C498" t="s">
        <v>6042</v>
      </c>
      <c r="D498" t="s">
        <v>37</v>
      </c>
      <c r="E498" t="s">
        <v>6043</v>
      </c>
      <c r="F498" t="s">
        <v>107</v>
      </c>
      <c r="G498" t="s">
        <v>6044</v>
      </c>
      <c r="H498" t="s">
        <v>6045</v>
      </c>
      <c r="I498" t="s">
        <v>6046</v>
      </c>
      <c r="J498" t="s">
        <v>6047</v>
      </c>
      <c r="K498" t="s">
        <v>6048</v>
      </c>
      <c r="L498">
        <v>576000</v>
      </c>
      <c r="M498">
        <v>720000</v>
      </c>
      <c r="N498" t="s">
        <v>6049</v>
      </c>
      <c r="O498" s="1">
        <v>45639</v>
      </c>
      <c r="P498" t="s">
        <v>6050</v>
      </c>
      <c r="Q498" t="s">
        <v>6051</v>
      </c>
      <c r="R498" t="s">
        <v>146</v>
      </c>
      <c r="S498" t="s">
        <v>6052</v>
      </c>
      <c r="T498" t="s">
        <v>639</v>
      </c>
      <c r="U498" t="s">
        <v>651</v>
      </c>
      <c r="V498" s="1">
        <v>43451</v>
      </c>
      <c r="W498" t="s">
        <v>5587</v>
      </c>
      <c r="X498" t="s">
        <v>5267</v>
      </c>
      <c r="Y498" t="s">
        <v>6053</v>
      </c>
      <c r="Z498">
        <v>7</v>
      </c>
      <c r="AA498" t="s">
        <v>323</v>
      </c>
      <c r="AB498" t="s">
        <v>6054</v>
      </c>
      <c r="AC498" t="s">
        <v>3925</v>
      </c>
      <c r="AD498" t="s">
        <v>880</v>
      </c>
      <c r="AE498">
        <v>468000</v>
      </c>
      <c r="AF498">
        <v>14508</v>
      </c>
      <c r="AJ498" t="str">
        <f>_xlfn.XLOOKUP(Table9[[#This Row],[Engine No.]],'[1]Dubai Islamic Consumer'!$Q$3:$Q$1176,'[1]Dubai Islamic Consumer'!$B$3:$B$1176,,,)</f>
        <v>KHI/HO/D/MO/PC COMP/C/103702/265/12/2024</v>
      </c>
    </row>
    <row r="499" spans="1:36" hidden="1" x14ac:dyDescent="0.25">
      <c r="A499">
        <v>498</v>
      </c>
      <c r="B499" t="s">
        <v>35</v>
      </c>
      <c r="C499" t="s">
        <v>6055</v>
      </c>
      <c r="D499" t="s">
        <v>37</v>
      </c>
      <c r="E499" t="s">
        <v>6056</v>
      </c>
      <c r="F499" t="s">
        <v>107</v>
      </c>
      <c r="G499" t="s">
        <v>6057</v>
      </c>
      <c r="H499" t="s">
        <v>6058</v>
      </c>
      <c r="I499" t="s">
        <v>6058</v>
      </c>
      <c r="J499" t="s">
        <v>6058</v>
      </c>
      <c r="K499" t="s">
        <v>6059</v>
      </c>
      <c r="L499">
        <v>1818000</v>
      </c>
      <c r="M499">
        <v>3030000</v>
      </c>
      <c r="N499" t="s">
        <v>6060</v>
      </c>
      <c r="O499" s="1">
        <v>45625</v>
      </c>
      <c r="P499" t="s">
        <v>6061</v>
      </c>
      <c r="Q499" t="s">
        <v>6062</v>
      </c>
      <c r="R499" t="s">
        <v>146</v>
      </c>
      <c r="S499" t="s">
        <v>48</v>
      </c>
      <c r="T499" t="s">
        <v>2357</v>
      </c>
      <c r="U499" t="s">
        <v>50</v>
      </c>
      <c r="V499" t="s">
        <v>3368</v>
      </c>
      <c r="W499" t="s">
        <v>132</v>
      </c>
      <c r="X499" t="s">
        <v>133</v>
      </c>
      <c r="Y499" t="s">
        <v>6063</v>
      </c>
      <c r="Z499">
        <v>5</v>
      </c>
      <c r="AA499" t="s">
        <v>118</v>
      </c>
      <c r="AB499" t="s">
        <v>6064</v>
      </c>
      <c r="AC499" t="s">
        <v>3368</v>
      </c>
      <c r="AD499" t="s">
        <v>299</v>
      </c>
      <c r="AE499">
        <v>2424000</v>
      </c>
      <c r="AF499">
        <v>36360</v>
      </c>
      <c r="AJ499" t="str">
        <f>_xlfn.XLOOKUP(Table9[[#This Row],[Engine No.]],'[1]Dubai Islamic Consumer'!$Q$3:$Q$1176,'[1]Dubai Islamic Consumer'!$B$3:$B$1176,,,)</f>
        <v>KHI/HO/D/MO/PC COMP/C/102086/71/11/2024</v>
      </c>
    </row>
    <row r="500" spans="1:36" hidden="1" x14ac:dyDescent="0.25">
      <c r="A500">
        <v>499</v>
      </c>
      <c r="B500" t="s">
        <v>35</v>
      </c>
      <c r="C500" t="s">
        <v>6065</v>
      </c>
      <c r="D500" t="s">
        <v>37</v>
      </c>
      <c r="E500" t="s">
        <v>6066</v>
      </c>
      <c r="F500" t="s">
        <v>39</v>
      </c>
      <c r="G500" t="s">
        <v>6067</v>
      </c>
      <c r="H500" t="s">
        <v>6068</v>
      </c>
      <c r="I500" t="s">
        <v>6069</v>
      </c>
      <c r="J500" t="s">
        <v>6068</v>
      </c>
      <c r="K500" t="s">
        <v>6070</v>
      </c>
      <c r="L500">
        <v>1050000</v>
      </c>
      <c r="M500">
        <v>1400000</v>
      </c>
      <c r="N500" t="s">
        <v>6071</v>
      </c>
      <c r="O500" s="1">
        <v>45638</v>
      </c>
      <c r="P500" t="s">
        <v>6072</v>
      </c>
      <c r="Q500" t="s">
        <v>6073</v>
      </c>
      <c r="R500" t="s">
        <v>146</v>
      </c>
      <c r="S500" t="s">
        <v>6074</v>
      </c>
      <c r="T500" t="s">
        <v>6075</v>
      </c>
      <c r="U500" t="s">
        <v>496</v>
      </c>
      <c r="V500" s="1">
        <v>44545</v>
      </c>
      <c r="W500" t="s">
        <v>4473</v>
      </c>
      <c r="X500" t="s">
        <v>4588</v>
      </c>
      <c r="Y500" t="s">
        <v>6076</v>
      </c>
      <c r="Z500">
        <v>5</v>
      </c>
      <c r="AA500" t="s">
        <v>55</v>
      </c>
      <c r="AB500" t="s">
        <v>6077</v>
      </c>
      <c r="AC500" t="s">
        <v>6078</v>
      </c>
      <c r="AD500" t="s">
        <v>299</v>
      </c>
      <c r="AE500">
        <v>1120000</v>
      </c>
      <c r="AF500">
        <v>16800</v>
      </c>
      <c r="AJ500" t="str">
        <f>_xlfn.XLOOKUP(Table9[[#This Row],[Engine No.]],'[1]Dubai Islamic Consumer'!$Q$3:$Q$1176,'[1]Dubai Islamic Consumer'!$B$3:$B$1176,,,)</f>
        <v>KHI/HO/D/MO/PC COMP/C/103702/263/12/2024</v>
      </c>
    </row>
    <row r="501" spans="1:36" hidden="1" x14ac:dyDescent="0.25">
      <c r="A501">
        <v>500</v>
      </c>
      <c r="B501" t="s">
        <v>35</v>
      </c>
      <c r="C501" t="s">
        <v>6079</v>
      </c>
      <c r="D501" t="s">
        <v>37</v>
      </c>
      <c r="E501" t="s">
        <v>6080</v>
      </c>
      <c r="F501" t="s">
        <v>138</v>
      </c>
      <c r="G501" t="s">
        <v>6081</v>
      </c>
      <c r="H501" t="s">
        <v>48</v>
      </c>
      <c r="I501" t="s">
        <v>6082</v>
      </c>
      <c r="J501" t="s">
        <v>6083</v>
      </c>
      <c r="K501" t="s">
        <v>6084</v>
      </c>
      <c r="L501">
        <v>1505000</v>
      </c>
      <c r="M501">
        <v>2150000</v>
      </c>
      <c r="N501" t="s">
        <v>6085</v>
      </c>
      <c r="O501" s="1">
        <v>45625</v>
      </c>
      <c r="P501" t="s">
        <v>6086</v>
      </c>
      <c r="Q501" t="s">
        <v>6087</v>
      </c>
      <c r="R501" t="s">
        <v>146</v>
      </c>
      <c r="S501" t="s">
        <v>6088</v>
      </c>
      <c r="T501" t="s">
        <v>6089</v>
      </c>
      <c r="U501" t="s">
        <v>50</v>
      </c>
      <c r="V501" t="s">
        <v>4043</v>
      </c>
      <c r="W501" t="s">
        <v>940</v>
      </c>
      <c r="X501" t="s">
        <v>533</v>
      </c>
      <c r="Y501" t="s">
        <v>6090</v>
      </c>
      <c r="Z501">
        <v>3</v>
      </c>
      <c r="AA501" t="s">
        <v>227</v>
      </c>
      <c r="AB501" t="s">
        <v>6091</v>
      </c>
      <c r="AC501" t="s">
        <v>4043</v>
      </c>
      <c r="AD501" t="s">
        <v>86</v>
      </c>
      <c r="AE501">
        <v>1827500</v>
      </c>
      <c r="AF501">
        <v>31981</v>
      </c>
      <c r="AJ501" t="str">
        <f>_xlfn.XLOOKUP(Table9[[#This Row],[Engine No.]],'[1]Dubai Islamic Consumer'!$Q$3:$Q$1176,'[1]Dubai Islamic Consumer'!$B$3:$B$1176,,,)</f>
        <v>KHI/HO/D/MO/PC COMP/C/102086/70/11/2024</v>
      </c>
    </row>
    <row r="502" spans="1:36" hidden="1" x14ac:dyDescent="0.25">
      <c r="A502">
        <v>501</v>
      </c>
      <c r="B502" t="s">
        <v>35</v>
      </c>
      <c r="C502" t="s">
        <v>6092</v>
      </c>
      <c r="D502" t="s">
        <v>37</v>
      </c>
      <c r="E502" t="s">
        <v>6093</v>
      </c>
      <c r="F502" t="s">
        <v>39</v>
      </c>
      <c r="G502" t="s">
        <v>6094</v>
      </c>
      <c r="H502" t="s">
        <v>6095</v>
      </c>
      <c r="I502" t="s">
        <v>6096</v>
      </c>
      <c r="J502" t="s">
        <v>6097</v>
      </c>
      <c r="K502" t="s">
        <v>6098</v>
      </c>
      <c r="L502">
        <v>1464000</v>
      </c>
      <c r="M502">
        <v>1830000</v>
      </c>
      <c r="N502" t="s">
        <v>6099</v>
      </c>
      <c r="O502" s="1">
        <v>45625</v>
      </c>
      <c r="P502" t="s">
        <v>6100</v>
      </c>
      <c r="Q502" t="s">
        <v>6101</v>
      </c>
      <c r="R502" t="s">
        <v>146</v>
      </c>
      <c r="S502" t="s">
        <v>6102</v>
      </c>
      <c r="T502" t="s">
        <v>2304</v>
      </c>
      <c r="U502" t="s">
        <v>903</v>
      </c>
      <c r="V502" t="s">
        <v>3728</v>
      </c>
      <c r="W502" t="s">
        <v>3729</v>
      </c>
      <c r="X502" t="s">
        <v>133</v>
      </c>
      <c r="Y502" t="s">
        <v>6103</v>
      </c>
      <c r="Z502">
        <v>7</v>
      </c>
      <c r="AA502" t="s">
        <v>227</v>
      </c>
      <c r="AB502" t="s">
        <v>6104</v>
      </c>
      <c r="AC502" t="s">
        <v>3728</v>
      </c>
      <c r="AD502" t="s">
        <v>171</v>
      </c>
      <c r="AE502">
        <v>1281000</v>
      </c>
      <c r="AF502">
        <v>32025</v>
      </c>
      <c r="AJ502" t="str">
        <f>_xlfn.XLOOKUP(Table9[[#This Row],[Engine No.]],'[1]Dubai Islamic Consumer'!$Q$3:$Q$1176,'[1]Dubai Islamic Consumer'!$B$3:$B$1176,,,)</f>
        <v>KHI/HO/D/MO/PC COMP/C/102086/66/11/2024</v>
      </c>
    </row>
    <row r="503" spans="1:36" hidden="1" x14ac:dyDescent="0.25">
      <c r="A503">
        <v>502</v>
      </c>
      <c r="B503" t="s">
        <v>35</v>
      </c>
      <c r="C503" t="s">
        <v>6105</v>
      </c>
      <c r="D503" t="s">
        <v>37</v>
      </c>
      <c r="E503" t="s">
        <v>6106</v>
      </c>
      <c r="F503" t="s">
        <v>39</v>
      </c>
      <c r="G503" t="s">
        <v>6107</v>
      </c>
      <c r="H503" t="s">
        <v>6108</v>
      </c>
      <c r="I503" t="s">
        <v>6109</v>
      </c>
      <c r="J503" t="s">
        <v>6108</v>
      </c>
      <c r="K503" t="s">
        <v>6110</v>
      </c>
      <c r="L503">
        <v>1560000</v>
      </c>
      <c r="M503">
        <v>1950000</v>
      </c>
      <c r="N503" t="s">
        <v>6111</v>
      </c>
      <c r="O503" s="1">
        <v>45625</v>
      </c>
      <c r="P503" t="s">
        <v>6112</v>
      </c>
      <c r="Q503" t="s">
        <v>6113</v>
      </c>
      <c r="R503" t="s">
        <v>146</v>
      </c>
      <c r="S503" t="s">
        <v>6114</v>
      </c>
      <c r="T503" t="s">
        <v>1323</v>
      </c>
      <c r="U503" t="s">
        <v>614</v>
      </c>
      <c r="V503" t="s">
        <v>3368</v>
      </c>
      <c r="W503" t="s">
        <v>132</v>
      </c>
      <c r="X503" t="s">
        <v>133</v>
      </c>
      <c r="Y503" t="s">
        <v>6115</v>
      </c>
      <c r="Z503">
        <v>5</v>
      </c>
      <c r="AA503" t="s">
        <v>118</v>
      </c>
      <c r="AB503" t="s">
        <v>6116</v>
      </c>
      <c r="AC503" t="s">
        <v>3368</v>
      </c>
      <c r="AD503" t="s">
        <v>58</v>
      </c>
      <c r="AE503">
        <v>1560000</v>
      </c>
      <c r="AF503">
        <v>31200</v>
      </c>
      <c r="AJ503" t="str">
        <f>_xlfn.XLOOKUP(Table9[[#This Row],[Engine No.]],'[1]Dubai Islamic Consumer'!$Q$3:$Q$1176,'[1]Dubai Islamic Consumer'!$B$3:$B$1176,,,)</f>
        <v>KHI/HO/D/MO/PC COMP/C/102086/65/11/2024</v>
      </c>
    </row>
    <row r="504" spans="1:36" hidden="1" x14ac:dyDescent="0.25">
      <c r="A504">
        <v>503</v>
      </c>
      <c r="B504" t="s">
        <v>35</v>
      </c>
      <c r="C504" t="s">
        <v>6117</v>
      </c>
      <c r="D504" t="s">
        <v>37</v>
      </c>
      <c r="E504" t="s">
        <v>6118</v>
      </c>
      <c r="F504" t="s">
        <v>138</v>
      </c>
      <c r="G504" t="s">
        <v>6119</v>
      </c>
      <c r="H504" t="s">
        <v>6120</v>
      </c>
      <c r="I504" t="s">
        <v>6120</v>
      </c>
      <c r="J504" t="s">
        <v>141</v>
      </c>
      <c r="K504" t="s">
        <v>6121</v>
      </c>
      <c r="L504">
        <v>2054500</v>
      </c>
      <c r="M504">
        <v>2935000</v>
      </c>
      <c r="N504" t="s">
        <v>6122</v>
      </c>
      <c r="O504" t="s">
        <v>6123</v>
      </c>
      <c r="P504" t="s">
        <v>6124</v>
      </c>
      <c r="Q504" t="s">
        <v>6125</v>
      </c>
      <c r="R504" t="s">
        <v>47</v>
      </c>
      <c r="S504" t="s">
        <v>48</v>
      </c>
      <c r="T504" t="s">
        <v>613</v>
      </c>
      <c r="U504" t="s">
        <v>386</v>
      </c>
      <c r="V504" s="1">
        <v>45274</v>
      </c>
      <c r="W504" t="s">
        <v>4587</v>
      </c>
      <c r="X504" t="s">
        <v>4724</v>
      </c>
      <c r="Y504" t="s">
        <v>6126</v>
      </c>
      <c r="Z504">
        <v>5</v>
      </c>
      <c r="AA504" t="s">
        <v>55</v>
      </c>
      <c r="AB504" t="s">
        <v>6127</v>
      </c>
      <c r="AC504" t="s">
        <v>6128</v>
      </c>
      <c r="AD504" t="s">
        <v>86</v>
      </c>
      <c r="AE504">
        <v>2641500</v>
      </c>
      <c r="AF504">
        <v>46226</v>
      </c>
      <c r="AJ504" t="str">
        <f>_xlfn.XLOOKUP(Table9[[#This Row],[Engine No.]],'[1]Dubai Islamic Consumer'!$Q$3:$Q$1176,'[1]Dubai Islamic Consumer'!$B$3:$B$1176,,,)</f>
        <v>KHI/HO/D/MO/PC COMP/C/103702/260/12/2024</v>
      </c>
    </row>
    <row r="505" spans="1:36" hidden="1" x14ac:dyDescent="0.25">
      <c r="A505">
        <v>504</v>
      </c>
      <c r="B505" t="s">
        <v>35</v>
      </c>
      <c r="C505" t="s">
        <v>6129</v>
      </c>
      <c r="D505" t="s">
        <v>37</v>
      </c>
      <c r="E505" t="s">
        <v>6130</v>
      </c>
      <c r="F505" t="s">
        <v>107</v>
      </c>
      <c r="G505" t="s">
        <v>6131</v>
      </c>
      <c r="H505" t="s">
        <v>6132</v>
      </c>
      <c r="I505" t="s">
        <v>6132</v>
      </c>
      <c r="J505" t="s">
        <v>6133</v>
      </c>
      <c r="K505" t="s">
        <v>6134</v>
      </c>
      <c r="L505">
        <v>1180000</v>
      </c>
      <c r="M505">
        <v>1475000</v>
      </c>
      <c r="N505" t="s">
        <v>6135</v>
      </c>
      <c r="O505" s="1">
        <v>45638</v>
      </c>
      <c r="P505" t="s">
        <v>6136</v>
      </c>
      <c r="Q505" t="s">
        <v>6137</v>
      </c>
      <c r="R505" t="s">
        <v>47</v>
      </c>
      <c r="S505" t="s">
        <v>48</v>
      </c>
      <c r="T505" t="s">
        <v>1384</v>
      </c>
      <c r="U505" t="s">
        <v>148</v>
      </c>
      <c r="V505" s="1">
        <v>44711</v>
      </c>
      <c r="W505" t="s">
        <v>5621</v>
      </c>
      <c r="X505" t="s">
        <v>5267</v>
      </c>
      <c r="Y505" t="s">
        <v>6138</v>
      </c>
      <c r="Z505">
        <v>3</v>
      </c>
      <c r="AA505" t="s">
        <v>227</v>
      </c>
      <c r="AB505" t="s">
        <v>6139</v>
      </c>
      <c r="AC505" t="s">
        <v>6140</v>
      </c>
      <c r="AD505" t="s">
        <v>58</v>
      </c>
      <c r="AE505">
        <v>1253750</v>
      </c>
      <c r="AF505">
        <v>25075</v>
      </c>
      <c r="AJ505" t="str">
        <f>_xlfn.XLOOKUP(Table9[[#This Row],[Engine No.]],'[1]Dubai Islamic Consumer'!$Q$3:$Q$1176,'[1]Dubai Islamic Consumer'!$B$3:$B$1176,,,)</f>
        <v>KHI/HO/D/MO/PC COMP/C/103702/253/12/2024</v>
      </c>
    </row>
    <row r="506" spans="1:36" hidden="1" x14ac:dyDescent="0.25">
      <c r="A506">
        <v>505</v>
      </c>
      <c r="B506" t="s">
        <v>35</v>
      </c>
      <c r="C506" t="s">
        <v>6141</v>
      </c>
      <c r="D506" t="s">
        <v>37</v>
      </c>
      <c r="E506" t="s">
        <v>6142</v>
      </c>
      <c r="F506" t="s">
        <v>39</v>
      </c>
      <c r="G506" t="s">
        <v>6143</v>
      </c>
      <c r="H506" t="s">
        <v>6144</v>
      </c>
      <c r="I506" t="s">
        <v>6144</v>
      </c>
      <c r="J506" t="s">
        <v>6144</v>
      </c>
      <c r="K506" t="s">
        <v>6145</v>
      </c>
      <c r="L506">
        <v>2053100</v>
      </c>
      <c r="M506">
        <v>2933000</v>
      </c>
      <c r="N506" t="s">
        <v>6146</v>
      </c>
      <c r="O506" s="1">
        <v>45638</v>
      </c>
      <c r="P506" t="s">
        <v>6147</v>
      </c>
      <c r="Q506" t="s">
        <v>6148</v>
      </c>
      <c r="R506" t="s">
        <v>47</v>
      </c>
      <c r="S506" t="s">
        <v>48</v>
      </c>
      <c r="T506" t="s">
        <v>1826</v>
      </c>
      <c r="U506" t="s">
        <v>50</v>
      </c>
      <c r="V506" s="1">
        <v>44476</v>
      </c>
      <c r="W506" t="s">
        <v>4473</v>
      </c>
      <c r="X506" t="s">
        <v>5267</v>
      </c>
      <c r="Y506" t="s">
        <v>6149</v>
      </c>
      <c r="Z506">
        <v>4</v>
      </c>
      <c r="AA506" t="s">
        <v>55</v>
      </c>
      <c r="AB506" t="s">
        <v>6150</v>
      </c>
      <c r="AC506" t="s">
        <v>6078</v>
      </c>
      <c r="AD506" t="s">
        <v>58</v>
      </c>
      <c r="AE506">
        <v>2346400</v>
      </c>
      <c r="AF506">
        <v>46928</v>
      </c>
      <c r="AJ506" t="str">
        <f>_xlfn.XLOOKUP(Table9[[#This Row],[Engine No.]],'[1]Dubai Islamic Consumer'!$Q$3:$Q$1176,'[1]Dubai Islamic Consumer'!$B$3:$B$1176,,,)</f>
        <v>KHI/HO/D/MO/PC COMP/C/103702/245/12/2024</v>
      </c>
    </row>
    <row r="507" spans="1:36" hidden="1" x14ac:dyDescent="0.25">
      <c r="A507">
        <v>506</v>
      </c>
      <c r="B507" t="s">
        <v>35</v>
      </c>
      <c r="C507" t="s">
        <v>6151</v>
      </c>
      <c r="D507" t="s">
        <v>37</v>
      </c>
      <c r="E507" t="s">
        <v>6152</v>
      </c>
      <c r="F507" t="s">
        <v>4022</v>
      </c>
      <c r="G507" t="s">
        <v>6153</v>
      </c>
      <c r="H507" t="s">
        <v>6154</v>
      </c>
      <c r="I507" t="s">
        <v>6155</v>
      </c>
      <c r="J507" t="s">
        <v>6155</v>
      </c>
      <c r="K507" t="s">
        <v>6156</v>
      </c>
      <c r="L507">
        <v>1050000</v>
      </c>
      <c r="M507">
        <v>1500000</v>
      </c>
      <c r="N507" t="s">
        <v>6157</v>
      </c>
      <c r="O507" s="1">
        <v>45625</v>
      </c>
      <c r="P507" t="s">
        <v>6158</v>
      </c>
      <c r="Q507" t="s">
        <v>6159</v>
      </c>
      <c r="R507" t="s">
        <v>146</v>
      </c>
      <c r="S507" t="s">
        <v>6160</v>
      </c>
      <c r="T507" t="s">
        <v>1264</v>
      </c>
      <c r="U507" t="s">
        <v>98</v>
      </c>
      <c r="V507" t="s">
        <v>3368</v>
      </c>
      <c r="W507" t="s">
        <v>132</v>
      </c>
      <c r="X507" t="s">
        <v>133</v>
      </c>
      <c r="Y507" t="s">
        <v>6161</v>
      </c>
      <c r="Z507">
        <v>5</v>
      </c>
      <c r="AA507" t="s">
        <v>55</v>
      </c>
      <c r="AB507" t="s">
        <v>6162</v>
      </c>
      <c r="AC507" t="s">
        <v>3368</v>
      </c>
      <c r="AD507" t="s">
        <v>299</v>
      </c>
      <c r="AE507">
        <v>1200000</v>
      </c>
      <c r="AF507">
        <v>18000</v>
      </c>
      <c r="AJ507" t="str">
        <f>_xlfn.XLOOKUP(Table9[[#This Row],[Engine No.]],'[1]Dubai Islamic Consumer'!$Q$3:$Q$1176,'[1]Dubai Islamic Consumer'!$B$3:$B$1176,,,)</f>
        <v>KHI/HO/D/MO/PC COMP/C/102086/64/11/2024</v>
      </c>
    </row>
    <row r="508" spans="1:36" hidden="1" x14ac:dyDescent="0.25">
      <c r="A508">
        <v>507</v>
      </c>
      <c r="B508" t="s">
        <v>35</v>
      </c>
      <c r="C508" t="s">
        <v>6163</v>
      </c>
      <c r="D508" t="s">
        <v>37</v>
      </c>
      <c r="E508" t="s">
        <v>6164</v>
      </c>
      <c r="F508" t="s">
        <v>290</v>
      </c>
      <c r="G508" t="s">
        <v>6165</v>
      </c>
      <c r="H508" t="s">
        <v>6166</v>
      </c>
      <c r="I508" t="s">
        <v>6166</v>
      </c>
      <c r="J508" t="s">
        <v>6166</v>
      </c>
      <c r="K508" t="s">
        <v>6167</v>
      </c>
      <c r="L508">
        <v>1914500</v>
      </c>
      <c r="M508">
        <v>2735000</v>
      </c>
      <c r="N508" t="s">
        <v>6168</v>
      </c>
      <c r="O508" s="1">
        <v>45638</v>
      </c>
      <c r="P508" t="s">
        <v>6169</v>
      </c>
      <c r="Q508" t="s">
        <v>6170</v>
      </c>
      <c r="R508" t="s">
        <v>47</v>
      </c>
      <c r="S508" t="s">
        <v>48</v>
      </c>
      <c r="T508" t="s">
        <v>6171</v>
      </c>
      <c r="U508" t="s">
        <v>50</v>
      </c>
      <c r="V508" s="1">
        <v>44546</v>
      </c>
      <c r="W508" t="s">
        <v>4473</v>
      </c>
      <c r="X508" t="s">
        <v>4588</v>
      </c>
      <c r="Y508" t="s">
        <v>6172</v>
      </c>
      <c r="Z508">
        <v>5</v>
      </c>
      <c r="AA508" t="s">
        <v>55</v>
      </c>
      <c r="AB508" t="s">
        <v>6173</v>
      </c>
      <c r="AC508" t="s">
        <v>6078</v>
      </c>
      <c r="AD508" t="s">
        <v>58</v>
      </c>
      <c r="AE508">
        <v>2188000</v>
      </c>
      <c r="AF508">
        <v>43760</v>
      </c>
      <c r="AJ508" t="str">
        <f>_xlfn.XLOOKUP(Table9[[#This Row],[Engine No.]],'[1]Dubai Islamic Consumer'!$Q$3:$Q$1176,'[1]Dubai Islamic Consumer'!$B$3:$B$1176,,,)</f>
        <v>KHI/HO/D/MO/PC COMP/C/103702/244/12/2024</v>
      </c>
    </row>
    <row r="509" spans="1:36" hidden="1" x14ac:dyDescent="0.25">
      <c r="A509">
        <v>508</v>
      </c>
      <c r="B509" t="s">
        <v>35</v>
      </c>
      <c r="C509" t="s">
        <v>6174</v>
      </c>
      <c r="D509" t="s">
        <v>37</v>
      </c>
      <c r="E509" t="s">
        <v>6175</v>
      </c>
      <c r="F509" t="s">
        <v>107</v>
      </c>
      <c r="G509" t="s">
        <v>6176</v>
      </c>
      <c r="H509" t="s">
        <v>48</v>
      </c>
      <c r="I509" t="s">
        <v>6177</v>
      </c>
      <c r="J509" t="s">
        <v>6178</v>
      </c>
      <c r="K509" t="s">
        <v>6179</v>
      </c>
      <c r="L509">
        <v>1812300</v>
      </c>
      <c r="M509">
        <v>2589000</v>
      </c>
      <c r="N509" t="s">
        <v>6180</v>
      </c>
      <c r="O509" s="1">
        <v>45638</v>
      </c>
      <c r="P509" t="s">
        <v>6181</v>
      </c>
      <c r="Q509" t="s">
        <v>6182</v>
      </c>
      <c r="R509" t="s">
        <v>47</v>
      </c>
      <c r="S509" t="s">
        <v>48</v>
      </c>
      <c r="T509" t="s">
        <v>1015</v>
      </c>
      <c r="U509" t="s">
        <v>50</v>
      </c>
      <c r="V509" s="1">
        <v>44550</v>
      </c>
      <c r="W509" t="s">
        <v>4473</v>
      </c>
      <c r="X509" t="s">
        <v>4588</v>
      </c>
      <c r="Y509" t="s">
        <v>6183</v>
      </c>
      <c r="Z509">
        <v>5</v>
      </c>
      <c r="AA509" t="s">
        <v>55</v>
      </c>
      <c r="AB509" t="s">
        <v>6184</v>
      </c>
      <c r="AC509" t="s">
        <v>5995</v>
      </c>
      <c r="AD509" t="s">
        <v>58</v>
      </c>
      <c r="AE509">
        <v>2071200</v>
      </c>
      <c r="AF509">
        <v>41424</v>
      </c>
      <c r="AJ509" t="str">
        <f>_xlfn.XLOOKUP(Table9[[#This Row],[Engine No.]],'[1]Dubai Islamic Consumer'!$Q$3:$Q$1176,'[1]Dubai Islamic Consumer'!$B$3:$B$1176,,,)</f>
        <v>KHI/HO/D/MO/PC COMP/C/103702/242/12/2024</v>
      </c>
    </row>
    <row r="510" spans="1:36" hidden="1" x14ac:dyDescent="0.25">
      <c r="A510">
        <v>509</v>
      </c>
      <c r="B510" t="s">
        <v>35</v>
      </c>
      <c r="C510" t="s">
        <v>6185</v>
      </c>
      <c r="D510" t="s">
        <v>37</v>
      </c>
      <c r="E510" t="s">
        <v>6186</v>
      </c>
      <c r="F510" t="s">
        <v>107</v>
      </c>
      <c r="G510" t="s">
        <v>6187</v>
      </c>
      <c r="H510" t="s">
        <v>6188</v>
      </c>
      <c r="I510" t="s">
        <v>6188</v>
      </c>
      <c r="J510" t="s">
        <v>6188</v>
      </c>
      <c r="K510" t="s">
        <v>6189</v>
      </c>
      <c r="L510">
        <v>1525000</v>
      </c>
      <c r="M510">
        <v>2500000</v>
      </c>
      <c r="N510" t="s">
        <v>6190</v>
      </c>
      <c r="O510" s="1">
        <v>45638</v>
      </c>
      <c r="P510" t="s">
        <v>6191</v>
      </c>
      <c r="Q510" t="s">
        <v>6192</v>
      </c>
      <c r="R510" t="s">
        <v>146</v>
      </c>
      <c r="S510" t="s">
        <v>6193</v>
      </c>
      <c r="T510" t="s">
        <v>1141</v>
      </c>
      <c r="U510" t="s">
        <v>98</v>
      </c>
      <c r="V510" s="1">
        <v>44547</v>
      </c>
      <c r="W510" t="s">
        <v>4473</v>
      </c>
      <c r="X510" t="s">
        <v>4588</v>
      </c>
      <c r="Y510" t="s">
        <v>6194</v>
      </c>
      <c r="Z510">
        <v>5</v>
      </c>
      <c r="AA510" t="s">
        <v>55</v>
      </c>
      <c r="AB510" t="s">
        <v>6195</v>
      </c>
      <c r="AC510" t="s">
        <v>5995</v>
      </c>
      <c r="AD510" t="s">
        <v>299</v>
      </c>
      <c r="AE510">
        <v>2000000</v>
      </c>
      <c r="AF510">
        <v>30000</v>
      </c>
      <c r="AJ510" t="str">
        <f>_xlfn.XLOOKUP(Table9[[#This Row],[Engine No.]],'[1]Dubai Islamic Consumer'!$Q$3:$Q$1176,'[1]Dubai Islamic Consumer'!$B$3:$B$1176,,,)</f>
        <v>KHI/HO/D/MO/PC COMP/C/103702/241/12/2024</v>
      </c>
    </row>
    <row r="511" spans="1:36" hidden="1" x14ac:dyDescent="0.25">
      <c r="A511">
        <v>510</v>
      </c>
      <c r="B511" t="s">
        <v>35</v>
      </c>
      <c r="C511" t="s">
        <v>6196</v>
      </c>
      <c r="D511" t="s">
        <v>37</v>
      </c>
      <c r="E511" t="s">
        <v>6197</v>
      </c>
      <c r="F511" t="s">
        <v>4022</v>
      </c>
      <c r="G511" t="s">
        <v>6198</v>
      </c>
      <c r="H511" t="s">
        <v>6199</v>
      </c>
      <c r="I511" t="s">
        <v>6200</v>
      </c>
      <c r="J511" t="s">
        <v>6201</v>
      </c>
      <c r="K511" t="s">
        <v>6202</v>
      </c>
      <c r="L511">
        <v>976500</v>
      </c>
      <c r="M511">
        <v>1550000</v>
      </c>
      <c r="N511" t="s">
        <v>6203</v>
      </c>
      <c r="O511" s="1">
        <v>45638</v>
      </c>
      <c r="P511" t="s">
        <v>6204</v>
      </c>
      <c r="Q511" t="s">
        <v>6205</v>
      </c>
      <c r="R511" t="s">
        <v>146</v>
      </c>
      <c r="S511" t="s">
        <v>6206</v>
      </c>
      <c r="T511" t="s">
        <v>321</v>
      </c>
      <c r="U511" t="s">
        <v>496</v>
      </c>
      <c r="V511" s="1">
        <v>44546</v>
      </c>
      <c r="W511" t="s">
        <v>4473</v>
      </c>
      <c r="X511" t="s">
        <v>4588</v>
      </c>
      <c r="Y511" t="s">
        <v>6207</v>
      </c>
      <c r="Z511">
        <v>5</v>
      </c>
      <c r="AA511" t="s">
        <v>55</v>
      </c>
      <c r="AB511" t="s">
        <v>6208</v>
      </c>
      <c r="AC511" t="s">
        <v>5995</v>
      </c>
      <c r="AD511" t="s">
        <v>299</v>
      </c>
      <c r="AE511">
        <v>1240000</v>
      </c>
      <c r="AF511">
        <v>18600</v>
      </c>
      <c r="AJ511" t="str">
        <f>_xlfn.XLOOKUP(Table9[[#This Row],[Engine No.]],'[1]Dubai Islamic Consumer'!$Q$3:$Q$1176,'[1]Dubai Islamic Consumer'!$B$3:$B$1176,,,)</f>
        <v>KHI/HO/D/MO/PC COMP/C/103702/239/12/2024</v>
      </c>
    </row>
    <row r="512" spans="1:36" hidden="1" x14ac:dyDescent="0.25">
      <c r="A512">
        <v>511</v>
      </c>
      <c r="B512" t="s">
        <v>35</v>
      </c>
      <c r="C512" t="s">
        <v>6209</v>
      </c>
      <c r="D512" t="s">
        <v>37</v>
      </c>
      <c r="E512" t="s">
        <v>6043</v>
      </c>
      <c r="F512" t="s">
        <v>138</v>
      </c>
      <c r="G512" t="s">
        <v>6210</v>
      </c>
      <c r="H512" t="s">
        <v>6211</v>
      </c>
      <c r="I512" t="s">
        <v>6211</v>
      </c>
      <c r="J512" t="s">
        <v>6211</v>
      </c>
      <c r="K512" t="s">
        <v>6212</v>
      </c>
      <c r="L512">
        <v>861750</v>
      </c>
      <c r="M512">
        <v>1149000</v>
      </c>
      <c r="N512" t="s">
        <v>6213</v>
      </c>
      <c r="O512" s="1">
        <v>45638</v>
      </c>
      <c r="P512" t="s">
        <v>6214</v>
      </c>
      <c r="Q512" t="s">
        <v>6215</v>
      </c>
      <c r="R512" t="s">
        <v>47</v>
      </c>
      <c r="S512" t="s">
        <v>48</v>
      </c>
      <c r="T512" t="s">
        <v>966</v>
      </c>
      <c r="U512" t="s">
        <v>50</v>
      </c>
      <c r="V512" s="1">
        <v>44544</v>
      </c>
      <c r="W512" t="s">
        <v>4473</v>
      </c>
      <c r="X512" t="s">
        <v>5267</v>
      </c>
      <c r="Y512" t="s">
        <v>6216</v>
      </c>
      <c r="Z512">
        <v>4</v>
      </c>
      <c r="AA512" t="s">
        <v>55</v>
      </c>
      <c r="AB512" t="s">
        <v>6217</v>
      </c>
      <c r="AC512" t="s">
        <v>6078</v>
      </c>
      <c r="AD512" t="s">
        <v>58</v>
      </c>
      <c r="AE512">
        <v>919200</v>
      </c>
      <c r="AF512">
        <v>18384</v>
      </c>
      <c r="AJ512" t="str">
        <f>_xlfn.XLOOKUP(Table9[[#This Row],[Engine No.]],'[1]Dubai Islamic Consumer'!$Q$3:$Q$1176,'[1]Dubai Islamic Consumer'!$B$3:$B$1176,,,)</f>
        <v>KHI/HO/D/MO/PC COMP/C/103702/238/12/2024</v>
      </c>
    </row>
    <row r="513" spans="1:36" hidden="1" x14ac:dyDescent="0.25">
      <c r="A513">
        <v>512</v>
      </c>
      <c r="B513" t="s">
        <v>35</v>
      </c>
      <c r="C513" t="s">
        <v>6218</v>
      </c>
      <c r="D513" t="s">
        <v>37</v>
      </c>
      <c r="E513" t="s">
        <v>6219</v>
      </c>
      <c r="F513" t="s">
        <v>138</v>
      </c>
      <c r="G513" t="s">
        <v>6220</v>
      </c>
      <c r="H513" t="s">
        <v>6221</v>
      </c>
      <c r="I513" t="s">
        <v>6222</v>
      </c>
      <c r="J513" t="s">
        <v>6223</v>
      </c>
      <c r="K513" t="s">
        <v>6224</v>
      </c>
      <c r="L513">
        <v>2713750</v>
      </c>
      <c r="M513">
        <v>4175000</v>
      </c>
      <c r="N513" t="s">
        <v>6225</v>
      </c>
      <c r="O513" t="s">
        <v>6226</v>
      </c>
      <c r="P513" t="s">
        <v>6227</v>
      </c>
      <c r="Q513" t="s">
        <v>6228</v>
      </c>
      <c r="R513" t="s">
        <v>146</v>
      </c>
      <c r="S513" t="s">
        <v>6229</v>
      </c>
      <c r="T513" t="s">
        <v>6230</v>
      </c>
      <c r="U513" t="s">
        <v>496</v>
      </c>
      <c r="V513" s="1">
        <v>45273</v>
      </c>
      <c r="W513" t="s">
        <v>4587</v>
      </c>
      <c r="X513" t="s">
        <v>4588</v>
      </c>
      <c r="Y513" t="s">
        <v>6231</v>
      </c>
      <c r="Z513">
        <v>3</v>
      </c>
      <c r="AA513" t="s">
        <v>55</v>
      </c>
      <c r="AB513" t="s">
        <v>6232</v>
      </c>
      <c r="AC513" t="s">
        <v>6233</v>
      </c>
      <c r="AD513" t="s">
        <v>86</v>
      </c>
      <c r="AE513">
        <v>3757500</v>
      </c>
      <c r="AF513">
        <v>65756</v>
      </c>
      <c r="AJ513" t="e">
        <f>_xlfn.XLOOKUP(Table9[[#This Row],[Engine No.]],'[1]Dubai Islamic Consumer'!$Q$3:$Q$1176,'[1]Dubai Islamic Consumer'!$B$3:$B$1176,,,)</f>
        <v>#N/A</v>
      </c>
    </row>
    <row r="514" spans="1:36" hidden="1" x14ac:dyDescent="0.25">
      <c r="A514">
        <v>513</v>
      </c>
      <c r="B514" t="s">
        <v>35</v>
      </c>
      <c r="C514" t="s">
        <v>6234</v>
      </c>
      <c r="D514" t="s">
        <v>37</v>
      </c>
      <c r="E514" t="s">
        <v>6235</v>
      </c>
      <c r="F514" t="s">
        <v>138</v>
      </c>
      <c r="G514" t="s">
        <v>6236</v>
      </c>
      <c r="H514" t="s">
        <v>6237</v>
      </c>
      <c r="I514" t="s">
        <v>6238</v>
      </c>
      <c r="J514" t="s">
        <v>6237</v>
      </c>
      <c r="K514" t="s">
        <v>6239</v>
      </c>
      <c r="L514">
        <v>2948000</v>
      </c>
      <c r="M514">
        <v>6700000</v>
      </c>
      <c r="N514" t="s">
        <v>6240</v>
      </c>
      <c r="O514" t="s">
        <v>6241</v>
      </c>
      <c r="P514" t="s">
        <v>6242</v>
      </c>
      <c r="Q514" t="s">
        <v>6243</v>
      </c>
      <c r="R514" t="s">
        <v>146</v>
      </c>
      <c r="S514" t="s">
        <v>6244</v>
      </c>
      <c r="T514" t="s">
        <v>714</v>
      </c>
      <c r="U514" t="s">
        <v>50</v>
      </c>
      <c r="V514" s="1">
        <v>45260</v>
      </c>
      <c r="W514" t="s">
        <v>4114</v>
      </c>
      <c r="X514" t="s">
        <v>533</v>
      </c>
      <c r="Y514" t="s">
        <v>6245</v>
      </c>
      <c r="Z514">
        <v>2</v>
      </c>
      <c r="AA514" t="s">
        <v>55</v>
      </c>
      <c r="AB514" t="s">
        <v>6246</v>
      </c>
      <c r="AC514" t="s">
        <v>4131</v>
      </c>
      <c r="AD514" t="s">
        <v>86</v>
      </c>
      <c r="AE514">
        <v>6030000</v>
      </c>
      <c r="AF514">
        <v>105525</v>
      </c>
      <c r="AJ514" t="str">
        <f>_xlfn.XLOOKUP(Table9[[#This Row],[Engine No.]],'[1]Dubai Islamic Consumer'!$Q$3:$Q$1176,'[1]Dubai Islamic Consumer'!$B$3:$B$1176,,,)</f>
        <v>KHI/HO/D/MO/PC COMP/C/102086/59/11/2024</v>
      </c>
    </row>
    <row r="515" spans="1:36" hidden="1" x14ac:dyDescent="0.25">
      <c r="A515">
        <v>514</v>
      </c>
      <c r="B515" t="s">
        <v>35</v>
      </c>
      <c r="C515" t="s">
        <v>6247</v>
      </c>
      <c r="D515" t="s">
        <v>37</v>
      </c>
      <c r="E515" t="s">
        <v>6248</v>
      </c>
      <c r="F515" t="s">
        <v>138</v>
      </c>
      <c r="G515" t="s">
        <v>6249</v>
      </c>
      <c r="H515" t="s">
        <v>48</v>
      </c>
      <c r="I515" t="s">
        <v>48</v>
      </c>
      <c r="J515" t="s">
        <v>48</v>
      </c>
      <c r="K515" t="s">
        <v>6250</v>
      </c>
      <c r="L515">
        <v>1332500</v>
      </c>
      <c r="M515">
        <v>2050000</v>
      </c>
      <c r="N515" t="s">
        <v>6251</v>
      </c>
      <c r="O515" t="s">
        <v>6241</v>
      </c>
      <c r="P515" t="s">
        <v>6252</v>
      </c>
      <c r="Q515" t="s">
        <v>6253</v>
      </c>
      <c r="R515" t="s">
        <v>146</v>
      </c>
      <c r="S515" t="s">
        <v>6254</v>
      </c>
      <c r="T515" t="s">
        <v>6255</v>
      </c>
      <c r="U515" t="s">
        <v>651</v>
      </c>
      <c r="V515" s="1">
        <v>45260</v>
      </c>
      <c r="W515" t="s">
        <v>4114</v>
      </c>
      <c r="X515" t="s">
        <v>133</v>
      </c>
      <c r="Y515" t="s">
        <v>6256</v>
      </c>
      <c r="Z515">
        <v>3</v>
      </c>
      <c r="AA515" t="s">
        <v>55</v>
      </c>
      <c r="AB515" t="s">
        <v>6257</v>
      </c>
      <c r="AC515" t="s">
        <v>4131</v>
      </c>
      <c r="AD515" t="s">
        <v>86</v>
      </c>
      <c r="AE515">
        <v>1845000</v>
      </c>
      <c r="AF515">
        <v>32288</v>
      </c>
      <c r="AJ515" t="str">
        <f>_xlfn.XLOOKUP(Table9[[#This Row],[Engine No.]],'[1]Dubai Islamic Consumer'!$Q$3:$Q$1176,'[1]Dubai Islamic Consumer'!$B$3:$B$1176,,,)</f>
        <v>KHI/HO/D/MO/PC COMP/C/102086/58/11/2024</v>
      </c>
    </row>
    <row r="516" spans="1:36" hidden="1" x14ac:dyDescent="0.25">
      <c r="A516">
        <v>515</v>
      </c>
      <c r="B516" t="s">
        <v>35</v>
      </c>
      <c r="C516" t="s">
        <v>6258</v>
      </c>
      <c r="D516" t="s">
        <v>37</v>
      </c>
      <c r="E516" t="s">
        <v>6259</v>
      </c>
      <c r="F516" t="s">
        <v>138</v>
      </c>
      <c r="G516" t="s">
        <v>6260</v>
      </c>
      <c r="H516" t="s">
        <v>6261</v>
      </c>
      <c r="I516" t="s">
        <v>6262</v>
      </c>
      <c r="J516" t="s">
        <v>6261</v>
      </c>
      <c r="K516" t="s">
        <v>6263</v>
      </c>
      <c r="L516">
        <v>1960000</v>
      </c>
      <c r="M516">
        <v>2800000</v>
      </c>
      <c r="N516" t="s">
        <v>6264</v>
      </c>
      <c r="O516" t="s">
        <v>6241</v>
      </c>
      <c r="P516" t="s">
        <v>6265</v>
      </c>
      <c r="Q516" t="s">
        <v>6266</v>
      </c>
      <c r="R516" t="s">
        <v>146</v>
      </c>
      <c r="S516" t="s">
        <v>6267</v>
      </c>
      <c r="T516" t="s">
        <v>613</v>
      </c>
      <c r="U516" t="s">
        <v>148</v>
      </c>
      <c r="V516" s="1">
        <v>45260</v>
      </c>
      <c r="W516" t="s">
        <v>4114</v>
      </c>
      <c r="X516" t="s">
        <v>133</v>
      </c>
      <c r="Y516" t="s">
        <v>6268</v>
      </c>
      <c r="Z516">
        <v>3</v>
      </c>
      <c r="AA516" t="s">
        <v>55</v>
      </c>
      <c r="AB516" t="s">
        <v>6269</v>
      </c>
      <c r="AC516" t="s">
        <v>4131</v>
      </c>
      <c r="AD516" t="s">
        <v>86</v>
      </c>
      <c r="AE516">
        <v>2520000</v>
      </c>
      <c r="AF516">
        <v>44100</v>
      </c>
      <c r="AJ516" t="str">
        <f>_xlfn.XLOOKUP(Table9[[#This Row],[Engine No.]],'[1]Dubai Islamic Consumer'!$Q$3:$Q$1176,'[1]Dubai Islamic Consumer'!$B$3:$B$1176,,,)</f>
        <v>KHI/HO/D/MO/PC COMP/C/102086/56/11/2024</v>
      </c>
    </row>
    <row r="517" spans="1:36" hidden="1" x14ac:dyDescent="0.25">
      <c r="A517">
        <v>516</v>
      </c>
      <c r="B517" t="s">
        <v>35</v>
      </c>
      <c r="C517" t="s">
        <v>6270</v>
      </c>
      <c r="D517" t="s">
        <v>37</v>
      </c>
      <c r="E517" t="s">
        <v>6271</v>
      </c>
      <c r="F517" t="s">
        <v>138</v>
      </c>
      <c r="G517" t="s">
        <v>6272</v>
      </c>
      <c r="H517" t="s">
        <v>48</v>
      </c>
      <c r="I517" t="s">
        <v>6273</v>
      </c>
      <c r="J517" t="s">
        <v>48</v>
      </c>
      <c r="K517" t="s">
        <v>6274</v>
      </c>
      <c r="L517">
        <v>2054500</v>
      </c>
      <c r="M517">
        <v>2935000</v>
      </c>
      <c r="N517" t="s">
        <v>6275</v>
      </c>
      <c r="O517" t="s">
        <v>6241</v>
      </c>
      <c r="P517" t="s">
        <v>6276</v>
      </c>
      <c r="Q517" t="s">
        <v>6277</v>
      </c>
      <c r="R517" t="s">
        <v>47</v>
      </c>
      <c r="S517" t="s">
        <v>48</v>
      </c>
      <c r="T517" t="s">
        <v>6278</v>
      </c>
      <c r="U517" t="s">
        <v>386</v>
      </c>
      <c r="V517" s="1">
        <v>45260</v>
      </c>
      <c r="W517" t="s">
        <v>4114</v>
      </c>
      <c r="X517" t="s">
        <v>533</v>
      </c>
      <c r="Y517" t="s">
        <v>6279</v>
      </c>
      <c r="Z517">
        <v>2</v>
      </c>
      <c r="AA517" t="s">
        <v>55</v>
      </c>
      <c r="AB517" t="s">
        <v>6280</v>
      </c>
      <c r="AC517" t="s">
        <v>4131</v>
      </c>
      <c r="AD517" t="s">
        <v>86</v>
      </c>
      <c r="AE517">
        <v>2641500</v>
      </c>
      <c r="AF517">
        <v>46226</v>
      </c>
      <c r="AJ517" t="str">
        <f>_xlfn.XLOOKUP(Table9[[#This Row],[Engine No.]],'[1]Dubai Islamic Consumer'!$Q$3:$Q$1176,'[1]Dubai Islamic Consumer'!$B$3:$B$1176,,,)</f>
        <v>KHI/HO/D/MO/PC COMP/C/102086/46/11/2024</v>
      </c>
    </row>
    <row r="518" spans="1:36" hidden="1" x14ac:dyDescent="0.25">
      <c r="A518">
        <v>517</v>
      </c>
      <c r="B518" t="s">
        <v>35</v>
      </c>
      <c r="C518" t="s">
        <v>6281</v>
      </c>
      <c r="D518" t="s">
        <v>37</v>
      </c>
      <c r="E518" t="s">
        <v>6282</v>
      </c>
      <c r="F518" t="s">
        <v>157</v>
      </c>
      <c r="G518" t="s">
        <v>6283</v>
      </c>
      <c r="H518" t="s">
        <v>48</v>
      </c>
      <c r="I518" t="s">
        <v>6284</v>
      </c>
      <c r="J518" t="s">
        <v>48</v>
      </c>
      <c r="K518" t="s">
        <v>6285</v>
      </c>
      <c r="L518">
        <v>3797760</v>
      </c>
      <c r="M518">
        <v>5934000</v>
      </c>
      <c r="N518" t="s">
        <v>6286</v>
      </c>
      <c r="O518" t="s">
        <v>6287</v>
      </c>
      <c r="P518" t="s">
        <v>6288</v>
      </c>
      <c r="Q518" t="s">
        <v>6289</v>
      </c>
      <c r="R518" t="s">
        <v>858</v>
      </c>
      <c r="S518" t="s">
        <v>48</v>
      </c>
      <c r="T518" t="s">
        <v>6290</v>
      </c>
      <c r="U518" t="s">
        <v>386</v>
      </c>
      <c r="V518" s="1">
        <v>45260</v>
      </c>
      <c r="W518" t="s">
        <v>4587</v>
      </c>
      <c r="X518" t="s">
        <v>4724</v>
      </c>
      <c r="Y518" t="s">
        <v>6291</v>
      </c>
      <c r="Z518">
        <v>5</v>
      </c>
      <c r="AA518" t="s">
        <v>55</v>
      </c>
      <c r="AB518" t="s">
        <v>6292</v>
      </c>
      <c r="AC518" t="s">
        <v>6293</v>
      </c>
      <c r="AD518" t="s">
        <v>943</v>
      </c>
      <c r="AE518">
        <v>5340600</v>
      </c>
      <c r="AF518">
        <v>74768</v>
      </c>
      <c r="AJ518" t="str">
        <f>_xlfn.XLOOKUP(Table9[[#This Row],[Engine No.]],'[1]Dubai Islamic Consumer'!$Q$3:$Q$1176,'[1]Dubai Islamic Consumer'!$B$3:$B$1176,,,)</f>
        <v>KHI/HO/D/MO/PC COMP/C/103702/225/12/2024</v>
      </c>
    </row>
    <row r="519" spans="1:36" hidden="1" x14ac:dyDescent="0.25">
      <c r="A519">
        <v>518</v>
      </c>
      <c r="B519" t="s">
        <v>35</v>
      </c>
      <c r="C519" t="s">
        <v>6294</v>
      </c>
      <c r="D519" t="s">
        <v>37</v>
      </c>
      <c r="E519" t="s">
        <v>655</v>
      </c>
      <c r="F519" t="s">
        <v>138</v>
      </c>
      <c r="G519" t="s">
        <v>6295</v>
      </c>
      <c r="H519" t="s">
        <v>6296</v>
      </c>
      <c r="I519" t="s">
        <v>6296</v>
      </c>
      <c r="J519" t="s">
        <v>141</v>
      </c>
      <c r="K519" t="s">
        <v>6297</v>
      </c>
      <c r="L519">
        <v>1722500</v>
      </c>
      <c r="M519">
        <v>3250000</v>
      </c>
      <c r="N519" t="s">
        <v>6298</v>
      </c>
      <c r="O519" t="s">
        <v>6287</v>
      </c>
      <c r="P519" t="s">
        <v>6299</v>
      </c>
      <c r="Q519" t="s">
        <v>6300</v>
      </c>
      <c r="R519" t="s">
        <v>146</v>
      </c>
      <c r="S519" t="s">
        <v>6301</v>
      </c>
      <c r="T519" t="s">
        <v>6302</v>
      </c>
      <c r="U519" t="s">
        <v>651</v>
      </c>
      <c r="V519" s="1">
        <v>45272</v>
      </c>
      <c r="W519" t="s">
        <v>4587</v>
      </c>
      <c r="X519" t="s">
        <v>4588</v>
      </c>
      <c r="Y519" t="s">
        <v>6303</v>
      </c>
      <c r="Z519">
        <v>3</v>
      </c>
      <c r="AA519" t="s">
        <v>55</v>
      </c>
      <c r="AB519" t="s">
        <v>6304</v>
      </c>
      <c r="AC519" t="s">
        <v>6305</v>
      </c>
      <c r="AD519" t="s">
        <v>86</v>
      </c>
      <c r="AE519">
        <v>2925000</v>
      </c>
      <c r="AF519">
        <v>51188</v>
      </c>
      <c r="AJ519" t="str">
        <f>_xlfn.XLOOKUP(Table9[[#This Row],[Engine No.]],'[1]Dubai Islamic Consumer'!$Q$3:$Q$1176,'[1]Dubai Islamic Consumer'!$B$3:$B$1176,,,)</f>
        <v>KHI/HO/D/MO/PC COMP/C/103702/224/12/2024</v>
      </c>
    </row>
    <row r="520" spans="1:36" hidden="1" x14ac:dyDescent="0.25">
      <c r="A520">
        <v>519</v>
      </c>
      <c r="B520" t="s">
        <v>35</v>
      </c>
      <c r="C520" t="s">
        <v>6306</v>
      </c>
      <c r="D520" t="s">
        <v>37</v>
      </c>
      <c r="E520" t="s">
        <v>6307</v>
      </c>
      <c r="F520" t="s">
        <v>107</v>
      </c>
      <c r="G520" t="s">
        <v>6308</v>
      </c>
      <c r="H520" t="s">
        <v>6309</v>
      </c>
      <c r="I520" t="s">
        <v>6309</v>
      </c>
      <c r="J520" t="s">
        <v>6310</v>
      </c>
      <c r="K520" t="s">
        <v>6311</v>
      </c>
      <c r="L520">
        <v>2613750</v>
      </c>
      <c r="M520">
        <v>3485000</v>
      </c>
      <c r="N520" t="s">
        <v>6312</v>
      </c>
      <c r="O520" s="1">
        <v>45636</v>
      </c>
      <c r="P520" t="s">
        <v>6313</v>
      </c>
      <c r="Q520" t="s">
        <v>6314</v>
      </c>
      <c r="R520" t="s">
        <v>47</v>
      </c>
      <c r="S520" t="s">
        <v>48</v>
      </c>
      <c r="T520" t="s">
        <v>6315</v>
      </c>
      <c r="U520" t="s">
        <v>98</v>
      </c>
      <c r="V520" s="1">
        <v>44135</v>
      </c>
      <c r="W520" t="s">
        <v>5266</v>
      </c>
      <c r="X520" t="s">
        <v>5561</v>
      </c>
      <c r="Y520" t="s">
        <v>6316</v>
      </c>
      <c r="Z520">
        <v>7</v>
      </c>
      <c r="AA520" t="s">
        <v>55</v>
      </c>
      <c r="AB520" t="s">
        <v>6317</v>
      </c>
      <c r="AC520" t="s">
        <v>3830</v>
      </c>
      <c r="AD520" t="s">
        <v>58</v>
      </c>
      <c r="AE520">
        <v>2613750</v>
      </c>
      <c r="AF520">
        <v>52275</v>
      </c>
      <c r="AJ520" t="str">
        <f>_xlfn.XLOOKUP(Table9[[#This Row],[Engine No.]],'[1]Dubai Islamic Consumer'!$Q$3:$Q$1176,'[1]Dubai Islamic Consumer'!$B$3:$B$1176,,,)</f>
        <v>KHI/HO/D/MO/PC COMP/C/103702/223/12/2024</v>
      </c>
    </row>
    <row r="521" spans="1:36" hidden="1" x14ac:dyDescent="0.25">
      <c r="A521">
        <v>520</v>
      </c>
      <c r="B521" t="s">
        <v>35</v>
      </c>
      <c r="C521" t="s">
        <v>6318</v>
      </c>
      <c r="D521" t="s">
        <v>37</v>
      </c>
      <c r="E521" t="s">
        <v>6319</v>
      </c>
      <c r="F521" t="s">
        <v>39</v>
      </c>
      <c r="G521" t="s">
        <v>6320</v>
      </c>
      <c r="H521" t="s">
        <v>6321</v>
      </c>
      <c r="I521" t="s">
        <v>6322</v>
      </c>
      <c r="J521" t="s">
        <v>6321</v>
      </c>
      <c r="K521" t="s">
        <v>6323</v>
      </c>
      <c r="L521">
        <v>764400</v>
      </c>
      <c r="M521">
        <v>1274000</v>
      </c>
      <c r="N521" t="s">
        <v>6324</v>
      </c>
      <c r="O521" s="1">
        <v>45636</v>
      </c>
      <c r="P521" t="s">
        <v>6325</v>
      </c>
      <c r="Q521" t="s">
        <v>6326</v>
      </c>
      <c r="R521" t="s">
        <v>47</v>
      </c>
      <c r="S521" t="s">
        <v>6327</v>
      </c>
      <c r="T521" t="s">
        <v>3781</v>
      </c>
      <c r="U521" t="s">
        <v>496</v>
      </c>
      <c r="V521" s="1">
        <v>43447</v>
      </c>
      <c r="W521" t="s">
        <v>6328</v>
      </c>
      <c r="X521" t="s">
        <v>3831</v>
      </c>
      <c r="Y521" t="s">
        <v>6329</v>
      </c>
      <c r="Z521">
        <v>7</v>
      </c>
      <c r="AA521" t="s">
        <v>323</v>
      </c>
      <c r="AB521" t="s">
        <v>6330</v>
      </c>
      <c r="AC521" t="s">
        <v>6328</v>
      </c>
      <c r="AD521" t="s">
        <v>880</v>
      </c>
      <c r="AE521">
        <v>828100</v>
      </c>
      <c r="AF521">
        <v>25671</v>
      </c>
      <c r="AJ521" t="str">
        <f>_xlfn.XLOOKUP(Table9[[#This Row],[Engine No.]],'[1]Dubai Islamic Consumer'!$Q$3:$Q$1176,'[1]Dubai Islamic Consumer'!$B$3:$B$1176,,,)</f>
        <v>KHI/HO/D/MO/PC COMP/C/103702/219/12/2024</v>
      </c>
    </row>
    <row r="522" spans="1:36" hidden="1" x14ac:dyDescent="0.25">
      <c r="A522">
        <v>521</v>
      </c>
      <c r="B522" t="s">
        <v>35</v>
      </c>
      <c r="C522" t="s">
        <v>6331</v>
      </c>
      <c r="D522" t="s">
        <v>37</v>
      </c>
      <c r="E522" t="s">
        <v>6332</v>
      </c>
      <c r="F522" t="s">
        <v>406</v>
      </c>
      <c r="G522" t="s">
        <v>6333</v>
      </c>
      <c r="H522" t="s">
        <v>6334</v>
      </c>
      <c r="I522" t="s">
        <v>6334</v>
      </c>
      <c r="J522" t="s">
        <v>6335</v>
      </c>
      <c r="K522" t="s">
        <v>6336</v>
      </c>
      <c r="L522">
        <v>3509350</v>
      </c>
      <c r="M522">
        <v>5399000</v>
      </c>
      <c r="N522" t="s">
        <v>6337</v>
      </c>
      <c r="O522" s="1">
        <v>45635</v>
      </c>
      <c r="P522" t="s">
        <v>6338</v>
      </c>
      <c r="Q522" t="s">
        <v>6339</v>
      </c>
      <c r="R522" t="s">
        <v>47</v>
      </c>
      <c r="S522" t="s">
        <v>48</v>
      </c>
      <c r="T522" t="s">
        <v>520</v>
      </c>
      <c r="U522" t="s">
        <v>98</v>
      </c>
      <c r="V522" s="1">
        <v>44074</v>
      </c>
      <c r="W522" t="s">
        <v>4001</v>
      </c>
      <c r="X522" t="s">
        <v>3977</v>
      </c>
      <c r="Y522" t="s">
        <v>6340</v>
      </c>
      <c r="Z522">
        <v>5</v>
      </c>
      <c r="AA522" t="s">
        <v>48</v>
      </c>
      <c r="AB522" t="s">
        <v>48</v>
      </c>
      <c r="AC522" t="s">
        <v>48</v>
      </c>
      <c r="AD522" t="s">
        <v>299</v>
      </c>
      <c r="AE522">
        <v>4049250</v>
      </c>
      <c r="AF522">
        <v>60739</v>
      </c>
      <c r="AJ522" t="str">
        <f>_xlfn.XLOOKUP(Table9[[#This Row],[Engine No.]],'[1]Dubai Islamic Consumer'!$Q$3:$Q$1176,'[1]Dubai Islamic Consumer'!$B$3:$B$1176,,,)</f>
        <v>KHI/HO/D/MO/PC COMP/C/103702/212/12/2024</v>
      </c>
    </row>
    <row r="523" spans="1:36" hidden="1" x14ac:dyDescent="0.25">
      <c r="A523">
        <v>522</v>
      </c>
      <c r="B523" t="s">
        <v>35</v>
      </c>
      <c r="C523" t="s">
        <v>6341</v>
      </c>
      <c r="D523" t="s">
        <v>37</v>
      </c>
      <c r="E523" t="s">
        <v>6342</v>
      </c>
      <c r="F523" t="s">
        <v>39</v>
      </c>
      <c r="G523" t="s">
        <v>6343</v>
      </c>
      <c r="H523" t="s">
        <v>48</v>
      </c>
      <c r="I523" t="s">
        <v>6344</v>
      </c>
      <c r="J523" t="s">
        <v>6345</v>
      </c>
      <c r="K523" t="s">
        <v>6346</v>
      </c>
      <c r="L523">
        <v>2732100</v>
      </c>
      <c r="M523">
        <v>3903000</v>
      </c>
      <c r="N523" t="s">
        <v>6347</v>
      </c>
      <c r="O523" s="1">
        <v>45635</v>
      </c>
      <c r="P523" t="s">
        <v>6348</v>
      </c>
      <c r="Q523" t="s">
        <v>6349</v>
      </c>
      <c r="R523" t="s">
        <v>47</v>
      </c>
      <c r="S523" t="s">
        <v>48</v>
      </c>
      <c r="T523" t="s">
        <v>1240</v>
      </c>
      <c r="U523" t="s">
        <v>50</v>
      </c>
      <c r="V523" s="1">
        <v>44499</v>
      </c>
      <c r="W523" t="s">
        <v>4473</v>
      </c>
      <c r="X523" t="s">
        <v>4588</v>
      </c>
      <c r="Y523" t="s">
        <v>6350</v>
      </c>
      <c r="Z523">
        <v>5</v>
      </c>
      <c r="AA523" t="s">
        <v>55</v>
      </c>
      <c r="AB523" t="s">
        <v>4447</v>
      </c>
      <c r="AC523" t="s">
        <v>6351</v>
      </c>
      <c r="AD523" t="s">
        <v>58</v>
      </c>
      <c r="AE523">
        <v>3122400</v>
      </c>
      <c r="AF523">
        <v>62448</v>
      </c>
      <c r="AJ523" t="str">
        <f>_xlfn.XLOOKUP(Table9[[#This Row],[Engine No.]],'[1]Dubai Islamic Consumer'!$Q$3:$Q$1176,'[1]Dubai Islamic Consumer'!$B$3:$B$1176,,,)</f>
        <v>KHI/HO/D/MO/PC COMP/C/103702/211/12/2024</v>
      </c>
    </row>
    <row r="524" spans="1:36" hidden="1" x14ac:dyDescent="0.25">
      <c r="A524">
        <v>523</v>
      </c>
      <c r="B524" t="s">
        <v>35</v>
      </c>
      <c r="C524" t="s">
        <v>6352</v>
      </c>
      <c r="D524" t="s">
        <v>37</v>
      </c>
      <c r="E524" t="s">
        <v>6353</v>
      </c>
      <c r="F524" t="s">
        <v>107</v>
      </c>
      <c r="G524" t="s">
        <v>6354</v>
      </c>
      <c r="H524" t="s">
        <v>6355</v>
      </c>
      <c r="I524" t="s">
        <v>6355</v>
      </c>
      <c r="J524" t="s">
        <v>6355</v>
      </c>
      <c r="K524" t="s">
        <v>6356</v>
      </c>
      <c r="L524">
        <v>2391000</v>
      </c>
      <c r="M524">
        <v>4782000</v>
      </c>
      <c r="N524" t="s">
        <v>6357</v>
      </c>
      <c r="O524" s="1">
        <v>45635</v>
      </c>
      <c r="P524" t="s">
        <v>6358</v>
      </c>
      <c r="Q524" t="s">
        <v>6359</v>
      </c>
      <c r="R524" t="s">
        <v>47</v>
      </c>
      <c r="S524" t="s">
        <v>48</v>
      </c>
      <c r="T524" t="s">
        <v>6360</v>
      </c>
      <c r="U524" t="s">
        <v>50</v>
      </c>
      <c r="V524" s="1">
        <v>44421</v>
      </c>
      <c r="W524" t="s">
        <v>4015</v>
      </c>
      <c r="X524" t="s">
        <v>3965</v>
      </c>
      <c r="Y524" t="s">
        <v>6361</v>
      </c>
      <c r="Z524">
        <v>7</v>
      </c>
      <c r="AA524" t="s">
        <v>48</v>
      </c>
      <c r="AB524" t="s">
        <v>48</v>
      </c>
      <c r="AC524" t="s">
        <v>48</v>
      </c>
      <c r="AD524" t="s">
        <v>86</v>
      </c>
      <c r="AE524">
        <v>3825600</v>
      </c>
      <c r="AF524">
        <v>66948</v>
      </c>
      <c r="AJ524" t="str">
        <f>_xlfn.XLOOKUP(Table9[[#This Row],[Engine No.]],'[1]Dubai Islamic Consumer'!$Q$3:$Q$1176,'[1]Dubai Islamic Consumer'!$B$3:$B$1176,,,)</f>
        <v>KHI/HO/D/MO/PC COMP/C/103702/208/12/2024</v>
      </c>
    </row>
    <row r="525" spans="1:36" hidden="1" x14ac:dyDescent="0.25">
      <c r="A525">
        <v>524</v>
      </c>
      <c r="B525" t="s">
        <v>35</v>
      </c>
      <c r="C525" t="s">
        <v>6362</v>
      </c>
      <c r="D525" t="s">
        <v>37</v>
      </c>
      <c r="E525" t="s">
        <v>6363</v>
      </c>
      <c r="F525" t="s">
        <v>107</v>
      </c>
      <c r="G525" t="s">
        <v>6364</v>
      </c>
      <c r="H525" t="s">
        <v>6365</v>
      </c>
      <c r="I525" t="s">
        <v>6365</v>
      </c>
      <c r="J525" t="s">
        <v>6365</v>
      </c>
      <c r="K525" t="s">
        <v>6366</v>
      </c>
      <c r="L525">
        <v>1610000</v>
      </c>
      <c r="M525">
        <v>2300000</v>
      </c>
      <c r="N525" t="s">
        <v>6367</v>
      </c>
      <c r="O525" s="1">
        <v>45635</v>
      </c>
      <c r="P525" t="s">
        <v>6368</v>
      </c>
      <c r="Q525" t="s">
        <v>6369</v>
      </c>
      <c r="R525" t="s">
        <v>146</v>
      </c>
      <c r="S525" t="s">
        <v>6370</v>
      </c>
      <c r="T525" t="s">
        <v>495</v>
      </c>
      <c r="U525" t="s">
        <v>651</v>
      </c>
      <c r="V525" s="1">
        <v>44546</v>
      </c>
      <c r="W525" t="s">
        <v>4473</v>
      </c>
      <c r="X525" t="s">
        <v>4588</v>
      </c>
      <c r="Y525" t="s">
        <v>6371</v>
      </c>
      <c r="Z525">
        <v>5</v>
      </c>
      <c r="AA525" t="s">
        <v>55</v>
      </c>
      <c r="AB525" t="s">
        <v>6372</v>
      </c>
      <c r="AC525" t="s">
        <v>6078</v>
      </c>
      <c r="AD525" t="s">
        <v>299</v>
      </c>
      <c r="AE525">
        <v>1840000</v>
      </c>
      <c r="AF525">
        <v>27600</v>
      </c>
      <c r="AJ525" t="str">
        <f>_xlfn.XLOOKUP(Table9[[#This Row],[Engine No.]],'[1]Dubai Islamic Consumer'!$Q$3:$Q$1176,'[1]Dubai Islamic Consumer'!$B$3:$B$1176,,,)</f>
        <v>KHI/HO/D/MO/PC COMP/C/103702/204/12/2024</v>
      </c>
    </row>
    <row r="526" spans="1:36" hidden="1" x14ac:dyDescent="0.25">
      <c r="A526">
        <v>525</v>
      </c>
      <c r="B526" t="s">
        <v>35</v>
      </c>
      <c r="C526" t="s">
        <v>6373</v>
      </c>
      <c r="D526" t="s">
        <v>37</v>
      </c>
      <c r="E526" t="s">
        <v>6374</v>
      </c>
      <c r="F526" t="s">
        <v>138</v>
      </c>
      <c r="G526" t="s">
        <v>6375</v>
      </c>
      <c r="H526" t="s">
        <v>6376</v>
      </c>
      <c r="I526" t="s">
        <v>6376</v>
      </c>
      <c r="J526" t="s">
        <v>141</v>
      </c>
      <c r="K526" t="s">
        <v>6377</v>
      </c>
      <c r="L526">
        <v>1960000</v>
      </c>
      <c r="M526">
        <v>2800000</v>
      </c>
      <c r="N526" t="s">
        <v>6378</v>
      </c>
      <c r="O526" s="1">
        <v>45635</v>
      </c>
      <c r="P526" t="s">
        <v>6379</v>
      </c>
      <c r="Q526" t="s">
        <v>6380</v>
      </c>
      <c r="R526" t="s">
        <v>146</v>
      </c>
      <c r="S526" t="s">
        <v>6381</v>
      </c>
      <c r="T526" t="s">
        <v>6382</v>
      </c>
      <c r="U526" t="s">
        <v>614</v>
      </c>
      <c r="V526" s="1">
        <v>44180</v>
      </c>
      <c r="W526" t="s">
        <v>5266</v>
      </c>
      <c r="X526" t="s">
        <v>5267</v>
      </c>
      <c r="Y526" t="s">
        <v>6383</v>
      </c>
      <c r="Z526">
        <v>5</v>
      </c>
      <c r="AA526" t="s">
        <v>227</v>
      </c>
      <c r="AB526" t="s">
        <v>6384</v>
      </c>
      <c r="AC526" t="s">
        <v>6385</v>
      </c>
      <c r="AD526" t="s">
        <v>58</v>
      </c>
      <c r="AE526">
        <v>2100000</v>
      </c>
      <c r="AF526">
        <v>42000</v>
      </c>
      <c r="AJ526" t="str">
        <f>_xlfn.XLOOKUP(Table9[[#This Row],[Engine No.]],'[1]Dubai Islamic Consumer'!$Q$3:$Q$1176,'[1]Dubai Islamic Consumer'!$B$3:$B$1176,,,)</f>
        <v>KHI/HO/D/MO/PC COMP/C/103702/203/12/2024</v>
      </c>
    </row>
    <row r="527" spans="1:36" hidden="1" x14ac:dyDescent="0.25">
      <c r="A527">
        <v>526</v>
      </c>
      <c r="B527" t="s">
        <v>35</v>
      </c>
      <c r="C527" t="s">
        <v>6386</v>
      </c>
      <c r="D527" t="s">
        <v>37</v>
      </c>
      <c r="E527" t="s">
        <v>6387</v>
      </c>
      <c r="F527" t="s">
        <v>138</v>
      </c>
      <c r="G527" t="s">
        <v>6388</v>
      </c>
      <c r="H527" t="s">
        <v>6389</v>
      </c>
      <c r="I527" t="s">
        <v>6389</v>
      </c>
      <c r="J527" t="s">
        <v>141</v>
      </c>
      <c r="K527" t="s">
        <v>6390</v>
      </c>
      <c r="L527">
        <v>2990000</v>
      </c>
      <c r="M527">
        <v>4600000</v>
      </c>
      <c r="N527" t="s">
        <v>6391</v>
      </c>
      <c r="O527" t="s">
        <v>6241</v>
      </c>
      <c r="P527" t="s">
        <v>6392</v>
      </c>
      <c r="Q527" t="s">
        <v>6393</v>
      </c>
      <c r="R527" t="s">
        <v>146</v>
      </c>
      <c r="S527" t="s">
        <v>6394</v>
      </c>
      <c r="T527" t="s">
        <v>6395</v>
      </c>
      <c r="U527" t="s">
        <v>50</v>
      </c>
      <c r="V527" s="1">
        <v>45260</v>
      </c>
      <c r="W527" t="s">
        <v>4114</v>
      </c>
      <c r="X527" t="s">
        <v>133</v>
      </c>
      <c r="Y527" t="s">
        <v>6396</v>
      </c>
      <c r="Z527">
        <v>3</v>
      </c>
      <c r="AA527" t="s">
        <v>55</v>
      </c>
      <c r="AB527" t="s">
        <v>6397</v>
      </c>
      <c r="AC527" t="s">
        <v>4131</v>
      </c>
      <c r="AD527" t="s">
        <v>299</v>
      </c>
      <c r="AE527">
        <v>4140000</v>
      </c>
      <c r="AF527">
        <v>62100</v>
      </c>
      <c r="AJ527" t="str">
        <f>_xlfn.XLOOKUP(Table9[[#This Row],[Engine No.]],'[1]Dubai Islamic Consumer'!$Q$3:$Q$1176,'[1]Dubai Islamic Consumer'!$B$3:$B$1176,,,)</f>
        <v>KHI/HO/D/MO/PC COMP/C/102086/43/11/2024</v>
      </c>
    </row>
    <row r="528" spans="1:36" hidden="1" x14ac:dyDescent="0.25">
      <c r="A528">
        <v>527</v>
      </c>
      <c r="B528" t="s">
        <v>35</v>
      </c>
      <c r="C528" t="s">
        <v>6398</v>
      </c>
      <c r="D528" t="s">
        <v>37</v>
      </c>
      <c r="E528" t="s">
        <v>6399</v>
      </c>
      <c r="F528" t="s">
        <v>107</v>
      </c>
      <c r="G528" t="s">
        <v>6400</v>
      </c>
      <c r="H528" t="s">
        <v>6401</v>
      </c>
      <c r="I528" t="s">
        <v>6401</v>
      </c>
      <c r="J528" t="s">
        <v>6402</v>
      </c>
      <c r="K528" t="s">
        <v>6403</v>
      </c>
      <c r="L528">
        <v>1610000</v>
      </c>
      <c r="M528">
        <v>2300000</v>
      </c>
      <c r="N528" t="s">
        <v>6404</v>
      </c>
      <c r="O528" s="1">
        <v>45635</v>
      </c>
      <c r="P528" t="s">
        <v>6405</v>
      </c>
      <c r="Q528" t="s">
        <v>6406</v>
      </c>
      <c r="R528" t="s">
        <v>146</v>
      </c>
      <c r="S528" t="s">
        <v>6407</v>
      </c>
      <c r="T528" t="s">
        <v>1289</v>
      </c>
      <c r="U528" t="s">
        <v>903</v>
      </c>
      <c r="V528" s="1">
        <v>44550</v>
      </c>
      <c r="W528" t="s">
        <v>4473</v>
      </c>
      <c r="X528" t="s">
        <v>4588</v>
      </c>
      <c r="Y528" t="s">
        <v>6408</v>
      </c>
      <c r="Z528">
        <v>5</v>
      </c>
      <c r="AA528" t="s">
        <v>55</v>
      </c>
      <c r="AB528" t="s">
        <v>6409</v>
      </c>
      <c r="AC528" t="s">
        <v>6078</v>
      </c>
      <c r="AD528" t="s">
        <v>299</v>
      </c>
      <c r="AE528">
        <v>1840000</v>
      </c>
      <c r="AF528">
        <v>27600</v>
      </c>
      <c r="AJ528" t="str">
        <f>_xlfn.XLOOKUP(Table9[[#This Row],[Engine No.]],'[1]Dubai Islamic Consumer'!$Q$3:$Q$1176,'[1]Dubai Islamic Consumer'!$B$3:$B$1176,,,)</f>
        <v>KHI/HO/D/MO/PC COMP/C/103702/202/12/2024</v>
      </c>
    </row>
    <row r="529" spans="1:36" hidden="1" x14ac:dyDescent="0.25">
      <c r="A529">
        <v>528</v>
      </c>
      <c r="B529" t="s">
        <v>35</v>
      </c>
      <c r="C529" t="s">
        <v>6410</v>
      </c>
      <c r="D529" t="s">
        <v>37</v>
      </c>
      <c r="E529" t="s">
        <v>6411</v>
      </c>
      <c r="F529" t="s">
        <v>107</v>
      </c>
      <c r="G529" t="s">
        <v>6412</v>
      </c>
      <c r="H529" t="s">
        <v>6413</v>
      </c>
      <c r="I529" t="s">
        <v>6413</v>
      </c>
      <c r="J529" t="s">
        <v>6414</v>
      </c>
      <c r="K529" t="s">
        <v>6415</v>
      </c>
      <c r="L529">
        <v>1560000</v>
      </c>
      <c r="M529">
        <v>2400000</v>
      </c>
      <c r="N529" t="s">
        <v>6416</v>
      </c>
      <c r="O529" s="1">
        <v>45635</v>
      </c>
      <c r="P529" t="s">
        <v>6417</v>
      </c>
      <c r="Q529" t="s">
        <v>6418</v>
      </c>
      <c r="R529" t="s">
        <v>146</v>
      </c>
      <c r="S529" t="s">
        <v>6419</v>
      </c>
      <c r="T529" t="s">
        <v>495</v>
      </c>
      <c r="U529" t="s">
        <v>496</v>
      </c>
      <c r="V529" s="1">
        <v>44546</v>
      </c>
      <c r="W529" t="s">
        <v>4473</v>
      </c>
      <c r="X529" t="s">
        <v>4588</v>
      </c>
      <c r="Y529" t="s">
        <v>6420</v>
      </c>
      <c r="Z529">
        <v>5</v>
      </c>
      <c r="AA529" t="s">
        <v>55</v>
      </c>
      <c r="AB529" t="s">
        <v>6421</v>
      </c>
      <c r="AC529" t="s">
        <v>6078</v>
      </c>
      <c r="AD529" t="s">
        <v>299</v>
      </c>
      <c r="AE529">
        <v>1920000</v>
      </c>
      <c r="AF529">
        <v>28800</v>
      </c>
      <c r="AJ529" t="str">
        <f>_xlfn.XLOOKUP(Table9[[#This Row],[Engine No.]],'[1]Dubai Islamic Consumer'!$Q$3:$Q$1176,'[1]Dubai Islamic Consumer'!$B$3:$B$1176,,,)</f>
        <v>KHI/HO/D/MO/PC COMP/C/103702/201/12/2024</v>
      </c>
    </row>
    <row r="530" spans="1:36" hidden="1" x14ac:dyDescent="0.25">
      <c r="A530">
        <v>529</v>
      </c>
      <c r="B530" t="s">
        <v>35</v>
      </c>
      <c r="C530" t="s">
        <v>6422</v>
      </c>
      <c r="D530" t="s">
        <v>37</v>
      </c>
      <c r="E530" t="s">
        <v>6423</v>
      </c>
      <c r="F530" t="s">
        <v>107</v>
      </c>
      <c r="G530" t="s">
        <v>6424</v>
      </c>
      <c r="H530" t="s">
        <v>6425</v>
      </c>
      <c r="I530" t="s">
        <v>6425</v>
      </c>
      <c r="J530" t="s">
        <v>6425</v>
      </c>
      <c r="K530" t="s">
        <v>6426</v>
      </c>
      <c r="L530">
        <v>1540000</v>
      </c>
      <c r="M530">
        <v>1925000</v>
      </c>
      <c r="N530" t="s">
        <v>6427</v>
      </c>
      <c r="O530" s="1">
        <v>45635</v>
      </c>
      <c r="P530" t="s">
        <v>6428</v>
      </c>
      <c r="Q530" t="s">
        <v>6429</v>
      </c>
      <c r="R530" t="s">
        <v>146</v>
      </c>
      <c r="S530" t="s">
        <v>6430</v>
      </c>
      <c r="T530" t="s">
        <v>2113</v>
      </c>
      <c r="U530" t="s">
        <v>903</v>
      </c>
      <c r="V530" s="1">
        <v>44179</v>
      </c>
      <c r="W530" t="s">
        <v>3830</v>
      </c>
      <c r="X530" t="s">
        <v>6431</v>
      </c>
      <c r="Y530" t="s">
        <v>6432</v>
      </c>
      <c r="Z530">
        <v>6</v>
      </c>
      <c r="AA530" t="s">
        <v>227</v>
      </c>
      <c r="AB530" t="s">
        <v>6433</v>
      </c>
      <c r="AC530" t="s">
        <v>6434</v>
      </c>
      <c r="AD530" t="s">
        <v>58</v>
      </c>
      <c r="AE530">
        <v>1443750</v>
      </c>
      <c r="AF530">
        <v>28875</v>
      </c>
      <c r="AJ530" t="str">
        <f>_xlfn.XLOOKUP(Table9[[#This Row],[Engine No.]],'[1]Dubai Islamic Consumer'!$Q$3:$Q$1176,'[1]Dubai Islamic Consumer'!$B$3:$B$1176,,,)</f>
        <v>KHI/HO/D/MO/PC COMP/C/103702/199/12/2024</v>
      </c>
    </row>
    <row r="531" spans="1:36" hidden="1" x14ac:dyDescent="0.25">
      <c r="A531">
        <v>530</v>
      </c>
      <c r="B531" t="s">
        <v>35</v>
      </c>
      <c r="C531" t="s">
        <v>6435</v>
      </c>
      <c r="D531" t="s">
        <v>37</v>
      </c>
      <c r="E531" t="s">
        <v>6436</v>
      </c>
      <c r="F531" t="s">
        <v>138</v>
      </c>
      <c r="G531" t="s">
        <v>6437</v>
      </c>
      <c r="H531" t="s">
        <v>6438</v>
      </c>
      <c r="I531" t="s">
        <v>6438</v>
      </c>
      <c r="J531" t="s">
        <v>141</v>
      </c>
      <c r="K531" t="s">
        <v>6439</v>
      </c>
      <c r="L531">
        <v>2054500</v>
      </c>
      <c r="M531">
        <v>2935000</v>
      </c>
      <c r="N531" t="s">
        <v>6440</v>
      </c>
      <c r="O531" t="s">
        <v>6241</v>
      </c>
      <c r="P531" t="s">
        <v>6441</v>
      </c>
      <c r="Q531" t="s">
        <v>6442</v>
      </c>
      <c r="R531" t="s">
        <v>47</v>
      </c>
      <c r="S531" t="s">
        <v>48</v>
      </c>
      <c r="T531" t="s">
        <v>1276</v>
      </c>
      <c r="U531" t="s">
        <v>386</v>
      </c>
      <c r="V531" t="s">
        <v>6443</v>
      </c>
      <c r="W531" t="s">
        <v>6293</v>
      </c>
      <c r="X531" t="s">
        <v>6444</v>
      </c>
      <c r="Y531" t="s">
        <v>6445</v>
      </c>
      <c r="Z531">
        <v>4</v>
      </c>
      <c r="AA531" t="s">
        <v>152</v>
      </c>
      <c r="AB531" t="s">
        <v>6446</v>
      </c>
      <c r="AC531" t="s">
        <v>6447</v>
      </c>
      <c r="AD531" t="s">
        <v>86</v>
      </c>
      <c r="AE531">
        <v>2641500</v>
      </c>
      <c r="AF531">
        <v>46226</v>
      </c>
      <c r="AJ531" t="str">
        <f>_xlfn.XLOOKUP(Table9[[#This Row],[Engine No.]],'[1]Dubai Islamic Consumer'!$Q$3:$Q$1176,'[1]Dubai Islamic Consumer'!$B$3:$B$1176,,,)</f>
        <v>KHI/HO/D/MO/PC COMP/C/102086/41/11/2024</v>
      </c>
    </row>
    <row r="532" spans="1:36" hidden="1" x14ac:dyDescent="0.25">
      <c r="A532">
        <v>531</v>
      </c>
      <c r="B532" t="s">
        <v>35</v>
      </c>
      <c r="C532" t="s">
        <v>6448</v>
      </c>
      <c r="D532" t="s">
        <v>37</v>
      </c>
      <c r="E532" t="s">
        <v>6449</v>
      </c>
      <c r="F532" t="s">
        <v>138</v>
      </c>
      <c r="G532" t="s">
        <v>6450</v>
      </c>
      <c r="H532" t="s">
        <v>6451</v>
      </c>
      <c r="I532" t="s">
        <v>6451</v>
      </c>
      <c r="J532" t="s">
        <v>141</v>
      </c>
      <c r="K532" t="s">
        <v>6452</v>
      </c>
      <c r="L532">
        <v>1250000</v>
      </c>
      <c r="M532">
        <v>2500000</v>
      </c>
      <c r="N532" t="s">
        <v>6453</v>
      </c>
      <c r="O532" s="1">
        <v>45635</v>
      </c>
      <c r="P532" t="s">
        <v>6454</v>
      </c>
      <c r="Q532" t="s">
        <v>6455</v>
      </c>
      <c r="R532" t="s">
        <v>146</v>
      </c>
      <c r="S532" t="s">
        <v>6456</v>
      </c>
      <c r="T532" t="s">
        <v>1128</v>
      </c>
      <c r="U532" t="s">
        <v>903</v>
      </c>
      <c r="V532" s="1">
        <v>44543</v>
      </c>
      <c r="W532" t="s">
        <v>4473</v>
      </c>
      <c r="X532" t="s">
        <v>5267</v>
      </c>
      <c r="Y532" t="s">
        <v>6457</v>
      </c>
      <c r="Z532">
        <v>4</v>
      </c>
      <c r="AA532" t="s">
        <v>55</v>
      </c>
      <c r="AB532" t="s">
        <v>6458</v>
      </c>
      <c r="AC532" t="s">
        <v>6078</v>
      </c>
      <c r="AD532" t="s">
        <v>299</v>
      </c>
      <c r="AE532">
        <v>2000000</v>
      </c>
      <c r="AF532">
        <v>30000</v>
      </c>
      <c r="AJ532" t="str">
        <f>_xlfn.XLOOKUP(Table9[[#This Row],[Engine No.]],'[1]Dubai Islamic Consumer'!$Q$3:$Q$1176,'[1]Dubai Islamic Consumer'!$B$3:$B$1176,,,)</f>
        <v>KHI/HO/D/MO/PC COMP/C/103702/196/12/2024</v>
      </c>
    </row>
    <row r="533" spans="1:36" hidden="1" x14ac:dyDescent="0.25">
      <c r="A533">
        <v>532</v>
      </c>
      <c r="B533" t="s">
        <v>35</v>
      </c>
      <c r="C533" t="s">
        <v>6459</v>
      </c>
      <c r="D533" t="s">
        <v>37</v>
      </c>
      <c r="E533" t="s">
        <v>6460</v>
      </c>
      <c r="F533" t="s">
        <v>138</v>
      </c>
      <c r="G533" t="s">
        <v>6461</v>
      </c>
      <c r="H533" t="s">
        <v>6462</v>
      </c>
      <c r="I533" t="s">
        <v>6462</v>
      </c>
      <c r="J533" t="s">
        <v>141</v>
      </c>
      <c r="K533" t="s">
        <v>6463</v>
      </c>
      <c r="L533">
        <v>880000</v>
      </c>
      <c r="M533">
        <v>1100000</v>
      </c>
      <c r="N533" t="s">
        <v>6464</v>
      </c>
      <c r="O533" s="1">
        <v>45625</v>
      </c>
      <c r="P533" t="s">
        <v>6465</v>
      </c>
      <c r="Q533" t="s">
        <v>6466</v>
      </c>
      <c r="R533" t="s">
        <v>146</v>
      </c>
      <c r="S533" t="s">
        <v>6467</v>
      </c>
      <c r="T533" t="s">
        <v>1909</v>
      </c>
      <c r="U533" t="s">
        <v>651</v>
      </c>
      <c r="V533" t="s">
        <v>3321</v>
      </c>
      <c r="W533" t="s">
        <v>532</v>
      </c>
      <c r="X533" t="s">
        <v>1638</v>
      </c>
      <c r="Y533" t="s">
        <v>6468</v>
      </c>
      <c r="Z533">
        <v>7</v>
      </c>
      <c r="AA533" t="s">
        <v>55</v>
      </c>
      <c r="AB533" t="s">
        <v>6469</v>
      </c>
      <c r="AC533" t="s">
        <v>3321</v>
      </c>
      <c r="AD533" t="s">
        <v>58</v>
      </c>
      <c r="AE533">
        <v>825000</v>
      </c>
      <c r="AF533">
        <v>16500</v>
      </c>
      <c r="AJ533" t="str">
        <f>_xlfn.XLOOKUP(Table9[[#This Row],[Engine No.]],'[1]Dubai Islamic Consumer'!$Q$3:$Q$1176,'[1]Dubai Islamic Consumer'!$B$3:$B$1176,,,)</f>
        <v>KHI/HO/D/MO/PC COMP/C/102086/35/11/2024</v>
      </c>
    </row>
    <row r="534" spans="1:36" hidden="1" x14ac:dyDescent="0.25">
      <c r="A534">
        <v>533</v>
      </c>
      <c r="B534" t="s">
        <v>35</v>
      </c>
      <c r="C534" t="s">
        <v>6470</v>
      </c>
      <c r="D534" t="s">
        <v>37</v>
      </c>
      <c r="E534" t="s">
        <v>6471</v>
      </c>
      <c r="F534" t="s">
        <v>107</v>
      </c>
      <c r="G534" t="s">
        <v>6472</v>
      </c>
      <c r="H534" t="s">
        <v>48</v>
      </c>
      <c r="I534" t="s">
        <v>6473</v>
      </c>
      <c r="J534" t="s">
        <v>6474</v>
      </c>
      <c r="K534" t="s">
        <v>6475</v>
      </c>
      <c r="L534">
        <v>1196000</v>
      </c>
      <c r="M534">
        <v>2300000</v>
      </c>
      <c r="N534" t="s">
        <v>6476</v>
      </c>
      <c r="O534" s="1">
        <v>45635</v>
      </c>
      <c r="P534" t="s">
        <v>6477</v>
      </c>
      <c r="Q534" t="s">
        <v>6478</v>
      </c>
      <c r="R534" t="s">
        <v>146</v>
      </c>
      <c r="S534" t="s">
        <v>6479</v>
      </c>
      <c r="T534" t="s">
        <v>6480</v>
      </c>
      <c r="U534" t="s">
        <v>335</v>
      </c>
      <c r="V534" s="1">
        <v>44552</v>
      </c>
      <c r="W534" t="s">
        <v>4015</v>
      </c>
      <c r="X534" t="s">
        <v>3977</v>
      </c>
      <c r="Y534" t="s">
        <v>6481</v>
      </c>
      <c r="Z534">
        <v>4</v>
      </c>
      <c r="AA534" t="s">
        <v>55</v>
      </c>
      <c r="AB534" t="s">
        <v>6482</v>
      </c>
      <c r="AC534" t="s">
        <v>6483</v>
      </c>
      <c r="AD534" t="s">
        <v>299</v>
      </c>
      <c r="AE534">
        <v>1840000</v>
      </c>
      <c r="AF534">
        <v>27600</v>
      </c>
      <c r="AJ534" t="str">
        <f>_xlfn.XLOOKUP(Table9[[#This Row],[Engine No.]],'[1]Dubai Islamic Consumer'!$Q$3:$Q$1176,'[1]Dubai Islamic Consumer'!$B$3:$B$1176,,,)</f>
        <v>KHI/HO/D/MO/PC COMP/C/103702/195/12/2024</v>
      </c>
    </row>
    <row r="535" spans="1:36" hidden="1" x14ac:dyDescent="0.25">
      <c r="A535">
        <v>534</v>
      </c>
      <c r="B535" t="s">
        <v>35</v>
      </c>
      <c r="C535" t="s">
        <v>6484</v>
      </c>
      <c r="D535" t="s">
        <v>37</v>
      </c>
      <c r="E535" t="s">
        <v>6485</v>
      </c>
      <c r="F535" t="s">
        <v>6486</v>
      </c>
      <c r="G535" t="s">
        <v>6487</v>
      </c>
      <c r="H535" t="s">
        <v>48</v>
      </c>
      <c r="I535" t="s">
        <v>6488</v>
      </c>
      <c r="J535" t="s">
        <v>48</v>
      </c>
      <c r="K535" t="s">
        <v>6489</v>
      </c>
      <c r="L535">
        <v>1645000</v>
      </c>
      <c r="M535">
        <v>2350000</v>
      </c>
      <c r="N535" t="s">
        <v>6490</v>
      </c>
      <c r="O535" s="1">
        <v>45625</v>
      </c>
      <c r="P535" t="s">
        <v>6491</v>
      </c>
      <c r="Q535" t="s">
        <v>6492</v>
      </c>
      <c r="R535" t="s">
        <v>47</v>
      </c>
      <c r="S535" t="s">
        <v>6493</v>
      </c>
      <c r="T535" t="s">
        <v>6494</v>
      </c>
      <c r="U535" t="s">
        <v>496</v>
      </c>
      <c r="V535" t="s">
        <v>3368</v>
      </c>
      <c r="W535" t="s">
        <v>132</v>
      </c>
      <c r="X535" t="s">
        <v>133</v>
      </c>
      <c r="Y535" t="s">
        <v>6495</v>
      </c>
      <c r="Z535">
        <v>5</v>
      </c>
      <c r="AA535" t="s">
        <v>55</v>
      </c>
      <c r="AB535" t="s">
        <v>6496</v>
      </c>
      <c r="AC535" t="s">
        <v>3368</v>
      </c>
      <c r="AD535" t="s">
        <v>299</v>
      </c>
      <c r="AE535">
        <v>1880000</v>
      </c>
      <c r="AF535">
        <v>28200</v>
      </c>
      <c r="AJ535" t="str">
        <f>_xlfn.XLOOKUP(Table9[[#This Row],[Engine No.]],'[1]Dubai Islamic Consumer'!$Q$3:$Q$1176,'[1]Dubai Islamic Consumer'!$B$3:$B$1176,,,)</f>
        <v>KHI/HO/D/MO/PC COMP/C/102086/34/11/2024</v>
      </c>
    </row>
    <row r="536" spans="1:36" hidden="1" x14ac:dyDescent="0.25">
      <c r="A536">
        <v>535</v>
      </c>
      <c r="B536" t="s">
        <v>35</v>
      </c>
      <c r="C536" t="s">
        <v>6497</v>
      </c>
      <c r="D536" t="s">
        <v>37</v>
      </c>
      <c r="E536" t="s">
        <v>6498</v>
      </c>
      <c r="F536" t="s">
        <v>107</v>
      </c>
      <c r="G536" t="s">
        <v>6499</v>
      </c>
      <c r="H536" t="s">
        <v>6500</v>
      </c>
      <c r="I536" t="s">
        <v>6500</v>
      </c>
      <c r="J536" t="s">
        <v>6501</v>
      </c>
      <c r="K536" t="s">
        <v>6502</v>
      </c>
      <c r="L536">
        <v>2610000</v>
      </c>
      <c r="M536">
        <v>3480000</v>
      </c>
      <c r="N536" t="s">
        <v>6503</v>
      </c>
      <c r="O536" s="1">
        <v>45625</v>
      </c>
      <c r="P536" t="s">
        <v>6504</v>
      </c>
      <c r="Q536" t="s">
        <v>6505</v>
      </c>
      <c r="R536" t="s">
        <v>146</v>
      </c>
      <c r="S536" t="s">
        <v>6506</v>
      </c>
      <c r="T536" t="s">
        <v>6507</v>
      </c>
      <c r="U536" t="s">
        <v>335</v>
      </c>
      <c r="V536" t="s">
        <v>3321</v>
      </c>
      <c r="W536" t="s">
        <v>532</v>
      </c>
      <c r="X536" t="s">
        <v>533</v>
      </c>
      <c r="Y536" t="s">
        <v>6508</v>
      </c>
      <c r="Z536">
        <v>5</v>
      </c>
      <c r="AA536" t="s">
        <v>227</v>
      </c>
      <c r="AB536" t="s">
        <v>6509</v>
      </c>
      <c r="AC536" t="s">
        <v>3321</v>
      </c>
      <c r="AD536" t="s">
        <v>58</v>
      </c>
      <c r="AE536">
        <v>2610000</v>
      </c>
      <c r="AF536">
        <v>52200</v>
      </c>
      <c r="AJ536" t="str">
        <f>_xlfn.XLOOKUP(Table9[[#This Row],[Engine No.]],'[1]Dubai Islamic Consumer'!$Q$3:$Q$1176,'[1]Dubai Islamic Consumer'!$B$3:$B$1176,,,)</f>
        <v>KHI/HO/D/MO/PC COMP/C/102086/33/11/2024</v>
      </c>
    </row>
    <row r="537" spans="1:36" hidden="1" x14ac:dyDescent="0.25">
      <c r="A537">
        <v>536</v>
      </c>
      <c r="B537" t="s">
        <v>35</v>
      </c>
      <c r="C537" t="s">
        <v>6510</v>
      </c>
      <c r="D537" t="s">
        <v>37</v>
      </c>
      <c r="E537" t="s">
        <v>6511</v>
      </c>
      <c r="F537" t="s">
        <v>39</v>
      </c>
      <c r="G537" t="s">
        <v>6512</v>
      </c>
      <c r="H537" t="s">
        <v>6513</v>
      </c>
      <c r="I537" t="s">
        <v>6514</v>
      </c>
      <c r="J537" t="s">
        <v>6513</v>
      </c>
      <c r="K537" t="s">
        <v>6515</v>
      </c>
      <c r="L537">
        <v>1434000</v>
      </c>
      <c r="M537">
        <v>2390000</v>
      </c>
      <c r="N537" t="s">
        <v>6516</v>
      </c>
      <c r="O537" s="1">
        <v>45625</v>
      </c>
      <c r="P537" t="s">
        <v>6517</v>
      </c>
      <c r="Q537" t="s">
        <v>6518</v>
      </c>
      <c r="R537" t="s">
        <v>47</v>
      </c>
      <c r="S537" t="s">
        <v>6519</v>
      </c>
      <c r="T537" t="s">
        <v>6520</v>
      </c>
      <c r="U537" t="s">
        <v>614</v>
      </c>
      <c r="V537" t="s">
        <v>3368</v>
      </c>
      <c r="W537" t="s">
        <v>132</v>
      </c>
      <c r="X537" t="s">
        <v>133</v>
      </c>
      <c r="Y537" t="s">
        <v>6521</v>
      </c>
      <c r="Z537">
        <v>5</v>
      </c>
      <c r="AA537" t="s">
        <v>118</v>
      </c>
      <c r="AB537" t="s">
        <v>6522</v>
      </c>
      <c r="AC537" t="s">
        <v>3368</v>
      </c>
      <c r="AD537" t="s">
        <v>299</v>
      </c>
      <c r="AE537">
        <v>1912000</v>
      </c>
      <c r="AF537">
        <v>28680</v>
      </c>
      <c r="AJ537" t="str">
        <f>_xlfn.XLOOKUP(Table9[[#This Row],[Engine No.]],'[1]Dubai Islamic Consumer'!$Q$3:$Q$1176,'[1]Dubai Islamic Consumer'!$B$3:$B$1176,,,)</f>
        <v>KHI/HO/D/MO/PC COMP/C/102086/32/11/2024</v>
      </c>
    </row>
    <row r="538" spans="1:36" hidden="1" x14ac:dyDescent="0.25">
      <c r="A538">
        <v>537</v>
      </c>
      <c r="B538" t="s">
        <v>35</v>
      </c>
      <c r="C538" t="s">
        <v>6523</v>
      </c>
      <c r="D538" t="s">
        <v>37</v>
      </c>
      <c r="E538" t="s">
        <v>6524</v>
      </c>
      <c r="F538" t="s">
        <v>525</v>
      </c>
      <c r="G538" t="s">
        <v>6525</v>
      </c>
      <c r="H538" t="s">
        <v>48</v>
      </c>
      <c r="I538" t="s">
        <v>6526</v>
      </c>
      <c r="J538" t="s">
        <v>48</v>
      </c>
      <c r="K538" t="s">
        <v>6527</v>
      </c>
      <c r="L538">
        <v>903500</v>
      </c>
      <c r="M538">
        <v>1390000</v>
      </c>
      <c r="N538" t="s">
        <v>6528</v>
      </c>
      <c r="O538" s="1">
        <v>45625</v>
      </c>
      <c r="P538" t="s">
        <v>6529</v>
      </c>
      <c r="Q538" t="s">
        <v>6530</v>
      </c>
      <c r="R538" t="s">
        <v>146</v>
      </c>
      <c r="S538" t="s">
        <v>48</v>
      </c>
      <c r="T538" t="s">
        <v>673</v>
      </c>
      <c r="U538" t="s">
        <v>98</v>
      </c>
      <c r="V538" t="s">
        <v>4972</v>
      </c>
      <c r="W538" t="s">
        <v>132</v>
      </c>
      <c r="X538" t="s">
        <v>133</v>
      </c>
      <c r="Y538" t="s">
        <v>6531</v>
      </c>
      <c r="Z538">
        <v>5</v>
      </c>
      <c r="AA538" t="s">
        <v>118</v>
      </c>
      <c r="AB538" t="s">
        <v>6532</v>
      </c>
      <c r="AC538" t="s">
        <v>3368</v>
      </c>
      <c r="AD538" t="s">
        <v>299</v>
      </c>
      <c r="AE538">
        <v>1112000</v>
      </c>
      <c r="AF538">
        <v>16680</v>
      </c>
      <c r="AJ538" t="str">
        <f>_xlfn.XLOOKUP(Table9[[#This Row],[Engine No.]],'[1]Dubai Islamic Consumer'!$Q$3:$Q$1176,'[1]Dubai Islamic Consumer'!$B$3:$B$1176,,,)</f>
        <v>KHI/HO/D/MO/PC COMP/C/102086/30/11/2024</v>
      </c>
    </row>
    <row r="539" spans="1:36" hidden="1" x14ac:dyDescent="0.25">
      <c r="A539">
        <v>538</v>
      </c>
      <c r="B539" t="s">
        <v>35</v>
      </c>
      <c r="C539" t="s">
        <v>6533</v>
      </c>
      <c r="D539" t="s">
        <v>37</v>
      </c>
      <c r="E539" t="s">
        <v>6534</v>
      </c>
      <c r="F539" t="s">
        <v>39</v>
      </c>
      <c r="G539" t="s">
        <v>6535</v>
      </c>
      <c r="H539" t="s">
        <v>6536</v>
      </c>
      <c r="I539" t="s">
        <v>6537</v>
      </c>
      <c r="J539" t="s">
        <v>6536</v>
      </c>
      <c r="K539" t="s">
        <v>6538</v>
      </c>
      <c r="L539">
        <v>1039500</v>
      </c>
      <c r="M539">
        <v>1890000</v>
      </c>
      <c r="N539" t="s">
        <v>6539</v>
      </c>
      <c r="O539" s="1">
        <v>45635</v>
      </c>
      <c r="P539" t="s">
        <v>6540</v>
      </c>
      <c r="Q539" t="s">
        <v>6541</v>
      </c>
      <c r="R539" t="s">
        <v>47</v>
      </c>
      <c r="S539" t="s">
        <v>48</v>
      </c>
      <c r="T539" t="s">
        <v>2980</v>
      </c>
      <c r="U539" t="s">
        <v>98</v>
      </c>
      <c r="V539" s="1">
        <v>44179</v>
      </c>
      <c r="W539" t="s">
        <v>3830</v>
      </c>
      <c r="X539" t="s">
        <v>3831</v>
      </c>
      <c r="Y539" t="s">
        <v>6542</v>
      </c>
      <c r="Z539">
        <v>5</v>
      </c>
      <c r="AA539" t="s">
        <v>55</v>
      </c>
      <c r="AB539" t="s">
        <v>6543</v>
      </c>
      <c r="AC539" t="s">
        <v>6434</v>
      </c>
      <c r="AD539" t="s">
        <v>58</v>
      </c>
      <c r="AE539">
        <v>1417500</v>
      </c>
      <c r="AF539">
        <v>28350</v>
      </c>
      <c r="AJ539" t="str">
        <f>_xlfn.XLOOKUP(Table9[[#This Row],[Engine No.]],'[1]Dubai Islamic Consumer'!$Q$3:$Q$1176,'[1]Dubai Islamic Consumer'!$B$3:$B$1176,,,)</f>
        <v>KHI/HO/D/MO/PC COMP/C/103702/194/12/2024</v>
      </c>
    </row>
    <row r="540" spans="1:36" hidden="1" x14ac:dyDescent="0.25">
      <c r="A540">
        <v>539</v>
      </c>
      <c r="B540" t="s">
        <v>35</v>
      </c>
      <c r="C540" t="s">
        <v>6544</v>
      </c>
      <c r="D540" t="s">
        <v>37</v>
      </c>
      <c r="E540" t="s">
        <v>6545</v>
      </c>
      <c r="F540" t="s">
        <v>89</v>
      </c>
      <c r="G540" t="s">
        <v>6546</v>
      </c>
      <c r="H540" t="s">
        <v>6547</v>
      </c>
      <c r="I540" t="s">
        <v>48</v>
      </c>
      <c r="J540" t="s">
        <v>6548</v>
      </c>
      <c r="K540" t="s">
        <v>6549</v>
      </c>
      <c r="L540">
        <v>987500</v>
      </c>
      <c r="M540">
        <v>1975000</v>
      </c>
      <c r="N540" t="s">
        <v>6550</v>
      </c>
      <c r="O540" s="1">
        <v>45626</v>
      </c>
      <c r="P540" t="s">
        <v>6551</v>
      </c>
      <c r="Q540" t="s">
        <v>6552</v>
      </c>
      <c r="R540" t="s">
        <v>47</v>
      </c>
      <c r="S540" t="s">
        <v>48</v>
      </c>
      <c r="T540" t="s">
        <v>3282</v>
      </c>
      <c r="U540" t="s">
        <v>98</v>
      </c>
      <c r="V540" t="s">
        <v>6553</v>
      </c>
      <c r="W540" t="s">
        <v>3830</v>
      </c>
      <c r="X540" t="s">
        <v>3831</v>
      </c>
      <c r="Y540" t="s">
        <v>6554</v>
      </c>
      <c r="Z540">
        <v>5</v>
      </c>
      <c r="AA540" t="s">
        <v>55</v>
      </c>
      <c r="AB540" t="s">
        <v>6555</v>
      </c>
      <c r="AC540" t="s">
        <v>6556</v>
      </c>
      <c r="AD540" t="s">
        <v>58</v>
      </c>
      <c r="AE540">
        <v>1481250</v>
      </c>
      <c r="AF540">
        <v>29625</v>
      </c>
      <c r="AJ540" t="str">
        <f>_xlfn.XLOOKUP(Table9[[#This Row],[Engine No.]],'[1]Dubai Islamic Consumer'!$Q$3:$Q$1176,'[1]Dubai Islamic Consumer'!$B$3:$B$1176,,,)</f>
        <v>KHI/HO/D/MO/PC COMP/C/102086/29/11/2024</v>
      </c>
    </row>
    <row r="541" spans="1:36" hidden="1" x14ac:dyDescent="0.25">
      <c r="A541">
        <v>540</v>
      </c>
      <c r="B541" t="s">
        <v>35</v>
      </c>
      <c r="C541" t="s">
        <v>6557</v>
      </c>
      <c r="D541" t="s">
        <v>37</v>
      </c>
      <c r="E541" t="s">
        <v>6558</v>
      </c>
      <c r="F541" t="s">
        <v>107</v>
      </c>
      <c r="G541" t="s">
        <v>6559</v>
      </c>
      <c r="H541" t="s">
        <v>48</v>
      </c>
      <c r="I541" t="s">
        <v>6560</v>
      </c>
      <c r="J541" t="s">
        <v>48</v>
      </c>
      <c r="K541" t="s">
        <v>6561</v>
      </c>
      <c r="L541">
        <v>2883000</v>
      </c>
      <c r="M541">
        <v>3844000</v>
      </c>
      <c r="N541" t="s">
        <v>6562</v>
      </c>
      <c r="O541" s="1">
        <v>45634</v>
      </c>
      <c r="P541" t="s">
        <v>6563</v>
      </c>
      <c r="Q541" t="s">
        <v>6564</v>
      </c>
      <c r="R541" t="s">
        <v>858</v>
      </c>
      <c r="S541" t="s">
        <v>48</v>
      </c>
      <c r="T541" t="s">
        <v>5208</v>
      </c>
      <c r="U541" t="s">
        <v>148</v>
      </c>
      <c r="V541" s="1">
        <v>44908</v>
      </c>
      <c r="W541" t="s">
        <v>5621</v>
      </c>
      <c r="X541" t="s">
        <v>5561</v>
      </c>
      <c r="Y541" t="s">
        <v>6565</v>
      </c>
      <c r="Z541">
        <v>5</v>
      </c>
      <c r="AA541" t="s">
        <v>323</v>
      </c>
      <c r="AB541" t="s">
        <v>6566</v>
      </c>
      <c r="AC541" t="s">
        <v>6567</v>
      </c>
      <c r="AD541" t="s">
        <v>943</v>
      </c>
      <c r="AE541">
        <v>3267400</v>
      </c>
      <c r="AF541">
        <v>45744</v>
      </c>
      <c r="AJ541" t="str">
        <f>_xlfn.XLOOKUP(Table9[[#This Row],[Engine No.]],'[1]Dubai Islamic Consumer'!$Q$3:$Q$1176,'[1]Dubai Islamic Consumer'!$B$3:$B$1176,,,)</f>
        <v>KHI/HO/D/MO/PC COMP/C/103702/193/12/2024</v>
      </c>
    </row>
    <row r="542" spans="1:36" hidden="1" x14ac:dyDescent="0.25">
      <c r="A542">
        <v>541</v>
      </c>
      <c r="B542" t="s">
        <v>35</v>
      </c>
      <c r="C542" t="s">
        <v>6568</v>
      </c>
      <c r="D542" t="s">
        <v>37</v>
      </c>
      <c r="E542" t="s">
        <v>6569</v>
      </c>
      <c r="F542" t="s">
        <v>245</v>
      </c>
      <c r="G542" t="s">
        <v>6570</v>
      </c>
      <c r="H542" t="s">
        <v>48</v>
      </c>
      <c r="I542" t="s">
        <v>6571</v>
      </c>
      <c r="J542" t="s">
        <v>48</v>
      </c>
      <c r="K542" t="s">
        <v>6572</v>
      </c>
      <c r="L542">
        <v>2608450</v>
      </c>
      <c r="M542">
        <v>4013000</v>
      </c>
      <c r="N542" t="s">
        <v>6573</v>
      </c>
      <c r="O542" s="1">
        <v>45626</v>
      </c>
      <c r="P542" t="s">
        <v>6574</v>
      </c>
      <c r="Q542" t="s">
        <v>6575</v>
      </c>
      <c r="R542" t="s">
        <v>47</v>
      </c>
      <c r="S542" t="s">
        <v>48</v>
      </c>
      <c r="T542" t="s">
        <v>6576</v>
      </c>
      <c r="U542" t="s">
        <v>50</v>
      </c>
      <c r="V542" t="s">
        <v>6577</v>
      </c>
      <c r="W542" t="s">
        <v>6483</v>
      </c>
      <c r="X542" t="s">
        <v>6578</v>
      </c>
      <c r="Y542" t="s">
        <v>6579</v>
      </c>
      <c r="Z542">
        <v>7</v>
      </c>
      <c r="AA542" t="s">
        <v>118</v>
      </c>
      <c r="AB542" t="s">
        <v>6580</v>
      </c>
      <c r="AC542" t="s">
        <v>4972</v>
      </c>
      <c r="AD542" t="s">
        <v>58</v>
      </c>
      <c r="AE542">
        <v>3210400</v>
      </c>
      <c r="AF542">
        <v>64208</v>
      </c>
      <c r="AJ542" t="str">
        <f>_xlfn.XLOOKUP(Table9[[#This Row],[Engine No.]],'[1]Dubai Islamic Consumer'!$Q$3:$Q$1176,'[1]Dubai Islamic Consumer'!$B$3:$B$1176,,,)</f>
        <v>KHI/HO/D/MO/PC COMP/C/102086/27/11/2024</v>
      </c>
    </row>
    <row r="543" spans="1:36" hidden="1" x14ac:dyDescent="0.25">
      <c r="A543">
        <v>542</v>
      </c>
      <c r="B543" t="s">
        <v>35</v>
      </c>
      <c r="C543" t="s">
        <v>6581</v>
      </c>
      <c r="D543" t="s">
        <v>37</v>
      </c>
      <c r="E543" t="s">
        <v>6582</v>
      </c>
      <c r="F543" t="s">
        <v>6583</v>
      </c>
      <c r="G543" t="s">
        <v>6584</v>
      </c>
      <c r="H543" t="s">
        <v>48</v>
      </c>
      <c r="I543" t="s">
        <v>6585</v>
      </c>
      <c r="J543" t="s">
        <v>48</v>
      </c>
      <c r="K543" t="s">
        <v>6586</v>
      </c>
      <c r="L543">
        <v>1484000</v>
      </c>
      <c r="M543">
        <v>2120000</v>
      </c>
      <c r="N543" t="s">
        <v>6587</v>
      </c>
      <c r="O543" s="1">
        <v>45626</v>
      </c>
      <c r="P543" t="s">
        <v>6588</v>
      </c>
      <c r="Q543" t="s">
        <v>6589</v>
      </c>
      <c r="R543" t="s">
        <v>858</v>
      </c>
      <c r="S543" t="s">
        <v>48</v>
      </c>
      <c r="T543" t="s">
        <v>2180</v>
      </c>
      <c r="U543" t="s">
        <v>148</v>
      </c>
      <c r="V543" t="s">
        <v>2465</v>
      </c>
      <c r="W543" t="s">
        <v>5621</v>
      </c>
      <c r="X543" t="s">
        <v>5561</v>
      </c>
      <c r="Y543" t="s">
        <v>6590</v>
      </c>
      <c r="Z543">
        <v>5</v>
      </c>
      <c r="AA543" t="s">
        <v>323</v>
      </c>
      <c r="AB543" t="s">
        <v>6591</v>
      </c>
      <c r="AC543" t="s">
        <v>5811</v>
      </c>
      <c r="AD543" t="s">
        <v>943</v>
      </c>
      <c r="AE543">
        <v>1802000</v>
      </c>
      <c r="AF543">
        <v>25228</v>
      </c>
      <c r="AJ543" t="str">
        <f>_xlfn.XLOOKUP(Table9[[#This Row],[Engine No.]],'[1]Dubai Islamic Consumer'!$Q$3:$Q$1176,'[1]Dubai Islamic Consumer'!$B$3:$B$1176,,,)</f>
        <v>KHI/HO/D/MO/PC COMP/C/102086/25/11/2024</v>
      </c>
    </row>
    <row r="544" spans="1:36" hidden="1" x14ac:dyDescent="0.25">
      <c r="A544">
        <v>543</v>
      </c>
      <c r="B544" t="s">
        <v>35</v>
      </c>
      <c r="C544" t="s">
        <v>6592</v>
      </c>
      <c r="D544" t="s">
        <v>37</v>
      </c>
      <c r="E544" t="s">
        <v>6593</v>
      </c>
      <c r="F544" t="s">
        <v>107</v>
      </c>
      <c r="G544" t="s">
        <v>6594</v>
      </c>
      <c r="H544" t="s">
        <v>6595</v>
      </c>
      <c r="I544" t="s">
        <v>6595</v>
      </c>
      <c r="J544" t="s">
        <v>6595</v>
      </c>
      <c r="K544" t="s">
        <v>6596</v>
      </c>
      <c r="L544">
        <v>1126450</v>
      </c>
      <c r="M544">
        <v>1733000</v>
      </c>
      <c r="N544" t="s">
        <v>6597</v>
      </c>
      <c r="O544" s="1">
        <v>45626</v>
      </c>
      <c r="P544" t="s">
        <v>6598</v>
      </c>
      <c r="Q544" t="s">
        <v>6599</v>
      </c>
      <c r="R544" t="s">
        <v>47</v>
      </c>
      <c r="S544" t="s">
        <v>48</v>
      </c>
      <c r="T544" t="s">
        <v>49</v>
      </c>
      <c r="U544" t="s">
        <v>148</v>
      </c>
      <c r="V544" t="s">
        <v>6600</v>
      </c>
      <c r="W544" t="s">
        <v>3988</v>
      </c>
      <c r="X544" t="s">
        <v>3989</v>
      </c>
      <c r="Y544" t="s">
        <v>6601</v>
      </c>
      <c r="Z544">
        <v>5</v>
      </c>
      <c r="AA544" t="s">
        <v>227</v>
      </c>
      <c r="AB544" t="s">
        <v>6602</v>
      </c>
      <c r="AC544" t="s">
        <v>5811</v>
      </c>
      <c r="AD544" t="s">
        <v>58</v>
      </c>
      <c r="AE544">
        <v>1473050</v>
      </c>
      <c r="AF544">
        <v>29461</v>
      </c>
      <c r="AJ544" t="str">
        <f>_xlfn.XLOOKUP(Table9[[#This Row],[Engine No.]],'[1]Dubai Islamic Consumer'!$Q$3:$Q$1176,'[1]Dubai Islamic Consumer'!$B$3:$B$1176,,,)</f>
        <v>KHI/HO/D/MO/PC COMP/C/102086/19/11/2024</v>
      </c>
    </row>
    <row r="545" spans="1:36" hidden="1" x14ac:dyDescent="0.25">
      <c r="A545">
        <v>544</v>
      </c>
      <c r="B545" t="s">
        <v>35</v>
      </c>
      <c r="C545" t="s">
        <v>6603</v>
      </c>
      <c r="D545" t="s">
        <v>37</v>
      </c>
      <c r="E545" t="s">
        <v>6604</v>
      </c>
      <c r="F545" t="s">
        <v>107</v>
      </c>
      <c r="G545" t="s">
        <v>6605</v>
      </c>
      <c r="H545" t="s">
        <v>48</v>
      </c>
      <c r="I545" t="s">
        <v>6606</v>
      </c>
      <c r="J545" t="s">
        <v>48</v>
      </c>
      <c r="K545" t="s">
        <v>6607</v>
      </c>
      <c r="L545">
        <v>1297500</v>
      </c>
      <c r="M545">
        <v>1730000</v>
      </c>
      <c r="N545" t="s">
        <v>6608</v>
      </c>
      <c r="O545" s="1">
        <v>45626</v>
      </c>
      <c r="P545" t="s">
        <v>6609</v>
      </c>
      <c r="Q545" t="s">
        <v>6610</v>
      </c>
      <c r="R545" t="s">
        <v>47</v>
      </c>
      <c r="S545" t="s">
        <v>48</v>
      </c>
      <c r="T545" t="s">
        <v>224</v>
      </c>
      <c r="U545" t="s">
        <v>98</v>
      </c>
      <c r="V545" t="s">
        <v>6611</v>
      </c>
      <c r="W545" t="s">
        <v>532</v>
      </c>
      <c r="X545" t="s">
        <v>533</v>
      </c>
      <c r="Y545" t="s">
        <v>6612</v>
      </c>
      <c r="Z545">
        <v>5</v>
      </c>
      <c r="AA545" t="s">
        <v>227</v>
      </c>
      <c r="AB545" t="s">
        <v>6613</v>
      </c>
      <c r="AC545" t="s">
        <v>6611</v>
      </c>
      <c r="AD545" t="s">
        <v>58</v>
      </c>
      <c r="AE545">
        <v>1297500</v>
      </c>
      <c r="AF545">
        <v>25950</v>
      </c>
      <c r="AJ545" t="str">
        <f>_xlfn.XLOOKUP(Table9[[#This Row],[Engine No.]],'[1]Dubai Islamic Consumer'!$Q$3:$Q$1176,'[1]Dubai Islamic Consumer'!$B$3:$B$1176,,,)</f>
        <v>KHI/HO/D/MO/PC COMP/C/102086/18/11/2024</v>
      </c>
    </row>
    <row r="546" spans="1:36" hidden="1" x14ac:dyDescent="0.25">
      <c r="A546">
        <v>545</v>
      </c>
      <c r="B546" t="s">
        <v>35</v>
      </c>
      <c r="C546" t="s">
        <v>6614</v>
      </c>
      <c r="D546" t="s">
        <v>37</v>
      </c>
      <c r="E546" t="s">
        <v>6615</v>
      </c>
      <c r="F546" t="s">
        <v>138</v>
      </c>
      <c r="G546" t="s">
        <v>6616</v>
      </c>
      <c r="H546" t="s">
        <v>6617</v>
      </c>
      <c r="I546" t="s">
        <v>6617</v>
      </c>
      <c r="J546" t="s">
        <v>6617</v>
      </c>
      <c r="K546" t="s">
        <v>6618</v>
      </c>
      <c r="L546">
        <v>1213100</v>
      </c>
      <c r="M546">
        <v>1733000</v>
      </c>
      <c r="N546" t="s">
        <v>6619</v>
      </c>
      <c r="O546" s="1">
        <v>45634</v>
      </c>
      <c r="P546" t="s">
        <v>6620</v>
      </c>
      <c r="Q546" t="s">
        <v>6621</v>
      </c>
      <c r="R546" t="s">
        <v>47</v>
      </c>
      <c r="S546" t="s">
        <v>48</v>
      </c>
      <c r="T546" t="s">
        <v>194</v>
      </c>
      <c r="U546" t="s">
        <v>148</v>
      </c>
      <c r="V546" s="1">
        <v>44746</v>
      </c>
      <c r="W546" t="s">
        <v>5621</v>
      </c>
      <c r="X546" t="s">
        <v>5561</v>
      </c>
      <c r="Y546" t="s">
        <v>6622</v>
      </c>
      <c r="Z546">
        <v>5</v>
      </c>
      <c r="AA546" t="s">
        <v>152</v>
      </c>
      <c r="AB546" t="s">
        <v>6623</v>
      </c>
      <c r="AC546" t="s">
        <v>6624</v>
      </c>
      <c r="AD546" t="s">
        <v>299</v>
      </c>
      <c r="AE546">
        <v>1473050</v>
      </c>
      <c r="AF546">
        <v>22096</v>
      </c>
      <c r="AJ546" t="str">
        <f>_xlfn.XLOOKUP(Table9[[#This Row],[Engine No.]],'[1]Dubai Islamic Consumer'!$Q$3:$Q$1176,'[1]Dubai Islamic Consumer'!$B$3:$B$1176,,,)</f>
        <v>KHI/HO/D/MO/PC COMP/C/103702/185/12/2024</v>
      </c>
    </row>
    <row r="547" spans="1:36" hidden="1" x14ac:dyDescent="0.25">
      <c r="A547">
        <v>546</v>
      </c>
      <c r="B547" t="s">
        <v>35</v>
      </c>
      <c r="C547" t="s">
        <v>6625</v>
      </c>
      <c r="D547" t="s">
        <v>37</v>
      </c>
      <c r="E547" t="s">
        <v>6626</v>
      </c>
      <c r="F547" t="s">
        <v>39</v>
      </c>
      <c r="G547" t="s">
        <v>6627</v>
      </c>
      <c r="H547" t="s">
        <v>6628</v>
      </c>
      <c r="I547" t="s">
        <v>6629</v>
      </c>
      <c r="J547" t="s">
        <v>6628</v>
      </c>
      <c r="K547" t="s">
        <v>6630</v>
      </c>
      <c r="L547">
        <v>2353800</v>
      </c>
      <c r="M547">
        <v>3923000</v>
      </c>
      <c r="N547" t="s">
        <v>6631</v>
      </c>
      <c r="O547" s="1">
        <v>45634</v>
      </c>
      <c r="P547" t="s">
        <v>6632</v>
      </c>
      <c r="Q547" t="s">
        <v>6633</v>
      </c>
      <c r="R547" t="s">
        <v>47</v>
      </c>
      <c r="S547" t="s">
        <v>48</v>
      </c>
      <c r="T547" t="s">
        <v>4389</v>
      </c>
      <c r="U547" t="s">
        <v>50</v>
      </c>
      <c r="V547" s="1">
        <v>44547</v>
      </c>
      <c r="W547" t="s">
        <v>4473</v>
      </c>
      <c r="X547" t="s">
        <v>4588</v>
      </c>
      <c r="Y547" t="s">
        <v>6634</v>
      </c>
      <c r="Z547">
        <v>5</v>
      </c>
      <c r="AA547" t="s">
        <v>55</v>
      </c>
      <c r="AB547" t="s">
        <v>6635</v>
      </c>
      <c r="AC547" t="s">
        <v>6636</v>
      </c>
      <c r="AD547" t="s">
        <v>58</v>
      </c>
      <c r="AE547">
        <v>3138400</v>
      </c>
      <c r="AF547">
        <v>62768</v>
      </c>
      <c r="AJ547" t="str">
        <f>_xlfn.XLOOKUP(Table9[[#This Row],[Engine No.]],'[1]Dubai Islamic Consumer'!$Q$3:$Q$1176,'[1]Dubai Islamic Consumer'!$B$3:$B$1176,,,)</f>
        <v>KHI/HO/D/MO/PC COMP/C/103702/178/12/2024</v>
      </c>
    </row>
    <row r="548" spans="1:36" hidden="1" x14ac:dyDescent="0.25">
      <c r="A548">
        <v>547</v>
      </c>
      <c r="B548" t="s">
        <v>35</v>
      </c>
      <c r="C548" t="s">
        <v>6637</v>
      </c>
      <c r="D548" t="s">
        <v>37</v>
      </c>
      <c r="E548" t="s">
        <v>6638</v>
      </c>
      <c r="F548" t="s">
        <v>138</v>
      </c>
      <c r="G548" t="s">
        <v>6639</v>
      </c>
      <c r="H548" t="s">
        <v>6640</v>
      </c>
      <c r="I548" t="s">
        <v>6641</v>
      </c>
      <c r="J548" t="s">
        <v>6640</v>
      </c>
      <c r="K548" t="s">
        <v>6642</v>
      </c>
      <c r="L548">
        <v>3127200</v>
      </c>
      <c r="M548">
        <v>3909000</v>
      </c>
      <c r="N548" t="s">
        <v>6643</v>
      </c>
      <c r="O548" s="1">
        <v>45634</v>
      </c>
      <c r="P548" t="s">
        <v>6644</v>
      </c>
      <c r="Q548" t="s">
        <v>6645</v>
      </c>
      <c r="R548" t="s">
        <v>47</v>
      </c>
      <c r="S548" t="s">
        <v>48</v>
      </c>
      <c r="T548" t="s">
        <v>97</v>
      </c>
      <c r="U548" t="s">
        <v>614</v>
      </c>
      <c r="V548" s="1">
        <v>43812</v>
      </c>
      <c r="W548" t="s">
        <v>5729</v>
      </c>
      <c r="X548" t="s">
        <v>5267</v>
      </c>
      <c r="Y548" t="s">
        <v>6646</v>
      </c>
      <c r="Z548">
        <v>6</v>
      </c>
      <c r="AA548" t="s">
        <v>55</v>
      </c>
      <c r="AB548" t="s">
        <v>6647</v>
      </c>
      <c r="AC548" t="s">
        <v>6648</v>
      </c>
      <c r="AD548" t="s">
        <v>171</v>
      </c>
      <c r="AE548">
        <v>2736300</v>
      </c>
      <c r="AF548">
        <v>68408</v>
      </c>
      <c r="AJ548" t="str">
        <f>_xlfn.XLOOKUP(Table9[[#This Row],[Engine No.]],'[1]Dubai Islamic Consumer'!$Q$3:$Q$1176,'[1]Dubai Islamic Consumer'!$B$3:$B$1176,,,)</f>
        <v>KHI/HO/D/MO/PC COMP/C/103702/177/12/2024</v>
      </c>
    </row>
    <row r="549" spans="1:36" hidden="1" x14ac:dyDescent="0.25">
      <c r="A549">
        <v>548</v>
      </c>
      <c r="B549" t="s">
        <v>35</v>
      </c>
      <c r="C549" t="s">
        <v>6649</v>
      </c>
      <c r="D549" t="s">
        <v>37</v>
      </c>
      <c r="E549" t="s">
        <v>6650</v>
      </c>
      <c r="F549" t="s">
        <v>89</v>
      </c>
      <c r="G549" t="s">
        <v>6651</v>
      </c>
      <c r="H549" t="s">
        <v>6652</v>
      </c>
      <c r="I549" t="s">
        <v>6653</v>
      </c>
      <c r="J549" t="s">
        <v>6654</v>
      </c>
      <c r="K549" t="s">
        <v>6655</v>
      </c>
      <c r="L549">
        <v>2162400</v>
      </c>
      <c r="M549">
        <v>2703000</v>
      </c>
      <c r="N549" t="s">
        <v>6656</v>
      </c>
      <c r="O549" s="1">
        <v>45634</v>
      </c>
      <c r="P549" t="s">
        <v>6657</v>
      </c>
      <c r="Q549" t="s">
        <v>6658</v>
      </c>
      <c r="R549" t="s">
        <v>47</v>
      </c>
      <c r="S549" t="s">
        <v>48</v>
      </c>
      <c r="T549" t="s">
        <v>1826</v>
      </c>
      <c r="U549" t="s">
        <v>50</v>
      </c>
      <c r="V549" s="1">
        <v>44439</v>
      </c>
      <c r="W549" t="s">
        <v>4473</v>
      </c>
      <c r="X549" t="s">
        <v>4588</v>
      </c>
      <c r="Y549" t="s">
        <v>6659</v>
      </c>
      <c r="Z549">
        <v>5</v>
      </c>
      <c r="AA549" t="s">
        <v>55</v>
      </c>
      <c r="AB549" t="s">
        <v>6660</v>
      </c>
      <c r="AC549" t="s">
        <v>6636</v>
      </c>
      <c r="AD549" t="s">
        <v>58</v>
      </c>
      <c r="AE549">
        <v>2162400</v>
      </c>
      <c r="AF549">
        <v>43248</v>
      </c>
      <c r="AJ549" t="str">
        <f>_xlfn.XLOOKUP(Table9[[#This Row],[Engine No.]],'[1]Dubai Islamic Consumer'!$Q$3:$Q$1176,'[1]Dubai Islamic Consumer'!$B$3:$B$1176,,,)</f>
        <v>KHI/HO/D/MO/PC COMP/C/103702/176/12/2024</v>
      </c>
    </row>
    <row r="550" spans="1:36" hidden="1" x14ac:dyDescent="0.25">
      <c r="A550">
        <v>549</v>
      </c>
      <c r="B550" t="s">
        <v>35</v>
      </c>
      <c r="C550" t="s">
        <v>6661</v>
      </c>
      <c r="D550" t="s">
        <v>37</v>
      </c>
      <c r="E550" t="s">
        <v>1773</v>
      </c>
      <c r="F550" t="s">
        <v>107</v>
      </c>
      <c r="G550" t="s">
        <v>6662</v>
      </c>
      <c r="H550" t="s">
        <v>6663</v>
      </c>
      <c r="I550" t="s">
        <v>6663</v>
      </c>
      <c r="J550" t="s">
        <v>6664</v>
      </c>
      <c r="K550" t="s">
        <v>6665</v>
      </c>
      <c r="L550">
        <v>920112</v>
      </c>
      <c r="M550">
        <v>1274000</v>
      </c>
      <c r="N550" t="s">
        <v>6666</v>
      </c>
      <c r="O550" s="1">
        <v>45625</v>
      </c>
      <c r="P550" t="s">
        <v>6667</v>
      </c>
      <c r="Q550" t="s">
        <v>6668</v>
      </c>
      <c r="R550" t="s">
        <v>47</v>
      </c>
      <c r="S550" t="s">
        <v>6669</v>
      </c>
      <c r="T550" t="s">
        <v>321</v>
      </c>
      <c r="U550" t="s">
        <v>496</v>
      </c>
      <c r="V550" t="s">
        <v>6670</v>
      </c>
      <c r="W550" t="s">
        <v>2306</v>
      </c>
      <c r="X550" s="1">
        <v>46012</v>
      </c>
      <c r="Y550" t="s">
        <v>6671</v>
      </c>
      <c r="Z550">
        <v>5</v>
      </c>
      <c r="AA550" t="s">
        <v>55</v>
      </c>
      <c r="AB550" t="s">
        <v>6672</v>
      </c>
      <c r="AC550" t="s">
        <v>4786</v>
      </c>
      <c r="AD550" t="s">
        <v>880</v>
      </c>
      <c r="AE550">
        <v>828100</v>
      </c>
      <c r="AF550">
        <v>25671</v>
      </c>
      <c r="AG550" t="s">
        <v>6673</v>
      </c>
      <c r="AH550" t="s">
        <v>3577</v>
      </c>
      <c r="AJ550" t="str">
        <f>_xlfn.XLOOKUP(Table9[[#This Row],[Engine No.]],'[1]Dubai Islamic Consumer'!$Q$3:$Q$1176,'[1]Dubai Islamic Consumer'!$B$3:$B$1176,,,)</f>
        <v>KHI/HO/D/MO/PC COMP/C/102086/9/11/2024</v>
      </c>
    </row>
    <row r="551" spans="1:36" hidden="1" x14ac:dyDescent="0.25">
      <c r="A551">
        <v>550</v>
      </c>
      <c r="B551" t="s">
        <v>35</v>
      </c>
      <c r="C551" t="s">
        <v>6674</v>
      </c>
      <c r="D551" t="s">
        <v>37</v>
      </c>
      <c r="E551" t="s">
        <v>6675</v>
      </c>
      <c r="F551" t="s">
        <v>89</v>
      </c>
      <c r="G551" t="s">
        <v>6676</v>
      </c>
      <c r="H551" t="s">
        <v>6677</v>
      </c>
      <c r="I551" t="s">
        <v>48</v>
      </c>
      <c r="J551" t="s">
        <v>6678</v>
      </c>
      <c r="K551" t="s">
        <v>6679</v>
      </c>
      <c r="L551">
        <v>1885800</v>
      </c>
      <c r="M551">
        <v>3143000</v>
      </c>
      <c r="N551" t="s">
        <v>6680</v>
      </c>
      <c r="O551" s="1">
        <v>45634</v>
      </c>
      <c r="P551" t="s">
        <v>6681</v>
      </c>
      <c r="Q551" t="s">
        <v>6682</v>
      </c>
      <c r="R551" t="s">
        <v>47</v>
      </c>
      <c r="S551" t="s">
        <v>48</v>
      </c>
      <c r="T551" t="s">
        <v>5352</v>
      </c>
      <c r="U551" t="s">
        <v>50</v>
      </c>
      <c r="V551" s="1">
        <v>44440</v>
      </c>
      <c r="W551" t="s">
        <v>4473</v>
      </c>
      <c r="X551" t="s">
        <v>4724</v>
      </c>
      <c r="Y551" t="s">
        <v>6683</v>
      </c>
      <c r="Z551">
        <v>7</v>
      </c>
      <c r="AA551" t="s">
        <v>55</v>
      </c>
      <c r="AB551" t="s">
        <v>6684</v>
      </c>
      <c r="AC551" t="s">
        <v>6351</v>
      </c>
      <c r="AD551" t="s">
        <v>58</v>
      </c>
      <c r="AE551">
        <v>2514400</v>
      </c>
      <c r="AF551">
        <v>50288</v>
      </c>
      <c r="AJ551" t="str">
        <f>_xlfn.XLOOKUP(Table9[[#This Row],[Engine No.]],'[1]Dubai Islamic Consumer'!$Q$3:$Q$1176,'[1]Dubai Islamic Consumer'!$B$3:$B$1176,,,)</f>
        <v>KHI/HO/D/MO/PC COMP/C/103702/175/12/2024</v>
      </c>
    </row>
    <row r="552" spans="1:36" hidden="1" x14ac:dyDescent="0.25">
      <c r="A552">
        <v>551</v>
      </c>
      <c r="B552" t="s">
        <v>35</v>
      </c>
      <c r="C552" t="s">
        <v>6685</v>
      </c>
      <c r="D552" t="s">
        <v>37</v>
      </c>
      <c r="E552" t="s">
        <v>6686</v>
      </c>
      <c r="F552" t="s">
        <v>4191</v>
      </c>
      <c r="G552" t="s">
        <v>6687</v>
      </c>
      <c r="H552" t="s">
        <v>48</v>
      </c>
      <c r="I552" t="s">
        <v>6688</v>
      </c>
      <c r="J552" t="s">
        <v>48</v>
      </c>
      <c r="K552" t="s">
        <v>6689</v>
      </c>
      <c r="L552">
        <v>1330000</v>
      </c>
      <c r="M552">
        <v>1900000</v>
      </c>
      <c r="N552" t="s">
        <v>6690</v>
      </c>
      <c r="O552" s="1">
        <v>45627</v>
      </c>
      <c r="P552" t="s">
        <v>6691</v>
      </c>
      <c r="Q552" t="s">
        <v>6692</v>
      </c>
      <c r="R552" t="s">
        <v>47</v>
      </c>
      <c r="S552" t="s">
        <v>48</v>
      </c>
      <c r="T552" t="s">
        <v>1323</v>
      </c>
      <c r="U552" t="s">
        <v>98</v>
      </c>
      <c r="V552" s="1">
        <v>44102</v>
      </c>
      <c r="W552" t="s">
        <v>3830</v>
      </c>
      <c r="X552" t="s">
        <v>3831</v>
      </c>
      <c r="Y552" t="s">
        <v>6693</v>
      </c>
      <c r="Z552">
        <v>5</v>
      </c>
      <c r="AA552" t="s">
        <v>55</v>
      </c>
      <c r="AB552" t="s">
        <v>6694</v>
      </c>
      <c r="AC552" t="s">
        <v>456</v>
      </c>
      <c r="AD552" t="s">
        <v>58</v>
      </c>
      <c r="AE552">
        <v>1425000</v>
      </c>
      <c r="AF552">
        <v>28500</v>
      </c>
      <c r="AJ552" t="str">
        <f>_xlfn.XLOOKUP(Table9[[#This Row],[Engine No.]],'[1]Dubai Islamic Consumer'!$Q$3:$Q$1176,'[1]Dubai Islamic Consumer'!$B$3:$B$1176,,,)</f>
        <v>KHI/HO/D/MO/PC COMP/C/103702/2/12/2024</v>
      </c>
    </row>
    <row r="553" spans="1:36" hidden="1" x14ac:dyDescent="0.25">
      <c r="A553">
        <v>552</v>
      </c>
      <c r="B553" t="s">
        <v>35</v>
      </c>
      <c r="C553" t="s">
        <v>6695</v>
      </c>
      <c r="D553" t="s">
        <v>37</v>
      </c>
      <c r="E553" t="s">
        <v>6696</v>
      </c>
      <c r="F553" t="s">
        <v>89</v>
      </c>
      <c r="G553" t="s">
        <v>6697</v>
      </c>
      <c r="H553" t="s">
        <v>6698</v>
      </c>
      <c r="I553" t="s">
        <v>48</v>
      </c>
      <c r="J553" t="s">
        <v>6699</v>
      </c>
      <c r="K553" t="s">
        <v>6700</v>
      </c>
      <c r="L553">
        <v>2156250</v>
      </c>
      <c r="M553">
        <v>2875000</v>
      </c>
      <c r="N553" t="s">
        <v>6701</v>
      </c>
      <c r="O553" s="1">
        <v>45627</v>
      </c>
      <c r="P553" t="s">
        <v>6702</v>
      </c>
      <c r="Q553" t="s">
        <v>6703</v>
      </c>
      <c r="R553" t="s">
        <v>47</v>
      </c>
      <c r="S553" t="s">
        <v>48</v>
      </c>
      <c r="T553" t="s">
        <v>348</v>
      </c>
      <c r="U553" t="s">
        <v>98</v>
      </c>
      <c r="V553" s="1">
        <v>44104</v>
      </c>
      <c r="W553" t="s">
        <v>3830</v>
      </c>
      <c r="X553" t="s">
        <v>3831</v>
      </c>
      <c r="Y553" t="s">
        <v>6704</v>
      </c>
      <c r="Z553">
        <v>5</v>
      </c>
      <c r="AA553" t="s">
        <v>55</v>
      </c>
      <c r="AB553" t="s">
        <v>6705</v>
      </c>
      <c r="AC553" t="s">
        <v>532</v>
      </c>
      <c r="AD553" t="s">
        <v>58</v>
      </c>
      <c r="AE553">
        <v>2156250</v>
      </c>
      <c r="AF553">
        <v>43125</v>
      </c>
      <c r="AJ553" t="str">
        <f>_xlfn.XLOOKUP(Table9[[#This Row],[Engine No.]],'[1]Dubai Islamic Consumer'!$Q$3:$Q$1176,'[1]Dubai Islamic Consumer'!$B$3:$B$1176,,,)</f>
        <v>KHI/HO/D/MO/PC COMP/C/103702/3/12/2024</v>
      </c>
    </row>
    <row r="554" spans="1:36" hidden="1" x14ac:dyDescent="0.25">
      <c r="A554">
        <v>553</v>
      </c>
      <c r="B554" t="s">
        <v>35</v>
      </c>
      <c r="C554" t="s">
        <v>6706</v>
      </c>
      <c r="D554" t="s">
        <v>37</v>
      </c>
      <c r="E554" t="s">
        <v>6707</v>
      </c>
      <c r="F554" t="s">
        <v>39</v>
      </c>
      <c r="G554" t="s">
        <v>6708</v>
      </c>
      <c r="H554" t="s">
        <v>48</v>
      </c>
      <c r="I554" t="s">
        <v>6709</v>
      </c>
      <c r="J554" t="s">
        <v>48</v>
      </c>
      <c r="K554" t="s">
        <v>6710</v>
      </c>
      <c r="L554">
        <v>2071225</v>
      </c>
      <c r="M554">
        <v>3186500</v>
      </c>
      <c r="N554" t="s">
        <v>6711</v>
      </c>
      <c r="O554" s="1">
        <v>45627</v>
      </c>
      <c r="P554" t="s">
        <v>6712</v>
      </c>
      <c r="Q554" t="s">
        <v>6713</v>
      </c>
      <c r="R554" t="s">
        <v>47</v>
      </c>
      <c r="S554" t="s">
        <v>48</v>
      </c>
      <c r="T554" t="s">
        <v>6714</v>
      </c>
      <c r="U554" t="s">
        <v>50</v>
      </c>
      <c r="V554" s="1">
        <v>44482</v>
      </c>
      <c r="W554" t="s">
        <v>6483</v>
      </c>
      <c r="X554" t="s">
        <v>6444</v>
      </c>
      <c r="Y554" t="s">
        <v>6715</v>
      </c>
      <c r="Z554">
        <v>6</v>
      </c>
      <c r="AA554" t="s">
        <v>55</v>
      </c>
      <c r="AB554" t="s">
        <v>6716</v>
      </c>
      <c r="AC554" t="s">
        <v>6636</v>
      </c>
      <c r="AD554" t="s">
        <v>58</v>
      </c>
      <c r="AE554">
        <v>2549200</v>
      </c>
      <c r="AF554">
        <v>50984</v>
      </c>
      <c r="AJ554" t="str">
        <f>_xlfn.XLOOKUP(Table9[[#This Row],[Engine No.]],'[1]Dubai Islamic Consumer'!$Q$3:$Q$1176,'[1]Dubai Islamic Consumer'!$B$3:$B$1176,,,)</f>
        <v>KHI/HO/D/MO/PC COMP/C/103702/4/12/2024</v>
      </c>
    </row>
    <row r="555" spans="1:36" hidden="1" x14ac:dyDescent="0.25">
      <c r="A555">
        <v>554</v>
      </c>
      <c r="B555" t="s">
        <v>35</v>
      </c>
      <c r="C555" t="s">
        <v>6717</v>
      </c>
      <c r="D555" t="s">
        <v>37</v>
      </c>
      <c r="E555" t="s">
        <v>6718</v>
      </c>
      <c r="F555" t="s">
        <v>107</v>
      </c>
      <c r="G555" t="s">
        <v>6719</v>
      </c>
      <c r="H555" t="s">
        <v>48</v>
      </c>
      <c r="I555" t="s">
        <v>6720</v>
      </c>
      <c r="J555" t="s">
        <v>48</v>
      </c>
      <c r="K555" t="s">
        <v>6721</v>
      </c>
      <c r="L555">
        <v>734300</v>
      </c>
      <c r="M555">
        <v>1049000</v>
      </c>
      <c r="N555" t="s">
        <v>6722</v>
      </c>
      <c r="O555" s="1">
        <v>45634</v>
      </c>
      <c r="P555" t="s">
        <v>6723</v>
      </c>
      <c r="Q555" t="s">
        <v>6724</v>
      </c>
      <c r="R555" t="s">
        <v>47</v>
      </c>
      <c r="S555" t="s">
        <v>48</v>
      </c>
      <c r="T555" t="s">
        <v>966</v>
      </c>
      <c r="U555" t="s">
        <v>50</v>
      </c>
      <c r="V555" s="1">
        <v>44498</v>
      </c>
      <c r="W555" t="s">
        <v>4015</v>
      </c>
      <c r="X555" t="s">
        <v>4016</v>
      </c>
      <c r="Y555" t="s">
        <v>6725</v>
      </c>
      <c r="Z555">
        <v>5</v>
      </c>
      <c r="AA555" t="s">
        <v>55</v>
      </c>
      <c r="AB555" t="s">
        <v>6726</v>
      </c>
      <c r="AC555" t="s">
        <v>6351</v>
      </c>
      <c r="AD555" t="s">
        <v>58</v>
      </c>
      <c r="AE555">
        <v>839200</v>
      </c>
      <c r="AF555">
        <v>16784</v>
      </c>
      <c r="AJ555" t="str">
        <f>_xlfn.XLOOKUP(Table9[[#This Row],[Engine No.]],'[1]Dubai Islamic Consumer'!$Q$3:$Q$1176,'[1]Dubai Islamic Consumer'!$B$3:$B$1176,,,)</f>
        <v>KHI/HO/D/MO/PC COMP/C/103702/168/12/2024</v>
      </c>
    </row>
    <row r="556" spans="1:36" hidden="1" x14ac:dyDescent="0.25">
      <c r="A556">
        <v>555</v>
      </c>
      <c r="B556" t="s">
        <v>35</v>
      </c>
      <c r="C556" t="s">
        <v>6727</v>
      </c>
      <c r="D556" t="s">
        <v>37</v>
      </c>
      <c r="E556" t="s">
        <v>6728</v>
      </c>
      <c r="F556" t="s">
        <v>107</v>
      </c>
      <c r="G556" t="s">
        <v>6729</v>
      </c>
      <c r="H556" t="s">
        <v>6730</v>
      </c>
      <c r="I556" t="s">
        <v>6730</v>
      </c>
      <c r="J556" t="s">
        <v>6731</v>
      </c>
      <c r="K556" t="s">
        <v>6732</v>
      </c>
      <c r="L556">
        <v>2414650</v>
      </c>
      <c r="M556">
        <v>6899000</v>
      </c>
      <c r="N556" t="s">
        <v>6733</v>
      </c>
      <c r="O556" s="1">
        <v>45627</v>
      </c>
      <c r="P556" t="s">
        <v>6734</v>
      </c>
      <c r="Q556" t="s">
        <v>6735</v>
      </c>
      <c r="R556" t="s">
        <v>47</v>
      </c>
      <c r="S556" t="s">
        <v>48</v>
      </c>
      <c r="T556" t="s">
        <v>6736</v>
      </c>
      <c r="U556" t="s">
        <v>148</v>
      </c>
      <c r="V556" s="1">
        <v>44900</v>
      </c>
      <c r="W556" t="s">
        <v>6737</v>
      </c>
      <c r="X556" t="s">
        <v>3831</v>
      </c>
      <c r="Y556" t="s">
        <v>6738</v>
      </c>
      <c r="Z556">
        <v>3</v>
      </c>
      <c r="AA556" t="s">
        <v>323</v>
      </c>
      <c r="AB556" t="s">
        <v>6739</v>
      </c>
      <c r="AC556" t="s">
        <v>6740</v>
      </c>
      <c r="AD556" t="s">
        <v>299</v>
      </c>
      <c r="AE556">
        <v>5864150</v>
      </c>
      <c r="AF556">
        <v>87962</v>
      </c>
      <c r="AJ556" t="str">
        <f>_xlfn.XLOOKUP(Table9[[#This Row],[Engine No.]],'[1]Dubai Islamic Consumer'!$Q$3:$Q$1176,'[1]Dubai Islamic Consumer'!$B$3:$B$1176,,,)</f>
        <v>KHI/HO/D/MO/PC COMP/C/103702/6/12/2024</v>
      </c>
    </row>
    <row r="557" spans="1:36" hidden="1" x14ac:dyDescent="0.25">
      <c r="A557">
        <v>556</v>
      </c>
      <c r="B557" t="s">
        <v>35</v>
      </c>
      <c r="C557" t="s">
        <v>6741</v>
      </c>
      <c r="D557" t="s">
        <v>37</v>
      </c>
      <c r="E557" t="s">
        <v>6742</v>
      </c>
      <c r="F557" t="s">
        <v>138</v>
      </c>
      <c r="G557" t="s">
        <v>6743</v>
      </c>
      <c r="H557" t="s">
        <v>6744</v>
      </c>
      <c r="I557" t="s">
        <v>6745</v>
      </c>
      <c r="J557" t="s">
        <v>6744</v>
      </c>
      <c r="K557" t="s">
        <v>6746</v>
      </c>
      <c r="L557">
        <v>2047500</v>
      </c>
      <c r="M557">
        <v>3150000</v>
      </c>
      <c r="N557" t="s">
        <v>6747</v>
      </c>
      <c r="O557" t="s">
        <v>6748</v>
      </c>
      <c r="P557" t="s">
        <v>6749</v>
      </c>
      <c r="Q557" t="s">
        <v>6750</v>
      </c>
      <c r="R557" t="s">
        <v>146</v>
      </c>
      <c r="S557" t="s">
        <v>6751</v>
      </c>
      <c r="T557" t="s">
        <v>2994</v>
      </c>
      <c r="U557" t="s">
        <v>148</v>
      </c>
      <c r="V557" s="1">
        <v>45272</v>
      </c>
      <c r="W557" t="s">
        <v>4587</v>
      </c>
      <c r="X557" t="s">
        <v>4588</v>
      </c>
      <c r="Y557" t="s">
        <v>6752</v>
      </c>
      <c r="Z557">
        <v>3</v>
      </c>
      <c r="AA557" t="s">
        <v>55</v>
      </c>
      <c r="AB557" t="s">
        <v>6753</v>
      </c>
      <c r="AC557" t="s">
        <v>6293</v>
      </c>
      <c r="AD557" t="s">
        <v>86</v>
      </c>
      <c r="AE557">
        <v>2835000</v>
      </c>
      <c r="AF557">
        <v>49613</v>
      </c>
      <c r="AJ557" t="e">
        <f>_xlfn.XLOOKUP(Table9[[#This Row],[Engine No.]],'[1]Dubai Islamic Consumer'!$Q$3:$Q$1176,'[1]Dubai Islamic Consumer'!$B$3:$B$1176,,,)</f>
        <v>#N/A</v>
      </c>
    </row>
    <row r="558" spans="1:36" hidden="1" x14ac:dyDescent="0.25">
      <c r="A558">
        <v>557</v>
      </c>
      <c r="B558" t="s">
        <v>35</v>
      </c>
      <c r="C558" t="s">
        <v>6754</v>
      </c>
      <c r="D558" t="s">
        <v>37</v>
      </c>
      <c r="E558" t="s">
        <v>6755</v>
      </c>
      <c r="F558" t="s">
        <v>138</v>
      </c>
      <c r="G558" t="s">
        <v>6756</v>
      </c>
      <c r="H558" t="s">
        <v>6757</v>
      </c>
      <c r="I558" t="s">
        <v>6757</v>
      </c>
      <c r="J558" t="s">
        <v>141</v>
      </c>
      <c r="K558" t="s">
        <v>6758</v>
      </c>
      <c r="L558">
        <v>1435000</v>
      </c>
      <c r="M558">
        <v>2050000</v>
      </c>
      <c r="N558" t="s">
        <v>6759</v>
      </c>
      <c r="O558" t="s">
        <v>6748</v>
      </c>
      <c r="P558" t="s">
        <v>6760</v>
      </c>
      <c r="Q558" t="s">
        <v>6761</v>
      </c>
      <c r="R558" t="s">
        <v>146</v>
      </c>
      <c r="S558" t="s">
        <v>6762</v>
      </c>
      <c r="T558" t="s">
        <v>1909</v>
      </c>
      <c r="U558" t="s">
        <v>496</v>
      </c>
      <c r="V558" s="1">
        <v>45271</v>
      </c>
      <c r="W558" t="s">
        <v>6293</v>
      </c>
      <c r="X558" t="s">
        <v>6578</v>
      </c>
      <c r="Y558" t="s">
        <v>6763</v>
      </c>
      <c r="Z558">
        <v>5</v>
      </c>
      <c r="AA558" t="s">
        <v>55</v>
      </c>
      <c r="AB558" t="s">
        <v>6764</v>
      </c>
      <c r="AC558" t="s">
        <v>6293</v>
      </c>
      <c r="AD558" t="s">
        <v>86</v>
      </c>
      <c r="AE558">
        <v>1845000</v>
      </c>
      <c r="AF558">
        <v>32288</v>
      </c>
      <c r="AJ558" t="str">
        <f>_xlfn.XLOOKUP(Table9[[#This Row],[Engine No.]],'[1]Dubai Islamic Consumer'!$Q$3:$Q$1176,'[1]Dubai Islamic Consumer'!$B$3:$B$1176,,,)</f>
        <v>KHI/HO/D/MO/PC COMP/C/103702/164/12/2024</v>
      </c>
    </row>
    <row r="559" spans="1:36" hidden="1" x14ac:dyDescent="0.25">
      <c r="A559">
        <v>558</v>
      </c>
      <c r="B559" t="s">
        <v>35</v>
      </c>
      <c r="C559" t="s">
        <v>6765</v>
      </c>
      <c r="D559" t="s">
        <v>37</v>
      </c>
      <c r="E559" t="s">
        <v>6766</v>
      </c>
      <c r="F559" t="s">
        <v>107</v>
      </c>
      <c r="G559" t="s">
        <v>6767</v>
      </c>
      <c r="H559" t="s">
        <v>6768</v>
      </c>
      <c r="I559" t="s">
        <v>6768</v>
      </c>
      <c r="J559" t="s">
        <v>6768</v>
      </c>
      <c r="K559" t="s">
        <v>6769</v>
      </c>
      <c r="L559">
        <v>737500</v>
      </c>
      <c r="M559">
        <v>1475000</v>
      </c>
      <c r="N559" t="s">
        <v>6770</v>
      </c>
      <c r="O559" s="1">
        <v>45627</v>
      </c>
      <c r="P559" t="s">
        <v>6771</v>
      </c>
      <c r="Q559" t="s">
        <v>6772</v>
      </c>
      <c r="R559" t="s">
        <v>47</v>
      </c>
      <c r="S559" t="s">
        <v>48</v>
      </c>
      <c r="T559" t="s">
        <v>1384</v>
      </c>
      <c r="U559" t="s">
        <v>148</v>
      </c>
      <c r="V559" s="1">
        <v>44711</v>
      </c>
      <c r="W559" t="s">
        <v>6737</v>
      </c>
      <c r="X559" t="s">
        <v>3831</v>
      </c>
      <c r="Y559" t="s">
        <v>6773</v>
      </c>
      <c r="Z559">
        <v>3</v>
      </c>
      <c r="AA559" t="s">
        <v>227</v>
      </c>
      <c r="AB559" t="s">
        <v>6774</v>
      </c>
      <c r="AC559" t="s">
        <v>6740</v>
      </c>
      <c r="AD559" t="s">
        <v>58</v>
      </c>
      <c r="AE559">
        <v>1253750</v>
      </c>
      <c r="AF559">
        <v>25075</v>
      </c>
      <c r="AJ559" t="str">
        <f>_xlfn.XLOOKUP(Table9[[#This Row],[Engine No.]],'[1]Dubai Islamic Consumer'!$Q$3:$Q$1176,'[1]Dubai Islamic Consumer'!$B$3:$B$1176,,,)</f>
        <v>KHI/HO/D/MO/PC COMP/C/103702/8/12/2024</v>
      </c>
    </row>
    <row r="560" spans="1:36" hidden="1" x14ac:dyDescent="0.25">
      <c r="A560">
        <v>559</v>
      </c>
      <c r="B560" t="s">
        <v>35</v>
      </c>
      <c r="C560" t="s">
        <v>6775</v>
      </c>
      <c r="D560" t="s">
        <v>37</v>
      </c>
      <c r="E560" t="s">
        <v>655</v>
      </c>
      <c r="F560" t="s">
        <v>107</v>
      </c>
      <c r="G560" t="s">
        <v>6776</v>
      </c>
      <c r="H560" t="s">
        <v>48</v>
      </c>
      <c r="I560" t="s">
        <v>6777</v>
      </c>
      <c r="J560" t="s">
        <v>48</v>
      </c>
      <c r="K560" t="s">
        <v>6778</v>
      </c>
      <c r="L560">
        <v>866500</v>
      </c>
      <c r="M560">
        <v>1733000</v>
      </c>
      <c r="N560" t="s">
        <v>6779</v>
      </c>
      <c r="O560" s="1">
        <v>45627</v>
      </c>
      <c r="P560" t="s">
        <v>6780</v>
      </c>
      <c r="Q560" t="s">
        <v>6781</v>
      </c>
      <c r="R560" t="s">
        <v>47</v>
      </c>
      <c r="S560" t="s">
        <v>48</v>
      </c>
      <c r="T560" t="s">
        <v>194</v>
      </c>
      <c r="U560" t="s">
        <v>148</v>
      </c>
      <c r="V560" s="1">
        <v>44721</v>
      </c>
      <c r="W560" t="s">
        <v>6737</v>
      </c>
      <c r="X560" t="s">
        <v>6444</v>
      </c>
      <c r="Y560" t="s">
        <v>6782</v>
      </c>
      <c r="Z560">
        <v>5</v>
      </c>
      <c r="AA560" t="s">
        <v>227</v>
      </c>
      <c r="AB560" t="s">
        <v>6783</v>
      </c>
      <c r="AC560" t="s">
        <v>6740</v>
      </c>
      <c r="AD560" t="s">
        <v>58</v>
      </c>
      <c r="AE560">
        <v>1473050</v>
      </c>
      <c r="AF560">
        <v>29461</v>
      </c>
      <c r="AJ560" t="str">
        <f>_xlfn.XLOOKUP(Table9[[#This Row],[Engine No.]],'[1]Dubai Islamic Consumer'!$Q$3:$Q$1176,'[1]Dubai Islamic Consumer'!$B$3:$B$1176,,,)</f>
        <v>KHI/HO/D/MO/PC COMP/C/103702/9/12/2024</v>
      </c>
    </row>
    <row r="561" spans="1:36" hidden="1" x14ac:dyDescent="0.25">
      <c r="A561">
        <v>560</v>
      </c>
      <c r="B561" t="s">
        <v>35</v>
      </c>
      <c r="C561" t="s">
        <v>6784</v>
      </c>
      <c r="D561" t="s">
        <v>37</v>
      </c>
      <c r="E561" t="s">
        <v>6785</v>
      </c>
      <c r="F561" t="s">
        <v>245</v>
      </c>
      <c r="G561" t="s">
        <v>6786</v>
      </c>
      <c r="H561" t="s">
        <v>6787</v>
      </c>
      <c r="I561" t="s">
        <v>48</v>
      </c>
      <c r="J561" t="s">
        <v>6787</v>
      </c>
      <c r="K561" t="s">
        <v>6788</v>
      </c>
      <c r="L561">
        <v>2273250</v>
      </c>
      <c r="M561">
        <v>7577500</v>
      </c>
      <c r="N561" t="s">
        <v>6789</v>
      </c>
      <c r="O561" s="1">
        <v>45633</v>
      </c>
      <c r="P561" t="s">
        <v>6790</v>
      </c>
      <c r="Q561" t="s">
        <v>6791</v>
      </c>
      <c r="R561" t="s">
        <v>47</v>
      </c>
      <c r="S561" t="s">
        <v>48</v>
      </c>
      <c r="T561" t="s">
        <v>6792</v>
      </c>
      <c r="U561" t="s">
        <v>148</v>
      </c>
      <c r="V561" s="1">
        <v>44893</v>
      </c>
      <c r="W561" t="s">
        <v>5621</v>
      </c>
      <c r="X561" t="s">
        <v>5267</v>
      </c>
      <c r="Y561" t="s">
        <v>6793</v>
      </c>
      <c r="Z561">
        <v>3</v>
      </c>
      <c r="AA561" t="s">
        <v>323</v>
      </c>
      <c r="AB561" t="s">
        <v>6794</v>
      </c>
      <c r="AC561" t="s">
        <v>6624</v>
      </c>
      <c r="AD561" t="s">
        <v>58</v>
      </c>
      <c r="AE561">
        <v>6440875</v>
      </c>
      <c r="AF561">
        <v>128818</v>
      </c>
      <c r="AJ561" t="str">
        <f>_xlfn.XLOOKUP(Table9[[#This Row],[Engine No.]],'[1]Dubai Islamic Consumer'!$Q$3:$Q$1176,'[1]Dubai Islamic Consumer'!$B$3:$B$1176,,,)</f>
        <v>KHI/HO/D/MO/PC COMP/C/103702/161/12/2024</v>
      </c>
    </row>
    <row r="562" spans="1:36" hidden="1" x14ac:dyDescent="0.25">
      <c r="A562">
        <v>561</v>
      </c>
      <c r="B562" t="s">
        <v>35</v>
      </c>
      <c r="C562" t="s">
        <v>6795</v>
      </c>
      <c r="D562" t="s">
        <v>37</v>
      </c>
      <c r="E562" t="s">
        <v>6796</v>
      </c>
      <c r="F562" t="s">
        <v>107</v>
      </c>
      <c r="G562" t="s">
        <v>6797</v>
      </c>
      <c r="H562" t="s">
        <v>6798</v>
      </c>
      <c r="I562" t="s">
        <v>6798</v>
      </c>
      <c r="J562" t="s">
        <v>6798</v>
      </c>
      <c r="K562" t="s">
        <v>6799</v>
      </c>
      <c r="L562">
        <v>2851380</v>
      </c>
      <c r="M562">
        <v>4599000</v>
      </c>
      <c r="N562" t="s">
        <v>6800</v>
      </c>
      <c r="O562" s="1">
        <v>45633</v>
      </c>
      <c r="P562" t="s">
        <v>6801</v>
      </c>
      <c r="Q562" t="s">
        <v>6802</v>
      </c>
      <c r="R562" t="s">
        <v>47</v>
      </c>
      <c r="S562" t="s">
        <v>48</v>
      </c>
      <c r="T562" t="s">
        <v>6803</v>
      </c>
      <c r="U562" t="s">
        <v>148</v>
      </c>
      <c r="V562" s="1">
        <v>44746</v>
      </c>
      <c r="W562" t="s">
        <v>5621</v>
      </c>
      <c r="X562" t="s">
        <v>5267</v>
      </c>
      <c r="Y562" t="s">
        <v>6804</v>
      </c>
      <c r="Z562">
        <v>3</v>
      </c>
      <c r="AA562" t="s">
        <v>152</v>
      </c>
      <c r="AB562" t="s">
        <v>6805</v>
      </c>
      <c r="AC562" t="s">
        <v>6624</v>
      </c>
      <c r="AD562" t="s">
        <v>58</v>
      </c>
      <c r="AE562">
        <v>3909150</v>
      </c>
      <c r="AF562">
        <v>78183</v>
      </c>
      <c r="AJ562" t="str">
        <f>_xlfn.XLOOKUP(Table9[[#This Row],[Engine No.]],'[1]Dubai Islamic Consumer'!$Q$3:$Q$1176,'[1]Dubai Islamic Consumer'!$B$3:$B$1176,,,)</f>
        <v>KHI/HO/D/MO/PC COMP/C/103702/160/12/2024</v>
      </c>
    </row>
    <row r="563" spans="1:36" hidden="1" x14ac:dyDescent="0.25">
      <c r="A563">
        <v>562</v>
      </c>
      <c r="B563" t="s">
        <v>35</v>
      </c>
      <c r="C563" t="s">
        <v>6806</v>
      </c>
      <c r="D563" t="s">
        <v>37</v>
      </c>
      <c r="E563" t="s">
        <v>6807</v>
      </c>
      <c r="F563" t="s">
        <v>39</v>
      </c>
      <c r="G563" t="s">
        <v>6808</v>
      </c>
      <c r="H563" t="s">
        <v>6809</v>
      </c>
      <c r="I563" t="s">
        <v>6810</v>
      </c>
      <c r="J563" t="s">
        <v>6811</v>
      </c>
      <c r="K563" t="s">
        <v>6812</v>
      </c>
      <c r="L563">
        <v>1658350</v>
      </c>
      <c r="M563">
        <v>1951000</v>
      </c>
      <c r="N563" t="s">
        <v>6813</v>
      </c>
      <c r="O563" s="1">
        <v>45627</v>
      </c>
      <c r="P563" t="s">
        <v>6814</v>
      </c>
      <c r="Q563" t="s">
        <v>6815</v>
      </c>
      <c r="R563" t="s">
        <v>47</v>
      </c>
      <c r="S563" t="s">
        <v>48</v>
      </c>
      <c r="T563" t="s">
        <v>613</v>
      </c>
      <c r="U563" t="s">
        <v>148</v>
      </c>
      <c r="V563" s="1">
        <v>44708</v>
      </c>
      <c r="W563" t="s">
        <v>6737</v>
      </c>
      <c r="X563" t="s">
        <v>6444</v>
      </c>
      <c r="Y563" t="s">
        <v>6816</v>
      </c>
      <c r="Z563">
        <v>5</v>
      </c>
      <c r="AA563" t="s">
        <v>227</v>
      </c>
      <c r="AB563" t="s">
        <v>6817</v>
      </c>
      <c r="AC563" t="s">
        <v>6740</v>
      </c>
      <c r="AD563" t="s">
        <v>58</v>
      </c>
      <c r="AE563">
        <v>1658350</v>
      </c>
      <c r="AF563">
        <v>33167</v>
      </c>
      <c r="AJ563" t="str">
        <f>_xlfn.XLOOKUP(Table9[[#This Row],[Engine No.]],'[1]Dubai Islamic Consumer'!$Q$3:$Q$1176,'[1]Dubai Islamic Consumer'!$B$3:$B$1176,,,)</f>
        <v>KHI/HO/D/MO/PC COMP/C/103702/11/12/2024</v>
      </c>
    </row>
    <row r="564" spans="1:36" hidden="1" x14ac:dyDescent="0.25">
      <c r="A564">
        <v>563</v>
      </c>
      <c r="B564" t="s">
        <v>35</v>
      </c>
      <c r="C564" t="s">
        <v>6818</v>
      </c>
      <c r="D564" t="s">
        <v>37</v>
      </c>
      <c r="E564" t="s">
        <v>6819</v>
      </c>
      <c r="F564" t="s">
        <v>89</v>
      </c>
      <c r="G564" t="s">
        <v>6820</v>
      </c>
      <c r="H564" t="s">
        <v>1505</v>
      </c>
      <c r="I564" t="s">
        <v>6821</v>
      </c>
      <c r="J564" t="s">
        <v>6822</v>
      </c>
      <c r="K564" t="s">
        <v>6823</v>
      </c>
      <c r="L564">
        <v>6397300</v>
      </c>
      <c r="M564">
        <v>9139000</v>
      </c>
      <c r="N564" t="s">
        <v>6824</v>
      </c>
      <c r="O564" s="1">
        <v>45633</v>
      </c>
      <c r="P564" t="s">
        <v>6825</v>
      </c>
      <c r="Q564" t="s">
        <v>6826</v>
      </c>
      <c r="R564" t="s">
        <v>47</v>
      </c>
      <c r="S564" t="s">
        <v>48</v>
      </c>
      <c r="T564" t="s">
        <v>1696</v>
      </c>
      <c r="U564" t="s">
        <v>98</v>
      </c>
      <c r="V564" s="1">
        <v>44064</v>
      </c>
      <c r="W564" t="s">
        <v>5266</v>
      </c>
      <c r="X564" t="s">
        <v>5267</v>
      </c>
      <c r="Y564" t="s">
        <v>6827</v>
      </c>
      <c r="Z564">
        <v>5</v>
      </c>
      <c r="AA564" t="s">
        <v>227</v>
      </c>
      <c r="AB564" t="s">
        <v>6828</v>
      </c>
      <c r="AC564" t="s">
        <v>6829</v>
      </c>
      <c r="AD564" t="s">
        <v>299</v>
      </c>
      <c r="AE564">
        <v>6854250</v>
      </c>
      <c r="AF564">
        <v>102814</v>
      </c>
      <c r="AJ564" t="e">
        <f>_xlfn.XLOOKUP(Table9[[#This Row],[Engine No.]],'[1]Dubai Islamic Consumer'!$Q$3:$Q$1176,'[1]Dubai Islamic Consumer'!$B$3:$B$1176,,,)</f>
        <v>#N/A</v>
      </c>
    </row>
    <row r="565" spans="1:36" hidden="1" x14ac:dyDescent="0.25">
      <c r="A565">
        <v>564</v>
      </c>
      <c r="B565" t="s">
        <v>35</v>
      </c>
      <c r="C565" t="s">
        <v>6830</v>
      </c>
      <c r="D565" t="s">
        <v>37</v>
      </c>
      <c r="E565" t="s">
        <v>6831</v>
      </c>
      <c r="F565" t="s">
        <v>107</v>
      </c>
      <c r="G565" t="s">
        <v>6832</v>
      </c>
      <c r="H565" t="s">
        <v>48</v>
      </c>
      <c r="I565" t="s">
        <v>6833</v>
      </c>
      <c r="J565" t="s">
        <v>6834</v>
      </c>
      <c r="K565" t="s">
        <v>6835</v>
      </c>
      <c r="L565">
        <v>2128500</v>
      </c>
      <c r="M565">
        <v>3870000</v>
      </c>
      <c r="N565" t="s">
        <v>6836</v>
      </c>
      <c r="O565" s="1">
        <v>45633</v>
      </c>
      <c r="P565" t="s">
        <v>6837</v>
      </c>
      <c r="Q565" t="s">
        <v>6838</v>
      </c>
      <c r="R565" t="s">
        <v>47</v>
      </c>
      <c r="S565" t="s">
        <v>48</v>
      </c>
      <c r="T565" t="s">
        <v>1065</v>
      </c>
      <c r="U565" t="s">
        <v>50</v>
      </c>
      <c r="V565" s="1">
        <v>44461</v>
      </c>
      <c r="W565" t="s">
        <v>6483</v>
      </c>
      <c r="X565" t="s">
        <v>6578</v>
      </c>
      <c r="Y565" t="s">
        <v>6839</v>
      </c>
      <c r="Z565">
        <v>7</v>
      </c>
      <c r="AA565" t="s">
        <v>55</v>
      </c>
      <c r="AB565" t="s">
        <v>6840</v>
      </c>
      <c r="AC565" t="s">
        <v>6841</v>
      </c>
      <c r="AD565" t="s">
        <v>58</v>
      </c>
      <c r="AE565">
        <v>3096000</v>
      </c>
      <c r="AF565">
        <v>61920</v>
      </c>
      <c r="AJ565" t="str">
        <f>_xlfn.XLOOKUP(Table9[[#This Row],[Engine No.]],'[1]Dubai Islamic Consumer'!$Q$3:$Q$1176,'[1]Dubai Islamic Consumer'!$B$3:$B$1176,,,)</f>
        <v>KHI/HO/D/MO/PC COMP/C/103702/147/12/2024</v>
      </c>
    </row>
    <row r="566" spans="1:36" hidden="1" x14ac:dyDescent="0.25">
      <c r="A566">
        <v>565</v>
      </c>
      <c r="B566" t="s">
        <v>35</v>
      </c>
      <c r="C566" t="s">
        <v>6842</v>
      </c>
      <c r="D566" t="s">
        <v>37</v>
      </c>
      <c r="E566" t="s">
        <v>6843</v>
      </c>
      <c r="F566" t="s">
        <v>107</v>
      </c>
      <c r="G566" t="s">
        <v>6844</v>
      </c>
      <c r="H566" t="s">
        <v>6845</v>
      </c>
      <c r="I566" t="s">
        <v>6845</v>
      </c>
      <c r="J566" t="s">
        <v>6846</v>
      </c>
      <c r="K566" t="s">
        <v>6847</v>
      </c>
      <c r="L566">
        <v>1767500</v>
      </c>
      <c r="M566">
        <v>2525000</v>
      </c>
      <c r="N566" t="s">
        <v>6848</v>
      </c>
      <c r="O566" s="1">
        <v>45633</v>
      </c>
      <c r="P566" t="s">
        <v>6849</v>
      </c>
      <c r="Q566" t="s">
        <v>6850</v>
      </c>
      <c r="R566" t="s">
        <v>47</v>
      </c>
      <c r="S566" t="s">
        <v>6851</v>
      </c>
      <c r="T566" t="s">
        <v>3817</v>
      </c>
      <c r="U566" t="s">
        <v>496</v>
      </c>
      <c r="V566" s="1">
        <v>44175</v>
      </c>
      <c r="W566" t="s">
        <v>3830</v>
      </c>
      <c r="X566" t="s">
        <v>3831</v>
      </c>
      <c r="Y566" t="s">
        <v>6852</v>
      </c>
      <c r="Z566">
        <v>5</v>
      </c>
      <c r="AA566" t="s">
        <v>227</v>
      </c>
      <c r="AB566" t="s">
        <v>6853</v>
      </c>
      <c r="AC566" t="s">
        <v>6854</v>
      </c>
      <c r="AD566" t="s">
        <v>58</v>
      </c>
      <c r="AE566">
        <v>1893750</v>
      </c>
      <c r="AF566">
        <v>37875</v>
      </c>
      <c r="AJ566" t="str">
        <f>_xlfn.XLOOKUP(Table9[[#This Row],[Engine No.]],'[1]Dubai Islamic Consumer'!$Q$3:$Q$1176,'[1]Dubai Islamic Consumer'!$B$3:$B$1176,,,)</f>
        <v>KHI/HO/D/MO/PC COMP/C/103702/143/12/2024</v>
      </c>
    </row>
    <row r="567" spans="1:36" hidden="1" x14ac:dyDescent="0.25">
      <c r="A567">
        <v>566</v>
      </c>
      <c r="B567" t="s">
        <v>35</v>
      </c>
      <c r="C567" t="s">
        <v>6855</v>
      </c>
      <c r="D567" t="s">
        <v>37</v>
      </c>
      <c r="E567" t="s">
        <v>6856</v>
      </c>
      <c r="F567" t="s">
        <v>138</v>
      </c>
      <c r="G567" t="s">
        <v>6857</v>
      </c>
      <c r="H567" t="s">
        <v>6858</v>
      </c>
      <c r="I567" t="s">
        <v>6858</v>
      </c>
      <c r="J567" t="s">
        <v>141</v>
      </c>
      <c r="K567" t="s">
        <v>6859</v>
      </c>
      <c r="L567">
        <v>1437800</v>
      </c>
      <c r="M567">
        <v>2054000</v>
      </c>
      <c r="N567" t="s">
        <v>6860</v>
      </c>
      <c r="O567" s="1">
        <v>45633</v>
      </c>
      <c r="P567" t="s">
        <v>6861</v>
      </c>
      <c r="Q567" t="s">
        <v>6862</v>
      </c>
      <c r="R567" t="s">
        <v>47</v>
      </c>
      <c r="S567" t="s">
        <v>48</v>
      </c>
      <c r="T567" t="s">
        <v>6863</v>
      </c>
      <c r="U567" t="s">
        <v>50</v>
      </c>
      <c r="V567" s="1">
        <v>44287</v>
      </c>
      <c r="W567" t="s">
        <v>6483</v>
      </c>
      <c r="X567" t="s">
        <v>6431</v>
      </c>
      <c r="Y567" t="s">
        <v>6864</v>
      </c>
      <c r="Z567">
        <v>5</v>
      </c>
      <c r="AA567" t="s">
        <v>55</v>
      </c>
      <c r="AB567" t="s">
        <v>6865</v>
      </c>
      <c r="AC567" t="s">
        <v>6841</v>
      </c>
      <c r="AD567" t="s">
        <v>58</v>
      </c>
      <c r="AE567">
        <v>1643200</v>
      </c>
      <c r="AF567">
        <v>32864</v>
      </c>
      <c r="AJ567" t="str">
        <f>_xlfn.XLOOKUP(Table9[[#This Row],[Engine No.]],'[1]Dubai Islamic Consumer'!$Q$3:$Q$1176,'[1]Dubai Islamic Consumer'!$B$3:$B$1176,,,)</f>
        <v>KHI/HO/D/MO/PC COMP/C/103702/142/12/2024</v>
      </c>
    </row>
    <row r="568" spans="1:36" hidden="1" x14ac:dyDescent="0.25">
      <c r="A568">
        <v>567</v>
      </c>
      <c r="B568" t="s">
        <v>35</v>
      </c>
      <c r="C568" t="s">
        <v>6866</v>
      </c>
      <c r="D568" t="s">
        <v>37</v>
      </c>
      <c r="E568" t="s">
        <v>6867</v>
      </c>
      <c r="F568" t="s">
        <v>107</v>
      </c>
      <c r="G568" t="s">
        <v>6868</v>
      </c>
      <c r="H568" t="s">
        <v>6869</v>
      </c>
      <c r="I568" t="s">
        <v>6869</v>
      </c>
      <c r="J568" t="s">
        <v>6869</v>
      </c>
      <c r="K568" t="s">
        <v>6870</v>
      </c>
      <c r="L568">
        <v>1288000</v>
      </c>
      <c r="M568">
        <v>1610000</v>
      </c>
      <c r="N568" t="s">
        <v>6871</v>
      </c>
      <c r="O568" s="1">
        <v>45633</v>
      </c>
      <c r="P568" t="s">
        <v>6872</v>
      </c>
      <c r="Q568" t="s">
        <v>6873</v>
      </c>
      <c r="R568" t="s">
        <v>47</v>
      </c>
      <c r="S568" t="s">
        <v>48</v>
      </c>
      <c r="T568" t="s">
        <v>3356</v>
      </c>
      <c r="U568" t="s">
        <v>50</v>
      </c>
      <c r="V568" s="1">
        <v>44438</v>
      </c>
      <c r="W568" t="s">
        <v>6483</v>
      </c>
      <c r="X568" t="s">
        <v>6431</v>
      </c>
      <c r="Y568" t="s">
        <v>6874</v>
      </c>
      <c r="Z568">
        <v>5</v>
      </c>
      <c r="AA568" t="s">
        <v>55</v>
      </c>
      <c r="AB568" t="s">
        <v>6875</v>
      </c>
      <c r="AC568" t="s">
        <v>6841</v>
      </c>
      <c r="AD568" t="s">
        <v>58</v>
      </c>
      <c r="AE568">
        <v>1288000</v>
      </c>
      <c r="AF568">
        <v>25760</v>
      </c>
      <c r="AJ568" t="str">
        <f>_xlfn.XLOOKUP(Table9[[#This Row],[Engine No.]],'[1]Dubai Islamic Consumer'!$Q$3:$Q$1176,'[1]Dubai Islamic Consumer'!$B$3:$B$1176,,,)</f>
        <v>KHI/HO/D/MO/PC COMP/C/103702/140/12/2024</v>
      </c>
    </row>
    <row r="569" spans="1:36" hidden="1" x14ac:dyDescent="0.25">
      <c r="A569">
        <v>568</v>
      </c>
      <c r="B569" t="s">
        <v>35</v>
      </c>
      <c r="C569" t="s">
        <v>6876</v>
      </c>
      <c r="D569" t="s">
        <v>37</v>
      </c>
      <c r="E569" t="s">
        <v>6877</v>
      </c>
      <c r="F569" t="s">
        <v>851</v>
      </c>
      <c r="G569" t="s">
        <v>6878</v>
      </c>
      <c r="H569" t="s">
        <v>6879</v>
      </c>
      <c r="I569" t="s">
        <v>6879</v>
      </c>
      <c r="J569" t="s">
        <v>6879</v>
      </c>
      <c r="K569" t="s">
        <v>6880</v>
      </c>
      <c r="L569">
        <v>993000</v>
      </c>
      <c r="M569">
        <v>1655000</v>
      </c>
      <c r="N569" t="s">
        <v>6881</v>
      </c>
      <c r="O569" s="1">
        <v>45628</v>
      </c>
      <c r="P569" t="s">
        <v>6882</v>
      </c>
      <c r="Q569" t="s">
        <v>6883</v>
      </c>
      <c r="R569" t="s">
        <v>47</v>
      </c>
      <c r="S569" t="s">
        <v>48</v>
      </c>
      <c r="T569" t="s">
        <v>2195</v>
      </c>
      <c r="U569" t="s">
        <v>50</v>
      </c>
      <c r="V569" s="1">
        <v>44404</v>
      </c>
      <c r="W569" t="s">
        <v>6483</v>
      </c>
      <c r="X569" t="s">
        <v>6431</v>
      </c>
      <c r="Y569" t="s">
        <v>6884</v>
      </c>
      <c r="Z569">
        <v>5</v>
      </c>
      <c r="AA569" t="s">
        <v>118</v>
      </c>
      <c r="AB569" t="s">
        <v>6885</v>
      </c>
      <c r="AC569" t="s">
        <v>132</v>
      </c>
      <c r="AD569" t="s">
        <v>58</v>
      </c>
      <c r="AE569">
        <v>1324000</v>
      </c>
      <c r="AF569">
        <v>26480</v>
      </c>
      <c r="AJ569" t="str">
        <f>_xlfn.XLOOKUP(Table9[[#This Row],[Engine No.]],'[1]Dubai Islamic Consumer'!$Q$3:$Q$1176,'[1]Dubai Islamic Consumer'!$B$3:$B$1176,,,)</f>
        <v>KHI/HO/D/MO/PC COMP/C/103702/17/12/2024</v>
      </c>
    </row>
    <row r="570" spans="1:36" hidden="1" x14ac:dyDescent="0.25">
      <c r="A570">
        <v>569</v>
      </c>
      <c r="B570" t="s">
        <v>35</v>
      </c>
      <c r="C570" t="s">
        <v>6886</v>
      </c>
      <c r="D570" t="s">
        <v>37</v>
      </c>
      <c r="E570" t="s">
        <v>6887</v>
      </c>
      <c r="F570" t="s">
        <v>138</v>
      </c>
      <c r="G570" t="s">
        <v>6888</v>
      </c>
      <c r="H570" t="s">
        <v>6889</v>
      </c>
      <c r="I570" t="s">
        <v>6890</v>
      </c>
      <c r="J570" t="s">
        <v>6891</v>
      </c>
      <c r="K570" t="s">
        <v>6892</v>
      </c>
      <c r="L570">
        <v>1470600</v>
      </c>
      <c r="M570">
        <v>2580000</v>
      </c>
      <c r="N570" t="s">
        <v>6893</v>
      </c>
      <c r="O570" s="1">
        <v>45628</v>
      </c>
      <c r="P570" t="s">
        <v>6894</v>
      </c>
      <c r="Q570" t="s">
        <v>6895</v>
      </c>
      <c r="R570" t="s">
        <v>146</v>
      </c>
      <c r="S570" t="s">
        <v>6896</v>
      </c>
      <c r="T570" t="s">
        <v>6897</v>
      </c>
      <c r="U570" t="s">
        <v>614</v>
      </c>
      <c r="V570" s="1">
        <v>44173</v>
      </c>
      <c r="W570" t="s">
        <v>3830</v>
      </c>
      <c r="X570" t="s">
        <v>3831</v>
      </c>
      <c r="Y570" t="s">
        <v>6898</v>
      </c>
      <c r="Z570">
        <v>5</v>
      </c>
      <c r="AA570" t="s">
        <v>227</v>
      </c>
      <c r="AB570" t="s">
        <v>6899</v>
      </c>
      <c r="AC570" t="s">
        <v>6900</v>
      </c>
      <c r="AD570" t="s">
        <v>58</v>
      </c>
      <c r="AE570">
        <v>1935000</v>
      </c>
      <c r="AF570">
        <v>38700</v>
      </c>
      <c r="AJ570" t="str">
        <f>_xlfn.XLOOKUP(Table9[[#This Row],[Engine No.]],'[1]Dubai Islamic Consumer'!$Q$3:$Q$1176,'[1]Dubai Islamic Consumer'!$B$3:$B$1176,,,)</f>
        <v>KHI/HO/D/MO/PC COMP/C/103702/18/12/2024</v>
      </c>
    </row>
    <row r="571" spans="1:36" hidden="1" x14ac:dyDescent="0.25">
      <c r="A571">
        <v>570</v>
      </c>
      <c r="B571" t="s">
        <v>35</v>
      </c>
      <c r="C571" t="s">
        <v>6901</v>
      </c>
      <c r="D571" t="s">
        <v>37</v>
      </c>
      <c r="E571" t="s">
        <v>6902</v>
      </c>
      <c r="F571" t="s">
        <v>138</v>
      </c>
      <c r="G571" t="s">
        <v>6903</v>
      </c>
      <c r="H571" t="s">
        <v>48</v>
      </c>
      <c r="I571" t="s">
        <v>6904</v>
      </c>
      <c r="J571" t="s">
        <v>48</v>
      </c>
      <c r="K571" t="s">
        <v>6905</v>
      </c>
      <c r="L571">
        <v>1399300</v>
      </c>
      <c r="M571">
        <v>1999000</v>
      </c>
      <c r="N571" t="s">
        <v>6906</v>
      </c>
      <c r="O571" s="1">
        <v>45633</v>
      </c>
      <c r="P571" t="s">
        <v>6907</v>
      </c>
      <c r="Q571" t="s">
        <v>6908</v>
      </c>
      <c r="R571" t="s">
        <v>47</v>
      </c>
      <c r="S571" t="s">
        <v>48</v>
      </c>
      <c r="T571" t="s">
        <v>360</v>
      </c>
      <c r="U571" t="s">
        <v>98</v>
      </c>
      <c r="V571" s="1">
        <v>44074</v>
      </c>
      <c r="W571" t="s">
        <v>4001</v>
      </c>
      <c r="X571" t="s">
        <v>3989</v>
      </c>
      <c r="Y571" t="s">
        <v>6909</v>
      </c>
      <c r="Z571">
        <v>7</v>
      </c>
      <c r="AA571" t="s">
        <v>55</v>
      </c>
      <c r="AB571" t="s">
        <v>6910</v>
      </c>
      <c r="AC571" t="s">
        <v>532</v>
      </c>
      <c r="AD571" t="s">
        <v>58</v>
      </c>
      <c r="AE571">
        <v>1499250</v>
      </c>
      <c r="AF571">
        <v>29985</v>
      </c>
      <c r="AJ571" t="e">
        <f>_xlfn.XLOOKUP(Table9[[#This Row],[Engine No.]],'[1]Dubai Islamic Consumer'!$Q$3:$Q$1176,'[1]Dubai Islamic Consumer'!$B$3:$B$1176,,,)</f>
        <v>#N/A</v>
      </c>
    </row>
    <row r="572" spans="1:36" hidden="1" x14ac:dyDescent="0.25">
      <c r="A572">
        <v>571</v>
      </c>
      <c r="B572" t="s">
        <v>35</v>
      </c>
      <c r="C572" t="s">
        <v>6911</v>
      </c>
      <c r="D572" t="s">
        <v>37</v>
      </c>
      <c r="E572" t="s">
        <v>6912</v>
      </c>
      <c r="F572" t="s">
        <v>525</v>
      </c>
      <c r="G572" t="s">
        <v>6913</v>
      </c>
      <c r="H572" t="s">
        <v>6914</v>
      </c>
      <c r="I572" t="s">
        <v>6914</v>
      </c>
      <c r="J572" t="s">
        <v>6915</v>
      </c>
      <c r="K572" t="s">
        <v>6916</v>
      </c>
      <c r="L572">
        <v>1929850</v>
      </c>
      <c r="M572">
        <v>2969000</v>
      </c>
      <c r="N572" t="s">
        <v>6917</v>
      </c>
      <c r="O572" s="1">
        <v>45628</v>
      </c>
      <c r="P572" t="s">
        <v>6918</v>
      </c>
      <c r="Q572" t="s">
        <v>6919</v>
      </c>
      <c r="R572" t="s">
        <v>47</v>
      </c>
      <c r="S572" t="s">
        <v>48</v>
      </c>
      <c r="T572" t="s">
        <v>2357</v>
      </c>
      <c r="U572" t="s">
        <v>98</v>
      </c>
      <c r="V572" s="1">
        <v>44035</v>
      </c>
      <c r="W572" t="s">
        <v>3830</v>
      </c>
      <c r="X572" t="s">
        <v>3831</v>
      </c>
      <c r="Y572" t="s">
        <v>6920</v>
      </c>
      <c r="Z572">
        <v>5</v>
      </c>
      <c r="AA572" t="s">
        <v>55</v>
      </c>
      <c r="AB572" t="s">
        <v>6921</v>
      </c>
      <c r="AC572" t="s">
        <v>6611</v>
      </c>
      <c r="AD572" t="s">
        <v>58</v>
      </c>
      <c r="AE572">
        <v>2226750</v>
      </c>
      <c r="AF572">
        <v>44535</v>
      </c>
      <c r="AJ572" t="str">
        <f>_xlfn.XLOOKUP(Table9[[#This Row],[Engine No.]],'[1]Dubai Islamic Consumer'!$Q$3:$Q$1176,'[1]Dubai Islamic Consumer'!$B$3:$B$1176,,,)</f>
        <v>KHI/HO/D/MO/PC COMP/C/103702/20/12/2024</v>
      </c>
    </row>
    <row r="573" spans="1:36" hidden="1" x14ac:dyDescent="0.25">
      <c r="A573">
        <v>572</v>
      </c>
      <c r="B573" t="s">
        <v>35</v>
      </c>
      <c r="C573" t="s">
        <v>6922</v>
      </c>
      <c r="D573" t="s">
        <v>37</v>
      </c>
      <c r="E573" t="s">
        <v>6923</v>
      </c>
      <c r="F573" t="s">
        <v>107</v>
      </c>
      <c r="G573" t="s">
        <v>6924</v>
      </c>
      <c r="H573" t="s">
        <v>6925</v>
      </c>
      <c r="I573" t="s">
        <v>6925</v>
      </c>
      <c r="J573" t="s">
        <v>6925</v>
      </c>
      <c r="K573" t="s">
        <v>6926</v>
      </c>
      <c r="L573">
        <v>1892100</v>
      </c>
      <c r="M573">
        <v>2703000</v>
      </c>
      <c r="N573" t="s">
        <v>6927</v>
      </c>
      <c r="O573" s="1">
        <v>45628</v>
      </c>
      <c r="P573" t="s">
        <v>6928</v>
      </c>
      <c r="Q573" t="s">
        <v>6929</v>
      </c>
      <c r="R573" t="s">
        <v>47</v>
      </c>
      <c r="S573" t="s">
        <v>48</v>
      </c>
      <c r="T573" t="s">
        <v>2918</v>
      </c>
      <c r="U573" t="s">
        <v>50</v>
      </c>
      <c r="V573" s="1">
        <v>44467</v>
      </c>
      <c r="W573" t="s">
        <v>6483</v>
      </c>
      <c r="X573" t="s">
        <v>6431</v>
      </c>
      <c r="Y573" t="s">
        <v>6930</v>
      </c>
      <c r="Z573">
        <v>5</v>
      </c>
      <c r="AA573" t="s">
        <v>55</v>
      </c>
      <c r="AB573" t="s">
        <v>6931</v>
      </c>
      <c r="AC573" t="s">
        <v>132</v>
      </c>
      <c r="AD573" t="s">
        <v>86</v>
      </c>
      <c r="AE573">
        <v>2162400</v>
      </c>
      <c r="AF573">
        <v>37842</v>
      </c>
      <c r="AJ573" t="str">
        <f>_xlfn.XLOOKUP(Table9[[#This Row],[Engine No.]],'[1]Dubai Islamic Consumer'!$Q$3:$Q$1176,'[1]Dubai Islamic Consumer'!$B$3:$B$1176,,,)</f>
        <v>KHI/HO/D/MO/PC COMP/C/103702/21/12/2024</v>
      </c>
    </row>
    <row r="574" spans="1:36" hidden="1" x14ac:dyDescent="0.25">
      <c r="A574">
        <v>573</v>
      </c>
      <c r="B574" t="s">
        <v>35</v>
      </c>
      <c r="C574" t="s">
        <v>6932</v>
      </c>
      <c r="D574" t="s">
        <v>37</v>
      </c>
      <c r="E574" t="s">
        <v>6933</v>
      </c>
      <c r="F574" t="s">
        <v>107</v>
      </c>
      <c r="G574" t="s">
        <v>6934</v>
      </c>
      <c r="H574" t="s">
        <v>6935</v>
      </c>
      <c r="I574" t="s">
        <v>6935</v>
      </c>
      <c r="J574" t="s">
        <v>6936</v>
      </c>
      <c r="K574" t="s">
        <v>6937</v>
      </c>
      <c r="L574">
        <v>1987500</v>
      </c>
      <c r="M574">
        <v>2650000</v>
      </c>
      <c r="N574" t="s">
        <v>6938</v>
      </c>
      <c r="O574" s="1">
        <v>45628</v>
      </c>
      <c r="P574" t="s">
        <v>6939</v>
      </c>
      <c r="Q574" t="s">
        <v>6940</v>
      </c>
      <c r="R574" t="s">
        <v>47</v>
      </c>
      <c r="S574" t="s">
        <v>48</v>
      </c>
      <c r="T574" t="s">
        <v>6941</v>
      </c>
      <c r="U574" t="s">
        <v>50</v>
      </c>
      <c r="V574" s="1">
        <v>44316</v>
      </c>
      <c r="W574" t="s">
        <v>6483</v>
      </c>
      <c r="X574" t="s">
        <v>6431</v>
      </c>
      <c r="Y574" t="s">
        <v>6942</v>
      </c>
      <c r="Z574">
        <v>5</v>
      </c>
      <c r="AA574" t="s">
        <v>55</v>
      </c>
      <c r="AB574" t="s">
        <v>6943</v>
      </c>
      <c r="AC574" t="s">
        <v>6944</v>
      </c>
      <c r="AD574" t="s">
        <v>58</v>
      </c>
      <c r="AE574">
        <v>2120000</v>
      </c>
      <c r="AF574">
        <v>42400</v>
      </c>
      <c r="AJ574" t="str">
        <f>_xlfn.XLOOKUP(Table9[[#This Row],[Engine No.]],'[1]Dubai Islamic Consumer'!$Q$3:$Q$1176,'[1]Dubai Islamic Consumer'!$B$3:$B$1176,,,)</f>
        <v>KHI/HO/D/MO/PC COMP/C/103702/22/12/2024</v>
      </c>
    </row>
    <row r="575" spans="1:36" hidden="1" x14ac:dyDescent="0.25">
      <c r="A575">
        <v>574</v>
      </c>
      <c r="B575" t="s">
        <v>35</v>
      </c>
      <c r="C575" t="s">
        <v>6945</v>
      </c>
      <c r="D575" t="s">
        <v>37</v>
      </c>
      <c r="E575" t="s">
        <v>6946</v>
      </c>
      <c r="F575" t="s">
        <v>39</v>
      </c>
      <c r="G575" t="s">
        <v>6947</v>
      </c>
      <c r="H575" t="s">
        <v>6948</v>
      </c>
      <c r="I575" t="s">
        <v>6949</v>
      </c>
      <c r="J575" t="s">
        <v>6949</v>
      </c>
      <c r="K575" t="s">
        <v>6950</v>
      </c>
      <c r="L575">
        <v>2470120</v>
      </c>
      <c r="M575">
        <v>3338000</v>
      </c>
      <c r="N575" t="s">
        <v>6951</v>
      </c>
      <c r="O575" s="1">
        <v>45628</v>
      </c>
      <c r="P575" t="s">
        <v>6952</v>
      </c>
      <c r="Q575" t="s">
        <v>6953</v>
      </c>
      <c r="R575" t="s">
        <v>47</v>
      </c>
      <c r="S575" t="s">
        <v>48</v>
      </c>
      <c r="T575" t="s">
        <v>1189</v>
      </c>
      <c r="U575" t="s">
        <v>98</v>
      </c>
      <c r="V575" s="1">
        <v>44074</v>
      </c>
      <c r="W575" t="s">
        <v>3830</v>
      </c>
      <c r="X575" t="s">
        <v>3831</v>
      </c>
      <c r="Y575" t="s">
        <v>6954</v>
      </c>
      <c r="Z575">
        <v>5</v>
      </c>
      <c r="AA575" t="s">
        <v>118</v>
      </c>
      <c r="AB575" t="s">
        <v>6955</v>
      </c>
      <c r="AC575" t="s">
        <v>6611</v>
      </c>
      <c r="AD575" t="s">
        <v>171</v>
      </c>
      <c r="AE575">
        <v>2503500</v>
      </c>
      <c r="AF575">
        <v>62588</v>
      </c>
      <c r="AJ575" t="str">
        <f>_xlfn.XLOOKUP(Table9[[#This Row],[Engine No.]],'[1]Dubai Islamic Consumer'!$Q$3:$Q$1176,'[1]Dubai Islamic Consumer'!$B$3:$B$1176,,,)</f>
        <v>KHI/HO/D/MO/PC COMP/C/103702/23/12/2024</v>
      </c>
    </row>
    <row r="576" spans="1:36" hidden="1" x14ac:dyDescent="0.25">
      <c r="A576">
        <v>575</v>
      </c>
      <c r="B576" t="s">
        <v>35</v>
      </c>
      <c r="C576" t="s">
        <v>6956</v>
      </c>
      <c r="D576" t="s">
        <v>37</v>
      </c>
      <c r="E576" t="s">
        <v>6957</v>
      </c>
      <c r="F576" t="s">
        <v>107</v>
      </c>
      <c r="G576" t="s">
        <v>6958</v>
      </c>
      <c r="H576" t="s">
        <v>6959</v>
      </c>
      <c r="I576" t="s">
        <v>6959</v>
      </c>
      <c r="J576" t="s">
        <v>6959</v>
      </c>
      <c r="K576" t="s">
        <v>6960</v>
      </c>
      <c r="L576">
        <v>2475000</v>
      </c>
      <c r="M576">
        <v>3300000</v>
      </c>
      <c r="N576" t="s">
        <v>6961</v>
      </c>
      <c r="O576" s="1">
        <v>45628</v>
      </c>
      <c r="P576" t="s">
        <v>6962</v>
      </c>
      <c r="Q576" t="s">
        <v>6963</v>
      </c>
      <c r="R576" t="s">
        <v>1215</v>
      </c>
      <c r="S576" t="s">
        <v>6964</v>
      </c>
      <c r="T576" t="s">
        <v>6965</v>
      </c>
      <c r="U576" t="s">
        <v>715</v>
      </c>
      <c r="V576" s="1">
        <v>44169</v>
      </c>
      <c r="W576" t="s">
        <v>532</v>
      </c>
      <c r="X576" t="s">
        <v>533</v>
      </c>
      <c r="Y576" t="s">
        <v>6966</v>
      </c>
      <c r="Z576">
        <v>5</v>
      </c>
      <c r="AA576" t="s">
        <v>227</v>
      </c>
      <c r="AB576" t="s">
        <v>6967</v>
      </c>
      <c r="AC576" t="s">
        <v>6611</v>
      </c>
      <c r="AD576" t="s">
        <v>58</v>
      </c>
      <c r="AE576">
        <v>2475000</v>
      </c>
      <c r="AF576">
        <v>49500</v>
      </c>
      <c r="AJ576" t="str">
        <f>_xlfn.XLOOKUP(Table9[[#This Row],[Engine No.]],'[1]Dubai Islamic Consumer'!$Q$3:$Q$1176,'[1]Dubai Islamic Consumer'!$B$3:$B$1176,,,)</f>
        <v>KHI/HO/D/MO/PC COMP/C/103702/24/12/2024</v>
      </c>
    </row>
    <row r="577" spans="1:36" hidden="1" x14ac:dyDescent="0.25">
      <c r="A577">
        <v>576</v>
      </c>
      <c r="B577" t="s">
        <v>35</v>
      </c>
      <c r="C577" t="s">
        <v>6968</v>
      </c>
      <c r="D577" t="s">
        <v>37</v>
      </c>
      <c r="E577" t="s">
        <v>6969</v>
      </c>
      <c r="F577" t="s">
        <v>107</v>
      </c>
      <c r="G577" t="s">
        <v>6970</v>
      </c>
      <c r="H577" t="s">
        <v>6971</v>
      </c>
      <c r="I577" t="s">
        <v>6971</v>
      </c>
      <c r="J577" t="s">
        <v>6971</v>
      </c>
      <c r="K577" t="s">
        <v>6972</v>
      </c>
      <c r="L577">
        <v>966000</v>
      </c>
      <c r="M577">
        <v>1610000</v>
      </c>
      <c r="N577" t="s">
        <v>6973</v>
      </c>
      <c r="O577" s="1">
        <v>45633</v>
      </c>
      <c r="P577" t="s">
        <v>6974</v>
      </c>
      <c r="Q577" t="s">
        <v>6975</v>
      </c>
      <c r="R577" t="s">
        <v>47</v>
      </c>
      <c r="S577" t="s">
        <v>48</v>
      </c>
      <c r="T577" t="s">
        <v>321</v>
      </c>
      <c r="U577" t="s">
        <v>50</v>
      </c>
      <c r="V577" s="1">
        <v>44435</v>
      </c>
      <c r="W577" t="s">
        <v>4473</v>
      </c>
      <c r="X577" t="s">
        <v>4588</v>
      </c>
      <c r="Y577" t="s">
        <v>6976</v>
      </c>
      <c r="Z577">
        <v>5</v>
      </c>
      <c r="AA577" t="s">
        <v>55</v>
      </c>
      <c r="AB577" t="s">
        <v>6977</v>
      </c>
      <c r="AC577" t="s">
        <v>6636</v>
      </c>
      <c r="AD577" t="s">
        <v>58</v>
      </c>
      <c r="AE577">
        <v>1288000</v>
      </c>
      <c r="AF577">
        <v>25760</v>
      </c>
      <c r="AJ577" t="str">
        <f>_xlfn.XLOOKUP(Table9[[#This Row],[Engine No.]],'[1]Dubai Islamic Consumer'!$Q$3:$Q$1176,'[1]Dubai Islamic Consumer'!$B$3:$B$1176,,,)</f>
        <v>KHI/HO/D/MO/PC COMP/C/103702/138/12/2024</v>
      </c>
    </row>
    <row r="578" spans="1:36" hidden="1" x14ac:dyDescent="0.25">
      <c r="A578">
        <v>577</v>
      </c>
      <c r="B578" t="s">
        <v>35</v>
      </c>
      <c r="C578" t="s">
        <v>6978</v>
      </c>
      <c r="D578" t="s">
        <v>37</v>
      </c>
      <c r="E578" t="s">
        <v>6979</v>
      </c>
      <c r="F578" t="s">
        <v>290</v>
      </c>
      <c r="G578" t="s">
        <v>6980</v>
      </c>
      <c r="H578" t="s">
        <v>1505</v>
      </c>
      <c r="I578" t="s">
        <v>6981</v>
      </c>
      <c r="J578" t="s">
        <v>6981</v>
      </c>
      <c r="K578" t="s">
        <v>6982</v>
      </c>
      <c r="L578">
        <v>2118000</v>
      </c>
      <c r="M578">
        <v>2647500</v>
      </c>
      <c r="N578" t="s">
        <v>6983</v>
      </c>
      <c r="O578" s="1">
        <v>45628</v>
      </c>
      <c r="P578" t="s">
        <v>6984</v>
      </c>
      <c r="Q578" t="s">
        <v>6985</v>
      </c>
      <c r="R578" t="s">
        <v>47</v>
      </c>
      <c r="S578" t="s">
        <v>48</v>
      </c>
      <c r="T578" t="s">
        <v>6897</v>
      </c>
      <c r="U578" t="s">
        <v>98</v>
      </c>
      <c r="V578" s="1">
        <v>44104</v>
      </c>
      <c r="W578" t="s">
        <v>3830</v>
      </c>
      <c r="X578" t="s">
        <v>3831</v>
      </c>
      <c r="Y578" t="s">
        <v>6986</v>
      </c>
      <c r="Z578">
        <v>5</v>
      </c>
      <c r="AA578" t="s">
        <v>257</v>
      </c>
      <c r="AB578" t="s">
        <v>6987</v>
      </c>
      <c r="AC578" t="s">
        <v>6900</v>
      </c>
      <c r="AD578" t="s">
        <v>58</v>
      </c>
      <c r="AE578">
        <v>1985625</v>
      </c>
      <c r="AF578">
        <v>39713</v>
      </c>
      <c r="AJ578" t="str">
        <f>_xlfn.XLOOKUP(Table9[[#This Row],[Engine No.]],'[1]Dubai Islamic Consumer'!$Q$3:$Q$1176,'[1]Dubai Islamic Consumer'!$B$3:$B$1176,,,)</f>
        <v>KHI/HO/D/MO/PC COMP/C/103702/26/12/2024</v>
      </c>
    </row>
    <row r="579" spans="1:36" hidden="1" x14ac:dyDescent="0.25">
      <c r="A579">
        <v>578</v>
      </c>
      <c r="B579" t="s">
        <v>35</v>
      </c>
      <c r="C579" t="s">
        <v>6988</v>
      </c>
      <c r="D579" t="s">
        <v>37</v>
      </c>
      <c r="E579" t="s">
        <v>6989</v>
      </c>
      <c r="F579" t="s">
        <v>851</v>
      </c>
      <c r="G579" t="s">
        <v>6990</v>
      </c>
      <c r="H579" t="s">
        <v>6991</v>
      </c>
      <c r="I579" t="s">
        <v>6991</v>
      </c>
      <c r="J579" t="s">
        <v>6991</v>
      </c>
      <c r="K579" t="s">
        <v>6992</v>
      </c>
      <c r="L579">
        <v>1330000</v>
      </c>
      <c r="M579">
        <v>1900000</v>
      </c>
      <c r="N579" t="s">
        <v>6993</v>
      </c>
      <c r="O579" s="1">
        <v>45628</v>
      </c>
      <c r="P579" t="s">
        <v>6994</v>
      </c>
      <c r="Q579" t="s">
        <v>6995</v>
      </c>
      <c r="R579" t="s">
        <v>47</v>
      </c>
      <c r="S579" t="s">
        <v>48</v>
      </c>
      <c r="T579" t="s">
        <v>6996</v>
      </c>
      <c r="U579" t="s">
        <v>98</v>
      </c>
      <c r="V579" s="1">
        <v>44165</v>
      </c>
      <c r="W579" t="s">
        <v>3830</v>
      </c>
      <c r="X579" t="s">
        <v>3831</v>
      </c>
      <c r="Y579" t="s">
        <v>6997</v>
      </c>
      <c r="Z579">
        <v>5</v>
      </c>
      <c r="AA579" t="s">
        <v>55</v>
      </c>
      <c r="AB579" t="s">
        <v>6998</v>
      </c>
      <c r="AC579" t="s">
        <v>532</v>
      </c>
      <c r="AD579" t="s">
        <v>58</v>
      </c>
      <c r="AE579">
        <v>1425000</v>
      </c>
      <c r="AF579">
        <v>28500</v>
      </c>
      <c r="AJ579" t="str">
        <f>_xlfn.XLOOKUP(Table9[[#This Row],[Engine No.]],'[1]Dubai Islamic Consumer'!$Q$3:$Q$1176,'[1]Dubai Islamic Consumer'!$B$3:$B$1176,,,)</f>
        <v>KHI/HO/D/MO/PC COMP/C/103702/27/12/2024</v>
      </c>
    </row>
    <row r="580" spans="1:36" hidden="1" x14ac:dyDescent="0.25">
      <c r="A580">
        <v>579</v>
      </c>
      <c r="B580" t="s">
        <v>35</v>
      </c>
      <c r="C580" t="s">
        <v>6999</v>
      </c>
      <c r="D580" t="s">
        <v>37</v>
      </c>
      <c r="E580" t="s">
        <v>7000</v>
      </c>
      <c r="F580" t="s">
        <v>138</v>
      </c>
      <c r="G580" t="s">
        <v>7001</v>
      </c>
      <c r="H580" t="s">
        <v>7002</v>
      </c>
      <c r="I580" t="s">
        <v>7002</v>
      </c>
      <c r="J580" t="s">
        <v>141</v>
      </c>
      <c r="K580" t="s">
        <v>7003</v>
      </c>
      <c r="L580">
        <v>1950000</v>
      </c>
      <c r="M580">
        <v>3250000</v>
      </c>
      <c r="N580" t="s">
        <v>7004</v>
      </c>
      <c r="O580" s="1">
        <v>45628</v>
      </c>
      <c r="P580" t="s">
        <v>7005</v>
      </c>
      <c r="Q580" t="s">
        <v>7006</v>
      </c>
      <c r="R580" t="s">
        <v>146</v>
      </c>
      <c r="S580" t="s">
        <v>7007</v>
      </c>
      <c r="T580" t="s">
        <v>7008</v>
      </c>
      <c r="U580" t="s">
        <v>614</v>
      </c>
      <c r="V580" s="1">
        <v>44537</v>
      </c>
      <c r="W580" t="s">
        <v>6483</v>
      </c>
      <c r="X580" t="s">
        <v>3831</v>
      </c>
      <c r="Y580" t="s">
        <v>7009</v>
      </c>
      <c r="Z580">
        <v>4</v>
      </c>
      <c r="AA580" t="s">
        <v>118</v>
      </c>
      <c r="AB580" t="s">
        <v>7010</v>
      </c>
      <c r="AC580" t="s">
        <v>7011</v>
      </c>
      <c r="AD580" t="s">
        <v>299</v>
      </c>
      <c r="AE580">
        <v>2600000</v>
      </c>
      <c r="AF580">
        <v>39000</v>
      </c>
      <c r="AJ580" t="str">
        <f>_xlfn.XLOOKUP(Table9[[#This Row],[Engine No.]],'[1]Dubai Islamic Consumer'!$Q$3:$Q$1176,'[1]Dubai Islamic Consumer'!$B$3:$B$1176,,,)</f>
        <v>KHI/HO/D/MO/PC COMP/C/103702/28/12/2024</v>
      </c>
    </row>
    <row r="581" spans="1:36" hidden="1" x14ac:dyDescent="0.25">
      <c r="A581">
        <v>580</v>
      </c>
      <c r="B581" t="s">
        <v>35</v>
      </c>
      <c r="C581" t="s">
        <v>7012</v>
      </c>
      <c r="D581" t="s">
        <v>37</v>
      </c>
      <c r="E581" t="s">
        <v>7013</v>
      </c>
      <c r="F581" t="s">
        <v>138</v>
      </c>
      <c r="G581" t="s">
        <v>7014</v>
      </c>
      <c r="H581" t="s">
        <v>7015</v>
      </c>
      <c r="I581" t="s">
        <v>7016</v>
      </c>
      <c r="J581" t="s">
        <v>7017</v>
      </c>
      <c r="K581" t="s">
        <v>7018</v>
      </c>
      <c r="L581">
        <v>1662000</v>
      </c>
      <c r="M581">
        <v>2770000</v>
      </c>
      <c r="N581" t="s">
        <v>7019</v>
      </c>
      <c r="O581" t="s">
        <v>7020</v>
      </c>
      <c r="P581" t="s">
        <v>7021</v>
      </c>
      <c r="Q581" t="s">
        <v>7022</v>
      </c>
      <c r="R581" t="s">
        <v>146</v>
      </c>
      <c r="S581" t="s">
        <v>7023</v>
      </c>
      <c r="T581" t="s">
        <v>613</v>
      </c>
      <c r="U581" t="s">
        <v>148</v>
      </c>
      <c r="V581" s="1">
        <v>45268</v>
      </c>
      <c r="W581" t="s">
        <v>6293</v>
      </c>
      <c r="X581" t="s">
        <v>3831</v>
      </c>
      <c r="Y581" t="s">
        <v>7024</v>
      </c>
      <c r="Z581">
        <v>2</v>
      </c>
      <c r="AA581" t="s">
        <v>55</v>
      </c>
      <c r="AB581" t="s">
        <v>7025</v>
      </c>
      <c r="AC581" t="s">
        <v>7026</v>
      </c>
      <c r="AD581" t="s">
        <v>86</v>
      </c>
      <c r="AE581">
        <v>2493000</v>
      </c>
      <c r="AF581">
        <v>43628</v>
      </c>
      <c r="AJ581" t="str">
        <f>_xlfn.XLOOKUP(Table9[[#This Row],[Engine No.]],'[1]Dubai Islamic Consumer'!$Q$3:$Q$1176,'[1]Dubai Islamic Consumer'!$B$3:$B$1176,,,)</f>
        <v>KHI/HO/D/MO/PC COMP/C/103702/133/12/2024</v>
      </c>
    </row>
    <row r="582" spans="1:36" hidden="1" x14ac:dyDescent="0.25">
      <c r="A582">
        <v>581</v>
      </c>
      <c r="B582" t="s">
        <v>35</v>
      </c>
      <c r="C582" t="s">
        <v>7027</v>
      </c>
      <c r="D582" t="s">
        <v>37</v>
      </c>
      <c r="E582" t="s">
        <v>7028</v>
      </c>
      <c r="F582" t="s">
        <v>107</v>
      </c>
      <c r="G582" t="s">
        <v>7029</v>
      </c>
      <c r="H582" t="s">
        <v>7030</v>
      </c>
      <c r="I582" t="s">
        <v>7030</v>
      </c>
      <c r="J582" t="s">
        <v>7030</v>
      </c>
      <c r="K582" t="s">
        <v>7031</v>
      </c>
      <c r="L582">
        <v>2766000</v>
      </c>
      <c r="M582">
        <v>4610000</v>
      </c>
      <c r="N582" t="s">
        <v>7032</v>
      </c>
      <c r="O582" s="1">
        <v>45628</v>
      </c>
      <c r="P582" t="s">
        <v>7033</v>
      </c>
      <c r="Q582" t="s">
        <v>7034</v>
      </c>
      <c r="R582" t="s">
        <v>47</v>
      </c>
      <c r="S582" t="s">
        <v>48</v>
      </c>
      <c r="T582" t="s">
        <v>7035</v>
      </c>
      <c r="U582" t="s">
        <v>50</v>
      </c>
      <c r="V582" s="1">
        <v>44432</v>
      </c>
      <c r="W582" t="s">
        <v>4015</v>
      </c>
      <c r="X582" t="s">
        <v>4016</v>
      </c>
      <c r="Y582" t="s">
        <v>7036</v>
      </c>
      <c r="Z582">
        <v>5</v>
      </c>
      <c r="AA582" t="s">
        <v>55</v>
      </c>
      <c r="AB582" t="s">
        <v>7037</v>
      </c>
      <c r="AC582" t="s">
        <v>132</v>
      </c>
      <c r="AD582" t="s">
        <v>58</v>
      </c>
      <c r="AE582">
        <v>3688000</v>
      </c>
      <c r="AF582">
        <v>73760</v>
      </c>
      <c r="AJ582" t="str">
        <f>_xlfn.XLOOKUP(Table9[[#This Row],[Engine No.]],'[1]Dubai Islamic Consumer'!$Q$3:$Q$1176,'[1]Dubai Islamic Consumer'!$B$3:$B$1176,,,)</f>
        <v>KHI/HO/D/MO/PC COMP/C/103702/30/12/2024</v>
      </c>
    </row>
    <row r="583" spans="1:36" hidden="1" x14ac:dyDescent="0.25">
      <c r="A583">
        <v>582</v>
      </c>
      <c r="B583" t="s">
        <v>35</v>
      </c>
      <c r="C583" t="s">
        <v>7038</v>
      </c>
      <c r="D583" t="s">
        <v>37</v>
      </c>
      <c r="E583" t="s">
        <v>7039</v>
      </c>
      <c r="F583" t="s">
        <v>932</v>
      </c>
      <c r="G583" t="s">
        <v>7040</v>
      </c>
      <c r="H583" t="s">
        <v>48</v>
      </c>
      <c r="I583" t="s">
        <v>48</v>
      </c>
      <c r="J583" t="s">
        <v>48</v>
      </c>
      <c r="K583" t="s">
        <v>7041</v>
      </c>
      <c r="L583">
        <v>859800</v>
      </c>
      <c r="M583">
        <v>1433000</v>
      </c>
      <c r="N583" t="s">
        <v>7042</v>
      </c>
      <c r="O583" s="1">
        <v>45629</v>
      </c>
      <c r="P583" t="s">
        <v>7043</v>
      </c>
      <c r="Q583" t="s">
        <v>7044</v>
      </c>
      <c r="R583" t="s">
        <v>47</v>
      </c>
      <c r="S583" t="s">
        <v>48</v>
      </c>
      <c r="T583" t="s">
        <v>7045</v>
      </c>
      <c r="U583" t="s">
        <v>98</v>
      </c>
      <c r="V583" s="1">
        <v>44135</v>
      </c>
      <c r="W583" t="s">
        <v>3830</v>
      </c>
      <c r="X583" t="s">
        <v>6431</v>
      </c>
      <c r="Y583" t="s">
        <v>7046</v>
      </c>
      <c r="Z583">
        <v>6</v>
      </c>
      <c r="AA583" t="s">
        <v>55</v>
      </c>
      <c r="AB583" t="s">
        <v>7047</v>
      </c>
      <c r="AC583" t="s">
        <v>6854</v>
      </c>
      <c r="AD583" t="s">
        <v>58</v>
      </c>
      <c r="AE583">
        <v>1074750</v>
      </c>
      <c r="AF583">
        <v>21495</v>
      </c>
      <c r="AJ583" t="str">
        <f>_xlfn.XLOOKUP(Table9[[#This Row],[Engine No.]],'[1]Dubai Islamic Consumer'!$Q$3:$Q$1176,'[1]Dubai Islamic Consumer'!$B$3:$B$1176,,,)</f>
        <v>KHI/HO/D/MO/PC COMP/C/103702/33/12/2024</v>
      </c>
    </row>
    <row r="584" spans="1:36" hidden="1" x14ac:dyDescent="0.25">
      <c r="A584">
        <v>583</v>
      </c>
      <c r="B584" t="s">
        <v>35</v>
      </c>
      <c r="C584" t="s">
        <v>7048</v>
      </c>
      <c r="D584" t="s">
        <v>37</v>
      </c>
      <c r="E584" t="s">
        <v>7049</v>
      </c>
      <c r="F584" t="s">
        <v>138</v>
      </c>
      <c r="G584" t="s">
        <v>7050</v>
      </c>
      <c r="H584" t="s">
        <v>48</v>
      </c>
      <c r="I584" t="s">
        <v>7051</v>
      </c>
      <c r="J584" t="s">
        <v>48</v>
      </c>
      <c r="K584" t="s">
        <v>7052</v>
      </c>
      <c r="L584">
        <v>1855000</v>
      </c>
      <c r="M584">
        <v>2650000</v>
      </c>
      <c r="N584" t="s">
        <v>7053</v>
      </c>
      <c r="O584" t="s">
        <v>7020</v>
      </c>
      <c r="P584" t="s">
        <v>7054</v>
      </c>
      <c r="Q584" t="s">
        <v>7055</v>
      </c>
      <c r="R584" t="s">
        <v>146</v>
      </c>
      <c r="S584" t="s">
        <v>7056</v>
      </c>
      <c r="T584" t="s">
        <v>613</v>
      </c>
      <c r="U584" t="s">
        <v>50</v>
      </c>
      <c r="V584" s="1">
        <v>45268</v>
      </c>
      <c r="W584" t="s">
        <v>6293</v>
      </c>
      <c r="X584" t="s">
        <v>6578</v>
      </c>
      <c r="Y584" t="s">
        <v>7057</v>
      </c>
      <c r="Z584">
        <v>5</v>
      </c>
      <c r="AA584" t="s">
        <v>55</v>
      </c>
      <c r="AB584" t="s">
        <v>7058</v>
      </c>
      <c r="AC584" t="s">
        <v>7026</v>
      </c>
      <c r="AD584" t="s">
        <v>86</v>
      </c>
      <c r="AE584">
        <v>2385000</v>
      </c>
      <c r="AF584">
        <v>41738</v>
      </c>
      <c r="AJ584" t="str">
        <f>_xlfn.XLOOKUP(Table9[[#This Row],[Engine No.]],'[1]Dubai Islamic Consumer'!$Q$3:$Q$1176,'[1]Dubai Islamic Consumer'!$B$3:$B$1176,,,)</f>
        <v>KHI/HO/D/MO/PC COMP/C/103702/131/12/2024</v>
      </c>
    </row>
    <row r="585" spans="1:36" hidden="1" x14ac:dyDescent="0.25">
      <c r="A585">
        <v>584</v>
      </c>
      <c r="B585" t="s">
        <v>35</v>
      </c>
      <c r="C585" t="s">
        <v>7059</v>
      </c>
      <c r="D585" t="s">
        <v>37</v>
      </c>
      <c r="E585" t="s">
        <v>7060</v>
      </c>
      <c r="F585" t="s">
        <v>89</v>
      </c>
      <c r="G585" t="s">
        <v>7061</v>
      </c>
      <c r="H585" t="s">
        <v>7062</v>
      </c>
      <c r="I585" t="s">
        <v>48</v>
      </c>
      <c r="J585" t="s">
        <v>7063</v>
      </c>
      <c r="K585" t="s">
        <v>7064</v>
      </c>
      <c r="L585">
        <v>1119000</v>
      </c>
      <c r="M585">
        <v>1865000</v>
      </c>
      <c r="N585" t="s">
        <v>7065</v>
      </c>
      <c r="O585" s="1">
        <v>45629</v>
      </c>
      <c r="P585" t="s">
        <v>7066</v>
      </c>
      <c r="Q585" t="s">
        <v>7067</v>
      </c>
      <c r="R585" t="s">
        <v>47</v>
      </c>
      <c r="S585" t="s">
        <v>48</v>
      </c>
      <c r="T585" t="s">
        <v>7068</v>
      </c>
      <c r="U585" t="s">
        <v>98</v>
      </c>
      <c r="V585" s="1">
        <v>44062</v>
      </c>
      <c r="W585" t="s">
        <v>3830</v>
      </c>
      <c r="X585" t="s">
        <v>6444</v>
      </c>
      <c r="Y585" t="s">
        <v>7069</v>
      </c>
      <c r="Z585">
        <v>7</v>
      </c>
      <c r="AA585" t="s">
        <v>227</v>
      </c>
      <c r="AB585" t="s">
        <v>7070</v>
      </c>
      <c r="AC585" t="s">
        <v>6900</v>
      </c>
      <c r="AD585" t="s">
        <v>58</v>
      </c>
      <c r="AE585">
        <v>1398750</v>
      </c>
      <c r="AF585">
        <v>27975</v>
      </c>
      <c r="AJ585" t="str">
        <f>_xlfn.XLOOKUP(Table9[[#This Row],[Engine No.]],'[1]Dubai Islamic Consumer'!$Q$3:$Q$1176,'[1]Dubai Islamic Consumer'!$B$3:$B$1176,,,)</f>
        <v>KHI/HO/D/MO/PC COMP/C/103702/35/12/2024</v>
      </c>
    </row>
    <row r="586" spans="1:36" hidden="1" x14ac:dyDescent="0.25">
      <c r="A586">
        <v>585</v>
      </c>
      <c r="B586" t="s">
        <v>35</v>
      </c>
      <c r="C586" t="s">
        <v>7071</v>
      </c>
      <c r="D586" t="s">
        <v>37</v>
      </c>
      <c r="E586" t="s">
        <v>405</v>
      </c>
      <c r="F586" t="s">
        <v>406</v>
      </c>
      <c r="G586" t="s">
        <v>407</v>
      </c>
      <c r="H586" t="s">
        <v>48</v>
      </c>
      <c r="I586" t="s">
        <v>408</v>
      </c>
      <c r="J586" t="s">
        <v>409</v>
      </c>
      <c r="K586" t="s">
        <v>410</v>
      </c>
      <c r="L586">
        <v>1641200</v>
      </c>
      <c r="M586">
        <v>2984000</v>
      </c>
      <c r="N586" t="s">
        <v>7072</v>
      </c>
      <c r="O586" s="1">
        <v>45629</v>
      </c>
      <c r="P586" t="s">
        <v>7073</v>
      </c>
      <c r="Q586" t="s">
        <v>7074</v>
      </c>
      <c r="R586" t="s">
        <v>47</v>
      </c>
      <c r="S586" t="s">
        <v>48</v>
      </c>
      <c r="T586" t="s">
        <v>1397</v>
      </c>
      <c r="U586" t="s">
        <v>98</v>
      </c>
      <c r="V586" s="1">
        <v>44040</v>
      </c>
      <c r="W586" t="s">
        <v>5266</v>
      </c>
      <c r="X586" t="s">
        <v>5561</v>
      </c>
      <c r="Y586" t="s">
        <v>7075</v>
      </c>
      <c r="Z586">
        <v>7</v>
      </c>
      <c r="AA586" t="s">
        <v>55</v>
      </c>
      <c r="AB586" t="s">
        <v>7076</v>
      </c>
      <c r="AC586" t="s">
        <v>6900</v>
      </c>
      <c r="AD586" t="s">
        <v>58</v>
      </c>
      <c r="AE586">
        <v>2238000</v>
      </c>
      <c r="AF586">
        <v>44760</v>
      </c>
      <c r="AJ586" t="str">
        <f>_xlfn.XLOOKUP(Table9[[#This Row],[Engine No.]],'[1]Dubai Islamic Consumer'!$Q$3:$Q$1176,'[1]Dubai Islamic Consumer'!$B$3:$B$1176,,,)</f>
        <v>KHI/HO/D/MO/PC COMP/C/103702/36/12/2024</v>
      </c>
    </row>
    <row r="587" spans="1:36" hidden="1" x14ac:dyDescent="0.25">
      <c r="A587">
        <v>586</v>
      </c>
      <c r="B587" t="s">
        <v>35</v>
      </c>
      <c r="C587" t="s">
        <v>7077</v>
      </c>
      <c r="D587" t="s">
        <v>37</v>
      </c>
      <c r="E587" t="s">
        <v>7078</v>
      </c>
      <c r="F587" t="s">
        <v>107</v>
      </c>
      <c r="G587" t="s">
        <v>7079</v>
      </c>
      <c r="H587" t="s">
        <v>7080</v>
      </c>
      <c r="I587" t="s">
        <v>7080</v>
      </c>
      <c r="J587" t="s">
        <v>7080</v>
      </c>
      <c r="K587" t="s">
        <v>7081</v>
      </c>
      <c r="L587">
        <v>1972000</v>
      </c>
      <c r="M587">
        <v>4930000</v>
      </c>
      <c r="N587" t="s">
        <v>7082</v>
      </c>
      <c r="O587" s="1">
        <v>45629</v>
      </c>
      <c r="P587" t="s">
        <v>7083</v>
      </c>
      <c r="Q587" t="s">
        <v>7084</v>
      </c>
      <c r="R587" t="s">
        <v>47</v>
      </c>
      <c r="S587" t="s">
        <v>48</v>
      </c>
      <c r="T587" t="s">
        <v>2382</v>
      </c>
      <c r="U587" t="s">
        <v>98</v>
      </c>
      <c r="V587" s="1">
        <v>44161</v>
      </c>
      <c r="W587" t="s">
        <v>3830</v>
      </c>
      <c r="X587" t="s">
        <v>3831</v>
      </c>
      <c r="Y587" t="s">
        <v>7085</v>
      </c>
      <c r="Z587">
        <v>5</v>
      </c>
      <c r="AA587" t="s">
        <v>48</v>
      </c>
      <c r="AB587" t="s">
        <v>48</v>
      </c>
      <c r="AC587" t="s">
        <v>48</v>
      </c>
      <c r="AD587" t="s">
        <v>299</v>
      </c>
      <c r="AE587">
        <v>3697500</v>
      </c>
      <c r="AF587">
        <v>55463</v>
      </c>
      <c r="AJ587" t="str">
        <f>_xlfn.XLOOKUP(Table9[[#This Row],[Engine No.]],'[1]Dubai Islamic Consumer'!$Q$3:$Q$1176,'[1]Dubai Islamic Consumer'!$B$3:$B$1176,,,)</f>
        <v>KHI/HO/D/MO/PC COMP/C/103702/37/12/2024</v>
      </c>
    </row>
    <row r="588" spans="1:36" hidden="1" x14ac:dyDescent="0.25">
      <c r="A588">
        <v>587</v>
      </c>
      <c r="B588" t="s">
        <v>35</v>
      </c>
      <c r="C588" t="s">
        <v>7086</v>
      </c>
      <c r="D588" t="s">
        <v>37</v>
      </c>
      <c r="E588" t="s">
        <v>7087</v>
      </c>
      <c r="F588" t="s">
        <v>107</v>
      </c>
      <c r="G588" t="s">
        <v>7088</v>
      </c>
      <c r="H588" t="s">
        <v>7089</v>
      </c>
      <c r="I588" t="s">
        <v>7089</v>
      </c>
      <c r="J588" t="s">
        <v>7090</v>
      </c>
      <c r="K588" t="s">
        <v>7091</v>
      </c>
      <c r="L588">
        <v>2888900</v>
      </c>
      <c r="M588">
        <v>4127000</v>
      </c>
      <c r="N588" t="s">
        <v>7092</v>
      </c>
      <c r="O588" s="1">
        <v>45629</v>
      </c>
      <c r="P588" t="s">
        <v>7093</v>
      </c>
      <c r="Q588" t="s">
        <v>7094</v>
      </c>
      <c r="R588" t="s">
        <v>47</v>
      </c>
      <c r="S588" t="s">
        <v>48</v>
      </c>
      <c r="T588" t="s">
        <v>97</v>
      </c>
      <c r="U588" t="s">
        <v>98</v>
      </c>
      <c r="V588" s="1">
        <v>44132</v>
      </c>
      <c r="W588" t="s">
        <v>3830</v>
      </c>
      <c r="X588" t="s">
        <v>6444</v>
      </c>
      <c r="Y588" t="s">
        <v>7095</v>
      </c>
      <c r="Z588">
        <v>7</v>
      </c>
      <c r="AA588" t="s">
        <v>55</v>
      </c>
      <c r="AB588" t="s">
        <v>7096</v>
      </c>
      <c r="AC588" t="s">
        <v>6900</v>
      </c>
      <c r="AD588" t="s">
        <v>58</v>
      </c>
      <c r="AE588">
        <v>3095250</v>
      </c>
      <c r="AF588">
        <v>61905</v>
      </c>
      <c r="AJ588" t="str">
        <f>_xlfn.XLOOKUP(Table9[[#This Row],[Engine No.]],'[1]Dubai Islamic Consumer'!$Q$3:$Q$1176,'[1]Dubai Islamic Consumer'!$B$3:$B$1176,,,)</f>
        <v>KHI/HO/D/MO/PC COMP/C/103702/38/12/2024</v>
      </c>
    </row>
    <row r="589" spans="1:36" hidden="1" x14ac:dyDescent="0.25">
      <c r="A589">
        <v>588</v>
      </c>
      <c r="B589" t="s">
        <v>35</v>
      </c>
      <c r="C589" t="s">
        <v>7097</v>
      </c>
      <c r="D589" t="s">
        <v>37</v>
      </c>
      <c r="E589" t="s">
        <v>7098</v>
      </c>
      <c r="F589" t="s">
        <v>107</v>
      </c>
      <c r="G589" t="s">
        <v>7099</v>
      </c>
      <c r="H589" t="s">
        <v>1505</v>
      </c>
      <c r="I589" t="s">
        <v>7100</v>
      </c>
      <c r="J589" t="s">
        <v>7101</v>
      </c>
      <c r="K589" t="s">
        <v>7102</v>
      </c>
      <c r="L589">
        <v>3301600</v>
      </c>
      <c r="M589">
        <v>4127000</v>
      </c>
      <c r="N589" t="s">
        <v>7103</v>
      </c>
      <c r="O589" s="1">
        <v>45629</v>
      </c>
      <c r="P589" t="s">
        <v>7104</v>
      </c>
      <c r="Q589" t="s">
        <v>7105</v>
      </c>
      <c r="R589" t="s">
        <v>47</v>
      </c>
      <c r="S589" t="s">
        <v>48</v>
      </c>
      <c r="T589" t="s">
        <v>714</v>
      </c>
      <c r="U589" t="s">
        <v>98</v>
      </c>
      <c r="V589" s="1">
        <v>44125</v>
      </c>
      <c r="W589" t="s">
        <v>3830</v>
      </c>
      <c r="X589" t="s">
        <v>6431</v>
      </c>
      <c r="Y589" t="s">
        <v>7106</v>
      </c>
      <c r="Z589">
        <v>6</v>
      </c>
      <c r="AA589" t="s">
        <v>55</v>
      </c>
      <c r="AB589" t="s">
        <v>7107</v>
      </c>
      <c r="AC589" t="s">
        <v>5683</v>
      </c>
      <c r="AD589" t="s">
        <v>299</v>
      </c>
      <c r="AE589">
        <v>3095250</v>
      </c>
      <c r="AF589">
        <v>46429</v>
      </c>
      <c r="AJ589" t="str">
        <f>_xlfn.XLOOKUP(Table9[[#This Row],[Engine No.]],'[1]Dubai Islamic Consumer'!$Q$3:$Q$1176,'[1]Dubai Islamic Consumer'!$B$3:$B$1176,,,)</f>
        <v>KHI/HO/D/MO/PC COMP/C/103702/39/12/2024</v>
      </c>
    </row>
    <row r="590" spans="1:36" hidden="1" x14ac:dyDescent="0.25">
      <c r="A590">
        <v>589</v>
      </c>
      <c r="B590" t="s">
        <v>35</v>
      </c>
      <c r="C590" t="s">
        <v>7108</v>
      </c>
      <c r="D590" t="s">
        <v>37</v>
      </c>
      <c r="E590" t="s">
        <v>7109</v>
      </c>
      <c r="F590" t="s">
        <v>138</v>
      </c>
      <c r="G590" t="s">
        <v>7110</v>
      </c>
      <c r="H590" t="s">
        <v>7111</v>
      </c>
      <c r="I590" t="s">
        <v>7111</v>
      </c>
      <c r="J590" t="s">
        <v>7112</v>
      </c>
      <c r="K590" t="s">
        <v>7113</v>
      </c>
      <c r="L590">
        <v>3779300</v>
      </c>
      <c r="M590">
        <v>5399000</v>
      </c>
      <c r="N590" t="s">
        <v>7114</v>
      </c>
      <c r="O590" s="1">
        <v>45629</v>
      </c>
      <c r="P590" t="s">
        <v>7115</v>
      </c>
      <c r="Q590" t="s">
        <v>7116</v>
      </c>
      <c r="R590" t="s">
        <v>47</v>
      </c>
      <c r="S590" t="s">
        <v>48</v>
      </c>
      <c r="T590" t="s">
        <v>115</v>
      </c>
      <c r="U590" t="s">
        <v>98</v>
      </c>
      <c r="V590" s="1">
        <v>44074</v>
      </c>
      <c r="W590" t="s">
        <v>5266</v>
      </c>
      <c r="X590" t="s">
        <v>5267</v>
      </c>
      <c r="Y590" t="s">
        <v>7117</v>
      </c>
      <c r="Z590">
        <v>5</v>
      </c>
      <c r="AA590" t="s">
        <v>48</v>
      </c>
      <c r="AB590" t="s">
        <v>48</v>
      </c>
      <c r="AC590" t="s">
        <v>48</v>
      </c>
      <c r="AD590" t="s">
        <v>58</v>
      </c>
      <c r="AE590">
        <v>4049250</v>
      </c>
      <c r="AF590">
        <v>80985</v>
      </c>
      <c r="AJ590" t="str">
        <f>_xlfn.XLOOKUP(Table9[[#This Row],[Engine No.]],'[1]Dubai Islamic Consumer'!$Q$3:$Q$1176,'[1]Dubai Islamic Consumer'!$B$3:$B$1176,,,)</f>
        <v>KHI/HO/D/MO/PC COMP/C/103702/40/12/2024</v>
      </c>
    </row>
    <row r="591" spans="1:36" hidden="1" x14ac:dyDescent="0.25">
      <c r="A591">
        <v>590</v>
      </c>
      <c r="B591" t="s">
        <v>35</v>
      </c>
      <c r="C591" t="s">
        <v>7118</v>
      </c>
      <c r="D591" t="s">
        <v>37</v>
      </c>
      <c r="E591" t="s">
        <v>7119</v>
      </c>
      <c r="F591" t="s">
        <v>107</v>
      </c>
      <c r="G591" t="s">
        <v>7120</v>
      </c>
      <c r="H591" t="s">
        <v>7121</v>
      </c>
      <c r="I591" t="s">
        <v>7121</v>
      </c>
      <c r="J591" t="s">
        <v>7121</v>
      </c>
      <c r="K591" t="s">
        <v>7122</v>
      </c>
      <c r="L591">
        <v>3850000</v>
      </c>
      <c r="M591">
        <v>5500000</v>
      </c>
      <c r="N591" t="s">
        <v>7123</v>
      </c>
      <c r="O591" s="1">
        <v>45629</v>
      </c>
      <c r="P591" t="s">
        <v>7124</v>
      </c>
      <c r="Q591" t="s">
        <v>7125</v>
      </c>
      <c r="R591" t="s">
        <v>146</v>
      </c>
      <c r="S591" t="s">
        <v>7126</v>
      </c>
      <c r="T591" t="s">
        <v>130</v>
      </c>
      <c r="U591" t="s">
        <v>715</v>
      </c>
      <c r="V591" s="1">
        <v>44173</v>
      </c>
      <c r="W591" t="s">
        <v>3830</v>
      </c>
      <c r="X591" t="s">
        <v>3831</v>
      </c>
      <c r="Y591" t="s">
        <v>7127</v>
      </c>
      <c r="Z591">
        <v>5</v>
      </c>
      <c r="AA591" t="s">
        <v>227</v>
      </c>
      <c r="AB591" t="s">
        <v>7128</v>
      </c>
      <c r="AC591" t="s">
        <v>6900</v>
      </c>
      <c r="AD591" t="s">
        <v>299</v>
      </c>
      <c r="AE591">
        <v>4125000</v>
      </c>
      <c r="AF591">
        <v>61875</v>
      </c>
      <c r="AJ591" t="str">
        <f>_xlfn.XLOOKUP(Table9[[#This Row],[Engine No.]],'[1]Dubai Islamic Consumer'!$Q$3:$Q$1176,'[1]Dubai Islamic Consumer'!$B$3:$B$1176,,,)</f>
        <v>KHI/HO/D/MO/PC COMP/C/103702/41/12/2024</v>
      </c>
    </row>
    <row r="592" spans="1:36" hidden="1" x14ac:dyDescent="0.25">
      <c r="A592">
        <v>591</v>
      </c>
      <c r="B592" t="s">
        <v>35</v>
      </c>
      <c r="C592" t="s">
        <v>7129</v>
      </c>
      <c r="D592" t="s">
        <v>37</v>
      </c>
      <c r="E592" t="s">
        <v>7130</v>
      </c>
      <c r="F592" t="s">
        <v>138</v>
      </c>
      <c r="G592" t="s">
        <v>7131</v>
      </c>
      <c r="H592" t="s">
        <v>7132</v>
      </c>
      <c r="I592" t="s">
        <v>7132</v>
      </c>
      <c r="J592" t="s">
        <v>7133</v>
      </c>
      <c r="K592" t="s">
        <v>7134</v>
      </c>
      <c r="L592">
        <v>2054500</v>
      </c>
      <c r="M592">
        <v>2935000</v>
      </c>
      <c r="N592" t="s">
        <v>7135</v>
      </c>
      <c r="O592" t="s">
        <v>7136</v>
      </c>
      <c r="P592" t="s">
        <v>7137</v>
      </c>
      <c r="Q592" t="s">
        <v>7138</v>
      </c>
      <c r="R592" t="s">
        <v>47</v>
      </c>
      <c r="S592" t="s">
        <v>48</v>
      </c>
      <c r="T592" t="s">
        <v>613</v>
      </c>
      <c r="U592" t="s">
        <v>386</v>
      </c>
      <c r="V592" s="1">
        <v>45268</v>
      </c>
      <c r="W592" t="s">
        <v>6293</v>
      </c>
      <c r="X592" t="s">
        <v>6431</v>
      </c>
      <c r="Y592" t="s">
        <v>7139</v>
      </c>
      <c r="Z592">
        <v>3</v>
      </c>
      <c r="AA592" t="s">
        <v>55</v>
      </c>
      <c r="AB592" t="s">
        <v>7140</v>
      </c>
      <c r="AC592" t="s">
        <v>7141</v>
      </c>
      <c r="AD592" t="s">
        <v>86</v>
      </c>
      <c r="AE592">
        <v>2641500</v>
      </c>
      <c r="AF592">
        <v>46226</v>
      </c>
      <c r="AJ592" t="str">
        <f>_xlfn.XLOOKUP(Table9[[#This Row],[Engine No.]],'[1]Dubai Islamic Consumer'!$Q$3:$Q$1176,'[1]Dubai Islamic Consumer'!$B$3:$B$1176,,,)</f>
        <v>KHI/HO/D/MO/PC COMP/C/103702/43/12/2024</v>
      </c>
    </row>
    <row r="593" spans="1:36" hidden="1" x14ac:dyDescent="0.25">
      <c r="A593">
        <v>592</v>
      </c>
      <c r="B593" t="s">
        <v>35</v>
      </c>
      <c r="C593" t="s">
        <v>7142</v>
      </c>
      <c r="D593" t="s">
        <v>37</v>
      </c>
      <c r="E593" t="s">
        <v>7143</v>
      </c>
      <c r="F593" t="s">
        <v>138</v>
      </c>
      <c r="G593" t="s">
        <v>7144</v>
      </c>
      <c r="H593" t="s">
        <v>7145</v>
      </c>
      <c r="I593" t="s">
        <v>7145</v>
      </c>
      <c r="J593" t="s">
        <v>141</v>
      </c>
      <c r="K593" t="s">
        <v>7146</v>
      </c>
      <c r="L593">
        <v>475000</v>
      </c>
      <c r="M593">
        <v>950000</v>
      </c>
      <c r="N593" t="s">
        <v>7147</v>
      </c>
      <c r="O593" s="1">
        <v>45630</v>
      </c>
      <c r="P593" t="s">
        <v>7148</v>
      </c>
      <c r="Q593" t="s">
        <v>7149</v>
      </c>
      <c r="R593" t="s">
        <v>146</v>
      </c>
      <c r="S593" t="s">
        <v>7150</v>
      </c>
      <c r="T593" t="s">
        <v>2195</v>
      </c>
      <c r="U593" t="s">
        <v>903</v>
      </c>
      <c r="V593" s="1">
        <v>43446</v>
      </c>
      <c r="W593" t="s">
        <v>5587</v>
      </c>
      <c r="X593" t="s">
        <v>5267</v>
      </c>
      <c r="Y593" t="s">
        <v>7151</v>
      </c>
      <c r="Z593">
        <v>7</v>
      </c>
      <c r="AA593" t="s">
        <v>55</v>
      </c>
      <c r="AB593" t="s">
        <v>7152</v>
      </c>
      <c r="AC593" t="s">
        <v>7153</v>
      </c>
      <c r="AD593" t="s">
        <v>880</v>
      </c>
      <c r="AE593">
        <v>617500</v>
      </c>
      <c r="AF593">
        <v>19143</v>
      </c>
      <c r="AJ593" t="str">
        <f>_xlfn.XLOOKUP(Table9[[#This Row],[Engine No.]],'[1]Dubai Islamic Consumer'!$Q$3:$Q$1176,'[1]Dubai Islamic Consumer'!$B$3:$B$1176,,,)</f>
        <v>KHI/HO/D/MO/PC COMP/C/103702/45/12/2024</v>
      </c>
    </row>
    <row r="594" spans="1:36" hidden="1" x14ac:dyDescent="0.25">
      <c r="A594">
        <v>593</v>
      </c>
      <c r="B594" t="s">
        <v>35</v>
      </c>
      <c r="C594" t="s">
        <v>7154</v>
      </c>
      <c r="D594" t="s">
        <v>37</v>
      </c>
      <c r="E594" t="s">
        <v>7155</v>
      </c>
      <c r="F594" t="s">
        <v>138</v>
      </c>
      <c r="G594" t="s">
        <v>7156</v>
      </c>
      <c r="H594" t="s">
        <v>7157</v>
      </c>
      <c r="I594" t="s">
        <v>7158</v>
      </c>
      <c r="J594" t="s">
        <v>7157</v>
      </c>
      <c r="K594" t="s">
        <v>7159</v>
      </c>
      <c r="L594">
        <v>2944110</v>
      </c>
      <c r="M594">
        <v>7549000</v>
      </c>
      <c r="N594" t="s">
        <v>7160</v>
      </c>
      <c r="O594" s="1">
        <v>45632</v>
      </c>
      <c r="P594" t="s">
        <v>7161</v>
      </c>
      <c r="Q594" t="s">
        <v>7162</v>
      </c>
      <c r="R594" t="s">
        <v>47</v>
      </c>
      <c r="S594" t="s">
        <v>48</v>
      </c>
      <c r="T594" t="s">
        <v>2476</v>
      </c>
      <c r="U594" t="s">
        <v>148</v>
      </c>
      <c r="V594" s="1">
        <v>44880</v>
      </c>
      <c r="W594" t="s">
        <v>5621</v>
      </c>
      <c r="X594" t="s">
        <v>5267</v>
      </c>
      <c r="Y594" t="s">
        <v>7163</v>
      </c>
      <c r="Z594">
        <v>3</v>
      </c>
      <c r="AA594" t="s">
        <v>152</v>
      </c>
      <c r="AB594" t="s">
        <v>7164</v>
      </c>
      <c r="AC594" t="s">
        <v>6624</v>
      </c>
      <c r="AD594" t="s">
        <v>58</v>
      </c>
      <c r="AE594">
        <v>6416650</v>
      </c>
      <c r="AF594">
        <v>128333</v>
      </c>
      <c r="AJ594" t="str">
        <f>_xlfn.XLOOKUP(Table9[[#This Row],[Engine No.]],'[1]Dubai Islamic Consumer'!$Q$3:$Q$1176,'[1]Dubai Islamic Consumer'!$B$3:$B$1176,,,)</f>
        <v>KHI/HO/D/MO/PC COMP/C/103702/124/12/2024</v>
      </c>
    </row>
    <row r="595" spans="1:36" hidden="1" x14ac:dyDescent="0.25">
      <c r="A595">
        <v>594</v>
      </c>
      <c r="B595" t="s">
        <v>35</v>
      </c>
      <c r="C595" t="s">
        <v>7165</v>
      </c>
      <c r="D595" t="s">
        <v>37</v>
      </c>
      <c r="E595" t="s">
        <v>7166</v>
      </c>
      <c r="F595" t="s">
        <v>73</v>
      </c>
      <c r="G595" t="s">
        <v>7167</v>
      </c>
      <c r="H595" t="s">
        <v>7168</v>
      </c>
      <c r="I595" t="s">
        <v>7168</v>
      </c>
      <c r="J595" t="s">
        <v>7168</v>
      </c>
      <c r="K595" t="s">
        <v>7169</v>
      </c>
      <c r="L595">
        <v>2737700</v>
      </c>
      <c r="M595">
        <v>3911000</v>
      </c>
      <c r="N595" t="s">
        <v>7170</v>
      </c>
      <c r="O595" s="1">
        <v>45632</v>
      </c>
      <c r="P595" t="s">
        <v>7171</v>
      </c>
      <c r="Q595" t="s">
        <v>7172</v>
      </c>
      <c r="R595" t="s">
        <v>47</v>
      </c>
      <c r="S595" t="s">
        <v>48</v>
      </c>
      <c r="T595" t="s">
        <v>7173</v>
      </c>
      <c r="U595" t="s">
        <v>50</v>
      </c>
      <c r="V595" s="1">
        <v>44546</v>
      </c>
      <c r="W595" t="s">
        <v>4473</v>
      </c>
      <c r="X595" t="s">
        <v>4588</v>
      </c>
      <c r="Y595" t="s">
        <v>7174</v>
      </c>
      <c r="Z595">
        <v>5</v>
      </c>
      <c r="AA595" t="s">
        <v>55</v>
      </c>
      <c r="AB595" t="s">
        <v>7175</v>
      </c>
      <c r="AC595" t="s">
        <v>5881</v>
      </c>
      <c r="AD595" t="s">
        <v>299</v>
      </c>
      <c r="AE595">
        <v>3128800</v>
      </c>
      <c r="AF595">
        <v>46932</v>
      </c>
      <c r="AJ595" t="str">
        <f>_xlfn.XLOOKUP(Table9[[#This Row],[Engine No.]],'[1]Dubai Islamic Consumer'!$Q$3:$Q$1176,'[1]Dubai Islamic Consumer'!$B$3:$B$1176,,,)</f>
        <v>KHI/HO/D/MO/PC COMP/C/103702/116/12/2024</v>
      </c>
    </row>
    <row r="596" spans="1:36" hidden="1" x14ac:dyDescent="0.25">
      <c r="A596">
        <v>595</v>
      </c>
      <c r="B596" t="s">
        <v>35</v>
      </c>
      <c r="C596" t="s">
        <v>7176</v>
      </c>
      <c r="D596" t="s">
        <v>37</v>
      </c>
      <c r="E596" t="s">
        <v>7177</v>
      </c>
      <c r="F596" t="s">
        <v>39</v>
      </c>
      <c r="G596" t="s">
        <v>7178</v>
      </c>
      <c r="H596" t="s">
        <v>7179</v>
      </c>
      <c r="I596" t="s">
        <v>7180</v>
      </c>
      <c r="J596" t="s">
        <v>7181</v>
      </c>
      <c r="K596" t="s">
        <v>7182</v>
      </c>
      <c r="L596">
        <v>2549200</v>
      </c>
      <c r="M596">
        <v>3186500</v>
      </c>
      <c r="N596" t="s">
        <v>7183</v>
      </c>
      <c r="O596" s="1">
        <v>45632</v>
      </c>
      <c r="P596" t="s">
        <v>7184</v>
      </c>
      <c r="Q596" t="s">
        <v>7185</v>
      </c>
      <c r="R596" t="s">
        <v>47</v>
      </c>
      <c r="S596" t="s">
        <v>48</v>
      </c>
      <c r="T596" t="s">
        <v>495</v>
      </c>
      <c r="U596" t="s">
        <v>50</v>
      </c>
      <c r="V596" s="1">
        <v>44440</v>
      </c>
      <c r="W596" t="s">
        <v>6483</v>
      </c>
      <c r="X596" t="s">
        <v>6431</v>
      </c>
      <c r="Y596" t="s">
        <v>7186</v>
      </c>
      <c r="Z596">
        <v>5</v>
      </c>
      <c r="AA596" t="s">
        <v>55</v>
      </c>
      <c r="AB596" t="s">
        <v>7187</v>
      </c>
      <c r="AC596" t="s">
        <v>5881</v>
      </c>
      <c r="AD596" t="s">
        <v>58</v>
      </c>
      <c r="AE596">
        <v>2549200</v>
      </c>
      <c r="AF596">
        <v>50984</v>
      </c>
      <c r="AJ596" t="str">
        <f>_xlfn.XLOOKUP(Table9[[#This Row],[Engine No.]],'[1]Dubai Islamic Consumer'!$Q$3:$Q$1176,'[1]Dubai Islamic Consumer'!$B$3:$B$1176,,,)</f>
        <v>KHI/HO/D/MO/PC COMP/C/103702/115/12/2024</v>
      </c>
    </row>
    <row r="597" spans="1:36" hidden="1" x14ac:dyDescent="0.25">
      <c r="A597">
        <v>596</v>
      </c>
      <c r="B597" t="s">
        <v>35</v>
      </c>
      <c r="C597" t="s">
        <v>7188</v>
      </c>
      <c r="D597" t="s">
        <v>37</v>
      </c>
      <c r="E597" t="s">
        <v>7189</v>
      </c>
      <c r="F597" t="s">
        <v>39</v>
      </c>
      <c r="G597" t="s">
        <v>7190</v>
      </c>
      <c r="H597" t="s">
        <v>7191</v>
      </c>
      <c r="I597" t="s">
        <v>7192</v>
      </c>
      <c r="J597" t="s">
        <v>7191</v>
      </c>
      <c r="K597" t="s">
        <v>7193</v>
      </c>
      <c r="L597">
        <v>2549200</v>
      </c>
      <c r="M597">
        <v>3186500</v>
      </c>
      <c r="N597" t="s">
        <v>7194</v>
      </c>
      <c r="O597" s="1">
        <v>45632</v>
      </c>
      <c r="P597" t="s">
        <v>7195</v>
      </c>
      <c r="Q597" t="s">
        <v>7196</v>
      </c>
      <c r="R597" t="s">
        <v>47</v>
      </c>
      <c r="S597" t="s">
        <v>48</v>
      </c>
      <c r="T597" t="s">
        <v>1166</v>
      </c>
      <c r="U597" t="s">
        <v>50</v>
      </c>
      <c r="V597" s="1">
        <v>44414</v>
      </c>
      <c r="W597" t="s">
        <v>6483</v>
      </c>
      <c r="X597" t="s">
        <v>6431</v>
      </c>
      <c r="Y597" t="s">
        <v>7197</v>
      </c>
      <c r="Z597">
        <v>5</v>
      </c>
      <c r="AA597" t="s">
        <v>118</v>
      </c>
      <c r="AB597" t="s">
        <v>7198</v>
      </c>
      <c r="AC597" t="s">
        <v>5881</v>
      </c>
      <c r="AD597" t="s">
        <v>58</v>
      </c>
      <c r="AE597">
        <v>2549200</v>
      </c>
      <c r="AF597">
        <v>50984</v>
      </c>
      <c r="AJ597" t="str">
        <f>_xlfn.XLOOKUP(Table9[[#This Row],[Engine No.]],'[1]Dubai Islamic Consumer'!$Q$3:$Q$1176,'[1]Dubai Islamic Consumer'!$B$3:$B$1176,,,)</f>
        <v>KHI/HO/D/MO/PC COMP/C/103702/114/12/2024</v>
      </c>
    </row>
    <row r="598" spans="1:36" hidden="1" x14ac:dyDescent="0.25">
      <c r="A598">
        <v>597</v>
      </c>
      <c r="B598" t="s">
        <v>35</v>
      </c>
      <c r="C598" t="s">
        <v>7199</v>
      </c>
      <c r="D598" t="s">
        <v>37</v>
      </c>
      <c r="E598" t="s">
        <v>7200</v>
      </c>
      <c r="F598" t="s">
        <v>107</v>
      </c>
      <c r="G598" t="s">
        <v>7201</v>
      </c>
      <c r="H598" t="s">
        <v>7202</v>
      </c>
      <c r="I598" t="s">
        <v>7203</v>
      </c>
      <c r="J598" t="s">
        <v>1505</v>
      </c>
      <c r="K598" t="s">
        <v>7204</v>
      </c>
      <c r="L598">
        <v>2359800</v>
      </c>
      <c r="M598">
        <v>3933000</v>
      </c>
      <c r="N598" t="s">
        <v>7205</v>
      </c>
      <c r="O598" s="1">
        <v>45632</v>
      </c>
      <c r="P598" t="s">
        <v>7206</v>
      </c>
      <c r="Q598" t="s">
        <v>7207</v>
      </c>
      <c r="R598" t="s">
        <v>47</v>
      </c>
      <c r="S598" t="s">
        <v>48</v>
      </c>
      <c r="T598" t="s">
        <v>2835</v>
      </c>
      <c r="U598" t="s">
        <v>98</v>
      </c>
      <c r="V598" s="1">
        <v>44111</v>
      </c>
      <c r="W598" t="s">
        <v>3830</v>
      </c>
      <c r="X598" t="s">
        <v>3831</v>
      </c>
      <c r="Y598" t="s">
        <v>7208</v>
      </c>
      <c r="Z598">
        <v>5</v>
      </c>
      <c r="AA598" t="s">
        <v>55</v>
      </c>
      <c r="AB598" t="s">
        <v>7209</v>
      </c>
      <c r="AC598" t="s">
        <v>7210</v>
      </c>
      <c r="AD598" t="s">
        <v>58</v>
      </c>
      <c r="AE598">
        <v>2949750</v>
      </c>
      <c r="AF598">
        <v>58995</v>
      </c>
      <c r="AJ598" t="str">
        <f>_xlfn.XLOOKUP(Table9[[#This Row],[Engine No.]],'[1]Dubai Islamic Consumer'!$Q$3:$Q$1176,'[1]Dubai Islamic Consumer'!$B$3:$B$1176,,,)</f>
        <v>KHI/HO/D/MO/PC COMP/C/103702/112/12/2024</v>
      </c>
    </row>
    <row r="599" spans="1:36" hidden="1" x14ac:dyDescent="0.25">
      <c r="A599">
        <v>598</v>
      </c>
      <c r="B599" t="s">
        <v>35</v>
      </c>
      <c r="C599" t="s">
        <v>7211</v>
      </c>
      <c r="D599" t="s">
        <v>37</v>
      </c>
      <c r="E599" t="s">
        <v>7212</v>
      </c>
      <c r="F599" t="s">
        <v>39</v>
      </c>
      <c r="G599" t="s">
        <v>7213</v>
      </c>
      <c r="H599" t="s">
        <v>7214</v>
      </c>
      <c r="I599" t="s">
        <v>7215</v>
      </c>
      <c r="J599" t="s">
        <v>7214</v>
      </c>
      <c r="K599" t="s">
        <v>7216</v>
      </c>
      <c r="L599">
        <v>1892100</v>
      </c>
      <c r="M599">
        <v>2703000</v>
      </c>
      <c r="N599" t="s">
        <v>7217</v>
      </c>
      <c r="O599" s="1">
        <v>45632</v>
      </c>
      <c r="P599" t="s">
        <v>7218</v>
      </c>
      <c r="Q599" t="s">
        <v>7219</v>
      </c>
      <c r="R599" t="s">
        <v>47</v>
      </c>
      <c r="S599" t="s">
        <v>48</v>
      </c>
      <c r="T599" t="s">
        <v>1826</v>
      </c>
      <c r="U599" t="s">
        <v>50</v>
      </c>
      <c r="V599" s="1">
        <v>44463</v>
      </c>
      <c r="W599" t="s">
        <v>6483</v>
      </c>
      <c r="X599" t="s">
        <v>3831</v>
      </c>
      <c r="Y599" t="s">
        <v>7220</v>
      </c>
      <c r="Z599">
        <v>4</v>
      </c>
      <c r="AA599" t="s">
        <v>55</v>
      </c>
      <c r="AB599" t="s">
        <v>7221</v>
      </c>
      <c r="AC599" t="s">
        <v>5881</v>
      </c>
      <c r="AD599" t="s">
        <v>58</v>
      </c>
      <c r="AE599">
        <v>2162400</v>
      </c>
      <c r="AF599">
        <v>43248</v>
      </c>
      <c r="AJ599" t="str">
        <f>_xlfn.XLOOKUP(Table9[[#This Row],[Engine No.]],'[1]Dubai Islamic Consumer'!$Q$3:$Q$1176,'[1]Dubai Islamic Consumer'!$B$3:$B$1176,,,)</f>
        <v>KHI/HO/D/MO/PC COMP/C/103702/110/12/2024</v>
      </c>
    </row>
    <row r="600" spans="1:36" hidden="1" x14ac:dyDescent="0.25">
      <c r="A600">
        <v>599</v>
      </c>
      <c r="B600" t="s">
        <v>35</v>
      </c>
      <c r="C600" t="s">
        <v>7222</v>
      </c>
      <c r="D600" t="s">
        <v>37</v>
      </c>
      <c r="E600" t="s">
        <v>7223</v>
      </c>
      <c r="F600" t="s">
        <v>107</v>
      </c>
      <c r="G600" t="s">
        <v>7224</v>
      </c>
      <c r="H600" t="s">
        <v>7225</v>
      </c>
      <c r="I600" t="s">
        <v>7225</v>
      </c>
      <c r="J600" t="s">
        <v>7225</v>
      </c>
      <c r="K600" t="s">
        <v>7226</v>
      </c>
      <c r="L600">
        <v>1817600</v>
      </c>
      <c r="M600">
        <v>2272000</v>
      </c>
      <c r="N600" t="s">
        <v>7227</v>
      </c>
      <c r="O600" s="1">
        <v>45632</v>
      </c>
      <c r="P600" t="s">
        <v>7228</v>
      </c>
      <c r="Q600" t="s">
        <v>7229</v>
      </c>
      <c r="R600" t="s">
        <v>47</v>
      </c>
      <c r="S600" t="s">
        <v>48</v>
      </c>
      <c r="T600" t="s">
        <v>3282</v>
      </c>
      <c r="U600" t="s">
        <v>50</v>
      </c>
      <c r="V600" s="1">
        <v>44540</v>
      </c>
      <c r="W600" t="s">
        <v>6483</v>
      </c>
      <c r="X600" t="s">
        <v>6431</v>
      </c>
      <c r="Y600" t="s">
        <v>7230</v>
      </c>
      <c r="Z600">
        <v>5</v>
      </c>
      <c r="AA600" t="s">
        <v>55</v>
      </c>
      <c r="AB600" t="s">
        <v>7231</v>
      </c>
      <c r="AC600" t="s">
        <v>6841</v>
      </c>
      <c r="AD600" t="s">
        <v>58</v>
      </c>
      <c r="AE600">
        <v>1817600</v>
      </c>
      <c r="AF600">
        <v>36352</v>
      </c>
      <c r="AJ600" t="str">
        <f>_xlfn.XLOOKUP(Table9[[#This Row],[Engine No.]],'[1]Dubai Islamic Consumer'!$Q$3:$Q$1176,'[1]Dubai Islamic Consumer'!$B$3:$B$1176,,,)</f>
        <v>KHI/HO/D/MO/PC COMP/C/103702/109/12/2024</v>
      </c>
    </row>
    <row r="601" spans="1:36" hidden="1" x14ac:dyDescent="0.25">
      <c r="A601">
        <v>600</v>
      </c>
      <c r="B601" t="s">
        <v>35</v>
      </c>
      <c r="C601" t="s">
        <v>7232</v>
      </c>
      <c r="D601" t="s">
        <v>37</v>
      </c>
      <c r="E601" t="s">
        <v>7233</v>
      </c>
      <c r="F601" t="s">
        <v>39</v>
      </c>
      <c r="G601" t="s">
        <v>7234</v>
      </c>
      <c r="H601" t="s">
        <v>7235</v>
      </c>
      <c r="I601" t="s">
        <v>7236</v>
      </c>
      <c r="J601" t="s">
        <v>7237</v>
      </c>
      <c r="K601" t="s">
        <v>7238</v>
      </c>
      <c r="L601">
        <v>1759800</v>
      </c>
      <c r="M601">
        <v>2933000</v>
      </c>
      <c r="N601" t="s">
        <v>7239</v>
      </c>
      <c r="O601" s="1">
        <v>45632</v>
      </c>
      <c r="P601" t="s">
        <v>7240</v>
      </c>
      <c r="Q601" t="s">
        <v>7241</v>
      </c>
      <c r="R601" t="s">
        <v>47</v>
      </c>
      <c r="S601" t="s">
        <v>48</v>
      </c>
      <c r="T601" t="s">
        <v>2357</v>
      </c>
      <c r="U601" t="s">
        <v>50</v>
      </c>
      <c r="V601" s="1">
        <v>44469</v>
      </c>
      <c r="W601" t="s">
        <v>6483</v>
      </c>
      <c r="X601" t="s">
        <v>6431</v>
      </c>
      <c r="Y601" t="s">
        <v>7242</v>
      </c>
      <c r="Z601">
        <v>5</v>
      </c>
      <c r="AA601" t="s">
        <v>55</v>
      </c>
      <c r="AB601" t="s">
        <v>7243</v>
      </c>
      <c r="AC601" t="s">
        <v>5881</v>
      </c>
      <c r="AD601" t="s">
        <v>58</v>
      </c>
      <c r="AE601">
        <v>2346400</v>
      </c>
      <c r="AF601">
        <v>46928</v>
      </c>
      <c r="AJ601" t="str">
        <f>_xlfn.XLOOKUP(Table9[[#This Row],[Engine No.]],'[1]Dubai Islamic Consumer'!$Q$3:$Q$1176,'[1]Dubai Islamic Consumer'!$B$3:$B$1176,,,)</f>
        <v>KHI/HO/D/MO/PC COMP/C/103702/108/12/2024</v>
      </c>
    </row>
    <row r="602" spans="1:36" hidden="1" x14ac:dyDescent="0.25">
      <c r="A602">
        <v>601</v>
      </c>
      <c r="B602" t="s">
        <v>35</v>
      </c>
      <c r="C602" t="s">
        <v>7244</v>
      </c>
      <c r="D602" t="s">
        <v>37</v>
      </c>
      <c r="E602" t="s">
        <v>7245</v>
      </c>
      <c r="F602" t="s">
        <v>73</v>
      </c>
      <c r="G602" t="s">
        <v>7246</v>
      </c>
      <c r="H602" t="s">
        <v>7247</v>
      </c>
      <c r="I602" t="s">
        <v>7247</v>
      </c>
      <c r="J602" t="s">
        <v>7247</v>
      </c>
      <c r="K602" t="s">
        <v>7248</v>
      </c>
      <c r="L602">
        <v>1288000</v>
      </c>
      <c r="M602">
        <v>1610000</v>
      </c>
      <c r="N602" t="s">
        <v>7249</v>
      </c>
      <c r="O602" s="1">
        <v>45632</v>
      </c>
      <c r="P602" t="s">
        <v>7250</v>
      </c>
      <c r="Q602" t="s">
        <v>7251</v>
      </c>
      <c r="R602" t="s">
        <v>47</v>
      </c>
      <c r="S602" t="s">
        <v>48</v>
      </c>
      <c r="T602" t="s">
        <v>3356</v>
      </c>
      <c r="U602" t="s">
        <v>50</v>
      </c>
      <c r="V602" s="1">
        <v>44393</v>
      </c>
      <c r="W602" t="s">
        <v>7252</v>
      </c>
      <c r="X602" t="s">
        <v>7253</v>
      </c>
      <c r="Y602" t="s">
        <v>7254</v>
      </c>
      <c r="Z602">
        <v>5</v>
      </c>
      <c r="AA602" t="s">
        <v>55</v>
      </c>
      <c r="AB602" t="s">
        <v>7255</v>
      </c>
      <c r="AC602" t="s">
        <v>4903</v>
      </c>
      <c r="AD602" t="s">
        <v>58</v>
      </c>
      <c r="AE602">
        <v>1368500</v>
      </c>
      <c r="AF602">
        <v>27370</v>
      </c>
      <c r="AJ602" t="str">
        <f>_xlfn.XLOOKUP(Table9[[#This Row],[Engine No.]],'[1]Dubai Islamic Consumer'!$Q$3:$Q$1176,'[1]Dubai Islamic Consumer'!$B$3:$B$1176,,,)</f>
        <v>KHI/HO/D/MO/PC COMP/C/103702/105/12/2024</v>
      </c>
    </row>
    <row r="603" spans="1:36" hidden="1" x14ac:dyDescent="0.25">
      <c r="A603">
        <v>602</v>
      </c>
      <c r="B603" t="s">
        <v>35</v>
      </c>
      <c r="C603" t="s">
        <v>7256</v>
      </c>
      <c r="D603" t="s">
        <v>37</v>
      </c>
      <c r="E603" t="s">
        <v>7257</v>
      </c>
      <c r="F603" t="s">
        <v>39</v>
      </c>
      <c r="G603" t="s">
        <v>7258</v>
      </c>
      <c r="H603" t="s">
        <v>7259</v>
      </c>
      <c r="I603" t="s">
        <v>7260</v>
      </c>
      <c r="J603" t="s">
        <v>7261</v>
      </c>
      <c r="K603" t="s">
        <v>7262</v>
      </c>
      <c r="L603">
        <v>1280000</v>
      </c>
      <c r="M603">
        <v>1600000</v>
      </c>
      <c r="N603" t="s">
        <v>7263</v>
      </c>
      <c r="O603" s="1">
        <v>45632</v>
      </c>
      <c r="P603" t="s">
        <v>7264</v>
      </c>
      <c r="Q603" t="s">
        <v>7265</v>
      </c>
      <c r="R603" t="s">
        <v>146</v>
      </c>
      <c r="S603" t="s">
        <v>7266</v>
      </c>
      <c r="T603" t="s">
        <v>1909</v>
      </c>
      <c r="U603" t="s">
        <v>335</v>
      </c>
      <c r="V603" s="1">
        <v>44538</v>
      </c>
      <c r="W603" t="s">
        <v>6483</v>
      </c>
      <c r="X603" t="s">
        <v>6431</v>
      </c>
      <c r="Y603" t="s">
        <v>7267</v>
      </c>
      <c r="Z603">
        <v>5</v>
      </c>
      <c r="AA603" t="s">
        <v>55</v>
      </c>
      <c r="AB603" t="s">
        <v>7268</v>
      </c>
      <c r="AC603" t="s">
        <v>5881</v>
      </c>
      <c r="AD603" t="s">
        <v>299</v>
      </c>
      <c r="AE603">
        <v>1280000</v>
      </c>
      <c r="AF603">
        <v>19200</v>
      </c>
      <c r="AJ603" t="str">
        <f>_xlfn.XLOOKUP(Table9[[#This Row],[Engine No.]],'[1]Dubai Islamic Consumer'!$Q$3:$Q$1176,'[1]Dubai Islamic Consumer'!$B$3:$B$1176,,,)</f>
        <v>KHI/HO/D/MO/PC COMP/C/103702/104/12/2024</v>
      </c>
    </row>
    <row r="604" spans="1:36" hidden="1" x14ac:dyDescent="0.25">
      <c r="A604">
        <v>603</v>
      </c>
      <c r="B604" t="s">
        <v>35</v>
      </c>
      <c r="C604" t="s">
        <v>7269</v>
      </c>
      <c r="D604" t="s">
        <v>37</v>
      </c>
      <c r="E604" t="s">
        <v>7270</v>
      </c>
      <c r="F604" t="s">
        <v>138</v>
      </c>
      <c r="G604" t="s">
        <v>7271</v>
      </c>
      <c r="H604" t="s">
        <v>48</v>
      </c>
      <c r="I604" t="s">
        <v>7272</v>
      </c>
      <c r="J604" t="s">
        <v>48</v>
      </c>
      <c r="K604" t="s">
        <v>7273</v>
      </c>
      <c r="L604">
        <v>1399300</v>
      </c>
      <c r="M604">
        <v>1999000</v>
      </c>
      <c r="N604" t="s">
        <v>7274</v>
      </c>
      <c r="O604" s="1">
        <v>45632</v>
      </c>
      <c r="P604" t="s">
        <v>7275</v>
      </c>
      <c r="Q604" t="s">
        <v>7276</v>
      </c>
      <c r="R604" t="s">
        <v>47</v>
      </c>
      <c r="S604" t="s">
        <v>48</v>
      </c>
      <c r="T604" t="s">
        <v>5028</v>
      </c>
      <c r="U604" t="s">
        <v>98</v>
      </c>
      <c r="V604" s="1">
        <v>44074</v>
      </c>
      <c r="W604" t="s">
        <v>4001</v>
      </c>
      <c r="X604" t="s">
        <v>4016</v>
      </c>
      <c r="Y604" t="s">
        <v>7277</v>
      </c>
      <c r="Z604">
        <v>6</v>
      </c>
      <c r="AA604" t="s">
        <v>227</v>
      </c>
      <c r="AB604" t="s">
        <v>7278</v>
      </c>
      <c r="AC604" t="s">
        <v>6900</v>
      </c>
      <c r="AD604" t="s">
        <v>58</v>
      </c>
      <c r="AE604">
        <v>1499250</v>
      </c>
      <c r="AF604">
        <v>29985</v>
      </c>
      <c r="AJ604" t="e">
        <f>_xlfn.XLOOKUP(Table9[[#This Row],[Engine No.]],'[1]Dubai Islamic Consumer'!$Q$3:$Q$1176,'[1]Dubai Islamic Consumer'!$B$3:$B$1176,,,)</f>
        <v>#N/A</v>
      </c>
    </row>
    <row r="605" spans="1:36" hidden="1" x14ac:dyDescent="0.25">
      <c r="A605">
        <v>604</v>
      </c>
      <c r="B605" t="s">
        <v>35</v>
      </c>
      <c r="C605" t="s">
        <v>7279</v>
      </c>
      <c r="D605" t="s">
        <v>37</v>
      </c>
      <c r="E605" t="s">
        <v>7280</v>
      </c>
      <c r="F605" t="s">
        <v>245</v>
      </c>
      <c r="G605" t="s">
        <v>7281</v>
      </c>
      <c r="H605" t="s">
        <v>48</v>
      </c>
      <c r="I605" t="s">
        <v>48</v>
      </c>
      <c r="J605" t="s">
        <v>48</v>
      </c>
      <c r="K605" t="s">
        <v>7282</v>
      </c>
      <c r="L605">
        <v>1137500</v>
      </c>
      <c r="M605">
        <v>1750000</v>
      </c>
      <c r="N605" t="s">
        <v>7283</v>
      </c>
      <c r="O605" s="1">
        <v>45632</v>
      </c>
      <c r="P605" t="s">
        <v>7284</v>
      </c>
      <c r="Q605" t="s">
        <v>7285</v>
      </c>
      <c r="R605" t="s">
        <v>146</v>
      </c>
      <c r="S605" t="s">
        <v>7286</v>
      </c>
      <c r="T605" t="s">
        <v>181</v>
      </c>
      <c r="U605" t="s">
        <v>98</v>
      </c>
      <c r="V605" s="1">
        <v>44543</v>
      </c>
      <c r="W605" t="s">
        <v>4473</v>
      </c>
      <c r="X605" t="s">
        <v>4724</v>
      </c>
      <c r="Y605" t="s">
        <v>7287</v>
      </c>
      <c r="Z605">
        <v>7</v>
      </c>
      <c r="AA605" t="s">
        <v>55</v>
      </c>
      <c r="AB605" t="s">
        <v>7288</v>
      </c>
      <c r="AC605" t="s">
        <v>6351</v>
      </c>
      <c r="AD605" t="s">
        <v>299</v>
      </c>
      <c r="AE605">
        <v>1400000</v>
      </c>
      <c r="AF605">
        <v>21000</v>
      </c>
      <c r="AJ605" t="str">
        <f>_xlfn.XLOOKUP(Table9[[#This Row],[Engine No.]],'[1]Dubai Islamic Consumer'!$Q$3:$Q$1176,'[1]Dubai Islamic Consumer'!$B$3:$B$1176,,,)</f>
        <v>KHI/HO/D/MO/PC COMP/C/103702/102/12/2024</v>
      </c>
    </row>
    <row r="606" spans="1:36" hidden="1" x14ac:dyDescent="0.25">
      <c r="A606">
        <v>605</v>
      </c>
      <c r="B606" t="s">
        <v>35</v>
      </c>
      <c r="C606" t="s">
        <v>7289</v>
      </c>
      <c r="D606" t="s">
        <v>37</v>
      </c>
      <c r="E606" t="s">
        <v>7290</v>
      </c>
      <c r="F606" t="s">
        <v>39</v>
      </c>
      <c r="G606" t="s">
        <v>7291</v>
      </c>
      <c r="H606" t="s">
        <v>48</v>
      </c>
      <c r="I606" t="s">
        <v>7292</v>
      </c>
      <c r="J606" t="s">
        <v>48</v>
      </c>
      <c r="K606" t="s">
        <v>7293</v>
      </c>
      <c r="L606">
        <v>2054500</v>
      </c>
      <c r="M606">
        <v>2935000</v>
      </c>
      <c r="N606" t="s">
        <v>7294</v>
      </c>
      <c r="O606" t="s">
        <v>7295</v>
      </c>
      <c r="P606" t="s">
        <v>7296</v>
      </c>
      <c r="Q606" t="s">
        <v>7297</v>
      </c>
      <c r="R606" t="s">
        <v>47</v>
      </c>
      <c r="S606" t="s">
        <v>48</v>
      </c>
      <c r="T606" t="s">
        <v>613</v>
      </c>
      <c r="U606" t="s">
        <v>386</v>
      </c>
      <c r="V606" s="1">
        <v>45230</v>
      </c>
      <c r="W606" t="s">
        <v>4587</v>
      </c>
      <c r="X606" t="s">
        <v>5561</v>
      </c>
      <c r="Y606" t="s">
        <v>7298</v>
      </c>
      <c r="Z606">
        <v>4</v>
      </c>
      <c r="AA606" t="s">
        <v>152</v>
      </c>
      <c r="AB606" t="s">
        <v>7299</v>
      </c>
      <c r="AC606" t="s">
        <v>7141</v>
      </c>
      <c r="AD606" t="s">
        <v>58</v>
      </c>
      <c r="AE606">
        <v>2641500</v>
      </c>
      <c r="AF606">
        <v>52830</v>
      </c>
      <c r="AJ606" t="str">
        <f>_xlfn.XLOOKUP(Table9[[#This Row],[Engine No.]],'[1]Dubai Islamic Consumer'!$Q$3:$Q$1176,'[1]Dubai Islamic Consumer'!$B$3:$B$1176,,,)</f>
        <v>KHI/HO/D/MO/PC COMP/C/103702/60/12/2024</v>
      </c>
    </row>
    <row r="607" spans="1:36" hidden="1" x14ac:dyDescent="0.25">
      <c r="A607">
        <v>606</v>
      </c>
      <c r="B607" t="s">
        <v>35</v>
      </c>
      <c r="C607" t="s">
        <v>7300</v>
      </c>
      <c r="D607" t="s">
        <v>37</v>
      </c>
      <c r="E607" t="s">
        <v>7301</v>
      </c>
      <c r="F607" t="s">
        <v>7302</v>
      </c>
      <c r="G607" t="s">
        <v>7303</v>
      </c>
      <c r="H607" t="s">
        <v>7304</v>
      </c>
      <c r="I607" t="s">
        <v>7304</v>
      </c>
      <c r="J607" t="s">
        <v>7304</v>
      </c>
      <c r="K607" t="s">
        <v>7305</v>
      </c>
      <c r="L607">
        <v>1144000</v>
      </c>
      <c r="M607">
        <v>1760000</v>
      </c>
      <c r="N607" t="s">
        <v>7306</v>
      </c>
      <c r="O607" s="1">
        <v>45632</v>
      </c>
      <c r="P607" t="s">
        <v>7307</v>
      </c>
      <c r="Q607" t="s">
        <v>7308</v>
      </c>
      <c r="R607" t="s">
        <v>47</v>
      </c>
      <c r="S607" t="s">
        <v>48</v>
      </c>
      <c r="T607" t="s">
        <v>859</v>
      </c>
      <c r="U607" t="s">
        <v>50</v>
      </c>
      <c r="V607" s="1">
        <v>44539</v>
      </c>
      <c r="W607" t="s">
        <v>6483</v>
      </c>
      <c r="X607" t="s">
        <v>6431</v>
      </c>
      <c r="Y607" t="s">
        <v>7309</v>
      </c>
      <c r="Z607">
        <v>5</v>
      </c>
      <c r="AA607" t="s">
        <v>55</v>
      </c>
      <c r="AB607" t="s">
        <v>7310</v>
      </c>
      <c r="AC607" t="s">
        <v>5881</v>
      </c>
      <c r="AD607" t="s">
        <v>58</v>
      </c>
      <c r="AE607">
        <v>1408000</v>
      </c>
      <c r="AF607">
        <v>28160</v>
      </c>
      <c r="AJ607" t="str">
        <f>_xlfn.XLOOKUP(Table9[[#This Row],[Engine No.]],'[1]Dubai Islamic Consumer'!$Q$3:$Q$1176,'[1]Dubai Islamic Consumer'!$B$3:$B$1176,,,)</f>
        <v>KHI/HO/D/MO/PC COMP/C/103702/101/12/2024</v>
      </c>
    </row>
    <row r="608" spans="1:36" hidden="1" x14ac:dyDescent="0.25">
      <c r="A608">
        <v>607</v>
      </c>
      <c r="B608" t="s">
        <v>35</v>
      </c>
      <c r="C608" t="s">
        <v>7311</v>
      </c>
      <c r="D608" t="s">
        <v>37</v>
      </c>
      <c r="E608" t="s">
        <v>7312</v>
      </c>
      <c r="F608" t="s">
        <v>138</v>
      </c>
      <c r="G608" t="s">
        <v>7313</v>
      </c>
      <c r="H608" t="s">
        <v>7314</v>
      </c>
      <c r="I608" t="s">
        <v>7314</v>
      </c>
      <c r="J608" t="s">
        <v>141</v>
      </c>
      <c r="K608" t="s">
        <v>7315</v>
      </c>
      <c r="L608">
        <v>900000</v>
      </c>
      <c r="M608">
        <v>1500000</v>
      </c>
      <c r="N608" t="s">
        <v>7316</v>
      </c>
      <c r="O608" s="1">
        <v>45631</v>
      </c>
      <c r="P608" t="s">
        <v>7317</v>
      </c>
      <c r="Q608" t="s">
        <v>7318</v>
      </c>
      <c r="R608" t="s">
        <v>146</v>
      </c>
      <c r="S608" t="s">
        <v>7319</v>
      </c>
      <c r="T608" t="s">
        <v>613</v>
      </c>
      <c r="U608" t="s">
        <v>614</v>
      </c>
      <c r="V608" s="1">
        <v>44539</v>
      </c>
      <c r="W608" t="s">
        <v>6483</v>
      </c>
      <c r="X608" t="s">
        <v>6444</v>
      </c>
      <c r="Y608" t="s">
        <v>7320</v>
      </c>
      <c r="Z608">
        <v>6</v>
      </c>
      <c r="AA608" t="s">
        <v>118</v>
      </c>
      <c r="AB608" t="s">
        <v>7321</v>
      </c>
      <c r="AC608" t="s">
        <v>5881</v>
      </c>
      <c r="AD608" t="s">
        <v>299</v>
      </c>
      <c r="AE608">
        <v>1200000</v>
      </c>
      <c r="AF608">
        <v>18000</v>
      </c>
      <c r="AJ608" t="str">
        <f>_xlfn.XLOOKUP(Table9[[#This Row],[Engine No.]],'[1]Dubai Islamic Consumer'!$Q$3:$Q$1176,'[1]Dubai Islamic Consumer'!$B$3:$B$1176,,,)</f>
        <v>KHI/HO/D/MO/PC COMP/C/103702/63/12/2024</v>
      </c>
    </row>
    <row r="609" spans="1:36" hidden="1" x14ac:dyDescent="0.25">
      <c r="A609">
        <v>608</v>
      </c>
      <c r="B609" t="s">
        <v>35</v>
      </c>
      <c r="C609" t="s">
        <v>7322</v>
      </c>
      <c r="D609" t="s">
        <v>37</v>
      </c>
      <c r="E609" t="s">
        <v>7323</v>
      </c>
      <c r="F609" t="s">
        <v>107</v>
      </c>
      <c r="G609" t="s">
        <v>7324</v>
      </c>
      <c r="H609" t="s">
        <v>7325</v>
      </c>
      <c r="I609" t="s">
        <v>7325</v>
      </c>
      <c r="J609" t="s">
        <v>7325</v>
      </c>
      <c r="K609" t="s">
        <v>7326</v>
      </c>
      <c r="L609">
        <v>1237500</v>
      </c>
      <c r="M609">
        <v>1650000</v>
      </c>
      <c r="N609" t="s">
        <v>7327</v>
      </c>
      <c r="O609" s="1">
        <v>45631</v>
      </c>
      <c r="P609" t="s">
        <v>7328</v>
      </c>
      <c r="Q609" t="s">
        <v>7329</v>
      </c>
      <c r="R609" t="s">
        <v>146</v>
      </c>
      <c r="S609" t="s">
        <v>7330</v>
      </c>
      <c r="T609" t="s">
        <v>613</v>
      </c>
      <c r="U609" t="s">
        <v>614</v>
      </c>
      <c r="V609" s="1">
        <v>44537</v>
      </c>
      <c r="W609" t="s">
        <v>6483</v>
      </c>
      <c r="X609" t="s">
        <v>6578</v>
      </c>
      <c r="Y609" t="s">
        <v>7331</v>
      </c>
      <c r="Z609">
        <v>7</v>
      </c>
      <c r="AA609" t="s">
        <v>55</v>
      </c>
      <c r="AB609" t="s">
        <v>7332</v>
      </c>
      <c r="AC609" t="s">
        <v>5881</v>
      </c>
      <c r="AD609" t="s">
        <v>299</v>
      </c>
      <c r="AE609">
        <v>1320000</v>
      </c>
      <c r="AF609">
        <v>19800</v>
      </c>
      <c r="AJ609" t="str">
        <f>_xlfn.XLOOKUP(Table9[[#This Row],[Engine No.]],'[1]Dubai Islamic Consumer'!$Q$3:$Q$1176,'[1]Dubai Islamic Consumer'!$B$3:$B$1176,,,)</f>
        <v>KHI/HO/D/MO/PC COMP/C/103702/64/12/2024</v>
      </c>
    </row>
    <row r="610" spans="1:36" hidden="1" x14ac:dyDescent="0.25">
      <c r="A610">
        <v>609</v>
      </c>
      <c r="B610" t="s">
        <v>35</v>
      </c>
      <c r="C610" t="s">
        <v>7333</v>
      </c>
      <c r="D610" t="s">
        <v>37</v>
      </c>
      <c r="E610" t="s">
        <v>7334</v>
      </c>
      <c r="F610" t="s">
        <v>290</v>
      </c>
      <c r="G610" t="s">
        <v>7335</v>
      </c>
      <c r="H610" t="s">
        <v>7336</v>
      </c>
      <c r="I610" t="s">
        <v>7336</v>
      </c>
      <c r="J610" t="s">
        <v>7336</v>
      </c>
      <c r="K610" t="s">
        <v>7337</v>
      </c>
      <c r="L610">
        <v>1389500</v>
      </c>
      <c r="M610">
        <v>1985000</v>
      </c>
      <c r="N610" t="s">
        <v>7338</v>
      </c>
      <c r="O610" s="1">
        <v>45632</v>
      </c>
      <c r="P610" t="s">
        <v>7339</v>
      </c>
      <c r="Q610" t="s">
        <v>7340</v>
      </c>
      <c r="R610" t="s">
        <v>47</v>
      </c>
      <c r="S610" t="s">
        <v>48</v>
      </c>
      <c r="T610" t="s">
        <v>7341</v>
      </c>
      <c r="U610" t="s">
        <v>98</v>
      </c>
      <c r="V610" s="1">
        <v>44034</v>
      </c>
      <c r="W610" t="s">
        <v>5266</v>
      </c>
      <c r="X610" t="s">
        <v>5267</v>
      </c>
      <c r="Y610" t="s">
        <v>7342</v>
      </c>
      <c r="Z610">
        <v>5</v>
      </c>
      <c r="AA610" t="s">
        <v>227</v>
      </c>
      <c r="AB610" t="s">
        <v>7343</v>
      </c>
      <c r="AC610" t="s">
        <v>7210</v>
      </c>
      <c r="AD610" t="s">
        <v>58</v>
      </c>
      <c r="AE610">
        <v>1488750</v>
      </c>
      <c r="AF610">
        <v>29775</v>
      </c>
      <c r="AJ610" t="str">
        <f>_xlfn.XLOOKUP(Table9[[#This Row],[Engine No.]],'[1]Dubai Islamic Consumer'!$Q$3:$Q$1176,'[1]Dubai Islamic Consumer'!$B$3:$B$1176,,,)</f>
        <v>KHI/HO/D/MO/PC COMP/C/103702/100/12/2024</v>
      </c>
    </row>
    <row r="611" spans="1:36" hidden="1" x14ac:dyDescent="0.25">
      <c r="A611">
        <v>610</v>
      </c>
      <c r="B611" t="s">
        <v>35</v>
      </c>
      <c r="C611" t="s">
        <v>7344</v>
      </c>
      <c r="D611" t="s">
        <v>37</v>
      </c>
      <c r="E611" t="s">
        <v>7345</v>
      </c>
      <c r="F611" t="s">
        <v>107</v>
      </c>
      <c r="G611" t="s">
        <v>7346</v>
      </c>
      <c r="H611" t="s">
        <v>7347</v>
      </c>
      <c r="I611" t="s">
        <v>7347</v>
      </c>
      <c r="J611" t="s">
        <v>7348</v>
      </c>
      <c r="K611" t="s">
        <v>7349</v>
      </c>
      <c r="L611">
        <v>1465800</v>
      </c>
      <c r="M611">
        <v>2443000</v>
      </c>
      <c r="N611" t="s">
        <v>7350</v>
      </c>
      <c r="O611" s="1">
        <v>45631</v>
      </c>
      <c r="P611" t="s">
        <v>7351</v>
      </c>
      <c r="Q611" t="s">
        <v>7352</v>
      </c>
      <c r="R611" t="s">
        <v>47</v>
      </c>
      <c r="S611" t="s">
        <v>48</v>
      </c>
      <c r="T611" t="s">
        <v>7353</v>
      </c>
      <c r="U611" t="s">
        <v>50</v>
      </c>
      <c r="V611" s="1">
        <v>44467</v>
      </c>
      <c r="W611" t="s">
        <v>6483</v>
      </c>
      <c r="X611" t="s">
        <v>6578</v>
      </c>
      <c r="Y611" t="s">
        <v>7354</v>
      </c>
      <c r="Z611">
        <v>7</v>
      </c>
      <c r="AA611" t="s">
        <v>55</v>
      </c>
      <c r="AB611" t="s">
        <v>7355</v>
      </c>
      <c r="AC611" t="s">
        <v>6944</v>
      </c>
      <c r="AD611" t="s">
        <v>58</v>
      </c>
      <c r="AE611">
        <v>1954400</v>
      </c>
      <c r="AF611">
        <v>39088</v>
      </c>
      <c r="AJ611" t="str">
        <f>_xlfn.XLOOKUP(Table9[[#This Row],[Engine No.]],'[1]Dubai Islamic Consumer'!$Q$3:$Q$1176,'[1]Dubai Islamic Consumer'!$B$3:$B$1176,,,)</f>
        <v>KHI/HO/D/MO/PC COMP/C/103702/66/12/2024</v>
      </c>
    </row>
    <row r="612" spans="1:36" hidden="1" x14ac:dyDescent="0.25">
      <c r="A612">
        <v>611</v>
      </c>
      <c r="B612" t="s">
        <v>35</v>
      </c>
      <c r="C612" t="s">
        <v>7356</v>
      </c>
      <c r="D612" t="s">
        <v>37</v>
      </c>
      <c r="E612" t="s">
        <v>7357</v>
      </c>
      <c r="F612" t="s">
        <v>138</v>
      </c>
      <c r="G612" t="s">
        <v>7358</v>
      </c>
      <c r="H612" t="s">
        <v>48</v>
      </c>
      <c r="I612" t="s">
        <v>7359</v>
      </c>
      <c r="J612" t="s">
        <v>7359</v>
      </c>
      <c r="K612" t="s">
        <v>7360</v>
      </c>
      <c r="L612">
        <v>1120000</v>
      </c>
      <c r="M612">
        <v>1600000</v>
      </c>
      <c r="N612" t="s">
        <v>7361</v>
      </c>
      <c r="O612" s="1">
        <v>45632</v>
      </c>
      <c r="P612" t="s">
        <v>7362</v>
      </c>
      <c r="Q612" t="s">
        <v>7363</v>
      </c>
      <c r="R612" t="s">
        <v>146</v>
      </c>
      <c r="S612" t="s">
        <v>7364</v>
      </c>
      <c r="T612" t="s">
        <v>1909</v>
      </c>
      <c r="U612" t="s">
        <v>496</v>
      </c>
      <c r="V612" s="1">
        <v>44539</v>
      </c>
      <c r="W612" t="s">
        <v>6483</v>
      </c>
      <c r="X612" t="s">
        <v>6431</v>
      </c>
      <c r="Y612" t="s">
        <v>7365</v>
      </c>
      <c r="Z612">
        <v>5</v>
      </c>
      <c r="AA612" t="s">
        <v>118</v>
      </c>
      <c r="AB612" t="s">
        <v>7366</v>
      </c>
      <c r="AC612" t="s">
        <v>5881</v>
      </c>
      <c r="AD612" t="s">
        <v>299</v>
      </c>
      <c r="AE612">
        <v>1280000</v>
      </c>
      <c r="AF612">
        <v>19200</v>
      </c>
      <c r="AJ612" t="str">
        <f>_xlfn.XLOOKUP(Table9[[#This Row],[Engine No.]],'[1]Dubai Islamic Consumer'!$Q$3:$Q$1176,'[1]Dubai Islamic Consumer'!$B$3:$B$1176,,,)</f>
        <v>KHI/HO/D/MO/PC COMP/C/103702/99/12/2024</v>
      </c>
    </row>
    <row r="613" spans="1:36" hidden="1" x14ac:dyDescent="0.25">
      <c r="A613">
        <v>612</v>
      </c>
      <c r="B613" t="s">
        <v>35</v>
      </c>
      <c r="C613" t="s">
        <v>7367</v>
      </c>
      <c r="D613" t="s">
        <v>37</v>
      </c>
      <c r="E613" t="s">
        <v>7368</v>
      </c>
      <c r="F613" t="s">
        <v>39</v>
      </c>
      <c r="G613" t="s">
        <v>7369</v>
      </c>
      <c r="H613" t="s">
        <v>7370</v>
      </c>
      <c r="I613" t="s">
        <v>7371</v>
      </c>
      <c r="J613" t="s">
        <v>7370</v>
      </c>
      <c r="K613" t="s">
        <v>7372</v>
      </c>
      <c r="L613">
        <v>1893000</v>
      </c>
      <c r="M613">
        <v>2703000</v>
      </c>
      <c r="N613" t="s">
        <v>7373</v>
      </c>
      <c r="O613" s="1">
        <v>45631</v>
      </c>
      <c r="P613" t="s">
        <v>7374</v>
      </c>
      <c r="Q613" t="s">
        <v>7375</v>
      </c>
      <c r="R613" t="s">
        <v>47</v>
      </c>
      <c r="S613" t="s">
        <v>48</v>
      </c>
      <c r="T613" t="s">
        <v>2918</v>
      </c>
      <c r="U613" t="s">
        <v>50</v>
      </c>
      <c r="V613" s="1">
        <v>44468</v>
      </c>
      <c r="W613" t="s">
        <v>6483</v>
      </c>
      <c r="X613" t="s">
        <v>6431</v>
      </c>
      <c r="Y613" t="s">
        <v>7376</v>
      </c>
      <c r="Z613">
        <v>5</v>
      </c>
      <c r="AA613" t="s">
        <v>55</v>
      </c>
      <c r="AB613" t="s">
        <v>7377</v>
      </c>
      <c r="AC613" t="s">
        <v>5881</v>
      </c>
      <c r="AD613" t="s">
        <v>58</v>
      </c>
      <c r="AE613">
        <v>2162400</v>
      </c>
      <c r="AF613">
        <v>43248</v>
      </c>
      <c r="AJ613" t="str">
        <f>_xlfn.XLOOKUP(Table9[[#This Row],[Engine No.]],'[1]Dubai Islamic Consumer'!$Q$3:$Q$1176,'[1]Dubai Islamic Consumer'!$B$3:$B$1176,,,)</f>
        <v>KHI/HO/D/MO/PC COMP/C/103702/69/12/2024</v>
      </c>
    </row>
    <row r="614" spans="1:36" hidden="1" x14ac:dyDescent="0.25">
      <c r="A614">
        <v>613</v>
      </c>
      <c r="B614" t="s">
        <v>35</v>
      </c>
      <c r="C614" t="s">
        <v>7378</v>
      </c>
      <c r="D614" t="s">
        <v>37</v>
      </c>
      <c r="E614" t="s">
        <v>7379</v>
      </c>
      <c r="F614" t="s">
        <v>73</v>
      </c>
      <c r="G614" t="s">
        <v>7380</v>
      </c>
      <c r="H614" t="s">
        <v>7381</v>
      </c>
      <c r="I614" t="s">
        <v>7381</v>
      </c>
      <c r="J614" t="s">
        <v>7381</v>
      </c>
      <c r="K614" t="s">
        <v>7382</v>
      </c>
      <c r="L614">
        <v>966000</v>
      </c>
      <c r="M614">
        <v>1610000</v>
      </c>
      <c r="N614" t="s">
        <v>7383</v>
      </c>
      <c r="O614" s="1">
        <v>45632</v>
      </c>
      <c r="P614" t="s">
        <v>7384</v>
      </c>
      <c r="Q614" t="s">
        <v>7385</v>
      </c>
      <c r="R614" t="s">
        <v>47</v>
      </c>
      <c r="S614" t="s">
        <v>48</v>
      </c>
      <c r="T614" t="s">
        <v>321</v>
      </c>
      <c r="U614" t="s">
        <v>50</v>
      </c>
      <c r="V614" s="1">
        <v>44408</v>
      </c>
      <c r="W614" t="s">
        <v>7252</v>
      </c>
      <c r="X614" t="s">
        <v>7253</v>
      </c>
      <c r="Y614" t="s">
        <v>7386</v>
      </c>
      <c r="Z614">
        <v>5</v>
      </c>
      <c r="AA614" t="s">
        <v>118</v>
      </c>
      <c r="AB614" t="s">
        <v>7387</v>
      </c>
      <c r="AC614" t="s">
        <v>4972</v>
      </c>
      <c r="AD614" t="s">
        <v>58</v>
      </c>
      <c r="AE614">
        <v>1368500</v>
      </c>
      <c r="AF614">
        <v>27370</v>
      </c>
      <c r="AJ614" t="str">
        <f>_xlfn.XLOOKUP(Table9[[#This Row],[Engine No.]],'[1]Dubai Islamic Consumer'!$Q$3:$Q$1176,'[1]Dubai Islamic Consumer'!$B$3:$B$1176,,,)</f>
        <v>KHI/HO/D/MO/PC COMP/C/103702/97/12/2024</v>
      </c>
    </row>
    <row r="615" spans="1:36" hidden="1" x14ac:dyDescent="0.25">
      <c r="A615">
        <v>614</v>
      </c>
      <c r="B615" t="s">
        <v>35</v>
      </c>
      <c r="C615" t="s">
        <v>7388</v>
      </c>
      <c r="D615" t="s">
        <v>37</v>
      </c>
      <c r="E615" t="s">
        <v>7389</v>
      </c>
      <c r="F615" t="s">
        <v>107</v>
      </c>
      <c r="G615" t="s">
        <v>7390</v>
      </c>
      <c r="H615" t="s">
        <v>7391</v>
      </c>
      <c r="I615" t="s">
        <v>7391</v>
      </c>
      <c r="J615" t="s">
        <v>7391</v>
      </c>
      <c r="K615" t="s">
        <v>7392</v>
      </c>
      <c r="L615">
        <v>2485000</v>
      </c>
      <c r="M615">
        <v>3550000</v>
      </c>
      <c r="N615" t="s">
        <v>7393</v>
      </c>
      <c r="O615" s="1">
        <v>45631</v>
      </c>
      <c r="P615" t="s">
        <v>7394</v>
      </c>
      <c r="Q615" t="s">
        <v>7395</v>
      </c>
      <c r="R615" t="s">
        <v>146</v>
      </c>
      <c r="S615" t="s">
        <v>7396</v>
      </c>
      <c r="T615" t="s">
        <v>714</v>
      </c>
      <c r="U615" t="s">
        <v>496</v>
      </c>
      <c r="V615" s="1">
        <v>44537</v>
      </c>
      <c r="W615" t="s">
        <v>6483</v>
      </c>
      <c r="X615" t="s">
        <v>6431</v>
      </c>
      <c r="Y615" t="s">
        <v>7397</v>
      </c>
      <c r="Z615">
        <v>5</v>
      </c>
      <c r="AA615" t="s">
        <v>55</v>
      </c>
      <c r="AB615" t="s">
        <v>7398</v>
      </c>
      <c r="AC615" t="s">
        <v>5881</v>
      </c>
      <c r="AD615" t="s">
        <v>299</v>
      </c>
      <c r="AE615">
        <v>2840000</v>
      </c>
      <c r="AF615">
        <v>42600</v>
      </c>
      <c r="AJ615" t="str">
        <f>_xlfn.XLOOKUP(Table9[[#This Row],[Engine No.]],'[1]Dubai Islamic Consumer'!$Q$3:$Q$1176,'[1]Dubai Islamic Consumer'!$B$3:$B$1176,,,)</f>
        <v>KHI/HO/D/MO/PC COMP/C/103702/1/12/2024</v>
      </c>
    </row>
    <row r="616" spans="1:36" hidden="1" x14ac:dyDescent="0.25">
      <c r="A616">
        <v>615</v>
      </c>
      <c r="B616" t="s">
        <v>35</v>
      </c>
      <c r="C616" t="s">
        <v>7399</v>
      </c>
      <c r="D616" t="s">
        <v>37</v>
      </c>
      <c r="E616" t="s">
        <v>7400</v>
      </c>
      <c r="F616" t="s">
        <v>7401</v>
      </c>
      <c r="G616" t="s">
        <v>7402</v>
      </c>
      <c r="H616" t="s">
        <v>7403</v>
      </c>
      <c r="I616" t="s">
        <v>7403</v>
      </c>
      <c r="J616" t="s">
        <v>7403</v>
      </c>
      <c r="K616" t="s">
        <v>7404</v>
      </c>
      <c r="L616">
        <v>701250</v>
      </c>
      <c r="M616">
        <v>1275000</v>
      </c>
      <c r="N616" t="s">
        <v>7405</v>
      </c>
      <c r="O616" s="1">
        <v>45631</v>
      </c>
      <c r="P616" t="s">
        <v>7406</v>
      </c>
      <c r="Q616" t="s">
        <v>7407</v>
      </c>
      <c r="R616" t="s">
        <v>146</v>
      </c>
      <c r="S616" t="s">
        <v>7408</v>
      </c>
      <c r="T616" t="s">
        <v>321</v>
      </c>
      <c r="U616" t="s">
        <v>335</v>
      </c>
      <c r="V616" s="1">
        <v>44540</v>
      </c>
      <c r="W616" t="s">
        <v>6483</v>
      </c>
      <c r="X616" t="s">
        <v>6431</v>
      </c>
      <c r="Y616" t="s">
        <v>7409</v>
      </c>
      <c r="Z616">
        <v>5</v>
      </c>
      <c r="AA616" t="s">
        <v>55</v>
      </c>
      <c r="AB616" t="s">
        <v>7410</v>
      </c>
      <c r="AC616" t="s">
        <v>5881</v>
      </c>
      <c r="AD616" t="s">
        <v>299</v>
      </c>
      <c r="AE616">
        <v>1020000</v>
      </c>
      <c r="AF616">
        <v>15300</v>
      </c>
      <c r="AJ616" t="str">
        <f>_xlfn.XLOOKUP(Table9[[#This Row],[Engine No.]],'[1]Dubai Islamic Consumer'!$Q$3:$Q$1176,'[1]Dubai Islamic Consumer'!$B$3:$B$1176,,,)</f>
        <v>KHI/HO/D/MO/PC COMP/C/103702/72/12/2024</v>
      </c>
    </row>
    <row r="617" spans="1:36" hidden="1" x14ac:dyDescent="0.25">
      <c r="A617">
        <v>616</v>
      </c>
      <c r="B617" t="s">
        <v>35</v>
      </c>
      <c r="C617" t="s">
        <v>7411</v>
      </c>
      <c r="D617" t="s">
        <v>37</v>
      </c>
      <c r="E617" t="s">
        <v>7412</v>
      </c>
      <c r="F617" t="s">
        <v>406</v>
      </c>
      <c r="G617" t="s">
        <v>7413</v>
      </c>
      <c r="H617" t="s">
        <v>1505</v>
      </c>
      <c r="I617" t="s">
        <v>7414</v>
      </c>
      <c r="J617" t="s">
        <v>7415</v>
      </c>
      <c r="K617" t="s">
        <v>7416</v>
      </c>
      <c r="L617">
        <v>1084000</v>
      </c>
      <c r="M617">
        <v>2710000</v>
      </c>
      <c r="N617" t="s">
        <v>7417</v>
      </c>
      <c r="O617" s="1">
        <v>45632</v>
      </c>
      <c r="P617" t="s">
        <v>7418</v>
      </c>
      <c r="Q617" t="s">
        <v>7419</v>
      </c>
      <c r="R617" t="s">
        <v>47</v>
      </c>
      <c r="S617" t="s">
        <v>48</v>
      </c>
      <c r="T617" t="s">
        <v>3817</v>
      </c>
      <c r="U617" t="s">
        <v>98</v>
      </c>
      <c r="V617" s="1">
        <v>44135</v>
      </c>
      <c r="W617" t="s">
        <v>5266</v>
      </c>
      <c r="X617" t="s">
        <v>5267</v>
      </c>
      <c r="Y617" t="s">
        <v>7420</v>
      </c>
      <c r="Z617">
        <v>5</v>
      </c>
      <c r="AA617" t="s">
        <v>227</v>
      </c>
      <c r="AB617" t="s">
        <v>7421</v>
      </c>
      <c r="AC617" t="s">
        <v>7210</v>
      </c>
      <c r="AD617" t="s">
        <v>58</v>
      </c>
      <c r="AE617">
        <v>2032500</v>
      </c>
      <c r="AF617">
        <v>40650</v>
      </c>
      <c r="AJ617" t="str">
        <f>_xlfn.XLOOKUP(Table9[[#This Row],[Engine No.]],'[1]Dubai Islamic Consumer'!$Q$3:$Q$1176,'[1]Dubai Islamic Consumer'!$B$3:$B$1176,,,)</f>
        <v>KHI/HO/D/MO/PC COMP/C/103702/95/12/2024</v>
      </c>
    </row>
    <row r="618" spans="1:36" hidden="1" x14ac:dyDescent="0.25">
      <c r="A618">
        <v>617</v>
      </c>
      <c r="B618" t="s">
        <v>35</v>
      </c>
      <c r="C618" t="s">
        <v>7422</v>
      </c>
      <c r="D618" t="s">
        <v>37</v>
      </c>
      <c r="E618" t="s">
        <v>7423</v>
      </c>
      <c r="F618" t="s">
        <v>138</v>
      </c>
      <c r="G618" t="s">
        <v>7424</v>
      </c>
      <c r="H618" t="s">
        <v>48</v>
      </c>
      <c r="I618" t="s">
        <v>48</v>
      </c>
      <c r="J618" t="s">
        <v>48</v>
      </c>
      <c r="K618" t="s">
        <v>7425</v>
      </c>
      <c r="L618">
        <v>2255000</v>
      </c>
      <c r="M618">
        <v>4100000</v>
      </c>
      <c r="N618" t="s">
        <v>7426</v>
      </c>
      <c r="O618" s="1">
        <v>45631</v>
      </c>
      <c r="P618" t="s">
        <v>7427</v>
      </c>
      <c r="Q618" t="s">
        <v>7428</v>
      </c>
      <c r="R618" t="s">
        <v>146</v>
      </c>
      <c r="S618" t="s">
        <v>48</v>
      </c>
      <c r="T618" t="s">
        <v>7429</v>
      </c>
      <c r="U618" t="s">
        <v>148</v>
      </c>
      <c r="V618" s="1">
        <v>44902</v>
      </c>
      <c r="W618" t="s">
        <v>6737</v>
      </c>
      <c r="X618" t="s">
        <v>3831</v>
      </c>
      <c r="Y618" t="s">
        <v>7430</v>
      </c>
      <c r="Z618">
        <v>3</v>
      </c>
      <c r="AA618" t="s">
        <v>227</v>
      </c>
      <c r="AB618" t="s">
        <v>7431</v>
      </c>
      <c r="AC618" t="s">
        <v>7432</v>
      </c>
      <c r="AD618" t="s">
        <v>86</v>
      </c>
      <c r="AE618">
        <v>3485000</v>
      </c>
      <c r="AF618">
        <v>60988</v>
      </c>
      <c r="AJ618" t="str">
        <f>_xlfn.XLOOKUP(Table9[[#This Row],[Engine No.]],'[1]Dubai Islamic Consumer'!$Q$3:$Q$1176,'[1]Dubai Islamic Consumer'!$B$3:$B$1176,,,)</f>
        <v>KHI/HO/D/MO/PC COMP/C/103702/74/12/2024</v>
      </c>
    </row>
    <row r="619" spans="1:36" hidden="1" x14ac:dyDescent="0.25">
      <c r="A619">
        <v>618</v>
      </c>
      <c r="B619" t="s">
        <v>35</v>
      </c>
      <c r="C619" t="s">
        <v>7433</v>
      </c>
      <c r="D619" t="s">
        <v>37</v>
      </c>
      <c r="E619" t="s">
        <v>7434</v>
      </c>
      <c r="F619" t="s">
        <v>138</v>
      </c>
      <c r="G619" t="s">
        <v>7435</v>
      </c>
      <c r="H619" t="s">
        <v>7436</v>
      </c>
      <c r="I619" t="s">
        <v>7436</v>
      </c>
      <c r="J619" t="s">
        <v>141</v>
      </c>
      <c r="K619" t="s">
        <v>7437</v>
      </c>
      <c r="L619">
        <v>1755000</v>
      </c>
      <c r="M619">
        <v>2700000</v>
      </c>
      <c r="N619" t="s">
        <v>7438</v>
      </c>
      <c r="O619" t="s">
        <v>7439</v>
      </c>
      <c r="P619" t="s">
        <v>7440</v>
      </c>
      <c r="Q619" t="s">
        <v>7441</v>
      </c>
      <c r="R619" t="s">
        <v>146</v>
      </c>
      <c r="S619" t="s">
        <v>7442</v>
      </c>
      <c r="T619" t="s">
        <v>613</v>
      </c>
      <c r="U619" t="s">
        <v>50</v>
      </c>
      <c r="V619" s="1">
        <v>45271</v>
      </c>
      <c r="W619" t="s">
        <v>6293</v>
      </c>
      <c r="X619" t="s">
        <v>6431</v>
      </c>
      <c r="Y619" t="s">
        <v>7443</v>
      </c>
      <c r="Z619">
        <v>3</v>
      </c>
      <c r="AA619" t="s">
        <v>55</v>
      </c>
      <c r="AB619" t="s">
        <v>7444</v>
      </c>
      <c r="AC619" t="s">
        <v>7445</v>
      </c>
      <c r="AD619" t="s">
        <v>86</v>
      </c>
      <c r="AE619">
        <v>2430000</v>
      </c>
      <c r="AF619">
        <v>42525</v>
      </c>
      <c r="AJ619" t="str">
        <f>_xlfn.XLOOKUP(Table9[[#This Row],[Engine No.]],'[1]Dubai Islamic Consumer'!$Q$3:$Q$1176,'[1]Dubai Islamic Consumer'!$B$3:$B$1176,,,)</f>
        <v>KHI/HO/D/MO/PC COMP/C/103702/93/12/2024</v>
      </c>
    </row>
    <row r="620" spans="1:36" hidden="1" x14ac:dyDescent="0.25">
      <c r="A620">
        <v>619</v>
      </c>
      <c r="B620" t="s">
        <v>35</v>
      </c>
      <c r="C620" t="s">
        <v>7446</v>
      </c>
      <c r="D620" t="s">
        <v>37</v>
      </c>
      <c r="E620" t="s">
        <v>7447</v>
      </c>
      <c r="F620" t="s">
        <v>138</v>
      </c>
      <c r="G620" t="s">
        <v>7448</v>
      </c>
      <c r="H620" t="s">
        <v>7449</v>
      </c>
      <c r="I620" t="s">
        <v>7449</v>
      </c>
      <c r="J620" t="s">
        <v>7450</v>
      </c>
      <c r="K620" t="s">
        <v>7451</v>
      </c>
      <c r="L620">
        <v>1657200</v>
      </c>
      <c r="M620">
        <v>2762000</v>
      </c>
      <c r="N620" t="s">
        <v>7452</v>
      </c>
      <c r="O620" s="1">
        <v>45631</v>
      </c>
      <c r="P620" t="s">
        <v>7453</v>
      </c>
      <c r="Q620" t="s">
        <v>7454</v>
      </c>
      <c r="R620" t="s">
        <v>47</v>
      </c>
      <c r="S620" t="s">
        <v>48</v>
      </c>
      <c r="T620" t="s">
        <v>3282</v>
      </c>
      <c r="U620" t="s">
        <v>148</v>
      </c>
      <c r="V620" s="1">
        <v>44712</v>
      </c>
      <c r="W620" t="s">
        <v>6737</v>
      </c>
      <c r="X620" t="s">
        <v>3831</v>
      </c>
      <c r="Y620" t="s">
        <v>7455</v>
      </c>
      <c r="Z620">
        <v>3</v>
      </c>
      <c r="AA620" t="s">
        <v>227</v>
      </c>
      <c r="AB620" t="s">
        <v>7456</v>
      </c>
      <c r="AC620" t="s">
        <v>6740</v>
      </c>
      <c r="AD620" t="s">
        <v>58</v>
      </c>
      <c r="AE620">
        <v>2347700</v>
      </c>
      <c r="AF620">
        <v>46954</v>
      </c>
      <c r="AJ620" t="str">
        <f>_xlfn.XLOOKUP(Table9[[#This Row],[Engine No.]],'[1]Dubai Islamic Consumer'!$Q$3:$Q$1176,'[1]Dubai Islamic Consumer'!$B$3:$B$1176,,,)</f>
        <v>KHI/HO/D/MO/PC COMP/C/103702/76/12/2024</v>
      </c>
    </row>
    <row r="621" spans="1:36" hidden="1" x14ac:dyDescent="0.25">
      <c r="A621">
        <v>620</v>
      </c>
      <c r="B621" t="s">
        <v>35</v>
      </c>
      <c r="C621" t="s">
        <v>7457</v>
      </c>
      <c r="D621" t="s">
        <v>37</v>
      </c>
      <c r="E621" t="s">
        <v>7458</v>
      </c>
      <c r="F621" t="s">
        <v>245</v>
      </c>
      <c r="G621" t="s">
        <v>7459</v>
      </c>
      <c r="H621" t="s">
        <v>7460</v>
      </c>
      <c r="I621" t="s">
        <v>7461</v>
      </c>
      <c r="J621" t="s">
        <v>7462</v>
      </c>
      <c r="K621" t="s">
        <v>7463</v>
      </c>
      <c r="L621">
        <v>2898000</v>
      </c>
      <c r="M621">
        <v>4140000</v>
      </c>
      <c r="N621" t="s">
        <v>7464</v>
      </c>
      <c r="O621" s="1">
        <v>45631</v>
      </c>
      <c r="P621" t="s">
        <v>7465</v>
      </c>
      <c r="Q621" t="s">
        <v>7466</v>
      </c>
      <c r="R621" t="s">
        <v>47</v>
      </c>
      <c r="S621" t="s">
        <v>48</v>
      </c>
      <c r="T621" t="s">
        <v>7467</v>
      </c>
      <c r="U621" t="s">
        <v>148</v>
      </c>
      <c r="V621" s="1">
        <v>44586</v>
      </c>
      <c r="W621" t="s">
        <v>3988</v>
      </c>
      <c r="X621" t="s">
        <v>3977</v>
      </c>
      <c r="Y621" t="s">
        <v>7468</v>
      </c>
      <c r="Z621">
        <v>3</v>
      </c>
      <c r="AA621" t="s">
        <v>118</v>
      </c>
      <c r="AB621" t="s">
        <v>7469</v>
      </c>
      <c r="AC621" t="s">
        <v>7432</v>
      </c>
      <c r="AD621" t="s">
        <v>58</v>
      </c>
      <c r="AE621">
        <v>3519000</v>
      </c>
      <c r="AF621">
        <v>70380</v>
      </c>
      <c r="AJ621" t="str">
        <f>_xlfn.XLOOKUP(Table9[[#This Row],[Engine No.]],'[1]Dubai Islamic Consumer'!$Q$3:$Q$1176,'[1]Dubai Islamic Consumer'!$B$3:$B$1176,,,)</f>
        <v>KHI/HO/D/MO/PC COMP/C/103702/88/12/2024</v>
      </c>
    </row>
    <row r="622" spans="1:36" hidden="1" x14ac:dyDescent="0.25">
      <c r="A622">
        <v>621</v>
      </c>
      <c r="B622" t="s">
        <v>35</v>
      </c>
      <c r="C622" t="s">
        <v>7470</v>
      </c>
      <c r="D622" t="s">
        <v>37</v>
      </c>
      <c r="E622" t="s">
        <v>7471</v>
      </c>
      <c r="F622" t="s">
        <v>107</v>
      </c>
      <c r="G622" t="s">
        <v>7472</v>
      </c>
      <c r="H622" t="s">
        <v>7473</v>
      </c>
      <c r="I622" t="s">
        <v>7473</v>
      </c>
      <c r="J622" t="s">
        <v>7473</v>
      </c>
      <c r="K622" t="s">
        <v>7474</v>
      </c>
      <c r="L622">
        <v>1166000</v>
      </c>
      <c r="M622">
        <v>2120000</v>
      </c>
      <c r="N622" t="s">
        <v>7475</v>
      </c>
      <c r="O622" s="1">
        <v>45631</v>
      </c>
      <c r="P622" t="s">
        <v>7476</v>
      </c>
      <c r="Q622" t="s">
        <v>7477</v>
      </c>
      <c r="R622" t="s">
        <v>47</v>
      </c>
      <c r="S622" t="s">
        <v>48</v>
      </c>
      <c r="T622" t="s">
        <v>2180</v>
      </c>
      <c r="U622" t="s">
        <v>148</v>
      </c>
      <c r="V622" s="1">
        <v>44865</v>
      </c>
      <c r="W622" t="s">
        <v>5621</v>
      </c>
      <c r="X622" t="s">
        <v>5561</v>
      </c>
      <c r="Y622" t="s">
        <v>7478</v>
      </c>
      <c r="Z622">
        <v>5</v>
      </c>
      <c r="AA622" t="s">
        <v>227</v>
      </c>
      <c r="AB622" t="s">
        <v>7479</v>
      </c>
      <c r="AC622" t="s">
        <v>7432</v>
      </c>
      <c r="AD622" t="s">
        <v>58</v>
      </c>
      <c r="AE622">
        <v>1802000</v>
      </c>
      <c r="AF622">
        <v>36040</v>
      </c>
      <c r="AJ622" t="str">
        <f>_xlfn.XLOOKUP(Table9[[#This Row],[Engine No.]],'[1]Dubai Islamic Consumer'!$Q$3:$Q$1176,'[1]Dubai Islamic Consumer'!$B$3:$B$1176,,,)</f>
        <v>KHI/HO/D/MO/PC COMP/C/103702/86/12/2024</v>
      </c>
    </row>
    <row r="623" spans="1:36" hidden="1" x14ac:dyDescent="0.25">
      <c r="A623">
        <v>622</v>
      </c>
      <c r="B623" t="s">
        <v>35</v>
      </c>
      <c r="C623" t="s">
        <v>7480</v>
      </c>
      <c r="D623" t="s">
        <v>37</v>
      </c>
      <c r="E623" t="s">
        <v>7481</v>
      </c>
      <c r="F623" t="s">
        <v>107</v>
      </c>
      <c r="G623" t="s">
        <v>7482</v>
      </c>
      <c r="H623" t="s">
        <v>48</v>
      </c>
      <c r="I623" t="s">
        <v>7483</v>
      </c>
      <c r="J623" t="s">
        <v>48</v>
      </c>
      <c r="K623" t="s">
        <v>7484</v>
      </c>
      <c r="L623">
        <v>1658350</v>
      </c>
      <c r="M623">
        <v>1951000</v>
      </c>
      <c r="N623" t="s">
        <v>7485</v>
      </c>
      <c r="O623" s="1">
        <v>45631</v>
      </c>
      <c r="P623" t="s">
        <v>7486</v>
      </c>
      <c r="Q623" t="s">
        <v>7487</v>
      </c>
      <c r="R623" t="s">
        <v>858</v>
      </c>
      <c r="S623" t="s">
        <v>48</v>
      </c>
      <c r="T623" t="s">
        <v>7488</v>
      </c>
      <c r="U623" t="s">
        <v>148</v>
      </c>
      <c r="V623" s="1">
        <v>44736</v>
      </c>
      <c r="W623" t="s">
        <v>5621</v>
      </c>
      <c r="X623" t="s">
        <v>5267</v>
      </c>
      <c r="Y623" t="s">
        <v>7489</v>
      </c>
      <c r="Z623">
        <v>3</v>
      </c>
      <c r="AA623" t="s">
        <v>227</v>
      </c>
      <c r="AB623" t="s">
        <v>7490</v>
      </c>
      <c r="AC623" t="s">
        <v>7432</v>
      </c>
      <c r="AD623" t="s">
        <v>943</v>
      </c>
      <c r="AE623">
        <v>1658350</v>
      </c>
      <c r="AF623">
        <v>23217</v>
      </c>
      <c r="AJ623" t="str">
        <f>_xlfn.XLOOKUP(Table9[[#This Row],[Engine No.]],'[1]Dubai Islamic Consumer'!$Q$3:$Q$1176,'[1]Dubai Islamic Consumer'!$B$3:$B$1176,,,)</f>
        <v>KHI/HO/D/MO/PC COMP/C/103702/85/12/2024</v>
      </c>
    </row>
    <row r="624" spans="1:36" hidden="1" x14ac:dyDescent="0.25">
      <c r="A624">
        <v>623</v>
      </c>
      <c r="B624" t="s">
        <v>35</v>
      </c>
      <c r="C624" t="s">
        <v>7491</v>
      </c>
      <c r="D624" t="s">
        <v>37</v>
      </c>
      <c r="E624" t="s">
        <v>7492</v>
      </c>
      <c r="F624" t="s">
        <v>39</v>
      </c>
      <c r="G624" t="s">
        <v>7493</v>
      </c>
      <c r="H624" t="s">
        <v>7494</v>
      </c>
      <c r="I624" t="s">
        <v>7495</v>
      </c>
      <c r="J624" t="s">
        <v>7494</v>
      </c>
      <c r="K624" t="s">
        <v>7496</v>
      </c>
      <c r="L624">
        <v>2218300</v>
      </c>
      <c r="M624">
        <v>3169000</v>
      </c>
      <c r="N624" t="s">
        <v>7497</v>
      </c>
      <c r="O624" s="1">
        <v>45631</v>
      </c>
      <c r="P624" t="s">
        <v>7498</v>
      </c>
      <c r="Q624" t="s">
        <v>7499</v>
      </c>
      <c r="R624" t="s">
        <v>47</v>
      </c>
      <c r="S624" t="s">
        <v>48</v>
      </c>
      <c r="T624" t="s">
        <v>889</v>
      </c>
      <c r="U624" t="s">
        <v>148</v>
      </c>
      <c r="V624" s="1">
        <v>44667</v>
      </c>
      <c r="W624" t="s">
        <v>5621</v>
      </c>
      <c r="X624" t="s">
        <v>5267</v>
      </c>
      <c r="Y624" t="s">
        <v>7500</v>
      </c>
      <c r="Z624">
        <v>3</v>
      </c>
      <c r="AA624" t="s">
        <v>118</v>
      </c>
      <c r="AB624" t="s">
        <v>7501</v>
      </c>
      <c r="AC624" t="s">
        <v>7432</v>
      </c>
      <c r="AD624" t="s">
        <v>58</v>
      </c>
      <c r="AE624">
        <v>2693650</v>
      </c>
      <c r="AF624">
        <v>53873</v>
      </c>
      <c r="AJ624" t="str">
        <f>_xlfn.XLOOKUP(Table9[[#This Row],[Engine No.]],'[1]Dubai Islamic Consumer'!$Q$3:$Q$1176,'[1]Dubai Islamic Consumer'!$B$3:$B$1176,,,)</f>
        <v>KHI/HO/D/MO/PC COMP/C/103702/82/12/2024</v>
      </c>
    </row>
    <row r="625" spans="1:36" hidden="1" x14ac:dyDescent="0.25">
      <c r="A625">
        <v>624</v>
      </c>
      <c r="B625" s="2" t="s">
        <v>7502</v>
      </c>
      <c r="C625" t="s">
        <v>7503</v>
      </c>
      <c r="D625" t="s">
        <v>37</v>
      </c>
      <c r="E625" t="s">
        <v>7504</v>
      </c>
      <c r="F625" t="s">
        <v>138</v>
      </c>
      <c r="G625" t="s">
        <v>7505</v>
      </c>
      <c r="H625" t="s">
        <v>7506</v>
      </c>
      <c r="I625" t="s">
        <v>7506</v>
      </c>
      <c r="J625" t="s">
        <v>7507</v>
      </c>
      <c r="K625" t="s">
        <v>7508</v>
      </c>
      <c r="L625">
        <v>656000</v>
      </c>
      <c r="M625">
        <v>820000</v>
      </c>
      <c r="N625" t="s">
        <v>7509</v>
      </c>
      <c r="O625" s="1">
        <v>45653</v>
      </c>
      <c r="P625" t="s">
        <v>7510</v>
      </c>
      <c r="Q625" t="s">
        <v>7511</v>
      </c>
      <c r="R625" t="s">
        <v>146</v>
      </c>
      <c r="S625" t="s">
        <v>7512</v>
      </c>
      <c r="T625" t="s">
        <v>7513</v>
      </c>
      <c r="U625" t="s">
        <v>903</v>
      </c>
      <c r="V625" s="1">
        <v>43097</v>
      </c>
      <c r="W625" t="s">
        <v>7514</v>
      </c>
      <c r="X625" t="s">
        <v>7515</v>
      </c>
      <c r="Y625" t="s">
        <v>7516</v>
      </c>
      <c r="Z625">
        <v>7</v>
      </c>
      <c r="AA625" t="s">
        <v>877</v>
      </c>
      <c r="AB625" t="s">
        <v>7517</v>
      </c>
      <c r="AC625" t="s">
        <v>7518</v>
      </c>
      <c r="AD625" t="s">
        <v>880</v>
      </c>
      <c r="AE625">
        <v>574000</v>
      </c>
      <c r="AF625">
        <v>0</v>
      </c>
      <c r="AJ625" t="e">
        <f>_xlfn.XLOOKUP(Table9[[#This Row],[Engine No.]],'[1]Dubai Islamic Consumer'!$Q$3:$Q$1176,'[1]Dubai Islamic Consumer'!$B$3:$B$1176,,,)</f>
        <v>#N/A</v>
      </c>
    </row>
    <row r="626" spans="1:36" hidden="1" x14ac:dyDescent="0.25">
      <c r="A626">
        <v>625</v>
      </c>
      <c r="B626" s="2" t="s">
        <v>7502</v>
      </c>
      <c r="C626" t="s">
        <v>7519</v>
      </c>
      <c r="D626" t="s">
        <v>37</v>
      </c>
      <c r="E626" t="s">
        <v>7520</v>
      </c>
      <c r="F626" t="s">
        <v>107</v>
      </c>
      <c r="G626" t="s">
        <v>7521</v>
      </c>
      <c r="H626" t="s">
        <v>7522</v>
      </c>
      <c r="I626" t="s">
        <v>7522</v>
      </c>
      <c r="J626" t="s">
        <v>7523</v>
      </c>
      <c r="K626" t="s">
        <v>7524</v>
      </c>
      <c r="L626">
        <v>875200</v>
      </c>
      <c r="M626">
        <v>1094000</v>
      </c>
      <c r="N626" t="s">
        <v>7525</v>
      </c>
      <c r="O626" s="1">
        <v>45653</v>
      </c>
      <c r="P626" t="s">
        <v>7526</v>
      </c>
      <c r="Q626" t="s">
        <v>7527</v>
      </c>
      <c r="R626" t="s">
        <v>47</v>
      </c>
      <c r="S626" t="s">
        <v>7528</v>
      </c>
      <c r="T626" t="s">
        <v>224</v>
      </c>
      <c r="U626" t="s">
        <v>335</v>
      </c>
      <c r="V626" s="1">
        <v>43099</v>
      </c>
      <c r="W626" t="s">
        <v>7529</v>
      </c>
      <c r="X626" t="s">
        <v>7530</v>
      </c>
      <c r="Y626" t="s">
        <v>7531</v>
      </c>
      <c r="Z626">
        <v>7</v>
      </c>
      <c r="AA626" t="s">
        <v>877</v>
      </c>
      <c r="AB626" t="s">
        <v>7532</v>
      </c>
      <c r="AC626" t="s">
        <v>7533</v>
      </c>
      <c r="AD626" t="s">
        <v>880</v>
      </c>
      <c r="AE626">
        <v>765800</v>
      </c>
      <c r="AF626">
        <v>0</v>
      </c>
      <c r="AJ626" t="e">
        <f>_xlfn.XLOOKUP(Table9[[#This Row],[Engine No.]],'[1]Dubai Islamic Consumer'!$Q$3:$Q$1176,'[1]Dubai Islamic Consumer'!$B$3:$B$1176,,,)</f>
        <v>#N/A</v>
      </c>
    </row>
    <row r="627" spans="1:36" hidden="1" x14ac:dyDescent="0.25">
      <c r="A627">
        <v>626</v>
      </c>
      <c r="B627" s="2" t="s">
        <v>7502</v>
      </c>
      <c r="C627" t="s">
        <v>7534</v>
      </c>
      <c r="D627" t="s">
        <v>37</v>
      </c>
      <c r="E627" t="s">
        <v>7535</v>
      </c>
      <c r="F627" t="s">
        <v>107</v>
      </c>
      <c r="G627" t="s">
        <v>7536</v>
      </c>
      <c r="H627" t="s">
        <v>7537</v>
      </c>
      <c r="I627" t="s">
        <v>7538</v>
      </c>
      <c r="J627" t="s">
        <v>7539</v>
      </c>
      <c r="K627" t="s">
        <v>7540</v>
      </c>
      <c r="L627">
        <v>1679300</v>
      </c>
      <c r="M627">
        <v>2399000</v>
      </c>
      <c r="N627" t="s">
        <v>7541</v>
      </c>
      <c r="O627" s="1">
        <v>45648</v>
      </c>
      <c r="P627" t="s">
        <v>7542</v>
      </c>
      <c r="Q627" t="s">
        <v>7543</v>
      </c>
      <c r="R627" t="s">
        <v>47</v>
      </c>
      <c r="S627" t="s">
        <v>7544</v>
      </c>
      <c r="T627" t="s">
        <v>7545</v>
      </c>
      <c r="U627" t="s">
        <v>614</v>
      </c>
      <c r="V627" s="1">
        <v>43825</v>
      </c>
      <c r="W627" t="s">
        <v>4031</v>
      </c>
      <c r="X627" t="s">
        <v>7515</v>
      </c>
      <c r="Y627" t="s">
        <v>7546</v>
      </c>
      <c r="Z627">
        <v>5</v>
      </c>
      <c r="AA627" t="s">
        <v>55</v>
      </c>
      <c r="AB627" t="s">
        <v>7547</v>
      </c>
      <c r="AC627" t="s">
        <v>4034</v>
      </c>
      <c r="AD627" t="s">
        <v>171</v>
      </c>
      <c r="AE627">
        <v>1679300</v>
      </c>
      <c r="AF627">
        <v>0</v>
      </c>
      <c r="AJ627" t="e">
        <f>_xlfn.XLOOKUP(Table9[[#This Row],[Engine No.]],'[1]Dubai Islamic Consumer'!$Q$3:$Q$1176,'[1]Dubai Islamic Consumer'!$B$3:$B$1176,,,)</f>
        <v>#N/A</v>
      </c>
    </row>
    <row r="628" spans="1:36" hidden="1" x14ac:dyDescent="0.25">
      <c r="A628">
        <v>627</v>
      </c>
      <c r="B628" s="2" t="s">
        <v>7502</v>
      </c>
      <c r="C628" t="s">
        <v>7548</v>
      </c>
      <c r="D628" t="s">
        <v>37</v>
      </c>
      <c r="E628" t="s">
        <v>1364</v>
      </c>
      <c r="F628" t="s">
        <v>89</v>
      </c>
      <c r="G628" t="s">
        <v>7549</v>
      </c>
      <c r="H628" t="s">
        <v>7550</v>
      </c>
      <c r="I628" t="s">
        <v>7550</v>
      </c>
      <c r="J628" t="s">
        <v>48</v>
      </c>
      <c r="K628" t="s">
        <v>7551</v>
      </c>
      <c r="L628">
        <v>1012500</v>
      </c>
      <c r="M628">
        <v>1350000</v>
      </c>
      <c r="N628" t="s">
        <v>7552</v>
      </c>
      <c r="O628" s="1">
        <v>45648</v>
      </c>
      <c r="P628" t="s">
        <v>7553</v>
      </c>
      <c r="Q628" t="s">
        <v>7554</v>
      </c>
      <c r="R628" t="s">
        <v>1215</v>
      </c>
      <c r="S628" t="s">
        <v>7555</v>
      </c>
      <c r="T628" t="s">
        <v>7556</v>
      </c>
      <c r="U628" t="s">
        <v>903</v>
      </c>
      <c r="V628" s="1">
        <v>43823</v>
      </c>
      <c r="W628" t="s">
        <v>4031</v>
      </c>
      <c r="X628" t="s">
        <v>7515</v>
      </c>
      <c r="Y628" t="s">
        <v>7557</v>
      </c>
      <c r="Z628">
        <v>5</v>
      </c>
      <c r="AA628" t="s">
        <v>227</v>
      </c>
      <c r="AB628" t="s">
        <v>7558</v>
      </c>
      <c r="AC628" t="s">
        <v>4034</v>
      </c>
      <c r="AD628" t="s">
        <v>171</v>
      </c>
      <c r="AE628">
        <v>944999.99999999988</v>
      </c>
      <c r="AF628">
        <v>0</v>
      </c>
      <c r="AJ628" t="e">
        <f>_xlfn.XLOOKUP(Table9[[#This Row],[Engine No.]],'[1]Dubai Islamic Consumer'!$Q$3:$Q$1176,'[1]Dubai Islamic Consumer'!$B$3:$B$1176,,,)</f>
        <v>#N/A</v>
      </c>
    </row>
    <row r="629" spans="1:36" hidden="1" x14ac:dyDescent="0.25">
      <c r="A629">
        <v>628</v>
      </c>
      <c r="B629" s="2" t="s">
        <v>7502</v>
      </c>
      <c r="C629" t="s">
        <v>7559</v>
      </c>
      <c r="D629" t="s">
        <v>37</v>
      </c>
      <c r="E629" t="s">
        <v>7560</v>
      </c>
      <c r="F629" t="s">
        <v>764</v>
      </c>
      <c r="G629" t="s">
        <v>7561</v>
      </c>
      <c r="H629" t="s">
        <v>48</v>
      </c>
      <c r="I629" t="s">
        <v>7562</v>
      </c>
      <c r="J629" t="s">
        <v>48</v>
      </c>
      <c r="K629" t="s">
        <v>7563</v>
      </c>
      <c r="L629">
        <v>2112500</v>
      </c>
      <c r="M629">
        <v>3250000</v>
      </c>
      <c r="N629" t="s">
        <v>7564</v>
      </c>
      <c r="O629" s="1">
        <v>45647</v>
      </c>
      <c r="P629" t="s">
        <v>7565</v>
      </c>
      <c r="Q629" t="s">
        <v>7566</v>
      </c>
      <c r="R629" t="s">
        <v>146</v>
      </c>
      <c r="S629" t="s">
        <v>7567</v>
      </c>
      <c r="T629" t="s">
        <v>1128</v>
      </c>
      <c r="U629" t="s">
        <v>335</v>
      </c>
      <c r="V629" s="1">
        <v>44188</v>
      </c>
      <c r="W629" t="s">
        <v>4001</v>
      </c>
      <c r="X629" t="s">
        <v>7515</v>
      </c>
      <c r="Y629" t="s">
        <v>7568</v>
      </c>
      <c r="Z629">
        <v>4</v>
      </c>
      <c r="AA629" t="s">
        <v>55</v>
      </c>
      <c r="AB629" t="s">
        <v>7569</v>
      </c>
      <c r="AC629" t="s">
        <v>4091</v>
      </c>
      <c r="AD629" t="s">
        <v>58</v>
      </c>
      <c r="AE629">
        <v>2275000</v>
      </c>
      <c r="AF629">
        <v>0</v>
      </c>
      <c r="AJ629" t="e">
        <f>_xlfn.XLOOKUP(Table9[[#This Row],[Engine No.]],'[1]Dubai Islamic Consumer'!$Q$3:$Q$1176,'[1]Dubai Islamic Consumer'!$B$3:$B$1176,,,)</f>
        <v>#N/A</v>
      </c>
    </row>
    <row r="630" spans="1:36" hidden="1" x14ac:dyDescent="0.25">
      <c r="A630">
        <v>629</v>
      </c>
      <c r="B630" s="2" t="s">
        <v>7502</v>
      </c>
      <c r="C630" t="s">
        <v>7570</v>
      </c>
      <c r="D630" t="s">
        <v>37</v>
      </c>
      <c r="E630" t="s">
        <v>7571</v>
      </c>
      <c r="F630" t="s">
        <v>138</v>
      </c>
      <c r="G630" t="s">
        <v>7572</v>
      </c>
      <c r="H630" t="s">
        <v>7573</v>
      </c>
      <c r="I630" t="s">
        <v>7574</v>
      </c>
      <c r="J630" t="s">
        <v>7575</v>
      </c>
      <c r="K630" t="s">
        <v>7576</v>
      </c>
      <c r="L630">
        <v>1499400</v>
      </c>
      <c r="M630">
        <v>1764000</v>
      </c>
      <c r="N630" t="s">
        <v>7577</v>
      </c>
      <c r="O630" s="1">
        <v>45646</v>
      </c>
      <c r="P630" t="s">
        <v>7578</v>
      </c>
      <c r="Q630" t="s">
        <v>7579</v>
      </c>
      <c r="R630" t="s">
        <v>47</v>
      </c>
      <c r="S630" t="s">
        <v>7580</v>
      </c>
      <c r="T630" t="s">
        <v>6302</v>
      </c>
      <c r="U630" t="s">
        <v>335</v>
      </c>
      <c r="V630" s="1">
        <v>43096</v>
      </c>
      <c r="W630" t="s">
        <v>7514</v>
      </c>
      <c r="X630" t="s">
        <v>7515</v>
      </c>
      <c r="Y630" t="s">
        <v>7581</v>
      </c>
      <c r="Z630">
        <v>7</v>
      </c>
      <c r="AA630" t="s">
        <v>55</v>
      </c>
      <c r="AB630" t="s">
        <v>7582</v>
      </c>
      <c r="AC630" t="s">
        <v>7583</v>
      </c>
      <c r="AD630" t="s">
        <v>7584</v>
      </c>
      <c r="AE630">
        <v>1234800</v>
      </c>
      <c r="AF630">
        <v>0</v>
      </c>
      <c r="AJ630" t="e">
        <f>_xlfn.XLOOKUP(Table9[[#This Row],[Engine No.]],'[1]Dubai Islamic Consumer'!$Q$3:$Q$1176,'[1]Dubai Islamic Consumer'!$B$3:$B$1176,,,)</f>
        <v>#N/A</v>
      </c>
    </row>
    <row r="631" spans="1:36" hidden="1" x14ac:dyDescent="0.25">
      <c r="A631">
        <v>630</v>
      </c>
      <c r="B631" s="2" t="s">
        <v>7502</v>
      </c>
      <c r="C631" t="s">
        <v>7585</v>
      </c>
      <c r="D631" t="s">
        <v>37</v>
      </c>
      <c r="E631" t="s">
        <v>7586</v>
      </c>
      <c r="F631" t="s">
        <v>107</v>
      </c>
      <c r="G631" t="s">
        <v>7587</v>
      </c>
      <c r="H631" t="s">
        <v>7588</v>
      </c>
      <c r="I631" t="s">
        <v>7588</v>
      </c>
      <c r="J631" t="s">
        <v>7589</v>
      </c>
      <c r="K631" t="s">
        <v>7590</v>
      </c>
      <c r="L631">
        <v>875200</v>
      </c>
      <c r="M631">
        <v>1094000</v>
      </c>
      <c r="N631" t="s">
        <v>7591</v>
      </c>
      <c r="O631" s="1">
        <v>45643</v>
      </c>
      <c r="P631" t="s">
        <v>7592</v>
      </c>
      <c r="Q631" t="s">
        <v>7593</v>
      </c>
      <c r="R631" t="s">
        <v>47</v>
      </c>
      <c r="S631" t="s">
        <v>7594</v>
      </c>
      <c r="T631" t="s">
        <v>224</v>
      </c>
      <c r="U631" t="s">
        <v>335</v>
      </c>
      <c r="V631" s="1">
        <v>42909</v>
      </c>
      <c r="W631" t="s">
        <v>7514</v>
      </c>
      <c r="X631" t="s">
        <v>7515</v>
      </c>
      <c r="Y631" t="s">
        <v>7595</v>
      </c>
      <c r="Z631">
        <v>7</v>
      </c>
      <c r="AA631" t="s">
        <v>55</v>
      </c>
      <c r="AB631" t="s">
        <v>7596</v>
      </c>
      <c r="AC631" t="s">
        <v>7597</v>
      </c>
      <c r="AD631" t="s">
        <v>880</v>
      </c>
      <c r="AE631">
        <v>765800</v>
      </c>
      <c r="AF631">
        <v>0</v>
      </c>
      <c r="AJ631" t="e">
        <f>_xlfn.XLOOKUP(Table9[[#This Row],[Engine No.]],'[1]Dubai Islamic Consumer'!$Q$3:$Q$1176,'[1]Dubai Islamic Consumer'!$B$3:$B$1176,,,)</f>
        <v>#N/A</v>
      </c>
    </row>
    <row r="632" spans="1:36" hidden="1" x14ac:dyDescent="0.25">
      <c r="A632">
        <v>631</v>
      </c>
      <c r="B632" s="2" t="s">
        <v>7502</v>
      </c>
      <c r="C632" t="s">
        <v>7598</v>
      </c>
      <c r="D632" t="s">
        <v>37</v>
      </c>
      <c r="E632" t="s">
        <v>1541</v>
      </c>
      <c r="F632" t="s">
        <v>245</v>
      </c>
      <c r="G632" t="s">
        <v>7599</v>
      </c>
      <c r="H632" t="s">
        <v>7600</v>
      </c>
      <c r="I632" t="s">
        <v>7601</v>
      </c>
      <c r="J632" t="s">
        <v>7602</v>
      </c>
      <c r="K632" t="s">
        <v>7603</v>
      </c>
      <c r="L632">
        <v>716400</v>
      </c>
      <c r="M632">
        <v>1194000</v>
      </c>
      <c r="N632" t="s">
        <v>7604</v>
      </c>
      <c r="O632" s="1">
        <v>45643</v>
      </c>
      <c r="P632" t="s">
        <v>7605</v>
      </c>
      <c r="Q632" t="s">
        <v>7606</v>
      </c>
      <c r="R632" t="s">
        <v>47</v>
      </c>
      <c r="S632" t="s">
        <v>7607</v>
      </c>
      <c r="T632" t="s">
        <v>224</v>
      </c>
      <c r="U632" t="s">
        <v>496</v>
      </c>
      <c r="V632" s="1">
        <v>43281</v>
      </c>
      <c r="W632" t="s">
        <v>5587</v>
      </c>
      <c r="X632" t="s">
        <v>7608</v>
      </c>
      <c r="Y632" t="s">
        <v>7609</v>
      </c>
      <c r="Z632">
        <v>6</v>
      </c>
      <c r="AA632" t="s">
        <v>55</v>
      </c>
      <c r="AB632" t="s">
        <v>7610</v>
      </c>
      <c r="AC632" t="s">
        <v>7611</v>
      </c>
      <c r="AD632" t="s">
        <v>171</v>
      </c>
      <c r="AE632">
        <v>835800</v>
      </c>
      <c r="AF632">
        <v>0</v>
      </c>
      <c r="AJ632" t="e">
        <f>_xlfn.XLOOKUP(Table9[[#This Row],[Engine No.]],'[1]Dubai Islamic Consumer'!$Q$3:$Q$1176,'[1]Dubai Islamic Consumer'!$B$3:$B$1176,,,)</f>
        <v>#N/A</v>
      </c>
    </row>
    <row r="633" spans="1:36" hidden="1" x14ac:dyDescent="0.25">
      <c r="A633">
        <v>632</v>
      </c>
      <c r="B633" s="2" t="s">
        <v>7502</v>
      </c>
      <c r="C633" t="s">
        <v>7612</v>
      </c>
      <c r="D633" t="s">
        <v>37</v>
      </c>
      <c r="E633" t="s">
        <v>7613</v>
      </c>
      <c r="F633" t="s">
        <v>138</v>
      </c>
      <c r="G633" t="s">
        <v>7614</v>
      </c>
      <c r="H633" t="s">
        <v>7615</v>
      </c>
      <c r="I633" t="s">
        <v>7615</v>
      </c>
      <c r="J633" t="s">
        <v>7615</v>
      </c>
      <c r="K633" t="s">
        <v>7616</v>
      </c>
      <c r="L633">
        <v>1527510</v>
      </c>
      <c r="M633">
        <v>2589000</v>
      </c>
      <c r="N633" t="s">
        <v>7617</v>
      </c>
      <c r="O633" s="1">
        <v>45642</v>
      </c>
      <c r="P633" t="s">
        <v>7618</v>
      </c>
      <c r="Q633" t="s">
        <v>7619</v>
      </c>
      <c r="R633" t="s">
        <v>47</v>
      </c>
      <c r="S633" t="s">
        <v>48</v>
      </c>
      <c r="T633" t="s">
        <v>1301</v>
      </c>
      <c r="U633" t="s">
        <v>50</v>
      </c>
      <c r="V633" s="1">
        <v>44551</v>
      </c>
      <c r="W633" t="s">
        <v>4473</v>
      </c>
      <c r="X633" t="s">
        <v>7608</v>
      </c>
      <c r="Y633" t="s">
        <v>7620</v>
      </c>
      <c r="Z633">
        <v>3</v>
      </c>
      <c r="AA633" t="s">
        <v>55</v>
      </c>
      <c r="AB633" t="s">
        <v>7621</v>
      </c>
      <c r="AC633" t="s">
        <v>4176</v>
      </c>
      <c r="AD633" t="s">
        <v>58</v>
      </c>
      <c r="AE633">
        <v>1812300</v>
      </c>
      <c r="AF633">
        <v>0</v>
      </c>
      <c r="AJ633" t="e">
        <f>_xlfn.XLOOKUP(Table9[[#This Row],[Engine No.]],'[1]Dubai Islamic Consumer'!$Q$3:$Q$1176,'[1]Dubai Islamic Consumer'!$B$3:$B$1176,,,)</f>
        <v>#N/A</v>
      </c>
    </row>
    <row r="634" spans="1:36" hidden="1" x14ac:dyDescent="0.25">
      <c r="A634">
        <v>633</v>
      </c>
      <c r="B634" s="2" t="s">
        <v>7502</v>
      </c>
      <c r="C634" t="s">
        <v>7622</v>
      </c>
      <c r="D634" t="s">
        <v>37</v>
      </c>
      <c r="E634" t="s">
        <v>7623</v>
      </c>
      <c r="F634" t="s">
        <v>138</v>
      </c>
      <c r="G634" t="s">
        <v>7624</v>
      </c>
      <c r="H634" t="s">
        <v>7625</v>
      </c>
      <c r="I634" t="s">
        <v>7625</v>
      </c>
      <c r="J634" t="s">
        <v>141</v>
      </c>
      <c r="K634" t="s">
        <v>7626</v>
      </c>
      <c r="L634">
        <v>1254000</v>
      </c>
      <c r="M634">
        <v>1900000</v>
      </c>
      <c r="N634" t="s">
        <v>7627</v>
      </c>
      <c r="O634" s="1">
        <v>45640</v>
      </c>
      <c r="P634" t="s">
        <v>7628</v>
      </c>
      <c r="Q634" t="s">
        <v>7629</v>
      </c>
      <c r="R634" t="s">
        <v>146</v>
      </c>
      <c r="S634" t="s">
        <v>7630</v>
      </c>
      <c r="T634" t="s">
        <v>7631</v>
      </c>
      <c r="U634" t="s">
        <v>614</v>
      </c>
      <c r="V634" s="1">
        <v>44546</v>
      </c>
      <c r="W634" t="s">
        <v>4473</v>
      </c>
      <c r="X634" t="s">
        <v>7608</v>
      </c>
      <c r="Y634" t="s">
        <v>7632</v>
      </c>
      <c r="Z634">
        <v>3</v>
      </c>
      <c r="AA634" t="s">
        <v>55</v>
      </c>
      <c r="AB634" t="s">
        <v>7633</v>
      </c>
      <c r="AC634" t="s">
        <v>5575</v>
      </c>
      <c r="AD634" t="s">
        <v>299</v>
      </c>
      <c r="AE634">
        <v>1330000</v>
      </c>
      <c r="AF634">
        <v>0</v>
      </c>
      <c r="AJ634" t="e">
        <f>_xlfn.XLOOKUP(Table9[[#This Row],[Engine No.]],'[1]Dubai Islamic Consumer'!$Q$3:$Q$1176,'[1]Dubai Islamic Consumer'!$B$3:$B$1176,,,)</f>
        <v>#N/A</v>
      </c>
    </row>
    <row r="635" spans="1:36" hidden="1" x14ac:dyDescent="0.25">
      <c r="A635">
        <v>634</v>
      </c>
      <c r="B635" s="2" t="s">
        <v>7502</v>
      </c>
      <c r="C635" t="s">
        <v>7634</v>
      </c>
      <c r="D635" t="s">
        <v>37</v>
      </c>
      <c r="E635" t="s">
        <v>7635</v>
      </c>
      <c r="F635" t="s">
        <v>138</v>
      </c>
      <c r="G635" t="s">
        <v>7636</v>
      </c>
      <c r="H635" t="s">
        <v>48</v>
      </c>
      <c r="I635" t="s">
        <v>7637</v>
      </c>
      <c r="J635" t="s">
        <v>48</v>
      </c>
      <c r="K635" t="s">
        <v>7638</v>
      </c>
      <c r="L635">
        <v>1127000</v>
      </c>
      <c r="M635">
        <v>1610000</v>
      </c>
      <c r="N635" t="s">
        <v>7639</v>
      </c>
      <c r="O635" s="1">
        <v>45639</v>
      </c>
      <c r="P635" t="s">
        <v>7640</v>
      </c>
      <c r="Q635" t="s">
        <v>7641</v>
      </c>
      <c r="R635" t="s">
        <v>47</v>
      </c>
      <c r="S635" t="s">
        <v>48</v>
      </c>
      <c r="T635" t="s">
        <v>3356</v>
      </c>
      <c r="U635" t="s">
        <v>50</v>
      </c>
      <c r="V635" s="1">
        <v>44408</v>
      </c>
      <c r="W635" t="s">
        <v>4473</v>
      </c>
      <c r="X635" t="s">
        <v>7608</v>
      </c>
      <c r="Y635" t="s">
        <v>7642</v>
      </c>
      <c r="Z635">
        <v>3</v>
      </c>
      <c r="AA635" t="s">
        <v>55</v>
      </c>
      <c r="AB635" t="s">
        <v>7643</v>
      </c>
      <c r="AC635" t="s">
        <v>6078</v>
      </c>
      <c r="AD635" t="s">
        <v>58</v>
      </c>
      <c r="AE635">
        <v>1127000</v>
      </c>
      <c r="AF635">
        <v>0</v>
      </c>
      <c r="AJ635" t="e">
        <f>_xlfn.XLOOKUP(Table9[[#This Row],[Engine No.]],'[1]Dubai Islamic Consumer'!$Q$3:$Q$1176,'[1]Dubai Islamic Consumer'!$B$3:$B$1176,,,)</f>
        <v>#N/A</v>
      </c>
    </row>
    <row r="636" spans="1:36" hidden="1" x14ac:dyDescent="0.25">
      <c r="A636">
        <v>635</v>
      </c>
      <c r="B636" s="2" t="s">
        <v>7502</v>
      </c>
      <c r="C636" t="s">
        <v>7644</v>
      </c>
      <c r="D636" t="s">
        <v>37</v>
      </c>
      <c r="E636" t="s">
        <v>7645</v>
      </c>
      <c r="F636" t="s">
        <v>138</v>
      </c>
      <c r="G636" t="s">
        <v>7646</v>
      </c>
      <c r="H636" t="s">
        <v>7647</v>
      </c>
      <c r="I636" t="s">
        <v>7648</v>
      </c>
      <c r="J636" t="s">
        <v>7649</v>
      </c>
      <c r="K636" t="s">
        <v>7650</v>
      </c>
      <c r="L636">
        <v>1660100</v>
      </c>
      <c r="M636">
        <v>2554000</v>
      </c>
      <c r="N636" t="s">
        <v>7651</v>
      </c>
      <c r="O636" s="1">
        <v>45637</v>
      </c>
      <c r="P636" t="s">
        <v>7652</v>
      </c>
      <c r="Q636" t="s">
        <v>7653</v>
      </c>
      <c r="R636" t="s">
        <v>47</v>
      </c>
      <c r="S636" t="s">
        <v>7654</v>
      </c>
      <c r="T636" t="s">
        <v>2835</v>
      </c>
      <c r="U636" t="s">
        <v>335</v>
      </c>
      <c r="V636" s="1">
        <v>42978</v>
      </c>
      <c r="W636" t="s">
        <v>7655</v>
      </c>
      <c r="X636" t="s">
        <v>7608</v>
      </c>
      <c r="Y636" t="s">
        <v>7656</v>
      </c>
      <c r="Z636">
        <v>7</v>
      </c>
      <c r="AA636" t="s">
        <v>55</v>
      </c>
      <c r="AB636" t="s">
        <v>7657</v>
      </c>
      <c r="AC636" t="s">
        <v>7658</v>
      </c>
      <c r="AD636" t="s">
        <v>880</v>
      </c>
      <c r="AE636">
        <v>1787800</v>
      </c>
      <c r="AF636">
        <v>0</v>
      </c>
      <c r="AJ636" t="e">
        <f>_xlfn.XLOOKUP(Table9[[#This Row],[Engine No.]],'[1]Dubai Islamic Consumer'!$Q$3:$Q$1176,'[1]Dubai Islamic Consumer'!$B$3:$B$1176,,,)</f>
        <v>#N/A</v>
      </c>
    </row>
    <row r="637" spans="1:36" hidden="1" x14ac:dyDescent="0.25">
      <c r="A637">
        <v>636</v>
      </c>
      <c r="B637" s="2" t="s">
        <v>7502</v>
      </c>
      <c r="C637" t="s">
        <v>7659</v>
      </c>
      <c r="D637" t="s">
        <v>37</v>
      </c>
      <c r="E637" t="s">
        <v>7660</v>
      </c>
      <c r="F637" t="s">
        <v>138</v>
      </c>
      <c r="G637" t="s">
        <v>7661</v>
      </c>
      <c r="H637" t="s">
        <v>48</v>
      </c>
      <c r="I637" t="s">
        <v>7662</v>
      </c>
      <c r="J637" t="s">
        <v>7663</v>
      </c>
      <c r="K637" t="s">
        <v>7664</v>
      </c>
      <c r="L637">
        <v>2259000</v>
      </c>
      <c r="M637">
        <v>3765000</v>
      </c>
      <c r="N637" t="s">
        <v>7665</v>
      </c>
      <c r="O637" s="1">
        <v>45636</v>
      </c>
      <c r="P637" t="s">
        <v>7666</v>
      </c>
      <c r="Q637" t="s">
        <v>7667</v>
      </c>
      <c r="R637" t="s">
        <v>47</v>
      </c>
      <c r="S637" t="s">
        <v>7668</v>
      </c>
      <c r="T637" t="s">
        <v>714</v>
      </c>
      <c r="U637" t="s">
        <v>614</v>
      </c>
      <c r="V637" s="1">
        <v>43769</v>
      </c>
      <c r="W637" t="s">
        <v>5729</v>
      </c>
      <c r="X637" t="s">
        <v>7608</v>
      </c>
      <c r="Y637" t="s">
        <v>7669</v>
      </c>
      <c r="Z637">
        <v>5</v>
      </c>
      <c r="AA637" t="s">
        <v>55</v>
      </c>
      <c r="AB637" t="s">
        <v>7670</v>
      </c>
      <c r="AC637" t="s">
        <v>7671</v>
      </c>
      <c r="AD637" t="s">
        <v>171</v>
      </c>
      <c r="AE637">
        <v>2635500</v>
      </c>
      <c r="AF637">
        <v>0</v>
      </c>
      <c r="AJ637" t="e">
        <f>_xlfn.XLOOKUP(Table9[[#This Row],[Engine No.]],'[1]Dubai Islamic Consumer'!$Q$3:$Q$1176,'[1]Dubai Islamic Consumer'!$B$3:$B$1176,,,)</f>
        <v>#N/A</v>
      </c>
    </row>
    <row r="638" spans="1:36" hidden="1" x14ac:dyDescent="0.25">
      <c r="A638">
        <v>637</v>
      </c>
      <c r="B638" s="2" t="s">
        <v>7502</v>
      </c>
      <c r="C638" t="s">
        <v>7672</v>
      </c>
      <c r="D638" t="s">
        <v>37</v>
      </c>
      <c r="E638" t="s">
        <v>6638</v>
      </c>
      <c r="F638" t="s">
        <v>138</v>
      </c>
      <c r="G638" t="s">
        <v>7673</v>
      </c>
      <c r="H638" t="s">
        <v>48</v>
      </c>
      <c r="I638" t="s">
        <v>7674</v>
      </c>
      <c r="J638" t="s">
        <v>48</v>
      </c>
      <c r="K638" t="s">
        <v>7675</v>
      </c>
      <c r="L638">
        <v>3779300</v>
      </c>
      <c r="M638">
        <v>5399000</v>
      </c>
      <c r="N638" t="s">
        <v>7676</v>
      </c>
      <c r="O638" s="1">
        <v>45635</v>
      </c>
      <c r="P638" t="s">
        <v>7677</v>
      </c>
      <c r="Q638" t="s">
        <v>7678</v>
      </c>
      <c r="R638" t="s">
        <v>47</v>
      </c>
      <c r="S638" t="s">
        <v>7679</v>
      </c>
      <c r="T638" t="s">
        <v>520</v>
      </c>
      <c r="U638" t="s">
        <v>614</v>
      </c>
      <c r="V638" s="1">
        <v>43794</v>
      </c>
      <c r="W638" t="s">
        <v>5729</v>
      </c>
      <c r="X638" t="s">
        <v>7608</v>
      </c>
      <c r="Y638" t="s">
        <v>7680</v>
      </c>
      <c r="Z638">
        <v>5</v>
      </c>
      <c r="AA638" t="s">
        <v>48</v>
      </c>
      <c r="AB638" t="s">
        <v>48</v>
      </c>
      <c r="AC638" t="s">
        <v>48</v>
      </c>
      <c r="AD638" t="s">
        <v>880</v>
      </c>
      <c r="AE638">
        <v>3779299.9999999995</v>
      </c>
      <c r="AF638">
        <v>0</v>
      </c>
      <c r="AJ638" t="e">
        <f>_xlfn.XLOOKUP(Table9[[#This Row],[Engine No.]],'[1]Dubai Islamic Consumer'!$Q$3:$Q$1176,'[1]Dubai Islamic Consumer'!$B$3:$B$1176,,,)</f>
        <v>#N/A</v>
      </c>
    </row>
    <row r="639" spans="1:36" hidden="1" x14ac:dyDescent="0.25">
      <c r="A639">
        <v>638</v>
      </c>
      <c r="B639" s="2" t="s">
        <v>7502</v>
      </c>
      <c r="C639" t="s">
        <v>7681</v>
      </c>
      <c r="D639" t="s">
        <v>37</v>
      </c>
      <c r="E639" t="s">
        <v>7682</v>
      </c>
      <c r="F639" t="s">
        <v>73</v>
      </c>
      <c r="G639" t="s">
        <v>7683</v>
      </c>
      <c r="H639" t="s">
        <v>48</v>
      </c>
      <c r="I639" t="s">
        <v>7684</v>
      </c>
      <c r="J639" t="s">
        <v>7685</v>
      </c>
      <c r="K639" t="s">
        <v>7686</v>
      </c>
      <c r="L639">
        <v>2030000</v>
      </c>
      <c r="M639">
        <v>2900000</v>
      </c>
      <c r="N639" t="s">
        <v>7687</v>
      </c>
      <c r="O639" s="1">
        <v>45635</v>
      </c>
      <c r="P639" t="s">
        <v>7688</v>
      </c>
      <c r="Q639" t="s">
        <v>7689</v>
      </c>
      <c r="R639" t="s">
        <v>146</v>
      </c>
      <c r="S639" t="s">
        <v>7690</v>
      </c>
      <c r="T639" t="s">
        <v>650</v>
      </c>
      <c r="U639" t="s">
        <v>651</v>
      </c>
      <c r="V639" s="1">
        <v>44546</v>
      </c>
      <c r="W639" t="s">
        <v>4473</v>
      </c>
      <c r="X639" t="s">
        <v>7608</v>
      </c>
      <c r="Y639" t="s">
        <v>7691</v>
      </c>
      <c r="Z639">
        <v>3</v>
      </c>
      <c r="AA639" t="s">
        <v>55</v>
      </c>
      <c r="AB639" t="s">
        <v>7692</v>
      </c>
      <c r="AC639" t="s">
        <v>6078</v>
      </c>
      <c r="AD639" t="s">
        <v>299</v>
      </c>
      <c r="AE639">
        <v>2029999.9999999998</v>
      </c>
      <c r="AF639">
        <v>0</v>
      </c>
      <c r="AJ639" t="e">
        <f>_xlfn.XLOOKUP(Table9[[#This Row],[Engine No.]],'[1]Dubai Islamic Consumer'!$Q$3:$Q$1176,'[1]Dubai Islamic Consumer'!$B$3:$B$1176,,,)</f>
        <v>#N/A</v>
      </c>
    </row>
    <row r="640" spans="1:36" hidden="1" x14ac:dyDescent="0.25">
      <c r="A640">
        <v>639</v>
      </c>
      <c r="B640" s="2" t="s">
        <v>7502</v>
      </c>
      <c r="C640" t="s">
        <v>7693</v>
      </c>
      <c r="D640" t="s">
        <v>37</v>
      </c>
      <c r="E640" t="s">
        <v>7694</v>
      </c>
      <c r="F640" t="s">
        <v>138</v>
      </c>
      <c r="G640" t="s">
        <v>7695</v>
      </c>
      <c r="H640" t="s">
        <v>7696</v>
      </c>
      <c r="I640" t="s">
        <v>7696</v>
      </c>
      <c r="J640" t="s">
        <v>141</v>
      </c>
      <c r="K640" t="s">
        <v>7697</v>
      </c>
      <c r="L640">
        <v>2317840</v>
      </c>
      <c r="M640">
        <v>4139000</v>
      </c>
      <c r="N640" t="s">
        <v>7698</v>
      </c>
      <c r="O640" s="1">
        <v>45633</v>
      </c>
      <c r="P640" t="s">
        <v>7699</v>
      </c>
      <c r="Q640" t="s">
        <v>7700</v>
      </c>
      <c r="R640" t="s">
        <v>47</v>
      </c>
      <c r="S640" t="s">
        <v>48</v>
      </c>
      <c r="T640" t="s">
        <v>1065</v>
      </c>
      <c r="U640" t="s">
        <v>98</v>
      </c>
      <c r="V640" s="1">
        <v>44074</v>
      </c>
      <c r="W640" t="s">
        <v>4001</v>
      </c>
      <c r="X640" t="s">
        <v>7515</v>
      </c>
      <c r="Y640" t="s">
        <v>7701</v>
      </c>
      <c r="Z640">
        <v>4</v>
      </c>
      <c r="AA640" t="s">
        <v>55</v>
      </c>
      <c r="AB640" t="s">
        <v>7702</v>
      </c>
      <c r="AC640" t="s">
        <v>6829</v>
      </c>
      <c r="AD640" t="s">
        <v>58</v>
      </c>
      <c r="AE640">
        <v>2897300</v>
      </c>
      <c r="AF640">
        <v>0</v>
      </c>
      <c r="AJ640" t="e">
        <f>_xlfn.XLOOKUP(Table9[[#This Row],[Engine No.]],'[1]Dubai Islamic Consumer'!$Q$3:$Q$1176,'[1]Dubai Islamic Consumer'!$B$3:$B$1176,,,)</f>
        <v>#N/A</v>
      </c>
    </row>
    <row r="641" spans="1:36" hidden="1" x14ac:dyDescent="0.25">
      <c r="A641">
        <v>640</v>
      </c>
      <c r="B641" s="2" t="s">
        <v>7502</v>
      </c>
      <c r="C641" t="s">
        <v>7703</v>
      </c>
      <c r="D641" t="s">
        <v>37</v>
      </c>
      <c r="E641" t="s">
        <v>7704</v>
      </c>
      <c r="F641" t="s">
        <v>107</v>
      </c>
      <c r="G641" t="s">
        <v>7705</v>
      </c>
      <c r="H641" t="s">
        <v>7706</v>
      </c>
      <c r="I641" t="s">
        <v>7706</v>
      </c>
      <c r="J641" t="s">
        <v>7706</v>
      </c>
      <c r="K641" t="s">
        <v>7707</v>
      </c>
      <c r="L641">
        <v>1555500</v>
      </c>
      <c r="M641">
        <v>2074000</v>
      </c>
      <c r="N641" t="s">
        <v>7708</v>
      </c>
      <c r="O641" s="1">
        <v>45633</v>
      </c>
      <c r="P641" t="s">
        <v>7709</v>
      </c>
      <c r="Q641" t="s">
        <v>7710</v>
      </c>
      <c r="R641" t="s">
        <v>47</v>
      </c>
      <c r="S641" t="s">
        <v>48</v>
      </c>
      <c r="T641" t="s">
        <v>7711</v>
      </c>
      <c r="U641" t="s">
        <v>50</v>
      </c>
      <c r="V641" s="1">
        <v>44270</v>
      </c>
      <c r="W641" t="s">
        <v>4473</v>
      </c>
      <c r="X641" t="s">
        <v>7608</v>
      </c>
      <c r="Y641" t="s">
        <v>7712</v>
      </c>
      <c r="Z641">
        <v>3</v>
      </c>
      <c r="AA641" t="s">
        <v>55</v>
      </c>
      <c r="AB641" t="s">
        <v>7713</v>
      </c>
      <c r="AC641" t="s">
        <v>6841</v>
      </c>
      <c r="AD641" t="s">
        <v>58</v>
      </c>
      <c r="AE641">
        <v>1451800</v>
      </c>
      <c r="AF641">
        <v>0</v>
      </c>
      <c r="AJ641" t="e">
        <f>_xlfn.XLOOKUP(Table9[[#This Row],[Engine No.]],'[1]Dubai Islamic Consumer'!$Q$3:$Q$1176,'[1]Dubai Islamic Consumer'!$B$3:$B$1176,,,)</f>
        <v>#N/A</v>
      </c>
    </row>
    <row r="642" spans="1:36" hidden="1" x14ac:dyDescent="0.25">
      <c r="A642">
        <v>641</v>
      </c>
      <c r="B642" s="2" t="s">
        <v>7502</v>
      </c>
      <c r="C642" t="s">
        <v>7714</v>
      </c>
      <c r="D642" t="s">
        <v>37</v>
      </c>
      <c r="E642" t="s">
        <v>7715</v>
      </c>
      <c r="F642" t="s">
        <v>107</v>
      </c>
      <c r="G642" t="s">
        <v>7716</v>
      </c>
      <c r="H642" t="s">
        <v>48</v>
      </c>
      <c r="I642" t="s">
        <v>7717</v>
      </c>
      <c r="J642" t="s">
        <v>48</v>
      </c>
      <c r="K642" t="s">
        <v>7718</v>
      </c>
      <c r="L642">
        <v>929900</v>
      </c>
      <c r="M642">
        <v>1094000</v>
      </c>
      <c r="N642" t="s">
        <v>7719</v>
      </c>
      <c r="O642" s="1">
        <v>45632</v>
      </c>
      <c r="P642" t="s">
        <v>7720</v>
      </c>
      <c r="Q642" t="s">
        <v>7721</v>
      </c>
      <c r="R642" t="s">
        <v>47</v>
      </c>
      <c r="S642" t="s">
        <v>7722</v>
      </c>
      <c r="T642" t="s">
        <v>3781</v>
      </c>
      <c r="U642" t="s">
        <v>335</v>
      </c>
      <c r="V642" s="1">
        <v>42878</v>
      </c>
      <c r="W642" t="s">
        <v>7723</v>
      </c>
      <c r="X642" t="s">
        <v>7724</v>
      </c>
      <c r="Y642" t="s">
        <v>7725</v>
      </c>
      <c r="Z642">
        <v>7</v>
      </c>
      <c r="AA642" t="s">
        <v>55</v>
      </c>
      <c r="AB642" t="s">
        <v>7726</v>
      </c>
      <c r="AC642" t="s">
        <v>7727</v>
      </c>
      <c r="AD642" t="s">
        <v>880</v>
      </c>
      <c r="AE642">
        <v>765800</v>
      </c>
      <c r="AF642">
        <v>0</v>
      </c>
      <c r="AJ642" t="e">
        <f>_xlfn.XLOOKUP(Table9[[#This Row],[Engine No.]],'[1]Dubai Islamic Consumer'!$Q$3:$Q$1176,'[1]Dubai Islamic Consumer'!$B$3:$B$1176,,,)</f>
        <v>#N/A</v>
      </c>
    </row>
    <row r="643" spans="1:36" hidden="1" x14ac:dyDescent="0.25">
      <c r="A643">
        <v>642</v>
      </c>
      <c r="B643" s="2" t="s">
        <v>7502</v>
      </c>
      <c r="C643" t="s">
        <v>7728</v>
      </c>
      <c r="D643" t="s">
        <v>37</v>
      </c>
      <c r="E643" t="s">
        <v>7729</v>
      </c>
      <c r="F643" t="s">
        <v>138</v>
      </c>
      <c r="G643" t="s">
        <v>7730</v>
      </c>
      <c r="H643" t="s">
        <v>7731</v>
      </c>
      <c r="I643" t="s">
        <v>7732</v>
      </c>
      <c r="J643" t="s">
        <v>1505</v>
      </c>
      <c r="K643" t="s">
        <v>7733</v>
      </c>
      <c r="L643">
        <v>1856000</v>
      </c>
      <c r="M643">
        <v>2900000</v>
      </c>
      <c r="N643" t="s">
        <v>7734</v>
      </c>
      <c r="O643" t="s">
        <v>7439</v>
      </c>
      <c r="P643" t="s">
        <v>7735</v>
      </c>
      <c r="Q643" t="s">
        <v>7736</v>
      </c>
      <c r="R643" t="s">
        <v>146</v>
      </c>
      <c r="S643" t="s">
        <v>7737</v>
      </c>
      <c r="T643" t="s">
        <v>613</v>
      </c>
      <c r="U643" t="s">
        <v>148</v>
      </c>
      <c r="V643" s="1">
        <v>45268</v>
      </c>
      <c r="W643" t="s">
        <v>6293</v>
      </c>
      <c r="X643" t="s">
        <v>7724</v>
      </c>
      <c r="Y643" t="s">
        <v>7738</v>
      </c>
      <c r="Z643">
        <v>1</v>
      </c>
      <c r="AA643" t="s">
        <v>55</v>
      </c>
      <c r="AB643" t="s">
        <v>7739</v>
      </c>
      <c r="AC643" t="s">
        <v>7445</v>
      </c>
      <c r="AD643" t="s">
        <v>86</v>
      </c>
      <c r="AE643">
        <v>2029999.9999999998</v>
      </c>
      <c r="AF643">
        <v>0</v>
      </c>
      <c r="AJ643" t="e">
        <f>_xlfn.XLOOKUP(Table9[[#This Row],[Engine No.]],'[1]Dubai Islamic Consumer'!$Q$3:$Q$1176,'[1]Dubai Islamic Consumer'!$B$3:$B$1176,,,)</f>
        <v>#N/A</v>
      </c>
    </row>
    <row r="644" spans="1:36" hidden="1" x14ac:dyDescent="0.25">
      <c r="A644">
        <v>643</v>
      </c>
      <c r="B644" s="2" t="s">
        <v>7502</v>
      </c>
      <c r="C644" t="s">
        <v>7740</v>
      </c>
      <c r="D644" t="s">
        <v>37</v>
      </c>
      <c r="E644" t="s">
        <v>7741</v>
      </c>
      <c r="F644" t="s">
        <v>138</v>
      </c>
      <c r="G644" t="s">
        <v>7742</v>
      </c>
      <c r="H644" t="s">
        <v>48</v>
      </c>
      <c r="I644" t="s">
        <v>7743</v>
      </c>
      <c r="J644" t="s">
        <v>7744</v>
      </c>
      <c r="K644" t="s">
        <v>7745</v>
      </c>
      <c r="L644">
        <v>1690000</v>
      </c>
      <c r="M644">
        <v>2600000</v>
      </c>
      <c r="N644" t="s">
        <v>7746</v>
      </c>
      <c r="O644" s="1">
        <v>45631</v>
      </c>
      <c r="P644" t="s">
        <v>7747</v>
      </c>
      <c r="Q644" t="s">
        <v>7748</v>
      </c>
      <c r="R644" t="s">
        <v>146</v>
      </c>
      <c r="S644" t="s">
        <v>7749</v>
      </c>
      <c r="T644" t="s">
        <v>650</v>
      </c>
      <c r="U644" t="s">
        <v>651</v>
      </c>
      <c r="V644" s="1">
        <v>44537</v>
      </c>
      <c r="W644" t="s">
        <v>6483</v>
      </c>
      <c r="X644" t="s">
        <v>7724</v>
      </c>
      <c r="Y644" t="s">
        <v>7750</v>
      </c>
      <c r="Z644">
        <v>3</v>
      </c>
      <c r="AA644" t="s">
        <v>118</v>
      </c>
      <c r="AB644" t="s">
        <v>7751</v>
      </c>
      <c r="AC644" t="s">
        <v>6944</v>
      </c>
      <c r="AD644" t="s">
        <v>299</v>
      </c>
      <c r="AE644">
        <v>1820000</v>
      </c>
      <c r="AF644">
        <v>0</v>
      </c>
      <c r="AJ644" t="e">
        <f>_xlfn.XLOOKUP(Table9[[#This Row],[Engine No.]],'[1]Dubai Islamic Consumer'!$Q$3:$Q$1176,'[1]Dubai Islamic Consumer'!$B$3:$B$1176,,,)</f>
        <v>#N/A</v>
      </c>
    </row>
    <row r="645" spans="1:36" hidden="1" x14ac:dyDescent="0.25">
      <c r="A645">
        <v>644</v>
      </c>
      <c r="B645" s="2" t="s">
        <v>7502</v>
      </c>
      <c r="C645" t="s">
        <v>7752</v>
      </c>
      <c r="D645" t="s">
        <v>37</v>
      </c>
      <c r="E645" t="s">
        <v>7753</v>
      </c>
      <c r="F645" t="s">
        <v>39</v>
      </c>
      <c r="G645" t="s">
        <v>7754</v>
      </c>
      <c r="H645" t="s">
        <v>48</v>
      </c>
      <c r="I645" t="s">
        <v>7755</v>
      </c>
      <c r="J645" t="s">
        <v>7756</v>
      </c>
      <c r="K645" t="s">
        <v>7757</v>
      </c>
      <c r="L645">
        <v>2299500</v>
      </c>
      <c r="M645">
        <v>4599000</v>
      </c>
      <c r="N645" t="s">
        <v>7758</v>
      </c>
      <c r="O645" s="1">
        <v>45629</v>
      </c>
      <c r="P645" t="s">
        <v>7759</v>
      </c>
      <c r="Q645" t="s">
        <v>7760</v>
      </c>
      <c r="R645" t="s">
        <v>47</v>
      </c>
      <c r="S645" t="s">
        <v>7761</v>
      </c>
      <c r="T645" t="s">
        <v>1154</v>
      </c>
      <c r="U645" t="s">
        <v>614</v>
      </c>
      <c r="V645" s="1">
        <v>43799</v>
      </c>
      <c r="W645" t="s">
        <v>7762</v>
      </c>
      <c r="X645" t="s">
        <v>7724</v>
      </c>
      <c r="Y645" t="s">
        <v>7763</v>
      </c>
      <c r="Z645">
        <v>5</v>
      </c>
      <c r="AA645" t="s">
        <v>48</v>
      </c>
      <c r="AB645" t="s">
        <v>48</v>
      </c>
      <c r="AC645" t="s">
        <v>48</v>
      </c>
      <c r="AD645" t="s">
        <v>171</v>
      </c>
      <c r="AE645">
        <v>3219300</v>
      </c>
      <c r="AF645">
        <v>0</v>
      </c>
      <c r="AJ645" t="e">
        <f>_xlfn.XLOOKUP(Table9[[#This Row],[Engine No.]],'[1]Dubai Islamic Consumer'!$Q$3:$Q$1176,'[1]Dubai Islamic Consumer'!$B$3:$B$1176,,,)</f>
        <v>#N/A</v>
      </c>
    </row>
    <row r="646" spans="1:36" hidden="1" x14ac:dyDescent="0.25">
      <c r="A646">
        <v>645</v>
      </c>
      <c r="B646" s="2" t="s">
        <v>7502</v>
      </c>
      <c r="C646" t="s">
        <v>7764</v>
      </c>
      <c r="D646" t="s">
        <v>37</v>
      </c>
      <c r="E646" t="s">
        <v>327</v>
      </c>
      <c r="F646" t="s">
        <v>39</v>
      </c>
      <c r="G646" t="s">
        <v>7765</v>
      </c>
      <c r="H646" t="s">
        <v>7766</v>
      </c>
      <c r="I646" t="s">
        <v>7766</v>
      </c>
      <c r="J646" t="s">
        <v>7767</v>
      </c>
      <c r="K646" t="s">
        <v>7768</v>
      </c>
      <c r="L646">
        <v>1405750</v>
      </c>
      <c r="M646">
        <v>2811500</v>
      </c>
      <c r="N646" t="s">
        <v>7769</v>
      </c>
      <c r="O646" s="1">
        <v>45628</v>
      </c>
      <c r="P646" t="s">
        <v>7770</v>
      </c>
      <c r="Q646" t="s">
        <v>7771</v>
      </c>
      <c r="R646" t="s">
        <v>47</v>
      </c>
      <c r="S646" t="s">
        <v>48</v>
      </c>
      <c r="T646" t="s">
        <v>2647</v>
      </c>
      <c r="U646" t="s">
        <v>50</v>
      </c>
      <c r="V646" s="1">
        <v>44455</v>
      </c>
      <c r="W646" t="s">
        <v>6483</v>
      </c>
      <c r="X646" t="s">
        <v>7724</v>
      </c>
      <c r="Y646" t="s">
        <v>7772</v>
      </c>
      <c r="Z646">
        <v>3</v>
      </c>
      <c r="AA646" t="s">
        <v>55</v>
      </c>
      <c r="AB646" t="s">
        <v>7773</v>
      </c>
      <c r="AC646" t="s">
        <v>132</v>
      </c>
      <c r="AD646" t="s">
        <v>58</v>
      </c>
      <c r="AE646">
        <v>1968049.9999999998</v>
      </c>
      <c r="AF646">
        <v>0</v>
      </c>
      <c r="AJ646" t="e">
        <f>_xlfn.XLOOKUP(Table9[[#This Row],[Engine No.]],'[1]Dubai Islamic Consumer'!$Q$3:$Q$1176,'[1]Dubai Islamic Consumer'!$B$3:$B$1176,,,)</f>
        <v>#N/A</v>
      </c>
    </row>
    <row r="647" spans="1:36" hidden="1" x14ac:dyDescent="0.25">
      <c r="A647">
        <v>646</v>
      </c>
      <c r="B647" s="2" t="s">
        <v>7502</v>
      </c>
      <c r="C647" t="s">
        <v>7774</v>
      </c>
      <c r="D647" t="s">
        <v>37</v>
      </c>
      <c r="E647" t="s">
        <v>7775</v>
      </c>
      <c r="F647" t="s">
        <v>107</v>
      </c>
      <c r="G647" t="s">
        <v>7776</v>
      </c>
      <c r="H647" t="s">
        <v>7777</v>
      </c>
      <c r="I647" t="s">
        <v>7777</v>
      </c>
      <c r="J647" t="s">
        <v>7778</v>
      </c>
      <c r="K647" t="s">
        <v>7779</v>
      </c>
      <c r="L647">
        <v>1219302</v>
      </c>
      <c r="M647">
        <v>1873000</v>
      </c>
      <c r="N647" t="s">
        <v>7780</v>
      </c>
      <c r="O647" s="1">
        <v>45608</v>
      </c>
      <c r="P647" t="s">
        <v>7781</v>
      </c>
      <c r="Q647" t="s">
        <v>7782</v>
      </c>
      <c r="R647" t="s">
        <v>47</v>
      </c>
      <c r="S647" t="s">
        <v>7783</v>
      </c>
      <c r="T647" t="s">
        <v>348</v>
      </c>
      <c r="U647" t="s">
        <v>335</v>
      </c>
      <c r="V647" t="s">
        <v>7784</v>
      </c>
      <c r="W647" t="s">
        <v>7785</v>
      </c>
      <c r="X647" t="s">
        <v>7786</v>
      </c>
      <c r="Y647" t="s">
        <v>7787</v>
      </c>
      <c r="Z647">
        <v>7</v>
      </c>
      <c r="AA647" t="s">
        <v>55</v>
      </c>
      <c r="AB647" t="s">
        <v>7788</v>
      </c>
      <c r="AC647" t="s">
        <v>7784</v>
      </c>
      <c r="AD647" t="s">
        <v>7584</v>
      </c>
      <c r="AE647">
        <v>1123800</v>
      </c>
      <c r="AF647">
        <v>0</v>
      </c>
      <c r="AG647" t="s">
        <v>7789</v>
      </c>
      <c r="AH647" t="s">
        <v>3577</v>
      </c>
      <c r="AJ647" t="e">
        <f>_xlfn.XLOOKUP(Table9[[#This Row],[Engine No.]],'[1]Dubai Islamic Consumer'!$Q$3:$Q$1176,'[1]Dubai Islamic Consumer'!$B$3:$B$1176,,,)</f>
        <v>#N/A</v>
      </c>
    </row>
    <row r="648" spans="1:36" hidden="1" x14ac:dyDescent="0.25">
      <c r="A648">
        <v>647</v>
      </c>
      <c r="B648" s="2" t="s">
        <v>7502</v>
      </c>
      <c r="C648" t="s">
        <v>7790</v>
      </c>
      <c r="D648" t="s">
        <v>37</v>
      </c>
      <c r="E648" t="s">
        <v>7791</v>
      </c>
      <c r="F648" t="s">
        <v>138</v>
      </c>
      <c r="G648" t="s">
        <v>7792</v>
      </c>
      <c r="H648" t="s">
        <v>7793</v>
      </c>
      <c r="I648" t="s">
        <v>7793</v>
      </c>
      <c r="J648" t="s">
        <v>7793</v>
      </c>
      <c r="K648" t="s">
        <v>7794</v>
      </c>
      <c r="L648">
        <v>1452500</v>
      </c>
      <c r="M648">
        <v>2905000</v>
      </c>
      <c r="N648" t="s">
        <v>7795</v>
      </c>
      <c r="O648" s="1">
        <v>45625</v>
      </c>
      <c r="P648" t="s">
        <v>7796</v>
      </c>
      <c r="Q648" t="s">
        <v>7797</v>
      </c>
      <c r="R648" t="s">
        <v>47</v>
      </c>
      <c r="S648" t="s">
        <v>48</v>
      </c>
      <c r="T648" t="s">
        <v>1397</v>
      </c>
      <c r="U648" t="s">
        <v>50</v>
      </c>
      <c r="V648" t="s">
        <v>2031</v>
      </c>
      <c r="W648" t="s">
        <v>132</v>
      </c>
      <c r="X648" t="s">
        <v>7798</v>
      </c>
      <c r="Y648" t="s">
        <v>7799</v>
      </c>
      <c r="Z648">
        <v>3</v>
      </c>
      <c r="AA648" t="s">
        <v>55</v>
      </c>
      <c r="AB648" t="s">
        <v>7800</v>
      </c>
      <c r="AC648" t="s">
        <v>2796</v>
      </c>
      <c r="AD648" t="s">
        <v>58</v>
      </c>
      <c r="AE648">
        <v>1743000</v>
      </c>
      <c r="AF648">
        <v>0</v>
      </c>
      <c r="AJ648" t="e">
        <f>_xlfn.XLOOKUP(Table9[[#This Row],[Engine No.]],'[1]Dubai Islamic Consumer'!$Q$3:$Q$1176,'[1]Dubai Islamic Consumer'!$B$3:$B$1176,,,)</f>
        <v>#N/A</v>
      </c>
    </row>
    <row r="649" spans="1:36" hidden="1" x14ac:dyDescent="0.25">
      <c r="A649">
        <v>648</v>
      </c>
      <c r="B649" s="2" t="s">
        <v>7502</v>
      </c>
      <c r="C649" t="s">
        <v>7801</v>
      </c>
      <c r="D649" t="s">
        <v>37</v>
      </c>
      <c r="E649" t="s">
        <v>7802</v>
      </c>
      <c r="F649" t="s">
        <v>39</v>
      </c>
      <c r="G649" t="s">
        <v>7803</v>
      </c>
      <c r="H649" t="s">
        <v>7804</v>
      </c>
      <c r="I649" t="s">
        <v>7805</v>
      </c>
      <c r="J649" t="s">
        <v>7804</v>
      </c>
      <c r="K649" t="s">
        <v>7806</v>
      </c>
      <c r="L649">
        <v>1575000</v>
      </c>
      <c r="M649">
        <v>2250000</v>
      </c>
      <c r="N649" t="s">
        <v>7807</v>
      </c>
      <c r="O649" s="1">
        <v>45625</v>
      </c>
      <c r="P649" t="s">
        <v>7808</v>
      </c>
      <c r="Q649" t="s">
        <v>7809</v>
      </c>
      <c r="R649" t="s">
        <v>1215</v>
      </c>
      <c r="S649" t="s">
        <v>7810</v>
      </c>
      <c r="T649" t="s">
        <v>7811</v>
      </c>
      <c r="U649" t="s">
        <v>715</v>
      </c>
      <c r="V649" t="s">
        <v>3728</v>
      </c>
      <c r="W649" t="s">
        <v>3729</v>
      </c>
      <c r="X649" t="s">
        <v>7798</v>
      </c>
      <c r="Y649" t="s">
        <v>7812</v>
      </c>
      <c r="Z649">
        <v>5</v>
      </c>
      <c r="AA649" t="s">
        <v>227</v>
      </c>
      <c r="AB649" t="s">
        <v>7813</v>
      </c>
      <c r="AC649" t="s">
        <v>3728</v>
      </c>
      <c r="AD649" t="s">
        <v>171</v>
      </c>
      <c r="AE649">
        <v>1350000</v>
      </c>
      <c r="AF649">
        <v>0</v>
      </c>
      <c r="AJ649" t="e">
        <f>_xlfn.XLOOKUP(Table9[[#This Row],[Engine No.]],'[1]Dubai Islamic Consumer'!$Q$3:$Q$1176,'[1]Dubai Islamic Consumer'!$B$3:$B$1176,,,)</f>
        <v>#N/A</v>
      </c>
    </row>
    <row r="650" spans="1:36" hidden="1" x14ac:dyDescent="0.25">
      <c r="A650">
        <v>649</v>
      </c>
      <c r="B650" s="2" t="s">
        <v>7502</v>
      </c>
      <c r="C650" t="s">
        <v>7814</v>
      </c>
      <c r="D650" t="s">
        <v>37</v>
      </c>
      <c r="E650" t="s">
        <v>7815</v>
      </c>
      <c r="F650" t="s">
        <v>107</v>
      </c>
      <c r="G650" t="s">
        <v>7816</v>
      </c>
      <c r="H650" t="s">
        <v>48</v>
      </c>
      <c r="I650" t="s">
        <v>7817</v>
      </c>
      <c r="J650" t="s">
        <v>48</v>
      </c>
      <c r="K650" t="s">
        <v>7818</v>
      </c>
      <c r="L650">
        <v>660000</v>
      </c>
      <c r="M650">
        <v>1200000</v>
      </c>
      <c r="N650" t="s">
        <v>7819</v>
      </c>
      <c r="O650" s="1">
        <v>45624</v>
      </c>
      <c r="P650" t="s">
        <v>7820</v>
      </c>
      <c r="Q650" t="s">
        <v>7821</v>
      </c>
      <c r="R650" t="s">
        <v>146</v>
      </c>
      <c r="S650" t="s">
        <v>7822</v>
      </c>
      <c r="T650" t="s">
        <v>7823</v>
      </c>
      <c r="U650" t="s">
        <v>7824</v>
      </c>
      <c r="V650" t="s">
        <v>4786</v>
      </c>
      <c r="W650" t="s">
        <v>2306</v>
      </c>
      <c r="X650" t="s">
        <v>7798</v>
      </c>
      <c r="Y650" t="s">
        <v>7825</v>
      </c>
      <c r="Z650">
        <v>6</v>
      </c>
      <c r="AA650" t="s">
        <v>55</v>
      </c>
      <c r="AB650" t="s">
        <v>7826</v>
      </c>
      <c r="AC650" t="s">
        <v>7827</v>
      </c>
      <c r="AD650" t="s">
        <v>880</v>
      </c>
      <c r="AE650">
        <v>720000</v>
      </c>
      <c r="AF650">
        <v>0</v>
      </c>
      <c r="AJ650" t="e">
        <f>_xlfn.XLOOKUP(Table9[[#This Row],[Engine No.]],'[1]Dubai Islamic Consumer'!$Q$3:$Q$1176,'[1]Dubai Islamic Consumer'!$B$3:$B$1176,,,)</f>
        <v>#N/A</v>
      </c>
    </row>
    <row r="651" spans="1:36" hidden="1" x14ac:dyDescent="0.25">
      <c r="A651">
        <v>650</v>
      </c>
      <c r="B651" s="2" t="s">
        <v>7502</v>
      </c>
      <c r="C651" t="s">
        <v>7828</v>
      </c>
      <c r="D651" t="s">
        <v>37</v>
      </c>
      <c r="E651" t="s">
        <v>7829</v>
      </c>
      <c r="F651" t="s">
        <v>39</v>
      </c>
      <c r="G651" t="s">
        <v>7830</v>
      </c>
      <c r="H651" t="s">
        <v>7831</v>
      </c>
      <c r="I651" t="s">
        <v>7832</v>
      </c>
      <c r="J651" t="s">
        <v>7833</v>
      </c>
      <c r="K651" t="s">
        <v>7834</v>
      </c>
      <c r="L651">
        <v>1205750</v>
      </c>
      <c r="M651">
        <v>1855000</v>
      </c>
      <c r="N651" t="s">
        <v>7835</v>
      </c>
      <c r="O651" s="1">
        <v>45624</v>
      </c>
      <c r="P651" t="s">
        <v>7836</v>
      </c>
      <c r="Q651" t="s">
        <v>7837</v>
      </c>
      <c r="R651" t="s">
        <v>47</v>
      </c>
      <c r="S651" t="s">
        <v>7838</v>
      </c>
      <c r="T651" t="s">
        <v>67</v>
      </c>
      <c r="U651" t="s">
        <v>614</v>
      </c>
      <c r="V651" t="s">
        <v>3728</v>
      </c>
      <c r="W651" t="s">
        <v>3729</v>
      </c>
      <c r="X651" t="s">
        <v>7798</v>
      </c>
      <c r="Y651" t="s">
        <v>7839</v>
      </c>
      <c r="Z651">
        <v>5</v>
      </c>
      <c r="AA651" t="s">
        <v>227</v>
      </c>
      <c r="AB651" t="s">
        <v>7840</v>
      </c>
      <c r="AC651" t="s">
        <v>7841</v>
      </c>
      <c r="AD651" t="s">
        <v>171</v>
      </c>
      <c r="AE651">
        <v>1113000</v>
      </c>
      <c r="AF651">
        <v>0</v>
      </c>
      <c r="AJ651" t="e">
        <f>_xlfn.XLOOKUP(Table9[[#This Row],[Engine No.]],'[1]Dubai Islamic Consumer'!$Q$3:$Q$1176,'[1]Dubai Islamic Consumer'!$B$3:$B$1176,,,)</f>
        <v>#N/A</v>
      </c>
    </row>
    <row r="652" spans="1:36" hidden="1" x14ac:dyDescent="0.25">
      <c r="A652">
        <v>651</v>
      </c>
      <c r="B652" s="2" t="s">
        <v>7502</v>
      </c>
      <c r="C652" t="s">
        <v>7842</v>
      </c>
      <c r="D652" t="s">
        <v>37</v>
      </c>
      <c r="E652" t="s">
        <v>7843</v>
      </c>
      <c r="F652" t="s">
        <v>107</v>
      </c>
      <c r="G652" t="s">
        <v>7844</v>
      </c>
      <c r="H652" t="s">
        <v>7845</v>
      </c>
      <c r="I652" t="s">
        <v>7846</v>
      </c>
      <c r="J652" t="s">
        <v>7847</v>
      </c>
      <c r="K652" t="s">
        <v>7848</v>
      </c>
      <c r="L652">
        <v>1062600</v>
      </c>
      <c r="M652">
        <v>1518000</v>
      </c>
      <c r="N652" t="s">
        <v>7849</v>
      </c>
      <c r="O652" s="1">
        <v>45624</v>
      </c>
      <c r="P652" t="s">
        <v>7850</v>
      </c>
      <c r="Q652" t="s">
        <v>7851</v>
      </c>
      <c r="R652" t="s">
        <v>47</v>
      </c>
      <c r="S652" t="s">
        <v>7852</v>
      </c>
      <c r="T652" t="s">
        <v>7853</v>
      </c>
      <c r="U652" t="s">
        <v>614</v>
      </c>
      <c r="V652" t="s">
        <v>3728</v>
      </c>
      <c r="W652" t="s">
        <v>3729</v>
      </c>
      <c r="X652" t="s">
        <v>7798</v>
      </c>
      <c r="Y652" t="s">
        <v>7854</v>
      </c>
      <c r="Z652">
        <v>5</v>
      </c>
      <c r="AA652" t="s">
        <v>55</v>
      </c>
      <c r="AB652" t="s">
        <v>7855</v>
      </c>
      <c r="AC652" t="s">
        <v>7841</v>
      </c>
      <c r="AD652" t="s">
        <v>171</v>
      </c>
      <c r="AE652">
        <v>910800</v>
      </c>
      <c r="AF652">
        <v>0</v>
      </c>
      <c r="AJ652" t="e">
        <f>_xlfn.XLOOKUP(Table9[[#This Row],[Engine No.]],'[1]Dubai Islamic Consumer'!$Q$3:$Q$1176,'[1]Dubai Islamic Consumer'!$B$3:$B$1176,,,)</f>
        <v>#N/A</v>
      </c>
    </row>
    <row r="653" spans="1:36" hidden="1" x14ac:dyDescent="0.25">
      <c r="A653">
        <v>652</v>
      </c>
      <c r="B653" s="2" t="s">
        <v>7502</v>
      </c>
      <c r="C653" t="s">
        <v>7856</v>
      </c>
      <c r="D653" t="s">
        <v>37</v>
      </c>
      <c r="E653" t="s">
        <v>7857</v>
      </c>
      <c r="F653" t="s">
        <v>138</v>
      </c>
      <c r="G653" t="s">
        <v>7858</v>
      </c>
      <c r="H653" t="s">
        <v>7859</v>
      </c>
      <c r="I653" t="s">
        <v>7860</v>
      </c>
      <c r="J653" t="s">
        <v>48</v>
      </c>
      <c r="K653" t="s">
        <v>7861</v>
      </c>
      <c r="L653">
        <v>990000</v>
      </c>
      <c r="M653">
        <v>3000000</v>
      </c>
      <c r="N653" t="s">
        <v>4137</v>
      </c>
      <c r="O653" t="s">
        <v>4110</v>
      </c>
      <c r="P653" t="s">
        <v>7862</v>
      </c>
      <c r="Q653" t="s">
        <v>7863</v>
      </c>
      <c r="R653" t="s">
        <v>146</v>
      </c>
      <c r="S653" t="s">
        <v>7864</v>
      </c>
      <c r="T653" t="s">
        <v>2783</v>
      </c>
      <c r="U653" t="s">
        <v>148</v>
      </c>
      <c r="V653" s="1">
        <v>45260</v>
      </c>
      <c r="W653" t="s">
        <v>4114</v>
      </c>
      <c r="X653" t="s">
        <v>7798</v>
      </c>
      <c r="Y653" t="s">
        <v>7865</v>
      </c>
      <c r="Z653">
        <v>1</v>
      </c>
      <c r="AA653" t="s">
        <v>55</v>
      </c>
      <c r="AB653" t="s">
        <v>7866</v>
      </c>
      <c r="AC653" t="s">
        <v>4131</v>
      </c>
      <c r="AD653" t="s">
        <v>86</v>
      </c>
      <c r="AE653">
        <v>1800000</v>
      </c>
      <c r="AF653">
        <v>0</v>
      </c>
      <c r="AJ653" t="e">
        <f>_xlfn.XLOOKUP(Table9[[#This Row],[Engine No.]],'[1]Dubai Islamic Consumer'!$Q$3:$Q$1176,'[1]Dubai Islamic Consumer'!$B$3:$B$1176,,,)</f>
        <v>#N/A</v>
      </c>
    </row>
    <row r="654" spans="1:36" hidden="1" x14ac:dyDescent="0.25">
      <c r="A654">
        <v>653</v>
      </c>
      <c r="B654" s="2" t="s">
        <v>7502</v>
      </c>
      <c r="C654" t="s">
        <v>7867</v>
      </c>
      <c r="D654" t="s">
        <v>37</v>
      </c>
      <c r="E654" t="s">
        <v>4637</v>
      </c>
      <c r="F654" t="s">
        <v>39</v>
      </c>
      <c r="G654" t="s">
        <v>7868</v>
      </c>
      <c r="H654" t="s">
        <v>48</v>
      </c>
      <c r="I654" t="s">
        <v>7869</v>
      </c>
      <c r="J654" t="s">
        <v>48</v>
      </c>
      <c r="K654" t="s">
        <v>7870</v>
      </c>
      <c r="L654">
        <v>1230000</v>
      </c>
      <c r="M654">
        <v>2050000</v>
      </c>
      <c r="N654" t="s">
        <v>7871</v>
      </c>
      <c r="O654" s="1">
        <v>45623</v>
      </c>
      <c r="P654" t="s">
        <v>7872</v>
      </c>
      <c r="Q654" t="s">
        <v>7873</v>
      </c>
      <c r="R654" t="s">
        <v>47</v>
      </c>
      <c r="S654" t="s">
        <v>7874</v>
      </c>
      <c r="T654" t="s">
        <v>7823</v>
      </c>
      <c r="U654" t="s">
        <v>614</v>
      </c>
      <c r="V654" t="s">
        <v>3728</v>
      </c>
      <c r="W654" t="s">
        <v>3729</v>
      </c>
      <c r="X654" t="s">
        <v>7798</v>
      </c>
      <c r="Y654" t="s">
        <v>7875</v>
      </c>
      <c r="Z654">
        <v>5</v>
      </c>
      <c r="AA654" t="s">
        <v>55</v>
      </c>
      <c r="AB654" t="s">
        <v>7876</v>
      </c>
      <c r="AC654" t="s">
        <v>3295</v>
      </c>
      <c r="AD654" t="s">
        <v>171</v>
      </c>
      <c r="AE654">
        <v>1230000</v>
      </c>
      <c r="AF654">
        <v>0</v>
      </c>
      <c r="AJ654" t="e">
        <f>_xlfn.XLOOKUP(Table9[[#This Row],[Engine No.]],'[1]Dubai Islamic Consumer'!$Q$3:$Q$1176,'[1]Dubai Islamic Consumer'!$B$3:$B$1176,,,)</f>
        <v>#N/A</v>
      </c>
    </row>
    <row r="655" spans="1:36" hidden="1" x14ac:dyDescent="0.25">
      <c r="A655">
        <v>654</v>
      </c>
      <c r="B655" s="2" t="s">
        <v>7502</v>
      </c>
      <c r="C655" t="s">
        <v>7877</v>
      </c>
      <c r="D655" t="s">
        <v>37</v>
      </c>
      <c r="E655" t="s">
        <v>7878</v>
      </c>
      <c r="F655" t="s">
        <v>107</v>
      </c>
      <c r="G655" t="s">
        <v>7879</v>
      </c>
      <c r="H655" t="s">
        <v>7880</v>
      </c>
      <c r="I655" t="s">
        <v>7880</v>
      </c>
      <c r="J655" t="s">
        <v>7880</v>
      </c>
      <c r="K655" t="s">
        <v>7881</v>
      </c>
      <c r="L655">
        <v>640900</v>
      </c>
      <c r="M655">
        <v>754000</v>
      </c>
      <c r="N655" t="s">
        <v>7882</v>
      </c>
      <c r="O655" s="1">
        <v>45623</v>
      </c>
      <c r="P655" t="s">
        <v>7883</v>
      </c>
      <c r="Q655" t="s">
        <v>7884</v>
      </c>
      <c r="R655" t="s">
        <v>47</v>
      </c>
      <c r="S655" t="s">
        <v>7885</v>
      </c>
      <c r="T655" t="s">
        <v>7886</v>
      </c>
      <c r="U655" t="s">
        <v>335</v>
      </c>
      <c r="V655" t="s">
        <v>7887</v>
      </c>
      <c r="W655" t="s">
        <v>7888</v>
      </c>
      <c r="X655" t="s">
        <v>7798</v>
      </c>
      <c r="Y655" t="s">
        <v>7889</v>
      </c>
      <c r="Z655">
        <v>7</v>
      </c>
      <c r="AA655" t="s">
        <v>323</v>
      </c>
      <c r="AB655" t="s">
        <v>7890</v>
      </c>
      <c r="AC655" t="s">
        <v>7891</v>
      </c>
      <c r="AD655" t="s">
        <v>7584</v>
      </c>
      <c r="AE655">
        <v>452400</v>
      </c>
      <c r="AF655">
        <v>0</v>
      </c>
      <c r="AJ655" t="e">
        <f>_xlfn.XLOOKUP(Table9[[#This Row],[Engine No.]],'[1]Dubai Islamic Consumer'!$Q$3:$Q$1176,'[1]Dubai Islamic Consumer'!$B$3:$B$1176,,,)</f>
        <v>#N/A</v>
      </c>
    </row>
    <row r="656" spans="1:36" hidden="1" x14ac:dyDescent="0.25">
      <c r="A656">
        <v>655</v>
      </c>
      <c r="B656" s="2" t="s">
        <v>7502</v>
      </c>
      <c r="C656" t="s">
        <v>7892</v>
      </c>
      <c r="D656" t="s">
        <v>37</v>
      </c>
      <c r="E656" t="s">
        <v>7893</v>
      </c>
      <c r="F656" t="s">
        <v>138</v>
      </c>
      <c r="G656" t="s">
        <v>7894</v>
      </c>
      <c r="H656" t="s">
        <v>7895</v>
      </c>
      <c r="I656" t="s">
        <v>7896</v>
      </c>
      <c r="J656" t="s">
        <v>7897</v>
      </c>
      <c r="K656" t="s">
        <v>7898</v>
      </c>
      <c r="L656">
        <v>2531250</v>
      </c>
      <c r="M656">
        <v>3375000</v>
      </c>
      <c r="N656" t="s">
        <v>7899</v>
      </c>
      <c r="O656" s="1">
        <v>45618</v>
      </c>
      <c r="P656" t="s">
        <v>7900</v>
      </c>
      <c r="Q656" t="s">
        <v>7901</v>
      </c>
      <c r="R656" t="s">
        <v>47</v>
      </c>
      <c r="S656" t="s">
        <v>48</v>
      </c>
      <c r="T656" t="s">
        <v>650</v>
      </c>
      <c r="U656" t="s">
        <v>50</v>
      </c>
      <c r="V656" t="s">
        <v>7902</v>
      </c>
      <c r="W656" t="s">
        <v>132</v>
      </c>
      <c r="X656" t="s">
        <v>7798</v>
      </c>
      <c r="Y656" t="s">
        <v>7903</v>
      </c>
      <c r="Z656">
        <v>3</v>
      </c>
      <c r="AA656" t="s">
        <v>55</v>
      </c>
      <c r="AB656" t="s">
        <v>7904</v>
      </c>
      <c r="AC656" t="s">
        <v>1387</v>
      </c>
      <c r="AD656" t="s">
        <v>58</v>
      </c>
      <c r="AE656">
        <v>2025000</v>
      </c>
      <c r="AF656">
        <v>0</v>
      </c>
      <c r="AJ656" t="e">
        <f>_xlfn.XLOOKUP(Table9[[#This Row],[Engine No.]],'[1]Dubai Islamic Consumer'!$Q$3:$Q$1176,'[1]Dubai Islamic Consumer'!$B$3:$B$1176,,,)</f>
        <v>#N/A</v>
      </c>
    </row>
    <row r="657" spans="1:36" hidden="1" x14ac:dyDescent="0.25">
      <c r="A657">
        <v>656</v>
      </c>
      <c r="B657" s="2" t="s">
        <v>7502</v>
      </c>
      <c r="C657" t="s">
        <v>7905</v>
      </c>
      <c r="D657" t="s">
        <v>37</v>
      </c>
      <c r="E657" t="s">
        <v>7906</v>
      </c>
      <c r="F657" t="s">
        <v>245</v>
      </c>
      <c r="G657" t="s">
        <v>7907</v>
      </c>
      <c r="H657" t="s">
        <v>7908</v>
      </c>
      <c r="I657" t="s">
        <v>7909</v>
      </c>
      <c r="J657" t="s">
        <v>7910</v>
      </c>
      <c r="K657" t="s">
        <v>7911</v>
      </c>
      <c r="L657">
        <v>1000350</v>
      </c>
      <c r="M657">
        <v>1539000</v>
      </c>
      <c r="N657" t="s">
        <v>7912</v>
      </c>
      <c r="O657" s="1">
        <v>45617</v>
      </c>
      <c r="P657" t="s">
        <v>7913</v>
      </c>
      <c r="Q657" t="s">
        <v>7914</v>
      </c>
      <c r="R657" t="s">
        <v>47</v>
      </c>
      <c r="S657" t="s">
        <v>48</v>
      </c>
      <c r="T657" t="s">
        <v>1264</v>
      </c>
      <c r="U657" t="s">
        <v>50</v>
      </c>
      <c r="V657" t="s">
        <v>2196</v>
      </c>
      <c r="W657" t="s">
        <v>1053</v>
      </c>
      <c r="X657" t="s">
        <v>7915</v>
      </c>
      <c r="Y657" t="s">
        <v>7916</v>
      </c>
      <c r="Z657">
        <v>3</v>
      </c>
      <c r="AA657" t="s">
        <v>118</v>
      </c>
      <c r="AB657" t="s">
        <v>7917</v>
      </c>
      <c r="AC657" t="s">
        <v>1961</v>
      </c>
      <c r="AD657" t="s">
        <v>58</v>
      </c>
      <c r="AE657">
        <v>923400</v>
      </c>
      <c r="AF657">
        <v>0</v>
      </c>
      <c r="AJ657" t="e">
        <f>_xlfn.XLOOKUP(Table9[[#This Row],[Engine No.]],'[1]Dubai Islamic Consumer'!$Q$3:$Q$1176,'[1]Dubai Islamic Consumer'!$B$3:$B$1176,,,)</f>
        <v>#N/A</v>
      </c>
    </row>
    <row r="658" spans="1:36" hidden="1" x14ac:dyDescent="0.25">
      <c r="A658">
        <v>657</v>
      </c>
      <c r="B658" s="2" t="s">
        <v>7502</v>
      </c>
      <c r="C658" t="s">
        <v>7918</v>
      </c>
      <c r="D658" t="s">
        <v>37</v>
      </c>
      <c r="E658" t="s">
        <v>7919</v>
      </c>
      <c r="F658" t="s">
        <v>245</v>
      </c>
      <c r="G658" t="s">
        <v>7920</v>
      </c>
      <c r="H658" t="s">
        <v>48</v>
      </c>
      <c r="I658" t="s">
        <v>7921</v>
      </c>
      <c r="J658" t="s">
        <v>48</v>
      </c>
      <c r="K658" t="s">
        <v>7922</v>
      </c>
      <c r="L658">
        <v>1214400</v>
      </c>
      <c r="M658">
        <v>1518000</v>
      </c>
      <c r="N658" t="s">
        <v>7923</v>
      </c>
      <c r="O658" s="1">
        <v>45616</v>
      </c>
      <c r="P658" t="s">
        <v>7924</v>
      </c>
      <c r="Q658" t="s">
        <v>7925</v>
      </c>
      <c r="R658" t="s">
        <v>47</v>
      </c>
      <c r="S658" t="s">
        <v>7926</v>
      </c>
      <c r="T658" t="s">
        <v>194</v>
      </c>
      <c r="U658" t="s">
        <v>614</v>
      </c>
      <c r="V658" t="s">
        <v>3295</v>
      </c>
      <c r="W658" t="s">
        <v>3296</v>
      </c>
      <c r="X658" t="s">
        <v>7915</v>
      </c>
      <c r="Y658" t="s">
        <v>7927</v>
      </c>
      <c r="Z658">
        <v>5</v>
      </c>
      <c r="AA658" t="s">
        <v>55</v>
      </c>
      <c r="AB658" t="s">
        <v>7928</v>
      </c>
      <c r="AC658" t="s">
        <v>7929</v>
      </c>
      <c r="AD658" t="s">
        <v>171</v>
      </c>
      <c r="AE658">
        <v>910800</v>
      </c>
      <c r="AF658">
        <v>0</v>
      </c>
      <c r="AJ658" t="e">
        <f>_xlfn.XLOOKUP(Table9[[#This Row],[Engine No.]],'[1]Dubai Islamic Consumer'!$Q$3:$Q$1176,'[1]Dubai Islamic Consumer'!$B$3:$B$1176,,,)</f>
        <v>#N/A</v>
      </c>
    </row>
    <row r="659" spans="1:36" hidden="1" x14ac:dyDescent="0.25">
      <c r="A659">
        <v>658</v>
      </c>
      <c r="B659" s="2" t="s">
        <v>7502</v>
      </c>
      <c r="C659" t="s">
        <v>7930</v>
      </c>
      <c r="D659" t="s">
        <v>37</v>
      </c>
      <c r="E659" t="s">
        <v>7931</v>
      </c>
      <c r="F659" t="s">
        <v>89</v>
      </c>
      <c r="G659" t="s">
        <v>7932</v>
      </c>
      <c r="H659" t="s">
        <v>7933</v>
      </c>
      <c r="I659" t="s">
        <v>7934</v>
      </c>
      <c r="J659" t="s">
        <v>7935</v>
      </c>
      <c r="K659" t="s">
        <v>7936</v>
      </c>
      <c r="L659">
        <v>1046400</v>
      </c>
      <c r="M659">
        <v>1308000</v>
      </c>
      <c r="N659" t="s">
        <v>7937</v>
      </c>
      <c r="O659" s="1">
        <v>45616</v>
      </c>
      <c r="P659" t="s">
        <v>7938</v>
      </c>
      <c r="Q659" t="s">
        <v>7939</v>
      </c>
      <c r="R659" t="s">
        <v>47</v>
      </c>
      <c r="S659" t="s">
        <v>7940</v>
      </c>
      <c r="T659" t="s">
        <v>2334</v>
      </c>
      <c r="U659" t="s">
        <v>614</v>
      </c>
      <c r="V659" t="s">
        <v>2321</v>
      </c>
      <c r="W659" t="s">
        <v>2321</v>
      </c>
      <c r="X659" t="s">
        <v>7786</v>
      </c>
      <c r="Y659" t="s">
        <v>7941</v>
      </c>
      <c r="Z659">
        <v>5</v>
      </c>
      <c r="AA659" t="s">
        <v>55</v>
      </c>
      <c r="AB659" t="s">
        <v>7942</v>
      </c>
      <c r="AC659" t="s">
        <v>2320</v>
      </c>
      <c r="AD659" t="s">
        <v>171</v>
      </c>
      <c r="AE659">
        <v>784800</v>
      </c>
      <c r="AF659">
        <v>0</v>
      </c>
      <c r="AJ659" t="e">
        <f>_xlfn.XLOOKUP(Table9[[#This Row],[Engine No.]],'[1]Dubai Islamic Consumer'!$Q$3:$Q$1176,'[1]Dubai Islamic Consumer'!$B$3:$B$1176,,,)</f>
        <v>#N/A</v>
      </c>
    </row>
    <row r="660" spans="1:36" hidden="1" x14ac:dyDescent="0.25">
      <c r="A660">
        <v>659</v>
      </c>
      <c r="B660" s="2" t="s">
        <v>7502</v>
      </c>
      <c r="C660" t="s">
        <v>7943</v>
      </c>
      <c r="D660" t="s">
        <v>37</v>
      </c>
      <c r="E660" t="s">
        <v>7944</v>
      </c>
      <c r="F660" t="s">
        <v>107</v>
      </c>
      <c r="G660" t="s">
        <v>7945</v>
      </c>
      <c r="H660" t="s">
        <v>7946</v>
      </c>
      <c r="I660" t="s">
        <v>7947</v>
      </c>
      <c r="J660" t="s">
        <v>7948</v>
      </c>
      <c r="K660" t="s">
        <v>7949</v>
      </c>
      <c r="L660">
        <v>875200</v>
      </c>
      <c r="M660">
        <v>1094000</v>
      </c>
      <c r="N660" t="s">
        <v>7950</v>
      </c>
      <c r="O660" s="1">
        <v>45616</v>
      </c>
      <c r="P660" t="s">
        <v>7951</v>
      </c>
      <c r="Q660" t="s">
        <v>7952</v>
      </c>
      <c r="R660" t="s">
        <v>47</v>
      </c>
      <c r="S660" t="s">
        <v>7953</v>
      </c>
      <c r="T660" t="s">
        <v>321</v>
      </c>
      <c r="U660" t="s">
        <v>335</v>
      </c>
      <c r="V660" t="s">
        <v>7954</v>
      </c>
      <c r="W660" t="s">
        <v>7785</v>
      </c>
      <c r="X660" t="s">
        <v>7786</v>
      </c>
      <c r="Y660" t="s">
        <v>7955</v>
      </c>
      <c r="Z660">
        <v>7</v>
      </c>
      <c r="AA660" t="s">
        <v>323</v>
      </c>
      <c r="AB660" t="s">
        <v>7956</v>
      </c>
      <c r="AC660" t="s">
        <v>7785</v>
      </c>
      <c r="AD660" t="s">
        <v>7584</v>
      </c>
      <c r="AE660">
        <v>656400</v>
      </c>
      <c r="AF660">
        <v>0</v>
      </c>
      <c r="AJ660" t="e">
        <f>_xlfn.XLOOKUP(Table9[[#This Row],[Engine No.]],'[1]Dubai Islamic Consumer'!$Q$3:$Q$1176,'[1]Dubai Islamic Consumer'!$B$3:$B$1176,,,)</f>
        <v>#N/A</v>
      </c>
    </row>
    <row r="661" spans="1:36" hidden="1" x14ac:dyDescent="0.25">
      <c r="A661">
        <v>660</v>
      </c>
      <c r="B661" s="2" t="s">
        <v>7502</v>
      </c>
      <c r="C661" t="s">
        <v>7957</v>
      </c>
      <c r="D661" t="s">
        <v>37</v>
      </c>
      <c r="E661" t="s">
        <v>7958</v>
      </c>
      <c r="F661" t="s">
        <v>7959</v>
      </c>
      <c r="G661" t="s">
        <v>7960</v>
      </c>
      <c r="H661" t="s">
        <v>48</v>
      </c>
      <c r="I661" t="s">
        <v>7961</v>
      </c>
      <c r="J661" t="s">
        <v>48</v>
      </c>
      <c r="K661" t="s">
        <v>7962</v>
      </c>
      <c r="L661">
        <v>734300</v>
      </c>
      <c r="M661">
        <v>1049000</v>
      </c>
      <c r="N661" t="s">
        <v>7963</v>
      </c>
      <c r="O661" s="1">
        <v>45614</v>
      </c>
      <c r="P661" t="s">
        <v>7964</v>
      </c>
      <c r="Q661" t="s">
        <v>7965</v>
      </c>
      <c r="R661" t="s">
        <v>47</v>
      </c>
      <c r="S661" t="s">
        <v>48</v>
      </c>
      <c r="T661" t="s">
        <v>966</v>
      </c>
      <c r="U661" t="s">
        <v>50</v>
      </c>
      <c r="V661" t="s">
        <v>3008</v>
      </c>
      <c r="W661" t="s">
        <v>1053</v>
      </c>
      <c r="X661" t="s">
        <v>7915</v>
      </c>
      <c r="Y661" t="s">
        <v>7966</v>
      </c>
      <c r="Z661">
        <v>3</v>
      </c>
      <c r="AA661" t="s">
        <v>55</v>
      </c>
      <c r="AB661" t="s">
        <v>7967</v>
      </c>
      <c r="AC661" t="s">
        <v>1387</v>
      </c>
      <c r="AD661" t="s">
        <v>58</v>
      </c>
      <c r="AE661">
        <v>629400</v>
      </c>
      <c r="AF661">
        <v>0</v>
      </c>
      <c r="AJ661" t="e">
        <f>_xlfn.XLOOKUP(Table9[[#This Row],[Engine No.]],'[1]Dubai Islamic Consumer'!$Q$3:$Q$1176,'[1]Dubai Islamic Consumer'!$B$3:$B$1176,,,)</f>
        <v>#N/A</v>
      </c>
    </row>
    <row r="662" spans="1:36" hidden="1" x14ac:dyDescent="0.25">
      <c r="A662">
        <v>661</v>
      </c>
      <c r="B662" s="2" t="s">
        <v>7502</v>
      </c>
      <c r="C662" t="s">
        <v>7968</v>
      </c>
      <c r="D662" t="s">
        <v>37</v>
      </c>
      <c r="E662" t="s">
        <v>7969</v>
      </c>
      <c r="F662" t="s">
        <v>73</v>
      </c>
      <c r="G662" t="s">
        <v>7970</v>
      </c>
      <c r="H662" t="s">
        <v>7971</v>
      </c>
      <c r="I662" t="s">
        <v>7971</v>
      </c>
      <c r="J662" t="s">
        <v>7971</v>
      </c>
      <c r="K662" t="s">
        <v>7972</v>
      </c>
      <c r="L662">
        <v>958400</v>
      </c>
      <c r="M662">
        <v>1198000</v>
      </c>
      <c r="N662" t="s">
        <v>7973</v>
      </c>
      <c r="O662" s="1">
        <v>45613</v>
      </c>
      <c r="P662" t="s">
        <v>7974</v>
      </c>
      <c r="Q662" t="s">
        <v>7975</v>
      </c>
      <c r="R662" t="s">
        <v>47</v>
      </c>
      <c r="S662" t="s">
        <v>48</v>
      </c>
      <c r="T662" t="s">
        <v>809</v>
      </c>
      <c r="U662" t="s">
        <v>50</v>
      </c>
      <c r="V662" t="s">
        <v>1513</v>
      </c>
      <c r="W662" t="s">
        <v>132</v>
      </c>
      <c r="X662" t="s">
        <v>7798</v>
      </c>
      <c r="Y662" t="s">
        <v>7976</v>
      </c>
      <c r="Z662">
        <v>3</v>
      </c>
      <c r="AA662" t="s">
        <v>55</v>
      </c>
      <c r="AB662" t="s">
        <v>7977</v>
      </c>
      <c r="AC662" t="s">
        <v>1387</v>
      </c>
      <c r="AD662" t="s">
        <v>58</v>
      </c>
      <c r="AE662">
        <v>718800</v>
      </c>
      <c r="AF662">
        <v>0</v>
      </c>
      <c r="AJ662" t="e">
        <f>_xlfn.XLOOKUP(Table9[[#This Row],[Engine No.]],'[1]Dubai Islamic Consumer'!$Q$3:$Q$1176,'[1]Dubai Islamic Consumer'!$B$3:$B$1176,,,)</f>
        <v>#N/A</v>
      </c>
    </row>
    <row r="663" spans="1:36" hidden="1" x14ac:dyDescent="0.25">
      <c r="A663">
        <v>662</v>
      </c>
      <c r="B663" s="2" t="s">
        <v>7502</v>
      </c>
      <c r="C663" t="s">
        <v>7978</v>
      </c>
      <c r="D663" t="s">
        <v>37</v>
      </c>
      <c r="E663" t="s">
        <v>7979</v>
      </c>
      <c r="F663" t="s">
        <v>39</v>
      </c>
      <c r="G663" t="s">
        <v>7980</v>
      </c>
      <c r="H663" t="s">
        <v>7981</v>
      </c>
      <c r="I663" t="s">
        <v>7982</v>
      </c>
      <c r="J663" t="s">
        <v>7981</v>
      </c>
      <c r="K663" t="s">
        <v>7983</v>
      </c>
      <c r="L663">
        <v>840000</v>
      </c>
      <c r="M663">
        <v>1200000</v>
      </c>
      <c r="N663" t="s">
        <v>7984</v>
      </c>
      <c r="O663" s="1">
        <v>45609</v>
      </c>
      <c r="P663" t="s">
        <v>7985</v>
      </c>
      <c r="Q663" t="s">
        <v>7986</v>
      </c>
      <c r="R663" t="s">
        <v>146</v>
      </c>
      <c r="S663" t="s">
        <v>7987</v>
      </c>
      <c r="T663" t="s">
        <v>3781</v>
      </c>
      <c r="U663" t="s">
        <v>903</v>
      </c>
      <c r="V663" t="s">
        <v>7988</v>
      </c>
      <c r="W663" t="s">
        <v>2321</v>
      </c>
      <c r="X663" t="s">
        <v>7786</v>
      </c>
      <c r="Y663" t="s">
        <v>7989</v>
      </c>
      <c r="Z663">
        <v>5</v>
      </c>
      <c r="AA663" t="s">
        <v>55</v>
      </c>
      <c r="AB663" t="s">
        <v>7990</v>
      </c>
      <c r="AC663" t="s">
        <v>7988</v>
      </c>
      <c r="AD663" t="s">
        <v>171</v>
      </c>
      <c r="AE663">
        <v>720000</v>
      </c>
      <c r="AF663">
        <v>0</v>
      </c>
      <c r="AJ663" t="str">
        <f>_xlfn.XLOOKUP(Table9[[#This Row],[Engine No.]],'[1]Dubai Islamic Consumer'!$Q$3:$Q$1176,'[1]Dubai Islamic Consumer'!$B$3:$B$1176,,,)</f>
        <v>KHI/HO/D/MO/PC COMP/C/77973/246/11/2023</v>
      </c>
    </row>
    <row r="664" spans="1:36" hidden="1" x14ac:dyDescent="0.25">
      <c r="A664">
        <v>663</v>
      </c>
      <c r="B664" s="2" t="s">
        <v>7502</v>
      </c>
      <c r="C664" t="s">
        <v>7991</v>
      </c>
      <c r="D664" t="s">
        <v>37</v>
      </c>
      <c r="E664" t="s">
        <v>7992</v>
      </c>
      <c r="F664" t="s">
        <v>138</v>
      </c>
      <c r="G664" t="s">
        <v>7993</v>
      </c>
      <c r="H664" t="s">
        <v>7994</v>
      </c>
      <c r="I664" t="s">
        <v>7994</v>
      </c>
      <c r="J664" t="s">
        <v>7994</v>
      </c>
      <c r="K664" t="s">
        <v>7995</v>
      </c>
      <c r="L664">
        <v>1120000</v>
      </c>
      <c r="M664">
        <v>1400000</v>
      </c>
      <c r="N664" t="s">
        <v>7996</v>
      </c>
      <c r="O664" s="1">
        <v>45608</v>
      </c>
      <c r="P664" t="s">
        <v>7997</v>
      </c>
      <c r="Q664" t="s">
        <v>7998</v>
      </c>
      <c r="R664" t="s">
        <v>146</v>
      </c>
      <c r="S664" t="s">
        <v>7999</v>
      </c>
      <c r="T664" t="s">
        <v>2113</v>
      </c>
      <c r="U664" t="s">
        <v>715</v>
      </c>
      <c r="V664" t="s">
        <v>7988</v>
      </c>
      <c r="W664" t="s">
        <v>2321</v>
      </c>
      <c r="X664" t="s">
        <v>7786</v>
      </c>
      <c r="Y664" t="s">
        <v>8000</v>
      </c>
      <c r="Z664">
        <v>5</v>
      </c>
      <c r="AA664" t="s">
        <v>227</v>
      </c>
      <c r="AB664" t="s">
        <v>8001</v>
      </c>
      <c r="AC664" t="s">
        <v>8002</v>
      </c>
      <c r="AD664" t="s">
        <v>58</v>
      </c>
      <c r="AE664">
        <v>840000</v>
      </c>
      <c r="AF664">
        <v>0</v>
      </c>
      <c r="AJ664" t="e">
        <f>_xlfn.XLOOKUP(Table9[[#This Row],[Engine No.]],'[1]Dubai Islamic Consumer'!$Q$3:$Q$1176,'[1]Dubai Islamic Consumer'!$B$3:$B$1176,,,)</f>
        <v>#N/A</v>
      </c>
    </row>
    <row r="665" spans="1:36" hidden="1" x14ac:dyDescent="0.25">
      <c r="A665">
        <v>664</v>
      </c>
      <c r="B665" s="2" t="s">
        <v>7502</v>
      </c>
      <c r="C665" t="s">
        <v>8003</v>
      </c>
      <c r="D665" t="s">
        <v>37</v>
      </c>
      <c r="E665" t="s">
        <v>500</v>
      </c>
      <c r="F665" t="s">
        <v>138</v>
      </c>
      <c r="G665" t="s">
        <v>8004</v>
      </c>
      <c r="H665" t="s">
        <v>48</v>
      </c>
      <c r="I665" t="s">
        <v>8005</v>
      </c>
      <c r="J665" t="s">
        <v>48</v>
      </c>
      <c r="K665" t="s">
        <v>8006</v>
      </c>
      <c r="L665">
        <v>937500</v>
      </c>
      <c r="M665">
        <v>1250000</v>
      </c>
      <c r="N665" t="s">
        <v>8007</v>
      </c>
      <c r="O665" s="1">
        <v>45604</v>
      </c>
      <c r="P665" t="s">
        <v>8008</v>
      </c>
      <c r="Q665" t="s">
        <v>8009</v>
      </c>
      <c r="R665" t="s">
        <v>47</v>
      </c>
      <c r="S665" t="s">
        <v>8010</v>
      </c>
      <c r="T665" t="s">
        <v>1909</v>
      </c>
      <c r="U665" t="s">
        <v>335</v>
      </c>
      <c r="V665" t="s">
        <v>8011</v>
      </c>
      <c r="W665" t="s">
        <v>7785</v>
      </c>
      <c r="X665" t="s">
        <v>7786</v>
      </c>
      <c r="Y665" t="s">
        <v>8012</v>
      </c>
      <c r="Z665">
        <v>7</v>
      </c>
      <c r="AA665" t="s">
        <v>8013</v>
      </c>
      <c r="AB665" t="s">
        <v>8014</v>
      </c>
      <c r="AC665" t="s">
        <v>8015</v>
      </c>
      <c r="AD665" t="s">
        <v>7584</v>
      </c>
      <c r="AE665">
        <v>750000</v>
      </c>
      <c r="AF665">
        <v>0</v>
      </c>
      <c r="AJ665" t="e">
        <f>_xlfn.XLOOKUP(Table9[[#This Row],[Engine No.]],'[1]Dubai Islamic Consumer'!$Q$3:$Q$1176,'[1]Dubai Islamic Consumer'!$B$3:$B$1176,,,)</f>
        <v>#N/A</v>
      </c>
    </row>
    <row r="666" spans="1:36" hidden="1" x14ac:dyDescent="0.25">
      <c r="A666">
        <v>665</v>
      </c>
      <c r="B666" s="2" t="s">
        <v>7502</v>
      </c>
      <c r="C666" t="s">
        <v>8016</v>
      </c>
      <c r="D666" t="s">
        <v>37</v>
      </c>
      <c r="E666" t="s">
        <v>8017</v>
      </c>
      <c r="F666" t="s">
        <v>5069</v>
      </c>
      <c r="G666" t="s">
        <v>8018</v>
      </c>
      <c r="H666" t="s">
        <v>48</v>
      </c>
      <c r="I666" t="s">
        <v>8019</v>
      </c>
      <c r="J666" t="s">
        <v>8020</v>
      </c>
      <c r="K666" t="s">
        <v>8021</v>
      </c>
      <c r="L666">
        <v>4224600</v>
      </c>
      <c r="M666">
        <v>7041000</v>
      </c>
      <c r="N666" t="s">
        <v>8022</v>
      </c>
      <c r="O666" s="1">
        <v>45603</v>
      </c>
      <c r="P666" t="s">
        <v>8023</v>
      </c>
      <c r="Q666" t="s">
        <v>8024</v>
      </c>
      <c r="R666" t="s">
        <v>47</v>
      </c>
      <c r="S666" t="s">
        <v>48</v>
      </c>
      <c r="T666" t="s">
        <v>8025</v>
      </c>
      <c r="U666" t="s">
        <v>50</v>
      </c>
      <c r="V666" t="s">
        <v>8026</v>
      </c>
      <c r="W666" t="s">
        <v>52</v>
      </c>
      <c r="X666" t="s">
        <v>8027</v>
      </c>
      <c r="Y666" t="s">
        <v>8028</v>
      </c>
      <c r="Z666">
        <v>3</v>
      </c>
      <c r="AA666" t="s">
        <v>55</v>
      </c>
      <c r="AB666" t="s">
        <v>8029</v>
      </c>
      <c r="AC666" t="s">
        <v>214</v>
      </c>
      <c r="AD666" t="s">
        <v>86</v>
      </c>
      <c r="AE666">
        <v>4224600</v>
      </c>
      <c r="AF666">
        <v>0</v>
      </c>
      <c r="AJ666" t="e">
        <f>_xlfn.XLOOKUP(Table9[[#This Row],[Engine No.]],'[1]Dubai Islamic Consumer'!$Q$3:$Q$1176,'[1]Dubai Islamic Consumer'!$B$3:$B$1176,,,)</f>
        <v>#N/A</v>
      </c>
    </row>
    <row r="667" spans="1:36" x14ac:dyDescent="0.25">
      <c r="A667">
        <v>666</v>
      </c>
      <c r="B667" s="2" t="s">
        <v>8030</v>
      </c>
      <c r="C667" t="s">
        <v>8031</v>
      </c>
      <c r="D667" t="s">
        <v>37</v>
      </c>
      <c r="E667" t="s">
        <v>8032</v>
      </c>
      <c r="F667" t="s">
        <v>107</v>
      </c>
      <c r="G667" t="s">
        <v>8033</v>
      </c>
      <c r="H667" t="s">
        <v>8034</v>
      </c>
      <c r="I667" t="s">
        <v>8034</v>
      </c>
      <c r="J667" t="s">
        <v>8035</v>
      </c>
      <c r="K667" t="s">
        <v>8036</v>
      </c>
      <c r="L667">
        <v>750083</v>
      </c>
      <c r="M667">
        <v>1391000</v>
      </c>
      <c r="N667" t="s">
        <v>8037</v>
      </c>
      <c r="O667" t="s">
        <v>68</v>
      </c>
      <c r="P667" t="s">
        <v>8038</v>
      </c>
      <c r="Q667" t="s">
        <v>8039</v>
      </c>
      <c r="R667" t="s">
        <v>47</v>
      </c>
      <c r="S667" t="s">
        <v>48</v>
      </c>
      <c r="T667" t="s">
        <v>67</v>
      </c>
      <c r="U667" t="s">
        <v>335</v>
      </c>
      <c r="V667">
        <v>44001</v>
      </c>
      <c r="W667" t="s">
        <v>8040</v>
      </c>
      <c r="X667" t="s">
        <v>8041</v>
      </c>
      <c r="Y667" t="s">
        <v>8042</v>
      </c>
      <c r="Z667">
        <v>4</v>
      </c>
      <c r="AA667" t="s">
        <v>3923</v>
      </c>
      <c r="AB667" t="s">
        <v>8043</v>
      </c>
      <c r="AC667" t="s">
        <v>8044</v>
      </c>
      <c r="AD667" t="s">
        <v>880</v>
      </c>
      <c r="AE667">
        <v>834600</v>
      </c>
      <c r="AF667">
        <v>25873</v>
      </c>
      <c r="AJ667" t="str">
        <f>_xlfn.XLOOKUP(Table9[[#This Row],[Engine No.]],'[1]Dubai Islamic Consumer'!$Q$3:$Q$1176,'[1]Dubai Islamic Consumer'!$B$3:$B$1176,,,)</f>
        <v>KHI/HO/D/MO/PC COMP/C/93577/7/07/2024</v>
      </c>
    </row>
    <row r="668" spans="1:36" x14ac:dyDescent="0.25">
      <c r="A668">
        <v>667</v>
      </c>
      <c r="B668" s="2" t="s">
        <v>8030</v>
      </c>
      <c r="C668" t="s">
        <v>8045</v>
      </c>
      <c r="D668" t="s">
        <v>37</v>
      </c>
      <c r="E668" t="s">
        <v>8046</v>
      </c>
      <c r="F668" t="s">
        <v>39</v>
      </c>
      <c r="G668" t="s">
        <v>8047</v>
      </c>
      <c r="H668" t="s">
        <v>48</v>
      </c>
      <c r="I668" t="s">
        <v>8048</v>
      </c>
      <c r="J668" t="s">
        <v>48</v>
      </c>
      <c r="K668" t="s">
        <v>8049</v>
      </c>
      <c r="L668">
        <v>520541</v>
      </c>
      <c r="M668">
        <v>899000</v>
      </c>
      <c r="N668" t="s">
        <v>8050</v>
      </c>
      <c r="O668" t="s">
        <v>8051</v>
      </c>
      <c r="P668" t="s">
        <v>8052</v>
      </c>
      <c r="Q668" t="s">
        <v>8053</v>
      </c>
      <c r="R668" t="s">
        <v>47</v>
      </c>
      <c r="S668" t="s">
        <v>48</v>
      </c>
      <c r="T668" t="s">
        <v>8054</v>
      </c>
      <c r="U668" t="s">
        <v>335</v>
      </c>
      <c r="V668">
        <v>43998</v>
      </c>
      <c r="W668" t="s">
        <v>8040</v>
      </c>
      <c r="X668" t="s">
        <v>8041</v>
      </c>
      <c r="Y668" t="s">
        <v>8055</v>
      </c>
      <c r="Z668">
        <v>4</v>
      </c>
      <c r="AA668" t="s">
        <v>55</v>
      </c>
      <c r="AB668" t="s">
        <v>8056</v>
      </c>
      <c r="AC668" t="s">
        <v>8057</v>
      </c>
      <c r="AD668" t="s">
        <v>880</v>
      </c>
      <c r="AE668">
        <v>539400</v>
      </c>
      <c r="AF668">
        <v>16721</v>
      </c>
      <c r="AJ668" t="str">
        <f>_xlfn.XLOOKUP(Table9[[#This Row],[Engine No.]],'[1]Dubai Islamic Consumer'!$Q$3:$Q$1176,'[1]Dubai Islamic Consumer'!$B$3:$B$1176,,,)</f>
        <v>KHI/HO/D/MO/PC COMP/C/93577/8/07/2024</v>
      </c>
    </row>
    <row r="669" spans="1:36" x14ac:dyDescent="0.25">
      <c r="A669">
        <v>668</v>
      </c>
      <c r="B669" s="2" t="s">
        <v>8030</v>
      </c>
      <c r="C669" t="s">
        <v>8058</v>
      </c>
      <c r="D669" t="s">
        <v>37</v>
      </c>
      <c r="E669" t="s">
        <v>8059</v>
      </c>
      <c r="F669" t="s">
        <v>107</v>
      </c>
      <c r="G669" t="s">
        <v>8060</v>
      </c>
      <c r="H669" t="s">
        <v>8061</v>
      </c>
      <c r="I669" t="s">
        <v>8061</v>
      </c>
      <c r="J669" t="s">
        <v>8061</v>
      </c>
      <c r="K669" t="s">
        <v>8062</v>
      </c>
      <c r="L669">
        <v>1508686</v>
      </c>
      <c r="M669">
        <v>3283000</v>
      </c>
      <c r="N669" t="s">
        <v>8063</v>
      </c>
      <c r="O669" s="1">
        <v>45586</v>
      </c>
      <c r="P669" t="s">
        <v>8064</v>
      </c>
      <c r="Q669" t="s">
        <v>8065</v>
      </c>
      <c r="R669" t="s">
        <v>47</v>
      </c>
      <c r="S669" t="s">
        <v>48</v>
      </c>
      <c r="T669" t="s">
        <v>650</v>
      </c>
      <c r="U669" t="s">
        <v>50</v>
      </c>
      <c r="V669" t="s">
        <v>4367</v>
      </c>
      <c r="W669" t="s">
        <v>287</v>
      </c>
      <c r="X669" t="s">
        <v>3610</v>
      </c>
      <c r="Y669" t="s">
        <v>8066</v>
      </c>
      <c r="Z669">
        <v>5</v>
      </c>
      <c r="AA669" t="s">
        <v>118</v>
      </c>
      <c r="AB669" t="s">
        <v>8067</v>
      </c>
      <c r="AC669" t="s">
        <v>8068</v>
      </c>
      <c r="AD669" t="s">
        <v>58</v>
      </c>
      <c r="AE669">
        <v>2626400</v>
      </c>
      <c r="AF669">
        <v>52528</v>
      </c>
      <c r="AJ669" t="str">
        <f>_xlfn.XLOOKUP(Table9[[#This Row],[Engine No.]],'[1]Dubai Islamic Consumer'!$Q$3:$Q$1176,'[1]Dubai Islamic Consumer'!$B$3:$B$1176,,,)</f>
        <v>KHI/HO/D/MO/PC COMP/C/99821/332/10/2024</v>
      </c>
    </row>
    <row r="670" spans="1:36" x14ac:dyDescent="0.25">
      <c r="A670">
        <v>669</v>
      </c>
      <c r="B670" s="2" t="s">
        <v>8030</v>
      </c>
      <c r="C670" t="s">
        <v>8069</v>
      </c>
      <c r="D670" t="s">
        <v>37</v>
      </c>
      <c r="E670" t="s">
        <v>8070</v>
      </c>
      <c r="F670" t="s">
        <v>245</v>
      </c>
      <c r="G670" t="s">
        <v>8071</v>
      </c>
      <c r="H670">
        <v>3228585196</v>
      </c>
      <c r="J670">
        <v>0</v>
      </c>
      <c r="K670" t="s">
        <v>8072</v>
      </c>
      <c r="L670">
        <v>2446500</v>
      </c>
      <c r="M670">
        <v>3495000</v>
      </c>
      <c r="N670" t="s">
        <v>8073</v>
      </c>
      <c r="O670" s="1">
        <v>45657</v>
      </c>
      <c r="P670">
        <v>4803418</v>
      </c>
      <c r="Q670" t="s">
        <v>8074</v>
      </c>
      <c r="R670" t="s">
        <v>47</v>
      </c>
      <c r="S670" t="s">
        <v>48</v>
      </c>
      <c r="T670" t="s">
        <v>2599</v>
      </c>
      <c r="U670">
        <v>2021</v>
      </c>
      <c r="V670" s="1">
        <v>44135</v>
      </c>
      <c r="W670" t="s">
        <v>8075</v>
      </c>
      <c r="X670" t="s">
        <v>8076</v>
      </c>
      <c r="Y670" t="s">
        <v>8077</v>
      </c>
      <c r="Z670">
        <v>5</v>
      </c>
      <c r="AA670" t="s">
        <v>55</v>
      </c>
      <c r="AB670" t="s">
        <v>8078</v>
      </c>
      <c r="AC670" s="1">
        <v>44202</v>
      </c>
      <c r="AD670" t="s">
        <v>58</v>
      </c>
      <c r="AE670">
        <v>2796000</v>
      </c>
      <c r="AF670">
        <v>55920</v>
      </c>
      <c r="AJ670" t="e">
        <f>_xlfn.XLOOKUP(Table9[[#This Row],[Engine No.]],'[1]Dubai Islamic Consumer'!$Q$3:$Q$1176,'[1]Dubai Islamic Consumer'!$B$3:$B$1176,,,)</f>
        <v>#N/A</v>
      </c>
    </row>
    <row r="671" spans="1:36" x14ac:dyDescent="0.25">
      <c r="A671">
        <v>670</v>
      </c>
      <c r="B671" s="2" t="s">
        <v>8030</v>
      </c>
      <c r="C671" t="s">
        <v>8079</v>
      </c>
      <c r="D671" t="s">
        <v>37</v>
      </c>
      <c r="E671" t="s">
        <v>8080</v>
      </c>
      <c r="F671" t="s">
        <v>525</v>
      </c>
      <c r="G671" t="s">
        <v>8081</v>
      </c>
      <c r="H671" t="s">
        <v>8082</v>
      </c>
      <c r="I671" t="s">
        <v>8082</v>
      </c>
      <c r="J671" t="s">
        <v>141</v>
      </c>
      <c r="K671" t="s">
        <v>8083</v>
      </c>
      <c r="L671">
        <v>1040000</v>
      </c>
      <c r="M671">
        <v>1600000</v>
      </c>
      <c r="N671" t="s">
        <v>8084</v>
      </c>
      <c r="O671" s="1">
        <v>45656</v>
      </c>
      <c r="P671" t="s">
        <v>8085</v>
      </c>
      <c r="Q671" t="s">
        <v>8086</v>
      </c>
      <c r="R671" t="s">
        <v>146</v>
      </c>
      <c r="S671" t="s">
        <v>8087</v>
      </c>
      <c r="T671" t="s">
        <v>2113</v>
      </c>
      <c r="U671" t="s">
        <v>903</v>
      </c>
      <c r="V671" s="1">
        <v>43830</v>
      </c>
      <c r="W671" t="s">
        <v>8088</v>
      </c>
      <c r="X671" t="s">
        <v>7530</v>
      </c>
      <c r="Y671" t="s">
        <v>8089</v>
      </c>
      <c r="Z671">
        <v>5</v>
      </c>
      <c r="AA671" t="s">
        <v>118</v>
      </c>
      <c r="AB671" t="s">
        <v>8090</v>
      </c>
      <c r="AC671" t="s">
        <v>8091</v>
      </c>
      <c r="AD671" t="s">
        <v>171</v>
      </c>
      <c r="AE671">
        <v>1200000</v>
      </c>
      <c r="AF671">
        <v>30000</v>
      </c>
      <c r="AJ671" t="str">
        <f>_xlfn.XLOOKUP(Table9[[#This Row],[Engine No.]],'[1]Dubai Islamic Consumer'!$Q$3:$Q$1176,'[1]Dubai Islamic Consumer'!$B$3:$B$1176,,,)</f>
        <v>KHI/HO/D/MO/PC COMP/C/103702/13/12/2024</v>
      </c>
    </row>
    <row r="672" spans="1:36" x14ac:dyDescent="0.25">
      <c r="A672">
        <v>671</v>
      </c>
      <c r="B672" s="2" t="s">
        <v>8030</v>
      </c>
      <c r="C672" t="s">
        <v>8092</v>
      </c>
      <c r="D672" t="s">
        <v>37</v>
      </c>
      <c r="E672" t="s">
        <v>8093</v>
      </c>
      <c r="F672" t="s">
        <v>8094</v>
      </c>
      <c r="G672" t="s">
        <v>8095</v>
      </c>
      <c r="H672" t="s">
        <v>48</v>
      </c>
      <c r="I672" t="s">
        <v>8096</v>
      </c>
      <c r="J672" t="s">
        <v>48</v>
      </c>
      <c r="K672" t="s">
        <v>8097</v>
      </c>
      <c r="L672">
        <v>1540000</v>
      </c>
      <c r="M672">
        <v>2200000</v>
      </c>
      <c r="N672" t="s">
        <v>8098</v>
      </c>
      <c r="O672" s="1">
        <v>45656</v>
      </c>
      <c r="P672" t="s">
        <v>8099</v>
      </c>
      <c r="Q672" t="s">
        <v>8100</v>
      </c>
      <c r="R672" t="s">
        <v>146</v>
      </c>
      <c r="S672" t="s">
        <v>8101</v>
      </c>
      <c r="T672" t="s">
        <v>1289</v>
      </c>
      <c r="U672" t="s">
        <v>496</v>
      </c>
      <c r="V672" s="1">
        <v>44561</v>
      </c>
      <c r="W672" t="s">
        <v>8102</v>
      </c>
      <c r="X672" t="s">
        <v>8103</v>
      </c>
      <c r="Y672" t="s">
        <v>8104</v>
      </c>
      <c r="Z672">
        <v>5</v>
      </c>
      <c r="AA672" t="s">
        <v>118</v>
      </c>
      <c r="AB672" t="s">
        <v>8105</v>
      </c>
      <c r="AC672" t="s">
        <v>8106</v>
      </c>
      <c r="AD672" t="s">
        <v>299</v>
      </c>
      <c r="AE672">
        <v>1870000</v>
      </c>
      <c r="AF672">
        <v>28050</v>
      </c>
      <c r="AJ672" t="str">
        <f>_xlfn.XLOOKUP(Table9[[#This Row],[Engine No.]],'[1]Dubai Islamic Consumer'!$Q$3:$Q$1176,'[1]Dubai Islamic Consumer'!$B$3:$B$1176,,,)</f>
        <v>KHI/HO/D/MO/PC COMP/C/103702/14/12/2024</v>
      </c>
    </row>
    <row r="673" spans="1:36" x14ac:dyDescent="0.25">
      <c r="A673">
        <v>672</v>
      </c>
      <c r="B673" s="2" t="s">
        <v>8030</v>
      </c>
      <c r="C673" t="s">
        <v>8107</v>
      </c>
      <c r="D673" t="s">
        <v>37</v>
      </c>
      <c r="E673" t="s">
        <v>5708</v>
      </c>
      <c r="F673" t="s">
        <v>245</v>
      </c>
      <c r="G673" t="s">
        <v>8108</v>
      </c>
      <c r="H673" t="s">
        <v>48</v>
      </c>
      <c r="I673" t="s">
        <v>8109</v>
      </c>
      <c r="J673" t="s">
        <v>48</v>
      </c>
      <c r="K673" t="s">
        <v>8110</v>
      </c>
      <c r="L673">
        <v>2674400</v>
      </c>
      <c r="M673">
        <v>3343000</v>
      </c>
      <c r="N673" t="s">
        <v>8111</v>
      </c>
      <c r="O673" s="1">
        <v>45656</v>
      </c>
      <c r="P673" t="s">
        <v>8112</v>
      </c>
      <c r="Q673" t="s">
        <v>8113</v>
      </c>
      <c r="R673" t="s">
        <v>47</v>
      </c>
      <c r="S673" t="s">
        <v>48</v>
      </c>
      <c r="T673" t="s">
        <v>1189</v>
      </c>
      <c r="U673" t="s">
        <v>98</v>
      </c>
      <c r="V673" s="1">
        <v>44196</v>
      </c>
      <c r="W673" t="s">
        <v>8114</v>
      </c>
      <c r="X673" t="s">
        <v>8115</v>
      </c>
      <c r="Y673" t="s">
        <v>8116</v>
      </c>
      <c r="Z673">
        <v>5</v>
      </c>
      <c r="AA673" t="s">
        <v>227</v>
      </c>
      <c r="AB673" t="s">
        <v>8117</v>
      </c>
      <c r="AC673" t="s">
        <v>1029</v>
      </c>
      <c r="AD673" t="s">
        <v>58</v>
      </c>
      <c r="AE673">
        <v>2674400</v>
      </c>
      <c r="AF673">
        <v>53488</v>
      </c>
      <c r="AJ673" t="str">
        <f>_xlfn.XLOOKUP(Table9[[#This Row],[Engine No.]],'[1]Dubai Islamic Consumer'!$Q$3:$Q$1176,'[1]Dubai Islamic Consumer'!$B$3:$B$1176,,,)</f>
        <v>KHI/HO/D/MO/PC COMP/C/103702/15/12/2024</v>
      </c>
    </row>
    <row r="674" spans="1:36" x14ac:dyDescent="0.25">
      <c r="A674">
        <v>673</v>
      </c>
      <c r="B674" s="2" t="s">
        <v>8030</v>
      </c>
      <c r="C674" t="s">
        <v>8118</v>
      </c>
      <c r="D674" t="s">
        <v>37</v>
      </c>
      <c r="E674" t="s">
        <v>8119</v>
      </c>
      <c r="F674" t="s">
        <v>39</v>
      </c>
      <c r="G674" t="s">
        <v>8120</v>
      </c>
      <c r="H674" t="s">
        <v>8121</v>
      </c>
      <c r="I674" t="s">
        <v>8122</v>
      </c>
      <c r="J674" t="s">
        <v>8121</v>
      </c>
      <c r="K674" t="s">
        <v>8123</v>
      </c>
      <c r="L674">
        <v>1330000</v>
      </c>
      <c r="M674">
        <v>1900000</v>
      </c>
      <c r="N674" t="s">
        <v>8124</v>
      </c>
      <c r="O674" s="1">
        <v>45656</v>
      </c>
      <c r="P674" t="s">
        <v>8125</v>
      </c>
      <c r="Q674" t="s">
        <v>8126</v>
      </c>
      <c r="R674" t="s">
        <v>146</v>
      </c>
      <c r="S674" t="s">
        <v>8127</v>
      </c>
      <c r="T674" t="s">
        <v>1323</v>
      </c>
      <c r="U674" t="s">
        <v>496</v>
      </c>
      <c r="V674" s="1">
        <v>44926</v>
      </c>
      <c r="W674" t="s">
        <v>8128</v>
      </c>
      <c r="X674" t="s">
        <v>8129</v>
      </c>
      <c r="Y674" t="s">
        <v>8130</v>
      </c>
      <c r="Z674">
        <v>5</v>
      </c>
      <c r="AA674" t="s">
        <v>152</v>
      </c>
      <c r="AB674" t="s">
        <v>8131</v>
      </c>
      <c r="AC674" t="s">
        <v>8132</v>
      </c>
      <c r="AD674" t="s">
        <v>86</v>
      </c>
      <c r="AE674">
        <v>1710000</v>
      </c>
      <c r="AF674">
        <v>29925</v>
      </c>
      <c r="AJ674" t="str">
        <f>_xlfn.XLOOKUP(Table9[[#This Row],[Engine No.]],'[1]Dubai Islamic Consumer'!$Q$3:$Q$1176,'[1]Dubai Islamic Consumer'!$B$3:$B$1176,,,)</f>
        <v>KHI/HO/D/MO/PC COMP/C/103702/16/12/2024</v>
      </c>
    </row>
    <row r="675" spans="1:36" x14ac:dyDescent="0.25">
      <c r="A675">
        <v>674</v>
      </c>
      <c r="B675" s="2" t="s">
        <v>8030</v>
      </c>
      <c r="C675" t="s">
        <v>8133</v>
      </c>
      <c r="D675" t="s">
        <v>37</v>
      </c>
      <c r="E675" t="s">
        <v>8134</v>
      </c>
      <c r="F675" t="s">
        <v>39</v>
      </c>
      <c r="G675" t="s">
        <v>8135</v>
      </c>
      <c r="H675" t="s">
        <v>8136</v>
      </c>
      <c r="I675" t="s">
        <v>8137</v>
      </c>
      <c r="J675" t="s">
        <v>8136</v>
      </c>
      <c r="K675" t="s">
        <v>8138</v>
      </c>
      <c r="L675">
        <v>1190000</v>
      </c>
      <c r="M675">
        <v>1700000</v>
      </c>
      <c r="N675" t="s">
        <v>8139</v>
      </c>
      <c r="O675" s="1">
        <v>45656</v>
      </c>
      <c r="P675" t="s">
        <v>8140</v>
      </c>
      <c r="Q675" t="s">
        <v>8141</v>
      </c>
      <c r="R675" t="s">
        <v>146</v>
      </c>
      <c r="S675" t="s">
        <v>8142</v>
      </c>
      <c r="T675" t="s">
        <v>321</v>
      </c>
      <c r="U675" t="s">
        <v>496</v>
      </c>
      <c r="V675" s="1">
        <v>44926</v>
      </c>
      <c r="W675" t="s">
        <v>8128</v>
      </c>
      <c r="X675" t="s">
        <v>8129</v>
      </c>
      <c r="Y675" t="s">
        <v>8143</v>
      </c>
      <c r="Z675">
        <v>5</v>
      </c>
      <c r="AA675" t="s">
        <v>118</v>
      </c>
      <c r="AB675" t="s">
        <v>8144</v>
      </c>
      <c r="AC675" t="s">
        <v>8132</v>
      </c>
      <c r="AD675" t="s">
        <v>86</v>
      </c>
      <c r="AE675">
        <v>1530000</v>
      </c>
      <c r="AF675">
        <v>26775</v>
      </c>
      <c r="AJ675" t="str">
        <f>_xlfn.XLOOKUP(Table9[[#This Row],[Engine No.]],'[1]Dubai Islamic Consumer'!$Q$3:$Q$1176,'[1]Dubai Islamic Consumer'!$B$3:$B$1176,,,)</f>
        <v>KHI/HO/D/MO/PC COMP/C/103702/19/12/2024</v>
      </c>
    </row>
    <row r="676" spans="1:36" x14ac:dyDescent="0.25">
      <c r="A676">
        <v>675</v>
      </c>
      <c r="B676" s="2" t="s">
        <v>8030</v>
      </c>
      <c r="C676" t="s">
        <v>8145</v>
      </c>
      <c r="D676" t="s">
        <v>37</v>
      </c>
      <c r="E676" t="s">
        <v>8146</v>
      </c>
      <c r="F676" t="s">
        <v>245</v>
      </c>
      <c r="G676" t="s">
        <v>8147</v>
      </c>
      <c r="H676" t="s">
        <v>48</v>
      </c>
      <c r="I676" t="s">
        <v>8148</v>
      </c>
      <c r="J676" t="s">
        <v>48</v>
      </c>
      <c r="K676" t="s">
        <v>8149</v>
      </c>
      <c r="L676">
        <v>3066460</v>
      </c>
      <c r="M676">
        <v>4509500</v>
      </c>
      <c r="N676" t="s">
        <v>8150</v>
      </c>
      <c r="O676" s="1">
        <v>45656</v>
      </c>
      <c r="P676" t="s">
        <v>8151</v>
      </c>
      <c r="Q676" t="s">
        <v>8152</v>
      </c>
      <c r="R676" t="s">
        <v>858</v>
      </c>
      <c r="S676" t="s">
        <v>48</v>
      </c>
      <c r="T676" t="s">
        <v>348</v>
      </c>
      <c r="U676" t="s">
        <v>148</v>
      </c>
      <c r="V676" s="1">
        <v>44926</v>
      </c>
      <c r="W676" t="s">
        <v>8128</v>
      </c>
      <c r="X676" t="s">
        <v>8153</v>
      </c>
      <c r="Y676" t="s">
        <v>8154</v>
      </c>
      <c r="Z676">
        <v>7</v>
      </c>
      <c r="AA676" t="s">
        <v>323</v>
      </c>
      <c r="AB676" t="s">
        <v>8155</v>
      </c>
      <c r="AC676" t="s">
        <v>8132</v>
      </c>
      <c r="AD676" t="s">
        <v>943</v>
      </c>
      <c r="AE676">
        <v>4058550</v>
      </c>
      <c r="AF676">
        <v>56820</v>
      </c>
      <c r="AJ676" t="str">
        <f>_xlfn.XLOOKUP(Table9[[#This Row],[Engine No.]],'[1]Dubai Islamic Consumer'!$Q$3:$Q$1176,'[1]Dubai Islamic Consumer'!$B$3:$B$1176,,,)</f>
        <v>KHI/HO/D/MO/PC COMP/C/103702/25/12/2024</v>
      </c>
    </row>
    <row r="677" spans="1:36" x14ac:dyDescent="0.25">
      <c r="A677">
        <v>676</v>
      </c>
      <c r="B677" s="2" t="s">
        <v>8030</v>
      </c>
      <c r="C677" t="s">
        <v>8156</v>
      </c>
      <c r="D677" t="s">
        <v>37</v>
      </c>
      <c r="E677" t="s">
        <v>8157</v>
      </c>
      <c r="F677" t="s">
        <v>8158</v>
      </c>
      <c r="G677" t="s">
        <v>8159</v>
      </c>
      <c r="H677" t="s">
        <v>48</v>
      </c>
      <c r="I677" t="s">
        <v>8160</v>
      </c>
      <c r="J677" t="s">
        <v>8161</v>
      </c>
      <c r="K677" t="s">
        <v>8162</v>
      </c>
      <c r="L677">
        <v>1885000</v>
      </c>
      <c r="M677">
        <v>2900000</v>
      </c>
      <c r="N677" t="s">
        <v>8163</v>
      </c>
      <c r="O677" s="1">
        <v>45656</v>
      </c>
      <c r="P677" t="s">
        <v>8164</v>
      </c>
      <c r="Q677" t="s">
        <v>8165</v>
      </c>
      <c r="R677" t="s">
        <v>146</v>
      </c>
      <c r="S677" t="s">
        <v>8166</v>
      </c>
      <c r="T677" t="s">
        <v>8167</v>
      </c>
      <c r="U677" t="s">
        <v>496</v>
      </c>
      <c r="V677" s="1">
        <v>44565</v>
      </c>
      <c r="W677" t="s">
        <v>2981</v>
      </c>
      <c r="X677" t="s">
        <v>2982</v>
      </c>
      <c r="Y677" t="s">
        <v>8168</v>
      </c>
      <c r="Z677">
        <v>5</v>
      </c>
      <c r="AA677" t="s">
        <v>118</v>
      </c>
      <c r="AB677" t="s">
        <v>8169</v>
      </c>
      <c r="AC677" t="s">
        <v>8106</v>
      </c>
      <c r="AD677" t="s">
        <v>299</v>
      </c>
      <c r="AE677">
        <v>2465000</v>
      </c>
      <c r="AF677">
        <v>36975</v>
      </c>
      <c r="AJ677" t="str">
        <f>_xlfn.XLOOKUP(Table9[[#This Row],[Engine No.]],'[1]Dubai Islamic Consumer'!$Q$3:$Q$1176,'[1]Dubai Islamic Consumer'!$B$3:$B$1176,,,)</f>
        <v>KHI/HO/D/MO/PC COMP/C/103702/29/12/2024</v>
      </c>
    </row>
    <row r="678" spans="1:36" x14ac:dyDescent="0.25">
      <c r="A678">
        <v>677</v>
      </c>
      <c r="B678" s="2" t="s">
        <v>8030</v>
      </c>
      <c r="C678" t="s">
        <v>8170</v>
      </c>
      <c r="D678" t="s">
        <v>37</v>
      </c>
      <c r="E678" t="s">
        <v>8171</v>
      </c>
      <c r="F678" t="s">
        <v>138</v>
      </c>
      <c r="G678" t="s">
        <v>8172</v>
      </c>
      <c r="H678" t="s">
        <v>8173</v>
      </c>
      <c r="I678" t="s">
        <v>8174</v>
      </c>
      <c r="J678" t="s">
        <v>141</v>
      </c>
      <c r="K678" t="s">
        <v>8175</v>
      </c>
      <c r="L678">
        <v>1237500</v>
      </c>
      <c r="M678">
        <v>1650000</v>
      </c>
      <c r="N678" t="s">
        <v>8176</v>
      </c>
      <c r="O678" s="1">
        <v>45656</v>
      </c>
      <c r="P678" t="s">
        <v>8177</v>
      </c>
      <c r="Q678" t="s">
        <v>8178</v>
      </c>
      <c r="R678" t="s">
        <v>1215</v>
      </c>
      <c r="S678" t="s">
        <v>8179</v>
      </c>
      <c r="T678" t="s">
        <v>8180</v>
      </c>
      <c r="U678" t="s">
        <v>651</v>
      </c>
      <c r="V678" s="1">
        <v>44196</v>
      </c>
      <c r="W678" t="s">
        <v>8114</v>
      </c>
      <c r="X678" t="s">
        <v>8115</v>
      </c>
      <c r="Y678" t="s">
        <v>8181</v>
      </c>
      <c r="Z678">
        <v>5</v>
      </c>
      <c r="AA678" t="s">
        <v>227</v>
      </c>
      <c r="AB678" t="s">
        <v>8182</v>
      </c>
      <c r="AC678" t="s">
        <v>1029</v>
      </c>
      <c r="AD678" t="s">
        <v>58</v>
      </c>
      <c r="AE678">
        <v>1320000</v>
      </c>
      <c r="AF678">
        <v>26400</v>
      </c>
      <c r="AJ678" t="str">
        <f>_xlfn.XLOOKUP(Table9[[#This Row],[Engine No.]],'[1]Dubai Islamic Consumer'!$Q$3:$Q$1176,'[1]Dubai Islamic Consumer'!$B$3:$B$1176,,,)</f>
        <v>KHI/HO/D/MO/PC COMP/C/103702/31/12/2024</v>
      </c>
    </row>
    <row r="679" spans="1:36" x14ac:dyDescent="0.25">
      <c r="A679">
        <v>678</v>
      </c>
      <c r="B679" s="2" t="s">
        <v>8030</v>
      </c>
      <c r="C679" t="s">
        <v>8183</v>
      </c>
      <c r="D679" t="s">
        <v>37</v>
      </c>
      <c r="E679" t="s">
        <v>8184</v>
      </c>
      <c r="F679" t="s">
        <v>138</v>
      </c>
      <c r="G679" t="s">
        <v>8185</v>
      </c>
      <c r="H679" t="s">
        <v>8186</v>
      </c>
      <c r="I679" t="s">
        <v>8186</v>
      </c>
      <c r="J679" t="s">
        <v>8186</v>
      </c>
      <c r="K679" t="s">
        <v>8187</v>
      </c>
      <c r="L679">
        <v>896000</v>
      </c>
      <c r="M679">
        <v>1280000</v>
      </c>
      <c r="N679" t="s">
        <v>8188</v>
      </c>
      <c r="O679" s="1">
        <v>45656</v>
      </c>
      <c r="P679" t="s">
        <v>8189</v>
      </c>
      <c r="Q679" t="s">
        <v>8190</v>
      </c>
      <c r="R679" t="s">
        <v>146</v>
      </c>
      <c r="S679" t="s">
        <v>8191</v>
      </c>
      <c r="T679" t="s">
        <v>8192</v>
      </c>
      <c r="U679" t="s">
        <v>335</v>
      </c>
      <c r="V679" s="1">
        <v>44561</v>
      </c>
      <c r="W679" t="s">
        <v>8102</v>
      </c>
      <c r="X679" t="s">
        <v>8103</v>
      </c>
      <c r="Y679" t="s">
        <v>8193</v>
      </c>
      <c r="Z679">
        <v>5</v>
      </c>
      <c r="AA679" t="s">
        <v>55</v>
      </c>
      <c r="AB679" t="s">
        <v>8194</v>
      </c>
      <c r="AC679" t="s">
        <v>8106</v>
      </c>
      <c r="AD679" t="s">
        <v>299</v>
      </c>
      <c r="AE679">
        <v>1088000</v>
      </c>
      <c r="AF679">
        <v>16320</v>
      </c>
      <c r="AJ679" t="str">
        <f>_xlfn.XLOOKUP(Table9[[#This Row],[Engine No.]],'[1]Dubai Islamic Consumer'!$Q$3:$Q$1176,'[1]Dubai Islamic Consumer'!$B$3:$B$1176,,,)</f>
        <v>KHI/HO/D/MO/PC COMP/C/103702/32/12/2024</v>
      </c>
    </row>
    <row r="680" spans="1:36" x14ac:dyDescent="0.25">
      <c r="A680">
        <v>679</v>
      </c>
      <c r="B680" s="2" t="s">
        <v>8030</v>
      </c>
      <c r="C680" t="s">
        <v>8195</v>
      </c>
      <c r="D680" t="s">
        <v>37</v>
      </c>
      <c r="E680" t="s">
        <v>8196</v>
      </c>
      <c r="F680" t="s">
        <v>39</v>
      </c>
      <c r="G680" t="s">
        <v>8197</v>
      </c>
      <c r="H680" t="s">
        <v>8198</v>
      </c>
      <c r="I680" t="s">
        <v>8199</v>
      </c>
      <c r="J680" t="s">
        <v>8198</v>
      </c>
      <c r="K680" t="s">
        <v>8200</v>
      </c>
      <c r="L680">
        <v>2454010</v>
      </c>
      <c r="M680">
        <v>5707000</v>
      </c>
      <c r="N680" t="s">
        <v>8201</v>
      </c>
      <c r="O680" s="1">
        <v>45656</v>
      </c>
      <c r="P680" t="s">
        <v>8202</v>
      </c>
      <c r="Q680" t="s">
        <v>8203</v>
      </c>
      <c r="R680" t="s">
        <v>47</v>
      </c>
      <c r="S680" t="s">
        <v>48</v>
      </c>
      <c r="T680" t="s">
        <v>8204</v>
      </c>
      <c r="U680" t="s">
        <v>148</v>
      </c>
      <c r="V680" s="1">
        <v>44926</v>
      </c>
      <c r="W680" t="s">
        <v>8128</v>
      </c>
      <c r="X680" t="s">
        <v>8115</v>
      </c>
      <c r="Y680" t="s">
        <v>8205</v>
      </c>
      <c r="Z680">
        <v>3</v>
      </c>
      <c r="AA680" t="s">
        <v>118</v>
      </c>
      <c r="AB680" t="s">
        <v>8206</v>
      </c>
      <c r="AC680" t="s">
        <v>8132</v>
      </c>
      <c r="AD680" t="s">
        <v>86</v>
      </c>
      <c r="AE680">
        <v>5136300</v>
      </c>
      <c r="AF680">
        <v>89885</v>
      </c>
      <c r="AJ680" t="str">
        <f>_xlfn.XLOOKUP(Table9[[#This Row],[Engine No.]],'[1]Dubai Islamic Consumer'!$Q$3:$Q$1176,'[1]Dubai Islamic Consumer'!$B$3:$B$1176,,,)</f>
        <v>KHI/HO/D/MO/PC COMP/C/103702/34/12/2024</v>
      </c>
    </row>
    <row r="681" spans="1:36" x14ac:dyDescent="0.25">
      <c r="A681">
        <v>680</v>
      </c>
      <c r="B681" s="2" t="s">
        <v>8030</v>
      </c>
      <c r="C681" t="s">
        <v>8207</v>
      </c>
      <c r="D681" t="s">
        <v>37</v>
      </c>
      <c r="E681" t="s">
        <v>1642</v>
      </c>
      <c r="F681" t="s">
        <v>39</v>
      </c>
      <c r="G681" t="s">
        <v>8208</v>
      </c>
      <c r="H681" t="s">
        <v>48</v>
      </c>
      <c r="I681" t="s">
        <v>8209</v>
      </c>
      <c r="J681" t="s">
        <v>48</v>
      </c>
      <c r="K681" t="s">
        <v>8210</v>
      </c>
      <c r="L681">
        <v>1540000</v>
      </c>
      <c r="M681">
        <v>2200000</v>
      </c>
      <c r="N681" t="s">
        <v>8211</v>
      </c>
      <c r="O681" s="1">
        <v>45656</v>
      </c>
      <c r="P681" t="s">
        <v>8212</v>
      </c>
      <c r="Q681" t="s">
        <v>8213</v>
      </c>
      <c r="R681" t="s">
        <v>146</v>
      </c>
      <c r="S681" t="s">
        <v>8214</v>
      </c>
      <c r="T681" t="s">
        <v>673</v>
      </c>
      <c r="U681" t="s">
        <v>148</v>
      </c>
      <c r="V681" s="1">
        <v>44926</v>
      </c>
      <c r="W681" t="s">
        <v>8128</v>
      </c>
      <c r="X681" t="s">
        <v>8115</v>
      </c>
      <c r="Y681" t="s">
        <v>8215</v>
      </c>
      <c r="Z681">
        <v>3</v>
      </c>
      <c r="AA681" t="s">
        <v>152</v>
      </c>
      <c r="AB681" t="s">
        <v>8216</v>
      </c>
      <c r="AC681" t="s">
        <v>8132</v>
      </c>
      <c r="AD681" t="s">
        <v>86</v>
      </c>
      <c r="AE681">
        <v>1980000</v>
      </c>
      <c r="AF681">
        <v>34650</v>
      </c>
      <c r="AJ681" t="str">
        <f>_xlfn.XLOOKUP(Table9[[#This Row],[Engine No.]],'[1]Dubai Islamic Consumer'!$Q$3:$Q$1176,'[1]Dubai Islamic Consumer'!$B$3:$B$1176,,,)</f>
        <v>KHI/HO/D/MO/PC COMP/C/103702/42/12/2024</v>
      </c>
    </row>
    <row r="682" spans="1:36" x14ac:dyDescent="0.25">
      <c r="A682">
        <v>681</v>
      </c>
      <c r="B682" s="2" t="s">
        <v>8030</v>
      </c>
      <c r="C682" t="s">
        <v>8217</v>
      </c>
      <c r="D682" t="s">
        <v>37</v>
      </c>
      <c r="E682" t="s">
        <v>8218</v>
      </c>
      <c r="F682" t="s">
        <v>39</v>
      </c>
      <c r="G682" t="s">
        <v>8219</v>
      </c>
      <c r="H682" t="s">
        <v>8220</v>
      </c>
      <c r="I682" t="s">
        <v>8221</v>
      </c>
      <c r="J682" t="s">
        <v>8220</v>
      </c>
      <c r="K682" t="s">
        <v>8222</v>
      </c>
      <c r="L682">
        <v>1368000</v>
      </c>
      <c r="M682">
        <v>2400000</v>
      </c>
      <c r="N682" t="s">
        <v>8223</v>
      </c>
      <c r="O682" s="1">
        <v>45656</v>
      </c>
      <c r="P682" t="s">
        <v>8224</v>
      </c>
      <c r="Q682" t="s">
        <v>8225</v>
      </c>
      <c r="R682" t="s">
        <v>146</v>
      </c>
      <c r="S682" t="s">
        <v>8226</v>
      </c>
      <c r="T682" t="s">
        <v>1276</v>
      </c>
      <c r="U682" t="s">
        <v>148</v>
      </c>
      <c r="V682" s="1">
        <v>44926</v>
      </c>
      <c r="W682" t="s">
        <v>8128</v>
      </c>
      <c r="X682" t="s">
        <v>8129</v>
      </c>
      <c r="Y682" t="s">
        <v>8227</v>
      </c>
      <c r="Z682">
        <v>5</v>
      </c>
      <c r="AA682" t="s">
        <v>118</v>
      </c>
      <c r="AB682" t="s">
        <v>8228</v>
      </c>
      <c r="AC682" t="s">
        <v>8132</v>
      </c>
      <c r="AD682" t="s">
        <v>86</v>
      </c>
      <c r="AE682">
        <v>2160000</v>
      </c>
      <c r="AF682">
        <v>37800</v>
      </c>
      <c r="AJ682" t="str">
        <f>_xlfn.XLOOKUP(Table9[[#This Row],[Engine No.]],'[1]Dubai Islamic Consumer'!$Q$3:$Q$1176,'[1]Dubai Islamic Consumer'!$B$3:$B$1176,,,)</f>
        <v>KHI/HO/D/MO/PC COMP/C/103702/44/12/2024</v>
      </c>
    </row>
    <row r="683" spans="1:36" x14ac:dyDescent="0.25">
      <c r="A683">
        <v>682</v>
      </c>
      <c r="B683" s="2" t="s">
        <v>8030</v>
      </c>
      <c r="C683" t="s">
        <v>8229</v>
      </c>
      <c r="D683" t="s">
        <v>37</v>
      </c>
      <c r="E683" t="s">
        <v>8230</v>
      </c>
      <c r="F683" t="s">
        <v>39</v>
      </c>
      <c r="G683" t="s">
        <v>8231</v>
      </c>
      <c r="H683" t="s">
        <v>8232</v>
      </c>
      <c r="I683" t="s">
        <v>8233</v>
      </c>
      <c r="J683" t="s">
        <v>8232</v>
      </c>
      <c r="K683" t="s">
        <v>8234</v>
      </c>
      <c r="L683">
        <v>1940400</v>
      </c>
      <c r="M683">
        <v>3234000</v>
      </c>
      <c r="N683" t="s">
        <v>8235</v>
      </c>
      <c r="O683" s="1">
        <v>45656</v>
      </c>
      <c r="P683" t="s">
        <v>8236</v>
      </c>
      <c r="Q683" t="s">
        <v>8237</v>
      </c>
      <c r="R683" t="s">
        <v>47</v>
      </c>
      <c r="S683" t="s">
        <v>48</v>
      </c>
      <c r="T683" t="s">
        <v>3546</v>
      </c>
      <c r="U683" t="s">
        <v>148</v>
      </c>
      <c r="V683" s="1">
        <v>44926</v>
      </c>
      <c r="W683" t="s">
        <v>8128</v>
      </c>
      <c r="X683" t="s">
        <v>8129</v>
      </c>
      <c r="Y683" t="s">
        <v>8238</v>
      </c>
      <c r="Z683">
        <v>5</v>
      </c>
      <c r="AA683" t="s">
        <v>118</v>
      </c>
      <c r="AB683" t="s">
        <v>8239</v>
      </c>
      <c r="AC683" t="s">
        <v>8132</v>
      </c>
      <c r="AD683" t="s">
        <v>86</v>
      </c>
      <c r="AE683">
        <v>2910600</v>
      </c>
      <c r="AF683">
        <v>50936</v>
      </c>
      <c r="AJ683" t="str">
        <f>_xlfn.XLOOKUP(Table9[[#This Row],[Engine No.]],'[1]Dubai Islamic Consumer'!$Q$3:$Q$1176,'[1]Dubai Islamic Consumer'!$B$3:$B$1176,,,)</f>
        <v>KHI/HO/D/MO/PC COMP/C/103702/46/12/2024</v>
      </c>
    </row>
    <row r="684" spans="1:36" x14ac:dyDescent="0.25">
      <c r="A684">
        <v>683</v>
      </c>
      <c r="B684" s="2" t="s">
        <v>8030</v>
      </c>
      <c r="C684" t="s">
        <v>8240</v>
      </c>
      <c r="D684" t="s">
        <v>37</v>
      </c>
      <c r="E684" t="s">
        <v>8241</v>
      </c>
      <c r="F684" t="s">
        <v>39</v>
      </c>
      <c r="G684" t="s">
        <v>8242</v>
      </c>
      <c r="H684" t="s">
        <v>8243</v>
      </c>
      <c r="I684" t="s">
        <v>8244</v>
      </c>
      <c r="J684" t="s">
        <v>8245</v>
      </c>
      <c r="K684" t="s">
        <v>8246</v>
      </c>
      <c r="L684">
        <v>2000000</v>
      </c>
      <c r="M684">
        <v>4000000</v>
      </c>
      <c r="N684" t="s">
        <v>8247</v>
      </c>
      <c r="O684" s="1">
        <v>45656</v>
      </c>
      <c r="P684" t="s">
        <v>8248</v>
      </c>
      <c r="Q684" t="s">
        <v>8249</v>
      </c>
      <c r="R684" t="s">
        <v>146</v>
      </c>
      <c r="S684" t="s">
        <v>8250</v>
      </c>
      <c r="T684" t="s">
        <v>6576</v>
      </c>
      <c r="U684" t="s">
        <v>335</v>
      </c>
      <c r="V684" s="1">
        <v>44926</v>
      </c>
      <c r="W684" t="s">
        <v>8128</v>
      </c>
      <c r="X684" t="s">
        <v>8115</v>
      </c>
      <c r="Y684" t="s">
        <v>8251</v>
      </c>
      <c r="Z684">
        <v>3</v>
      </c>
      <c r="AA684" t="s">
        <v>118</v>
      </c>
      <c r="AB684" t="s">
        <v>8252</v>
      </c>
      <c r="AC684" t="s">
        <v>8132</v>
      </c>
      <c r="AD684" t="s">
        <v>86</v>
      </c>
      <c r="AE684">
        <v>3600000</v>
      </c>
      <c r="AF684">
        <v>63000</v>
      </c>
      <c r="AJ684" t="str">
        <f>_xlfn.XLOOKUP(Table9[[#This Row],[Engine No.]],'[1]Dubai Islamic Consumer'!$Q$3:$Q$1176,'[1]Dubai Islamic Consumer'!$B$3:$B$1176,,,)</f>
        <v>KHI/HO/D/MO/PC COMP/C/103702/47/12/2024</v>
      </c>
    </row>
    <row r="685" spans="1:36" x14ac:dyDescent="0.25">
      <c r="A685">
        <v>684</v>
      </c>
      <c r="B685" s="2" t="s">
        <v>8030</v>
      </c>
      <c r="C685" t="s">
        <v>8253</v>
      </c>
      <c r="D685" t="s">
        <v>37</v>
      </c>
      <c r="E685" t="s">
        <v>8254</v>
      </c>
      <c r="F685" t="s">
        <v>525</v>
      </c>
      <c r="G685" t="s">
        <v>8255</v>
      </c>
      <c r="H685" t="s">
        <v>48</v>
      </c>
      <c r="I685" t="s">
        <v>8256</v>
      </c>
      <c r="J685" t="s">
        <v>48</v>
      </c>
      <c r="K685" t="s">
        <v>8257</v>
      </c>
      <c r="L685">
        <v>1890000</v>
      </c>
      <c r="M685">
        <v>2700000</v>
      </c>
      <c r="N685" t="s">
        <v>8258</v>
      </c>
      <c r="O685" s="1">
        <v>45656</v>
      </c>
      <c r="P685" t="s">
        <v>8259</v>
      </c>
      <c r="Q685" t="s">
        <v>8260</v>
      </c>
      <c r="R685" t="s">
        <v>146</v>
      </c>
      <c r="S685" t="s">
        <v>8261</v>
      </c>
      <c r="T685" t="s">
        <v>6230</v>
      </c>
      <c r="U685" t="s">
        <v>496</v>
      </c>
      <c r="V685" s="1">
        <v>44561</v>
      </c>
      <c r="W685" t="s">
        <v>8102</v>
      </c>
      <c r="X685" t="s">
        <v>8103</v>
      </c>
      <c r="Y685" t="s">
        <v>8262</v>
      </c>
      <c r="Z685">
        <v>5</v>
      </c>
      <c r="AA685" t="s">
        <v>118</v>
      </c>
      <c r="AB685" t="s">
        <v>8263</v>
      </c>
      <c r="AC685" t="s">
        <v>8106</v>
      </c>
      <c r="AD685" t="s">
        <v>299</v>
      </c>
      <c r="AE685">
        <v>2295000</v>
      </c>
      <c r="AF685">
        <v>34425</v>
      </c>
      <c r="AJ685" t="str">
        <f>_xlfn.XLOOKUP(Table9[[#This Row],[Engine No.]],'[1]Dubai Islamic Consumer'!$Q$3:$Q$1176,'[1]Dubai Islamic Consumer'!$B$3:$B$1176,,,)</f>
        <v>KHI/HO/D/MO/PC COMP/C/103702/48/12/2024</v>
      </c>
    </row>
    <row r="686" spans="1:36" x14ac:dyDescent="0.25">
      <c r="A686">
        <v>685</v>
      </c>
      <c r="B686" s="2" t="s">
        <v>8030</v>
      </c>
      <c r="C686" t="s">
        <v>8264</v>
      </c>
      <c r="D686" t="s">
        <v>37</v>
      </c>
      <c r="E686" t="s">
        <v>6843</v>
      </c>
      <c r="F686" t="s">
        <v>107</v>
      </c>
      <c r="G686" t="s">
        <v>8265</v>
      </c>
      <c r="H686" t="s">
        <v>8266</v>
      </c>
      <c r="I686" t="s">
        <v>8267</v>
      </c>
      <c r="J686" t="s">
        <v>8268</v>
      </c>
      <c r="K686" t="s">
        <v>8269</v>
      </c>
      <c r="L686">
        <v>3928260</v>
      </c>
      <c r="M686">
        <v>5611800</v>
      </c>
      <c r="N686" t="s">
        <v>8270</v>
      </c>
      <c r="O686" s="1">
        <v>45656</v>
      </c>
      <c r="P686" t="s">
        <v>8271</v>
      </c>
      <c r="Q686" t="s">
        <v>8272</v>
      </c>
      <c r="R686" t="s">
        <v>47</v>
      </c>
      <c r="S686" t="s">
        <v>48</v>
      </c>
      <c r="T686" t="s">
        <v>577</v>
      </c>
      <c r="U686" t="s">
        <v>50</v>
      </c>
      <c r="V686" s="1">
        <v>44179</v>
      </c>
      <c r="W686" t="s">
        <v>2981</v>
      </c>
      <c r="X686" t="s">
        <v>8273</v>
      </c>
      <c r="Y686" t="s">
        <v>8274</v>
      </c>
      <c r="Z686">
        <v>3</v>
      </c>
      <c r="AA686" t="s">
        <v>55</v>
      </c>
      <c r="AB686" t="s">
        <v>8275</v>
      </c>
      <c r="AC686" t="s">
        <v>8106</v>
      </c>
      <c r="AD686" t="s">
        <v>299</v>
      </c>
      <c r="AE686">
        <v>4770030</v>
      </c>
      <c r="AF686">
        <v>71550</v>
      </c>
      <c r="AJ686" t="str">
        <f>_xlfn.XLOOKUP(Table9[[#This Row],[Engine No.]],'[1]Dubai Islamic Consumer'!$Q$3:$Q$1176,'[1]Dubai Islamic Consumer'!$B$3:$B$1176,,,)</f>
        <v>KHI/HO/D/MO/PC COMP/C/103702/49/12/2024</v>
      </c>
    </row>
    <row r="687" spans="1:36" x14ac:dyDescent="0.25">
      <c r="A687">
        <v>686</v>
      </c>
      <c r="B687" s="2" t="s">
        <v>8030</v>
      </c>
      <c r="C687" t="s">
        <v>8276</v>
      </c>
      <c r="D687" t="s">
        <v>37</v>
      </c>
      <c r="E687" t="s">
        <v>8277</v>
      </c>
      <c r="F687" t="s">
        <v>245</v>
      </c>
      <c r="G687" t="s">
        <v>8278</v>
      </c>
      <c r="H687" t="s">
        <v>8279</v>
      </c>
      <c r="I687" t="s">
        <v>48</v>
      </c>
      <c r="J687" t="s">
        <v>8280</v>
      </c>
      <c r="K687" t="s">
        <v>8281</v>
      </c>
      <c r="L687">
        <v>2762500</v>
      </c>
      <c r="M687">
        <v>4250000</v>
      </c>
      <c r="N687" t="s">
        <v>8282</v>
      </c>
      <c r="O687" s="1">
        <v>45656</v>
      </c>
      <c r="P687" t="s">
        <v>8283</v>
      </c>
      <c r="Q687" t="s">
        <v>8284</v>
      </c>
      <c r="R687" t="s">
        <v>146</v>
      </c>
      <c r="S687" t="s">
        <v>8285</v>
      </c>
      <c r="T687" t="s">
        <v>8286</v>
      </c>
      <c r="U687" t="s">
        <v>98</v>
      </c>
      <c r="V687" s="1">
        <v>44565</v>
      </c>
      <c r="W687" t="s">
        <v>2981</v>
      </c>
      <c r="X687" t="s">
        <v>2982</v>
      </c>
      <c r="Y687" t="s">
        <v>8287</v>
      </c>
      <c r="Z687">
        <v>5</v>
      </c>
      <c r="AA687" t="s">
        <v>118</v>
      </c>
      <c r="AB687" t="s">
        <v>8288</v>
      </c>
      <c r="AC687" t="s">
        <v>8106</v>
      </c>
      <c r="AD687" t="s">
        <v>299</v>
      </c>
      <c r="AE687">
        <v>3612500</v>
      </c>
      <c r="AF687">
        <v>54188</v>
      </c>
      <c r="AJ687" t="str">
        <f>_xlfn.XLOOKUP(Table9[[#This Row],[Engine No.]],'[1]Dubai Islamic Consumer'!$Q$3:$Q$1176,'[1]Dubai Islamic Consumer'!$B$3:$B$1176,,,)</f>
        <v>KHI/HO/D/MO/PC COMP/C/103702/50/12/2024</v>
      </c>
    </row>
    <row r="688" spans="1:36" x14ac:dyDescent="0.25">
      <c r="A688">
        <v>687</v>
      </c>
      <c r="B688" s="2" t="s">
        <v>8030</v>
      </c>
      <c r="C688" t="s">
        <v>8289</v>
      </c>
      <c r="D688" t="s">
        <v>37</v>
      </c>
      <c r="E688" t="s">
        <v>8290</v>
      </c>
      <c r="F688" t="s">
        <v>107</v>
      </c>
      <c r="G688" t="s">
        <v>8291</v>
      </c>
      <c r="H688" t="s">
        <v>8292</v>
      </c>
      <c r="I688" t="s">
        <v>8292</v>
      </c>
      <c r="J688" t="s">
        <v>8292</v>
      </c>
      <c r="K688" t="s">
        <v>8293</v>
      </c>
      <c r="L688">
        <v>2407200</v>
      </c>
      <c r="M688">
        <v>4012000</v>
      </c>
      <c r="N688" t="s">
        <v>8294</v>
      </c>
      <c r="O688" s="1">
        <v>45656</v>
      </c>
      <c r="P688" t="s">
        <v>8295</v>
      </c>
      <c r="Q688" t="s">
        <v>8296</v>
      </c>
      <c r="R688" t="s">
        <v>47</v>
      </c>
      <c r="S688" t="s">
        <v>8297</v>
      </c>
      <c r="T688" t="s">
        <v>1065</v>
      </c>
      <c r="U688" t="s">
        <v>50</v>
      </c>
      <c r="V688" s="1">
        <v>44449</v>
      </c>
      <c r="W688" t="s">
        <v>2981</v>
      </c>
      <c r="X688" t="s">
        <v>2982</v>
      </c>
      <c r="Y688" t="s">
        <v>8298</v>
      </c>
      <c r="Z688">
        <v>5</v>
      </c>
      <c r="AA688" t="s">
        <v>55</v>
      </c>
      <c r="AB688" t="s">
        <v>8299</v>
      </c>
      <c r="AC688" t="s">
        <v>8106</v>
      </c>
      <c r="AD688" t="s">
        <v>58</v>
      </c>
      <c r="AE688">
        <v>3410200</v>
      </c>
      <c r="AF688">
        <v>68204</v>
      </c>
      <c r="AJ688" t="str">
        <f>_xlfn.XLOOKUP(Table9[[#This Row],[Engine No.]],'[1]Dubai Islamic Consumer'!$Q$3:$Q$1176,'[1]Dubai Islamic Consumer'!$B$3:$B$1176,,,)</f>
        <v>KHI/HO/D/MO/PC COMP/C/103702/51/12/2024</v>
      </c>
    </row>
    <row r="689" spans="1:36" x14ac:dyDescent="0.25">
      <c r="A689">
        <v>688</v>
      </c>
      <c r="B689" s="2" t="s">
        <v>8030</v>
      </c>
      <c r="C689" t="s">
        <v>8300</v>
      </c>
      <c r="D689" t="s">
        <v>37</v>
      </c>
      <c r="E689" t="s">
        <v>8301</v>
      </c>
      <c r="F689" t="s">
        <v>107</v>
      </c>
      <c r="G689" t="s">
        <v>8302</v>
      </c>
      <c r="H689" t="s">
        <v>8303</v>
      </c>
      <c r="I689" t="s">
        <v>8303</v>
      </c>
      <c r="J689" t="s">
        <v>8303</v>
      </c>
      <c r="K689" t="s">
        <v>8304</v>
      </c>
      <c r="L689">
        <v>2380000</v>
      </c>
      <c r="M689">
        <v>3400000</v>
      </c>
      <c r="N689" t="s">
        <v>8305</v>
      </c>
      <c r="O689" s="1">
        <v>45656</v>
      </c>
      <c r="P689" t="s">
        <v>8306</v>
      </c>
      <c r="Q689" t="s">
        <v>8307</v>
      </c>
      <c r="R689" t="s">
        <v>146</v>
      </c>
      <c r="S689" t="s">
        <v>8308</v>
      </c>
      <c r="T689" t="s">
        <v>714</v>
      </c>
      <c r="U689" t="s">
        <v>651</v>
      </c>
      <c r="V689" s="1">
        <v>44565</v>
      </c>
      <c r="W689" t="s">
        <v>2981</v>
      </c>
      <c r="X689" t="s">
        <v>2982</v>
      </c>
      <c r="Y689" t="s">
        <v>8309</v>
      </c>
      <c r="Z689">
        <v>5</v>
      </c>
      <c r="AA689" t="s">
        <v>55</v>
      </c>
      <c r="AB689" t="s">
        <v>8310</v>
      </c>
      <c r="AC689" t="s">
        <v>8106</v>
      </c>
      <c r="AD689" t="s">
        <v>299</v>
      </c>
      <c r="AE689">
        <v>2890000</v>
      </c>
      <c r="AF689">
        <v>43350</v>
      </c>
      <c r="AJ689" t="str">
        <f>_xlfn.XLOOKUP(Table9[[#This Row],[Engine No.]],'[1]Dubai Islamic Consumer'!$Q$3:$Q$1176,'[1]Dubai Islamic Consumer'!$B$3:$B$1176,,,)</f>
        <v>KHI/HO/D/MO/PC COMP/C/103702/52/12/2024</v>
      </c>
    </row>
    <row r="690" spans="1:36" x14ac:dyDescent="0.25">
      <c r="A690">
        <v>689</v>
      </c>
      <c r="B690" s="2" t="s">
        <v>8030</v>
      </c>
      <c r="C690" t="s">
        <v>8311</v>
      </c>
      <c r="D690" t="s">
        <v>37</v>
      </c>
      <c r="E690" t="s">
        <v>2023</v>
      </c>
      <c r="F690" t="s">
        <v>525</v>
      </c>
      <c r="G690" t="s">
        <v>8312</v>
      </c>
      <c r="H690" t="s">
        <v>8313</v>
      </c>
      <c r="I690" t="s">
        <v>8313</v>
      </c>
      <c r="J690" t="s">
        <v>8313</v>
      </c>
      <c r="K690" t="s">
        <v>8314</v>
      </c>
      <c r="L690">
        <v>2100000</v>
      </c>
      <c r="M690">
        <v>3000000</v>
      </c>
      <c r="N690" t="s">
        <v>8315</v>
      </c>
      <c r="O690" s="1">
        <v>45656</v>
      </c>
      <c r="P690" t="s">
        <v>8316</v>
      </c>
      <c r="Q690" t="s">
        <v>8317</v>
      </c>
      <c r="R690" t="s">
        <v>146</v>
      </c>
      <c r="S690" t="s">
        <v>8318</v>
      </c>
      <c r="T690" t="s">
        <v>650</v>
      </c>
      <c r="U690" t="s">
        <v>335</v>
      </c>
      <c r="V690" s="1">
        <v>44561</v>
      </c>
      <c r="W690" t="s">
        <v>8102</v>
      </c>
      <c r="X690" t="s">
        <v>8103</v>
      </c>
      <c r="Y690" t="s">
        <v>8319</v>
      </c>
      <c r="Z690">
        <v>5</v>
      </c>
      <c r="AA690" t="s">
        <v>118</v>
      </c>
      <c r="AB690" t="s">
        <v>8320</v>
      </c>
      <c r="AC690" t="s">
        <v>8106</v>
      </c>
      <c r="AD690" t="s">
        <v>299</v>
      </c>
      <c r="AE690">
        <v>2550000</v>
      </c>
      <c r="AF690">
        <v>38250</v>
      </c>
      <c r="AJ690" t="str">
        <f>_xlfn.XLOOKUP(Table9[[#This Row],[Engine No.]],'[1]Dubai Islamic Consumer'!$Q$3:$Q$1176,'[1]Dubai Islamic Consumer'!$B$3:$B$1176,,,)</f>
        <v>KHI/HO/D/MO/PC COMP/C/103702/53/12/2024</v>
      </c>
    </row>
    <row r="691" spans="1:36" x14ac:dyDescent="0.25">
      <c r="A691">
        <v>690</v>
      </c>
      <c r="B691" s="2" t="s">
        <v>8030</v>
      </c>
      <c r="C691" t="s">
        <v>8321</v>
      </c>
      <c r="D691" t="s">
        <v>37</v>
      </c>
      <c r="E691" t="s">
        <v>8322</v>
      </c>
      <c r="F691" t="s">
        <v>6583</v>
      </c>
      <c r="G691" t="s">
        <v>8323</v>
      </c>
      <c r="H691" t="s">
        <v>8324</v>
      </c>
      <c r="I691" t="s">
        <v>48</v>
      </c>
      <c r="J691" t="s">
        <v>141</v>
      </c>
      <c r="K691" t="s">
        <v>8325</v>
      </c>
      <c r="L691">
        <v>2054000</v>
      </c>
      <c r="M691">
        <v>2933000</v>
      </c>
      <c r="N691" t="s">
        <v>8326</v>
      </c>
      <c r="O691" s="1">
        <v>45656</v>
      </c>
      <c r="P691" t="s">
        <v>8327</v>
      </c>
      <c r="Q691" t="s">
        <v>8328</v>
      </c>
      <c r="R691" t="s">
        <v>47</v>
      </c>
      <c r="S691" t="s">
        <v>48</v>
      </c>
      <c r="T691" t="s">
        <v>2357</v>
      </c>
      <c r="U691" t="s">
        <v>50</v>
      </c>
      <c r="V691" s="1">
        <v>44561</v>
      </c>
      <c r="W691" t="s">
        <v>8102</v>
      </c>
      <c r="X691" t="s">
        <v>8103</v>
      </c>
      <c r="Y691" t="s">
        <v>8329</v>
      </c>
      <c r="Z691">
        <v>5</v>
      </c>
      <c r="AA691" t="s">
        <v>55</v>
      </c>
      <c r="AB691" t="s">
        <v>8330</v>
      </c>
      <c r="AC691" t="s">
        <v>8106</v>
      </c>
      <c r="AD691" t="s">
        <v>58</v>
      </c>
      <c r="AE691">
        <v>2493050</v>
      </c>
      <c r="AF691">
        <v>49861</v>
      </c>
      <c r="AJ691" t="str">
        <f>_xlfn.XLOOKUP(Table9[[#This Row],[Engine No.]],'[1]Dubai Islamic Consumer'!$Q$3:$Q$1176,'[1]Dubai Islamic Consumer'!$B$3:$B$1176,,,)</f>
        <v>KHI/HO/D/MO/PC COMP/C/103702/54/12/2024</v>
      </c>
    </row>
    <row r="692" spans="1:36" x14ac:dyDescent="0.25">
      <c r="A692">
        <v>691</v>
      </c>
      <c r="B692" s="2" t="s">
        <v>8030</v>
      </c>
      <c r="C692" t="s">
        <v>8331</v>
      </c>
      <c r="D692" t="s">
        <v>37</v>
      </c>
      <c r="E692" t="s">
        <v>8332</v>
      </c>
      <c r="F692" t="s">
        <v>39</v>
      </c>
      <c r="G692" t="s">
        <v>8333</v>
      </c>
      <c r="H692" t="s">
        <v>8334</v>
      </c>
      <c r="I692" t="s">
        <v>8335</v>
      </c>
      <c r="J692" t="s">
        <v>8334</v>
      </c>
      <c r="K692" t="s">
        <v>8336</v>
      </c>
      <c r="L692">
        <v>1872000</v>
      </c>
      <c r="M692">
        <v>2880000</v>
      </c>
      <c r="N692" t="s">
        <v>8337</v>
      </c>
      <c r="O692" s="1">
        <v>45656</v>
      </c>
      <c r="P692" t="s">
        <v>8338</v>
      </c>
      <c r="Q692" t="s">
        <v>8339</v>
      </c>
      <c r="R692" t="s">
        <v>146</v>
      </c>
      <c r="S692" t="s">
        <v>8340</v>
      </c>
      <c r="T692" t="s">
        <v>8341</v>
      </c>
      <c r="U692" t="s">
        <v>50</v>
      </c>
      <c r="V692" s="1">
        <v>44565</v>
      </c>
      <c r="W692" t="s">
        <v>2981</v>
      </c>
      <c r="X692" t="s">
        <v>2982</v>
      </c>
      <c r="Y692" t="s">
        <v>8342</v>
      </c>
      <c r="Z692">
        <v>5</v>
      </c>
      <c r="AA692" t="s">
        <v>55</v>
      </c>
      <c r="AB692" t="s">
        <v>8343</v>
      </c>
      <c r="AC692" t="s">
        <v>8106</v>
      </c>
      <c r="AD692" t="s">
        <v>299</v>
      </c>
      <c r="AE692">
        <v>2448000</v>
      </c>
      <c r="AF692">
        <v>36720</v>
      </c>
      <c r="AJ692" t="str">
        <f>_xlfn.XLOOKUP(Table9[[#This Row],[Engine No.]],'[1]Dubai Islamic Consumer'!$Q$3:$Q$1176,'[1]Dubai Islamic Consumer'!$B$3:$B$1176,,,)</f>
        <v>KHI/HO/D/MO/PC COMP/C/103702/56/12/2024</v>
      </c>
    </row>
    <row r="693" spans="1:36" x14ac:dyDescent="0.25">
      <c r="A693">
        <v>692</v>
      </c>
      <c r="B693" s="2" t="s">
        <v>8030</v>
      </c>
      <c r="C693" t="s">
        <v>8344</v>
      </c>
      <c r="D693" t="s">
        <v>37</v>
      </c>
      <c r="E693" t="s">
        <v>8345</v>
      </c>
      <c r="F693" t="s">
        <v>107</v>
      </c>
      <c r="G693" t="s">
        <v>8346</v>
      </c>
      <c r="H693" t="s">
        <v>8347</v>
      </c>
      <c r="I693" t="s">
        <v>8347</v>
      </c>
      <c r="J693" t="s">
        <v>8347</v>
      </c>
      <c r="K693" t="s">
        <v>8348</v>
      </c>
      <c r="L693">
        <v>1828750</v>
      </c>
      <c r="M693">
        <v>3325000</v>
      </c>
      <c r="N693" t="s">
        <v>8349</v>
      </c>
      <c r="O693" s="1">
        <v>45656</v>
      </c>
      <c r="P693" t="s">
        <v>8350</v>
      </c>
      <c r="Q693" t="s">
        <v>8351</v>
      </c>
      <c r="R693" t="s">
        <v>146</v>
      </c>
      <c r="S693" t="s">
        <v>8352</v>
      </c>
      <c r="T693" t="s">
        <v>1065</v>
      </c>
      <c r="U693" t="s">
        <v>651</v>
      </c>
      <c r="V693" s="1">
        <v>44561</v>
      </c>
      <c r="W693" t="s">
        <v>8102</v>
      </c>
      <c r="X693" t="s">
        <v>8103</v>
      </c>
      <c r="Y693" t="s">
        <v>8353</v>
      </c>
      <c r="Z693">
        <v>5</v>
      </c>
      <c r="AA693" t="s">
        <v>55</v>
      </c>
      <c r="AB693" t="s">
        <v>8354</v>
      </c>
      <c r="AC693" t="s">
        <v>8106</v>
      </c>
      <c r="AD693" t="s">
        <v>299</v>
      </c>
      <c r="AE693">
        <v>2826250</v>
      </c>
      <c r="AF693">
        <v>42394</v>
      </c>
      <c r="AJ693" t="str">
        <f>_xlfn.XLOOKUP(Table9[[#This Row],[Engine No.]],'[1]Dubai Islamic Consumer'!$Q$3:$Q$1176,'[1]Dubai Islamic Consumer'!$B$3:$B$1176,,,)</f>
        <v>KHI/HO/D/MO/PC COMP/C/103702/57/12/2024</v>
      </c>
    </row>
    <row r="694" spans="1:36" x14ac:dyDescent="0.25">
      <c r="A694">
        <v>693</v>
      </c>
      <c r="B694" s="2" t="s">
        <v>8030</v>
      </c>
      <c r="C694" t="s">
        <v>8355</v>
      </c>
      <c r="D694" t="s">
        <v>37</v>
      </c>
      <c r="E694" t="s">
        <v>8356</v>
      </c>
      <c r="F694" t="s">
        <v>245</v>
      </c>
      <c r="G694" t="s">
        <v>8357</v>
      </c>
      <c r="H694" t="s">
        <v>48</v>
      </c>
      <c r="I694" t="s">
        <v>8358</v>
      </c>
      <c r="J694" t="s">
        <v>48</v>
      </c>
      <c r="K694" t="s">
        <v>8359</v>
      </c>
      <c r="L694">
        <v>1812300</v>
      </c>
      <c r="M694">
        <v>2589000</v>
      </c>
      <c r="N694" t="s">
        <v>8360</v>
      </c>
      <c r="O694" s="1">
        <v>45656</v>
      </c>
      <c r="P694" t="s">
        <v>8361</v>
      </c>
      <c r="Q694" t="s">
        <v>8362</v>
      </c>
      <c r="R694" t="s">
        <v>47</v>
      </c>
      <c r="S694" t="s">
        <v>48</v>
      </c>
      <c r="T694" t="s">
        <v>8363</v>
      </c>
      <c r="U694" t="s">
        <v>50</v>
      </c>
      <c r="V694" s="1">
        <v>44565</v>
      </c>
      <c r="W694" t="s">
        <v>2981</v>
      </c>
      <c r="X694" t="s">
        <v>2982</v>
      </c>
      <c r="Y694" t="s">
        <v>8364</v>
      </c>
      <c r="Z694">
        <v>5</v>
      </c>
      <c r="AA694" t="s">
        <v>118</v>
      </c>
      <c r="AB694" t="s">
        <v>8365</v>
      </c>
      <c r="AC694" t="s">
        <v>8106</v>
      </c>
      <c r="AD694" t="s">
        <v>58</v>
      </c>
      <c r="AE694">
        <v>2200650</v>
      </c>
      <c r="AF694">
        <v>44013</v>
      </c>
      <c r="AJ694" t="str">
        <f>_xlfn.XLOOKUP(Table9[[#This Row],[Engine No.]],'[1]Dubai Islamic Consumer'!$Q$3:$Q$1176,'[1]Dubai Islamic Consumer'!$B$3:$B$1176,,,)</f>
        <v>KHI/HO/D/MO/PC COMP/C/103702/58/12/2024</v>
      </c>
    </row>
    <row r="695" spans="1:36" x14ac:dyDescent="0.25">
      <c r="A695">
        <v>694</v>
      </c>
      <c r="B695" s="2" t="s">
        <v>8030</v>
      </c>
      <c r="C695" t="s">
        <v>8366</v>
      </c>
      <c r="D695" t="s">
        <v>37</v>
      </c>
      <c r="E695" t="s">
        <v>8367</v>
      </c>
      <c r="F695" t="s">
        <v>245</v>
      </c>
      <c r="G695" t="s">
        <v>8368</v>
      </c>
      <c r="H695" t="s">
        <v>8369</v>
      </c>
      <c r="I695" t="s">
        <v>48</v>
      </c>
      <c r="J695" t="s">
        <v>8369</v>
      </c>
      <c r="K695" t="s">
        <v>8370</v>
      </c>
      <c r="L695">
        <v>1987500</v>
      </c>
      <c r="M695">
        <v>2650000</v>
      </c>
      <c r="N695" t="s">
        <v>8371</v>
      </c>
      <c r="O695" s="1">
        <v>45656</v>
      </c>
      <c r="P695" t="s">
        <v>8372</v>
      </c>
      <c r="Q695" t="s">
        <v>8373</v>
      </c>
      <c r="R695" t="s">
        <v>146</v>
      </c>
      <c r="S695" t="s">
        <v>8374</v>
      </c>
      <c r="T695" t="s">
        <v>97</v>
      </c>
      <c r="U695" t="s">
        <v>903</v>
      </c>
      <c r="V695" s="1">
        <v>44196</v>
      </c>
      <c r="W695" t="s">
        <v>8114</v>
      </c>
      <c r="X695" t="s">
        <v>8115</v>
      </c>
      <c r="Y695" t="s">
        <v>8375</v>
      </c>
      <c r="Z695">
        <v>5</v>
      </c>
      <c r="AA695" t="s">
        <v>55</v>
      </c>
      <c r="AB695" t="s">
        <v>8376</v>
      </c>
      <c r="AC695" t="s">
        <v>1029</v>
      </c>
      <c r="AD695" t="s">
        <v>58</v>
      </c>
      <c r="AE695">
        <v>2120000</v>
      </c>
      <c r="AF695">
        <v>42400</v>
      </c>
      <c r="AJ695" t="str">
        <f>_xlfn.XLOOKUP(Table9[[#This Row],[Engine No.]],'[1]Dubai Islamic Consumer'!$Q$3:$Q$1176,'[1]Dubai Islamic Consumer'!$B$3:$B$1176,,,)</f>
        <v>KHI/HO/D/MO/PC COMP/C/103702/59/12/2024</v>
      </c>
    </row>
    <row r="696" spans="1:36" x14ac:dyDescent="0.25">
      <c r="A696">
        <v>695</v>
      </c>
      <c r="B696" s="2" t="s">
        <v>8030</v>
      </c>
      <c r="C696" t="s">
        <v>8377</v>
      </c>
      <c r="D696" t="s">
        <v>37</v>
      </c>
      <c r="E696" t="s">
        <v>8378</v>
      </c>
      <c r="F696" t="s">
        <v>138</v>
      </c>
      <c r="G696" t="s">
        <v>8379</v>
      </c>
      <c r="H696" t="s">
        <v>8380</v>
      </c>
      <c r="I696" t="s">
        <v>8380</v>
      </c>
      <c r="J696" t="s">
        <v>8380</v>
      </c>
      <c r="K696" t="s">
        <v>8381</v>
      </c>
      <c r="L696">
        <v>1575000</v>
      </c>
      <c r="M696">
        <v>2250000</v>
      </c>
      <c r="N696" t="s">
        <v>8382</v>
      </c>
      <c r="O696" s="1">
        <v>45656</v>
      </c>
      <c r="P696" t="s">
        <v>8383</v>
      </c>
      <c r="Q696" t="s">
        <v>8384</v>
      </c>
      <c r="R696" t="s">
        <v>146</v>
      </c>
      <c r="S696" t="s">
        <v>8385</v>
      </c>
      <c r="T696" t="s">
        <v>8386</v>
      </c>
      <c r="U696" t="s">
        <v>335</v>
      </c>
      <c r="V696" s="1">
        <v>44561</v>
      </c>
      <c r="W696" t="s">
        <v>8102</v>
      </c>
      <c r="X696" t="s">
        <v>8103</v>
      </c>
      <c r="Y696" t="s">
        <v>8387</v>
      </c>
      <c r="Z696">
        <v>5</v>
      </c>
      <c r="AA696" t="s">
        <v>55</v>
      </c>
      <c r="AB696" t="s">
        <v>8388</v>
      </c>
      <c r="AC696" t="s">
        <v>8106</v>
      </c>
      <c r="AD696" t="s">
        <v>299</v>
      </c>
      <c r="AE696">
        <v>1912500</v>
      </c>
      <c r="AF696">
        <v>28688</v>
      </c>
      <c r="AJ696" t="str">
        <f>_xlfn.XLOOKUP(Table9[[#This Row],[Engine No.]],'[1]Dubai Islamic Consumer'!$Q$3:$Q$1176,'[1]Dubai Islamic Consumer'!$B$3:$B$1176,,,)</f>
        <v>KHI/HO/D/MO/PC COMP/C/103702/61/12/2024</v>
      </c>
    </row>
    <row r="697" spans="1:36" x14ac:dyDescent="0.25">
      <c r="A697">
        <v>696</v>
      </c>
      <c r="B697" s="2" t="s">
        <v>8030</v>
      </c>
      <c r="C697" t="s">
        <v>8389</v>
      </c>
      <c r="D697" t="s">
        <v>37</v>
      </c>
      <c r="E697" t="s">
        <v>3203</v>
      </c>
      <c r="F697" t="s">
        <v>245</v>
      </c>
      <c r="G697" t="s">
        <v>8390</v>
      </c>
      <c r="H697" t="s">
        <v>8391</v>
      </c>
      <c r="I697" t="s">
        <v>48</v>
      </c>
      <c r="J697" t="s">
        <v>141</v>
      </c>
      <c r="K697" t="s">
        <v>8392</v>
      </c>
      <c r="L697">
        <v>1875000</v>
      </c>
      <c r="M697">
        <v>2500000</v>
      </c>
      <c r="N697" t="s">
        <v>8393</v>
      </c>
      <c r="O697" s="1">
        <v>45656</v>
      </c>
      <c r="P697" t="s">
        <v>8394</v>
      </c>
      <c r="Q697" t="s">
        <v>8395</v>
      </c>
      <c r="R697" t="s">
        <v>1215</v>
      </c>
      <c r="S697" t="s">
        <v>48</v>
      </c>
      <c r="T697" t="s">
        <v>4915</v>
      </c>
      <c r="U697" t="s">
        <v>335</v>
      </c>
      <c r="V697" s="1">
        <v>44196</v>
      </c>
      <c r="W697" t="s">
        <v>8114</v>
      </c>
      <c r="X697" t="s">
        <v>8115</v>
      </c>
      <c r="Y697" t="s">
        <v>8396</v>
      </c>
      <c r="Z697">
        <v>5</v>
      </c>
      <c r="AA697" t="s">
        <v>55</v>
      </c>
      <c r="AB697" t="s">
        <v>8397</v>
      </c>
      <c r="AC697" t="s">
        <v>1029</v>
      </c>
      <c r="AD697" t="s">
        <v>58</v>
      </c>
      <c r="AE697">
        <v>2000000</v>
      </c>
      <c r="AF697">
        <v>40000</v>
      </c>
      <c r="AJ697" t="str">
        <f>_xlfn.XLOOKUP(Table9[[#This Row],[Engine No.]],'[1]Dubai Islamic Consumer'!$Q$3:$Q$1176,'[1]Dubai Islamic Consumer'!$B$3:$B$1176,,,)</f>
        <v>KHI/HO/D/MO/PC COMP/C/103702/62/12/2024</v>
      </c>
    </row>
    <row r="698" spans="1:36" x14ac:dyDescent="0.25">
      <c r="A698">
        <v>697</v>
      </c>
      <c r="B698" s="2" t="s">
        <v>8030</v>
      </c>
      <c r="C698" t="s">
        <v>8398</v>
      </c>
      <c r="D698" t="s">
        <v>37</v>
      </c>
      <c r="E698" t="s">
        <v>8399</v>
      </c>
      <c r="F698" t="s">
        <v>107</v>
      </c>
      <c r="G698" t="s">
        <v>8400</v>
      </c>
      <c r="H698" t="s">
        <v>8401</v>
      </c>
      <c r="I698" t="s">
        <v>8401</v>
      </c>
      <c r="J698" t="s">
        <v>8402</v>
      </c>
      <c r="K698" t="s">
        <v>8403</v>
      </c>
      <c r="L698">
        <v>2018100</v>
      </c>
      <c r="M698">
        <v>2883000</v>
      </c>
      <c r="N698" t="s">
        <v>8404</v>
      </c>
      <c r="O698" s="1">
        <v>45656</v>
      </c>
      <c r="P698" t="s">
        <v>8405</v>
      </c>
      <c r="Q698" t="s">
        <v>8406</v>
      </c>
      <c r="R698" t="s">
        <v>47</v>
      </c>
      <c r="S698" t="s">
        <v>8407</v>
      </c>
      <c r="T698" t="s">
        <v>1141</v>
      </c>
      <c r="U698" t="s">
        <v>614</v>
      </c>
      <c r="V698" s="1">
        <v>43830</v>
      </c>
      <c r="W698" t="s">
        <v>8088</v>
      </c>
      <c r="X698" t="s">
        <v>8115</v>
      </c>
      <c r="Y698" t="s">
        <v>8408</v>
      </c>
      <c r="Z698">
        <v>6</v>
      </c>
      <c r="AA698" t="s">
        <v>227</v>
      </c>
      <c r="AB698" t="s">
        <v>8409</v>
      </c>
      <c r="AC698" t="s">
        <v>8091</v>
      </c>
      <c r="AD698" t="s">
        <v>171</v>
      </c>
      <c r="AE698">
        <v>2162250</v>
      </c>
      <c r="AF698">
        <v>54056</v>
      </c>
      <c r="AJ698" t="str">
        <f>_xlfn.XLOOKUP(Table9[[#This Row],[Engine No.]],'[1]Dubai Islamic Consumer'!$Q$3:$Q$1176,'[1]Dubai Islamic Consumer'!$B$3:$B$1176,,,)</f>
        <v>KHI/HO/D/MO/PC COMP/C/103702/65/12/2024</v>
      </c>
    </row>
    <row r="699" spans="1:36" x14ac:dyDescent="0.25">
      <c r="A699">
        <v>698</v>
      </c>
      <c r="B699" s="2" t="s">
        <v>8030</v>
      </c>
      <c r="C699" t="s">
        <v>8410</v>
      </c>
      <c r="D699" t="s">
        <v>37</v>
      </c>
      <c r="E699" t="s">
        <v>8411</v>
      </c>
      <c r="F699" t="s">
        <v>138</v>
      </c>
      <c r="G699" t="s">
        <v>8412</v>
      </c>
      <c r="H699" t="s">
        <v>48</v>
      </c>
      <c r="I699" t="s">
        <v>8413</v>
      </c>
      <c r="J699" t="s">
        <v>48</v>
      </c>
      <c r="K699" t="s">
        <v>8414</v>
      </c>
      <c r="L699">
        <v>1666500</v>
      </c>
      <c r="M699">
        <v>2525000</v>
      </c>
      <c r="N699" t="s">
        <v>8415</v>
      </c>
      <c r="O699" s="1">
        <v>45656</v>
      </c>
      <c r="P699" t="s">
        <v>8416</v>
      </c>
      <c r="Q699" t="s">
        <v>8417</v>
      </c>
      <c r="R699" t="s">
        <v>146</v>
      </c>
      <c r="S699" t="s">
        <v>8418</v>
      </c>
      <c r="T699" t="s">
        <v>1971</v>
      </c>
      <c r="U699" t="s">
        <v>496</v>
      </c>
      <c r="V699" s="1">
        <v>44196</v>
      </c>
      <c r="W699" t="s">
        <v>8114</v>
      </c>
      <c r="X699" t="s">
        <v>8115</v>
      </c>
      <c r="Y699" t="s">
        <v>8419</v>
      </c>
      <c r="Z699">
        <v>5</v>
      </c>
      <c r="AA699" t="s">
        <v>227</v>
      </c>
      <c r="AB699" t="s">
        <v>8420</v>
      </c>
      <c r="AC699" t="s">
        <v>1029</v>
      </c>
      <c r="AD699" t="s">
        <v>58</v>
      </c>
      <c r="AE699">
        <v>2020000</v>
      </c>
      <c r="AF699">
        <v>40400</v>
      </c>
      <c r="AJ699" t="str">
        <f>_xlfn.XLOOKUP(Table9[[#This Row],[Engine No.]],'[1]Dubai Islamic Consumer'!$Q$3:$Q$1176,'[1]Dubai Islamic Consumer'!$B$3:$B$1176,,,)</f>
        <v>KHI/HO/D/MO/PC COMP/C/103702/67/12/2024</v>
      </c>
    </row>
    <row r="700" spans="1:36" x14ac:dyDescent="0.25">
      <c r="A700">
        <v>699</v>
      </c>
      <c r="B700" s="2" t="s">
        <v>8030</v>
      </c>
      <c r="C700" t="s">
        <v>8421</v>
      </c>
      <c r="D700" t="s">
        <v>37</v>
      </c>
      <c r="E700" t="s">
        <v>3203</v>
      </c>
      <c r="F700" t="s">
        <v>39</v>
      </c>
      <c r="G700" t="s">
        <v>8422</v>
      </c>
      <c r="H700" t="s">
        <v>8423</v>
      </c>
      <c r="I700" t="s">
        <v>8424</v>
      </c>
      <c r="J700" t="s">
        <v>8423</v>
      </c>
      <c r="K700" t="s">
        <v>8425</v>
      </c>
      <c r="L700">
        <v>1340000</v>
      </c>
      <c r="M700">
        <v>1675000</v>
      </c>
      <c r="N700" t="s">
        <v>8426</v>
      </c>
      <c r="O700" s="1">
        <v>45656</v>
      </c>
      <c r="P700" t="s">
        <v>8427</v>
      </c>
      <c r="Q700" t="s">
        <v>8428</v>
      </c>
      <c r="R700" t="s">
        <v>146</v>
      </c>
      <c r="S700" t="s">
        <v>8429</v>
      </c>
      <c r="T700" t="s">
        <v>321</v>
      </c>
      <c r="U700" t="s">
        <v>614</v>
      </c>
      <c r="V700" s="1">
        <v>44561</v>
      </c>
      <c r="W700" t="s">
        <v>8102</v>
      </c>
      <c r="X700" t="s">
        <v>8103</v>
      </c>
      <c r="Y700" t="s">
        <v>8430</v>
      </c>
      <c r="Z700">
        <v>5</v>
      </c>
      <c r="AA700" t="s">
        <v>55</v>
      </c>
      <c r="AB700" t="s">
        <v>8431</v>
      </c>
      <c r="AC700" t="s">
        <v>8106</v>
      </c>
      <c r="AD700" t="s">
        <v>299</v>
      </c>
      <c r="AE700">
        <v>1423750</v>
      </c>
      <c r="AF700">
        <v>21356</v>
      </c>
      <c r="AJ700" t="str">
        <f>_xlfn.XLOOKUP(Table9[[#This Row],[Engine No.]],'[1]Dubai Islamic Consumer'!$Q$3:$Q$1176,'[1]Dubai Islamic Consumer'!$B$3:$B$1176,,,)</f>
        <v>KHI/HO/D/MO/PC COMP/C/103702/68/12/2024</v>
      </c>
    </row>
    <row r="701" spans="1:36" x14ac:dyDescent="0.25">
      <c r="A701">
        <v>700</v>
      </c>
      <c r="B701" s="2" t="s">
        <v>8030</v>
      </c>
      <c r="C701" t="s">
        <v>8432</v>
      </c>
      <c r="D701" t="s">
        <v>37</v>
      </c>
      <c r="E701" t="s">
        <v>8433</v>
      </c>
      <c r="F701" t="s">
        <v>39</v>
      </c>
      <c r="G701" t="s">
        <v>8434</v>
      </c>
      <c r="H701" t="s">
        <v>48</v>
      </c>
      <c r="I701" t="s">
        <v>8435</v>
      </c>
      <c r="J701" t="s">
        <v>48</v>
      </c>
      <c r="K701" t="s">
        <v>8436</v>
      </c>
      <c r="L701">
        <v>1330000</v>
      </c>
      <c r="M701">
        <v>1900000</v>
      </c>
      <c r="N701" t="s">
        <v>8437</v>
      </c>
      <c r="O701" s="1">
        <v>45656</v>
      </c>
      <c r="P701" t="s">
        <v>8438</v>
      </c>
      <c r="Q701" t="s">
        <v>8439</v>
      </c>
      <c r="R701" t="s">
        <v>146</v>
      </c>
      <c r="S701" t="s">
        <v>8440</v>
      </c>
      <c r="T701" t="s">
        <v>8441</v>
      </c>
      <c r="U701" t="s">
        <v>50</v>
      </c>
      <c r="V701" s="1">
        <v>44565</v>
      </c>
      <c r="W701" t="s">
        <v>2981</v>
      </c>
      <c r="X701" t="s">
        <v>2982</v>
      </c>
      <c r="Y701" t="s">
        <v>8442</v>
      </c>
      <c r="Z701">
        <v>5</v>
      </c>
      <c r="AA701" t="s">
        <v>55</v>
      </c>
      <c r="AB701" t="s">
        <v>8443</v>
      </c>
      <c r="AC701" t="s">
        <v>8106</v>
      </c>
      <c r="AD701" t="s">
        <v>299</v>
      </c>
      <c r="AE701">
        <v>1615000</v>
      </c>
      <c r="AF701">
        <v>24225</v>
      </c>
      <c r="AJ701" t="str">
        <f>_xlfn.XLOOKUP(Table9[[#This Row],[Engine No.]],'[1]Dubai Islamic Consumer'!$Q$3:$Q$1176,'[1]Dubai Islamic Consumer'!$B$3:$B$1176,,,)</f>
        <v>KHI/HO/D/MO/PC COMP/C/103702/70/12/2024</v>
      </c>
    </row>
    <row r="702" spans="1:36" x14ac:dyDescent="0.25">
      <c r="A702">
        <v>701</v>
      </c>
      <c r="B702" s="2" t="s">
        <v>8030</v>
      </c>
      <c r="C702" t="s">
        <v>8444</v>
      </c>
      <c r="D702" t="s">
        <v>37</v>
      </c>
      <c r="E702" t="s">
        <v>8445</v>
      </c>
      <c r="F702" t="s">
        <v>8446</v>
      </c>
      <c r="G702" t="s">
        <v>8447</v>
      </c>
      <c r="H702" t="s">
        <v>8448</v>
      </c>
      <c r="I702" t="s">
        <v>8449</v>
      </c>
      <c r="J702" t="s">
        <v>8448</v>
      </c>
      <c r="K702" t="s">
        <v>8450</v>
      </c>
      <c r="L702">
        <v>1280000</v>
      </c>
      <c r="M702">
        <v>1600000</v>
      </c>
      <c r="N702" t="s">
        <v>8451</v>
      </c>
      <c r="O702" s="1">
        <v>45656</v>
      </c>
      <c r="P702" t="s">
        <v>8452</v>
      </c>
      <c r="Q702" t="s">
        <v>8453</v>
      </c>
      <c r="R702" t="s">
        <v>146</v>
      </c>
      <c r="S702" t="s">
        <v>8454</v>
      </c>
      <c r="T702" t="s">
        <v>181</v>
      </c>
      <c r="U702" t="s">
        <v>496</v>
      </c>
      <c r="V702" s="1">
        <v>44561</v>
      </c>
      <c r="W702" t="s">
        <v>8102</v>
      </c>
      <c r="X702" t="s">
        <v>8455</v>
      </c>
      <c r="Y702" t="s">
        <v>8456</v>
      </c>
      <c r="Z702">
        <v>7</v>
      </c>
      <c r="AA702" t="s">
        <v>118</v>
      </c>
      <c r="AB702" t="s">
        <v>8457</v>
      </c>
      <c r="AC702" t="s">
        <v>8106</v>
      </c>
      <c r="AD702" t="s">
        <v>299</v>
      </c>
      <c r="AE702">
        <v>1360000</v>
      </c>
      <c r="AF702">
        <v>20400</v>
      </c>
      <c r="AJ702" t="str">
        <f>_xlfn.XLOOKUP(Table9[[#This Row],[Engine No.]],'[1]Dubai Islamic Consumer'!$Q$3:$Q$1176,'[1]Dubai Islamic Consumer'!$B$3:$B$1176,,,)</f>
        <v>KHI/HO/D/MO/PC COMP/C/103702/71/12/2024</v>
      </c>
    </row>
    <row r="703" spans="1:36" x14ac:dyDescent="0.25">
      <c r="A703">
        <v>702</v>
      </c>
      <c r="B703" s="2" t="s">
        <v>8030</v>
      </c>
      <c r="C703" t="s">
        <v>8458</v>
      </c>
      <c r="D703" t="s">
        <v>37</v>
      </c>
      <c r="E703" t="s">
        <v>8459</v>
      </c>
      <c r="F703" t="s">
        <v>245</v>
      </c>
      <c r="G703" t="s">
        <v>8460</v>
      </c>
      <c r="H703" t="s">
        <v>8461</v>
      </c>
      <c r="I703" t="s">
        <v>48</v>
      </c>
      <c r="J703" t="s">
        <v>8462</v>
      </c>
      <c r="K703" t="s">
        <v>8463</v>
      </c>
      <c r="L703">
        <v>1500000</v>
      </c>
      <c r="M703">
        <v>2000000</v>
      </c>
      <c r="N703" t="s">
        <v>8464</v>
      </c>
      <c r="O703" s="1">
        <v>45656</v>
      </c>
      <c r="P703" t="s">
        <v>8465</v>
      </c>
      <c r="Q703" t="s">
        <v>8466</v>
      </c>
      <c r="R703" t="s">
        <v>146</v>
      </c>
      <c r="S703" t="s">
        <v>8467</v>
      </c>
      <c r="T703" t="s">
        <v>6897</v>
      </c>
      <c r="U703" t="s">
        <v>903</v>
      </c>
      <c r="V703" s="1">
        <v>44196</v>
      </c>
      <c r="W703" t="s">
        <v>8114</v>
      </c>
      <c r="X703" t="s">
        <v>8103</v>
      </c>
      <c r="Y703" t="s">
        <v>8468</v>
      </c>
      <c r="Z703">
        <v>6</v>
      </c>
      <c r="AA703" t="s">
        <v>55</v>
      </c>
      <c r="AB703" t="s">
        <v>8469</v>
      </c>
      <c r="AC703" t="s">
        <v>1029</v>
      </c>
      <c r="AD703" t="s">
        <v>86</v>
      </c>
      <c r="AE703">
        <v>1600000</v>
      </c>
      <c r="AF703">
        <v>28000</v>
      </c>
      <c r="AJ703" t="str">
        <f>_xlfn.XLOOKUP(Table9[[#This Row],[Engine No.]],'[1]Dubai Islamic Consumer'!$Q$3:$Q$1176,'[1]Dubai Islamic Consumer'!$B$3:$B$1176,,,)</f>
        <v>KHI/HO/D/MO/PC COMP/C/103702/73/12/2024</v>
      </c>
    </row>
    <row r="704" spans="1:36" x14ac:dyDescent="0.25">
      <c r="A704">
        <v>703</v>
      </c>
      <c r="B704" s="2" t="s">
        <v>8030</v>
      </c>
      <c r="C704" t="s">
        <v>8470</v>
      </c>
      <c r="D704" t="s">
        <v>37</v>
      </c>
      <c r="E704" t="s">
        <v>8471</v>
      </c>
      <c r="F704" t="s">
        <v>107</v>
      </c>
      <c r="G704" t="s">
        <v>8472</v>
      </c>
      <c r="H704" t="s">
        <v>48</v>
      </c>
      <c r="I704" t="s">
        <v>8473</v>
      </c>
      <c r="J704" t="s">
        <v>48</v>
      </c>
      <c r="K704" t="s">
        <v>8474</v>
      </c>
      <c r="L704">
        <v>1275000</v>
      </c>
      <c r="M704">
        <v>1700000</v>
      </c>
      <c r="N704" t="s">
        <v>8475</v>
      </c>
      <c r="O704" s="1">
        <v>45656</v>
      </c>
      <c r="P704" t="s">
        <v>8476</v>
      </c>
      <c r="Q704" t="s">
        <v>8477</v>
      </c>
      <c r="R704" t="s">
        <v>146</v>
      </c>
      <c r="S704" t="s">
        <v>8478</v>
      </c>
      <c r="T704" t="s">
        <v>4459</v>
      </c>
      <c r="U704" t="s">
        <v>496</v>
      </c>
      <c r="V704" s="1">
        <v>44561</v>
      </c>
      <c r="W704" t="s">
        <v>8102</v>
      </c>
      <c r="X704" t="s">
        <v>8103</v>
      </c>
      <c r="Y704" t="s">
        <v>8479</v>
      </c>
      <c r="Z704">
        <v>5</v>
      </c>
      <c r="AA704" t="s">
        <v>55</v>
      </c>
      <c r="AB704" t="s">
        <v>8480</v>
      </c>
      <c r="AC704" t="s">
        <v>8106</v>
      </c>
      <c r="AD704" t="s">
        <v>299</v>
      </c>
      <c r="AE704">
        <v>1445000</v>
      </c>
      <c r="AF704">
        <v>21675</v>
      </c>
      <c r="AJ704" t="str">
        <f>_xlfn.XLOOKUP(Table9[[#This Row],[Engine No.]],'[1]Dubai Islamic Consumer'!$Q$3:$Q$1176,'[1]Dubai Islamic Consumer'!$B$3:$B$1176,,,)</f>
        <v>KHI/HO/D/MO/PC COMP/C/103702/75/12/2024</v>
      </c>
    </row>
    <row r="705" spans="1:36" x14ac:dyDescent="0.25">
      <c r="A705">
        <v>704</v>
      </c>
      <c r="B705" s="2" t="s">
        <v>8030</v>
      </c>
      <c r="C705" t="s">
        <v>8481</v>
      </c>
      <c r="D705" t="s">
        <v>37</v>
      </c>
      <c r="E705" t="s">
        <v>8482</v>
      </c>
      <c r="F705" t="s">
        <v>525</v>
      </c>
      <c r="G705" t="s">
        <v>8483</v>
      </c>
      <c r="H705" t="s">
        <v>48</v>
      </c>
      <c r="I705" t="s">
        <v>8484</v>
      </c>
      <c r="J705" t="s">
        <v>48</v>
      </c>
      <c r="K705" t="s">
        <v>8485</v>
      </c>
      <c r="L705">
        <v>1269800</v>
      </c>
      <c r="M705">
        <v>1814000</v>
      </c>
      <c r="N705" t="s">
        <v>8486</v>
      </c>
      <c r="O705" s="1">
        <v>45656</v>
      </c>
      <c r="P705" t="s">
        <v>8487</v>
      </c>
      <c r="Q705" t="s">
        <v>8488</v>
      </c>
      <c r="R705" t="s">
        <v>47</v>
      </c>
      <c r="S705" t="s">
        <v>48</v>
      </c>
      <c r="T705" t="s">
        <v>1264</v>
      </c>
      <c r="U705" t="s">
        <v>50</v>
      </c>
      <c r="V705" s="1">
        <v>44561</v>
      </c>
      <c r="W705" t="s">
        <v>8102</v>
      </c>
      <c r="X705" t="s">
        <v>8103</v>
      </c>
      <c r="Y705" t="s">
        <v>8489</v>
      </c>
      <c r="Z705">
        <v>5</v>
      </c>
      <c r="AA705" t="s">
        <v>118</v>
      </c>
      <c r="AB705" t="s">
        <v>8490</v>
      </c>
      <c r="AC705" t="s">
        <v>8106</v>
      </c>
      <c r="AD705" t="s">
        <v>58</v>
      </c>
      <c r="AE705">
        <v>1541900</v>
      </c>
      <c r="AF705">
        <v>30838</v>
      </c>
      <c r="AJ705" t="str">
        <f>_xlfn.XLOOKUP(Table9[[#This Row],[Engine No.]],'[1]Dubai Islamic Consumer'!$Q$3:$Q$1176,'[1]Dubai Islamic Consumer'!$B$3:$B$1176,,,)</f>
        <v>KHI/HO/D/MO/PC COMP/C/103702/77/12/2024</v>
      </c>
    </row>
    <row r="706" spans="1:36" x14ac:dyDescent="0.25">
      <c r="A706">
        <v>705</v>
      </c>
      <c r="B706" s="2" t="s">
        <v>8030</v>
      </c>
      <c r="C706" t="s">
        <v>8491</v>
      </c>
      <c r="D706" t="s">
        <v>37</v>
      </c>
      <c r="E706" t="s">
        <v>8492</v>
      </c>
      <c r="F706" t="s">
        <v>107</v>
      </c>
      <c r="G706" t="s">
        <v>8493</v>
      </c>
      <c r="H706" t="s">
        <v>48</v>
      </c>
      <c r="I706" t="s">
        <v>8494</v>
      </c>
      <c r="J706" t="s">
        <v>48</v>
      </c>
      <c r="K706" t="s">
        <v>8495</v>
      </c>
      <c r="L706">
        <v>1245000</v>
      </c>
      <c r="M706">
        <v>2075000</v>
      </c>
      <c r="N706" t="s">
        <v>8496</v>
      </c>
      <c r="O706" s="1">
        <v>45656</v>
      </c>
      <c r="P706" t="s">
        <v>8497</v>
      </c>
      <c r="Q706" t="s">
        <v>8498</v>
      </c>
      <c r="R706" t="s">
        <v>146</v>
      </c>
      <c r="S706" t="s">
        <v>8499</v>
      </c>
      <c r="T706" t="s">
        <v>5716</v>
      </c>
      <c r="U706" t="s">
        <v>651</v>
      </c>
      <c r="V706" s="1">
        <v>44565</v>
      </c>
      <c r="W706" t="s">
        <v>2981</v>
      </c>
      <c r="X706" t="s">
        <v>2982</v>
      </c>
      <c r="Y706" t="s">
        <v>8500</v>
      </c>
      <c r="Z706">
        <v>5</v>
      </c>
      <c r="AA706" t="s">
        <v>55</v>
      </c>
      <c r="AB706" t="s">
        <v>8501</v>
      </c>
      <c r="AC706" t="s">
        <v>8106</v>
      </c>
      <c r="AD706" t="s">
        <v>299</v>
      </c>
      <c r="AE706">
        <v>1763750</v>
      </c>
      <c r="AF706">
        <v>26456</v>
      </c>
      <c r="AJ706" t="str">
        <f>_xlfn.XLOOKUP(Table9[[#This Row],[Engine No.]],'[1]Dubai Islamic Consumer'!$Q$3:$Q$1176,'[1]Dubai Islamic Consumer'!$B$3:$B$1176,,,)</f>
        <v>KHI/HO/D/MO/PC COMP/C/103702/78/12/2024</v>
      </c>
    </row>
    <row r="707" spans="1:36" x14ac:dyDescent="0.25">
      <c r="A707">
        <v>706</v>
      </c>
      <c r="B707" s="2" t="s">
        <v>8030</v>
      </c>
      <c r="C707" t="s">
        <v>8502</v>
      </c>
      <c r="D707" t="s">
        <v>37</v>
      </c>
      <c r="E707" t="s">
        <v>8503</v>
      </c>
      <c r="F707" t="s">
        <v>39</v>
      </c>
      <c r="G707" t="s">
        <v>8504</v>
      </c>
      <c r="H707" t="s">
        <v>8505</v>
      </c>
      <c r="I707" t="s">
        <v>8506</v>
      </c>
      <c r="J707" t="s">
        <v>8507</v>
      </c>
      <c r="K707" t="s">
        <v>8508</v>
      </c>
      <c r="L707">
        <v>1237500</v>
      </c>
      <c r="M707">
        <v>1650000</v>
      </c>
      <c r="N707" t="s">
        <v>8509</v>
      </c>
      <c r="O707" s="1">
        <v>45656</v>
      </c>
      <c r="P707" t="s">
        <v>8510</v>
      </c>
      <c r="Q707" t="s">
        <v>8511</v>
      </c>
      <c r="R707" t="s">
        <v>146</v>
      </c>
      <c r="S707" t="s">
        <v>8512</v>
      </c>
      <c r="T707" t="s">
        <v>8441</v>
      </c>
      <c r="U707" t="s">
        <v>496</v>
      </c>
      <c r="V707" s="1">
        <v>44565</v>
      </c>
      <c r="W707" t="s">
        <v>2981</v>
      </c>
      <c r="X707" t="s">
        <v>2982</v>
      </c>
      <c r="Y707" t="s">
        <v>8513</v>
      </c>
      <c r="Z707">
        <v>5</v>
      </c>
      <c r="AA707" t="s">
        <v>55</v>
      </c>
      <c r="AB707" t="s">
        <v>8514</v>
      </c>
      <c r="AC707" t="s">
        <v>8106</v>
      </c>
      <c r="AD707" t="s">
        <v>299</v>
      </c>
      <c r="AE707">
        <v>1402500</v>
      </c>
      <c r="AF707">
        <v>21038</v>
      </c>
      <c r="AJ707" t="str">
        <f>_xlfn.XLOOKUP(Table9[[#This Row],[Engine No.]],'[1]Dubai Islamic Consumer'!$Q$3:$Q$1176,'[1]Dubai Islamic Consumer'!$B$3:$B$1176,,,)</f>
        <v>KHI/HO/D/MO/PC COMP/C/103702/79/12/2024</v>
      </c>
    </row>
    <row r="708" spans="1:36" x14ac:dyDescent="0.25">
      <c r="A708">
        <v>707</v>
      </c>
      <c r="B708" s="2" t="s">
        <v>8030</v>
      </c>
      <c r="C708" t="s">
        <v>8515</v>
      </c>
      <c r="D708" t="s">
        <v>37</v>
      </c>
      <c r="E708" t="s">
        <v>8516</v>
      </c>
      <c r="F708" t="s">
        <v>138</v>
      </c>
      <c r="G708" t="s">
        <v>8517</v>
      </c>
      <c r="H708" t="s">
        <v>8518</v>
      </c>
      <c r="I708" t="s">
        <v>8518</v>
      </c>
      <c r="J708" t="s">
        <v>141</v>
      </c>
      <c r="K708" t="s">
        <v>8519</v>
      </c>
      <c r="L708">
        <v>1225000</v>
      </c>
      <c r="M708">
        <v>1750000</v>
      </c>
      <c r="N708" t="s">
        <v>8520</v>
      </c>
      <c r="O708" s="1">
        <v>45656</v>
      </c>
      <c r="P708" t="s">
        <v>8521</v>
      </c>
      <c r="Q708" t="s">
        <v>8522</v>
      </c>
      <c r="R708" t="s">
        <v>146</v>
      </c>
      <c r="S708" t="s">
        <v>8523</v>
      </c>
      <c r="T708" t="s">
        <v>4014</v>
      </c>
      <c r="U708" t="s">
        <v>651</v>
      </c>
      <c r="V708" s="1">
        <v>44561</v>
      </c>
      <c r="W708" t="s">
        <v>8102</v>
      </c>
      <c r="X708" t="s">
        <v>8103</v>
      </c>
      <c r="Y708" t="s">
        <v>8524</v>
      </c>
      <c r="Z708">
        <v>5</v>
      </c>
      <c r="AA708" t="s">
        <v>118</v>
      </c>
      <c r="AB708" t="s">
        <v>8525</v>
      </c>
      <c r="AC708" t="s">
        <v>8106</v>
      </c>
      <c r="AD708" t="s">
        <v>299</v>
      </c>
      <c r="AE708">
        <v>1487500</v>
      </c>
      <c r="AF708">
        <v>22313</v>
      </c>
      <c r="AJ708" t="str">
        <f>_xlfn.XLOOKUP(Table9[[#This Row],[Engine No.]],'[1]Dubai Islamic Consumer'!$Q$3:$Q$1176,'[1]Dubai Islamic Consumer'!$B$3:$B$1176,,,)</f>
        <v>KHI/HO/D/MO/PC COMP/C/103702/80/12/2024</v>
      </c>
    </row>
    <row r="709" spans="1:36" x14ac:dyDescent="0.25">
      <c r="A709">
        <v>708</v>
      </c>
      <c r="B709" s="2" t="s">
        <v>8030</v>
      </c>
      <c r="C709" t="s">
        <v>8526</v>
      </c>
      <c r="D709" t="s">
        <v>37</v>
      </c>
      <c r="E709" t="s">
        <v>8527</v>
      </c>
      <c r="F709" t="s">
        <v>39</v>
      </c>
      <c r="G709" t="s">
        <v>8528</v>
      </c>
      <c r="H709" t="s">
        <v>8529</v>
      </c>
      <c r="I709" t="s">
        <v>8530</v>
      </c>
      <c r="J709" t="s">
        <v>8529</v>
      </c>
      <c r="K709" t="s">
        <v>8531</v>
      </c>
      <c r="L709">
        <v>1220000</v>
      </c>
      <c r="M709">
        <v>1525000</v>
      </c>
      <c r="N709" t="s">
        <v>8532</v>
      </c>
      <c r="O709" s="1">
        <v>45656</v>
      </c>
      <c r="P709" t="s">
        <v>8533</v>
      </c>
      <c r="Q709" t="s">
        <v>8534</v>
      </c>
      <c r="R709" t="s">
        <v>146</v>
      </c>
      <c r="S709" t="s">
        <v>8535</v>
      </c>
      <c r="T709" t="s">
        <v>321</v>
      </c>
      <c r="U709" t="s">
        <v>496</v>
      </c>
      <c r="V709" s="1">
        <v>44565</v>
      </c>
      <c r="W709" t="s">
        <v>2981</v>
      </c>
      <c r="X709" t="s">
        <v>2982</v>
      </c>
      <c r="Y709" t="s">
        <v>8536</v>
      </c>
      <c r="Z709">
        <v>5</v>
      </c>
      <c r="AA709" t="s">
        <v>55</v>
      </c>
      <c r="AB709" t="s">
        <v>8537</v>
      </c>
      <c r="AC709" t="s">
        <v>8106</v>
      </c>
      <c r="AD709" t="s">
        <v>299</v>
      </c>
      <c r="AE709">
        <v>1296250</v>
      </c>
      <c r="AF709">
        <v>19444</v>
      </c>
      <c r="AJ709" t="str">
        <f>_xlfn.XLOOKUP(Table9[[#This Row],[Engine No.]],'[1]Dubai Islamic Consumer'!$Q$3:$Q$1176,'[1]Dubai Islamic Consumer'!$B$3:$B$1176,,,)</f>
        <v>KHI/HO/D/MO/PC COMP/C/103702/81/12/2024</v>
      </c>
    </row>
    <row r="710" spans="1:36" x14ac:dyDescent="0.25">
      <c r="A710">
        <v>709</v>
      </c>
      <c r="B710" s="2" t="s">
        <v>8030</v>
      </c>
      <c r="C710" t="s">
        <v>8538</v>
      </c>
      <c r="D710" t="s">
        <v>37</v>
      </c>
      <c r="E710" t="s">
        <v>8539</v>
      </c>
      <c r="F710" t="s">
        <v>138</v>
      </c>
      <c r="G710" t="s">
        <v>8540</v>
      </c>
      <c r="H710" t="s">
        <v>8541</v>
      </c>
      <c r="I710" t="s">
        <v>8542</v>
      </c>
      <c r="J710" t="s">
        <v>8543</v>
      </c>
      <c r="K710" t="s">
        <v>8544</v>
      </c>
      <c r="L710">
        <v>1190000</v>
      </c>
      <c r="M710">
        <v>1700000</v>
      </c>
      <c r="N710" t="s">
        <v>8545</v>
      </c>
      <c r="O710" s="1">
        <v>45656</v>
      </c>
      <c r="P710" t="s">
        <v>8546</v>
      </c>
      <c r="Q710" t="s">
        <v>8547</v>
      </c>
      <c r="R710" t="s">
        <v>146</v>
      </c>
      <c r="S710" t="s">
        <v>8548</v>
      </c>
      <c r="T710" t="s">
        <v>8549</v>
      </c>
      <c r="U710" t="s">
        <v>651</v>
      </c>
      <c r="V710" s="1">
        <v>44561</v>
      </c>
      <c r="W710" t="s">
        <v>8102</v>
      </c>
      <c r="X710" t="s">
        <v>8103</v>
      </c>
      <c r="Y710" t="s">
        <v>8550</v>
      </c>
      <c r="Z710">
        <v>5</v>
      </c>
      <c r="AA710" t="s">
        <v>55</v>
      </c>
      <c r="AB710" t="s">
        <v>8551</v>
      </c>
      <c r="AC710" t="s">
        <v>8106</v>
      </c>
      <c r="AD710" t="s">
        <v>299</v>
      </c>
      <c r="AE710">
        <v>1445000</v>
      </c>
      <c r="AF710">
        <v>21675</v>
      </c>
      <c r="AJ710" t="str">
        <f>_xlfn.XLOOKUP(Table9[[#This Row],[Engine No.]],'[1]Dubai Islamic Consumer'!$Q$3:$Q$1176,'[1]Dubai Islamic Consumer'!$B$3:$B$1176,,,)</f>
        <v>KHI/HO/D/MO/PC COMP/C/103702/83/12/2024</v>
      </c>
    </row>
    <row r="711" spans="1:36" x14ac:dyDescent="0.25">
      <c r="A711">
        <v>710</v>
      </c>
      <c r="B711" s="2" t="s">
        <v>8030</v>
      </c>
      <c r="C711" t="s">
        <v>8552</v>
      </c>
      <c r="D711" t="s">
        <v>37</v>
      </c>
      <c r="E711" t="s">
        <v>8553</v>
      </c>
      <c r="F711" t="s">
        <v>138</v>
      </c>
      <c r="G711" t="s">
        <v>8554</v>
      </c>
      <c r="H711" t="s">
        <v>8555</v>
      </c>
      <c r="I711" t="s">
        <v>8555</v>
      </c>
      <c r="J711" t="s">
        <v>8555</v>
      </c>
      <c r="K711" t="s">
        <v>8556</v>
      </c>
      <c r="L711">
        <v>1160000</v>
      </c>
      <c r="M711">
        <v>1450000</v>
      </c>
      <c r="N711" t="s">
        <v>8557</v>
      </c>
      <c r="O711" s="1">
        <v>45656</v>
      </c>
      <c r="P711" t="s">
        <v>8558</v>
      </c>
      <c r="Q711" t="s">
        <v>8559</v>
      </c>
      <c r="R711" t="s">
        <v>146</v>
      </c>
      <c r="S711" t="s">
        <v>8560</v>
      </c>
      <c r="T711" t="s">
        <v>321</v>
      </c>
      <c r="U711" t="s">
        <v>335</v>
      </c>
      <c r="V711" s="1">
        <v>44561</v>
      </c>
      <c r="W711" t="s">
        <v>8102</v>
      </c>
      <c r="X711" t="s">
        <v>8455</v>
      </c>
      <c r="Y711" t="s">
        <v>8561</v>
      </c>
      <c r="Z711">
        <v>7</v>
      </c>
      <c r="AA711" t="s">
        <v>118</v>
      </c>
      <c r="AB711" t="s">
        <v>8562</v>
      </c>
      <c r="AC711" t="s">
        <v>8563</v>
      </c>
      <c r="AD711" t="s">
        <v>299</v>
      </c>
      <c r="AE711">
        <v>1232500</v>
      </c>
      <c r="AF711">
        <v>18488</v>
      </c>
      <c r="AJ711" t="str">
        <f>_xlfn.XLOOKUP(Table9[[#This Row],[Engine No.]],'[1]Dubai Islamic Consumer'!$Q$3:$Q$1176,'[1]Dubai Islamic Consumer'!$B$3:$B$1176,,,)</f>
        <v>KHI/HO/D/MO/PC COMP/C/103702/84/12/2024</v>
      </c>
    </row>
    <row r="712" spans="1:36" x14ac:dyDescent="0.25">
      <c r="A712">
        <v>711</v>
      </c>
      <c r="B712" s="2" t="s">
        <v>8030</v>
      </c>
      <c r="C712" t="s">
        <v>8564</v>
      </c>
      <c r="D712" t="s">
        <v>37</v>
      </c>
      <c r="E712" t="s">
        <v>8565</v>
      </c>
      <c r="F712" t="s">
        <v>138</v>
      </c>
      <c r="G712" t="s">
        <v>8566</v>
      </c>
      <c r="H712" t="s">
        <v>48</v>
      </c>
      <c r="I712" t="s">
        <v>8567</v>
      </c>
      <c r="J712" t="s">
        <v>48</v>
      </c>
      <c r="K712" t="s">
        <v>8568</v>
      </c>
      <c r="L712">
        <v>1105000</v>
      </c>
      <c r="M712">
        <v>1700000</v>
      </c>
      <c r="N712" t="s">
        <v>8569</v>
      </c>
      <c r="O712" s="1">
        <v>45656</v>
      </c>
      <c r="P712" t="s">
        <v>8570</v>
      </c>
      <c r="Q712" t="s">
        <v>8571</v>
      </c>
      <c r="R712" t="s">
        <v>146</v>
      </c>
      <c r="S712" t="s">
        <v>8572</v>
      </c>
      <c r="T712" t="s">
        <v>613</v>
      </c>
      <c r="U712" t="s">
        <v>614</v>
      </c>
      <c r="V712" s="1">
        <v>44561</v>
      </c>
      <c r="W712" t="s">
        <v>8102</v>
      </c>
      <c r="X712" t="s">
        <v>8455</v>
      </c>
      <c r="Y712" t="s">
        <v>8573</v>
      </c>
      <c r="Z712">
        <v>7</v>
      </c>
      <c r="AA712" t="s">
        <v>55</v>
      </c>
      <c r="AB712" t="s">
        <v>8574</v>
      </c>
      <c r="AC712" t="s">
        <v>8106</v>
      </c>
      <c r="AD712" t="s">
        <v>299</v>
      </c>
      <c r="AE712">
        <v>1445000</v>
      </c>
      <c r="AF712">
        <v>21675</v>
      </c>
      <c r="AJ712" t="str">
        <f>_xlfn.XLOOKUP(Table9[[#This Row],[Engine No.]],'[1]Dubai Islamic Consumer'!$Q$3:$Q$1176,'[1]Dubai Islamic Consumer'!$B$3:$B$1176,,,)</f>
        <v>KHI/HO/D/MO/PC COMP/C/103702/87/12/2024</v>
      </c>
    </row>
    <row r="713" spans="1:36" x14ac:dyDescent="0.25">
      <c r="A713">
        <v>712</v>
      </c>
      <c r="B713" s="2" t="s">
        <v>8030</v>
      </c>
      <c r="C713" t="s">
        <v>8575</v>
      </c>
      <c r="D713" t="s">
        <v>37</v>
      </c>
      <c r="E713" t="s">
        <v>8576</v>
      </c>
      <c r="F713" t="s">
        <v>245</v>
      </c>
      <c r="G713" t="s">
        <v>8577</v>
      </c>
      <c r="H713">
        <v>3349877107</v>
      </c>
      <c r="J713">
        <v>518736877</v>
      </c>
      <c r="K713" t="s">
        <v>8578</v>
      </c>
      <c r="L713">
        <v>1337200</v>
      </c>
      <c r="M713">
        <v>3343000</v>
      </c>
      <c r="N713" t="s">
        <v>8579</v>
      </c>
      <c r="O713" s="1">
        <v>45656</v>
      </c>
      <c r="P713" t="s">
        <v>8580</v>
      </c>
      <c r="Q713">
        <v>6047462</v>
      </c>
      <c r="R713" t="s">
        <v>47</v>
      </c>
      <c r="S713" t="s">
        <v>48</v>
      </c>
      <c r="T713" t="s">
        <v>1189</v>
      </c>
      <c r="U713">
        <v>2020</v>
      </c>
      <c r="V713" s="1">
        <v>44200</v>
      </c>
      <c r="W713" t="s">
        <v>8114</v>
      </c>
      <c r="X713" t="s">
        <v>8115</v>
      </c>
      <c r="Y713" t="s">
        <v>8581</v>
      </c>
      <c r="Z713">
        <v>5</v>
      </c>
      <c r="AA713" t="s">
        <v>227</v>
      </c>
      <c r="AB713" t="s">
        <v>8582</v>
      </c>
      <c r="AC713" s="1">
        <v>44196</v>
      </c>
      <c r="AD713" t="s">
        <v>58</v>
      </c>
      <c r="AE713">
        <v>2674400</v>
      </c>
      <c r="AF713">
        <v>53488</v>
      </c>
      <c r="AJ713" t="str">
        <f>_xlfn.XLOOKUP(Table9[[#This Row],[Engine No.]],'[1]Dubai Islamic Consumer'!$Q$3:$Q$1176,'[1]Dubai Islamic Consumer'!$B$3:$B$1176,,,)</f>
        <v>KHI/HO/D/MO/PC COMP/C/103702/89/12/2024</v>
      </c>
    </row>
    <row r="714" spans="1:36" x14ac:dyDescent="0.25">
      <c r="A714">
        <v>713</v>
      </c>
      <c r="B714" s="2" t="s">
        <v>8030</v>
      </c>
      <c r="C714" t="s">
        <v>8583</v>
      </c>
      <c r="D714" t="s">
        <v>37</v>
      </c>
      <c r="E714" t="s">
        <v>8584</v>
      </c>
      <c r="F714" t="s">
        <v>138</v>
      </c>
      <c r="G714" t="s">
        <v>8585</v>
      </c>
      <c r="H714" t="s">
        <v>8586</v>
      </c>
      <c r="I714" t="s">
        <v>8587</v>
      </c>
      <c r="J714" t="s">
        <v>141</v>
      </c>
      <c r="K714" t="s">
        <v>8588</v>
      </c>
      <c r="L714">
        <v>1061500</v>
      </c>
      <c r="M714">
        <v>1930000</v>
      </c>
      <c r="N714" t="s">
        <v>8589</v>
      </c>
      <c r="O714" s="1">
        <v>45656</v>
      </c>
      <c r="P714" t="s">
        <v>8590</v>
      </c>
      <c r="Q714" t="s">
        <v>8591</v>
      </c>
      <c r="R714" t="s">
        <v>146</v>
      </c>
      <c r="S714" t="s">
        <v>8592</v>
      </c>
      <c r="T714" t="s">
        <v>613</v>
      </c>
      <c r="U714" t="s">
        <v>50</v>
      </c>
      <c r="V714" s="1">
        <v>44561</v>
      </c>
      <c r="W714" t="s">
        <v>8102</v>
      </c>
      <c r="X714" t="s">
        <v>8455</v>
      </c>
      <c r="Y714" t="s">
        <v>8593</v>
      </c>
      <c r="Z714">
        <v>7</v>
      </c>
      <c r="AA714" t="s">
        <v>118</v>
      </c>
      <c r="AB714" t="s">
        <v>8594</v>
      </c>
      <c r="AC714" t="s">
        <v>8106</v>
      </c>
      <c r="AD714" t="s">
        <v>299</v>
      </c>
      <c r="AE714">
        <v>1640500</v>
      </c>
      <c r="AF714">
        <v>24608</v>
      </c>
      <c r="AJ714" t="str">
        <f>_xlfn.XLOOKUP(Table9[[#This Row],[Engine No.]],'[1]Dubai Islamic Consumer'!$Q$3:$Q$1176,'[1]Dubai Islamic Consumer'!$B$3:$B$1176,,,)</f>
        <v>KHI/HO/D/MO/PC COMP/C/103702/90/12/2024</v>
      </c>
    </row>
    <row r="715" spans="1:36" x14ac:dyDescent="0.25">
      <c r="A715">
        <v>714</v>
      </c>
      <c r="B715" s="2" t="s">
        <v>8030</v>
      </c>
      <c r="C715" t="s">
        <v>8595</v>
      </c>
      <c r="D715" t="s">
        <v>37</v>
      </c>
      <c r="E715" t="s">
        <v>8596</v>
      </c>
      <c r="F715" t="s">
        <v>138</v>
      </c>
      <c r="G715" t="s">
        <v>8597</v>
      </c>
      <c r="H715" t="s">
        <v>48</v>
      </c>
      <c r="I715" t="s">
        <v>8598</v>
      </c>
      <c r="J715" t="s">
        <v>48</v>
      </c>
      <c r="K715" t="s">
        <v>8599</v>
      </c>
      <c r="L715">
        <v>1050000</v>
      </c>
      <c r="M715">
        <v>1500000</v>
      </c>
      <c r="N715" t="s">
        <v>8600</v>
      </c>
      <c r="O715" s="1">
        <v>45656</v>
      </c>
      <c r="P715" t="s">
        <v>8601</v>
      </c>
      <c r="Q715" t="s">
        <v>8602</v>
      </c>
      <c r="R715" t="s">
        <v>146</v>
      </c>
      <c r="S715" t="s">
        <v>8603</v>
      </c>
      <c r="T715" t="s">
        <v>8604</v>
      </c>
      <c r="U715" t="s">
        <v>903</v>
      </c>
      <c r="V715" s="1">
        <v>44561</v>
      </c>
      <c r="W715" t="s">
        <v>8102</v>
      </c>
      <c r="X715" t="s">
        <v>8103</v>
      </c>
      <c r="Y715" t="s">
        <v>8605</v>
      </c>
      <c r="Z715">
        <v>5</v>
      </c>
      <c r="AA715" t="s">
        <v>55</v>
      </c>
      <c r="AB715" t="s">
        <v>8606</v>
      </c>
      <c r="AC715" t="s">
        <v>8106</v>
      </c>
      <c r="AD715" t="s">
        <v>299</v>
      </c>
      <c r="AE715">
        <v>1275000</v>
      </c>
      <c r="AF715">
        <v>19125</v>
      </c>
      <c r="AJ715" t="str">
        <f>_xlfn.XLOOKUP(Table9[[#This Row],[Engine No.]],'[1]Dubai Islamic Consumer'!$Q$3:$Q$1176,'[1]Dubai Islamic Consumer'!$B$3:$B$1176,,,)</f>
        <v>KHI/HO/D/MO/PC COMP/C/103702/91/12/2024</v>
      </c>
    </row>
    <row r="716" spans="1:36" x14ac:dyDescent="0.25">
      <c r="A716">
        <v>715</v>
      </c>
      <c r="B716" s="2" t="s">
        <v>8030</v>
      </c>
      <c r="C716" t="s">
        <v>8607</v>
      </c>
      <c r="D716" t="s">
        <v>37</v>
      </c>
      <c r="E716" t="s">
        <v>8608</v>
      </c>
      <c r="F716" t="s">
        <v>138</v>
      </c>
      <c r="G716" t="s">
        <v>8609</v>
      </c>
      <c r="H716" t="s">
        <v>8610</v>
      </c>
      <c r="I716" t="s">
        <v>8611</v>
      </c>
      <c r="J716" t="s">
        <v>631</v>
      </c>
      <c r="K716" t="s">
        <v>8612</v>
      </c>
      <c r="L716">
        <v>1260000</v>
      </c>
      <c r="M716">
        <v>1800000</v>
      </c>
      <c r="N716" t="s">
        <v>8613</v>
      </c>
      <c r="O716" s="1">
        <v>45656</v>
      </c>
      <c r="P716" t="s">
        <v>8614</v>
      </c>
      <c r="Q716" t="s">
        <v>8615</v>
      </c>
      <c r="R716" t="s">
        <v>146</v>
      </c>
      <c r="S716" t="s">
        <v>48</v>
      </c>
      <c r="T716" t="s">
        <v>4915</v>
      </c>
      <c r="U716" t="s">
        <v>651</v>
      </c>
      <c r="V716" s="1">
        <v>44196</v>
      </c>
      <c r="W716" t="s">
        <v>8114</v>
      </c>
      <c r="X716" t="s">
        <v>8115</v>
      </c>
      <c r="Y716" t="s">
        <v>8616</v>
      </c>
      <c r="Z716">
        <v>5</v>
      </c>
      <c r="AA716" t="s">
        <v>227</v>
      </c>
      <c r="AB716" t="s">
        <v>8617</v>
      </c>
      <c r="AC716" t="s">
        <v>1029</v>
      </c>
      <c r="AD716" t="s">
        <v>58</v>
      </c>
      <c r="AE716">
        <v>1440000</v>
      </c>
      <c r="AF716">
        <v>28800</v>
      </c>
      <c r="AJ716" t="str">
        <f>_xlfn.XLOOKUP(Table9[[#This Row],[Engine No.]],'[1]Dubai Islamic Consumer'!$Q$3:$Q$1176,'[1]Dubai Islamic Consumer'!$B$3:$B$1176,,,)</f>
        <v>KHI/HO/D/MO/PC COMP/C/103702/92/12/2024</v>
      </c>
    </row>
    <row r="717" spans="1:36" x14ac:dyDescent="0.25">
      <c r="A717">
        <v>716</v>
      </c>
      <c r="B717" s="2" t="s">
        <v>8030</v>
      </c>
      <c r="C717" t="s">
        <v>8618</v>
      </c>
      <c r="D717" t="s">
        <v>37</v>
      </c>
      <c r="E717" t="s">
        <v>8619</v>
      </c>
      <c r="F717" t="s">
        <v>245</v>
      </c>
      <c r="G717" t="s">
        <v>8620</v>
      </c>
      <c r="H717" t="s">
        <v>8621</v>
      </c>
      <c r="I717" t="s">
        <v>48</v>
      </c>
      <c r="J717" t="s">
        <v>8622</v>
      </c>
      <c r="K717" t="s">
        <v>8623</v>
      </c>
      <c r="L717">
        <v>1235000</v>
      </c>
      <c r="M717">
        <v>1900000</v>
      </c>
      <c r="N717" t="s">
        <v>8624</v>
      </c>
      <c r="O717" s="1">
        <v>45656</v>
      </c>
      <c r="P717" t="s">
        <v>8625</v>
      </c>
      <c r="Q717" t="s">
        <v>8626</v>
      </c>
      <c r="R717" t="s">
        <v>146</v>
      </c>
      <c r="S717" t="s">
        <v>8627</v>
      </c>
      <c r="T717" t="s">
        <v>8628</v>
      </c>
      <c r="U717" t="s">
        <v>715</v>
      </c>
      <c r="V717" s="1">
        <v>44196</v>
      </c>
      <c r="W717" t="s">
        <v>8114</v>
      </c>
      <c r="X717" t="s">
        <v>8115</v>
      </c>
      <c r="Y717" t="s">
        <v>8629</v>
      </c>
      <c r="Z717">
        <v>5</v>
      </c>
      <c r="AA717" t="s">
        <v>55</v>
      </c>
      <c r="AB717" t="s">
        <v>8630</v>
      </c>
      <c r="AC717" t="s">
        <v>1029</v>
      </c>
      <c r="AD717" t="s">
        <v>58</v>
      </c>
      <c r="AE717">
        <v>1520000</v>
      </c>
      <c r="AF717">
        <v>30400</v>
      </c>
      <c r="AJ717" t="str">
        <f>_xlfn.XLOOKUP(Table9[[#This Row],[Engine No.]],'[1]Dubai Islamic Consumer'!$Q$3:$Q$1176,'[1]Dubai Islamic Consumer'!$B$3:$B$1176,,,)</f>
        <v>KHI/HO/D/MO/PC COMP/C/103702/96/12/2024</v>
      </c>
    </row>
    <row r="718" spans="1:36" x14ac:dyDescent="0.25">
      <c r="A718">
        <v>717</v>
      </c>
      <c r="B718" s="2" t="s">
        <v>8030</v>
      </c>
      <c r="C718" t="s">
        <v>8631</v>
      </c>
      <c r="D718" t="s">
        <v>37</v>
      </c>
      <c r="E718" t="s">
        <v>8632</v>
      </c>
      <c r="F718" t="s">
        <v>138</v>
      </c>
      <c r="G718" t="s">
        <v>8633</v>
      </c>
      <c r="H718" t="s">
        <v>8634</v>
      </c>
      <c r="I718" t="s">
        <v>8634</v>
      </c>
      <c r="J718" t="s">
        <v>8634</v>
      </c>
      <c r="K718" t="s">
        <v>8635</v>
      </c>
      <c r="L718">
        <v>975000</v>
      </c>
      <c r="M718">
        <v>1300000</v>
      </c>
      <c r="N718" t="s">
        <v>8636</v>
      </c>
      <c r="O718" s="1">
        <v>45656</v>
      </c>
      <c r="P718" t="s">
        <v>8637</v>
      </c>
      <c r="Q718" t="s">
        <v>8638</v>
      </c>
      <c r="R718" t="s">
        <v>146</v>
      </c>
      <c r="S718" t="s">
        <v>8639</v>
      </c>
      <c r="T718" t="s">
        <v>321</v>
      </c>
      <c r="U718" t="s">
        <v>335</v>
      </c>
      <c r="V718" s="1">
        <v>44561</v>
      </c>
      <c r="W718" t="s">
        <v>8102</v>
      </c>
      <c r="X718" t="s">
        <v>7530</v>
      </c>
      <c r="Y718" t="s">
        <v>8640</v>
      </c>
      <c r="Z718">
        <v>3</v>
      </c>
      <c r="AA718" t="s">
        <v>118</v>
      </c>
      <c r="AB718" t="s">
        <v>8641</v>
      </c>
      <c r="AC718" t="s">
        <v>8106</v>
      </c>
      <c r="AD718" t="s">
        <v>299</v>
      </c>
      <c r="AE718">
        <v>1105000</v>
      </c>
      <c r="AF718">
        <v>16575</v>
      </c>
      <c r="AJ718" t="str">
        <f>_xlfn.XLOOKUP(Table9[[#This Row],[Engine No.]],'[1]Dubai Islamic Consumer'!$Q$3:$Q$1176,'[1]Dubai Islamic Consumer'!$B$3:$B$1176,,,)</f>
        <v>KHI/HO/D/MO/PC COMP/C/103702/98/12/2024</v>
      </c>
    </row>
    <row r="719" spans="1:36" x14ac:dyDescent="0.25">
      <c r="A719">
        <v>718</v>
      </c>
      <c r="B719" s="2" t="s">
        <v>8030</v>
      </c>
      <c r="C719" t="s">
        <v>8642</v>
      </c>
      <c r="D719" t="s">
        <v>37</v>
      </c>
      <c r="E719" t="s">
        <v>8643</v>
      </c>
      <c r="F719" t="s">
        <v>138</v>
      </c>
      <c r="G719" t="s">
        <v>8644</v>
      </c>
      <c r="H719" t="s">
        <v>48</v>
      </c>
      <c r="I719" t="s">
        <v>8645</v>
      </c>
      <c r="J719" t="s">
        <v>48</v>
      </c>
      <c r="K719" t="s">
        <v>8646</v>
      </c>
      <c r="L719">
        <v>963500</v>
      </c>
      <c r="M719">
        <v>1927000</v>
      </c>
      <c r="N719" t="s">
        <v>8647</v>
      </c>
      <c r="O719" s="1">
        <v>45656</v>
      </c>
      <c r="P719" t="s">
        <v>8648</v>
      </c>
      <c r="Q719" t="s">
        <v>8649</v>
      </c>
      <c r="R719" t="s">
        <v>47</v>
      </c>
      <c r="S719" t="s">
        <v>48</v>
      </c>
      <c r="T719" t="s">
        <v>2994</v>
      </c>
      <c r="U719" t="s">
        <v>50</v>
      </c>
      <c r="V719" s="1">
        <v>44561</v>
      </c>
      <c r="W719" t="s">
        <v>8102</v>
      </c>
      <c r="X719" t="s">
        <v>7530</v>
      </c>
      <c r="Y719" t="s">
        <v>8650</v>
      </c>
      <c r="Z719">
        <v>3</v>
      </c>
      <c r="AA719" t="s">
        <v>118</v>
      </c>
      <c r="AB719" t="s">
        <v>8651</v>
      </c>
      <c r="AC719" t="s">
        <v>8106</v>
      </c>
      <c r="AD719" t="s">
        <v>58</v>
      </c>
      <c r="AE719">
        <v>1637950</v>
      </c>
      <c r="AF719">
        <v>32759</v>
      </c>
      <c r="AJ719" t="str">
        <f>_xlfn.XLOOKUP(Table9[[#This Row],[Engine No.]],'[1]Dubai Islamic Consumer'!$Q$3:$Q$1176,'[1]Dubai Islamic Consumer'!$B$3:$B$1176,,,)</f>
        <v>KHI/HO/D/MO/PC COMP/C/103702/106/12/2024</v>
      </c>
    </row>
    <row r="720" spans="1:36" x14ac:dyDescent="0.25">
      <c r="A720">
        <v>719</v>
      </c>
      <c r="B720" s="2" t="s">
        <v>8030</v>
      </c>
      <c r="C720" t="s">
        <v>8652</v>
      </c>
      <c r="D720" t="s">
        <v>37</v>
      </c>
      <c r="E720" t="s">
        <v>8653</v>
      </c>
      <c r="F720" t="s">
        <v>107</v>
      </c>
      <c r="G720" t="s">
        <v>8654</v>
      </c>
      <c r="H720" t="s">
        <v>8655</v>
      </c>
      <c r="I720" t="s">
        <v>8656</v>
      </c>
      <c r="J720" t="s">
        <v>8657</v>
      </c>
      <c r="K720" t="s">
        <v>8658</v>
      </c>
      <c r="L720">
        <v>1391500</v>
      </c>
      <c r="M720">
        <v>2783000</v>
      </c>
      <c r="N720" t="s">
        <v>8659</v>
      </c>
      <c r="O720" s="1">
        <v>45656</v>
      </c>
      <c r="P720" t="s">
        <v>8660</v>
      </c>
      <c r="Q720" t="s">
        <v>8661</v>
      </c>
      <c r="R720" t="s">
        <v>47</v>
      </c>
      <c r="S720" t="s">
        <v>8662</v>
      </c>
      <c r="T720" t="s">
        <v>5183</v>
      </c>
      <c r="U720" t="s">
        <v>614</v>
      </c>
      <c r="V720" s="1">
        <v>43830</v>
      </c>
      <c r="W720" t="s">
        <v>8088</v>
      </c>
      <c r="X720" t="s">
        <v>7530</v>
      </c>
      <c r="Y720" t="s">
        <v>8663</v>
      </c>
      <c r="Z720">
        <v>5</v>
      </c>
      <c r="AA720" t="s">
        <v>227</v>
      </c>
      <c r="AB720" t="s">
        <v>8664</v>
      </c>
      <c r="AC720" t="s">
        <v>8091</v>
      </c>
      <c r="AD720" t="s">
        <v>171</v>
      </c>
      <c r="AE720">
        <v>2087250</v>
      </c>
      <c r="AF720">
        <v>52181</v>
      </c>
      <c r="AJ720" t="str">
        <f>_xlfn.XLOOKUP(Table9[[#This Row],[Engine No.]],'[1]Dubai Islamic Consumer'!$Q$3:$Q$1176,'[1]Dubai Islamic Consumer'!$B$3:$B$1176,,,)</f>
        <v>KHI/HO/D/MO/PC COMP/C/103702/107/12/2024</v>
      </c>
    </row>
    <row r="721" spans="1:36" x14ac:dyDescent="0.25">
      <c r="A721">
        <v>720</v>
      </c>
      <c r="B721" s="2" t="s">
        <v>8030</v>
      </c>
      <c r="C721" t="s">
        <v>8665</v>
      </c>
      <c r="D721" t="s">
        <v>37</v>
      </c>
      <c r="E721" t="s">
        <v>8666</v>
      </c>
      <c r="F721" t="s">
        <v>525</v>
      </c>
      <c r="G721" t="s">
        <v>8667</v>
      </c>
      <c r="H721" t="s">
        <v>8668</v>
      </c>
      <c r="I721" t="s">
        <v>8668</v>
      </c>
      <c r="J721" t="s">
        <v>8668</v>
      </c>
      <c r="K721" t="s">
        <v>8669</v>
      </c>
      <c r="L721">
        <v>957000</v>
      </c>
      <c r="M721">
        <v>1650000</v>
      </c>
      <c r="N721" t="s">
        <v>8670</v>
      </c>
      <c r="O721" s="1">
        <v>45656</v>
      </c>
      <c r="P721" t="s">
        <v>8671</v>
      </c>
      <c r="Q721" t="s">
        <v>8672</v>
      </c>
      <c r="R721" t="s">
        <v>146</v>
      </c>
      <c r="S721" t="s">
        <v>8673</v>
      </c>
      <c r="T721" t="s">
        <v>181</v>
      </c>
      <c r="U721" t="s">
        <v>496</v>
      </c>
      <c r="V721" s="1">
        <v>44561</v>
      </c>
      <c r="W721" t="s">
        <v>8102</v>
      </c>
      <c r="X721" t="s">
        <v>7530</v>
      </c>
      <c r="Y721" t="s">
        <v>8674</v>
      </c>
      <c r="Z721">
        <v>3</v>
      </c>
      <c r="AA721" t="s">
        <v>118</v>
      </c>
      <c r="AB721" t="s">
        <v>8675</v>
      </c>
      <c r="AC721" t="s">
        <v>8106</v>
      </c>
      <c r="AD721" t="s">
        <v>299</v>
      </c>
      <c r="AE721">
        <v>1402500</v>
      </c>
      <c r="AF721">
        <v>21038</v>
      </c>
      <c r="AJ721" t="str">
        <f>_xlfn.XLOOKUP(Table9[[#This Row],[Engine No.]],'[1]Dubai Islamic Consumer'!$Q$3:$Q$1176,'[1]Dubai Islamic Consumer'!$B$3:$B$1176,,,)</f>
        <v>KHI/HO/D/MO/PC COMP/C/103702/111/12/2024</v>
      </c>
    </row>
    <row r="722" spans="1:36" x14ac:dyDescent="0.25">
      <c r="A722">
        <v>721</v>
      </c>
      <c r="B722" s="2" t="s">
        <v>8030</v>
      </c>
      <c r="C722" t="s">
        <v>8676</v>
      </c>
      <c r="D722" t="s">
        <v>37</v>
      </c>
      <c r="E722" t="s">
        <v>8677</v>
      </c>
      <c r="F722" t="s">
        <v>245</v>
      </c>
      <c r="G722" t="s">
        <v>8678</v>
      </c>
      <c r="H722" t="s">
        <v>48</v>
      </c>
      <c r="I722" t="s">
        <v>8679</v>
      </c>
      <c r="J722" t="s">
        <v>48</v>
      </c>
      <c r="K722" t="s">
        <v>8680</v>
      </c>
      <c r="L722">
        <v>876300</v>
      </c>
      <c r="M722">
        <v>1270000</v>
      </c>
      <c r="N722" t="s">
        <v>8681</v>
      </c>
      <c r="O722" s="1">
        <v>45656</v>
      </c>
      <c r="P722" t="s">
        <v>8682</v>
      </c>
      <c r="Q722" t="s">
        <v>8683</v>
      </c>
      <c r="R722" t="s">
        <v>146</v>
      </c>
      <c r="S722" t="s">
        <v>8684</v>
      </c>
      <c r="T722" t="s">
        <v>1896</v>
      </c>
      <c r="U722" t="s">
        <v>50</v>
      </c>
      <c r="V722" s="1">
        <v>44565</v>
      </c>
      <c r="W722" t="s">
        <v>2981</v>
      </c>
      <c r="X722" t="s">
        <v>2982</v>
      </c>
      <c r="Y722" t="s">
        <v>8685</v>
      </c>
      <c r="Z722">
        <v>5</v>
      </c>
      <c r="AA722" t="s">
        <v>118</v>
      </c>
      <c r="AB722" t="s">
        <v>8686</v>
      </c>
      <c r="AC722" t="s">
        <v>8106</v>
      </c>
      <c r="AD722" t="s">
        <v>299</v>
      </c>
      <c r="AE722">
        <v>1079500</v>
      </c>
      <c r="AF722">
        <v>16193</v>
      </c>
      <c r="AJ722" t="str">
        <f>_xlfn.XLOOKUP(Table9[[#This Row],[Engine No.]],'[1]Dubai Islamic Consumer'!$Q$3:$Q$1176,'[1]Dubai Islamic Consumer'!$B$3:$B$1176,,,)</f>
        <v>KHI/HO/D/MO/PC COMP/C/103702/113/12/2024</v>
      </c>
    </row>
    <row r="723" spans="1:36" x14ac:dyDescent="0.25">
      <c r="A723">
        <v>722</v>
      </c>
      <c r="B723" s="2" t="s">
        <v>8030</v>
      </c>
      <c r="C723" t="s">
        <v>8687</v>
      </c>
      <c r="D723" t="s">
        <v>37</v>
      </c>
      <c r="E723" t="s">
        <v>8688</v>
      </c>
      <c r="F723" t="s">
        <v>138</v>
      </c>
      <c r="G723" t="s">
        <v>8689</v>
      </c>
      <c r="H723" t="s">
        <v>8690</v>
      </c>
      <c r="I723" t="s">
        <v>8690</v>
      </c>
      <c r="J723" t="s">
        <v>141</v>
      </c>
      <c r="K723" t="s">
        <v>8691</v>
      </c>
      <c r="L723">
        <v>875000</v>
      </c>
      <c r="M723">
        <v>1250000</v>
      </c>
      <c r="N723" t="s">
        <v>8692</v>
      </c>
      <c r="O723" s="1">
        <v>45656</v>
      </c>
      <c r="P723" t="s">
        <v>8693</v>
      </c>
      <c r="Q723" t="s">
        <v>8694</v>
      </c>
      <c r="R723" t="s">
        <v>146</v>
      </c>
      <c r="S723" t="s">
        <v>8695</v>
      </c>
      <c r="T723" t="s">
        <v>1909</v>
      </c>
      <c r="U723" t="s">
        <v>651</v>
      </c>
      <c r="V723" s="1">
        <v>44561</v>
      </c>
      <c r="W723" t="s">
        <v>8102</v>
      </c>
      <c r="X723" t="s">
        <v>8115</v>
      </c>
      <c r="Y723" t="s">
        <v>8696</v>
      </c>
      <c r="Z723">
        <v>4</v>
      </c>
      <c r="AA723" t="s">
        <v>118</v>
      </c>
      <c r="AB723" t="s">
        <v>8697</v>
      </c>
      <c r="AC723" t="s">
        <v>8106</v>
      </c>
      <c r="AD723" t="s">
        <v>299</v>
      </c>
      <c r="AE723">
        <v>1062500</v>
      </c>
      <c r="AF723">
        <v>15938</v>
      </c>
      <c r="AJ723" t="str">
        <f>_xlfn.XLOOKUP(Table9[[#This Row],[Engine No.]],'[1]Dubai Islamic Consumer'!$Q$3:$Q$1176,'[1]Dubai Islamic Consumer'!$B$3:$B$1176,,,)</f>
        <v>KHI/HO/D/MO/PC COMP/C/103702/117/12/2024</v>
      </c>
    </row>
    <row r="724" spans="1:36" x14ac:dyDescent="0.25">
      <c r="A724">
        <v>723</v>
      </c>
      <c r="B724" s="2" t="s">
        <v>8030</v>
      </c>
      <c r="C724" t="s">
        <v>8698</v>
      </c>
      <c r="D724" t="s">
        <v>37</v>
      </c>
      <c r="E724" t="s">
        <v>8699</v>
      </c>
      <c r="F724" t="s">
        <v>107</v>
      </c>
      <c r="G724" t="s">
        <v>8700</v>
      </c>
      <c r="H724" t="s">
        <v>8701</v>
      </c>
      <c r="I724" t="s">
        <v>8701</v>
      </c>
      <c r="J724" t="s">
        <v>8701</v>
      </c>
      <c r="K724" t="s">
        <v>8702</v>
      </c>
      <c r="L724">
        <v>770000</v>
      </c>
      <c r="M724">
        <v>1100000</v>
      </c>
      <c r="N724" t="s">
        <v>8703</v>
      </c>
      <c r="O724" s="1">
        <v>45656</v>
      </c>
      <c r="P724" t="s">
        <v>8704</v>
      </c>
      <c r="Q724" t="s">
        <v>8705</v>
      </c>
      <c r="R724" t="s">
        <v>146</v>
      </c>
      <c r="S724" t="s">
        <v>8706</v>
      </c>
      <c r="T724" t="s">
        <v>8707</v>
      </c>
      <c r="U724" t="s">
        <v>335</v>
      </c>
      <c r="V724" s="1">
        <v>44561</v>
      </c>
      <c r="W724" t="s">
        <v>8102</v>
      </c>
      <c r="X724" t="s">
        <v>7530</v>
      </c>
      <c r="Y724" t="s">
        <v>8708</v>
      </c>
      <c r="Z724">
        <v>3</v>
      </c>
      <c r="AA724" t="s">
        <v>55</v>
      </c>
      <c r="AB724" t="s">
        <v>8709</v>
      </c>
      <c r="AC724" t="s">
        <v>8106</v>
      </c>
      <c r="AD724" t="s">
        <v>299</v>
      </c>
      <c r="AE724">
        <v>935000</v>
      </c>
      <c r="AF724">
        <v>14025</v>
      </c>
      <c r="AJ724" t="str">
        <f>_xlfn.XLOOKUP(Table9[[#This Row],[Engine No.]],'[1]Dubai Islamic Consumer'!$Q$3:$Q$1176,'[1]Dubai Islamic Consumer'!$B$3:$B$1176,,,)</f>
        <v>KHI/HO/D/MO/PC COMP/C/103702/118/12/2024</v>
      </c>
    </row>
    <row r="725" spans="1:36" x14ac:dyDescent="0.25">
      <c r="A725">
        <v>724</v>
      </c>
      <c r="B725" s="2" t="s">
        <v>8030</v>
      </c>
      <c r="C725" t="s">
        <v>8710</v>
      </c>
      <c r="D725" t="s">
        <v>37</v>
      </c>
      <c r="E725" t="s">
        <v>8711</v>
      </c>
      <c r="F725" t="s">
        <v>107</v>
      </c>
      <c r="G725" t="s">
        <v>8712</v>
      </c>
      <c r="H725" t="s">
        <v>8713</v>
      </c>
      <c r="I725" t="s">
        <v>8713</v>
      </c>
      <c r="J725" t="s">
        <v>8713</v>
      </c>
      <c r="K725" t="s">
        <v>8714</v>
      </c>
      <c r="L725">
        <v>602000</v>
      </c>
      <c r="M725">
        <v>1400000</v>
      </c>
      <c r="N725" t="s">
        <v>8715</v>
      </c>
      <c r="O725" s="1">
        <v>45656</v>
      </c>
      <c r="P725" t="s">
        <v>8716</v>
      </c>
      <c r="Q725" t="s">
        <v>8717</v>
      </c>
      <c r="R725" t="s">
        <v>146</v>
      </c>
      <c r="S725" t="s">
        <v>8718</v>
      </c>
      <c r="T725" t="s">
        <v>321</v>
      </c>
      <c r="U725" t="s">
        <v>614</v>
      </c>
      <c r="V725" s="1">
        <v>44565</v>
      </c>
      <c r="W725" t="s">
        <v>2981</v>
      </c>
      <c r="X725" t="s">
        <v>2982</v>
      </c>
      <c r="Y725" t="s">
        <v>8719</v>
      </c>
      <c r="Z725">
        <v>5</v>
      </c>
      <c r="AA725" t="s">
        <v>55</v>
      </c>
      <c r="AB725" t="s">
        <v>8720</v>
      </c>
      <c r="AC725" t="s">
        <v>8106</v>
      </c>
      <c r="AD725" t="s">
        <v>299</v>
      </c>
      <c r="AE725">
        <v>1190000</v>
      </c>
      <c r="AF725">
        <v>17850</v>
      </c>
      <c r="AJ725" t="str">
        <f>_xlfn.XLOOKUP(Table9[[#This Row],[Engine No.]],'[1]Dubai Islamic Consumer'!$Q$3:$Q$1176,'[1]Dubai Islamic Consumer'!$B$3:$B$1176,,,)</f>
        <v>KHI/HO/D/MO/PC COMP/C/103702/119/12/2024</v>
      </c>
    </row>
    <row r="726" spans="1:36" x14ac:dyDescent="0.25">
      <c r="A726">
        <v>725</v>
      </c>
      <c r="B726" s="2" t="s">
        <v>8030</v>
      </c>
      <c r="C726" t="s">
        <v>8721</v>
      </c>
      <c r="D726" t="s">
        <v>37</v>
      </c>
      <c r="E726" t="s">
        <v>8722</v>
      </c>
      <c r="F726" t="s">
        <v>8723</v>
      </c>
      <c r="G726" t="s">
        <v>8724</v>
      </c>
      <c r="H726" t="s">
        <v>48</v>
      </c>
      <c r="I726" t="s">
        <v>48</v>
      </c>
      <c r="J726" t="s">
        <v>48</v>
      </c>
      <c r="K726" t="s">
        <v>8725</v>
      </c>
      <c r="L726">
        <v>900000</v>
      </c>
      <c r="M726">
        <v>1800000</v>
      </c>
      <c r="N726" t="s">
        <v>8726</v>
      </c>
      <c r="O726" s="1">
        <v>45656</v>
      </c>
      <c r="P726" t="s">
        <v>8727</v>
      </c>
      <c r="Q726" t="s">
        <v>8728</v>
      </c>
      <c r="R726" t="s">
        <v>146</v>
      </c>
      <c r="S726" t="s">
        <v>8729</v>
      </c>
      <c r="T726" t="s">
        <v>1289</v>
      </c>
      <c r="U726" t="s">
        <v>335</v>
      </c>
      <c r="V726" s="1">
        <v>43830</v>
      </c>
      <c r="W726" t="s">
        <v>8088</v>
      </c>
      <c r="X726" t="s">
        <v>7530</v>
      </c>
      <c r="Y726" t="s">
        <v>8730</v>
      </c>
      <c r="Z726">
        <v>5</v>
      </c>
      <c r="AA726" t="s">
        <v>55</v>
      </c>
      <c r="AB726" t="s">
        <v>8731</v>
      </c>
      <c r="AC726" t="s">
        <v>8091</v>
      </c>
      <c r="AD726" t="s">
        <v>171</v>
      </c>
      <c r="AE726">
        <v>1350000</v>
      </c>
      <c r="AF726">
        <v>33750</v>
      </c>
      <c r="AJ726" t="str">
        <f>_xlfn.XLOOKUP(Table9[[#This Row],[Engine No.]],'[1]Dubai Islamic Consumer'!$Q$3:$Q$1176,'[1]Dubai Islamic Consumer'!$B$3:$B$1176,,,)</f>
        <v>KHI/HO/D/MO/PC COMP/C/103702/120/12/2024</v>
      </c>
    </row>
    <row r="727" spans="1:36" x14ac:dyDescent="0.25">
      <c r="A727">
        <v>726</v>
      </c>
      <c r="B727" s="2" t="s">
        <v>8030</v>
      </c>
      <c r="C727" t="s">
        <v>8732</v>
      </c>
      <c r="D727" t="s">
        <v>37</v>
      </c>
      <c r="E727" t="s">
        <v>8733</v>
      </c>
      <c r="F727" t="s">
        <v>138</v>
      </c>
      <c r="G727" t="s">
        <v>8734</v>
      </c>
      <c r="H727" t="s">
        <v>48</v>
      </c>
      <c r="I727" t="s">
        <v>8735</v>
      </c>
      <c r="J727" t="s">
        <v>48</v>
      </c>
      <c r="K727" t="s">
        <v>8736</v>
      </c>
      <c r="L727">
        <v>582000</v>
      </c>
      <c r="M727">
        <v>970000</v>
      </c>
      <c r="N727" t="s">
        <v>8737</v>
      </c>
      <c r="O727" s="1">
        <v>45656</v>
      </c>
      <c r="P727" t="s">
        <v>8738</v>
      </c>
      <c r="Q727" t="s">
        <v>8739</v>
      </c>
      <c r="R727" t="s">
        <v>146</v>
      </c>
      <c r="S727" t="s">
        <v>8740</v>
      </c>
      <c r="T727" t="s">
        <v>8741</v>
      </c>
      <c r="U727" t="s">
        <v>903</v>
      </c>
      <c r="V727" s="1">
        <v>44196</v>
      </c>
      <c r="W727" t="s">
        <v>8114</v>
      </c>
      <c r="X727" t="s">
        <v>7530</v>
      </c>
      <c r="Y727" t="s">
        <v>8742</v>
      </c>
      <c r="Z727">
        <v>4</v>
      </c>
      <c r="AA727" t="s">
        <v>55</v>
      </c>
      <c r="AB727" t="s">
        <v>8743</v>
      </c>
      <c r="AC727" t="s">
        <v>1029</v>
      </c>
      <c r="AD727" t="s">
        <v>58</v>
      </c>
      <c r="AE727">
        <v>776000</v>
      </c>
      <c r="AF727">
        <v>15520</v>
      </c>
      <c r="AJ727" t="str">
        <f>_xlfn.XLOOKUP(Table9[[#This Row],[Engine No.]],'[1]Dubai Islamic Consumer'!$Q$3:$Q$1176,'[1]Dubai Islamic Consumer'!$B$3:$B$1176,,,)</f>
        <v>KHI/HO/D/MO/PC COMP/C/103702/121/12/2024</v>
      </c>
    </row>
    <row r="728" spans="1:36" x14ac:dyDescent="0.25">
      <c r="A728">
        <v>727</v>
      </c>
      <c r="B728" s="2" t="s">
        <v>8030</v>
      </c>
      <c r="C728" t="s">
        <v>8744</v>
      </c>
      <c r="D728" t="s">
        <v>37</v>
      </c>
      <c r="E728" t="s">
        <v>8745</v>
      </c>
      <c r="F728" t="s">
        <v>245</v>
      </c>
      <c r="G728" t="s">
        <v>8746</v>
      </c>
      <c r="H728" t="s">
        <v>8747</v>
      </c>
      <c r="I728" t="s">
        <v>48</v>
      </c>
      <c r="J728" t="s">
        <v>8748</v>
      </c>
      <c r="K728" t="s">
        <v>8749</v>
      </c>
      <c r="L728">
        <v>330000</v>
      </c>
      <c r="M728">
        <v>1100000</v>
      </c>
      <c r="N728" t="s">
        <v>8750</v>
      </c>
      <c r="O728" s="1">
        <v>45656</v>
      </c>
      <c r="P728" t="s">
        <v>8751</v>
      </c>
      <c r="Q728" t="s">
        <v>8752</v>
      </c>
      <c r="R728" t="s">
        <v>146</v>
      </c>
      <c r="S728" t="s">
        <v>8753</v>
      </c>
      <c r="T728" t="s">
        <v>1078</v>
      </c>
      <c r="U728" t="s">
        <v>715</v>
      </c>
      <c r="V728" s="1">
        <v>44561</v>
      </c>
      <c r="W728" t="s">
        <v>8102</v>
      </c>
      <c r="X728" t="s">
        <v>7530</v>
      </c>
      <c r="Y728" t="s">
        <v>8754</v>
      </c>
      <c r="Z728">
        <v>3</v>
      </c>
      <c r="AA728" t="s">
        <v>118</v>
      </c>
      <c r="AB728" t="s">
        <v>8755</v>
      </c>
      <c r="AC728" t="s">
        <v>8106</v>
      </c>
      <c r="AD728" t="s">
        <v>299</v>
      </c>
      <c r="AE728">
        <v>935000</v>
      </c>
      <c r="AF728">
        <v>14025</v>
      </c>
      <c r="AJ728" t="str">
        <f>_xlfn.XLOOKUP(Table9[[#This Row],[Engine No.]],'[1]Dubai Islamic Consumer'!$Q$3:$Q$1176,'[1]Dubai Islamic Consumer'!$B$3:$B$1176,,,)</f>
        <v>KHI/HO/D/MO/PC COMP/C/103702/122/12/2024</v>
      </c>
    </row>
    <row r="729" spans="1:36" x14ac:dyDescent="0.25">
      <c r="A729">
        <v>728</v>
      </c>
      <c r="B729" s="2" t="s">
        <v>8030</v>
      </c>
      <c r="C729" t="s">
        <v>8756</v>
      </c>
      <c r="D729" t="s">
        <v>37</v>
      </c>
      <c r="E729" t="s">
        <v>8757</v>
      </c>
      <c r="F729" t="s">
        <v>138</v>
      </c>
      <c r="G729" t="s">
        <v>8758</v>
      </c>
      <c r="H729" t="s">
        <v>8759</v>
      </c>
      <c r="I729" t="s">
        <v>8760</v>
      </c>
      <c r="J729" t="s">
        <v>8761</v>
      </c>
      <c r="K729" t="s">
        <v>8762</v>
      </c>
      <c r="L729">
        <v>1828400</v>
      </c>
      <c r="M729">
        <v>2612000</v>
      </c>
      <c r="N729" t="s">
        <v>8763</v>
      </c>
      <c r="O729" t="s">
        <v>8764</v>
      </c>
      <c r="P729" t="s">
        <v>8765</v>
      </c>
      <c r="Q729" t="s">
        <v>8766</v>
      </c>
      <c r="R729" t="s">
        <v>47</v>
      </c>
      <c r="S729" t="s">
        <v>48</v>
      </c>
      <c r="T729" t="s">
        <v>194</v>
      </c>
      <c r="U729" t="s">
        <v>386</v>
      </c>
      <c r="V729" s="1">
        <v>45290</v>
      </c>
      <c r="W729" t="s">
        <v>8767</v>
      </c>
      <c r="X729" t="s">
        <v>8103</v>
      </c>
      <c r="Y729" t="s">
        <v>8768</v>
      </c>
      <c r="Z729">
        <v>3</v>
      </c>
      <c r="AA729" t="s">
        <v>152</v>
      </c>
      <c r="AB729" t="s">
        <v>8769</v>
      </c>
      <c r="AC729" t="s">
        <v>8770</v>
      </c>
      <c r="AD729" t="s">
        <v>86</v>
      </c>
      <c r="AE729">
        <v>2350800</v>
      </c>
      <c r="AF729">
        <v>41139</v>
      </c>
      <c r="AJ729" t="str">
        <f>_xlfn.XLOOKUP(Table9[[#This Row],[Engine No.]],'[1]Dubai Islamic Consumer'!$Q$3:$Q$1176,'[1]Dubai Islamic Consumer'!$B$3:$B$1176,,,)</f>
        <v>KHI/HO/D/MO/PC COMP/C/103702/123/12/2024</v>
      </c>
    </row>
    <row r="730" spans="1:36" x14ac:dyDescent="0.25">
      <c r="A730">
        <v>729</v>
      </c>
      <c r="B730" s="2" t="s">
        <v>8030</v>
      </c>
      <c r="C730" t="s">
        <v>8771</v>
      </c>
      <c r="D730" t="s">
        <v>37</v>
      </c>
      <c r="E730" t="s">
        <v>8772</v>
      </c>
      <c r="F730" t="s">
        <v>138</v>
      </c>
      <c r="G730" t="s">
        <v>8773</v>
      </c>
      <c r="H730" t="s">
        <v>8774</v>
      </c>
      <c r="I730" t="s">
        <v>8774</v>
      </c>
      <c r="J730" t="s">
        <v>141</v>
      </c>
      <c r="K730" t="s">
        <v>8775</v>
      </c>
      <c r="L730">
        <v>2478000</v>
      </c>
      <c r="M730">
        <v>3540000</v>
      </c>
      <c r="N730" t="s">
        <v>8776</v>
      </c>
      <c r="O730" t="s">
        <v>8764</v>
      </c>
      <c r="P730" t="s">
        <v>8777</v>
      </c>
      <c r="Q730" t="s">
        <v>8778</v>
      </c>
      <c r="R730" t="s">
        <v>146</v>
      </c>
      <c r="S730" t="s">
        <v>8779</v>
      </c>
      <c r="T730" t="s">
        <v>8780</v>
      </c>
      <c r="U730" t="s">
        <v>496</v>
      </c>
      <c r="V730" s="1">
        <v>45290</v>
      </c>
      <c r="W730" t="s">
        <v>8767</v>
      </c>
      <c r="X730" t="s">
        <v>8103</v>
      </c>
      <c r="Y730" t="s">
        <v>8781</v>
      </c>
      <c r="Z730">
        <v>3</v>
      </c>
      <c r="AA730" t="s">
        <v>152</v>
      </c>
      <c r="AB730" t="s">
        <v>8782</v>
      </c>
      <c r="AC730" t="s">
        <v>8770</v>
      </c>
      <c r="AD730" t="s">
        <v>86</v>
      </c>
      <c r="AE730">
        <v>3186000</v>
      </c>
      <c r="AF730">
        <v>55755</v>
      </c>
      <c r="AJ730" t="e">
        <f>_xlfn.XLOOKUP(Table9[[#This Row],[Engine No.]],'[1]Dubai Islamic Consumer'!$Q$3:$Q$1176,'[1]Dubai Islamic Consumer'!$B$3:$B$1176,,,)</f>
        <v>#N/A</v>
      </c>
    </row>
    <row r="731" spans="1:36" x14ac:dyDescent="0.25">
      <c r="A731">
        <v>730</v>
      </c>
      <c r="B731" s="2" t="s">
        <v>8030</v>
      </c>
      <c r="C731" t="s">
        <v>8783</v>
      </c>
      <c r="D731" t="s">
        <v>37</v>
      </c>
      <c r="E731" t="s">
        <v>8784</v>
      </c>
      <c r="F731" t="s">
        <v>138</v>
      </c>
      <c r="G731" t="s">
        <v>8785</v>
      </c>
      <c r="H731" t="s">
        <v>48</v>
      </c>
      <c r="I731" t="s">
        <v>8786</v>
      </c>
      <c r="J731" t="s">
        <v>48</v>
      </c>
      <c r="K731" t="s">
        <v>8787</v>
      </c>
      <c r="L731">
        <v>2784000</v>
      </c>
      <c r="M731">
        <v>4350000</v>
      </c>
      <c r="N731" t="s">
        <v>8788</v>
      </c>
      <c r="O731" t="s">
        <v>8764</v>
      </c>
      <c r="P731" t="s">
        <v>8789</v>
      </c>
      <c r="Q731" t="s">
        <v>8790</v>
      </c>
      <c r="R731" t="s">
        <v>146</v>
      </c>
      <c r="S731" t="s">
        <v>8791</v>
      </c>
      <c r="T731" t="s">
        <v>5867</v>
      </c>
      <c r="U731" t="s">
        <v>335</v>
      </c>
      <c r="V731" s="1">
        <v>45290</v>
      </c>
      <c r="W731" t="s">
        <v>8767</v>
      </c>
      <c r="X731" t="s">
        <v>8103</v>
      </c>
      <c r="Y731" t="s">
        <v>8792</v>
      </c>
      <c r="Z731">
        <v>3</v>
      </c>
      <c r="AA731" t="s">
        <v>152</v>
      </c>
      <c r="AB731" t="s">
        <v>8793</v>
      </c>
      <c r="AC731" t="s">
        <v>8770</v>
      </c>
      <c r="AD731" t="s">
        <v>86</v>
      </c>
      <c r="AE731">
        <v>3915000</v>
      </c>
      <c r="AF731">
        <v>68513</v>
      </c>
      <c r="AJ731" t="str">
        <f>_xlfn.XLOOKUP(Table9[[#This Row],[Engine No.]],'[1]Dubai Islamic Consumer'!$Q$3:$Q$1176,'[1]Dubai Islamic Consumer'!$B$3:$B$1176,,,)</f>
        <v>KHI/HO/D/MO/PC COMP/C/103702/126/12/2024</v>
      </c>
    </row>
    <row r="732" spans="1:36" x14ac:dyDescent="0.25">
      <c r="A732">
        <v>731</v>
      </c>
      <c r="B732" s="2" t="s">
        <v>8030</v>
      </c>
      <c r="C732" t="s">
        <v>8794</v>
      </c>
      <c r="D732" t="s">
        <v>37</v>
      </c>
      <c r="E732" t="s">
        <v>8795</v>
      </c>
      <c r="F732" t="s">
        <v>525</v>
      </c>
      <c r="G732" t="s">
        <v>8796</v>
      </c>
      <c r="H732" t="s">
        <v>8797</v>
      </c>
      <c r="I732" t="s">
        <v>8798</v>
      </c>
      <c r="J732" t="s">
        <v>8797</v>
      </c>
      <c r="K732" t="s">
        <v>8799</v>
      </c>
      <c r="L732">
        <v>1870000</v>
      </c>
      <c r="M732">
        <v>3400000</v>
      </c>
      <c r="N732" t="s">
        <v>8800</v>
      </c>
      <c r="O732" t="s">
        <v>8764</v>
      </c>
      <c r="P732" t="s">
        <v>8801</v>
      </c>
      <c r="Q732" t="s">
        <v>8802</v>
      </c>
      <c r="R732" t="s">
        <v>146</v>
      </c>
      <c r="S732" t="s">
        <v>48</v>
      </c>
      <c r="T732" t="s">
        <v>3007</v>
      </c>
      <c r="U732" t="s">
        <v>50</v>
      </c>
      <c r="V732" s="1">
        <v>45290</v>
      </c>
      <c r="W732" t="s">
        <v>8767</v>
      </c>
      <c r="X732" t="s">
        <v>8103</v>
      </c>
      <c r="Y732" t="s">
        <v>8803</v>
      </c>
      <c r="Z732">
        <v>3</v>
      </c>
      <c r="AA732" t="s">
        <v>152</v>
      </c>
      <c r="AB732" t="s">
        <v>8804</v>
      </c>
      <c r="AC732" t="s">
        <v>8770</v>
      </c>
      <c r="AD732" t="s">
        <v>86</v>
      </c>
      <c r="AE732">
        <v>3060000</v>
      </c>
      <c r="AF732">
        <v>53550</v>
      </c>
      <c r="AJ732" t="str">
        <f>_xlfn.XLOOKUP(Table9[[#This Row],[Engine No.]],'[1]Dubai Islamic Consumer'!$Q$3:$Q$1176,'[1]Dubai Islamic Consumer'!$B$3:$B$1176,,,)</f>
        <v>KHI/HO/D/MO/PC COMP/C/103702/127/12/2024</v>
      </c>
    </row>
    <row r="733" spans="1:36" x14ac:dyDescent="0.25">
      <c r="A733">
        <v>732</v>
      </c>
      <c r="B733" s="2" t="s">
        <v>8030</v>
      </c>
      <c r="C733" t="s">
        <v>8805</v>
      </c>
      <c r="D733" t="s">
        <v>37</v>
      </c>
      <c r="E733" t="s">
        <v>8806</v>
      </c>
      <c r="F733" t="s">
        <v>525</v>
      </c>
      <c r="G733" t="s">
        <v>8807</v>
      </c>
      <c r="H733" t="s">
        <v>8808</v>
      </c>
      <c r="I733" t="s">
        <v>8809</v>
      </c>
      <c r="J733" t="s">
        <v>8808</v>
      </c>
      <c r="K733" t="s">
        <v>8810</v>
      </c>
      <c r="L733">
        <v>2400000</v>
      </c>
      <c r="M733">
        <v>4800000</v>
      </c>
      <c r="N733" t="s">
        <v>8800</v>
      </c>
      <c r="O733" t="s">
        <v>8764</v>
      </c>
      <c r="P733" t="s">
        <v>8811</v>
      </c>
      <c r="Q733" t="s">
        <v>8812</v>
      </c>
      <c r="R733" t="s">
        <v>146</v>
      </c>
      <c r="S733" t="s">
        <v>48</v>
      </c>
      <c r="T733" t="s">
        <v>5867</v>
      </c>
      <c r="U733" t="s">
        <v>496</v>
      </c>
      <c r="V733" s="1">
        <v>45290</v>
      </c>
      <c r="W733" t="s">
        <v>8767</v>
      </c>
      <c r="X733" t="s">
        <v>8103</v>
      </c>
      <c r="Y733" t="s">
        <v>8813</v>
      </c>
      <c r="Z733">
        <v>3</v>
      </c>
      <c r="AA733" t="s">
        <v>152</v>
      </c>
      <c r="AB733" t="s">
        <v>8814</v>
      </c>
      <c r="AC733" t="s">
        <v>8770</v>
      </c>
      <c r="AD733" t="s">
        <v>86</v>
      </c>
      <c r="AE733">
        <v>4320000</v>
      </c>
      <c r="AF733">
        <v>75600</v>
      </c>
      <c r="AJ733" t="str">
        <f>_xlfn.XLOOKUP(Table9[[#This Row],[Engine No.]],'[1]Dubai Islamic Consumer'!$Q$3:$Q$1176,'[1]Dubai Islamic Consumer'!$B$3:$B$1176,,,)</f>
        <v>KHI/HO/D/MO/PC COMP/C/103702/128/12/2024</v>
      </c>
    </row>
    <row r="734" spans="1:36" x14ac:dyDescent="0.25">
      <c r="A734">
        <v>733</v>
      </c>
      <c r="B734" s="2" t="s">
        <v>8030</v>
      </c>
      <c r="C734" t="s">
        <v>8815</v>
      </c>
      <c r="D734" t="s">
        <v>37</v>
      </c>
      <c r="E734" t="s">
        <v>8816</v>
      </c>
      <c r="F734" t="s">
        <v>138</v>
      </c>
      <c r="G734" t="s">
        <v>8817</v>
      </c>
      <c r="H734" t="s">
        <v>8818</v>
      </c>
      <c r="I734" t="s">
        <v>8819</v>
      </c>
      <c r="J734" t="s">
        <v>8818</v>
      </c>
      <c r="K734" t="s">
        <v>8820</v>
      </c>
      <c r="L734">
        <v>2970000</v>
      </c>
      <c r="M734">
        <v>4950000</v>
      </c>
      <c r="N734" t="s">
        <v>8821</v>
      </c>
      <c r="O734" t="s">
        <v>8764</v>
      </c>
      <c r="P734" t="s">
        <v>8822</v>
      </c>
      <c r="Q734" t="s">
        <v>8823</v>
      </c>
      <c r="R734" t="s">
        <v>146</v>
      </c>
      <c r="S734" t="s">
        <v>8824</v>
      </c>
      <c r="T734" t="s">
        <v>4389</v>
      </c>
      <c r="U734" t="s">
        <v>50</v>
      </c>
      <c r="V734" s="1">
        <v>45290</v>
      </c>
      <c r="W734" t="s">
        <v>8767</v>
      </c>
      <c r="X734" t="s">
        <v>8103</v>
      </c>
      <c r="Y734" t="s">
        <v>8825</v>
      </c>
      <c r="Z734">
        <v>3</v>
      </c>
      <c r="AA734" t="s">
        <v>152</v>
      </c>
      <c r="AB734" t="s">
        <v>8826</v>
      </c>
      <c r="AC734" t="s">
        <v>8770</v>
      </c>
      <c r="AD734" t="s">
        <v>86</v>
      </c>
      <c r="AE734">
        <v>4455000</v>
      </c>
      <c r="AF734">
        <v>77963</v>
      </c>
      <c r="AJ734" t="str">
        <f>_xlfn.XLOOKUP(Table9[[#This Row],[Engine No.]],'[1]Dubai Islamic Consumer'!$Q$3:$Q$1176,'[1]Dubai Islamic Consumer'!$B$3:$B$1176,,,)</f>
        <v>KHI/HO/D/MO/PC COMP/C/103702/129/12/2024</v>
      </c>
    </row>
    <row r="735" spans="1:36" x14ac:dyDescent="0.25">
      <c r="A735">
        <v>734</v>
      </c>
      <c r="B735" s="2" t="s">
        <v>8030</v>
      </c>
      <c r="C735" t="s">
        <v>8827</v>
      </c>
      <c r="D735" t="s">
        <v>37</v>
      </c>
      <c r="E735" t="s">
        <v>8828</v>
      </c>
      <c r="F735" t="s">
        <v>138</v>
      </c>
      <c r="G735" t="s">
        <v>8829</v>
      </c>
      <c r="H735" t="s">
        <v>48</v>
      </c>
      <c r="I735" t="s">
        <v>48</v>
      </c>
      <c r="J735" t="s">
        <v>48</v>
      </c>
      <c r="K735" t="s">
        <v>8830</v>
      </c>
      <c r="L735">
        <v>2976000</v>
      </c>
      <c r="M735">
        <v>4800000</v>
      </c>
      <c r="N735" t="s">
        <v>8831</v>
      </c>
      <c r="O735" t="s">
        <v>8764</v>
      </c>
      <c r="P735" t="s">
        <v>8832</v>
      </c>
      <c r="Q735" t="s">
        <v>8833</v>
      </c>
      <c r="R735" t="s">
        <v>146</v>
      </c>
      <c r="S735" t="s">
        <v>8834</v>
      </c>
      <c r="T735" t="s">
        <v>8835</v>
      </c>
      <c r="U735" t="s">
        <v>148</v>
      </c>
      <c r="V735" s="1">
        <v>45290</v>
      </c>
      <c r="W735" t="s">
        <v>8767</v>
      </c>
      <c r="X735" t="s">
        <v>8103</v>
      </c>
      <c r="Y735" t="s">
        <v>8836</v>
      </c>
      <c r="Z735">
        <v>3</v>
      </c>
      <c r="AA735" t="s">
        <v>152</v>
      </c>
      <c r="AB735" t="s">
        <v>8837</v>
      </c>
      <c r="AC735" t="s">
        <v>8770</v>
      </c>
      <c r="AD735" t="s">
        <v>86</v>
      </c>
      <c r="AE735">
        <v>4320000</v>
      </c>
      <c r="AF735">
        <v>75600</v>
      </c>
      <c r="AJ735" t="str">
        <f>_xlfn.XLOOKUP(Table9[[#This Row],[Engine No.]],'[1]Dubai Islamic Consumer'!$Q$3:$Q$1176,'[1]Dubai Islamic Consumer'!$B$3:$B$1176,,,)</f>
        <v>KHI/HO/D/MO/PC COMP/C/103702/130/12/2024</v>
      </c>
    </row>
    <row r="736" spans="1:36" x14ac:dyDescent="0.25">
      <c r="A736">
        <v>735</v>
      </c>
      <c r="B736" s="2" t="s">
        <v>8030</v>
      </c>
      <c r="C736" t="s">
        <v>8838</v>
      </c>
      <c r="D736" t="s">
        <v>37</v>
      </c>
      <c r="E736" t="s">
        <v>8839</v>
      </c>
      <c r="F736" t="s">
        <v>138</v>
      </c>
      <c r="G736" t="s">
        <v>8840</v>
      </c>
      <c r="H736" t="s">
        <v>8841</v>
      </c>
      <c r="I736" t="s">
        <v>8842</v>
      </c>
      <c r="J736" t="s">
        <v>8843</v>
      </c>
      <c r="K736" t="s">
        <v>8844</v>
      </c>
      <c r="L736">
        <v>2477580</v>
      </c>
      <c r="M736">
        <v>4858000</v>
      </c>
      <c r="N736" t="s">
        <v>8845</v>
      </c>
      <c r="O736" t="s">
        <v>8764</v>
      </c>
      <c r="P736" t="s">
        <v>8846</v>
      </c>
      <c r="Q736" t="s">
        <v>8847</v>
      </c>
      <c r="R736" t="s">
        <v>47</v>
      </c>
      <c r="S736" t="s">
        <v>48</v>
      </c>
      <c r="T736" t="s">
        <v>8848</v>
      </c>
      <c r="U736" t="s">
        <v>386</v>
      </c>
      <c r="V736" s="1">
        <v>45290</v>
      </c>
      <c r="W736" t="s">
        <v>8767</v>
      </c>
      <c r="X736" t="s">
        <v>8103</v>
      </c>
      <c r="Y736" t="s">
        <v>8849</v>
      </c>
      <c r="Z736">
        <v>3</v>
      </c>
      <c r="AA736" t="s">
        <v>152</v>
      </c>
      <c r="AB736" t="s">
        <v>8850</v>
      </c>
      <c r="AC736" t="s">
        <v>8770</v>
      </c>
      <c r="AD736" t="s">
        <v>86</v>
      </c>
      <c r="AE736">
        <v>4372200</v>
      </c>
      <c r="AF736">
        <v>76514</v>
      </c>
      <c r="AJ736" t="str">
        <f>_xlfn.XLOOKUP(Table9[[#This Row],[Engine No.]],'[1]Dubai Islamic Consumer'!$Q$3:$Q$1176,'[1]Dubai Islamic Consumer'!$B$3:$B$1176,,,)</f>
        <v>KHI/HO/D/MO/PC COMP/C/103702/132/12/2024</v>
      </c>
    </row>
    <row r="737" spans="1:36" x14ac:dyDescent="0.25">
      <c r="A737">
        <v>736</v>
      </c>
      <c r="B737" s="2" t="s">
        <v>8030</v>
      </c>
      <c r="C737" t="s">
        <v>8851</v>
      </c>
      <c r="D737" t="s">
        <v>37</v>
      </c>
      <c r="E737" t="s">
        <v>8852</v>
      </c>
      <c r="F737" t="s">
        <v>138</v>
      </c>
      <c r="G737" t="s">
        <v>8853</v>
      </c>
      <c r="H737" t="s">
        <v>8854</v>
      </c>
      <c r="I737" t="s">
        <v>8854</v>
      </c>
      <c r="J737" t="s">
        <v>141</v>
      </c>
      <c r="K737" t="s">
        <v>8855</v>
      </c>
      <c r="L737">
        <v>2765000</v>
      </c>
      <c r="M737">
        <v>3950000</v>
      </c>
      <c r="N737" t="s">
        <v>8856</v>
      </c>
      <c r="O737" t="s">
        <v>8764</v>
      </c>
      <c r="P737" t="s">
        <v>8857</v>
      </c>
      <c r="Q737" t="s">
        <v>8858</v>
      </c>
      <c r="R737" t="s">
        <v>146</v>
      </c>
      <c r="S737" t="s">
        <v>8859</v>
      </c>
      <c r="T737" t="s">
        <v>8860</v>
      </c>
      <c r="U737" t="s">
        <v>614</v>
      </c>
      <c r="V737" s="1">
        <v>45290</v>
      </c>
      <c r="W737" t="s">
        <v>8767</v>
      </c>
      <c r="X737" t="s">
        <v>8103</v>
      </c>
      <c r="Y737" t="s">
        <v>8861</v>
      </c>
      <c r="Z737">
        <v>3</v>
      </c>
      <c r="AA737" t="s">
        <v>152</v>
      </c>
      <c r="AB737" t="s">
        <v>8862</v>
      </c>
      <c r="AC737" t="s">
        <v>8770</v>
      </c>
      <c r="AD737" t="s">
        <v>86</v>
      </c>
      <c r="AE737">
        <v>3555000</v>
      </c>
      <c r="AF737">
        <v>62213</v>
      </c>
      <c r="AJ737" t="str">
        <f>_xlfn.XLOOKUP(Table9[[#This Row],[Engine No.]],'[1]Dubai Islamic Consumer'!$Q$3:$Q$1176,'[1]Dubai Islamic Consumer'!$B$3:$B$1176,,,)</f>
        <v>KHI/HO/D/MO/PC COMP/C/103702/134/12/2024</v>
      </c>
    </row>
    <row r="738" spans="1:36" x14ac:dyDescent="0.25">
      <c r="A738">
        <v>737</v>
      </c>
      <c r="B738" s="2" t="s">
        <v>8030</v>
      </c>
      <c r="C738" t="s">
        <v>8863</v>
      </c>
      <c r="D738" t="s">
        <v>37</v>
      </c>
      <c r="E738" t="s">
        <v>8864</v>
      </c>
      <c r="F738" t="s">
        <v>138</v>
      </c>
      <c r="G738" t="s">
        <v>8865</v>
      </c>
      <c r="H738" t="s">
        <v>8866</v>
      </c>
      <c r="I738" t="s">
        <v>8866</v>
      </c>
      <c r="J738" t="s">
        <v>141</v>
      </c>
      <c r="K738" t="s">
        <v>8867</v>
      </c>
      <c r="L738">
        <v>1519000</v>
      </c>
      <c r="M738">
        <v>2170000</v>
      </c>
      <c r="N738" t="s">
        <v>8868</v>
      </c>
      <c r="O738" t="s">
        <v>8764</v>
      </c>
      <c r="P738" t="s">
        <v>8869</v>
      </c>
      <c r="Q738" t="s">
        <v>8870</v>
      </c>
      <c r="R738" t="s">
        <v>146</v>
      </c>
      <c r="S738" t="s">
        <v>8871</v>
      </c>
      <c r="T738" t="s">
        <v>1909</v>
      </c>
      <c r="U738" t="s">
        <v>496</v>
      </c>
      <c r="V738" s="1">
        <v>45290</v>
      </c>
      <c r="W738" t="s">
        <v>8767</v>
      </c>
      <c r="X738" t="s">
        <v>8455</v>
      </c>
      <c r="Y738" t="s">
        <v>8872</v>
      </c>
      <c r="Z738">
        <v>5</v>
      </c>
      <c r="AA738" t="s">
        <v>152</v>
      </c>
      <c r="AB738" t="s">
        <v>8873</v>
      </c>
      <c r="AC738" t="s">
        <v>8770</v>
      </c>
      <c r="AD738" t="s">
        <v>86</v>
      </c>
      <c r="AE738">
        <v>1953000</v>
      </c>
      <c r="AF738">
        <v>34178</v>
      </c>
      <c r="AJ738" t="str">
        <f>_xlfn.XLOOKUP(Table9[[#This Row],[Engine No.]],'[1]Dubai Islamic Consumer'!$Q$3:$Q$1176,'[1]Dubai Islamic Consumer'!$B$3:$B$1176,,,)</f>
        <v>KHI/HO/D/MO/PC COMP/C/103702/135/12/2024</v>
      </c>
    </row>
    <row r="739" spans="1:36" x14ac:dyDescent="0.25">
      <c r="A739">
        <v>738</v>
      </c>
      <c r="B739" s="2" t="s">
        <v>8030</v>
      </c>
      <c r="C739" t="s">
        <v>8874</v>
      </c>
      <c r="D739" t="s">
        <v>37</v>
      </c>
      <c r="E739" t="s">
        <v>8875</v>
      </c>
      <c r="F739" t="s">
        <v>245</v>
      </c>
      <c r="G739" t="s">
        <v>8876</v>
      </c>
      <c r="H739" t="s">
        <v>8877</v>
      </c>
      <c r="I739" t="s">
        <v>48</v>
      </c>
      <c r="J739" t="s">
        <v>8878</v>
      </c>
      <c r="K739" t="s">
        <v>8879</v>
      </c>
      <c r="L739">
        <v>1018680</v>
      </c>
      <c r="M739">
        <v>1306000</v>
      </c>
      <c r="N739" t="s">
        <v>8880</v>
      </c>
      <c r="O739" s="1">
        <v>45655</v>
      </c>
      <c r="P739" t="s">
        <v>8881</v>
      </c>
      <c r="Q739" t="s">
        <v>8882</v>
      </c>
      <c r="R739" t="s">
        <v>47</v>
      </c>
      <c r="S739" t="s">
        <v>48</v>
      </c>
      <c r="T739" t="s">
        <v>1384</v>
      </c>
      <c r="U739" t="s">
        <v>148</v>
      </c>
      <c r="V739" s="1">
        <v>44651</v>
      </c>
      <c r="W739" t="s">
        <v>8883</v>
      </c>
      <c r="X739" t="s">
        <v>8884</v>
      </c>
      <c r="Y739" t="s">
        <v>8885</v>
      </c>
      <c r="Z739">
        <v>7</v>
      </c>
      <c r="AA739" t="s">
        <v>55</v>
      </c>
      <c r="AB739" t="s">
        <v>8886</v>
      </c>
      <c r="AC739" t="s">
        <v>8887</v>
      </c>
      <c r="AD739" t="s">
        <v>58</v>
      </c>
      <c r="AE739">
        <v>1175400</v>
      </c>
      <c r="AF739">
        <v>23508</v>
      </c>
      <c r="AJ739" t="str">
        <f>_xlfn.XLOOKUP(Table9[[#This Row],[Engine No.]],'[1]Dubai Islamic Consumer'!$Q$3:$Q$1176,'[1]Dubai Islamic Consumer'!$B$3:$B$1176,,,)</f>
        <v>KHI/HO/D/MO/PC COMP/C/103702/136/12/2024</v>
      </c>
    </row>
    <row r="740" spans="1:36" x14ac:dyDescent="0.25">
      <c r="A740">
        <v>739</v>
      </c>
      <c r="B740" s="2" t="s">
        <v>8030</v>
      </c>
      <c r="C740" t="s">
        <v>8888</v>
      </c>
      <c r="D740" t="s">
        <v>37</v>
      </c>
      <c r="E740" t="s">
        <v>8889</v>
      </c>
      <c r="F740" t="s">
        <v>138</v>
      </c>
      <c r="G740" t="s">
        <v>8890</v>
      </c>
      <c r="H740" t="s">
        <v>8891</v>
      </c>
      <c r="I740" t="s">
        <v>8892</v>
      </c>
      <c r="J740" t="s">
        <v>8893</v>
      </c>
      <c r="K740" t="s">
        <v>8894</v>
      </c>
      <c r="L740">
        <v>1213100</v>
      </c>
      <c r="M740">
        <v>1733000</v>
      </c>
      <c r="N740" t="s">
        <v>8895</v>
      </c>
      <c r="O740" s="1">
        <v>45655</v>
      </c>
      <c r="P740" t="s">
        <v>8896</v>
      </c>
      <c r="Q740" t="s">
        <v>8897</v>
      </c>
      <c r="R740" t="s">
        <v>47</v>
      </c>
      <c r="S740" t="s">
        <v>48</v>
      </c>
      <c r="T740" t="s">
        <v>194</v>
      </c>
      <c r="U740" t="s">
        <v>148</v>
      </c>
      <c r="V740" s="1">
        <v>44735</v>
      </c>
      <c r="W740" t="s">
        <v>8128</v>
      </c>
      <c r="X740" t="s">
        <v>8129</v>
      </c>
      <c r="Y740" t="s">
        <v>8898</v>
      </c>
      <c r="Z740">
        <v>5</v>
      </c>
      <c r="AA740" t="s">
        <v>152</v>
      </c>
      <c r="AB740" t="s">
        <v>8899</v>
      </c>
      <c r="AC740" t="s">
        <v>3988</v>
      </c>
      <c r="AD740" t="s">
        <v>58</v>
      </c>
      <c r="AE740">
        <v>1559700</v>
      </c>
      <c r="AF740">
        <v>31194</v>
      </c>
      <c r="AJ740" t="str">
        <f>_xlfn.XLOOKUP(Table9[[#This Row],[Engine No.]],'[1]Dubai Islamic Consumer'!$Q$3:$Q$1176,'[1]Dubai Islamic Consumer'!$B$3:$B$1176,,,)</f>
        <v>KHI/HO/D/MO/PC COMP/C/103702/137/12/2024</v>
      </c>
    </row>
    <row r="741" spans="1:36" x14ac:dyDescent="0.25">
      <c r="A741">
        <v>740</v>
      </c>
      <c r="B741" s="2" t="s">
        <v>8030</v>
      </c>
      <c r="C741" t="s">
        <v>8900</v>
      </c>
      <c r="D741" t="s">
        <v>37</v>
      </c>
      <c r="E741" t="s">
        <v>8901</v>
      </c>
      <c r="F741" t="s">
        <v>138</v>
      </c>
      <c r="G741" t="s">
        <v>8902</v>
      </c>
      <c r="H741" t="s">
        <v>48</v>
      </c>
      <c r="I741" t="s">
        <v>8903</v>
      </c>
      <c r="J741" t="s">
        <v>48</v>
      </c>
      <c r="K741" t="s">
        <v>8904</v>
      </c>
      <c r="L741">
        <v>6634000</v>
      </c>
      <c r="M741">
        <v>13268000</v>
      </c>
      <c r="N741" t="s">
        <v>8905</v>
      </c>
      <c r="O741" s="1">
        <v>45655</v>
      </c>
      <c r="P741" t="s">
        <v>8906</v>
      </c>
      <c r="Q741" t="s">
        <v>8907</v>
      </c>
      <c r="R741" t="s">
        <v>858</v>
      </c>
      <c r="S741" t="s">
        <v>48</v>
      </c>
      <c r="T741" t="s">
        <v>1346</v>
      </c>
      <c r="U741" t="s">
        <v>148</v>
      </c>
      <c r="V741" s="1">
        <v>44831</v>
      </c>
      <c r="W741" t="s">
        <v>8128</v>
      </c>
      <c r="X741" t="s">
        <v>8455</v>
      </c>
      <c r="Y741" t="s">
        <v>8908</v>
      </c>
      <c r="Z741">
        <v>6</v>
      </c>
      <c r="AA741" t="s">
        <v>227</v>
      </c>
      <c r="AB741" t="s">
        <v>8909</v>
      </c>
      <c r="AC741" t="s">
        <v>8910</v>
      </c>
      <c r="AD741" t="s">
        <v>943</v>
      </c>
      <c r="AE741">
        <v>11941200</v>
      </c>
      <c r="AF741">
        <v>167177</v>
      </c>
      <c r="AJ741" t="str">
        <f>_xlfn.XLOOKUP(Table9[[#This Row],[Engine No.]],'[1]Dubai Islamic Consumer'!$Q$3:$Q$1176,'[1]Dubai Islamic Consumer'!$B$3:$B$1176,,,)</f>
        <v>KHI/HO/D/MO/PC COMP/C/103702/141/12/2024</v>
      </c>
    </row>
    <row r="742" spans="1:36" x14ac:dyDescent="0.25">
      <c r="A742">
        <v>741</v>
      </c>
      <c r="B742" s="2" t="s">
        <v>8030</v>
      </c>
      <c r="C742" t="s">
        <v>8911</v>
      </c>
      <c r="D742" t="s">
        <v>37</v>
      </c>
      <c r="E742" t="s">
        <v>8912</v>
      </c>
      <c r="F742" t="s">
        <v>851</v>
      </c>
      <c r="G742" t="s">
        <v>8913</v>
      </c>
      <c r="H742" t="s">
        <v>8914</v>
      </c>
      <c r="I742" t="s">
        <v>8915</v>
      </c>
      <c r="J742" t="s">
        <v>8914</v>
      </c>
      <c r="K742" t="s">
        <v>8916</v>
      </c>
      <c r="L742">
        <v>1032500</v>
      </c>
      <c r="M742">
        <v>1475000</v>
      </c>
      <c r="N742" t="s">
        <v>8917</v>
      </c>
      <c r="O742" s="1">
        <v>45655</v>
      </c>
      <c r="P742" t="s">
        <v>8918</v>
      </c>
      <c r="Q742" t="s">
        <v>8919</v>
      </c>
      <c r="R742" t="s">
        <v>47</v>
      </c>
      <c r="S742" t="s">
        <v>48</v>
      </c>
      <c r="T742" t="s">
        <v>1896</v>
      </c>
      <c r="U742" t="s">
        <v>148</v>
      </c>
      <c r="V742" s="1">
        <v>44736</v>
      </c>
      <c r="W742" t="s">
        <v>8128</v>
      </c>
      <c r="X742" t="s">
        <v>8103</v>
      </c>
      <c r="Y742" t="s">
        <v>8920</v>
      </c>
      <c r="Z742">
        <v>4</v>
      </c>
      <c r="AA742" t="s">
        <v>227</v>
      </c>
      <c r="AB742" t="s">
        <v>8921</v>
      </c>
      <c r="AC742" t="s">
        <v>8922</v>
      </c>
      <c r="AD742" t="s">
        <v>299</v>
      </c>
      <c r="AE742">
        <v>1327500</v>
      </c>
      <c r="AF742">
        <v>19913</v>
      </c>
      <c r="AJ742" t="str">
        <f>_xlfn.XLOOKUP(Table9[[#This Row],[Engine No.]],'[1]Dubai Islamic Consumer'!$Q$3:$Q$1176,'[1]Dubai Islamic Consumer'!$B$3:$B$1176,,,)</f>
        <v>KHI/HO/D/MO/PC COMP/C/103702/144/12/2024</v>
      </c>
    </row>
    <row r="743" spans="1:36" x14ac:dyDescent="0.25">
      <c r="A743">
        <v>742</v>
      </c>
      <c r="B743" s="2" t="s">
        <v>8030</v>
      </c>
      <c r="C743" t="s">
        <v>8923</v>
      </c>
      <c r="D743" t="s">
        <v>37</v>
      </c>
      <c r="E743" t="s">
        <v>8924</v>
      </c>
      <c r="F743" t="s">
        <v>107</v>
      </c>
      <c r="G743" t="s">
        <v>8925</v>
      </c>
      <c r="H743" t="s">
        <v>8926</v>
      </c>
      <c r="I743" t="s">
        <v>8926</v>
      </c>
      <c r="J743" t="s">
        <v>8927</v>
      </c>
      <c r="K743" t="s">
        <v>8928</v>
      </c>
      <c r="L743">
        <v>3040800</v>
      </c>
      <c r="M743">
        <v>5430000</v>
      </c>
      <c r="N743" t="s">
        <v>8929</v>
      </c>
      <c r="O743" s="1">
        <v>45655</v>
      </c>
      <c r="P743" t="s">
        <v>8930</v>
      </c>
      <c r="Q743" t="s">
        <v>8931</v>
      </c>
      <c r="R743" t="s">
        <v>47</v>
      </c>
      <c r="S743" t="s">
        <v>48</v>
      </c>
      <c r="T743" t="s">
        <v>115</v>
      </c>
      <c r="U743" t="s">
        <v>50</v>
      </c>
      <c r="V743" s="1">
        <v>44196</v>
      </c>
      <c r="W743" t="s">
        <v>8114</v>
      </c>
      <c r="X743" t="s">
        <v>7530</v>
      </c>
      <c r="Y743" t="s">
        <v>8932</v>
      </c>
      <c r="Z743">
        <v>4</v>
      </c>
      <c r="AA743" t="s">
        <v>48</v>
      </c>
      <c r="AB743" t="s">
        <v>48</v>
      </c>
      <c r="AC743" t="s">
        <v>48</v>
      </c>
      <c r="AD743" t="s">
        <v>299</v>
      </c>
      <c r="AE743">
        <v>4344000</v>
      </c>
      <c r="AF743">
        <v>65160</v>
      </c>
      <c r="AJ743" t="str">
        <f>_xlfn.XLOOKUP(Table9[[#This Row],[Engine No.]],'[1]Dubai Islamic Consumer'!$Q$3:$Q$1176,'[1]Dubai Islamic Consumer'!$B$3:$B$1176,,,)</f>
        <v>KHI/HO/D/MO/PC COMP/C/103702/145/12/2024</v>
      </c>
    </row>
    <row r="744" spans="1:36" x14ac:dyDescent="0.25">
      <c r="A744">
        <v>743</v>
      </c>
      <c r="B744" s="2" t="s">
        <v>8030</v>
      </c>
      <c r="C744" t="s">
        <v>8933</v>
      </c>
      <c r="D744" t="s">
        <v>37</v>
      </c>
      <c r="E744" t="s">
        <v>8934</v>
      </c>
      <c r="F744" t="s">
        <v>138</v>
      </c>
      <c r="G744" t="s">
        <v>8935</v>
      </c>
      <c r="H744" t="s">
        <v>8936</v>
      </c>
      <c r="I744" t="s">
        <v>8936</v>
      </c>
      <c r="J744" t="s">
        <v>8936</v>
      </c>
      <c r="K744" t="s">
        <v>8937</v>
      </c>
      <c r="L744">
        <v>2240000</v>
      </c>
      <c r="M744">
        <v>3500000</v>
      </c>
      <c r="N744" t="s">
        <v>8938</v>
      </c>
      <c r="O744" s="1">
        <v>45655</v>
      </c>
      <c r="P744" t="s">
        <v>8939</v>
      </c>
      <c r="Q744" t="s">
        <v>8940</v>
      </c>
      <c r="R744" t="s">
        <v>146</v>
      </c>
      <c r="S744" t="s">
        <v>8941</v>
      </c>
      <c r="T744" t="s">
        <v>601</v>
      </c>
      <c r="U744" t="s">
        <v>496</v>
      </c>
      <c r="V744" s="1">
        <v>44561</v>
      </c>
      <c r="W744" t="s">
        <v>8102</v>
      </c>
      <c r="X744" t="s">
        <v>8103</v>
      </c>
      <c r="Y744" t="s">
        <v>8942</v>
      </c>
      <c r="Z744">
        <v>5</v>
      </c>
      <c r="AA744" t="s">
        <v>118</v>
      </c>
      <c r="AB744" t="s">
        <v>8943</v>
      </c>
      <c r="AC744" t="s">
        <v>8563</v>
      </c>
      <c r="AD744" t="s">
        <v>299</v>
      </c>
      <c r="AE744">
        <v>2975000</v>
      </c>
      <c r="AF744">
        <v>44625</v>
      </c>
      <c r="AJ744" t="str">
        <f>_xlfn.XLOOKUP(Table9[[#This Row],[Engine No.]],'[1]Dubai Islamic Consumer'!$Q$3:$Q$1176,'[1]Dubai Islamic Consumer'!$B$3:$B$1176,,,)</f>
        <v>KHI/HO/D/MO/PC COMP/C/103702/146/12/2024</v>
      </c>
    </row>
    <row r="745" spans="1:36" x14ac:dyDescent="0.25">
      <c r="A745">
        <v>744</v>
      </c>
      <c r="B745" s="2" t="s">
        <v>8030</v>
      </c>
      <c r="C745" t="s">
        <v>8944</v>
      </c>
      <c r="D745" t="s">
        <v>37</v>
      </c>
      <c r="E745" t="s">
        <v>8945</v>
      </c>
      <c r="F745" t="s">
        <v>107</v>
      </c>
      <c r="G745" t="s">
        <v>8946</v>
      </c>
      <c r="H745" t="s">
        <v>8947</v>
      </c>
      <c r="I745" t="s">
        <v>8947</v>
      </c>
      <c r="J745" t="s">
        <v>8947</v>
      </c>
      <c r="K745" t="s">
        <v>8948</v>
      </c>
      <c r="L745">
        <v>2170000</v>
      </c>
      <c r="M745">
        <v>3100000</v>
      </c>
      <c r="N745" t="s">
        <v>8949</v>
      </c>
      <c r="O745" s="1">
        <v>45655</v>
      </c>
      <c r="P745" t="s">
        <v>8950</v>
      </c>
      <c r="Q745" t="s">
        <v>8951</v>
      </c>
      <c r="R745" t="s">
        <v>146</v>
      </c>
      <c r="S745" t="s">
        <v>8952</v>
      </c>
      <c r="T745" t="s">
        <v>650</v>
      </c>
      <c r="U745" t="s">
        <v>335</v>
      </c>
      <c r="V745" s="1">
        <v>44561</v>
      </c>
      <c r="W745" t="s">
        <v>8102</v>
      </c>
      <c r="X745" t="s">
        <v>8103</v>
      </c>
      <c r="Y745" t="s">
        <v>8953</v>
      </c>
      <c r="Z745">
        <v>5</v>
      </c>
      <c r="AA745" t="s">
        <v>55</v>
      </c>
      <c r="AB745" t="s">
        <v>8954</v>
      </c>
      <c r="AC745" t="s">
        <v>8563</v>
      </c>
      <c r="AD745" t="s">
        <v>299</v>
      </c>
      <c r="AE745">
        <v>2635000</v>
      </c>
      <c r="AF745">
        <v>39525</v>
      </c>
      <c r="AJ745" t="str">
        <f>_xlfn.XLOOKUP(Table9[[#This Row],[Engine No.]],'[1]Dubai Islamic Consumer'!$Q$3:$Q$1176,'[1]Dubai Islamic Consumer'!$B$3:$B$1176,,,)</f>
        <v>KHI/HO/D/MO/PC COMP/C/103702/148/12/2024</v>
      </c>
    </row>
    <row r="746" spans="1:36" x14ac:dyDescent="0.25">
      <c r="A746">
        <v>745</v>
      </c>
      <c r="B746" s="2" t="s">
        <v>8030</v>
      </c>
      <c r="C746" t="s">
        <v>8955</v>
      </c>
      <c r="D746" t="s">
        <v>37</v>
      </c>
      <c r="E746" t="s">
        <v>8956</v>
      </c>
      <c r="F746" t="s">
        <v>107</v>
      </c>
      <c r="G746" t="s">
        <v>8957</v>
      </c>
      <c r="H746" t="s">
        <v>8958</v>
      </c>
      <c r="I746" t="s">
        <v>8958</v>
      </c>
      <c r="J746" t="s">
        <v>8958</v>
      </c>
      <c r="K746" t="s">
        <v>8959</v>
      </c>
      <c r="L746">
        <v>2156000</v>
      </c>
      <c r="M746">
        <v>3850000</v>
      </c>
      <c r="N746" t="s">
        <v>8960</v>
      </c>
      <c r="O746" s="1">
        <v>45655</v>
      </c>
      <c r="P746" t="s">
        <v>8961</v>
      </c>
      <c r="Q746" t="s">
        <v>8962</v>
      </c>
      <c r="R746" t="s">
        <v>146</v>
      </c>
      <c r="S746" t="s">
        <v>8963</v>
      </c>
      <c r="T746" t="s">
        <v>1065</v>
      </c>
      <c r="U746" t="s">
        <v>50</v>
      </c>
      <c r="V746" s="1">
        <v>44565</v>
      </c>
      <c r="W746" t="s">
        <v>2981</v>
      </c>
      <c r="X746" t="s">
        <v>2982</v>
      </c>
      <c r="Y746" t="s">
        <v>8964</v>
      </c>
      <c r="Z746">
        <v>5</v>
      </c>
      <c r="AA746" t="s">
        <v>55</v>
      </c>
      <c r="AB746" t="s">
        <v>8965</v>
      </c>
      <c r="AC746" t="s">
        <v>8106</v>
      </c>
      <c r="AD746" t="s">
        <v>299</v>
      </c>
      <c r="AE746">
        <v>3272500</v>
      </c>
      <c r="AF746">
        <v>49088</v>
      </c>
      <c r="AJ746" t="str">
        <f>_xlfn.XLOOKUP(Table9[[#This Row],[Engine No.]],'[1]Dubai Islamic Consumer'!$Q$3:$Q$1176,'[1]Dubai Islamic Consumer'!$B$3:$B$1176,,,)</f>
        <v>KHI/HO/D/MO/PC COMP/C/103702/149/12/2024</v>
      </c>
    </row>
    <row r="747" spans="1:36" x14ac:dyDescent="0.25">
      <c r="A747">
        <v>746</v>
      </c>
      <c r="B747" s="2" t="s">
        <v>8030</v>
      </c>
      <c r="C747" t="s">
        <v>8966</v>
      </c>
      <c r="D747" t="s">
        <v>37</v>
      </c>
      <c r="E747" t="s">
        <v>8967</v>
      </c>
      <c r="F747" t="s">
        <v>138</v>
      </c>
      <c r="G747" t="s">
        <v>8968</v>
      </c>
      <c r="H747" t="s">
        <v>8969</v>
      </c>
      <c r="I747" t="s">
        <v>8969</v>
      </c>
      <c r="J747" t="s">
        <v>8969</v>
      </c>
      <c r="K747" t="s">
        <v>8970</v>
      </c>
      <c r="L747">
        <v>2152500</v>
      </c>
      <c r="M747">
        <v>3075000</v>
      </c>
      <c r="N747" t="s">
        <v>8971</v>
      </c>
      <c r="O747" s="1">
        <v>45655</v>
      </c>
      <c r="P747" t="s">
        <v>8972</v>
      </c>
      <c r="Q747" t="s">
        <v>8973</v>
      </c>
      <c r="R747" t="s">
        <v>146</v>
      </c>
      <c r="S747" t="s">
        <v>8974</v>
      </c>
      <c r="T747" t="s">
        <v>8975</v>
      </c>
      <c r="U747" t="s">
        <v>98</v>
      </c>
      <c r="V747" s="1">
        <v>44561</v>
      </c>
      <c r="W747" t="s">
        <v>8102</v>
      </c>
      <c r="X747" t="s">
        <v>8103</v>
      </c>
      <c r="Y747" t="s">
        <v>8976</v>
      </c>
      <c r="Z747">
        <v>5</v>
      </c>
      <c r="AA747" t="s">
        <v>118</v>
      </c>
      <c r="AB747" t="s">
        <v>8977</v>
      </c>
      <c r="AC747" t="s">
        <v>8106</v>
      </c>
      <c r="AD747" t="s">
        <v>299</v>
      </c>
      <c r="AE747">
        <v>2613750</v>
      </c>
      <c r="AF747">
        <v>39206</v>
      </c>
      <c r="AJ747" t="str">
        <f>_xlfn.XLOOKUP(Table9[[#This Row],[Engine No.]],'[1]Dubai Islamic Consumer'!$Q$3:$Q$1176,'[1]Dubai Islamic Consumer'!$B$3:$B$1176,,,)</f>
        <v>KHI/HO/D/MO/PC COMP/C/103702/151/12/2024</v>
      </c>
    </row>
    <row r="748" spans="1:36" x14ac:dyDescent="0.25">
      <c r="A748">
        <v>747</v>
      </c>
      <c r="B748" s="2" t="s">
        <v>8030</v>
      </c>
      <c r="C748" t="s">
        <v>8978</v>
      </c>
      <c r="D748" t="s">
        <v>37</v>
      </c>
      <c r="E748" t="s">
        <v>8979</v>
      </c>
      <c r="F748" t="s">
        <v>138</v>
      </c>
      <c r="G748" t="s">
        <v>8980</v>
      </c>
      <c r="H748" t="s">
        <v>8981</v>
      </c>
      <c r="I748" t="s">
        <v>8981</v>
      </c>
      <c r="J748" t="s">
        <v>141</v>
      </c>
      <c r="K748" t="s">
        <v>8982</v>
      </c>
      <c r="L748">
        <v>2426250</v>
      </c>
      <c r="M748">
        <v>3235000</v>
      </c>
      <c r="N748" t="s">
        <v>8983</v>
      </c>
      <c r="O748" s="1">
        <v>45655</v>
      </c>
      <c r="P748" t="s">
        <v>8984</v>
      </c>
      <c r="Q748" t="s">
        <v>8985</v>
      </c>
      <c r="R748" t="s">
        <v>1215</v>
      </c>
      <c r="S748" t="s">
        <v>48</v>
      </c>
      <c r="T748" t="s">
        <v>8986</v>
      </c>
      <c r="U748" t="s">
        <v>335</v>
      </c>
      <c r="V748" s="1">
        <v>44196</v>
      </c>
      <c r="W748" t="s">
        <v>8114</v>
      </c>
      <c r="X748" t="s">
        <v>8103</v>
      </c>
      <c r="Y748" t="s">
        <v>8987</v>
      </c>
      <c r="Z748">
        <v>6</v>
      </c>
      <c r="AA748" t="s">
        <v>55</v>
      </c>
      <c r="AB748" t="s">
        <v>8988</v>
      </c>
      <c r="AC748" t="s">
        <v>1029</v>
      </c>
      <c r="AD748" t="s">
        <v>58</v>
      </c>
      <c r="AE748">
        <v>2588000</v>
      </c>
      <c r="AF748">
        <v>51760</v>
      </c>
      <c r="AJ748" t="str">
        <f>_xlfn.XLOOKUP(Table9[[#This Row],[Engine No.]],'[1]Dubai Islamic Consumer'!$Q$3:$Q$1176,'[1]Dubai Islamic Consumer'!$B$3:$B$1176,,,)</f>
        <v>KHI/HO/D/MO/PC COMP/C/103702/152/12/2024</v>
      </c>
    </row>
    <row r="749" spans="1:36" x14ac:dyDescent="0.25">
      <c r="A749">
        <v>748</v>
      </c>
      <c r="B749" s="2" t="s">
        <v>8030</v>
      </c>
      <c r="C749" t="s">
        <v>8989</v>
      </c>
      <c r="D749" t="s">
        <v>37</v>
      </c>
      <c r="E749" t="s">
        <v>8990</v>
      </c>
      <c r="F749" t="s">
        <v>138</v>
      </c>
      <c r="G749" t="s">
        <v>8991</v>
      </c>
      <c r="H749" t="s">
        <v>8992</v>
      </c>
      <c r="I749" t="s">
        <v>8992</v>
      </c>
      <c r="J749" t="s">
        <v>141</v>
      </c>
      <c r="K749" t="s">
        <v>8993</v>
      </c>
      <c r="L749">
        <v>2030000</v>
      </c>
      <c r="M749">
        <v>2900000</v>
      </c>
      <c r="N749" t="s">
        <v>8994</v>
      </c>
      <c r="O749" s="1">
        <v>45655</v>
      </c>
      <c r="P749" t="s">
        <v>8995</v>
      </c>
      <c r="Q749" t="s">
        <v>8996</v>
      </c>
      <c r="R749" t="s">
        <v>146</v>
      </c>
      <c r="S749" t="s">
        <v>8997</v>
      </c>
      <c r="T749" t="s">
        <v>2918</v>
      </c>
      <c r="U749" t="s">
        <v>50</v>
      </c>
      <c r="V749" s="1">
        <v>44561</v>
      </c>
      <c r="W749" t="s">
        <v>8102</v>
      </c>
      <c r="X749" t="s">
        <v>8103</v>
      </c>
      <c r="Y749" t="s">
        <v>8998</v>
      </c>
      <c r="Z749">
        <v>5</v>
      </c>
      <c r="AA749" t="s">
        <v>118</v>
      </c>
      <c r="AB749" t="s">
        <v>8999</v>
      </c>
      <c r="AC749" t="s">
        <v>8563</v>
      </c>
      <c r="AD749" t="s">
        <v>299</v>
      </c>
      <c r="AE749">
        <v>2465000</v>
      </c>
      <c r="AF749">
        <v>36975</v>
      </c>
      <c r="AJ749" t="str">
        <f>_xlfn.XLOOKUP(Table9[[#This Row],[Engine No.]],'[1]Dubai Islamic Consumer'!$Q$3:$Q$1176,'[1]Dubai Islamic Consumer'!$B$3:$B$1176,,,)</f>
        <v>KHI/HO/D/MO/PC COMP/C/103702/153/12/2024</v>
      </c>
    </row>
    <row r="750" spans="1:36" x14ac:dyDescent="0.25">
      <c r="A750">
        <v>749</v>
      </c>
      <c r="B750" s="2" t="s">
        <v>8030</v>
      </c>
      <c r="C750" t="s">
        <v>9000</v>
      </c>
      <c r="D750" t="s">
        <v>37</v>
      </c>
      <c r="E750" t="s">
        <v>9001</v>
      </c>
      <c r="F750" t="s">
        <v>138</v>
      </c>
      <c r="G750" t="s">
        <v>9002</v>
      </c>
      <c r="H750" t="s">
        <v>9003</v>
      </c>
      <c r="I750" t="s">
        <v>9003</v>
      </c>
      <c r="J750" t="s">
        <v>9003</v>
      </c>
      <c r="K750" t="s">
        <v>9004</v>
      </c>
      <c r="L750">
        <v>1960000</v>
      </c>
      <c r="M750">
        <v>2800000</v>
      </c>
      <c r="N750" t="s">
        <v>9005</v>
      </c>
      <c r="O750" s="1">
        <v>45655</v>
      </c>
      <c r="P750" t="s">
        <v>9006</v>
      </c>
      <c r="Q750" t="s">
        <v>9007</v>
      </c>
      <c r="R750" t="s">
        <v>146</v>
      </c>
      <c r="S750" t="s">
        <v>48</v>
      </c>
      <c r="T750" t="s">
        <v>5208</v>
      </c>
      <c r="U750" t="s">
        <v>50</v>
      </c>
      <c r="V750" s="1">
        <v>44561</v>
      </c>
      <c r="W750" t="s">
        <v>8102</v>
      </c>
      <c r="X750" t="s">
        <v>7530</v>
      </c>
      <c r="Y750" t="s">
        <v>9008</v>
      </c>
      <c r="Z750">
        <v>3</v>
      </c>
      <c r="AA750" t="s">
        <v>118</v>
      </c>
      <c r="AB750" t="s">
        <v>9009</v>
      </c>
      <c r="AC750" t="s">
        <v>8563</v>
      </c>
      <c r="AD750" t="s">
        <v>299</v>
      </c>
      <c r="AE750">
        <v>2380000</v>
      </c>
      <c r="AF750">
        <v>35700</v>
      </c>
      <c r="AJ750" t="str">
        <f>_xlfn.XLOOKUP(Table9[[#This Row],[Engine No.]],'[1]Dubai Islamic Consumer'!$Q$3:$Q$1176,'[1]Dubai Islamic Consumer'!$B$3:$B$1176,,,)</f>
        <v>KHI/HO/D/MO/PC COMP/C/103702/154/12/2024</v>
      </c>
    </row>
    <row r="751" spans="1:36" x14ac:dyDescent="0.25">
      <c r="A751">
        <v>750</v>
      </c>
      <c r="B751" s="2" t="s">
        <v>8030</v>
      </c>
      <c r="C751" t="s">
        <v>9010</v>
      </c>
      <c r="D751" t="s">
        <v>37</v>
      </c>
      <c r="E751" t="s">
        <v>9011</v>
      </c>
      <c r="F751" t="s">
        <v>107</v>
      </c>
      <c r="G751" t="s">
        <v>9012</v>
      </c>
      <c r="H751" t="s">
        <v>9013</v>
      </c>
      <c r="I751" t="s">
        <v>9013</v>
      </c>
      <c r="J751" t="s">
        <v>9013</v>
      </c>
      <c r="K751" t="s">
        <v>9014</v>
      </c>
      <c r="L751">
        <v>2148750</v>
      </c>
      <c r="M751">
        <v>2865000</v>
      </c>
      <c r="N751" t="s">
        <v>9015</v>
      </c>
      <c r="O751" s="1">
        <v>45655</v>
      </c>
      <c r="P751" t="s">
        <v>9016</v>
      </c>
      <c r="Q751" t="s">
        <v>9017</v>
      </c>
      <c r="R751" t="s">
        <v>47</v>
      </c>
      <c r="S751" t="s">
        <v>48</v>
      </c>
      <c r="T751" t="s">
        <v>1166</v>
      </c>
      <c r="U751" t="s">
        <v>98</v>
      </c>
      <c r="V751" s="1">
        <v>44130</v>
      </c>
      <c r="W751" t="s">
        <v>8114</v>
      </c>
      <c r="X751" t="s">
        <v>8115</v>
      </c>
      <c r="Y751" t="s">
        <v>9018</v>
      </c>
      <c r="Z751">
        <v>5</v>
      </c>
      <c r="AA751" t="s">
        <v>55</v>
      </c>
      <c r="AB751" t="s">
        <v>9019</v>
      </c>
      <c r="AC751" t="s">
        <v>1029</v>
      </c>
      <c r="AD751" t="s">
        <v>58</v>
      </c>
      <c r="AE751">
        <v>2292000</v>
      </c>
      <c r="AF751">
        <v>45840</v>
      </c>
      <c r="AJ751" t="str">
        <f>_xlfn.XLOOKUP(Table9[[#This Row],[Engine No.]],'[1]Dubai Islamic Consumer'!$Q$3:$Q$1176,'[1]Dubai Islamic Consumer'!$B$3:$B$1176,,,)</f>
        <v>KHI/HO/D/MO/PC COMP/C/103702/155/12/2024</v>
      </c>
    </row>
    <row r="752" spans="1:36" x14ac:dyDescent="0.25">
      <c r="A752">
        <v>751</v>
      </c>
      <c r="B752" s="2" t="s">
        <v>8030</v>
      </c>
      <c r="C752" t="s">
        <v>9020</v>
      </c>
      <c r="D752" t="s">
        <v>37</v>
      </c>
      <c r="E752" t="s">
        <v>9021</v>
      </c>
      <c r="F752" t="s">
        <v>138</v>
      </c>
      <c r="G752" t="s">
        <v>9022</v>
      </c>
      <c r="H752" t="s">
        <v>9023</v>
      </c>
      <c r="I752" t="s">
        <v>9023</v>
      </c>
      <c r="J752" t="s">
        <v>9024</v>
      </c>
      <c r="K752" t="s">
        <v>9025</v>
      </c>
      <c r="L752">
        <v>1576000</v>
      </c>
      <c r="M752">
        <v>1970000</v>
      </c>
      <c r="N752" t="s">
        <v>9026</v>
      </c>
      <c r="O752" s="1">
        <v>45655</v>
      </c>
      <c r="P752" t="s">
        <v>9027</v>
      </c>
      <c r="Q752" t="s">
        <v>9028</v>
      </c>
      <c r="R752" t="s">
        <v>146</v>
      </c>
      <c r="S752" t="s">
        <v>9029</v>
      </c>
      <c r="T752" t="s">
        <v>1909</v>
      </c>
      <c r="U752" t="s">
        <v>98</v>
      </c>
      <c r="V752" s="1">
        <v>44561</v>
      </c>
      <c r="W752" t="s">
        <v>8102</v>
      </c>
      <c r="X752" t="s">
        <v>8103</v>
      </c>
      <c r="Y752" t="s">
        <v>9030</v>
      </c>
      <c r="Z752">
        <v>5</v>
      </c>
      <c r="AA752" t="s">
        <v>118</v>
      </c>
      <c r="AB752" t="s">
        <v>9031</v>
      </c>
      <c r="AC752" t="s">
        <v>8563</v>
      </c>
      <c r="AD752" t="s">
        <v>299</v>
      </c>
      <c r="AE752">
        <v>1674500</v>
      </c>
      <c r="AF752">
        <v>25118</v>
      </c>
      <c r="AJ752" t="str">
        <f>_xlfn.XLOOKUP(Table9[[#This Row],[Engine No.]],'[1]Dubai Islamic Consumer'!$Q$3:$Q$1176,'[1]Dubai Islamic Consumer'!$B$3:$B$1176,,,)</f>
        <v>KHI/HO/D/MO/PC COMP/C/103702/156/12/2024</v>
      </c>
    </row>
    <row r="753" spans="1:36" x14ac:dyDescent="0.25">
      <c r="A753">
        <v>752</v>
      </c>
      <c r="B753" s="2" t="s">
        <v>8030</v>
      </c>
      <c r="C753" t="s">
        <v>9032</v>
      </c>
      <c r="D753" t="s">
        <v>37</v>
      </c>
      <c r="E753" t="s">
        <v>9033</v>
      </c>
      <c r="F753" t="s">
        <v>138</v>
      </c>
      <c r="G753" t="s">
        <v>9034</v>
      </c>
      <c r="H753" t="s">
        <v>9035</v>
      </c>
      <c r="I753" t="s">
        <v>9035</v>
      </c>
      <c r="J753" t="s">
        <v>9036</v>
      </c>
      <c r="K753" t="s">
        <v>9037</v>
      </c>
      <c r="L753">
        <v>1400000</v>
      </c>
      <c r="M753">
        <v>2000000</v>
      </c>
      <c r="N753" t="s">
        <v>9038</v>
      </c>
      <c r="O753" s="1">
        <v>45655</v>
      </c>
      <c r="P753" t="s">
        <v>9039</v>
      </c>
      <c r="Q753" t="s">
        <v>9040</v>
      </c>
      <c r="R753" t="s">
        <v>146</v>
      </c>
      <c r="S753" t="s">
        <v>9041</v>
      </c>
      <c r="T753" t="s">
        <v>1732</v>
      </c>
      <c r="U753" t="s">
        <v>903</v>
      </c>
      <c r="V753" s="1">
        <v>44561</v>
      </c>
      <c r="W753" t="s">
        <v>8102</v>
      </c>
      <c r="X753" t="s">
        <v>8103</v>
      </c>
      <c r="Y753" t="s">
        <v>9042</v>
      </c>
      <c r="Z753">
        <v>5</v>
      </c>
      <c r="AA753" t="s">
        <v>118</v>
      </c>
      <c r="AB753" t="s">
        <v>9043</v>
      </c>
      <c r="AC753" t="s">
        <v>8563</v>
      </c>
      <c r="AD753" t="s">
        <v>299</v>
      </c>
      <c r="AE753">
        <v>1700000</v>
      </c>
      <c r="AF753">
        <v>25500</v>
      </c>
      <c r="AJ753" t="str">
        <f>_xlfn.XLOOKUP(Table9[[#This Row],[Engine No.]],'[1]Dubai Islamic Consumer'!$Q$3:$Q$1176,'[1]Dubai Islamic Consumer'!$B$3:$B$1176,,,)</f>
        <v>KHI/HO/D/MO/PC COMP/C/103702/157/12/2024</v>
      </c>
    </row>
    <row r="754" spans="1:36" x14ac:dyDescent="0.25">
      <c r="A754">
        <v>753</v>
      </c>
      <c r="B754" s="2" t="s">
        <v>8030</v>
      </c>
      <c r="C754" t="s">
        <v>9044</v>
      </c>
      <c r="D754" t="s">
        <v>37</v>
      </c>
      <c r="E754" t="s">
        <v>9045</v>
      </c>
      <c r="F754" t="s">
        <v>89</v>
      </c>
      <c r="G754" t="s">
        <v>9046</v>
      </c>
      <c r="H754" t="s">
        <v>9047</v>
      </c>
      <c r="I754" t="s">
        <v>48</v>
      </c>
      <c r="J754" t="s">
        <v>9048</v>
      </c>
      <c r="K754" t="s">
        <v>9049</v>
      </c>
      <c r="L754">
        <v>1640000</v>
      </c>
      <c r="M754">
        <v>2050000</v>
      </c>
      <c r="N754" t="s">
        <v>9050</v>
      </c>
      <c r="O754" s="1">
        <v>45655</v>
      </c>
      <c r="P754" t="s">
        <v>9051</v>
      </c>
      <c r="Q754" t="s">
        <v>9052</v>
      </c>
      <c r="R754" t="s">
        <v>146</v>
      </c>
      <c r="S754" t="s">
        <v>9053</v>
      </c>
      <c r="T754" t="s">
        <v>6302</v>
      </c>
      <c r="U754" t="s">
        <v>903</v>
      </c>
      <c r="V754" s="1">
        <v>44196</v>
      </c>
      <c r="W754" t="s">
        <v>8114</v>
      </c>
      <c r="X754" t="s">
        <v>8115</v>
      </c>
      <c r="Y754" t="s">
        <v>9054</v>
      </c>
      <c r="Z754">
        <v>5</v>
      </c>
      <c r="AA754" t="s">
        <v>152</v>
      </c>
      <c r="AB754" t="s">
        <v>9055</v>
      </c>
      <c r="AC754" t="s">
        <v>9056</v>
      </c>
      <c r="AD754" t="s">
        <v>58</v>
      </c>
      <c r="AE754">
        <v>1640000</v>
      </c>
      <c r="AF754">
        <v>32800</v>
      </c>
      <c r="AJ754" t="str">
        <f>_xlfn.XLOOKUP(Table9[[#This Row],[Engine No.]],'[1]Dubai Islamic Consumer'!$Q$3:$Q$1176,'[1]Dubai Islamic Consumer'!$B$3:$B$1176,,,)</f>
        <v>KHI/HO/D/MO/PC COMP/C/103702/158/12/2024</v>
      </c>
    </row>
    <row r="755" spans="1:36" x14ac:dyDescent="0.25">
      <c r="A755">
        <v>754</v>
      </c>
      <c r="B755" s="2" t="s">
        <v>8030</v>
      </c>
      <c r="C755" t="s">
        <v>9057</v>
      </c>
      <c r="D755" t="s">
        <v>37</v>
      </c>
      <c r="E755" t="s">
        <v>9058</v>
      </c>
      <c r="F755" t="s">
        <v>107</v>
      </c>
      <c r="G755" t="s">
        <v>9059</v>
      </c>
      <c r="H755" t="s">
        <v>9060</v>
      </c>
      <c r="I755" t="s">
        <v>9061</v>
      </c>
      <c r="J755" t="s">
        <v>9062</v>
      </c>
      <c r="K755" t="s">
        <v>9063</v>
      </c>
      <c r="L755">
        <v>1537600</v>
      </c>
      <c r="M755">
        <v>1922000</v>
      </c>
      <c r="N755" t="s">
        <v>9064</v>
      </c>
      <c r="O755" s="1">
        <v>45655</v>
      </c>
      <c r="P755" t="s">
        <v>9065</v>
      </c>
      <c r="Q755" t="s">
        <v>9066</v>
      </c>
      <c r="R755" t="s">
        <v>47</v>
      </c>
      <c r="S755" t="s">
        <v>48</v>
      </c>
      <c r="T755" t="s">
        <v>9067</v>
      </c>
      <c r="U755" t="s">
        <v>98</v>
      </c>
      <c r="V755" s="1">
        <v>44085</v>
      </c>
      <c r="W755" t="s">
        <v>8114</v>
      </c>
      <c r="X755" t="s">
        <v>8115</v>
      </c>
      <c r="Y755" t="s">
        <v>9068</v>
      </c>
      <c r="Z755">
        <v>5</v>
      </c>
      <c r="AA755" t="s">
        <v>227</v>
      </c>
      <c r="AB755" t="s">
        <v>9069</v>
      </c>
      <c r="AC755" t="s">
        <v>1029</v>
      </c>
      <c r="AD755" t="s">
        <v>58</v>
      </c>
      <c r="AE755">
        <v>1537600</v>
      </c>
      <c r="AF755">
        <v>30752</v>
      </c>
      <c r="AJ755" t="str">
        <f>_xlfn.XLOOKUP(Table9[[#This Row],[Engine No.]],'[1]Dubai Islamic Consumer'!$Q$3:$Q$1176,'[1]Dubai Islamic Consumer'!$B$3:$B$1176,,,)</f>
        <v>KHI/HO/D/MO/PC COMP/C/103702/159/12/2024</v>
      </c>
    </row>
    <row r="756" spans="1:36" x14ac:dyDescent="0.25">
      <c r="A756">
        <v>755</v>
      </c>
      <c r="B756" s="2" t="s">
        <v>8030</v>
      </c>
      <c r="C756" t="s">
        <v>9070</v>
      </c>
      <c r="D756" t="s">
        <v>37</v>
      </c>
      <c r="E756" t="s">
        <v>9071</v>
      </c>
      <c r="F756" t="s">
        <v>89</v>
      </c>
      <c r="G756" t="s">
        <v>9072</v>
      </c>
      <c r="H756" t="s">
        <v>9073</v>
      </c>
      <c r="I756" t="s">
        <v>48</v>
      </c>
      <c r="J756" t="s">
        <v>141</v>
      </c>
      <c r="K756" t="s">
        <v>9074</v>
      </c>
      <c r="L756">
        <v>1216800</v>
      </c>
      <c r="M756">
        <v>1521000</v>
      </c>
      <c r="N756" t="s">
        <v>9075</v>
      </c>
      <c r="O756" s="1">
        <v>45655</v>
      </c>
      <c r="P756" t="s">
        <v>9076</v>
      </c>
      <c r="Q756" t="s">
        <v>9077</v>
      </c>
      <c r="R756" t="s">
        <v>47</v>
      </c>
      <c r="S756" t="s">
        <v>48</v>
      </c>
      <c r="T756" t="s">
        <v>613</v>
      </c>
      <c r="U756" t="s">
        <v>50</v>
      </c>
      <c r="V756" s="1">
        <v>44561</v>
      </c>
      <c r="W756" t="s">
        <v>8102</v>
      </c>
      <c r="X756" t="s">
        <v>8103</v>
      </c>
      <c r="Y756" t="s">
        <v>9078</v>
      </c>
      <c r="Z756">
        <v>5</v>
      </c>
      <c r="AA756" t="s">
        <v>55</v>
      </c>
      <c r="AB756" t="s">
        <v>9079</v>
      </c>
      <c r="AC756" t="s">
        <v>8106</v>
      </c>
      <c r="AD756" t="s">
        <v>58</v>
      </c>
      <c r="AE756">
        <v>1292850</v>
      </c>
      <c r="AF756">
        <v>25857</v>
      </c>
      <c r="AJ756" t="str">
        <f>_xlfn.XLOOKUP(Table9[[#This Row],[Engine No.]],'[1]Dubai Islamic Consumer'!$Q$3:$Q$1176,'[1]Dubai Islamic Consumer'!$B$3:$B$1176,,,)</f>
        <v>KHI/HO/D/MO/PC COMP/C/103702/162/12/2024</v>
      </c>
    </row>
    <row r="757" spans="1:36" x14ac:dyDescent="0.25">
      <c r="A757">
        <v>756</v>
      </c>
      <c r="B757" s="2" t="s">
        <v>8030</v>
      </c>
      <c r="C757" t="s">
        <v>9080</v>
      </c>
      <c r="D757" t="s">
        <v>37</v>
      </c>
      <c r="E757" t="s">
        <v>9081</v>
      </c>
      <c r="F757" t="s">
        <v>138</v>
      </c>
      <c r="G757" t="s">
        <v>9082</v>
      </c>
      <c r="H757" t="s">
        <v>9083</v>
      </c>
      <c r="I757" t="s">
        <v>9083</v>
      </c>
      <c r="J757" t="s">
        <v>141</v>
      </c>
      <c r="K757" t="s">
        <v>9084</v>
      </c>
      <c r="L757">
        <v>1176000</v>
      </c>
      <c r="M757">
        <v>2800000</v>
      </c>
      <c r="N757" t="s">
        <v>9085</v>
      </c>
      <c r="O757" s="1">
        <v>45655</v>
      </c>
      <c r="P757" t="s">
        <v>9086</v>
      </c>
      <c r="Q757" t="s">
        <v>9087</v>
      </c>
      <c r="R757" t="s">
        <v>146</v>
      </c>
      <c r="S757" t="s">
        <v>9088</v>
      </c>
      <c r="T757" t="s">
        <v>2357</v>
      </c>
      <c r="U757" t="s">
        <v>98</v>
      </c>
      <c r="V757" s="1">
        <v>44560</v>
      </c>
      <c r="W757" t="s">
        <v>8102</v>
      </c>
      <c r="X757" t="s">
        <v>8103</v>
      </c>
      <c r="Y757" t="s">
        <v>9089</v>
      </c>
      <c r="Z757">
        <v>5</v>
      </c>
      <c r="AA757" t="s">
        <v>118</v>
      </c>
      <c r="AB757" t="s">
        <v>9090</v>
      </c>
      <c r="AC757" t="s">
        <v>8563</v>
      </c>
      <c r="AD757" t="s">
        <v>299</v>
      </c>
      <c r="AE757">
        <v>2380000</v>
      </c>
      <c r="AF757">
        <v>35700</v>
      </c>
      <c r="AJ757" t="str">
        <f>_xlfn.XLOOKUP(Table9[[#This Row],[Engine No.]],'[1]Dubai Islamic Consumer'!$Q$3:$Q$1176,'[1]Dubai Islamic Consumer'!$B$3:$B$1176,,,)</f>
        <v>KHI/HO/D/MO/PC COMP/C/103702/163/12/2024</v>
      </c>
    </row>
    <row r="758" spans="1:36" x14ac:dyDescent="0.25">
      <c r="A758">
        <v>757</v>
      </c>
      <c r="B758" s="2" t="s">
        <v>8030</v>
      </c>
      <c r="C758" t="s">
        <v>9091</v>
      </c>
      <c r="D758" t="s">
        <v>37</v>
      </c>
      <c r="E758" t="s">
        <v>9092</v>
      </c>
      <c r="F758" t="s">
        <v>107</v>
      </c>
      <c r="G758" t="s">
        <v>9093</v>
      </c>
      <c r="H758" t="s">
        <v>9094</v>
      </c>
      <c r="I758" t="s">
        <v>9094</v>
      </c>
      <c r="J758" t="s">
        <v>9095</v>
      </c>
      <c r="K758" t="s">
        <v>9096</v>
      </c>
      <c r="L758">
        <v>1120000</v>
      </c>
      <c r="M758">
        <v>1400000</v>
      </c>
      <c r="N758" t="s">
        <v>9097</v>
      </c>
      <c r="O758" s="1">
        <v>45655</v>
      </c>
      <c r="P758" t="s">
        <v>9098</v>
      </c>
      <c r="Q758" t="s">
        <v>9099</v>
      </c>
      <c r="R758" t="s">
        <v>146</v>
      </c>
      <c r="S758" t="s">
        <v>9100</v>
      </c>
      <c r="T758" t="s">
        <v>321</v>
      </c>
      <c r="U758" t="s">
        <v>651</v>
      </c>
      <c r="V758" s="1">
        <v>44567</v>
      </c>
      <c r="W758" t="s">
        <v>2981</v>
      </c>
      <c r="X758" t="s">
        <v>2982</v>
      </c>
      <c r="Y758" t="s">
        <v>9101</v>
      </c>
      <c r="Z758">
        <v>5</v>
      </c>
      <c r="AA758" t="s">
        <v>55</v>
      </c>
      <c r="AB758" t="s">
        <v>9102</v>
      </c>
      <c r="AC758" t="s">
        <v>8106</v>
      </c>
      <c r="AD758" t="s">
        <v>299</v>
      </c>
      <c r="AE758">
        <v>1190000</v>
      </c>
      <c r="AF758">
        <v>17850</v>
      </c>
      <c r="AJ758" t="str">
        <f>_xlfn.XLOOKUP(Table9[[#This Row],[Engine No.]],'[1]Dubai Islamic Consumer'!$Q$3:$Q$1176,'[1]Dubai Islamic Consumer'!$B$3:$B$1176,,,)</f>
        <v>KHI/HO/D/MO/PC COMP/C/103702/165/12/2024</v>
      </c>
    </row>
    <row r="759" spans="1:36" x14ac:dyDescent="0.25">
      <c r="A759">
        <v>758</v>
      </c>
      <c r="B759" s="2" t="s">
        <v>8030</v>
      </c>
      <c r="C759" t="s">
        <v>9103</v>
      </c>
      <c r="D759" t="s">
        <v>37</v>
      </c>
      <c r="E759" t="s">
        <v>9104</v>
      </c>
      <c r="F759" t="s">
        <v>107</v>
      </c>
      <c r="G759" t="s">
        <v>9105</v>
      </c>
      <c r="H759" t="s">
        <v>9106</v>
      </c>
      <c r="I759" t="s">
        <v>9107</v>
      </c>
      <c r="J759" t="s">
        <v>9108</v>
      </c>
      <c r="K759" t="s">
        <v>9109</v>
      </c>
      <c r="L759">
        <v>1259750</v>
      </c>
      <c r="M759">
        <v>2519500</v>
      </c>
      <c r="N759" t="s">
        <v>9110</v>
      </c>
      <c r="O759" s="1">
        <v>45655</v>
      </c>
      <c r="P759" t="s">
        <v>9111</v>
      </c>
      <c r="Q759" t="s">
        <v>9112</v>
      </c>
      <c r="R759" t="s">
        <v>47</v>
      </c>
      <c r="S759" t="s">
        <v>48</v>
      </c>
      <c r="T759" t="s">
        <v>9113</v>
      </c>
      <c r="U759" t="s">
        <v>98</v>
      </c>
      <c r="V759" s="1">
        <v>44120</v>
      </c>
      <c r="W759" t="s">
        <v>8114</v>
      </c>
      <c r="X759" t="s">
        <v>8115</v>
      </c>
      <c r="Y759" t="s">
        <v>9114</v>
      </c>
      <c r="Z759">
        <v>5</v>
      </c>
      <c r="AA759" t="s">
        <v>55</v>
      </c>
      <c r="AB759" t="s">
        <v>9115</v>
      </c>
      <c r="AC759" t="s">
        <v>9056</v>
      </c>
      <c r="AD759" t="s">
        <v>58</v>
      </c>
      <c r="AE759">
        <v>2015600</v>
      </c>
      <c r="AF759">
        <v>40312</v>
      </c>
      <c r="AJ759" t="str">
        <f>_xlfn.XLOOKUP(Table9[[#This Row],[Engine No.]],'[1]Dubai Islamic Consumer'!$Q$3:$Q$1176,'[1]Dubai Islamic Consumer'!$B$3:$B$1176,,,)</f>
        <v>KHI/HO/D/MO/PC COMP/C/103702/169/12/2024</v>
      </c>
    </row>
    <row r="760" spans="1:36" x14ac:dyDescent="0.25">
      <c r="A760">
        <v>759</v>
      </c>
      <c r="B760" s="2" t="s">
        <v>8030</v>
      </c>
      <c r="C760" t="s">
        <v>9116</v>
      </c>
      <c r="D760" t="s">
        <v>37</v>
      </c>
      <c r="E760" t="s">
        <v>9117</v>
      </c>
      <c r="F760" t="s">
        <v>138</v>
      </c>
      <c r="G760" t="s">
        <v>9118</v>
      </c>
      <c r="H760" t="s">
        <v>9119</v>
      </c>
      <c r="I760" t="s">
        <v>9119</v>
      </c>
      <c r="J760" t="s">
        <v>141</v>
      </c>
      <c r="K760" t="s">
        <v>9120</v>
      </c>
      <c r="L760">
        <v>938000</v>
      </c>
      <c r="M760">
        <v>1340000</v>
      </c>
      <c r="N760" t="s">
        <v>9121</v>
      </c>
      <c r="O760" s="1">
        <v>45655</v>
      </c>
      <c r="P760" t="s">
        <v>9122</v>
      </c>
      <c r="Q760" t="s">
        <v>9123</v>
      </c>
      <c r="R760" t="s">
        <v>146</v>
      </c>
      <c r="S760" t="s">
        <v>9124</v>
      </c>
      <c r="T760" t="s">
        <v>859</v>
      </c>
      <c r="U760" t="s">
        <v>335</v>
      </c>
      <c r="V760" s="1">
        <v>44561</v>
      </c>
      <c r="W760" t="s">
        <v>8102</v>
      </c>
      <c r="X760" t="s">
        <v>8455</v>
      </c>
      <c r="Y760" t="s">
        <v>9125</v>
      </c>
      <c r="Z760">
        <v>7</v>
      </c>
      <c r="AA760" t="s">
        <v>118</v>
      </c>
      <c r="AB760" t="s">
        <v>9126</v>
      </c>
      <c r="AC760" t="s">
        <v>8563</v>
      </c>
      <c r="AD760" t="s">
        <v>299</v>
      </c>
      <c r="AE760">
        <v>1139000</v>
      </c>
      <c r="AF760">
        <v>17085</v>
      </c>
      <c r="AJ760" t="str">
        <f>_xlfn.XLOOKUP(Table9[[#This Row],[Engine No.]],'[1]Dubai Islamic Consumer'!$Q$3:$Q$1176,'[1]Dubai Islamic Consumer'!$B$3:$B$1176,,,)</f>
        <v>KHI/HO/D/MO/PC COMP/C/103702/170/12/2024</v>
      </c>
    </row>
    <row r="761" spans="1:36" x14ac:dyDescent="0.25">
      <c r="A761">
        <v>760</v>
      </c>
      <c r="B761" s="2" t="s">
        <v>8030</v>
      </c>
      <c r="C761" t="s">
        <v>9127</v>
      </c>
      <c r="D761" t="s">
        <v>37</v>
      </c>
      <c r="E761" t="s">
        <v>9128</v>
      </c>
      <c r="F761" t="s">
        <v>107</v>
      </c>
      <c r="G761" t="s">
        <v>9129</v>
      </c>
      <c r="H761" t="s">
        <v>9130</v>
      </c>
      <c r="I761" t="s">
        <v>9130</v>
      </c>
      <c r="J761" t="s">
        <v>9130</v>
      </c>
      <c r="K761" t="s">
        <v>9131</v>
      </c>
      <c r="L761">
        <v>859600</v>
      </c>
      <c r="M761">
        <v>2149000</v>
      </c>
      <c r="N761" t="s">
        <v>9132</v>
      </c>
      <c r="O761" s="1">
        <v>45655</v>
      </c>
      <c r="P761" t="s">
        <v>9133</v>
      </c>
      <c r="Q761" t="s">
        <v>9134</v>
      </c>
      <c r="R761" t="s">
        <v>146</v>
      </c>
      <c r="S761" t="s">
        <v>9135</v>
      </c>
      <c r="T761" t="s">
        <v>9136</v>
      </c>
      <c r="U761" t="s">
        <v>651</v>
      </c>
      <c r="V761" s="1">
        <v>44561</v>
      </c>
      <c r="W761" t="s">
        <v>8102</v>
      </c>
      <c r="X761" t="s">
        <v>8103</v>
      </c>
      <c r="Y761" t="s">
        <v>9137</v>
      </c>
      <c r="Z761">
        <v>5</v>
      </c>
      <c r="AA761" t="s">
        <v>55</v>
      </c>
      <c r="AB761" t="s">
        <v>9138</v>
      </c>
      <c r="AC761" t="s">
        <v>8106</v>
      </c>
      <c r="AD761" t="s">
        <v>299</v>
      </c>
      <c r="AE761">
        <v>1826650</v>
      </c>
      <c r="AF761">
        <v>27400</v>
      </c>
      <c r="AJ761" t="str">
        <f>_xlfn.XLOOKUP(Table9[[#This Row],[Engine No.]],'[1]Dubai Islamic Consumer'!$Q$3:$Q$1176,'[1]Dubai Islamic Consumer'!$B$3:$B$1176,,,)</f>
        <v>KHI/HO/D/MO/PC COMP/C/103702/171/12/2024</v>
      </c>
    </row>
    <row r="762" spans="1:36" x14ac:dyDescent="0.25">
      <c r="A762">
        <v>761</v>
      </c>
      <c r="B762" s="2" t="s">
        <v>8030</v>
      </c>
      <c r="C762" t="s">
        <v>9139</v>
      </c>
      <c r="D762" t="s">
        <v>37</v>
      </c>
      <c r="E762" t="s">
        <v>9140</v>
      </c>
      <c r="F762" t="s">
        <v>138</v>
      </c>
      <c r="G762" t="s">
        <v>9141</v>
      </c>
      <c r="H762" t="s">
        <v>9142</v>
      </c>
      <c r="I762" t="s">
        <v>9143</v>
      </c>
      <c r="J762" t="s">
        <v>9144</v>
      </c>
      <c r="K762" t="s">
        <v>9145</v>
      </c>
      <c r="L762">
        <v>1312000</v>
      </c>
      <c r="M762">
        <v>2050000</v>
      </c>
      <c r="N762" t="s">
        <v>9146</v>
      </c>
      <c r="O762" s="1">
        <v>45655</v>
      </c>
      <c r="P762" t="s">
        <v>9147</v>
      </c>
      <c r="Q762" t="s">
        <v>9148</v>
      </c>
      <c r="R762" t="s">
        <v>47</v>
      </c>
      <c r="S762" t="s">
        <v>48</v>
      </c>
      <c r="T762" t="s">
        <v>9149</v>
      </c>
      <c r="U762" t="s">
        <v>614</v>
      </c>
      <c r="V762" s="1">
        <v>43829</v>
      </c>
      <c r="W762" t="s">
        <v>8088</v>
      </c>
      <c r="X762" t="s">
        <v>7530</v>
      </c>
      <c r="Y762" t="s">
        <v>9150</v>
      </c>
      <c r="Z762">
        <v>5</v>
      </c>
      <c r="AA762" t="s">
        <v>227</v>
      </c>
      <c r="AB762" t="s">
        <v>9151</v>
      </c>
      <c r="AC762" t="s">
        <v>9152</v>
      </c>
      <c r="AD762" t="s">
        <v>171</v>
      </c>
      <c r="AE762">
        <v>1537500</v>
      </c>
      <c r="AF762">
        <v>38438</v>
      </c>
      <c r="AJ762" t="str">
        <f>_xlfn.XLOOKUP(Table9[[#This Row],[Engine No.]],'[1]Dubai Islamic Consumer'!$Q$3:$Q$1176,'[1]Dubai Islamic Consumer'!$B$3:$B$1176,,,)</f>
        <v>KHI/HO/D/MO/PC COMP/C/103702/172/12/2024</v>
      </c>
    </row>
    <row r="763" spans="1:36" x14ac:dyDescent="0.25">
      <c r="A763">
        <v>762</v>
      </c>
      <c r="B763" s="2" t="s">
        <v>8030</v>
      </c>
      <c r="C763" t="s">
        <v>9153</v>
      </c>
      <c r="D763" t="s">
        <v>37</v>
      </c>
      <c r="E763" t="s">
        <v>9154</v>
      </c>
      <c r="F763" t="s">
        <v>525</v>
      </c>
      <c r="G763" t="s">
        <v>9155</v>
      </c>
      <c r="H763" t="s">
        <v>9156</v>
      </c>
      <c r="I763" t="s">
        <v>9156</v>
      </c>
      <c r="J763" t="s">
        <v>9157</v>
      </c>
      <c r="K763" t="s">
        <v>9158</v>
      </c>
      <c r="L763">
        <v>981000</v>
      </c>
      <c r="M763">
        <v>1308000</v>
      </c>
      <c r="N763" t="s">
        <v>9159</v>
      </c>
      <c r="O763" s="1">
        <v>45655</v>
      </c>
      <c r="P763" t="s">
        <v>9160</v>
      </c>
      <c r="Q763" t="s">
        <v>9161</v>
      </c>
      <c r="R763" t="s">
        <v>47</v>
      </c>
      <c r="S763" t="s">
        <v>48</v>
      </c>
      <c r="T763" t="s">
        <v>673</v>
      </c>
      <c r="U763" t="s">
        <v>614</v>
      </c>
      <c r="V763" s="1">
        <v>43829</v>
      </c>
      <c r="W763" t="s">
        <v>8088</v>
      </c>
      <c r="X763" t="s">
        <v>8103</v>
      </c>
      <c r="Y763" t="s">
        <v>9162</v>
      </c>
      <c r="Z763">
        <v>7</v>
      </c>
      <c r="AA763" t="s">
        <v>55</v>
      </c>
      <c r="AB763" t="s">
        <v>9163</v>
      </c>
      <c r="AC763" t="s">
        <v>9152</v>
      </c>
      <c r="AD763" t="s">
        <v>171</v>
      </c>
      <c r="AE763">
        <v>981000</v>
      </c>
      <c r="AF763">
        <v>24525</v>
      </c>
      <c r="AJ763" t="str">
        <f>_xlfn.XLOOKUP(Table9[[#This Row],[Engine No.]],'[1]Dubai Islamic Consumer'!$Q$3:$Q$1176,'[1]Dubai Islamic Consumer'!$B$3:$B$1176,,,)</f>
        <v>KHI/HO/D/MO/PC COMP/C/103702/173/12/2024</v>
      </c>
    </row>
    <row r="764" spans="1:36" x14ac:dyDescent="0.25">
      <c r="A764">
        <v>763</v>
      </c>
      <c r="B764" s="2" t="s">
        <v>8030</v>
      </c>
      <c r="C764" t="s">
        <v>9164</v>
      </c>
      <c r="D764" t="s">
        <v>37</v>
      </c>
      <c r="E764" t="s">
        <v>9165</v>
      </c>
      <c r="F764" t="s">
        <v>39</v>
      </c>
      <c r="G764" t="s">
        <v>9166</v>
      </c>
      <c r="H764" t="s">
        <v>9167</v>
      </c>
      <c r="I764" t="s">
        <v>9167</v>
      </c>
      <c r="J764" t="s">
        <v>9168</v>
      </c>
      <c r="K764" t="s">
        <v>9169</v>
      </c>
      <c r="L764">
        <v>875000</v>
      </c>
      <c r="M764">
        <v>1250000</v>
      </c>
      <c r="N764" t="s">
        <v>9170</v>
      </c>
      <c r="O764" s="1">
        <v>45655</v>
      </c>
      <c r="P764" t="s">
        <v>9171</v>
      </c>
      <c r="Q764" t="s">
        <v>9172</v>
      </c>
      <c r="R764" t="s">
        <v>146</v>
      </c>
      <c r="S764" t="s">
        <v>9173</v>
      </c>
      <c r="T764" t="s">
        <v>3356</v>
      </c>
      <c r="U764" t="s">
        <v>651</v>
      </c>
      <c r="V764" s="1">
        <v>43830</v>
      </c>
      <c r="W764" t="s">
        <v>8088</v>
      </c>
      <c r="X764" t="s">
        <v>8103</v>
      </c>
      <c r="Y764" t="s">
        <v>9174</v>
      </c>
      <c r="Z764">
        <v>7</v>
      </c>
      <c r="AA764" t="s">
        <v>227</v>
      </c>
      <c r="AB764" t="s">
        <v>9175</v>
      </c>
      <c r="AC764" t="s">
        <v>9152</v>
      </c>
      <c r="AD764" t="s">
        <v>171</v>
      </c>
      <c r="AE764">
        <v>937500</v>
      </c>
      <c r="AF764">
        <v>23438</v>
      </c>
      <c r="AJ764" t="str">
        <f>_xlfn.XLOOKUP(Table9[[#This Row],[Engine No.]],'[1]Dubai Islamic Consumer'!$Q$3:$Q$1176,'[1]Dubai Islamic Consumer'!$B$3:$B$1176,,,)</f>
        <v>KHI/HO/D/MO/PC COMP/C/103702/174/12/2024</v>
      </c>
    </row>
    <row r="765" spans="1:36" x14ac:dyDescent="0.25">
      <c r="A765">
        <v>764</v>
      </c>
      <c r="B765" s="2" t="s">
        <v>8030</v>
      </c>
      <c r="C765" t="s">
        <v>9176</v>
      </c>
      <c r="D765" t="s">
        <v>37</v>
      </c>
      <c r="E765" t="s">
        <v>9177</v>
      </c>
      <c r="F765" t="s">
        <v>245</v>
      </c>
      <c r="G765" t="s">
        <v>9178</v>
      </c>
      <c r="H765" t="s">
        <v>9179</v>
      </c>
      <c r="I765" t="s">
        <v>48</v>
      </c>
      <c r="J765" t="s">
        <v>9180</v>
      </c>
      <c r="K765" t="s">
        <v>9181</v>
      </c>
      <c r="L765">
        <v>712000</v>
      </c>
      <c r="M765">
        <v>890000</v>
      </c>
      <c r="N765" t="s">
        <v>9182</v>
      </c>
      <c r="O765" s="1">
        <v>45655</v>
      </c>
      <c r="P765" t="s">
        <v>9183</v>
      </c>
      <c r="Q765" t="s">
        <v>9184</v>
      </c>
      <c r="R765" t="s">
        <v>146</v>
      </c>
      <c r="S765" t="s">
        <v>9185</v>
      </c>
      <c r="T765" t="s">
        <v>2670</v>
      </c>
      <c r="U765" t="s">
        <v>496</v>
      </c>
      <c r="V765" s="1">
        <v>44561</v>
      </c>
      <c r="W765" t="s">
        <v>8102</v>
      </c>
      <c r="X765" t="s">
        <v>8103</v>
      </c>
      <c r="Y765" t="s">
        <v>9186</v>
      </c>
      <c r="Z765">
        <v>5</v>
      </c>
      <c r="AA765" t="s">
        <v>55</v>
      </c>
      <c r="AB765" t="s">
        <v>9187</v>
      </c>
      <c r="AC765" t="s">
        <v>8106</v>
      </c>
      <c r="AD765" t="s">
        <v>299</v>
      </c>
      <c r="AE765">
        <v>756500</v>
      </c>
      <c r="AF765">
        <v>11348</v>
      </c>
      <c r="AJ765" t="str">
        <f>_xlfn.XLOOKUP(Table9[[#This Row],[Engine No.]],'[1]Dubai Islamic Consumer'!$Q$3:$Q$1176,'[1]Dubai Islamic Consumer'!$B$3:$B$1176,,,)</f>
        <v>KHI/HO/D/MO/PC COMP/C/103702/179/12/2024</v>
      </c>
    </row>
    <row r="766" spans="1:36" x14ac:dyDescent="0.25">
      <c r="A766">
        <v>765</v>
      </c>
      <c r="B766" s="2" t="s">
        <v>8030</v>
      </c>
      <c r="C766" t="s">
        <v>9188</v>
      </c>
      <c r="D766" t="s">
        <v>37</v>
      </c>
      <c r="E766" t="s">
        <v>9189</v>
      </c>
      <c r="F766" t="s">
        <v>89</v>
      </c>
      <c r="G766" t="s">
        <v>9190</v>
      </c>
      <c r="H766" t="s">
        <v>9191</v>
      </c>
      <c r="I766" t="s">
        <v>48</v>
      </c>
      <c r="J766" t="s">
        <v>9192</v>
      </c>
      <c r="K766" t="s">
        <v>9193</v>
      </c>
      <c r="L766">
        <v>652500</v>
      </c>
      <c r="M766">
        <v>870000</v>
      </c>
      <c r="N766" t="s">
        <v>9194</v>
      </c>
      <c r="O766" s="1">
        <v>45655</v>
      </c>
      <c r="P766" t="s">
        <v>9195</v>
      </c>
      <c r="Q766" t="s">
        <v>9196</v>
      </c>
      <c r="R766" t="s">
        <v>146</v>
      </c>
      <c r="S766" t="s">
        <v>9197</v>
      </c>
      <c r="T766" t="s">
        <v>9198</v>
      </c>
      <c r="U766" t="s">
        <v>335</v>
      </c>
      <c r="V766" s="1">
        <v>44196</v>
      </c>
      <c r="W766" t="s">
        <v>8114</v>
      </c>
      <c r="X766" t="s">
        <v>7530</v>
      </c>
      <c r="Y766" t="s">
        <v>9199</v>
      </c>
      <c r="Z766">
        <v>4</v>
      </c>
      <c r="AA766" t="s">
        <v>227</v>
      </c>
      <c r="AB766" t="s">
        <v>9200</v>
      </c>
      <c r="AC766" t="s">
        <v>9056</v>
      </c>
      <c r="AD766" t="s">
        <v>58</v>
      </c>
      <c r="AE766">
        <v>696000</v>
      </c>
      <c r="AF766">
        <v>13920</v>
      </c>
      <c r="AJ766" t="str">
        <f>_xlfn.XLOOKUP(Table9[[#This Row],[Engine No.]],'[1]Dubai Islamic Consumer'!$Q$3:$Q$1176,'[1]Dubai Islamic Consumer'!$B$3:$B$1176,,,)</f>
        <v>KHI/HO/D/MO/PC COMP/C/103702/180/12/2024</v>
      </c>
    </row>
    <row r="767" spans="1:36" x14ac:dyDescent="0.25">
      <c r="A767">
        <v>766</v>
      </c>
      <c r="B767" s="2" t="s">
        <v>8030</v>
      </c>
      <c r="C767" t="s">
        <v>9201</v>
      </c>
      <c r="D767" t="s">
        <v>37</v>
      </c>
      <c r="E767" t="s">
        <v>9202</v>
      </c>
      <c r="F767" t="s">
        <v>4022</v>
      </c>
      <c r="G767" t="s">
        <v>9203</v>
      </c>
      <c r="H767" t="s">
        <v>9204</v>
      </c>
      <c r="I767" t="s">
        <v>9204</v>
      </c>
      <c r="J767" t="s">
        <v>9205</v>
      </c>
      <c r="K767" t="s">
        <v>9206</v>
      </c>
      <c r="L767">
        <v>1555500</v>
      </c>
      <c r="M767">
        <v>2074000</v>
      </c>
      <c r="N767" t="s">
        <v>9207</v>
      </c>
      <c r="O767" s="1">
        <v>45654</v>
      </c>
      <c r="P767" t="s">
        <v>9208</v>
      </c>
      <c r="Q767" t="s">
        <v>9209</v>
      </c>
      <c r="R767" t="s">
        <v>47</v>
      </c>
      <c r="S767" t="s">
        <v>48</v>
      </c>
      <c r="T767" t="s">
        <v>5028</v>
      </c>
      <c r="U767" t="s">
        <v>98</v>
      </c>
      <c r="V767" s="1">
        <v>44098</v>
      </c>
      <c r="W767" t="s">
        <v>8114</v>
      </c>
      <c r="X767" t="s">
        <v>8115</v>
      </c>
      <c r="Y767" t="s">
        <v>9210</v>
      </c>
      <c r="Z767">
        <v>5</v>
      </c>
      <c r="AA767" t="s">
        <v>55</v>
      </c>
      <c r="AB767" t="s">
        <v>9211</v>
      </c>
      <c r="AC767" t="s">
        <v>9212</v>
      </c>
      <c r="AD767" t="s">
        <v>58</v>
      </c>
      <c r="AE767">
        <v>1659200</v>
      </c>
      <c r="AF767">
        <v>33184</v>
      </c>
      <c r="AJ767" t="str">
        <f>_xlfn.XLOOKUP(Table9[[#This Row],[Engine No.]],'[1]Dubai Islamic Consumer'!$Q$3:$Q$1176,'[1]Dubai Islamic Consumer'!$B$3:$B$1176,,,)</f>
        <v>KHI/HO/D/MO/PC COMP/C/103702/181/12/2024</v>
      </c>
    </row>
    <row r="768" spans="1:36" x14ac:dyDescent="0.25">
      <c r="A768">
        <v>767</v>
      </c>
      <c r="B768" s="2" t="s">
        <v>8030</v>
      </c>
      <c r="C768" t="s">
        <v>9213</v>
      </c>
      <c r="D768" t="s">
        <v>37</v>
      </c>
      <c r="E768" t="s">
        <v>9214</v>
      </c>
      <c r="F768" t="s">
        <v>138</v>
      </c>
      <c r="G768" t="s">
        <v>9215</v>
      </c>
      <c r="H768" t="s">
        <v>9216</v>
      </c>
      <c r="I768" t="s">
        <v>9216</v>
      </c>
      <c r="J768" t="s">
        <v>141</v>
      </c>
      <c r="K768" t="s">
        <v>9217</v>
      </c>
      <c r="L768">
        <v>1697500</v>
      </c>
      <c r="M768">
        <v>2425000</v>
      </c>
      <c r="N768" t="s">
        <v>9218</v>
      </c>
      <c r="O768" t="s">
        <v>9219</v>
      </c>
      <c r="P768" t="s">
        <v>9220</v>
      </c>
      <c r="Q768" t="s">
        <v>9221</v>
      </c>
      <c r="R768" t="s">
        <v>146</v>
      </c>
      <c r="S768" t="s">
        <v>9222</v>
      </c>
      <c r="T768" t="s">
        <v>1909</v>
      </c>
      <c r="U768" t="s">
        <v>614</v>
      </c>
      <c r="V768" s="1">
        <v>45290</v>
      </c>
      <c r="W768" t="s">
        <v>8767</v>
      </c>
      <c r="X768" t="s">
        <v>8455</v>
      </c>
      <c r="Y768" t="s">
        <v>9223</v>
      </c>
      <c r="Z768">
        <v>5</v>
      </c>
      <c r="AA768" t="s">
        <v>152</v>
      </c>
      <c r="AB768" t="s">
        <v>9224</v>
      </c>
      <c r="AC768" t="s">
        <v>9225</v>
      </c>
      <c r="AD768" t="s">
        <v>86</v>
      </c>
      <c r="AE768">
        <v>2182500</v>
      </c>
      <c r="AF768">
        <v>38194</v>
      </c>
      <c r="AJ768" t="str">
        <f>_xlfn.XLOOKUP(Table9[[#This Row],[Engine No.]],'[1]Dubai Islamic Consumer'!$Q$3:$Q$1176,'[1]Dubai Islamic Consumer'!$B$3:$B$1176,,,)</f>
        <v>KHI/HO/D/MO/PC COMP/C/103702/182/12/2024</v>
      </c>
    </row>
    <row r="769" spans="1:36" x14ac:dyDescent="0.25">
      <c r="A769">
        <v>768</v>
      </c>
      <c r="B769" s="2" t="s">
        <v>8030</v>
      </c>
      <c r="C769" t="s">
        <v>9226</v>
      </c>
      <c r="D769" t="s">
        <v>37</v>
      </c>
      <c r="E769" t="s">
        <v>9227</v>
      </c>
      <c r="F769" t="s">
        <v>138</v>
      </c>
      <c r="G769" t="s">
        <v>9228</v>
      </c>
      <c r="H769" t="s">
        <v>48</v>
      </c>
      <c r="I769" t="s">
        <v>9229</v>
      </c>
      <c r="J769" t="s">
        <v>48</v>
      </c>
      <c r="K769" t="s">
        <v>9230</v>
      </c>
      <c r="L769">
        <v>2240000</v>
      </c>
      <c r="M769">
        <v>3200000</v>
      </c>
      <c r="N769" t="s">
        <v>9231</v>
      </c>
      <c r="O769" t="s">
        <v>9219</v>
      </c>
      <c r="P769" t="s">
        <v>9232</v>
      </c>
      <c r="Q769" t="s">
        <v>9233</v>
      </c>
      <c r="R769" t="s">
        <v>146</v>
      </c>
      <c r="S769" t="s">
        <v>9234</v>
      </c>
      <c r="T769" t="s">
        <v>3282</v>
      </c>
      <c r="U769" t="s">
        <v>50</v>
      </c>
      <c r="V769" s="1">
        <v>45290</v>
      </c>
      <c r="W769" t="s">
        <v>8767</v>
      </c>
      <c r="X769" t="s">
        <v>8103</v>
      </c>
      <c r="Y769" t="s">
        <v>9235</v>
      </c>
      <c r="Z769">
        <v>3</v>
      </c>
      <c r="AA769" t="s">
        <v>152</v>
      </c>
      <c r="AB769" t="s">
        <v>9236</v>
      </c>
      <c r="AC769" t="s">
        <v>8770</v>
      </c>
      <c r="AD769" t="s">
        <v>86</v>
      </c>
      <c r="AE769">
        <v>2880000</v>
      </c>
      <c r="AF769">
        <v>50400</v>
      </c>
      <c r="AJ769" t="str">
        <f>_xlfn.XLOOKUP(Table9[[#This Row],[Engine No.]],'[1]Dubai Islamic Consumer'!$Q$3:$Q$1176,'[1]Dubai Islamic Consumer'!$B$3:$B$1176,,,)</f>
        <v>KHI/HO/D/MO/PC COMP/C/103702/183/12/2024</v>
      </c>
    </row>
    <row r="770" spans="1:36" x14ac:dyDescent="0.25">
      <c r="A770">
        <v>769</v>
      </c>
      <c r="B770" s="2" t="s">
        <v>8030</v>
      </c>
      <c r="C770" t="s">
        <v>9237</v>
      </c>
      <c r="D770" t="s">
        <v>37</v>
      </c>
      <c r="E770" t="s">
        <v>9238</v>
      </c>
      <c r="F770" t="s">
        <v>138</v>
      </c>
      <c r="G770" t="s">
        <v>9239</v>
      </c>
      <c r="H770" t="s">
        <v>9240</v>
      </c>
      <c r="I770" t="s">
        <v>9240</v>
      </c>
      <c r="J770" t="s">
        <v>9240</v>
      </c>
      <c r="K770" t="s">
        <v>9241</v>
      </c>
      <c r="L770">
        <v>1372000</v>
      </c>
      <c r="M770">
        <v>1960000</v>
      </c>
      <c r="N770" t="s">
        <v>9242</v>
      </c>
      <c r="O770" s="1">
        <v>45654</v>
      </c>
      <c r="P770" t="s">
        <v>9243</v>
      </c>
      <c r="Q770" t="s">
        <v>9244</v>
      </c>
      <c r="R770" t="s">
        <v>146</v>
      </c>
      <c r="S770" t="s">
        <v>9245</v>
      </c>
      <c r="T770" t="s">
        <v>2994</v>
      </c>
      <c r="U770" t="s">
        <v>98</v>
      </c>
      <c r="V770" s="1">
        <v>44560</v>
      </c>
      <c r="W770" t="s">
        <v>8102</v>
      </c>
      <c r="X770" t="s">
        <v>8103</v>
      </c>
      <c r="Y770" t="s">
        <v>9246</v>
      </c>
      <c r="Z770">
        <v>5</v>
      </c>
      <c r="AA770" t="s">
        <v>118</v>
      </c>
      <c r="AB770" t="s">
        <v>9247</v>
      </c>
      <c r="AC770" t="s">
        <v>9248</v>
      </c>
      <c r="AD770" t="s">
        <v>299</v>
      </c>
      <c r="AE770">
        <v>1666000</v>
      </c>
      <c r="AF770">
        <v>24990</v>
      </c>
      <c r="AJ770" t="str">
        <f>_xlfn.XLOOKUP(Table9[[#This Row],[Engine No.]],'[1]Dubai Islamic Consumer'!$Q$3:$Q$1176,'[1]Dubai Islamic Consumer'!$B$3:$B$1176,,,)</f>
        <v>KHI/HO/D/MO/PC COMP/C/103702/184/12/2024</v>
      </c>
    </row>
    <row r="771" spans="1:36" x14ac:dyDescent="0.25">
      <c r="A771">
        <v>770</v>
      </c>
      <c r="B771" s="2" t="s">
        <v>8030</v>
      </c>
      <c r="C771" t="s">
        <v>9249</v>
      </c>
      <c r="D771" t="s">
        <v>37</v>
      </c>
      <c r="E771" t="s">
        <v>9250</v>
      </c>
      <c r="F771" t="s">
        <v>525</v>
      </c>
      <c r="G771" t="s">
        <v>9251</v>
      </c>
      <c r="H771" t="s">
        <v>9252</v>
      </c>
      <c r="I771" t="s">
        <v>9252</v>
      </c>
      <c r="J771" t="s">
        <v>9252</v>
      </c>
      <c r="K771" t="s">
        <v>9253</v>
      </c>
      <c r="L771">
        <v>1399300</v>
      </c>
      <c r="M771">
        <v>1999000</v>
      </c>
      <c r="N771" t="s">
        <v>9254</v>
      </c>
      <c r="O771" s="1">
        <v>45654</v>
      </c>
      <c r="P771" t="s">
        <v>9255</v>
      </c>
      <c r="Q771" t="s">
        <v>9256</v>
      </c>
      <c r="R771" t="s">
        <v>47</v>
      </c>
      <c r="S771" t="s">
        <v>48</v>
      </c>
      <c r="T771" t="s">
        <v>9257</v>
      </c>
      <c r="U771" t="s">
        <v>98</v>
      </c>
      <c r="V771" s="1">
        <v>44089</v>
      </c>
      <c r="W771" t="s">
        <v>8114</v>
      </c>
      <c r="X771" t="s">
        <v>8115</v>
      </c>
      <c r="Y771" t="s">
        <v>9258</v>
      </c>
      <c r="Z771">
        <v>5</v>
      </c>
      <c r="AA771" t="s">
        <v>227</v>
      </c>
      <c r="AB771" t="s">
        <v>9259</v>
      </c>
      <c r="AC771" t="s">
        <v>5505</v>
      </c>
      <c r="AD771" t="s">
        <v>58</v>
      </c>
      <c r="AE771">
        <v>1599200</v>
      </c>
      <c r="AF771">
        <v>31984</v>
      </c>
      <c r="AJ771" t="e">
        <f>_xlfn.XLOOKUP(Table9[[#This Row],[Engine No.]],'[1]Dubai Islamic Consumer'!$Q$3:$Q$1176,'[1]Dubai Islamic Consumer'!$B$3:$B$1176,,,)</f>
        <v>#N/A</v>
      </c>
    </row>
    <row r="772" spans="1:36" x14ac:dyDescent="0.25">
      <c r="A772">
        <v>771</v>
      </c>
      <c r="B772" s="2" t="s">
        <v>8030</v>
      </c>
      <c r="C772" t="s">
        <v>9260</v>
      </c>
      <c r="D772" t="s">
        <v>37</v>
      </c>
      <c r="E772" t="s">
        <v>9261</v>
      </c>
      <c r="F772" t="s">
        <v>39</v>
      </c>
      <c r="G772" t="s">
        <v>9262</v>
      </c>
      <c r="H772" t="s">
        <v>48</v>
      </c>
      <c r="I772" t="s">
        <v>9263</v>
      </c>
      <c r="J772" t="s">
        <v>48</v>
      </c>
      <c r="K772" t="s">
        <v>9264</v>
      </c>
      <c r="L772">
        <v>1890000</v>
      </c>
      <c r="M772">
        <v>2700000</v>
      </c>
      <c r="N772" t="s">
        <v>9265</v>
      </c>
      <c r="O772" s="1">
        <v>45654</v>
      </c>
      <c r="P772" t="s">
        <v>9266</v>
      </c>
      <c r="Q772" t="s">
        <v>9267</v>
      </c>
      <c r="R772" t="s">
        <v>146</v>
      </c>
      <c r="S772" t="s">
        <v>9268</v>
      </c>
      <c r="T772" t="s">
        <v>1323</v>
      </c>
      <c r="U772" t="s">
        <v>50</v>
      </c>
      <c r="V772" s="1">
        <v>44926</v>
      </c>
      <c r="W772" t="s">
        <v>8128</v>
      </c>
      <c r="X772" t="s">
        <v>8129</v>
      </c>
      <c r="Y772" t="s">
        <v>9269</v>
      </c>
      <c r="Z772">
        <v>5</v>
      </c>
      <c r="AA772" t="s">
        <v>323</v>
      </c>
      <c r="AB772" t="s">
        <v>9270</v>
      </c>
      <c r="AC772" t="s">
        <v>9271</v>
      </c>
      <c r="AD772" t="s">
        <v>86</v>
      </c>
      <c r="AE772">
        <v>2430000</v>
      </c>
      <c r="AF772">
        <v>42525</v>
      </c>
      <c r="AJ772" t="str">
        <f>_xlfn.XLOOKUP(Table9[[#This Row],[Engine No.]],'[1]Dubai Islamic Consumer'!$Q$3:$Q$1176,'[1]Dubai Islamic Consumer'!$B$3:$B$1176,,,)</f>
        <v>KHI/HO/D/MO/PC COMP/C/103702/187/12/2024</v>
      </c>
    </row>
    <row r="773" spans="1:36" x14ac:dyDescent="0.25">
      <c r="A773">
        <v>772</v>
      </c>
      <c r="B773" s="2" t="s">
        <v>8030</v>
      </c>
      <c r="C773" t="s">
        <v>9272</v>
      </c>
      <c r="D773" t="s">
        <v>37</v>
      </c>
      <c r="E773" t="s">
        <v>9273</v>
      </c>
      <c r="F773" t="s">
        <v>39</v>
      </c>
      <c r="G773" t="s">
        <v>9274</v>
      </c>
      <c r="H773" t="s">
        <v>9275</v>
      </c>
      <c r="I773" t="s">
        <v>9276</v>
      </c>
      <c r="J773" t="s">
        <v>9277</v>
      </c>
      <c r="K773" t="s">
        <v>9278</v>
      </c>
      <c r="L773">
        <v>1961400</v>
      </c>
      <c r="M773">
        <v>2802000</v>
      </c>
      <c r="N773" t="s">
        <v>9279</v>
      </c>
      <c r="O773" s="1">
        <v>45654</v>
      </c>
      <c r="P773" t="s">
        <v>9280</v>
      </c>
      <c r="Q773" t="s">
        <v>9281</v>
      </c>
      <c r="R773" t="s">
        <v>47</v>
      </c>
      <c r="S773" t="s">
        <v>48</v>
      </c>
      <c r="T773" t="s">
        <v>2461</v>
      </c>
      <c r="U773" t="s">
        <v>148</v>
      </c>
      <c r="V773" s="1">
        <v>44926</v>
      </c>
      <c r="W773" t="s">
        <v>8128</v>
      </c>
      <c r="X773" t="s">
        <v>8115</v>
      </c>
      <c r="Y773" t="s">
        <v>9282</v>
      </c>
      <c r="Z773">
        <v>3</v>
      </c>
      <c r="AA773" t="s">
        <v>323</v>
      </c>
      <c r="AB773" t="s">
        <v>9283</v>
      </c>
      <c r="AC773" t="s">
        <v>9271</v>
      </c>
      <c r="AD773" t="s">
        <v>86</v>
      </c>
      <c r="AE773">
        <v>2521800</v>
      </c>
      <c r="AF773">
        <v>44132</v>
      </c>
      <c r="AJ773" t="str">
        <f>_xlfn.XLOOKUP(Table9[[#This Row],[Engine No.]],'[1]Dubai Islamic Consumer'!$Q$3:$Q$1176,'[1]Dubai Islamic Consumer'!$B$3:$B$1176,,,)</f>
        <v>KHI/HO/D/MO/PC COMP/C/103702/188/12/2024</v>
      </c>
    </row>
    <row r="774" spans="1:36" x14ac:dyDescent="0.25">
      <c r="A774">
        <v>773</v>
      </c>
      <c r="B774" s="2" t="s">
        <v>8030</v>
      </c>
      <c r="C774" t="s">
        <v>9284</v>
      </c>
      <c r="D774" t="s">
        <v>37</v>
      </c>
      <c r="E774" t="s">
        <v>9285</v>
      </c>
      <c r="F774" t="s">
        <v>39</v>
      </c>
      <c r="G774" t="s">
        <v>9286</v>
      </c>
      <c r="H774" t="s">
        <v>9287</v>
      </c>
      <c r="I774" t="s">
        <v>9288</v>
      </c>
      <c r="J774" t="s">
        <v>9287</v>
      </c>
      <c r="K774" t="s">
        <v>9289</v>
      </c>
      <c r="L774">
        <v>1576250</v>
      </c>
      <c r="M774">
        <v>2425000</v>
      </c>
      <c r="N774" t="s">
        <v>9290</v>
      </c>
      <c r="O774" s="1">
        <v>45654</v>
      </c>
      <c r="P774" t="s">
        <v>9291</v>
      </c>
      <c r="Q774" t="s">
        <v>9292</v>
      </c>
      <c r="R774" t="s">
        <v>146</v>
      </c>
      <c r="S774" t="s">
        <v>9293</v>
      </c>
      <c r="T774" t="s">
        <v>1276</v>
      </c>
      <c r="U774" t="s">
        <v>148</v>
      </c>
      <c r="V774" s="1">
        <v>44925</v>
      </c>
      <c r="W774" t="s">
        <v>8128</v>
      </c>
      <c r="X774" t="s">
        <v>8129</v>
      </c>
      <c r="Y774" t="s">
        <v>9294</v>
      </c>
      <c r="Z774">
        <v>5</v>
      </c>
      <c r="AA774" t="s">
        <v>323</v>
      </c>
      <c r="AB774" t="s">
        <v>9295</v>
      </c>
      <c r="AC774" t="s">
        <v>9271</v>
      </c>
      <c r="AD774" t="s">
        <v>86</v>
      </c>
      <c r="AE774">
        <v>2182500</v>
      </c>
      <c r="AF774">
        <v>38194</v>
      </c>
      <c r="AJ774" t="str">
        <f>_xlfn.XLOOKUP(Table9[[#This Row],[Engine No.]],'[1]Dubai Islamic Consumer'!$Q$3:$Q$1176,'[1]Dubai Islamic Consumer'!$B$3:$B$1176,,,)</f>
        <v>KHI/HO/D/MO/PC COMP/C/103702/189/12/2024</v>
      </c>
    </row>
    <row r="775" spans="1:36" x14ac:dyDescent="0.25">
      <c r="A775">
        <v>774</v>
      </c>
      <c r="B775" s="2" t="s">
        <v>8030</v>
      </c>
      <c r="C775" t="s">
        <v>9296</v>
      </c>
      <c r="D775" t="s">
        <v>37</v>
      </c>
      <c r="E775" t="s">
        <v>9297</v>
      </c>
      <c r="F775" t="s">
        <v>39</v>
      </c>
      <c r="G775" t="s">
        <v>9298</v>
      </c>
      <c r="H775" t="s">
        <v>9299</v>
      </c>
      <c r="I775" t="s">
        <v>9300</v>
      </c>
      <c r="J775" t="s">
        <v>9299</v>
      </c>
      <c r="K775" t="s">
        <v>9301</v>
      </c>
      <c r="L775">
        <v>907200</v>
      </c>
      <c r="M775">
        <v>3024000</v>
      </c>
      <c r="N775" t="s">
        <v>9302</v>
      </c>
      <c r="O775" s="1">
        <v>45654</v>
      </c>
      <c r="P775" t="s">
        <v>9303</v>
      </c>
      <c r="Q775" t="s">
        <v>9304</v>
      </c>
      <c r="R775" t="s">
        <v>47</v>
      </c>
      <c r="S775" t="s">
        <v>48</v>
      </c>
      <c r="T775" t="s">
        <v>1323</v>
      </c>
      <c r="U775" t="s">
        <v>148</v>
      </c>
      <c r="V775" s="1">
        <v>44924</v>
      </c>
      <c r="W775" t="s">
        <v>8128</v>
      </c>
      <c r="X775" t="s">
        <v>8103</v>
      </c>
      <c r="Y775" t="s">
        <v>9305</v>
      </c>
      <c r="Z775">
        <v>4</v>
      </c>
      <c r="AA775" t="s">
        <v>323</v>
      </c>
      <c r="AB775" t="s">
        <v>9306</v>
      </c>
      <c r="AC775" t="s">
        <v>4057</v>
      </c>
      <c r="AD775" t="s">
        <v>86</v>
      </c>
      <c r="AE775">
        <v>2721600</v>
      </c>
      <c r="AF775">
        <v>47628</v>
      </c>
      <c r="AJ775" t="str">
        <f>_xlfn.XLOOKUP(Table9[[#This Row],[Engine No.]],'[1]Dubai Islamic Consumer'!$Q$3:$Q$1176,'[1]Dubai Islamic Consumer'!$B$3:$B$1176,,,)</f>
        <v>KHI/HO/D/MO/PC COMP/C/103702/190/12/2024</v>
      </c>
    </row>
    <row r="776" spans="1:36" x14ac:dyDescent="0.25">
      <c r="A776">
        <v>775</v>
      </c>
      <c r="B776" s="2" t="s">
        <v>8030</v>
      </c>
      <c r="C776" t="s">
        <v>9307</v>
      </c>
      <c r="D776" t="s">
        <v>37</v>
      </c>
      <c r="E776" t="s">
        <v>9308</v>
      </c>
      <c r="F776" t="s">
        <v>39</v>
      </c>
      <c r="G776" t="s">
        <v>9309</v>
      </c>
      <c r="H776" t="s">
        <v>9310</v>
      </c>
      <c r="I776" t="s">
        <v>9311</v>
      </c>
      <c r="J776" t="s">
        <v>9310</v>
      </c>
      <c r="K776" t="s">
        <v>9312</v>
      </c>
      <c r="L776">
        <v>2904300</v>
      </c>
      <c r="M776">
        <v>4610000</v>
      </c>
      <c r="N776" t="s">
        <v>9313</v>
      </c>
      <c r="O776" s="1">
        <v>45654</v>
      </c>
      <c r="P776" t="s">
        <v>9314</v>
      </c>
      <c r="Q776" t="s">
        <v>9315</v>
      </c>
      <c r="R776" t="s">
        <v>47</v>
      </c>
      <c r="S776" t="s">
        <v>48</v>
      </c>
      <c r="T776" t="s">
        <v>9316</v>
      </c>
      <c r="U776" t="s">
        <v>50</v>
      </c>
      <c r="V776" s="1">
        <v>44476</v>
      </c>
      <c r="W776" t="s">
        <v>2981</v>
      </c>
      <c r="X776" t="s">
        <v>8273</v>
      </c>
      <c r="Y776" t="s">
        <v>9317</v>
      </c>
      <c r="Z776">
        <v>3</v>
      </c>
      <c r="AA776" t="s">
        <v>55</v>
      </c>
      <c r="AB776" t="s">
        <v>9318</v>
      </c>
      <c r="AC776" t="s">
        <v>9248</v>
      </c>
      <c r="AD776" t="s">
        <v>86</v>
      </c>
      <c r="AE776">
        <v>3918500</v>
      </c>
      <c r="AF776">
        <v>68574</v>
      </c>
      <c r="AJ776" t="str">
        <f>_xlfn.XLOOKUP(Table9[[#This Row],[Engine No.]],'[1]Dubai Islamic Consumer'!$Q$3:$Q$1176,'[1]Dubai Islamic Consumer'!$B$3:$B$1176,,,)</f>
        <v>KHI/HO/D/MO/PC COMP/C/103702/192/12/2024</v>
      </c>
    </row>
    <row r="777" spans="1:36" x14ac:dyDescent="0.25">
      <c r="A777">
        <v>776</v>
      </c>
      <c r="B777" s="2" t="s">
        <v>8030</v>
      </c>
      <c r="C777" t="s">
        <v>9319</v>
      </c>
      <c r="D777" t="s">
        <v>37</v>
      </c>
      <c r="E777" t="s">
        <v>9320</v>
      </c>
      <c r="F777" t="s">
        <v>89</v>
      </c>
      <c r="G777" t="s">
        <v>9321</v>
      </c>
      <c r="H777" t="s">
        <v>9322</v>
      </c>
      <c r="I777" t="s">
        <v>48</v>
      </c>
      <c r="J777" t="s">
        <v>9323</v>
      </c>
      <c r="K777" t="s">
        <v>9324</v>
      </c>
      <c r="L777">
        <v>2280000</v>
      </c>
      <c r="M777">
        <v>3800000</v>
      </c>
      <c r="N777" t="s">
        <v>9325</v>
      </c>
      <c r="O777" s="1">
        <v>45654</v>
      </c>
      <c r="P777" t="s">
        <v>9326</v>
      </c>
      <c r="Q777" t="s">
        <v>9327</v>
      </c>
      <c r="R777" t="s">
        <v>146</v>
      </c>
      <c r="S777" t="s">
        <v>9328</v>
      </c>
      <c r="T777" t="s">
        <v>1065</v>
      </c>
      <c r="U777" t="s">
        <v>98</v>
      </c>
      <c r="V777" s="1">
        <v>44561</v>
      </c>
      <c r="W777" t="s">
        <v>8102</v>
      </c>
      <c r="X777" t="s">
        <v>8103</v>
      </c>
      <c r="Y777" t="s">
        <v>9329</v>
      </c>
      <c r="Z777">
        <v>5</v>
      </c>
      <c r="AA777" t="s">
        <v>118</v>
      </c>
      <c r="AB777" t="s">
        <v>9330</v>
      </c>
      <c r="AC777" t="s">
        <v>8563</v>
      </c>
      <c r="AD777" t="s">
        <v>299</v>
      </c>
      <c r="AE777">
        <v>3230000</v>
      </c>
      <c r="AF777">
        <v>48450</v>
      </c>
      <c r="AJ777" t="str">
        <f>_xlfn.XLOOKUP(Table9[[#This Row],[Engine No.]],'[1]Dubai Islamic Consumer'!$Q$3:$Q$1176,'[1]Dubai Islamic Consumer'!$B$3:$B$1176,,,)</f>
        <v>KHI/HO/D/MO/PC COMP/C/103702/197/12/2024</v>
      </c>
    </row>
    <row r="778" spans="1:36" x14ac:dyDescent="0.25">
      <c r="A778">
        <v>777</v>
      </c>
      <c r="B778" s="2" t="s">
        <v>8030</v>
      </c>
      <c r="C778" t="s">
        <v>9331</v>
      </c>
      <c r="D778" t="s">
        <v>37</v>
      </c>
      <c r="E778" t="s">
        <v>9332</v>
      </c>
      <c r="F778" t="s">
        <v>138</v>
      </c>
      <c r="G778" t="s">
        <v>9333</v>
      </c>
      <c r="H778" t="s">
        <v>9334</v>
      </c>
      <c r="I778" t="s">
        <v>9334</v>
      </c>
      <c r="J778" t="s">
        <v>141</v>
      </c>
      <c r="K778" t="s">
        <v>9335</v>
      </c>
      <c r="L778">
        <v>2100000</v>
      </c>
      <c r="M778">
        <v>3500000</v>
      </c>
      <c r="N778" t="s">
        <v>9336</v>
      </c>
      <c r="O778" s="1">
        <v>45654</v>
      </c>
      <c r="P778" t="s">
        <v>9337</v>
      </c>
      <c r="Q778" t="s">
        <v>9338</v>
      </c>
      <c r="R778" t="s">
        <v>146</v>
      </c>
      <c r="S778" t="s">
        <v>9339</v>
      </c>
      <c r="T778" t="s">
        <v>601</v>
      </c>
      <c r="U778" t="s">
        <v>496</v>
      </c>
      <c r="V778" s="1">
        <v>44560</v>
      </c>
      <c r="W778" t="s">
        <v>8102</v>
      </c>
      <c r="X778" t="s">
        <v>8103</v>
      </c>
      <c r="Y778" t="s">
        <v>9340</v>
      </c>
      <c r="Z778">
        <v>5</v>
      </c>
      <c r="AA778" t="s">
        <v>118</v>
      </c>
      <c r="AB778" t="s">
        <v>9341</v>
      </c>
      <c r="AC778" t="s">
        <v>9248</v>
      </c>
      <c r="AD778" t="s">
        <v>299</v>
      </c>
      <c r="AE778">
        <v>2975000</v>
      </c>
      <c r="AF778">
        <v>44625</v>
      </c>
      <c r="AJ778" t="str">
        <f>_xlfn.XLOOKUP(Table9[[#This Row],[Engine No.]],'[1]Dubai Islamic Consumer'!$Q$3:$Q$1176,'[1]Dubai Islamic Consumer'!$B$3:$B$1176,,,)</f>
        <v>KHI/HO/D/MO/PC COMP/C/103702/198/12/2024</v>
      </c>
    </row>
    <row r="779" spans="1:36" x14ac:dyDescent="0.25">
      <c r="A779">
        <v>778</v>
      </c>
      <c r="B779" s="2" t="s">
        <v>8030</v>
      </c>
      <c r="C779" t="s">
        <v>9342</v>
      </c>
      <c r="D779" t="s">
        <v>37</v>
      </c>
      <c r="E779" t="s">
        <v>9343</v>
      </c>
      <c r="F779" t="s">
        <v>525</v>
      </c>
      <c r="G779" t="s">
        <v>9344</v>
      </c>
      <c r="H779" t="s">
        <v>9345</v>
      </c>
      <c r="I779" t="s">
        <v>9345</v>
      </c>
      <c r="J779" t="s">
        <v>9345</v>
      </c>
      <c r="K779" t="s">
        <v>9346</v>
      </c>
      <c r="L779">
        <v>2076900</v>
      </c>
      <c r="M779">
        <v>2967000</v>
      </c>
      <c r="N779" t="s">
        <v>9347</v>
      </c>
      <c r="O779" s="1">
        <v>45654</v>
      </c>
      <c r="P779" t="s">
        <v>9348</v>
      </c>
      <c r="Q779" t="s">
        <v>9349</v>
      </c>
      <c r="R779" t="s">
        <v>47</v>
      </c>
      <c r="S779" t="s">
        <v>48</v>
      </c>
      <c r="T779" t="s">
        <v>495</v>
      </c>
      <c r="U779" t="s">
        <v>50</v>
      </c>
      <c r="V779" s="1">
        <v>44560</v>
      </c>
      <c r="W779" t="s">
        <v>8102</v>
      </c>
      <c r="X779" t="s">
        <v>8103</v>
      </c>
      <c r="Y779" t="s">
        <v>9350</v>
      </c>
      <c r="Z779">
        <v>5</v>
      </c>
      <c r="AA779" t="s">
        <v>118</v>
      </c>
      <c r="AB779" t="s">
        <v>9351</v>
      </c>
      <c r="AC779" t="s">
        <v>9248</v>
      </c>
      <c r="AD779" t="s">
        <v>58</v>
      </c>
      <c r="AE779">
        <v>2521950</v>
      </c>
      <c r="AF779">
        <v>50439</v>
      </c>
      <c r="AJ779" t="str">
        <f>_xlfn.XLOOKUP(Table9[[#This Row],[Engine No.]],'[1]Dubai Islamic Consumer'!$Q$3:$Q$1176,'[1]Dubai Islamic Consumer'!$B$3:$B$1176,,,)</f>
        <v>KHI/HO/D/MO/PC COMP/C/103702/200/12/2024</v>
      </c>
    </row>
    <row r="780" spans="1:36" x14ac:dyDescent="0.25">
      <c r="A780">
        <v>779</v>
      </c>
      <c r="B780" s="2" t="s">
        <v>8030</v>
      </c>
      <c r="C780" t="s">
        <v>9352</v>
      </c>
      <c r="D780" t="s">
        <v>37</v>
      </c>
      <c r="E780" t="s">
        <v>9353</v>
      </c>
      <c r="F780" t="s">
        <v>138</v>
      </c>
      <c r="G780" t="s">
        <v>9354</v>
      </c>
      <c r="H780" t="s">
        <v>9355</v>
      </c>
      <c r="I780" t="s">
        <v>9355</v>
      </c>
      <c r="J780" t="s">
        <v>9355</v>
      </c>
      <c r="K780" t="s">
        <v>9356</v>
      </c>
      <c r="L780">
        <v>1561000</v>
      </c>
      <c r="M780">
        <v>2230000</v>
      </c>
      <c r="N780" t="s">
        <v>9357</v>
      </c>
      <c r="O780" s="1">
        <v>45654</v>
      </c>
      <c r="P780" t="s">
        <v>9358</v>
      </c>
      <c r="Q780" t="s">
        <v>9359</v>
      </c>
      <c r="R780" t="s">
        <v>146</v>
      </c>
      <c r="S780" t="s">
        <v>9360</v>
      </c>
      <c r="T780" t="s">
        <v>9361</v>
      </c>
      <c r="U780" t="s">
        <v>98</v>
      </c>
      <c r="V780" s="1">
        <v>44560</v>
      </c>
      <c r="W780" t="s">
        <v>8102</v>
      </c>
      <c r="X780" t="s">
        <v>8103</v>
      </c>
      <c r="Y780" t="s">
        <v>9362</v>
      </c>
      <c r="Z780">
        <v>5</v>
      </c>
      <c r="AA780" t="s">
        <v>118</v>
      </c>
      <c r="AB780" t="s">
        <v>9363</v>
      </c>
      <c r="AC780" t="s">
        <v>9248</v>
      </c>
      <c r="AD780" t="s">
        <v>299</v>
      </c>
      <c r="AE780">
        <v>1895500</v>
      </c>
      <c r="AF780">
        <v>28433</v>
      </c>
      <c r="AJ780" t="str">
        <f>_xlfn.XLOOKUP(Table9[[#This Row],[Engine No.]],'[1]Dubai Islamic Consumer'!$Q$3:$Q$1176,'[1]Dubai Islamic Consumer'!$B$3:$B$1176,,,)</f>
        <v>KHI/HO/D/MO/PC COMP/C/103702/207/12/2024</v>
      </c>
    </row>
    <row r="781" spans="1:36" x14ac:dyDescent="0.25">
      <c r="A781">
        <v>780</v>
      </c>
      <c r="B781" s="2" t="s">
        <v>8030</v>
      </c>
      <c r="C781" t="s">
        <v>9364</v>
      </c>
      <c r="D781" t="s">
        <v>37</v>
      </c>
      <c r="E781" t="s">
        <v>9365</v>
      </c>
      <c r="F781" t="s">
        <v>245</v>
      </c>
      <c r="G781" t="s">
        <v>9366</v>
      </c>
      <c r="H781" t="s">
        <v>9367</v>
      </c>
      <c r="I781" t="s">
        <v>48</v>
      </c>
      <c r="J781" t="s">
        <v>141</v>
      </c>
      <c r="K781" t="s">
        <v>9368</v>
      </c>
      <c r="L781">
        <v>1470000</v>
      </c>
      <c r="M781">
        <v>2100000</v>
      </c>
      <c r="N781" t="s">
        <v>9369</v>
      </c>
      <c r="O781" s="1">
        <v>45654</v>
      </c>
      <c r="P781" t="s">
        <v>9370</v>
      </c>
      <c r="Q781" t="s">
        <v>9371</v>
      </c>
      <c r="R781" t="s">
        <v>146</v>
      </c>
      <c r="S781" t="s">
        <v>9372</v>
      </c>
      <c r="T781" t="s">
        <v>1732</v>
      </c>
      <c r="U781" t="s">
        <v>903</v>
      </c>
      <c r="V781" s="1">
        <v>44561</v>
      </c>
      <c r="W781" t="s">
        <v>8102</v>
      </c>
      <c r="X781" t="s">
        <v>8103</v>
      </c>
      <c r="Y781" t="s">
        <v>9373</v>
      </c>
      <c r="Z781">
        <v>5</v>
      </c>
      <c r="AA781" t="s">
        <v>118</v>
      </c>
      <c r="AB781" t="s">
        <v>9374</v>
      </c>
      <c r="AC781" t="s">
        <v>8563</v>
      </c>
      <c r="AD781" t="s">
        <v>299</v>
      </c>
      <c r="AE781">
        <v>1785000</v>
      </c>
      <c r="AF781">
        <v>26775</v>
      </c>
      <c r="AJ781" t="str">
        <f>_xlfn.XLOOKUP(Table9[[#This Row],[Engine No.]],'[1]Dubai Islamic Consumer'!$Q$3:$Q$1176,'[1]Dubai Islamic Consumer'!$B$3:$B$1176,,,)</f>
        <v>KHI/HO/D/MO/PC COMP/C/103702/210/12/2024</v>
      </c>
    </row>
    <row r="782" spans="1:36" x14ac:dyDescent="0.25">
      <c r="A782">
        <v>781</v>
      </c>
      <c r="B782" s="2" t="s">
        <v>8030</v>
      </c>
      <c r="C782" t="s">
        <v>9375</v>
      </c>
      <c r="D782" t="s">
        <v>37</v>
      </c>
      <c r="E782" t="s">
        <v>9376</v>
      </c>
      <c r="F782" t="s">
        <v>138</v>
      </c>
      <c r="G782" t="s">
        <v>9377</v>
      </c>
      <c r="H782" t="s">
        <v>9378</v>
      </c>
      <c r="I782" t="s">
        <v>9379</v>
      </c>
      <c r="J782" t="s">
        <v>9380</v>
      </c>
      <c r="K782" t="s">
        <v>9381</v>
      </c>
      <c r="L782">
        <v>1920000</v>
      </c>
      <c r="M782">
        <v>3200000</v>
      </c>
      <c r="N782" t="s">
        <v>9382</v>
      </c>
      <c r="O782" s="1">
        <v>45654</v>
      </c>
      <c r="P782" t="s">
        <v>9383</v>
      </c>
      <c r="Q782" t="s">
        <v>9384</v>
      </c>
      <c r="R782" t="s">
        <v>146</v>
      </c>
      <c r="S782" t="s">
        <v>9385</v>
      </c>
      <c r="T782" t="s">
        <v>9386</v>
      </c>
      <c r="U782" t="s">
        <v>335</v>
      </c>
      <c r="V782" s="1">
        <v>44196</v>
      </c>
      <c r="W782" t="s">
        <v>8114</v>
      </c>
      <c r="X782" t="s">
        <v>7530</v>
      </c>
      <c r="Y782" t="s">
        <v>9387</v>
      </c>
      <c r="Z782">
        <v>4</v>
      </c>
      <c r="AA782" t="s">
        <v>55</v>
      </c>
      <c r="AB782" t="s">
        <v>9388</v>
      </c>
      <c r="AC782" t="s">
        <v>1029</v>
      </c>
      <c r="AD782" t="s">
        <v>58</v>
      </c>
      <c r="AE782">
        <v>2560000</v>
      </c>
      <c r="AF782">
        <v>51200</v>
      </c>
      <c r="AJ782" t="str">
        <f>_xlfn.XLOOKUP(Table9[[#This Row],[Engine No.]],'[1]Dubai Islamic Consumer'!$Q$3:$Q$1176,'[1]Dubai Islamic Consumer'!$B$3:$B$1176,,,)</f>
        <v>KHI/HO/D/MO/PC COMP/C/103702/213/12/2024</v>
      </c>
    </row>
    <row r="783" spans="1:36" x14ac:dyDescent="0.25">
      <c r="A783">
        <v>782</v>
      </c>
      <c r="B783" s="2" t="s">
        <v>8030</v>
      </c>
      <c r="C783" t="s">
        <v>9389</v>
      </c>
      <c r="D783" t="s">
        <v>37</v>
      </c>
      <c r="E783" t="s">
        <v>9390</v>
      </c>
      <c r="F783" t="s">
        <v>138</v>
      </c>
      <c r="G783" t="s">
        <v>9391</v>
      </c>
      <c r="H783" t="s">
        <v>9392</v>
      </c>
      <c r="I783" t="s">
        <v>9392</v>
      </c>
      <c r="J783" t="s">
        <v>9392</v>
      </c>
      <c r="K783" t="s">
        <v>9393</v>
      </c>
      <c r="L783">
        <v>1387500</v>
      </c>
      <c r="M783">
        <v>1850000</v>
      </c>
      <c r="N783" t="s">
        <v>9394</v>
      </c>
      <c r="O783" s="1">
        <v>45654</v>
      </c>
      <c r="P783" t="s">
        <v>9395</v>
      </c>
      <c r="Q783" t="s">
        <v>9396</v>
      </c>
      <c r="R783" t="s">
        <v>146</v>
      </c>
      <c r="S783" t="s">
        <v>9397</v>
      </c>
      <c r="T783" t="s">
        <v>9398</v>
      </c>
      <c r="U783" t="s">
        <v>50</v>
      </c>
      <c r="V783" s="1">
        <v>44561</v>
      </c>
      <c r="W783" t="s">
        <v>8102</v>
      </c>
      <c r="X783" t="s">
        <v>8103</v>
      </c>
      <c r="Y783" t="s">
        <v>9399</v>
      </c>
      <c r="Z783">
        <v>5</v>
      </c>
      <c r="AA783" t="s">
        <v>118</v>
      </c>
      <c r="AB783" t="s">
        <v>9400</v>
      </c>
      <c r="AC783" t="s">
        <v>9248</v>
      </c>
      <c r="AD783" t="s">
        <v>299</v>
      </c>
      <c r="AE783">
        <v>1572500</v>
      </c>
      <c r="AF783">
        <v>23588</v>
      </c>
      <c r="AJ783" t="str">
        <f>_xlfn.XLOOKUP(Table9[[#This Row],[Engine No.]],'[1]Dubai Islamic Consumer'!$Q$3:$Q$1176,'[1]Dubai Islamic Consumer'!$B$3:$B$1176,,,)</f>
        <v>KHI/HO/D/MO/PC COMP/C/103702/215/12/2024</v>
      </c>
    </row>
    <row r="784" spans="1:36" x14ac:dyDescent="0.25">
      <c r="A784">
        <v>783</v>
      </c>
      <c r="B784" s="2" t="s">
        <v>8030</v>
      </c>
      <c r="C784" t="s">
        <v>9401</v>
      </c>
      <c r="D784" t="s">
        <v>37</v>
      </c>
      <c r="E784" t="s">
        <v>9402</v>
      </c>
      <c r="F784" t="s">
        <v>245</v>
      </c>
      <c r="G784" t="s">
        <v>9403</v>
      </c>
      <c r="H784" t="s">
        <v>9404</v>
      </c>
      <c r="I784" t="s">
        <v>48</v>
      </c>
      <c r="J784" t="s">
        <v>9405</v>
      </c>
      <c r="K784" t="s">
        <v>9406</v>
      </c>
      <c r="L784">
        <v>1330000</v>
      </c>
      <c r="M784">
        <v>1900000</v>
      </c>
      <c r="N784" t="s">
        <v>9407</v>
      </c>
      <c r="O784" s="1">
        <v>45654</v>
      </c>
      <c r="P784" t="s">
        <v>9408</v>
      </c>
      <c r="Q784" t="s">
        <v>9409</v>
      </c>
      <c r="R784" t="s">
        <v>146</v>
      </c>
      <c r="S784" t="s">
        <v>9410</v>
      </c>
      <c r="T784" t="s">
        <v>6255</v>
      </c>
      <c r="U784" t="s">
        <v>496</v>
      </c>
      <c r="V784" s="1">
        <v>44559</v>
      </c>
      <c r="W784" t="s">
        <v>8102</v>
      </c>
      <c r="X784" t="s">
        <v>8103</v>
      </c>
      <c r="Y784" t="s">
        <v>9411</v>
      </c>
      <c r="Z784">
        <v>5</v>
      </c>
      <c r="AA784" t="s">
        <v>118</v>
      </c>
      <c r="AB784" t="s">
        <v>9412</v>
      </c>
      <c r="AC784" t="s">
        <v>9248</v>
      </c>
      <c r="AD784" t="s">
        <v>299</v>
      </c>
      <c r="AE784">
        <v>1615000</v>
      </c>
      <c r="AF784">
        <v>24225</v>
      </c>
      <c r="AJ784" t="str">
        <f>_xlfn.XLOOKUP(Table9[[#This Row],[Engine No.]],'[1]Dubai Islamic Consumer'!$Q$3:$Q$1176,'[1]Dubai Islamic Consumer'!$B$3:$B$1176,,,)</f>
        <v>KHI/HO/D/MO/PC COMP/C/103702/217/12/2024</v>
      </c>
    </row>
    <row r="785" spans="1:36" x14ac:dyDescent="0.25">
      <c r="A785">
        <v>784</v>
      </c>
      <c r="B785" s="2" t="s">
        <v>8030</v>
      </c>
      <c r="C785" t="s">
        <v>9413</v>
      </c>
      <c r="D785" t="s">
        <v>37</v>
      </c>
      <c r="E785" t="s">
        <v>9414</v>
      </c>
      <c r="F785" t="s">
        <v>107</v>
      </c>
      <c r="G785" t="s">
        <v>9415</v>
      </c>
      <c r="H785" t="s">
        <v>9416</v>
      </c>
      <c r="I785" t="s">
        <v>9416</v>
      </c>
      <c r="J785" t="s">
        <v>9416</v>
      </c>
      <c r="K785" t="s">
        <v>9417</v>
      </c>
      <c r="L785">
        <v>1192500</v>
      </c>
      <c r="M785">
        <v>1590000</v>
      </c>
      <c r="N785" t="s">
        <v>9418</v>
      </c>
      <c r="O785" s="1">
        <v>45654</v>
      </c>
      <c r="P785" t="s">
        <v>9419</v>
      </c>
      <c r="Q785" t="s">
        <v>9420</v>
      </c>
      <c r="R785" t="s">
        <v>146</v>
      </c>
      <c r="S785" t="s">
        <v>9421</v>
      </c>
      <c r="T785" t="s">
        <v>321</v>
      </c>
      <c r="U785" t="s">
        <v>335</v>
      </c>
      <c r="V785" s="1">
        <v>44561</v>
      </c>
      <c r="W785" t="s">
        <v>8102</v>
      </c>
      <c r="X785" t="s">
        <v>8103</v>
      </c>
      <c r="Y785" t="s">
        <v>9422</v>
      </c>
      <c r="Z785">
        <v>5</v>
      </c>
      <c r="AA785" t="s">
        <v>55</v>
      </c>
      <c r="AB785" t="s">
        <v>9423</v>
      </c>
      <c r="AC785" t="s">
        <v>8563</v>
      </c>
      <c r="AD785" t="s">
        <v>299</v>
      </c>
      <c r="AE785">
        <v>1351500</v>
      </c>
      <c r="AF785">
        <v>20273</v>
      </c>
      <c r="AJ785" t="str">
        <f>_xlfn.XLOOKUP(Table9[[#This Row],[Engine No.]],'[1]Dubai Islamic Consumer'!$Q$3:$Q$1176,'[1]Dubai Islamic Consumer'!$B$3:$B$1176,,,)</f>
        <v>KHI/HO/D/MO/PC COMP/C/103702/218/12/2024</v>
      </c>
    </row>
    <row r="786" spans="1:36" x14ac:dyDescent="0.25">
      <c r="A786">
        <v>785</v>
      </c>
      <c r="B786" s="2" t="s">
        <v>8030</v>
      </c>
      <c r="C786" t="s">
        <v>9424</v>
      </c>
      <c r="D786" t="s">
        <v>37</v>
      </c>
      <c r="E786" t="s">
        <v>9425</v>
      </c>
      <c r="F786" t="s">
        <v>138</v>
      </c>
      <c r="G786" t="s">
        <v>9426</v>
      </c>
      <c r="H786" t="s">
        <v>48</v>
      </c>
      <c r="I786" t="s">
        <v>9427</v>
      </c>
      <c r="J786" t="s">
        <v>9428</v>
      </c>
      <c r="K786" t="s">
        <v>9429</v>
      </c>
      <c r="L786">
        <v>1064700</v>
      </c>
      <c r="M786">
        <v>1521000</v>
      </c>
      <c r="N786" t="s">
        <v>9430</v>
      </c>
      <c r="O786" s="1">
        <v>45654</v>
      </c>
      <c r="P786" t="s">
        <v>9431</v>
      </c>
      <c r="Q786" t="s">
        <v>9432</v>
      </c>
      <c r="R786" t="s">
        <v>146</v>
      </c>
      <c r="S786" t="s">
        <v>48</v>
      </c>
      <c r="T786" t="s">
        <v>1276</v>
      </c>
      <c r="U786" t="s">
        <v>50</v>
      </c>
      <c r="V786" s="1">
        <v>44560</v>
      </c>
      <c r="W786" t="s">
        <v>8102</v>
      </c>
      <c r="X786" t="s">
        <v>7530</v>
      </c>
      <c r="Y786" t="s">
        <v>9433</v>
      </c>
      <c r="Z786">
        <v>3</v>
      </c>
      <c r="AA786" t="s">
        <v>118</v>
      </c>
      <c r="AB786" t="s">
        <v>9434</v>
      </c>
      <c r="AC786" t="s">
        <v>9248</v>
      </c>
      <c r="AD786" t="s">
        <v>299</v>
      </c>
      <c r="AE786">
        <v>1292850</v>
      </c>
      <c r="AF786">
        <v>19393</v>
      </c>
      <c r="AJ786" t="str">
        <f>_xlfn.XLOOKUP(Table9[[#This Row],[Engine No.]],'[1]Dubai Islamic Consumer'!$Q$3:$Q$1176,'[1]Dubai Islamic Consumer'!$B$3:$B$1176,,,)</f>
        <v>KHI/HO/D/MO/PC COMP/C/103702/220/12/2024</v>
      </c>
    </row>
    <row r="787" spans="1:36" x14ac:dyDescent="0.25">
      <c r="A787">
        <v>786</v>
      </c>
      <c r="B787" s="2" t="s">
        <v>8030</v>
      </c>
      <c r="C787" t="s">
        <v>9435</v>
      </c>
      <c r="D787" t="s">
        <v>37</v>
      </c>
      <c r="E787" t="s">
        <v>9436</v>
      </c>
      <c r="F787" t="s">
        <v>290</v>
      </c>
      <c r="G787" t="s">
        <v>9437</v>
      </c>
      <c r="H787" t="s">
        <v>9438</v>
      </c>
      <c r="I787" t="s">
        <v>9438</v>
      </c>
      <c r="J787" t="s">
        <v>9438</v>
      </c>
      <c r="K787" t="s">
        <v>9439</v>
      </c>
      <c r="L787">
        <v>966000</v>
      </c>
      <c r="M787">
        <v>1610000</v>
      </c>
      <c r="N787" t="s">
        <v>9440</v>
      </c>
      <c r="O787" s="1">
        <v>45654</v>
      </c>
      <c r="P787" t="s">
        <v>9441</v>
      </c>
      <c r="Q787" t="s">
        <v>9442</v>
      </c>
      <c r="R787" t="s">
        <v>47</v>
      </c>
      <c r="S787" t="s">
        <v>48</v>
      </c>
      <c r="T787" t="s">
        <v>224</v>
      </c>
      <c r="U787" t="s">
        <v>50</v>
      </c>
      <c r="V787" s="1">
        <v>44438</v>
      </c>
      <c r="W787" t="s">
        <v>2981</v>
      </c>
      <c r="X787" t="s">
        <v>2982</v>
      </c>
      <c r="Y787" t="s">
        <v>9443</v>
      </c>
      <c r="Z787">
        <v>5</v>
      </c>
      <c r="AA787" t="s">
        <v>55</v>
      </c>
      <c r="AB787" t="s">
        <v>9444</v>
      </c>
      <c r="AC787" t="s">
        <v>9248</v>
      </c>
      <c r="AD787" t="s">
        <v>58</v>
      </c>
      <c r="AE787">
        <v>1368500</v>
      </c>
      <c r="AF787">
        <v>27370</v>
      </c>
      <c r="AJ787" t="str">
        <f>_xlfn.XLOOKUP(Table9[[#This Row],[Engine No.]],'[1]Dubai Islamic Consumer'!$Q$3:$Q$1176,'[1]Dubai Islamic Consumer'!$B$3:$B$1176,,,)</f>
        <v>KHI/HO/D/MO/PC COMP/C/103702/221/12/2024</v>
      </c>
    </row>
    <row r="788" spans="1:36" x14ac:dyDescent="0.25">
      <c r="A788">
        <v>787</v>
      </c>
      <c r="B788" s="2" t="s">
        <v>8030</v>
      </c>
      <c r="C788" t="s">
        <v>9445</v>
      </c>
      <c r="D788" t="s">
        <v>37</v>
      </c>
      <c r="E788" t="s">
        <v>9446</v>
      </c>
      <c r="F788" t="s">
        <v>406</v>
      </c>
      <c r="G788" t="s">
        <v>9447</v>
      </c>
      <c r="H788" t="s">
        <v>9448</v>
      </c>
      <c r="I788" t="s">
        <v>9448</v>
      </c>
      <c r="J788" t="s">
        <v>9448</v>
      </c>
      <c r="K788" t="s">
        <v>9449</v>
      </c>
      <c r="L788">
        <v>1143100</v>
      </c>
      <c r="M788">
        <v>1633000</v>
      </c>
      <c r="N788" t="s">
        <v>9450</v>
      </c>
      <c r="O788" s="1">
        <v>45654</v>
      </c>
      <c r="P788" t="s">
        <v>9451</v>
      </c>
      <c r="Q788" t="s">
        <v>9452</v>
      </c>
      <c r="R788" t="s">
        <v>47</v>
      </c>
      <c r="S788" t="s">
        <v>48</v>
      </c>
      <c r="T788" t="s">
        <v>9453</v>
      </c>
      <c r="U788" t="s">
        <v>98</v>
      </c>
      <c r="V788" s="1">
        <v>44146</v>
      </c>
      <c r="W788" t="s">
        <v>8114</v>
      </c>
      <c r="X788" t="s">
        <v>8115</v>
      </c>
      <c r="Y788" t="s">
        <v>9454</v>
      </c>
      <c r="Z788">
        <v>5</v>
      </c>
      <c r="AA788" t="s">
        <v>55</v>
      </c>
      <c r="AB788" t="s">
        <v>9455</v>
      </c>
      <c r="AC788" t="s">
        <v>9056</v>
      </c>
      <c r="AD788" t="s">
        <v>58</v>
      </c>
      <c r="AE788">
        <v>1306400</v>
      </c>
      <c r="AF788">
        <v>26128</v>
      </c>
      <c r="AJ788" t="str">
        <f>_xlfn.XLOOKUP(Table9[[#This Row],[Engine No.]],'[1]Dubai Islamic Consumer'!$Q$3:$Q$1176,'[1]Dubai Islamic Consumer'!$B$3:$B$1176,,,)</f>
        <v>KHI/HO/D/MO/PC COMP/C/103702/222/12/2024</v>
      </c>
    </row>
    <row r="789" spans="1:36" x14ac:dyDescent="0.25">
      <c r="A789">
        <v>788</v>
      </c>
      <c r="B789" s="2" t="s">
        <v>8030</v>
      </c>
      <c r="C789" t="s">
        <v>9456</v>
      </c>
      <c r="D789" t="s">
        <v>37</v>
      </c>
      <c r="E789" t="s">
        <v>2200</v>
      </c>
      <c r="F789" t="s">
        <v>89</v>
      </c>
      <c r="G789" t="s">
        <v>9457</v>
      </c>
      <c r="H789" t="s">
        <v>9458</v>
      </c>
      <c r="I789" t="s">
        <v>48</v>
      </c>
      <c r="J789" t="s">
        <v>9459</v>
      </c>
      <c r="K789" t="s">
        <v>9460</v>
      </c>
      <c r="L789">
        <v>1019200</v>
      </c>
      <c r="M789">
        <v>1274000</v>
      </c>
      <c r="N789" t="s">
        <v>9461</v>
      </c>
      <c r="O789" s="1">
        <v>45654</v>
      </c>
      <c r="P789" t="s">
        <v>9462</v>
      </c>
      <c r="Q789" t="s">
        <v>9463</v>
      </c>
      <c r="R789" t="s">
        <v>47</v>
      </c>
      <c r="S789" t="s">
        <v>9464</v>
      </c>
      <c r="T789" t="s">
        <v>224</v>
      </c>
      <c r="U789" t="s">
        <v>496</v>
      </c>
      <c r="V789" s="1">
        <v>43465</v>
      </c>
      <c r="W789" t="s">
        <v>9465</v>
      </c>
      <c r="X789" t="s">
        <v>7530</v>
      </c>
      <c r="Y789" t="s">
        <v>9466</v>
      </c>
      <c r="Z789">
        <v>6</v>
      </c>
      <c r="AA789" t="s">
        <v>55</v>
      </c>
      <c r="AB789" t="s">
        <v>9467</v>
      </c>
      <c r="AC789" t="s">
        <v>9468</v>
      </c>
      <c r="AD789" t="s">
        <v>880</v>
      </c>
      <c r="AE789">
        <v>891800</v>
      </c>
      <c r="AF789">
        <v>27646</v>
      </c>
      <c r="AJ789" t="str">
        <f>_xlfn.XLOOKUP(Table9[[#This Row],[Engine No.]],'[1]Dubai Islamic Consumer'!$Q$3:$Q$1176,'[1]Dubai Islamic Consumer'!$B$3:$B$1176,,,)</f>
        <v>KHI/HO/D/MO/PC COMP/C/103702/226/12/2024</v>
      </c>
    </row>
    <row r="790" spans="1:36" x14ac:dyDescent="0.25">
      <c r="A790">
        <v>789</v>
      </c>
      <c r="B790" s="2" t="s">
        <v>8030</v>
      </c>
      <c r="C790" t="s">
        <v>9469</v>
      </c>
      <c r="D790" t="s">
        <v>37</v>
      </c>
      <c r="E790" t="s">
        <v>9470</v>
      </c>
      <c r="F790" t="s">
        <v>9471</v>
      </c>
      <c r="G790" t="s">
        <v>9472</v>
      </c>
      <c r="H790" t="s">
        <v>48</v>
      </c>
      <c r="I790" t="s">
        <v>9473</v>
      </c>
      <c r="J790" t="s">
        <v>48</v>
      </c>
      <c r="K790" t="s">
        <v>9474</v>
      </c>
      <c r="L790">
        <v>2145000</v>
      </c>
      <c r="M790">
        <v>3300000</v>
      </c>
      <c r="N790" t="s">
        <v>9475</v>
      </c>
      <c r="O790" s="1">
        <v>45653</v>
      </c>
      <c r="P790" t="s">
        <v>9476</v>
      </c>
      <c r="Q790" t="s">
        <v>9477</v>
      </c>
      <c r="R790" t="s">
        <v>146</v>
      </c>
      <c r="S790" t="s">
        <v>9478</v>
      </c>
      <c r="T790" t="s">
        <v>1128</v>
      </c>
      <c r="U790" t="s">
        <v>496</v>
      </c>
      <c r="V790" s="1">
        <v>44559</v>
      </c>
      <c r="W790" t="s">
        <v>8102</v>
      </c>
      <c r="X790" t="s">
        <v>8103</v>
      </c>
      <c r="Y790" t="s">
        <v>9479</v>
      </c>
      <c r="Z790">
        <v>5</v>
      </c>
      <c r="AA790" t="s">
        <v>55</v>
      </c>
      <c r="AB790" t="s">
        <v>9480</v>
      </c>
      <c r="AC790" t="s">
        <v>4015</v>
      </c>
      <c r="AD790" t="s">
        <v>299</v>
      </c>
      <c r="AE790">
        <v>2805000</v>
      </c>
      <c r="AF790">
        <v>42075</v>
      </c>
      <c r="AJ790" t="str">
        <f>_xlfn.XLOOKUP(Table9[[#This Row],[Engine No.]],'[1]Dubai Islamic Consumer'!$Q$3:$Q$1176,'[1]Dubai Islamic Consumer'!$B$3:$B$1176,,,)</f>
        <v>KHI/HO/D/MO/PC COMP/C/103702/227/12/2024</v>
      </c>
    </row>
    <row r="791" spans="1:36" x14ac:dyDescent="0.25">
      <c r="A791">
        <v>790</v>
      </c>
      <c r="B791" s="2" t="s">
        <v>8030</v>
      </c>
      <c r="C791" t="s">
        <v>9481</v>
      </c>
      <c r="D791" t="s">
        <v>37</v>
      </c>
      <c r="E791" t="s">
        <v>9482</v>
      </c>
      <c r="F791" t="s">
        <v>138</v>
      </c>
      <c r="G791" t="s">
        <v>9483</v>
      </c>
      <c r="H791" t="s">
        <v>9484</v>
      </c>
      <c r="I791" t="s">
        <v>9484</v>
      </c>
      <c r="J791" t="s">
        <v>9484</v>
      </c>
      <c r="K791" t="s">
        <v>9485</v>
      </c>
      <c r="L791">
        <v>2345000</v>
      </c>
      <c r="M791">
        <v>3350000</v>
      </c>
      <c r="N791" t="s">
        <v>9486</v>
      </c>
      <c r="O791" t="s">
        <v>9487</v>
      </c>
      <c r="P791" t="s">
        <v>9488</v>
      </c>
      <c r="Q791" t="s">
        <v>9489</v>
      </c>
      <c r="R791" t="s">
        <v>146</v>
      </c>
      <c r="S791" t="s">
        <v>9490</v>
      </c>
      <c r="T791" t="s">
        <v>8860</v>
      </c>
      <c r="U791" t="s">
        <v>335</v>
      </c>
      <c r="V791" s="1">
        <v>45289</v>
      </c>
      <c r="W791" t="s">
        <v>8767</v>
      </c>
      <c r="X791" t="s">
        <v>8103</v>
      </c>
      <c r="Y791" t="s">
        <v>9491</v>
      </c>
      <c r="Z791">
        <v>3</v>
      </c>
      <c r="AA791" t="s">
        <v>152</v>
      </c>
      <c r="AB791" t="s">
        <v>9492</v>
      </c>
      <c r="AC791" t="s">
        <v>9493</v>
      </c>
      <c r="AD791" t="s">
        <v>86</v>
      </c>
      <c r="AE791">
        <v>3015000</v>
      </c>
      <c r="AF791">
        <v>52763</v>
      </c>
      <c r="AJ791" t="str">
        <f>_xlfn.XLOOKUP(Table9[[#This Row],[Engine No.]],'[1]Dubai Islamic Consumer'!$Q$3:$Q$1176,'[1]Dubai Islamic Consumer'!$B$3:$B$1176,,,)</f>
        <v>KHI/HO/D/MO/PC COMP/C/103702/228/12/2024</v>
      </c>
    </row>
    <row r="792" spans="1:36" x14ac:dyDescent="0.25">
      <c r="A792">
        <v>791</v>
      </c>
      <c r="B792" s="2" t="s">
        <v>8030</v>
      </c>
      <c r="C792" t="s">
        <v>9494</v>
      </c>
      <c r="D792" t="s">
        <v>37</v>
      </c>
      <c r="E792" t="s">
        <v>9495</v>
      </c>
      <c r="F792" t="s">
        <v>138</v>
      </c>
      <c r="G792" t="s">
        <v>9496</v>
      </c>
      <c r="H792" t="s">
        <v>9497</v>
      </c>
      <c r="I792" t="s">
        <v>9497</v>
      </c>
      <c r="J792" t="s">
        <v>9498</v>
      </c>
      <c r="K792" t="s">
        <v>9499</v>
      </c>
      <c r="L792">
        <v>1722500</v>
      </c>
      <c r="M792">
        <v>2650000</v>
      </c>
      <c r="N792" t="s">
        <v>9500</v>
      </c>
      <c r="O792" t="s">
        <v>9487</v>
      </c>
      <c r="P792" t="s">
        <v>9501</v>
      </c>
      <c r="Q792" t="s">
        <v>9502</v>
      </c>
      <c r="R792" t="s">
        <v>146</v>
      </c>
      <c r="S792" t="s">
        <v>9503</v>
      </c>
      <c r="T792" t="s">
        <v>613</v>
      </c>
      <c r="U792" t="s">
        <v>50</v>
      </c>
      <c r="V792" s="1">
        <v>45289</v>
      </c>
      <c r="W792" t="s">
        <v>8767</v>
      </c>
      <c r="X792" t="s">
        <v>8455</v>
      </c>
      <c r="Y792" t="s">
        <v>9504</v>
      </c>
      <c r="Z792">
        <v>5</v>
      </c>
      <c r="AA792" t="s">
        <v>152</v>
      </c>
      <c r="AB792" t="s">
        <v>9505</v>
      </c>
      <c r="AC792" t="s">
        <v>9493</v>
      </c>
      <c r="AD792" t="s">
        <v>86</v>
      </c>
      <c r="AE792">
        <v>2385000</v>
      </c>
      <c r="AF792">
        <v>41738</v>
      </c>
      <c r="AJ792" t="str">
        <f>_xlfn.XLOOKUP(Table9[[#This Row],[Engine No.]],'[1]Dubai Islamic Consumer'!$Q$3:$Q$1176,'[1]Dubai Islamic Consumer'!$B$3:$B$1176,,,)</f>
        <v>KHI/HO/D/MO/PC COMP/C/103702/229/12/2024</v>
      </c>
    </row>
    <row r="793" spans="1:36" x14ac:dyDescent="0.25">
      <c r="A793">
        <v>792</v>
      </c>
      <c r="B793" s="2" t="s">
        <v>8030</v>
      </c>
      <c r="C793" t="s">
        <v>9506</v>
      </c>
      <c r="D793" t="s">
        <v>37</v>
      </c>
      <c r="E793" t="s">
        <v>9507</v>
      </c>
      <c r="F793" t="s">
        <v>107</v>
      </c>
      <c r="G793" t="s">
        <v>9508</v>
      </c>
      <c r="H793" t="s">
        <v>9509</v>
      </c>
      <c r="I793" t="s">
        <v>9509</v>
      </c>
      <c r="J793" t="s">
        <v>9509</v>
      </c>
      <c r="K793" t="s">
        <v>9510</v>
      </c>
      <c r="L793">
        <v>760000</v>
      </c>
      <c r="M793">
        <v>950000</v>
      </c>
      <c r="N793" t="s">
        <v>9511</v>
      </c>
      <c r="O793" s="1">
        <v>45653</v>
      </c>
      <c r="P793" t="s">
        <v>9512</v>
      </c>
      <c r="Q793" t="s">
        <v>9513</v>
      </c>
      <c r="R793" t="s">
        <v>146</v>
      </c>
      <c r="S793" t="s">
        <v>9514</v>
      </c>
      <c r="T793" t="s">
        <v>639</v>
      </c>
      <c r="U793" t="s">
        <v>496</v>
      </c>
      <c r="V793" s="1">
        <v>44561</v>
      </c>
      <c r="W793" t="s">
        <v>8102</v>
      </c>
      <c r="X793" t="s">
        <v>8103</v>
      </c>
      <c r="Y793" t="s">
        <v>9515</v>
      </c>
      <c r="Z793">
        <v>5</v>
      </c>
      <c r="AA793" t="s">
        <v>55</v>
      </c>
      <c r="AB793" t="s">
        <v>9516</v>
      </c>
      <c r="AC793" t="s">
        <v>9248</v>
      </c>
      <c r="AD793" t="s">
        <v>299</v>
      </c>
      <c r="AE793">
        <v>807500</v>
      </c>
      <c r="AF793">
        <v>12113</v>
      </c>
      <c r="AJ793" t="str">
        <f>_xlfn.XLOOKUP(Table9[[#This Row],[Engine No.]],'[1]Dubai Islamic Consumer'!$Q$3:$Q$1176,'[1]Dubai Islamic Consumer'!$B$3:$B$1176,,,)</f>
        <v>KHI/HO/D/MO/PC COMP/C/103702/230/12/2024</v>
      </c>
    </row>
    <row r="794" spans="1:36" x14ac:dyDescent="0.25">
      <c r="A794">
        <v>793</v>
      </c>
      <c r="B794" s="2" t="s">
        <v>8030</v>
      </c>
      <c r="C794" t="s">
        <v>9517</v>
      </c>
      <c r="D794" t="s">
        <v>37</v>
      </c>
      <c r="E794" t="s">
        <v>9518</v>
      </c>
      <c r="F794" t="s">
        <v>8094</v>
      </c>
      <c r="G794" t="s">
        <v>9519</v>
      </c>
      <c r="H794" t="s">
        <v>48</v>
      </c>
      <c r="I794" t="s">
        <v>9520</v>
      </c>
      <c r="J794" t="s">
        <v>48</v>
      </c>
      <c r="K794" t="s">
        <v>9521</v>
      </c>
      <c r="L794">
        <v>965340</v>
      </c>
      <c r="M794">
        <v>1608900</v>
      </c>
      <c r="N794" t="s">
        <v>9522</v>
      </c>
      <c r="O794" s="1">
        <v>45653</v>
      </c>
      <c r="P794" t="s">
        <v>9523</v>
      </c>
      <c r="Q794" t="s">
        <v>9524</v>
      </c>
      <c r="R794" t="s">
        <v>47</v>
      </c>
      <c r="S794" t="s">
        <v>48</v>
      </c>
      <c r="T794" t="s">
        <v>4833</v>
      </c>
      <c r="U794" t="s">
        <v>50</v>
      </c>
      <c r="V794" s="1">
        <v>44379</v>
      </c>
      <c r="W794" t="s">
        <v>8102</v>
      </c>
      <c r="X794" t="s">
        <v>8103</v>
      </c>
      <c r="Y794" t="s">
        <v>9525</v>
      </c>
      <c r="Z794">
        <v>5</v>
      </c>
      <c r="AA794" t="s">
        <v>55</v>
      </c>
      <c r="AB794" t="s">
        <v>9526</v>
      </c>
      <c r="AC794" t="s">
        <v>5575</v>
      </c>
      <c r="AD794" t="s">
        <v>58</v>
      </c>
      <c r="AE794">
        <v>1367565</v>
      </c>
      <c r="AF794">
        <v>27351</v>
      </c>
      <c r="AJ794" t="str">
        <f>_xlfn.XLOOKUP(Table9[[#This Row],[Engine No.]],'[1]Dubai Islamic Consumer'!$Q$3:$Q$1176,'[1]Dubai Islamic Consumer'!$B$3:$B$1176,,,)</f>
        <v>KHI/HO/D/MO/PC COMP/C/103702/231/12/2024</v>
      </c>
    </row>
    <row r="795" spans="1:36" x14ac:dyDescent="0.25">
      <c r="A795">
        <v>794</v>
      </c>
      <c r="B795" s="2" t="s">
        <v>8030</v>
      </c>
      <c r="C795" t="s">
        <v>9527</v>
      </c>
      <c r="D795" t="s">
        <v>37</v>
      </c>
      <c r="E795" t="s">
        <v>9528</v>
      </c>
      <c r="F795" t="s">
        <v>138</v>
      </c>
      <c r="G795" t="s">
        <v>9529</v>
      </c>
      <c r="H795" t="s">
        <v>48</v>
      </c>
      <c r="I795" t="s">
        <v>9530</v>
      </c>
      <c r="J795" t="s">
        <v>48</v>
      </c>
      <c r="K795" t="s">
        <v>9531</v>
      </c>
      <c r="L795">
        <v>1062300</v>
      </c>
      <c r="M795">
        <v>3541000</v>
      </c>
      <c r="N795" t="s">
        <v>9532</v>
      </c>
      <c r="O795" s="1">
        <v>45653</v>
      </c>
      <c r="P795" t="s">
        <v>9533</v>
      </c>
      <c r="Q795" t="s">
        <v>9534</v>
      </c>
      <c r="R795" t="s">
        <v>47</v>
      </c>
      <c r="S795" t="s">
        <v>48</v>
      </c>
      <c r="T795" t="s">
        <v>650</v>
      </c>
      <c r="U795" t="s">
        <v>148</v>
      </c>
      <c r="V795" s="1">
        <v>44629</v>
      </c>
      <c r="W795" t="s">
        <v>8883</v>
      </c>
      <c r="X795" t="s">
        <v>8076</v>
      </c>
      <c r="Y795" t="s">
        <v>9535</v>
      </c>
      <c r="Z795">
        <v>3</v>
      </c>
      <c r="AA795" t="s">
        <v>55</v>
      </c>
      <c r="AB795" t="s">
        <v>9536</v>
      </c>
      <c r="AC795" t="s">
        <v>3988</v>
      </c>
      <c r="AD795" t="s">
        <v>58</v>
      </c>
      <c r="AE795">
        <v>3186900</v>
      </c>
      <c r="AF795">
        <v>63738</v>
      </c>
      <c r="AJ795" t="str">
        <f>_xlfn.XLOOKUP(Table9[[#This Row],[Engine No.]],'[1]Dubai Islamic Consumer'!$Q$3:$Q$1176,'[1]Dubai Islamic Consumer'!$B$3:$B$1176,,,)</f>
        <v>KHI/HO/D/MO/PC COMP/C/103702/232/12/2024</v>
      </c>
    </row>
    <row r="796" spans="1:36" x14ac:dyDescent="0.25">
      <c r="A796">
        <v>795</v>
      </c>
      <c r="B796" s="2" t="s">
        <v>8030</v>
      </c>
      <c r="C796" t="s">
        <v>9537</v>
      </c>
      <c r="D796" t="s">
        <v>37</v>
      </c>
      <c r="E796" t="s">
        <v>9538</v>
      </c>
      <c r="F796" t="s">
        <v>245</v>
      </c>
      <c r="G796" t="s">
        <v>9539</v>
      </c>
      <c r="H796" t="s">
        <v>9540</v>
      </c>
      <c r="I796" t="s">
        <v>9541</v>
      </c>
      <c r="J796" t="s">
        <v>9542</v>
      </c>
      <c r="K796" t="s">
        <v>9543</v>
      </c>
      <c r="L796">
        <v>2854500</v>
      </c>
      <c r="M796">
        <v>5190000</v>
      </c>
      <c r="N796" t="s">
        <v>9544</v>
      </c>
      <c r="O796" s="1">
        <v>45653</v>
      </c>
      <c r="P796" t="s">
        <v>9545</v>
      </c>
      <c r="Q796" t="s">
        <v>9546</v>
      </c>
      <c r="R796" t="s">
        <v>47</v>
      </c>
      <c r="S796" t="s">
        <v>48</v>
      </c>
      <c r="T796" t="s">
        <v>2371</v>
      </c>
      <c r="U796" t="s">
        <v>50</v>
      </c>
      <c r="V796" s="1">
        <v>44559</v>
      </c>
      <c r="W796" t="s">
        <v>8102</v>
      </c>
      <c r="X796" t="s">
        <v>8115</v>
      </c>
      <c r="Y796" t="s">
        <v>9547</v>
      </c>
      <c r="Z796">
        <v>4</v>
      </c>
      <c r="AA796" t="s">
        <v>48</v>
      </c>
      <c r="AB796" t="s">
        <v>48</v>
      </c>
      <c r="AC796" t="s">
        <v>48</v>
      </c>
      <c r="AD796" t="s">
        <v>58</v>
      </c>
      <c r="AE796">
        <v>4411500</v>
      </c>
      <c r="AF796">
        <v>88230</v>
      </c>
      <c r="AJ796" t="str">
        <f>_xlfn.XLOOKUP(Table9[[#This Row],[Engine No.]],'[1]Dubai Islamic Consumer'!$Q$3:$Q$1176,'[1]Dubai Islamic Consumer'!$B$3:$B$1176,,,)</f>
        <v>KHI/HO/D/MO/PC COMP/C/103702/235/12/2024</v>
      </c>
    </row>
    <row r="797" spans="1:36" x14ac:dyDescent="0.25">
      <c r="A797">
        <v>796</v>
      </c>
      <c r="B797" s="2" t="s">
        <v>8030</v>
      </c>
      <c r="C797" t="s">
        <v>9548</v>
      </c>
      <c r="D797" t="s">
        <v>37</v>
      </c>
      <c r="E797" t="s">
        <v>9549</v>
      </c>
      <c r="F797" t="s">
        <v>107</v>
      </c>
      <c r="G797" t="s">
        <v>9550</v>
      </c>
      <c r="H797" t="s">
        <v>9551</v>
      </c>
      <c r="I797" t="s">
        <v>9551</v>
      </c>
      <c r="J797" t="s">
        <v>9551</v>
      </c>
      <c r="K797" t="s">
        <v>9552</v>
      </c>
      <c r="L797">
        <v>2625000</v>
      </c>
      <c r="M797">
        <v>3750000</v>
      </c>
      <c r="N797" t="s">
        <v>9553</v>
      </c>
      <c r="O797" s="1">
        <v>45653</v>
      </c>
      <c r="P797" t="s">
        <v>9554</v>
      </c>
      <c r="Q797" t="s">
        <v>9555</v>
      </c>
      <c r="R797" t="s">
        <v>146</v>
      </c>
      <c r="S797" t="s">
        <v>9556</v>
      </c>
      <c r="T797" t="s">
        <v>714</v>
      </c>
      <c r="U797" t="s">
        <v>496</v>
      </c>
      <c r="V797" s="1">
        <v>44561</v>
      </c>
      <c r="W797" t="s">
        <v>8102</v>
      </c>
      <c r="X797" t="s">
        <v>8103</v>
      </c>
      <c r="Y797" t="s">
        <v>9557</v>
      </c>
      <c r="Z797">
        <v>5</v>
      </c>
      <c r="AA797" t="s">
        <v>55</v>
      </c>
      <c r="AB797" t="s">
        <v>9558</v>
      </c>
      <c r="AC797" t="s">
        <v>8563</v>
      </c>
      <c r="AD797" t="s">
        <v>299</v>
      </c>
      <c r="AE797">
        <v>3187500</v>
      </c>
      <c r="AF797">
        <v>47813</v>
      </c>
      <c r="AJ797" t="str">
        <f>_xlfn.XLOOKUP(Table9[[#This Row],[Engine No.]],'[1]Dubai Islamic Consumer'!$Q$3:$Q$1176,'[1]Dubai Islamic Consumer'!$B$3:$B$1176,,,)</f>
        <v>KHI/HO/D/MO/PC COMP/C/103702/236/12/2024</v>
      </c>
    </row>
    <row r="798" spans="1:36" x14ac:dyDescent="0.25">
      <c r="A798">
        <v>797</v>
      </c>
      <c r="B798" s="2" t="s">
        <v>8030</v>
      </c>
      <c r="C798" t="s">
        <v>9559</v>
      </c>
      <c r="D798" t="s">
        <v>37</v>
      </c>
      <c r="E798" t="s">
        <v>9560</v>
      </c>
      <c r="F798" t="s">
        <v>39</v>
      </c>
      <c r="G798" t="s">
        <v>9561</v>
      </c>
      <c r="H798" t="s">
        <v>9562</v>
      </c>
      <c r="I798" t="s">
        <v>9563</v>
      </c>
      <c r="J798" t="s">
        <v>9562</v>
      </c>
      <c r="K798" t="s">
        <v>9564</v>
      </c>
      <c r="L798">
        <v>2612025</v>
      </c>
      <c r="M798">
        <v>4018500</v>
      </c>
      <c r="N798" t="s">
        <v>9565</v>
      </c>
      <c r="O798" s="1">
        <v>45653</v>
      </c>
      <c r="P798" t="s">
        <v>9566</v>
      </c>
      <c r="Q798" t="s">
        <v>9567</v>
      </c>
      <c r="R798" t="s">
        <v>47</v>
      </c>
      <c r="S798" t="s">
        <v>48</v>
      </c>
      <c r="T798" t="s">
        <v>1065</v>
      </c>
      <c r="U798" t="s">
        <v>50</v>
      </c>
      <c r="V798" s="1">
        <v>44459</v>
      </c>
      <c r="W798" t="s">
        <v>2981</v>
      </c>
      <c r="X798" t="s">
        <v>8273</v>
      </c>
      <c r="Y798" t="s">
        <v>9568</v>
      </c>
      <c r="Z798">
        <v>3</v>
      </c>
      <c r="AA798" t="s">
        <v>55</v>
      </c>
      <c r="AB798" t="s">
        <v>9569</v>
      </c>
      <c r="AC798" t="s">
        <v>361</v>
      </c>
      <c r="AD798" t="s">
        <v>58</v>
      </c>
      <c r="AE798">
        <v>3415725</v>
      </c>
      <c r="AF798">
        <v>68315</v>
      </c>
      <c r="AJ798" t="str">
        <f>_xlfn.XLOOKUP(Table9[[#This Row],[Engine No.]],'[1]Dubai Islamic Consumer'!$Q$3:$Q$1176,'[1]Dubai Islamic Consumer'!$B$3:$B$1176,,,)</f>
        <v>KHI/HO/D/MO/PC COMP/C/103702/240/12/2024</v>
      </c>
    </row>
    <row r="799" spans="1:36" x14ac:dyDescent="0.25">
      <c r="A799">
        <v>798</v>
      </c>
      <c r="B799" s="2" t="s">
        <v>8030</v>
      </c>
      <c r="C799" t="s">
        <v>9570</v>
      </c>
      <c r="D799" t="s">
        <v>37</v>
      </c>
      <c r="E799" t="s">
        <v>9571</v>
      </c>
      <c r="F799" t="s">
        <v>245</v>
      </c>
      <c r="G799" t="s">
        <v>9572</v>
      </c>
      <c r="H799" t="s">
        <v>9573</v>
      </c>
      <c r="I799" t="s">
        <v>48</v>
      </c>
      <c r="J799" t="s">
        <v>141</v>
      </c>
      <c r="K799" t="s">
        <v>9574</v>
      </c>
      <c r="L799">
        <v>1855000</v>
      </c>
      <c r="M799">
        <v>2650000</v>
      </c>
      <c r="N799" t="s">
        <v>9575</v>
      </c>
      <c r="O799" s="1">
        <v>45653</v>
      </c>
      <c r="P799" t="s">
        <v>9576</v>
      </c>
      <c r="Q799" t="s">
        <v>9577</v>
      </c>
      <c r="R799" t="s">
        <v>47</v>
      </c>
      <c r="S799" t="s">
        <v>48</v>
      </c>
      <c r="T799" t="s">
        <v>2587</v>
      </c>
      <c r="U799" t="s">
        <v>50</v>
      </c>
      <c r="V799" s="1">
        <v>44377</v>
      </c>
      <c r="W799" t="s">
        <v>2981</v>
      </c>
      <c r="X799" t="s">
        <v>2982</v>
      </c>
      <c r="Y799" t="s">
        <v>9578</v>
      </c>
      <c r="Z799">
        <v>5</v>
      </c>
      <c r="AA799" t="s">
        <v>118</v>
      </c>
      <c r="AB799" t="s">
        <v>9579</v>
      </c>
      <c r="AC799" t="s">
        <v>361</v>
      </c>
      <c r="AD799" t="s">
        <v>58</v>
      </c>
      <c r="AE799">
        <v>2252500</v>
      </c>
      <c r="AF799">
        <v>45050</v>
      </c>
      <c r="AJ799" t="str">
        <f>_xlfn.XLOOKUP(Table9[[#This Row],[Engine No.]],'[1]Dubai Islamic Consumer'!$Q$3:$Q$1176,'[1]Dubai Islamic Consumer'!$B$3:$B$1176,,,)</f>
        <v>KHI/HO/D/MO/PC COMP/C/103702/243/12/2024</v>
      </c>
    </row>
    <row r="800" spans="1:36" x14ac:dyDescent="0.25">
      <c r="A800">
        <v>799</v>
      </c>
      <c r="B800" s="2" t="s">
        <v>8030</v>
      </c>
      <c r="C800" t="s">
        <v>9580</v>
      </c>
      <c r="D800" t="s">
        <v>37</v>
      </c>
      <c r="E800" t="s">
        <v>9581</v>
      </c>
      <c r="F800" t="s">
        <v>89</v>
      </c>
      <c r="G800" t="s">
        <v>9582</v>
      </c>
      <c r="H800" t="s">
        <v>9583</v>
      </c>
      <c r="I800" t="s">
        <v>9583</v>
      </c>
      <c r="J800" t="s">
        <v>9583</v>
      </c>
      <c r="K800" t="s">
        <v>9584</v>
      </c>
      <c r="L800">
        <v>2250000</v>
      </c>
      <c r="M800">
        <v>3000000</v>
      </c>
      <c r="N800" t="s">
        <v>9585</v>
      </c>
      <c r="O800" s="1">
        <v>45653</v>
      </c>
      <c r="P800" t="s">
        <v>9586</v>
      </c>
      <c r="Q800" t="s">
        <v>9587</v>
      </c>
      <c r="R800" t="s">
        <v>146</v>
      </c>
      <c r="S800" t="s">
        <v>9588</v>
      </c>
      <c r="T800" t="s">
        <v>2304</v>
      </c>
      <c r="U800" t="s">
        <v>614</v>
      </c>
      <c r="V800" s="1">
        <v>44194</v>
      </c>
      <c r="W800" t="s">
        <v>8114</v>
      </c>
      <c r="X800" t="s">
        <v>8115</v>
      </c>
      <c r="Y800" t="s">
        <v>9589</v>
      </c>
      <c r="Z800">
        <v>5</v>
      </c>
      <c r="AA800" t="s">
        <v>152</v>
      </c>
      <c r="AB800" t="s">
        <v>9590</v>
      </c>
      <c r="AC800" t="s">
        <v>9591</v>
      </c>
      <c r="AD800" t="s">
        <v>58</v>
      </c>
      <c r="AE800">
        <v>2400000</v>
      </c>
      <c r="AF800">
        <v>48000</v>
      </c>
      <c r="AJ800" t="str">
        <f>_xlfn.XLOOKUP(Table9[[#This Row],[Engine No.]],'[1]Dubai Islamic Consumer'!$Q$3:$Q$1176,'[1]Dubai Islamic Consumer'!$B$3:$B$1176,,,)</f>
        <v>KHI/HO/D/MO/PC COMP/C/103702/246/12/2024</v>
      </c>
    </row>
    <row r="801" spans="1:36" x14ac:dyDescent="0.25">
      <c r="A801">
        <v>800</v>
      </c>
      <c r="B801" s="2" t="s">
        <v>8030</v>
      </c>
      <c r="C801" t="s">
        <v>9592</v>
      </c>
      <c r="D801" t="s">
        <v>37</v>
      </c>
      <c r="E801" t="s">
        <v>9593</v>
      </c>
      <c r="F801" t="s">
        <v>8158</v>
      </c>
      <c r="G801" t="s">
        <v>9594</v>
      </c>
      <c r="H801" t="s">
        <v>9595</v>
      </c>
      <c r="I801" t="s">
        <v>9596</v>
      </c>
      <c r="J801" t="s">
        <v>9597</v>
      </c>
      <c r="K801" t="s">
        <v>9598</v>
      </c>
      <c r="L801">
        <v>1844500</v>
      </c>
      <c r="M801">
        <v>2635000</v>
      </c>
      <c r="N801" t="s">
        <v>9599</v>
      </c>
      <c r="O801" s="1">
        <v>45653</v>
      </c>
      <c r="P801" t="s">
        <v>9600</v>
      </c>
      <c r="Q801" t="s">
        <v>9601</v>
      </c>
      <c r="R801" t="s">
        <v>146</v>
      </c>
      <c r="S801" t="s">
        <v>9602</v>
      </c>
      <c r="T801" t="s">
        <v>2113</v>
      </c>
      <c r="U801" t="s">
        <v>98</v>
      </c>
      <c r="V801" s="1">
        <v>44559</v>
      </c>
      <c r="W801" t="s">
        <v>8102</v>
      </c>
      <c r="X801" t="s">
        <v>8103</v>
      </c>
      <c r="Y801" t="s">
        <v>9603</v>
      </c>
      <c r="Z801">
        <v>5</v>
      </c>
      <c r="AA801" t="s">
        <v>118</v>
      </c>
      <c r="AB801" t="s">
        <v>9604</v>
      </c>
      <c r="AC801" t="s">
        <v>9248</v>
      </c>
      <c r="AD801" t="s">
        <v>299</v>
      </c>
      <c r="AE801">
        <v>2239750</v>
      </c>
      <c r="AF801">
        <v>33596</v>
      </c>
      <c r="AJ801" t="str">
        <f>_xlfn.XLOOKUP(Table9[[#This Row],[Engine No.]],'[1]Dubai Islamic Consumer'!$Q$3:$Q$1176,'[1]Dubai Islamic Consumer'!$B$3:$B$1176,,,)</f>
        <v>KHI/HO/D/MO/PC COMP/C/103702/247/12/2024</v>
      </c>
    </row>
    <row r="802" spans="1:36" x14ac:dyDescent="0.25">
      <c r="A802">
        <v>801</v>
      </c>
      <c r="B802" s="2" t="s">
        <v>8030</v>
      </c>
      <c r="C802" t="s">
        <v>9605</v>
      </c>
      <c r="D802" t="s">
        <v>37</v>
      </c>
      <c r="E802" t="s">
        <v>9606</v>
      </c>
      <c r="F802" t="s">
        <v>107</v>
      </c>
      <c r="G802" t="s">
        <v>9607</v>
      </c>
      <c r="H802" t="s">
        <v>9608</v>
      </c>
      <c r="I802" t="s">
        <v>9608</v>
      </c>
      <c r="J802" t="s">
        <v>9609</v>
      </c>
      <c r="K802" t="s">
        <v>9610</v>
      </c>
      <c r="L802">
        <v>1600000</v>
      </c>
      <c r="M802">
        <v>2000000</v>
      </c>
      <c r="N802" t="s">
        <v>9611</v>
      </c>
      <c r="O802" s="1">
        <v>45653</v>
      </c>
      <c r="P802" t="s">
        <v>9612</v>
      </c>
      <c r="Q802" t="s">
        <v>9613</v>
      </c>
      <c r="R802" t="s">
        <v>146</v>
      </c>
      <c r="S802" t="s">
        <v>9614</v>
      </c>
      <c r="T802" t="s">
        <v>2461</v>
      </c>
      <c r="U802" t="s">
        <v>50</v>
      </c>
      <c r="V802" s="1">
        <v>44560</v>
      </c>
      <c r="W802" t="s">
        <v>8102</v>
      </c>
      <c r="X802" t="s">
        <v>8103</v>
      </c>
      <c r="Y802" t="s">
        <v>9615</v>
      </c>
      <c r="Z802">
        <v>5</v>
      </c>
      <c r="AA802" t="s">
        <v>55</v>
      </c>
      <c r="AB802" t="s">
        <v>9616</v>
      </c>
      <c r="AC802" t="s">
        <v>361</v>
      </c>
      <c r="AD802" t="s">
        <v>299</v>
      </c>
      <c r="AE802">
        <v>1700000</v>
      </c>
      <c r="AF802">
        <v>25500</v>
      </c>
      <c r="AJ802" t="str">
        <f>_xlfn.XLOOKUP(Table9[[#This Row],[Engine No.]],'[1]Dubai Islamic Consumer'!$Q$3:$Q$1176,'[1]Dubai Islamic Consumer'!$B$3:$B$1176,,,)</f>
        <v>KHI/HO/D/MO/PC COMP/C/103702/249/12/2024</v>
      </c>
    </row>
    <row r="803" spans="1:36" x14ac:dyDescent="0.25">
      <c r="A803">
        <v>802</v>
      </c>
      <c r="B803" s="2" t="s">
        <v>8030</v>
      </c>
      <c r="C803" t="s">
        <v>9617</v>
      </c>
      <c r="D803" t="s">
        <v>37</v>
      </c>
      <c r="E803" t="s">
        <v>9618</v>
      </c>
      <c r="F803" t="s">
        <v>245</v>
      </c>
      <c r="G803" t="s">
        <v>9619</v>
      </c>
      <c r="H803" t="s">
        <v>48</v>
      </c>
      <c r="I803" t="s">
        <v>9620</v>
      </c>
      <c r="J803" t="s">
        <v>48</v>
      </c>
      <c r="K803" t="s">
        <v>9621</v>
      </c>
      <c r="L803">
        <v>1460000</v>
      </c>
      <c r="M803">
        <v>1825000</v>
      </c>
      <c r="N803" t="s">
        <v>9622</v>
      </c>
      <c r="O803" s="1">
        <v>45653</v>
      </c>
      <c r="P803" t="s">
        <v>9623</v>
      </c>
      <c r="Q803" t="s">
        <v>9624</v>
      </c>
      <c r="R803" t="s">
        <v>146</v>
      </c>
      <c r="S803" t="s">
        <v>9625</v>
      </c>
      <c r="T803" t="s">
        <v>1651</v>
      </c>
      <c r="U803" t="s">
        <v>335</v>
      </c>
      <c r="V803" s="1">
        <v>44559</v>
      </c>
      <c r="W803" t="s">
        <v>8102</v>
      </c>
      <c r="X803" t="s">
        <v>8103</v>
      </c>
      <c r="Y803" t="s">
        <v>9626</v>
      </c>
      <c r="Z803">
        <v>5</v>
      </c>
      <c r="AA803" t="s">
        <v>118</v>
      </c>
      <c r="AB803" t="s">
        <v>9627</v>
      </c>
      <c r="AC803" t="s">
        <v>361</v>
      </c>
      <c r="AD803" t="s">
        <v>299</v>
      </c>
      <c r="AE803">
        <v>1551250</v>
      </c>
      <c r="AF803">
        <v>23269</v>
      </c>
      <c r="AJ803" t="str">
        <f>_xlfn.XLOOKUP(Table9[[#This Row],[Engine No.]],'[1]Dubai Islamic Consumer'!$Q$3:$Q$1176,'[1]Dubai Islamic Consumer'!$B$3:$B$1176,,,)</f>
        <v>KHI/HO/D/MO/PC COMP/C/103702/250/12/2024</v>
      </c>
    </row>
    <row r="804" spans="1:36" x14ac:dyDescent="0.25">
      <c r="A804">
        <v>803</v>
      </c>
      <c r="B804" s="2" t="s">
        <v>8030</v>
      </c>
      <c r="C804" t="s">
        <v>9628</v>
      </c>
      <c r="D804" t="s">
        <v>37</v>
      </c>
      <c r="E804" t="s">
        <v>2578</v>
      </c>
      <c r="F804" t="s">
        <v>245</v>
      </c>
      <c r="G804" t="s">
        <v>9629</v>
      </c>
      <c r="H804" t="s">
        <v>9630</v>
      </c>
      <c r="I804" t="s">
        <v>9630</v>
      </c>
      <c r="J804" t="s">
        <v>9631</v>
      </c>
      <c r="K804" t="s">
        <v>9632</v>
      </c>
      <c r="L804">
        <v>1100000</v>
      </c>
      <c r="M804">
        <v>2500000</v>
      </c>
      <c r="N804" t="s">
        <v>9633</v>
      </c>
      <c r="O804" s="1">
        <v>45653</v>
      </c>
      <c r="P804" t="s">
        <v>9634</v>
      </c>
      <c r="Q804" t="s">
        <v>9635</v>
      </c>
      <c r="R804" t="s">
        <v>146</v>
      </c>
      <c r="S804" t="s">
        <v>9636</v>
      </c>
      <c r="T804" t="s">
        <v>283</v>
      </c>
      <c r="U804" t="s">
        <v>496</v>
      </c>
      <c r="V804" s="1">
        <v>44559</v>
      </c>
      <c r="W804" t="s">
        <v>8102</v>
      </c>
      <c r="X804" t="s">
        <v>8103</v>
      </c>
      <c r="Y804" t="s">
        <v>9637</v>
      </c>
      <c r="Z804">
        <v>5</v>
      </c>
      <c r="AA804" t="s">
        <v>118</v>
      </c>
      <c r="AB804" t="s">
        <v>9638</v>
      </c>
      <c r="AC804" t="s">
        <v>361</v>
      </c>
      <c r="AD804" t="s">
        <v>299</v>
      </c>
      <c r="AE804">
        <v>2125000</v>
      </c>
      <c r="AF804">
        <v>31875</v>
      </c>
      <c r="AJ804" t="str">
        <f>_xlfn.XLOOKUP(Table9[[#This Row],[Engine No.]],'[1]Dubai Islamic Consumer'!$Q$3:$Q$1176,'[1]Dubai Islamic Consumer'!$B$3:$B$1176,,,)</f>
        <v>KHI/HO/D/MO/PC COMP/C/103702/251/12/2024</v>
      </c>
    </row>
    <row r="805" spans="1:36" x14ac:dyDescent="0.25">
      <c r="A805">
        <v>804</v>
      </c>
      <c r="B805" s="2" t="s">
        <v>8030</v>
      </c>
      <c r="C805" t="s">
        <v>9639</v>
      </c>
      <c r="D805" t="s">
        <v>37</v>
      </c>
      <c r="E805" t="s">
        <v>9640</v>
      </c>
      <c r="F805" t="s">
        <v>138</v>
      </c>
      <c r="G805" t="s">
        <v>9641</v>
      </c>
      <c r="H805" t="s">
        <v>9642</v>
      </c>
      <c r="I805" t="s">
        <v>9642</v>
      </c>
      <c r="J805" t="s">
        <v>141</v>
      </c>
      <c r="K805" t="s">
        <v>9643</v>
      </c>
      <c r="L805">
        <v>1077300</v>
      </c>
      <c r="M805">
        <v>1539000</v>
      </c>
      <c r="N805" t="s">
        <v>9644</v>
      </c>
      <c r="O805" s="1">
        <v>45653</v>
      </c>
      <c r="P805" t="s">
        <v>9645</v>
      </c>
      <c r="Q805" t="s">
        <v>9646</v>
      </c>
      <c r="R805" t="s">
        <v>47</v>
      </c>
      <c r="S805" t="s">
        <v>48</v>
      </c>
      <c r="T805" t="s">
        <v>1264</v>
      </c>
      <c r="U805" t="s">
        <v>50</v>
      </c>
      <c r="V805" s="1">
        <v>44560</v>
      </c>
      <c r="W805" t="s">
        <v>8102</v>
      </c>
      <c r="X805" t="s">
        <v>8103</v>
      </c>
      <c r="Y805" t="s">
        <v>9647</v>
      </c>
      <c r="Z805">
        <v>5</v>
      </c>
      <c r="AA805" t="s">
        <v>118</v>
      </c>
      <c r="AB805" t="s">
        <v>9648</v>
      </c>
      <c r="AC805" t="s">
        <v>361</v>
      </c>
      <c r="AD805" t="s">
        <v>58</v>
      </c>
      <c r="AE805">
        <v>1308150</v>
      </c>
      <c r="AF805">
        <v>26163</v>
      </c>
      <c r="AJ805" t="str">
        <f>_xlfn.XLOOKUP(Table9[[#This Row],[Engine No.]],'[1]Dubai Islamic Consumer'!$Q$3:$Q$1176,'[1]Dubai Islamic Consumer'!$B$3:$B$1176,,,)</f>
        <v>KHI/HO/D/MO/PC COMP/C/103702/252/12/2024</v>
      </c>
    </row>
    <row r="806" spans="1:36" x14ac:dyDescent="0.25">
      <c r="A806">
        <v>805</v>
      </c>
      <c r="B806" s="2" t="s">
        <v>8030</v>
      </c>
      <c r="C806" t="s">
        <v>9649</v>
      </c>
      <c r="D806" t="s">
        <v>37</v>
      </c>
      <c r="E806" t="s">
        <v>9650</v>
      </c>
      <c r="F806" t="s">
        <v>89</v>
      </c>
      <c r="G806" t="s">
        <v>9651</v>
      </c>
      <c r="H806" t="s">
        <v>9652</v>
      </c>
      <c r="I806" t="s">
        <v>48</v>
      </c>
      <c r="J806" t="s">
        <v>9653</v>
      </c>
      <c r="K806" t="s">
        <v>9654</v>
      </c>
      <c r="L806">
        <v>1050000</v>
      </c>
      <c r="M806">
        <v>1400000</v>
      </c>
      <c r="N806" t="s">
        <v>9655</v>
      </c>
      <c r="O806" s="1">
        <v>45653</v>
      </c>
      <c r="P806" t="s">
        <v>9656</v>
      </c>
      <c r="Q806" t="s">
        <v>9657</v>
      </c>
      <c r="R806" t="s">
        <v>146</v>
      </c>
      <c r="S806" t="s">
        <v>9658</v>
      </c>
      <c r="T806" t="s">
        <v>194</v>
      </c>
      <c r="U806" t="s">
        <v>614</v>
      </c>
      <c r="V806" s="1">
        <v>44559</v>
      </c>
      <c r="W806" t="s">
        <v>8102</v>
      </c>
      <c r="X806" t="s">
        <v>8455</v>
      </c>
      <c r="Y806" t="s">
        <v>9659</v>
      </c>
      <c r="Z806">
        <v>7</v>
      </c>
      <c r="AA806" t="s">
        <v>118</v>
      </c>
      <c r="AB806" t="s">
        <v>9660</v>
      </c>
      <c r="AC806" t="s">
        <v>361</v>
      </c>
      <c r="AD806" t="s">
        <v>299</v>
      </c>
      <c r="AE806">
        <v>1190000</v>
      </c>
      <c r="AF806">
        <v>17850</v>
      </c>
      <c r="AJ806" t="str">
        <f>_xlfn.XLOOKUP(Table9[[#This Row],[Engine No.]],'[1]Dubai Islamic Consumer'!$Q$3:$Q$1176,'[1]Dubai Islamic Consumer'!$B$3:$B$1176,,,)</f>
        <v>KHI/HO/D/MO/PC COMP/C/103702/254/12/2024</v>
      </c>
    </row>
    <row r="807" spans="1:36" x14ac:dyDescent="0.25">
      <c r="A807">
        <v>806</v>
      </c>
      <c r="B807" s="2" t="s">
        <v>8030</v>
      </c>
      <c r="C807" t="s">
        <v>9661</v>
      </c>
      <c r="D807" t="s">
        <v>37</v>
      </c>
      <c r="E807" t="s">
        <v>9662</v>
      </c>
      <c r="F807" t="s">
        <v>138</v>
      </c>
      <c r="G807" t="s">
        <v>9663</v>
      </c>
      <c r="H807" t="s">
        <v>9664</v>
      </c>
      <c r="I807" t="s">
        <v>9664</v>
      </c>
      <c r="J807" t="s">
        <v>9665</v>
      </c>
      <c r="K807" t="s">
        <v>9666</v>
      </c>
      <c r="L807">
        <v>1146400</v>
      </c>
      <c r="M807">
        <v>1433000</v>
      </c>
      <c r="N807" t="s">
        <v>9667</v>
      </c>
      <c r="O807" s="1">
        <v>45653</v>
      </c>
      <c r="P807" t="s">
        <v>9668</v>
      </c>
      <c r="Q807" t="s">
        <v>9669</v>
      </c>
      <c r="R807" t="s">
        <v>47</v>
      </c>
      <c r="S807" t="s">
        <v>48</v>
      </c>
      <c r="T807" t="s">
        <v>2334</v>
      </c>
      <c r="U807" t="s">
        <v>50</v>
      </c>
      <c r="V807" s="1">
        <v>44194</v>
      </c>
      <c r="W807" t="s">
        <v>8114</v>
      </c>
      <c r="X807" t="s">
        <v>8129</v>
      </c>
      <c r="Y807" t="s">
        <v>9670</v>
      </c>
      <c r="Z807">
        <v>7</v>
      </c>
      <c r="AA807" t="s">
        <v>227</v>
      </c>
      <c r="AB807" t="s">
        <v>9671</v>
      </c>
      <c r="AC807" t="s">
        <v>9591</v>
      </c>
      <c r="AD807" t="s">
        <v>58</v>
      </c>
      <c r="AE807">
        <v>1146400</v>
      </c>
      <c r="AF807">
        <v>22928</v>
      </c>
      <c r="AJ807" t="str">
        <f>_xlfn.XLOOKUP(Table9[[#This Row],[Engine No.]],'[1]Dubai Islamic Consumer'!$Q$3:$Q$1176,'[1]Dubai Islamic Consumer'!$B$3:$B$1176,,,)</f>
        <v>KHI/HO/D/MO/PC COMP/C/103702/255/12/2024</v>
      </c>
    </row>
    <row r="808" spans="1:36" x14ac:dyDescent="0.25">
      <c r="A808">
        <v>807</v>
      </c>
      <c r="B808" s="2" t="s">
        <v>8030</v>
      </c>
      <c r="C808" t="s">
        <v>9672</v>
      </c>
      <c r="D808" t="s">
        <v>37</v>
      </c>
      <c r="E808" t="s">
        <v>9673</v>
      </c>
      <c r="F808" t="s">
        <v>107</v>
      </c>
      <c r="G808" t="s">
        <v>9674</v>
      </c>
      <c r="H808" t="s">
        <v>9675</v>
      </c>
      <c r="I808" t="s">
        <v>9675</v>
      </c>
      <c r="J808" t="s">
        <v>9676</v>
      </c>
      <c r="K808" t="s">
        <v>9677</v>
      </c>
      <c r="L808">
        <v>978000</v>
      </c>
      <c r="M808">
        <v>1630000</v>
      </c>
      <c r="N808" t="s">
        <v>9678</v>
      </c>
      <c r="O808" s="1">
        <v>45653</v>
      </c>
      <c r="P808" t="s">
        <v>9679</v>
      </c>
      <c r="Q808" t="s">
        <v>9680</v>
      </c>
      <c r="R808" t="s">
        <v>146</v>
      </c>
      <c r="S808" t="s">
        <v>9681</v>
      </c>
      <c r="T808" t="s">
        <v>613</v>
      </c>
      <c r="U808" t="s">
        <v>98</v>
      </c>
      <c r="V808" s="1">
        <v>44561</v>
      </c>
      <c r="W808" t="s">
        <v>8102</v>
      </c>
      <c r="X808" t="s">
        <v>8455</v>
      </c>
      <c r="Y808" t="s">
        <v>9682</v>
      </c>
      <c r="Z808">
        <v>7</v>
      </c>
      <c r="AA808" t="s">
        <v>55</v>
      </c>
      <c r="AB808" t="s">
        <v>9683</v>
      </c>
      <c r="AC808" t="s">
        <v>8563</v>
      </c>
      <c r="AD808" t="s">
        <v>299</v>
      </c>
      <c r="AE808">
        <v>1385500</v>
      </c>
      <c r="AF808">
        <v>20783</v>
      </c>
      <c r="AJ808" t="str">
        <f>_xlfn.XLOOKUP(Table9[[#This Row],[Engine No.]],'[1]Dubai Islamic Consumer'!$Q$3:$Q$1176,'[1]Dubai Islamic Consumer'!$B$3:$B$1176,,,)</f>
        <v>KHI/HO/D/MO/PC COMP/C/103702/256/12/2024</v>
      </c>
    </row>
    <row r="809" spans="1:36" x14ac:dyDescent="0.25">
      <c r="A809">
        <v>808</v>
      </c>
      <c r="B809" s="2" t="s">
        <v>8030</v>
      </c>
      <c r="C809" t="s">
        <v>9684</v>
      </c>
      <c r="D809" t="s">
        <v>37</v>
      </c>
      <c r="E809" t="s">
        <v>9685</v>
      </c>
      <c r="F809" t="s">
        <v>290</v>
      </c>
      <c r="G809" t="s">
        <v>9686</v>
      </c>
      <c r="H809" t="s">
        <v>9687</v>
      </c>
      <c r="I809" t="s">
        <v>9687</v>
      </c>
      <c r="J809" t="s">
        <v>9687</v>
      </c>
      <c r="K809" t="s">
        <v>9688</v>
      </c>
      <c r="L809">
        <v>966000</v>
      </c>
      <c r="M809">
        <v>1610000</v>
      </c>
      <c r="N809" t="s">
        <v>9689</v>
      </c>
      <c r="O809" s="1">
        <v>45653</v>
      </c>
      <c r="P809" t="s">
        <v>9690</v>
      </c>
      <c r="Q809" t="s">
        <v>9691</v>
      </c>
      <c r="R809" t="s">
        <v>47</v>
      </c>
      <c r="S809" t="s">
        <v>48</v>
      </c>
      <c r="T809" t="s">
        <v>321</v>
      </c>
      <c r="U809" t="s">
        <v>50</v>
      </c>
      <c r="V809" s="1">
        <v>44434</v>
      </c>
      <c r="W809" t="s">
        <v>2981</v>
      </c>
      <c r="X809" t="s">
        <v>2982</v>
      </c>
      <c r="Y809" t="s">
        <v>9692</v>
      </c>
      <c r="Z809">
        <v>5</v>
      </c>
      <c r="AA809" t="s">
        <v>55</v>
      </c>
      <c r="AB809" t="s">
        <v>9693</v>
      </c>
      <c r="AC809" t="s">
        <v>9248</v>
      </c>
      <c r="AD809" t="s">
        <v>58</v>
      </c>
      <c r="AE809">
        <v>1368500</v>
      </c>
      <c r="AF809">
        <v>27370</v>
      </c>
      <c r="AJ809" t="str">
        <f>_xlfn.XLOOKUP(Table9[[#This Row],[Engine No.]],'[1]Dubai Islamic Consumer'!$Q$3:$Q$1176,'[1]Dubai Islamic Consumer'!$B$3:$B$1176,,,)</f>
        <v>KHI/HO/D/MO/PC COMP/C/103702/257/12/2024</v>
      </c>
    </row>
    <row r="810" spans="1:36" x14ac:dyDescent="0.25">
      <c r="A810">
        <v>809</v>
      </c>
      <c r="B810" s="2" t="s">
        <v>8030</v>
      </c>
      <c r="C810" t="s">
        <v>9694</v>
      </c>
      <c r="D810" t="s">
        <v>37</v>
      </c>
      <c r="E810" t="s">
        <v>9695</v>
      </c>
      <c r="F810" t="s">
        <v>39</v>
      </c>
      <c r="G810" t="s">
        <v>9696</v>
      </c>
      <c r="H810" t="s">
        <v>9697</v>
      </c>
      <c r="I810" t="s">
        <v>9698</v>
      </c>
      <c r="J810" t="s">
        <v>9699</v>
      </c>
      <c r="K810" t="s">
        <v>9700</v>
      </c>
      <c r="L810">
        <v>834750</v>
      </c>
      <c r="M810">
        <v>1113000</v>
      </c>
      <c r="N810" t="s">
        <v>9701</v>
      </c>
      <c r="O810" s="1">
        <v>45653</v>
      </c>
      <c r="P810" t="s">
        <v>9702</v>
      </c>
      <c r="Q810" t="s">
        <v>9703</v>
      </c>
      <c r="R810" t="s">
        <v>47</v>
      </c>
      <c r="S810" t="s">
        <v>48</v>
      </c>
      <c r="T810" t="s">
        <v>1384</v>
      </c>
      <c r="U810" t="s">
        <v>50</v>
      </c>
      <c r="V810" s="1">
        <v>44420</v>
      </c>
      <c r="W810" t="s">
        <v>2981</v>
      </c>
      <c r="X810" t="s">
        <v>8273</v>
      </c>
      <c r="Y810" t="s">
        <v>9704</v>
      </c>
      <c r="Z810">
        <v>3</v>
      </c>
      <c r="AA810" t="s">
        <v>55</v>
      </c>
      <c r="AB810" t="s">
        <v>9705</v>
      </c>
      <c r="AC810" t="s">
        <v>4019</v>
      </c>
      <c r="AD810" t="s">
        <v>58</v>
      </c>
      <c r="AE810">
        <v>946050</v>
      </c>
      <c r="AF810">
        <v>18921</v>
      </c>
      <c r="AJ810" t="str">
        <f>_xlfn.XLOOKUP(Table9[[#This Row],[Engine No.]],'[1]Dubai Islamic Consumer'!$Q$3:$Q$1176,'[1]Dubai Islamic Consumer'!$B$3:$B$1176,,,)</f>
        <v>KHI/HO/D/MO/PC COMP/C/103702/258/12/2024</v>
      </c>
    </row>
    <row r="811" spans="1:36" x14ac:dyDescent="0.25">
      <c r="A811">
        <v>810</v>
      </c>
      <c r="B811" s="2" t="s">
        <v>8030</v>
      </c>
      <c r="C811" t="s">
        <v>9706</v>
      </c>
      <c r="D811" t="s">
        <v>37</v>
      </c>
      <c r="E811" t="s">
        <v>9707</v>
      </c>
      <c r="F811" t="s">
        <v>851</v>
      </c>
      <c r="G811" t="s">
        <v>9708</v>
      </c>
      <c r="H811" t="s">
        <v>48</v>
      </c>
      <c r="I811" t="s">
        <v>9709</v>
      </c>
      <c r="J811" t="s">
        <v>48</v>
      </c>
      <c r="K811" t="s">
        <v>9710</v>
      </c>
      <c r="L811">
        <v>585000</v>
      </c>
      <c r="M811">
        <v>780000</v>
      </c>
      <c r="N811" t="s">
        <v>9711</v>
      </c>
      <c r="O811" s="1">
        <v>45653</v>
      </c>
      <c r="P811" t="s">
        <v>9712</v>
      </c>
      <c r="Q811" t="s">
        <v>9713</v>
      </c>
      <c r="R811" t="s">
        <v>146</v>
      </c>
      <c r="S811" t="s">
        <v>9714</v>
      </c>
      <c r="T811" t="s">
        <v>9715</v>
      </c>
      <c r="U811" t="s">
        <v>335</v>
      </c>
      <c r="V811" s="1">
        <v>44561</v>
      </c>
      <c r="W811" t="s">
        <v>8102</v>
      </c>
      <c r="X811" t="s">
        <v>8103</v>
      </c>
      <c r="Y811" t="s">
        <v>9716</v>
      </c>
      <c r="Z811">
        <v>5</v>
      </c>
      <c r="AA811" t="s">
        <v>55</v>
      </c>
      <c r="AB811" t="s">
        <v>9717</v>
      </c>
      <c r="AC811" t="s">
        <v>9248</v>
      </c>
      <c r="AD811" t="s">
        <v>299</v>
      </c>
      <c r="AE811">
        <v>663000</v>
      </c>
      <c r="AF811">
        <v>9945</v>
      </c>
      <c r="AJ811" t="str">
        <f>_xlfn.XLOOKUP(Table9[[#This Row],[Engine No.]],'[1]Dubai Islamic Consumer'!$Q$3:$Q$1176,'[1]Dubai Islamic Consumer'!$B$3:$B$1176,,,)</f>
        <v>KHI/HO/D/MO/PC COMP/C/103702/259/12/2024</v>
      </c>
    </row>
    <row r="812" spans="1:36" x14ac:dyDescent="0.25">
      <c r="A812">
        <v>811</v>
      </c>
      <c r="B812" s="2" t="s">
        <v>8030</v>
      </c>
      <c r="C812" t="s">
        <v>9718</v>
      </c>
      <c r="D812" t="s">
        <v>37</v>
      </c>
      <c r="E812" t="s">
        <v>9719</v>
      </c>
      <c r="F812" t="s">
        <v>107</v>
      </c>
      <c r="G812" t="s">
        <v>9720</v>
      </c>
      <c r="H812" t="s">
        <v>48</v>
      </c>
      <c r="I812" t="s">
        <v>9721</v>
      </c>
      <c r="J812" t="s">
        <v>9722</v>
      </c>
      <c r="K812" t="s">
        <v>9723</v>
      </c>
      <c r="L812">
        <v>2502500</v>
      </c>
      <c r="M812">
        <v>3850000</v>
      </c>
      <c r="N812" t="s">
        <v>9724</v>
      </c>
      <c r="O812" s="1">
        <v>45652</v>
      </c>
      <c r="P812" t="s">
        <v>9725</v>
      </c>
      <c r="Q812" t="s">
        <v>9726</v>
      </c>
      <c r="R812" t="s">
        <v>146</v>
      </c>
      <c r="S812" t="s">
        <v>9727</v>
      </c>
      <c r="T812" t="s">
        <v>714</v>
      </c>
      <c r="U812" t="s">
        <v>614</v>
      </c>
      <c r="V812" s="1">
        <v>44559</v>
      </c>
      <c r="W812" t="s">
        <v>8102</v>
      </c>
      <c r="X812" t="s">
        <v>8103</v>
      </c>
      <c r="Y812" t="s">
        <v>9728</v>
      </c>
      <c r="Z812">
        <v>5</v>
      </c>
      <c r="AA812" t="s">
        <v>55</v>
      </c>
      <c r="AB812" t="s">
        <v>9729</v>
      </c>
      <c r="AC812" t="s">
        <v>361</v>
      </c>
      <c r="AD812" t="s">
        <v>299</v>
      </c>
      <c r="AE812">
        <v>3272500</v>
      </c>
      <c r="AF812">
        <v>49088</v>
      </c>
      <c r="AJ812" t="str">
        <f>_xlfn.XLOOKUP(Table9[[#This Row],[Engine No.]],'[1]Dubai Islamic Consumer'!$Q$3:$Q$1176,'[1]Dubai Islamic Consumer'!$B$3:$B$1176,,,)</f>
        <v>KHI/HO/D/MO/PC COMP/C/103702/261/12/2024</v>
      </c>
    </row>
    <row r="813" spans="1:36" x14ac:dyDescent="0.25">
      <c r="A813">
        <v>812</v>
      </c>
      <c r="B813" s="2" t="s">
        <v>8030</v>
      </c>
      <c r="C813" t="s">
        <v>9730</v>
      </c>
      <c r="D813" t="s">
        <v>37</v>
      </c>
      <c r="E813" t="s">
        <v>9731</v>
      </c>
      <c r="F813" t="s">
        <v>107</v>
      </c>
      <c r="G813" t="s">
        <v>9732</v>
      </c>
      <c r="H813" t="s">
        <v>9733</v>
      </c>
      <c r="I813" t="s">
        <v>9733</v>
      </c>
      <c r="J813" t="s">
        <v>9733</v>
      </c>
      <c r="K813" t="s">
        <v>9734</v>
      </c>
      <c r="L813">
        <v>1750000</v>
      </c>
      <c r="M813">
        <v>2500000</v>
      </c>
      <c r="N813" t="s">
        <v>9735</v>
      </c>
      <c r="O813" s="1">
        <v>45652</v>
      </c>
      <c r="P813" t="s">
        <v>9736</v>
      </c>
      <c r="Q813" t="s">
        <v>9737</v>
      </c>
      <c r="R813" t="s">
        <v>146</v>
      </c>
      <c r="S813" t="s">
        <v>9738</v>
      </c>
      <c r="T813" t="s">
        <v>495</v>
      </c>
      <c r="U813" t="s">
        <v>614</v>
      </c>
      <c r="V813" s="1">
        <v>44560</v>
      </c>
      <c r="W813" t="s">
        <v>8102</v>
      </c>
      <c r="X813" t="s">
        <v>8103</v>
      </c>
      <c r="Y813" t="s">
        <v>9739</v>
      </c>
      <c r="Z813">
        <v>5</v>
      </c>
      <c r="AA813" t="s">
        <v>55</v>
      </c>
      <c r="AB813" t="s">
        <v>9740</v>
      </c>
      <c r="AC813" t="s">
        <v>4015</v>
      </c>
      <c r="AD813" t="s">
        <v>299</v>
      </c>
      <c r="AE813">
        <v>2125000</v>
      </c>
      <c r="AF813">
        <v>31875</v>
      </c>
      <c r="AJ813" t="str">
        <f>_xlfn.XLOOKUP(Table9[[#This Row],[Engine No.]],'[1]Dubai Islamic Consumer'!$Q$3:$Q$1176,'[1]Dubai Islamic Consumer'!$B$3:$B$1176,,,)</f>
        <v>KHI/HO/D/MO/PC COMP/C/103702/262/12/2024</v>
      </c>
    </row>
    <row r="814" spans="1:36" x14ac:dyDescent="0.25">
      <c r="A814">
        <v>813</v>
      </c>
      <c r="B814" s="2" t="s">
        <v>8030</v>
      </c>
      <c r="C814" t="s">
        <v>9741</v>
      </c>
      <c r="D814" t="s">
        <v>37</v>
      </c>
      <c r="E814" t="s">
        <v>9742</v>
      </c>
      <c r="F814" t="s">
        <v>138</v>
      </c>
      <c r="G814" t="s">
        <v>9743</v>
      </c>
      <c r="H814" t="s">
        <v>48</v>
      </c>
      <c r="I814" t="s">
        <v>9744</v>
      </c>
      <c r="J814" t="s">
        <v>48</v>
      </c>
      <c r="K814" t="s">
        <v>9745</v>
      </c>
      <c r="L814">
        <v>783250</v>
      </c>
      <c r="M814">
        <v>1205000</v>
      </c>
      <c r="N814" t="s">
        <v>9746</v>
      </c>
      <c r="O814" t="s">
        <v>3960</v>
      </c>
      <c r="P814" t="s">
        <v>9747</v>
      </c>
      <c r="Q814" t="s">
        <v>9748</v>
      </c>
      <c r="R814" t="s">
        <v>146</v>
      </c>
      <c r="S814" t="s">
        <v>9749</v>
      </c>
      <c r="T814" t="s">
        <v>639</v>
      </c>
      <c r="U814" t="s">
        <v>335</v>
      </c>
      <c r="V814" s="1">
        <v>45288</v>
      </c>
      <c r="W814" t="s">
        <v>8767</v>
      </c>
      <c r="X814" t="s">
        <v>8103</v>
      </c>
      <c r="Y814" t="s">
        <v>9750</v>
      </c>
      <c r="Z814">
        <v>3</v>
      </c>
      <c r="AA814" t="s">
        <v>55</v>
      </c>
      <c r="AB814" t="s">
        <v>9751</v>
      </c>
      <c r="AC814" t="s">
        <v>3964</v>
      </c>
      <c r="AD814" t="s">
        <v>86</v>
      </c>
      <c r="AE814">
        <v>1084500</v>
      </c>
      <c r="AF814">
        <v>18979</v>
      </c>
      <c r="AJ814" t="str">
        <f>_xlfn.XLOOKUP(Table9[[#This Row],[Engine No.]],'[1]Dubai Islamic Consumer'!$Q$3:$Q$1176,'[1]Dubai Islamic Consumer'!$B$3:$B$1176,,,)</f>
        <v>KHI/HO/D/MO/PC COMP/C/103702/264/12/2024</v>
      </c>
    </row>
    <row r="815" spans="1:36" x14ac:dyDescent="0.25">
      <c r="A815">
        <v>814</v>
      </c>
      <c r="B815" s="2" t="s">
        <v>8030</v>
      </c>
      <c r="C815" t="s">
        <v>9752</v>
      </c>
      <c r="D815" t="s">
        <v>37</v>
      </c>
      <c r="E815" t="s">
        <v>9753</v>
      </c>
      <c r="F815" t="s">
        <v>138</v>
      </c>
      <c r="G815" t="s">
        <v>9754</v>
      </c>
      <c r="H815" t="s">
        <v>48</v>
      </c>
      <c r="I815" t="s">
        <v>9755</v>
      </c>
      <c r="J815" t="s">
        <v>48</v>
      </c>
      <c r="K815" t="s">
        <v>9756</v>
      </c>
      <c r="L815">
        <v>2762500</v>
      </c>
      <c r="M815">
        <v>4250000</v>
      </c>
      <c r="N815" t="s">
        <v>9757</v>
      </c>
      <c r="O815" t="s">
        <v>3960</v>
      </c>
      <c r="P815" t="s">
        <v>9758</v>
      </c>
      <c r="Q815" t="s">
        <v>9759</v>
      </c>
      <c r="R815" t="s">
        <v>146</v>
      </c>
      <c r="S815" t="s">
        <v>9760</v>
      </c>
      <c r="T815" t="s">
        <v>1289</v>
      </c>
      <c r="U815" t="s">
        <v>614</v>
      </c>
      <c r="V815" s="1">
        <v>45288</v>
      </c>
      <c r="W815" t="s">
        <v>8767</v>
      </c>
      <c r="X815" t="s">
        <v>8103</v>
      </c>
      <c r="Y815" t="s">
        <v>9761</v>
      </c>
      <c r="Z815">
        <v>3</v>
      </c>
      <c r="AA815" t="s">
        <v>152</v>
      </c>
      <c r="AB815" t="s">
        <v>9762</v>
      </c>
      <c r="AC815" t="s">
        <v>3964</v>
      </c>
      <c r="AD815" t="s">
        <v>86</v>
      </c>
      <c r="AE815">
        <v>3825000</v>
      </c>
      <c r="AF815">
        <v>66938</v>
      </c>
      <c r="AJ815" t="str">
        <f>_xlfn.XLOOKUP(Table9[[#This Row],[Engine No.]],'[1]Dubai Islamic Consumer'!$Q$3:$Q$1176,'[1]Dubai Islamic Consumer'!$B$3:$B$1176,,,)</f>
        <v>KHI/HO/D/MO/PC COMP/C/103702/266/12/2024</v>
      </c>
    </row>
    <row r="816" spans="1:36" x14ac:dyDescent="0.25">
      <c r="A816">
        <v>815</v>
      </c>
      <c r="B816" s="2" t="s">
        <v>8030</v>
      </c>
      <c r="C816" t="s">
        <v>9763</v>
      </c>
      <c r="D816" t="s">
        <v>37</v>
      </c>
      <c r="E816" t="s">
        <v>9764</v>
      </c>
      <c r="F816" t="s">
        <v>138</v>
      </c>
      <c r="G816" t="s">
        <v>9765</v>
      </c>
      <c r="H816" t="s">
        <v>48</v>
      </c>
      <c r="I816" t="s">
        <v>9766</v>
      </c>
      <c r="J816" t="s">
        <v>48</v>
      </c>
      <c r="K816" t="s">
        <v>9767</v>
      </c>
      <c r="L816">
        <v>1567200</v>
      </c>
      <c r="M816">
        <v>2612000</v>
      </c>
      <c r="N816" t="s">
        <v>9768</v>
      </c>
      <c r="O816" t="s">
        <v>3960</v>
      </c>
      <c r="P816" t="s">
        <v>9769</v>
      </c>
      <c r="Q816" t="s">
        <v>9770</v>
      </c>
      <c r="R816" t="s">
        <v>47</v>
      </c>
      <c r="S816" t="s">
        <v>48</v>
      </c>
      <c r="T816" t="s">
        <v>194</v>
      </c>
      <c r="U816" t="s">
        <v>386</v>
      </c>
      <c r="V816" s="1">
        <v>45288</v>
      </c>
      <c r="W816" t="s">
        <v>8767</v>
      </c>
      <c r="X816" t="s">
        <v>8455</v>
      </c>
      <c r="Y816" t="s">
        <v>9771</v>
      </c>
      <c r="Z816">
        <v>5</v>
      </c>
      <c r="AA816" t="s">
        <v>152</v>
      </c>
      <c r="AB816" t="s">
        <v>9772</v>
      </c>
      <c r="AC816" t="s">
        <v>3964</v>
      </c>
      <c r="AD816" t="s">
        <v>86</v>
      </c>
      <c r="AE816">
        <v>2350800</v>
      </c>
      <c r="AF816">
        <v>41139</v>
      </c>
      <c r="AJ816" t="str">
        <f>_xlfn.XLOOKUP(Table9[[#This Row],[Engine No.]],'[1]Dubai Islamic Consumer'!$Q$3:$Q$1176,'[1]Dubai Islamic Consumer'!$B$3:$B$1176,,,)</f>
        <v>KHI/HO/D/MO/PC COMP/C/103702/267/12/2024</v>
      </c>
    </row>
    <row r="817" spans="1:36" x14ac:dyDescent="0.25">
      <c r="A817">
        <v>816</v>
      </c>
      <c r="B817" s="2" t="s">
        <v>8030</v>
      </c>
      <c r="C817" t="s">
        <v>9773</v>
      </c>
      <c r="D817" t="s">
        <v>37</v>
      </c>
      <c r="E817" t="s">
        <v>9774</v>
      </c>
      <c r="F817" t="s">
        <v>4022</v>
      </c>
      <c r="G817" t="s">
        <v>9775</v>
      </c>
      <c r="H817" t="s">
        <v>9776</v>
      </c>
      <c r="I817" t="s">
        <v>9777</v>
      </c>
      <c r="J817" t="s">
        <v>9778</v>
      </c>
      <c r="K817" t="s">
        <v>9779</v>
      </c>
      <c r="L817">
        <v>1710100</v>
      </c>
      <c r="M817">
        <v>2443000</v>
      </c>
      <c r="N817" t="s">
        <v>9780</v>
      </c>
      <c r="O817" s="1">
        <v>45652</v>
      </c>
      <c r="P817" t="s">
        <v>9781</v>
      </c>
      <c r="Q817" t="s">
        <v>9782</v>
      </c>
      <c r="R817" t="s">
        <v>47</v>
      </c>
      <c r="S817" t="s">
        <v>48</v>
      </c>
      <c r="T817" t="s">
        <v>3007</v>
      </c>
      <c r="U817" t="s">
        <v>50</v>
      </c>
      <c r="V817" s="1">
        <v>44560</v>
      </c>
      <c r="W817" t="s">
        <v>8102</v>
      </c>
      <c r="X817" t="s">
        <v>8103</v>
      </c>
      <c r="Y817" t="s">
        <v>9783</v>
      </c>
      <c r="Z817">
        <v>5</v>
      </c>
      <c r="AA817" t="s">
        <v>55</v>
      </c>
      <c r="AB817" t="s">
        <v>9784</v>
      </c>
      <c r="AC817" t="s">
        <v>4015</v>
      </c>
      <c r="AD817" t="s">
        <v>58</v>
      </c>
      <c r="AE817">
        <v>2076550</v>
      </c>
      <c r="AF817">
        <v>41531</v>
      </c>
      <c r="AJ817" t="str">
        <f>_xlfn.XLOOKUP(Table9[[#This Row],[Engine No.]],'[1]Dubai Islamic Consumer'!$Q$3:$Q$1176,'[1]Dubai Islamic Consumer'!$B$3:$B$1176,,,)</f>
        <v>KHI/HO/D/MO/PC COMP/C/103702/269/12/2024</v>
      </c>
    </row>
    <row r="818" spans="1:36" x14ac:dyDescent="0.25">
      <c r="A818">
        <v>817</v>
      </c>
      <c r="B818" s="2" t="s">
        <v>8030</v>
      </c>
      <c r="C818" t="s">
        <v>9785</v>
      </c>
      <c r="D818" t="s">
        <v>37</v>
      </c>
      <c r="E818" t="s">
        <v>9786</v>
      </c>
      <c r="F818" t="s">
        <v>39</v>
      </c>
      <c r="G818" t="s">
        <v>9787</v>
      </c>
      <c r="H818" t="s">
        <v>48</v>
      </c>
      <c r="I818" t="s">
        <v>9788</v>
      </c>
      <c r="J818" t="s">
        <v>48</v>
      </c>
      <c r="K818" t="s">
        <v>9789</v>
      </c>
      <c r="L818">
        <v>1425000</v>
      </c>
      <c r="M818">
        <v>1900000</v>
      </c>
      <c r="N818" t="s">
        <v>9790</v>
      </c>
      <c r="O818" s="1">
        <v>45652</v>
      </c>
      <c r="P818" t="s">
        <v>9791</v>
      </c>
      <c r="Q818" t="s">
        <v>9792</v>
      </c>
      <c r="R818" t="s">
        <v>146</v>
      </c>
      <c r="S818" t="s">
        <v>9793</v>
      </c>
      <c r="T818" t="s">
        <v>321</v>
      </c>
      <c r="U818" t="s">
        <v>98</v>
      </c>
      <c r="V818" s="1">
        <v>44559</v>
      </c>
      <c r="W818" t="s">
        <v>8102</v>
      </c>
      <c r="X818" t="s">
        <v>8103</v>
      </c>
      <c r="Y818" t="s">
        <v>9794</v>
      </c>
      <c r="Z818">
        <v>5</v>
      </c>
      <c r="AA818" t="s">
        <v>118</v>
      </c>
      <c r="AB818" t="s">
        <v>9795</v>
      </c>
      <c r="AC818" t="s">
        <v>4015</v>
      </c>
      <c r="AD818" t="s">
        <v>299</v>
      </c>
      <c r="AE818">
        <v>1615000</v>
      </c>
      <c r="AF818">
        <v>24225</v>
      </c>
      <c r="AJ818" t="str">
        <f>_xlfn.XLOOKUP(Table9[[#This Row],[Engine No.]],'[1]Dubai Islamic Consumer'!$Q$3:$Q$1176,'[1]Dubai Islamic Consumer'!$B$3:$B$1176,,,)</f>
        <v>KHI/HO/D/MO/PC COMP/C/103702/270/12/2024</v>
      </c>
    </row>
    <row r="819" spans="1:36" x14ac:dyDescent="0.25">
      <c r="A819">
        <v>818</v>
      </c>
      <c r="B819" s="2" t="s">
        <v>8030</v>
      </c>
      <c r="C819" t="s">
        <v>9796</v>
      </c>
      <c r="D819" t="s">
        <v>37</v>
      </c>
      <c r="E819" t="s">
        <v>9797</v>
      </c>
      <c r="F819" t="s">
        <v>138</v>
      </c>
      <c r="G819" t="s">
        <v>9798</v>
      </c>
      <c r="H819" t="s">
        <v>48</v>
      </c>
      <c r="I819" t="s">
        <v>9799</v>
      </c>
      <c r="J819" t="s">
        <v>48</v>
      </c>
      <c r="K819" t="s">
        <v>9800</v>
      </c>
      <c r="L819">
        <v>1527500</v>
      </c>
      <c r="M819">
        <v>2350000</v>
      </c>
      <c r="N819" t="s">
        <v>9801</v>
      </c>
      <c r="O819" s="1">
        <v>45652</v>
      </c>
      <c r="P819" t="s">
        <v>9802</v>
      </c>
      <c r="Q819" t="s">
        <v>9803</v>
      </c>
      <c r="R819" t="s">
        <v>146</v>
      </c>
      <c r="S819" t="s">
        <v>9804</v>
      </c>
      <c r="T819" t="s">
        <v>2647</v>
      </c>
      <c r="U819" t="s">
        <v>496</v>
      </c>
      <c r="V819" s="1">
        <v>44559</v>
      </c>
      <c r="W819" t="s">
        <v>8102</v>
      </c>
      <c r="X819" t="s">
        <v>8103</v>
      </c>
      <c r="Y819" t="s">
        <v>9805</v>
      </c>
      <c r="Z819">
        <v>5</v>
      </c>
      <c r="AA819" t="s">
        <v>118</v>
      </c>
      <c r="AB819" t="s">
        <v>9806</v>
      </c>
      <c r="AC819" t="s">
        <v>361</v>
      </c>
      <c r="AD819" t="s">
        <v>299</v>
      </c>
      <c r="AE819">
        <v>1997500</v>
      </c>
      <c r="AF819">
        <v>29963</v>
      </c>
      <c r="AJ819" t="str">
        <f>_xlfn.XLOOKUP(Table9[[#This Row],[Engine No.]],'[1]Dubai Islamic Consumer'!$Q$3:$Q$1176,'[1]Dubai Islamic Consumer'!$B$3:$B$1176,,,)</f>
        <v>KHI/HO/D/MO/PC COMP/C/103702/272/12/2024</v>
      </c>
    </row>
    <row r="820" spans="1:36" x14ac:dyDescent="0.25">
      <c r="A820">
        <v>819</v>
      </c>
      <c r="B820" s="2" t="s">
        <v>8030</v>
      </c>
      <c r="C820" t="s">
        <v>9807</v>
      </c>
      <c r="D820" t="s">
        <v>37</v>
      </c>
      <c r="E820" t="s">
        <v>9808</v>
      </c>
      <c r="F820" t="s">
        <v>290</v>
      </c>
      <c r="G820" t="s">
        <v>9809</v>
      </c>
      <c r="H820" t="s">
        <v>9810</v>
      </c>
      <c r="I820" t="s">
        <v>9810</v>
      </c>
      <c r="J820" t="s">
        <v>9810</v>
      </c>
      <c r="K820" t="s">
        <v>9811</v>
      </c>
      <c r="L820">
        <v>2340000</v>
      </c>
      <c r="M820">
        <v>3600000</v>
      </c>
      <c r="N820" t="s">
        <v>9812</v>
      </c>
      <c r="O820" s="1">
        <v>45652</v>
      </c>
      <c r="P820" t="s">
        <v>9813</v>
      </c>
      <c r="Q820" t="s">
        <v>9814</v>
      </c>
      <c r="R820" t="s">
        <v>146</v>
      </c>
      <c r="S820" t="s">
        <v>9815</v>
      </c>
      <c r="T820" t="s">
        <v>1065</v>
      </c>
      <c r="U820" t="s">
        <v>496</v>
      </c>
      <c r="V820" s="1">
        <v>44560</v>
      </c>
      <c r="W820" t="s">
        <v>8102</v>
      </c>
      <c r="X820" t="s">
        <v>8103</v>
      </c>
      <c r="Y820" t="s">
        <v>9816</v>
      </c>
      <c r="Z820">
        <v>5</v>
      </c>
      <c r="AA820" t="s">
        <v>118</v>
      </c>
      <c r="AB820" t="s">
        <v>9817</v>
      </c>
      <c r="AC820" t="s">
        <v>361</v>
      </c>
      <c r="AD820" t="s">
        <v>299</v>
      </c>
      <c r="AE820">
        <v>3060000</v>
      </c>
      <c r="AF820">
        <v>45900</v>
      </c>
      <c r="AJ820" t="str">
        <f>_xlfn.XLOOKUP(Table9[[#This Row],[Engine No.]],'[1]Dubai Islamic Consumer'!$Q$3:$Q$1176,'[1]Dubai Islamic Consumer'!$B$3:$B$1176,,,)</f>
        <v>KHI/HO/D/MO/PC COMP/C/103702/273/12/2024</v>
      </c>
    </row>
    <row r="821" spans="1:36" x14ac:dyDescent="0.25">
      <c r="A821">
        <v>820</v>
      </c>
      <c r="B821" s="2" t="s">
        <v>8030</v>
      </c>
      <c r="C821" t="s">
        <v>9818</v>
      </c>
      <c r="D821" t="s">
        <v>37</v>
      </c>
      <c r="E821" t="s">
        <v>9819</v>
      </c>
      <c r="F821" t="s">
        <v>138</v>
      </c>
      <c r="G821" t="s">
        <v>9820</v>
      </c>
      <c r="H821" t="s">
        <v>9821</v>
      </c>
      <c r="I821" t="s">
        <v>9821</v>
      </c>
      <c r="J821" t="s">
        <v>141</v>
      </c>
      <c r="K821" t="s">
        <v>9822</v>
      </c>
      <c r="L821">
        <v>1834000</v>
      </c>
      <c r="M821">
        <v>2620000</v>
      </c>
      <c r="N821" t="s">
        <v>9823</v>
      </c>
      <c r="O821" s="1">
        <v>45652</v>
      </c>
      <c r="P821" t="s">
        <v>9824</v>
      </c>
      <c r="Q821" t="s">
        <v>9825</v>
      </c>
      <c r="R821" t="s">
        <v>146</v>
      </c>
      <c r="S821" t="s">
        <v>9826</v>
      </c>
      <c r="T821" t="s">
        <v>6230</v>
      </c>
      <c r="U821" t="s">
        <v>651</v>
      </c>
      <c r="V821" s="1">
        <v>44559</v>
      </c>
      <c r="W821" t="s">
        <v>8102</v>
      </c>
      <c r="X821" t="s">
        <v>8103</v>
      </c>
      <c r="Y821" t="s">
        <v>9827</v>
      </c>
      <c r="Z821">
        <v>5</v>
      </c>
      <c r="AA821" t="s">
        <v>118</v>
      </c>
      <c r="AB821" t="s">
        <v>9828</v>
      </c>
      <c r="AC821" t="s">
        <v>361</v>
      </c>
      <c r="AD821" t="s">
        <v>299</v>
      </c>
      <c r="AE821">
        <v>2227000</v>
      </c>
      <c r="AF821">
        <v>33405</v>
      </c>
      <c r="AJ821" t="str">
        <f>_xlfn.XLOOKUP(Table9[[#This Row],[Engine No.]],'[1]Dubai Islamic Consumer'!$Q$3:$Q$1176,'[1]Dubai Islamic Consumer'!$B$3:$B$1176,,,)</f>
        <v>KHI/HO/D/MO/PC COMP/C/103702/274/12/2024</v>
      </c>
    </row>
    <row r="822" spans="1:36" x14ac:dyDescent="0.25">
      <c r="A822">
        <v>821</v>
      </c>
      <c r="B822" s="2" t="s">
        <v>8030</v>
      </c>
      <c r="C822" t="s">
        <v>9829</v>
      </c>
      <c r="D822" t="s">
        <v>37</v>
      </c>
      <c r="E822" t="s">
        <v>9830</v>
      </c>
      <c r="F822" t="s">
        <v>39</v>
      </c>
      <c r="G822" t="s">
        <v>9831</v>
      </c>
      <c r="H822" t="s">
        <v>9832</v>
      </c>
      <c r="I822" t="s">
        <v>9833</v>
      </c>
      <c r="J822" t="s">
        <v>9832</v>
      </c>
      <c r="K822" t="s">
        <v>9834</v>
      </c>
      <c r="L822">
        <v>1530000</v>
      </c>
      <c r="M822">
        <v>2550000</v>
      </c>
      <c r="N822" t="s">
        <v>9835</v>
      </c>
      <c r="O822" s="1">
        <v>45652</v>
      </c>
      <c r="P822" t="s">
        <v>9836</v>
      </c>
      <c r="Q822" t="s">
        <v>9837</v>
      </c>
      <c r="R822" t="s">
        <v>146</v>
      </c>
      <c r="S822" t="s">
        <v>9838</v>
      </c>
      <c r="T822" t="s">
        <v>2647</v>
      </c>
      <c r="U822" t="s">
        <v>496</v>
      </c>
      <c r="V822" s="1">
        <v>44558</v>
      </c>
      <c r="W822" t="s">
        <v>8102</v>
      </c>
      <c r="X822" t="s">
        <v>8103</v>
      </c>
      <c r="Y822" t="s">
        <v>9839</v>
      </c>
      <c r="Z822">
        <v>5</v>
      </c>
      <c r="AA822" t="s">
        <v>55</v>
      </c>
      <c r="AB822" t="s">
        <v>9840</v>
      </c>
      <c r="AC822" t="s">
        <v>4015</v>
      </c>
      <c r="AD822" t="s">
        <v>299</v>
      </c>
      <c r="AE822">
        <v>2167500</v>
      </c>
      <c r="AF822">
        <v>32513</v>
      </c>
      <c r="AJ822" t="str">
        <f>_xlfn.XLOOKUP(Table9[[#This Row],[Engine No.]],'[1]Dubai Islamic Consumer'!$Q$3:$Q$1176,'[1]Dubai Islamic Consumer'!$B$3:$B$1176,,,)</f>
        <v>KHI/HO/D/MO/PC COMP/C/103702/276/12/2024</v>
      </c>
    </row>
    <row r="823" spans="1:36" x14ac:dyDescent="0.25">
      <c r="A823">
        <v>822</v>
      </c>
      <c r="B823" s="2" t="s">
        <v>8030</v>
      </c>
      <c r="C823" t="s">
        <v>9841</v>
      </c>
      <c r="D823" t="s">
        <v>37</v>
      </c>
      <c r="E823" t="s">
        <v>9842</v>
      </c>
      <c r="F823" t="s">
        <v>138</v>
      </c>
      <c r="G823" t="s">
        <v>9843</v>
      </c>
      <c r="H823" t="s">
        <v>9844</v>
      </c>
      <c r="I823" t="s">
        <v>9844</v>
      </c>
      <c r="J823" t="s">
        <v>48</v>
      </c>
      <c r="K823" t="s">
        <v>9845</v>
      </c>
      <c r="L823">
        <v>1200000</v>
      </c>
      <c r="M823">
        <v>1500000</v>
      </c>
      <c r="N823" t="s">
        <v>9846</v>
      </c>
      <c r="O823" s="1">
        <v>45652</v>
      </c>
      <c r="P823" t="s">
        <v>9847</v>
      </c>
      <c r="Q823" t="s">
        <v>9848</v>
      </c>
      <c r="R823" t="s">
        <v>146</v>
      </c>
      <c r="S823" t="s">
        <v>9849</v>
      </c>
      <c r="T823" t="s">
        <v>783</v>
      </c>
      <c r="U823" t="s">
        <v>50</v>
      </c>
      <c r="V823" s="1">
        <v>44559</v>
      </c>
      <c r="W823" t="s">
        <v>8102</v>
      </c>
      <c r="X823" t="s">
        <v>8103</v>
      </c>
      <c r="Y823" t="s">
        <v>9850</v>
      </c>
      <c r="Z823">
        <v>5</v>
      </c>
      <c r="AA823" t="s">
        <v>118</v>
      </c>
      <c r="AB823" t="s">
        <v>9851</v>
      </c>
      <c r="AC823" t="s">
        <v>361</v>
      </c>
      <c r="AD823" t="s">
        <v>299</v>
      </c>
      <c r="AE823">
        <v>1275000</v>
      </c>
      <c r="AF823">
        <v>19125</v>
      </c>
      <c r="AJ823" t="str">
        <f>_xlfn.XLOOKUP(Table9[[#This Row],[Engine No.]],'[1]Dubai Islamic Consumer'!$Q$3:$Q$1176,'[1]Dubai Islamic Consumer'!$B$3:$B$1176,,,)</f>
        <v>KHI/HO/D/MO/PC COMP/C/103702/277/12/2024</v>
      </c>
    </row>
    <row r="824" spans="1:36" x14ac:dyDescent="0.25">
      <c r="A824">
        <v>823</v>
      </c>
      <c r="B824" s="2" t="s">
        <v>8030</v>
      </c>
      <c r="C824" t="s">
        <v>9852</v>
      </c>
      <c r="D824" t="s">
        <v>37</v>
      </c>
      <c r="E824" t="s">
        <v>9853</v>
      </c>
      <c r="F824" t="s">
        <v>138</v>
      </c>
      <c r="G824" t="s">
        <v>9854</v>
      </c>
      <c r="H824" t="s">
        <v>9855</v>
      </c>
      <c r="I824" t="s">
        <v>9856</v>
      </c>
      <c r="J824" t="s">
        <v>9857</v>
      </c>
      <c r="K824" t="s">
        <v>9858</v>
      </c>
      <c r="L824">
        <v>1290300</v>
      </c>
      <c r="M824">
        <v>1518000</v>
      </c>
      <c r="N824" t="s">
        <v>9859</v>
      </c>
      <c r="O824" s="1">
        <v>45652</v>
      </c>
      <c r="P824" t="s">
        <v>9860</v>
      </c>
      <c r="Q824" t="s">
        <v>9861</v>
      </c>
      <c r="R824" t="s">
        <v>47</v>
      </c>
      <c r="S824" t="s">
        <v>48</v>
      </c>
      <c r="T824" t="s">
        <v>835</v>
      </c>
      <c r="U824" t="s">
        <v>614</v>
      </c>
      <c r="V824" s="1">
        <v>43829</v>
      </c>
      <c r="W824" t="s">
        <v>8088</v>
      </c>
      <c r="X824" t="s">
        <v>8103</v>
      </c>
      <c r="Y824" t="s">
        <v>9862</v>
      </c>
      <c r="Z824">
        <v>7</v>
      </c>
      <c r="AA824" t="s">
        <v>55</v>
      </c>
      <c r="AB824" t="s">
        <v>9863</v>
      </c>
      <c r="AC824" t="s">
        <v>9864</v>
      </c>
      <c r="AD824" t="s">
        <v>171</v>
      </c>
      <c r="AE824">
        <v>1138500</v>
      </c>
      <c r="AF824">
        <v>28463</v>
      </c>
      <c r="AJ824" t="str">
        <f>_xlfn.XLOOKUP(Table9[[#This Row],[Engine No.]],'[1]Dubai Islamic Consumer'!$Q$3:$Q$1176,'[1]Dubai Islamic Consumer'!$B$3:$B$1176,,,)</f>
        <v>KHI/HO/D/MO/PC COMP/C/103702/278/12/2024</v>
      </c>
    </row>
    <row r="825" spans="1:36" x14ac:dyDescent="0.25">
      <c r="A825">
        <v>824</v>
      </c>
      <c r="B825" s="2" t="s">
        <v>8030</v>
      </c>
      <c r="C825" t="s">
        <v>9865</v>
      </c>
      <c r="D825" t="s">
        <v>37</v>
      </c>
      <c r="E825" t="s">
        <v>9866</v>
      </c>
      <c r="F825" t="s">
        <v>4022</v>
      </c>
      <c r="G825" t="s">
        <v>9867</v>
      </c>
      <c r="H825" t="s">
        <v>9868</v>
      </c>
      <c r="I825" t="s">
        <v>9868</v>
      </c>
      <c r="J825" t="s">
        <v>9868</v>
      </c>
      <c r="K825" t="s">
        <v>9869</v>
      </c>
      <c r="L825">
        <v>975000</v>
      </c>
      <c r="M825">
        <v>1500000</v>
      </c>
      <c r="N825" t="s">
        <v>9870</v>
      </c>
      <c r="O825" s="1">
        <v>45652</v>
      </c>
      <c r="P825" t="s">
        <v>9871</v>
      </c>
      <c r="Q825" t="s">
        <v>9872</v>
      </c>
      <c r="R825" t="s">
        <v>146</v>
      </c>
      <c r="S825" t="s">
        <v>9873</v>
      </c>
      <c r="T825" t="s">
        <v>49</v>
      </c>
      <c r="U825" t="s">
        <v>98</v>
      </c>
      <c r="V825" s="1">
        <v>44561</v>
      </c>
      <c r="W825" t="s">
        <v>8102</v>
      </c>
      <c r="X825" t="s">
        <v>8129</v>
      </c>
      <c r="Y825" t="s">
        <v>9874</v>
      </c>
      <c r="Z825">
        <v>6</v>
      </c>
      <c r="AA825" t="s">
        <v>55</v>
      </c>
      <c r="AB825" t="s">
        <v>48</v>
      </c>
      <c r="AC825" t="s">
        <v>361</v>
      </c>
      <c r="AD825" t="s">
        <v>299</v>
      </c>
      <c r="AE825">
        <v>1275000</v>
      </c>
      <c r="AF825">
        <v>19125</v>
      </c>
      <c r="AJ825" t="str">
        <f>_xlfn.XLOOKUP(Table9[[#This Row],[Engine No.]],'[1]Dubai Islamic Consumer'!$Q$3:$Q$1176,'[1]Dubai Islamic Consumer'!$B$3:$B$1176,,,)</f>
        <v>KHI/HO/D/MO/PC COMP/C/103702/279/12/2024</v>
      </c>
    </row>
    <row r="826" spans="1:36" x14ac:dyDescent="0.25">
      <c r="A826">
        <v>825</v>
      </c>
      <c r="B826" s="2" t="s">
        <v>8030</v>
      </c>
      <c r="C826" t="s">
        <v>9875</v>
      </c>
      <c r="D826" t="s">
        <v>37</v>
      </c>
      <c r="E826" t="s">
        <v>9876</v>
      </c>
      <c r="F826" t="s">
        <v>107</v>
      </c>
      <c r="G826" t="s">
        <v>9877</v>
      </c>
      <c r="H826" t="s">
        <v>9878</v>
      </c>
      <c r="I826" t="s">
        <v>9878</v>
      </c>
      <c r="J826" t="s">
        <v>9878</v>
      </c>
      <c r="K826" t="s">
        <v>9879</v>
      </c>
      <c r="L826">
        <v>934500</v>
      </c>
      <c r="M826">
        <v>1335000</v>
      </c>
      <c r="N826" t="s">
        <v>9880</v>
      </c>
      <c r="O826" s="1">
        <v>45652</v>
      </c>
      <c r="P826" t="s">
        <v>9881</v>
      </c>
      <c r="Q826" t="s">
        <v>9882</v>
      </c>
      <c r="R826" t="s">
        <v>47</v>
      </c>
      <c r="S826" t="s">
        <v>48</v>
      </c>
      <c r="T826" t="s">
        <v>194</v>
      </c>
      <c r="U826" t="s">
        <v>50</v>
      </c>
      <c r="V826" s="1">
        <v>44440</v>
      </c>
      <c r="W826" t="s">
        <v>2981</v>
      </c>
      <c r="X826" t="s">
        <v>2982</v>
      </c>
      <c r="Y826" t="s">
        <v>9883</v>
      </c>
      <c r="Z826">
        <v>5</v>
      </c>
      <c r="AA826" t="s">
        <v>55</v>
      </c>
      <c r="AB826" t="s">
        <v>9884</v>
      </c>
      <c r="AC826" t="s">
        <v>361</v>
      </c>
      <c r="AD826" t="s">
        <v>58</v>
      </c>
      <c r="AE826">
        <v>1134750</v>
      </c>
      <c r="AF826">
        <v>22695</v>
      </c>
      <c r="AJ826" t="str">
        <f>_xlfn.XLOOKUP(Table9[[#This Row],[Engine No.]],'[1]Dubai Islamic Consumer'!$Q$3:$Q$1176,'[1]Dubai Islamic Consumer'!$B$3:$B$1176,,,)</f>
        <v>KHI/HO/D/MO/PC COMP/C/103702/280/12/2024</v>
      </c>
    </row>
    <row r="827" spans="1:36" x14ac:dyDescent="0.25">
      <c r="A827">
        <v>826</v>
      </c>
      <c r="B827" s="2" t="s">
        <v>8030</v>
      </c>
      <c r="C827" t="s">
        <v>9885</v>
      </c>
      <c r="D827" t="s">
        <v>37</v>
      </c>
      <c r="E827" t="s">
        <v>9886</v>
      </c>
      <c r="F827" t="s">
        <v>39</v>
      </c>
      <c r="G827" t="s">
        <v>9887</v>
      </c>
      <c r="H827" t="s">
        <v>9888</v>
      </c>
      <c r="I827" t="s">
        <v>9889</v>
      </c>
      <c r="J827" t="s">
        <v>9888</v>
      </c>
      <c r="K827" t="s">
        <v>9890</v>
      </c>
      <c r="L827">
        <v>805000</v>
      </c>
      <c r="M827">
        <v>1150000</v>
      </c>
      <c r="N827" t="s">
        <v>9891</v>
      </c>
      <c r="O827" s="1">
        <v>45652</v>
      </c>
      <c r="P827" t="s">
        <v>9892</v>
      </c>
      <c r="Q827" t="s">
        <v>9893</v>
      </c>
      <c r="R827" t="s">
        <v>146</v>
      </c>
      <c r="S827" t="s">
        <v>9894</v>
      </c>
      <c r="T827" t="s">
        <v>181</v>
      </c>
      <c r="U827" t="s">
        <v>903</v>
      </c>
      <c r="V827" s="1">
        <v>44558</v>
      </c>
      <c r="W827" t="s">
        <v>8102</v>
      </c>
      <c r="X827" t="s">
        <v>8103</v>
      </c>
      <c r="Y827" t="s">
        <v>9895</v>
      </c>
      <c r="Z827">
        <v>5</v>
      </c>
      <c r="AA827" t="s">
        <v>118</v>
      </c>
      <c r="AB827" t="s">
        <v>9896</v>
      </c>
      <c r="AC827" t="s">
        <v>4015</v>
      </c>
      <c r="AD827" t="s">
        <v>299</v>
      </c>
      <c r="AE827">
        <v>977500</v>
      </c>
      <c r="AF827">
        <v>14663</v>
      </c>
      <c r="AJ827" t="str">
        <f>_xlfn.XLOOKUP(Table9[[#This Row],[Engine No.]],'[1]Dubai Islamic Consumer'!$Q$3:$Q$1176,'[1]Dubai Islamic Consumer'!$B$3:$B$1176,,,)</f>
        <v>KHI/HO/D/MO/PC COMP/C/103702/281/12/2024</v>
      </c>
    </row>
    <row r="828" spans="1:36" x14ac:dyDescent="0.25">
      <c r="A828">
        <v>827</v>
      </c>
      <c r="B828" s="2" t="s">
        <v>8030</v>
      </c>
      <c r="C828" t="s">
        <v>9897</v>
      </c>
      <c r="D828" t="s">
        <v>37</v>
      </c>
      <c r="E828" t="s">
        <v>5187</v>
      </c>
      <c r="F828" t="s">
        <v>39</v>
      </c>
      <c r="G828" t="s">
        <v>9898</v>
      </c>
      <c r="H828" t="s">
        <v>9899</v>
      </c>
      <c r="I828" t="s">
        <v>9900</v>
      </c>
      <c r="J828" t="s">
        <v>9899</v>
      </c>
      <c r="K828" t="s">
        <v>9901</v>
      </c>
      <c r="L828">
        <v>720000</v>
      </c>
      <c r="M828">
        <v>1800000</v>
      </c>
      <c r="N828" t="s">
        <v>9902</v>
      </c>
      <c r="O828" s="1">
        <v>45652</v>
      </c>
      <c r="P828" t="s">
        <v>9903</v>
      </c>
      <c r="Q828" t="s">
        <v>9904</v>
      </c>
      <c r="R828" t="s">
        <v>146</v>
      </c>
      <c r="S828" t="s">
        <v>9905</v>
      </c>
      <c r="T828" t="s">
        <v>8848</v>
      </c>
      <c r="U828" t="s">
        <v>715</v>
      </c>
      <c r="V828" s="1">
        <v>44559</v>
      </c>
      <c r="W828" t="s">
        <v>8102</v>
      </c>
      <c r="X828" t="s">
        <v>7530</v>
      </c>
      <c r="Y828" t="s">
        <v>9906</v>
      </c>
      <c r="Z828">
        <v>3</v>
      </c>
      <c r="AA828" t="s">
        <v>118</v>
      </c>
      <c r="AB828" t="s">
        <v>9907</v>
      </c>
      <c r="AC828" t="s">
        <v>4015</v>
      </c>
      <c r="AD828" t="s">
        <v>299</v>
      </c>
      <c r="AE828">
        <v>1530000</v>
      </c>
      <c r="AF828">
        <v>22950</v>
      </c>
      <c r="AJ828" t="str">
        <f>_xlfn.XLOOKUP(Table9[[#This Row],[Engine No.]],'[1]Dubai Islamic Consumer'!$Q$3:$Q$1176,'[1]Dubai Islamic Consumer'!$B$3:$B$1176,,,)</f>
        <v>KHI/HO/D/MO/PC COMP/C/103702/283/12/2024</v>
      </c>
    </row>
    <row r="829" spans="1:36" x14ac:dyDescent="0.25">
      <c r="A829">
        <v>828</v>
      </c>
      <c r="B829" s="2" t="s">
        <v>8030</v>
      </c>
      <c r="C829" t="s">
        <v>9908</v>
      </c>
      <c r="D829" t="s">
        <v>37</v>
      </c>
      <c r="E829" t="s">
        <v>9446</v>
      </c>
      <c r="F829" t="s">
        <v>107</v>
      </c>
      <c r="G829" t="s">
        <v>9909</v>
      </c>
      <c r="H829" t="s">
        <v>9910</v>
      </c>
      <c r="I829" t="s">
        <v>9910</v>
      </c>
      <c r="J829" t="s">
        <v>9910</v>
      </c>
      <c r="K829" t="s">
        <v>9911</v>
      </c>
      <c r="L829">
        <v>1032500</v>
      </c>
      <c r="M829">
        <v>1475000</v>
      </c>
      <c r="N829" t="s">
        <v>9912</v>
      </c>
      <c r="O829" s="1">
        <v>45651</v>
      </c>
      <c r="P829" t="s">
        <v>9913</v>
      </c>
      <c r="Q829" t="s">
        <v>9914</v>
      </c>
      <c r="R829" t="s">
        <v>47</v>
      </c>
      <c r="S829" t="s">
        <v>48</v>
      </c>
      <c r="T829" t="s">
        <v>1384</v>
      </c>
      <c r="U829" t="s">
        <v>148</v>
      </c>
      <c r="V829" s="1">
        <v>44727</v>
      </c>
      <c r="W829" t="s">
        <v>8128</v>
      </c>
      <c r="X829" t="s">
        <v>8129</v>
      </c>
      <c r="Y829" t="s">
        <v>9915</v>
      </c>
      <c r="Z829">
        <v>5</v>
      </c>
      <c r="AA829" t="s">
        <v>152</v>
      </c>
      <c r="AB829" t="s">
        <v>9916</v>
      </c>
      <c r="AC829" t="s">
        <v>4057</v>
      </c>
      <c r="AD829" t="s">
        <v>58</v>
      </c>
      <c r="AE829">
        <v>1327500</v>
      </c>
      <c r="AF829">
        <v>26550</v>
      </c>
      <c r="AJ829" t="str">
        <f>_xlfn.XLOOKUP(Table9[[#This Row],[Engine No.]],'[1]Dubai Islamic Consumer'!$Q$3:$Q$1176,'[1]Dubai Islamic Consumer'!$B$3:$B$1176,,,)</f>
        <v>KHI/HO/D/MO/PC COMP/C/103702/286/12/2024</v>
      </c>
    </row>
    <row r="830" spans="1:36" x14ac:dyDescent="0.25">
      <c r="A830">
        <v>829</v>
      </c>
      <c r="B830" s="2" t="s">
        <v>8030</v>
      </c>
      <c r="C830" t="s">
        <v>9917</v>
      </c>
      <c r="D830" t="s">
        <v>37</v>
      </c>
      <c r="E830" t="s">
        <v>1541</v>
      </c>
      <c r="F830" t="s">
        <v>107</v>
      </c>
      <c r="G830" t="s">
        <v>9918</v>
      </c>
      <c r="H830" t="s">
        <v>9919</v>
      </c>
      <c r="I830" t="s">
        <v>9919</v>
      </c>
      <c r="J830" t="s">
        <v>9919</v>
      </c>
      <c r="K830" t="s">
        <v>9920</v>
      </c>
      <c r="L830">
        <v>3801000</v>
      </c>
      <c r="M830">
        <v>5430000</v>
      </c>
      <c r="N830" t="s">
        <v>9921</v>
      </c>
      <c r="O830" s="1">
        <v>45649</v>
      </c>
      <c r="P830" t="s">
        <v>9922</v>
      </c>
      <c r="Q830" t="s">
        <v>9923</v>
      </c>
      <c r="R830" t="s">
        <v>47</v>
      </c>
      <c r="S830" t="s">
        <v>48</v>
      </c>
      <c r="T830" t="s">
        <v>115</v>
      </c>
      <c r="U830" t="s">
        <v>98</v>
      </c>
      <c r="V830" s="1">
        <v>44067</v>
      </c>
      <c r="W830" t="s">
        <v>8114</v>
      </c>
      <c r="X830" t="s">
        <v>8115</v>
      </c>
      <c r="Y830" t="s">
        <v>9924</v>
      </c>
      <c r="Z830">
        <v>5</v>
      </c>
      <c r="AA830" t="s">
        <v>48</v>
      </c>
      <c r="AB830" t="s">
        <v>48</v>
      </c>
      <c r="AC830" t="s">
        <v>48</v>
      </c>
      <c r="AD830" t="s">
        <v>299</v>
      </c>
      <c r="AE830">
        <v>4344000</v>
      </c>
      <c r="AF830">
        <v>65160</v>
      </c>
      <c r="AJ830" t="str">
        <f>_xlfn.XLOOKUP(Table9[[#This Row],[Engine No.]],'[1]Dubai Islamic Consumer'!$Q$3:$Q$1176,'[1]Dubai Islamic Consumer'!$B$3:$B$1176,,,)</f>
        <v>KHI/HO/D/MO/PC COMP/C/103702/289/12/2024</v>
      </c>
    </row>
    <row r="831" spans="1:36" x14ac:dyDescent="0.25">
      <c r="A831">
        <v>830</v>
      </c>
      <c r="B831" s="2" t="s">
        <v>8030</v>
      </c>
      <c r="C831" t="s">
        <v>9925</v>
      </c>
      <c r="D831" t="s">
        <v>37</v>
      </c>
      <c r="E831" t="s">
        <v>9926</v>
      </c>
      <c r="F831" t="s">
        <v>138</v>
      </c>
      <c r="G831" t="s">
        <v>9927</v>
      </c>
      <c r="H831" t="s">
        <v>48</v>
      </c>
      <c r="I831" t="s">
        <v>9928</v>
      </c>
      <c r="J831" t="s">
        <v>48</v>
      </c>
      <c r="K831" t="s">
        <v>9929</v>
      </c>
      <c r="L831">
        <v>2600000</v>
      </c>
      <c r="M831">
        <v>4000000</v>
      </c>
      <c r="N831" t="s">
        <v>9930</v>
      </c>
      <c r="O831" s="1">
        <v>45649</v>
      </c>
      <c r="P831" t="s">
        <v>9931</v>
      </c>
      <c r="Q831" t="s">
        <v>9932</v>
      </c>
      <c r="R831" t="s">
        <v>146</v>
      </c>
      <c r="S831" t="s">
        <v>9933</v>
      </c>
      <c r="T831" t="s">
        <v>601</v>
      </c>
      <c r="U831" t="s">
        <v>50</v>
      </c>
      <c r="V831" s="1">
        <v>44559</v>
      </c>
      <c r="W831" t="s">
        <v>8102</v>
      </c>
      <c r="X831" t="s">
        <v>8103</v>
      </c>
      <c r="Y831" t="s">
        <v>9934</v>
      </c>
      <c r="Z831">
        <v>5</v>
      </c>
      <c r="AA831" t="s">
        <v>118</v>
      </c>
      <c r="AB831" t="s">
        <v>9935</v>
      </c>
      <c r="AC831" t="s">
        <v>361</v>
      </c>
      <c r="AD831" t="s">
        <v>299</v>
      </c>
      <c r="AE831">
        <v>3400000</v>
      </c>
      <c r="AF831">
        <v>51000</v>
      </c>
      <c r="AJ831" t="str">
        <f>_xlfn.XLOOKUP(Table9[[#This Row],[Engine No.]],'[1]Dubai Islamic Consumer'!$Q$3:$Q$1176,'[1]Dubai Islamic Consumer'!$B$3:$B$1176,,,)</f>
        <v>KHI/HO/D/MO/PC COMP/C/103702/290/12/2024</v>
      </c>
    </row>
    <row r="832" spans="1:36" x14ac:dyDescent="0.25">
      <c r="A832">
        <v>831</v>
      </c>
      <c r="B832" s="2" t="s">
        <v>8030</v>
      </c>
      <c r="C832" t="s">
        <v>9936</v>
      </c>
      <c r="D832" t="s">
        <v>37</v>
      </c>
      <c r="E832" t="s">
        <v>9937</v>
      </c>
      <c r="F832" t="s">
        <v>107</v>
      </c>
      <c r="G832" t="s">
        <v>9938</v>
      </c>
      <c r="H832" t="s">
        <v>9939</v>
      </c>
      <c r="I832" t="s">
        <v>9939</v>
      </c>
      <c r="J832" t="s">
        <v>9939</v>
      </c>
      <c r="K832" t="s">
        <v>9940</v>
      </c>
      <c r="L832">
        <v>2520000</v>
      </c>
      <c r="M832">
        <v>3600000</v>
      </c>
      <c r="N832" t="s">
        <v>9941</v>
      </c>
      <c r="O832" s="1">
        <v>45649</v>
      </c>
      <c r="P832" t="s">
        <v>9942</v>
      </c>
      <c r="Q832" t="s">
        <v>9943</v>
      </c>
      <c r="R832" t="s">
        <v>146</v>
      </c>
      <c r="S832" t="s">
        <v>9944</v>
      </c>
      <c r="T832" t="s">
        <v>5992</v>
      </c>
      <c r="U832" t="s">
        <v>496</v>
      </c>
      <c r="V832" s="1">
        <v>44558</v>
      </c>
      <c r="W832" t="s">
        <v>8102</v>
      </c>
      <c r="X832" t="s">
        <v>8103</v>
      </c>
      <c r="Y832" t="s">
        <v>9945</v>
      </c>
      <c r="Z832">
        <v>5</v>
      </c>
      <c r="AA832" t="s">
        <v>55</v>
      </c>
      <c r="AB832" t="s">
        <v>9946</v>
      </c>
      <c r="AC832" t="s">
        <v>361</v>
      </c>
      <c r="AD832" t="s">
        <v>299</v>
      </c>
      <c r="AE832">
        <v>3060000</v>
      </c>
      <c r="AF832">
        <v>45900</v>
      </c>
      <c r="AJ832" t="str">
        <f>_xlfn.XLOOKUP(Table9[[#This Row],[Engine No.]],'[1]Dubai Islamic Consumer'!$Q$3:$Q$1176,'[1]Dubai Islamic Consumer'!$B$3:$B$1176,,,)</f>
        <v>KHI/HO/D/MO/PC COMP/C/103702/291/12/2024</v>
      </c>
    </row>
    <row r="833" spans="1:36" x14ac:dyDescent="0.25">
      <c r="A833">
        <v>832</v>
      </c>
      <c r="B833" s="2" t="s">
        <v>8030</v>
      </c>
      <c r="C833" t="s">
        <v>9947</v>
      </c>
      <c r="D833" t="s">
        <v>37</v>
      </c>
      <c r="E833" t="s">
        <v>9948</v>
      </c>
      <c r="F833" t="s">
        <v>138</v>
      </c>
      <c r="G833" t="s">
        <v>9949</v>
      </c>
      <c r="H833" t="s">
        <v>48</v>
      </c>
      <c r="I833" t="s">
        <v>9950</v>
      </c>
      <c r="J833" t="s">
        <v>48</v>
      </c>
      <c r="K833" t="s">
        <v>9951</v>
      </c>
      <c r="L833">
        <v>2520000</v>
      </c>
      <c r="M833">
        <v>3600000</v>
      </c>
      <c r="N833" t="s">
        <v>9952</v>
      </c>
      <c r="O833" s="1">
        <v>45649</v>
      </c>
      <c r="P833" t="s">
        <v>9953</v>
      </c>
      <c r="Q833" t="s">
        <v>9954</v>
      </c>
      <c r="R833" t="s">
        <v>146</v>
      </c>
      <c r="S833" t="s">
        <v>9955</v>
      </c>
      <c r="T833" t="s">
        <v>6576</v>
      </c>
      <c r="U833" t="s">
        <v>496</v>
      </c>
      <c r="V833" s="1">
        <v>44559</v>
      </c>
      <c r="W833" t="s">
        <v>8102</v>
      </c>
      <c r="X833" t="s">
        <v>7530</v>
      </c>
      <c r="Y833" t="s">
        <v>9956</v>
      </c>
      <c r="Z833">
        <v>3</v>
      </c>
      <c r="AA833" t="s">
        <v>118</v>
      </c>
      <c r="AB833" t="s">
        <v>9957</v>
      </c>
      <c r="AC833" t="s">
        <v>361</v>
      </c>
      <c r="AD833" t="s">
        <v>299</v>
      </c>
      <c r="AE833">
        <v>3060000</v>
      </c>
      <c r="AF833">
        <v>45900</v>
      </c>
      <c r="AJ833" t="str">
        <f>_xlfn.XLOOKUP(Table9[[#This Row],[Engine No.]],'[1]Dubai Islamic Consumer'!$Q$3:$Q$1176,'[1]Dubai Islamic Consumer'!$B$3:$B$1176,,,)</f>
        <v>KHI/HO/D/MO/PC COMP/C/103702/294/12/2024</v>
      </c>
    </row>
    <row r="834" spans="1:36" x14ac:dyDescent="0.25">
      <c r="A834">
        <v>833</v>
      </c>
      <c r="B834" s="2" t="s">
        <v>8030</v>
      </c>
      <c r="C834" t="s">
        <v>9958</v>
      </c>
      <c r="D834" t="s">
        <v>37</v>
      </c>
      <c r="E834" t="s">
        <v>9959</v>
      </c>
      <c r="F834" t="s">
        <v>138</v>
      </c>
      <c r="G834" t="s">
        <v>9960</v>
      </c>
      <c r="H834" t="s">
        <v>9961</v>
      </c>
      <c r="I834" t="s">
        <v>9962</v>
      </c>
      <c r="J834" t="s">
        <v>9961</v>
      </c>
      <c r="K834" t="s">
        <v>9963</v>
      </c>
      <c r="L834">
        <v>2137850</v>
      </c>
      <c r="M834">
        <v>3289000</v>
      </c>
      <c r="N834" t="s">
        <v>9964</v>
      </c>
      <c r="O834" s="1">
        <v>45649</v>
      </c>
      <c r="P834" t="s">
        <v>9965</v>
      </c>
      <c r="Q834" t="s">
        <v>9966</v>
      </c>
      <c r="R834" t="s">
        <v>47</v>
      </c>
      <c r="S834" t="s">
        <v>48</v>
      </c>
      <c r="T834" t="s">
        <v>348</v>
      </c>
      <c r="U834" t="s">
        <v>50</v>
      </c>
      <c r="V834" s="1">
        <v>44559</v>
      </c>
      <c r="W834" t="s">
        <v>8102</v>
      </c>
      <c r="X834" t="s">
        <v>7530</v>
      </c>
      <c r="Y834" t="s">
        <v>9967</v>
      </c>
      <c r="Z834">
        <v>3</v>
      </c>
      <c r="AA834" t="s">
        <v>55</v>
      </c>
      <c r="AB834" t="s">
        <v>9968</v>
      </c>
      <c r="AC834" t="s">
        <v>361</v>
      </c>
      <c r="AD834" t="s">
        <v>58</v>
      </c>
      <c r="AE834">
        <v>2795650</v>
      </c>
      <c r="AF834">
        <v>55913</v>
      </c>
      <c r="AJ834" t="str">
        <f>_xlfn.XLOOKUP(Table9[[#This Row],[Engine No.]],'[1]Dubai Islamic Consumer'!$Q$3:$Q$1176,'[1]Dubai Islamic Consumer'!$B$3:$B$1176,,,)</f>
        <v>KHI/HO/D/MO/PC COMP/C/103702/295/12/2024</v>
      </c>
    </row>
    <row r="835" spans="1:36" x14ac:dyDescent="0.25">
      <c r="A835">
        <v>834</v>
      </c>
      <c r="B835" s="2" t="s">
        <v>8030</v>
      </c>
      <c r="C835" t="s">
        <v>9969</v>
      </c>
      <c r="D835" t="s">
        <v>37</v>
      </c>
      <c r="E835" t="s">
        <v>9970</v>
      </c>
      <c r="F835" t="s">
        <v>39</v>
      </c>
      <c r="G835" t="s">
        <v>9971</v>
      </c>
      <c r="H835" t="s">
        <v>48</v>
      </c>
      <c r="I835" t="s">
        <v>9972</v>
      </c>
      <c r="J835" t="s">
        <v>48</v>
      </c>
      <c r="K835" t="s">
        <v>9973</v>
      </c>
      <c r="L835">
        <v>2047500</v>
      </c>
      <c r="M835">
        <v>3150000</v>
      </c>
      <c r="N835" t="s">
        <v>9974</v>
      </c>
      <c r="O835" s="1">
        <v>45649</v>
      </c>
      <c r="P835" t="s">
        <v>9975</v>
      </c>
      <c r="Q835" t="s">
        <v>9976</v>
      </c>
      <c r="R835" t="s">
        <v>146</v>
      </c>
      <c r="S835" t="s">
        <v>9977</v>
      </c>
      <c r="T835" t="s">
        <v>97</v>
      </c>
      <c r="U835" t="s">
        <v>651</v>
      </c>
      <c r="V835" s="1">
        <v>44558</v>
      </c>
      <c r="W835" t="s">
        <v>8102</v>
      </c>
      <c r="X835" t="s">
        <v>8115</v>
      </c>
      <c r="Y835" t="s">
        <v>9978</v>
      </c>
      <c r="Z835">
        <v>4</v>
      </c>
      <c r="AA835" t="s">
        <v>118</v>
      </c>
      <c r="AB835" t="s">
        <v>9979</v>
      </c>
      <c r="AC835" t="s">
        <v>4015</v>
      </c>
      <c r="AD835" t="s">
        <v>299</v>
      </c>
      <c r="AE835">
        <v>2677500</v>
      </c>
      <c r="AF835">
        <v>40163</v>
      </c>
      <c r="AJ835" t="str">
        <f>_xlfn.XLOOKUP(Table9[[#This Row],[Engine No.]],'[1]Dubai Islamic Consumer'!$Q$3:$Q$1176,'[1]Dubai Islamic Consumer'!$B$3:$B$1176,,,)</f>
        <v>KHI/HO/D/MO/PC COMP/C/103702/296/12/2024</v>
      </c>
    </row>
    <row r="836" spans="1:36" x14ac:dyDescent="0.25">
      <c r="A836">
        <v>835</v>
      </c>
      <c r="B836" s="2" t="s">
        <v>8030</v>
      </c>
      <c r="C836" t="s">
        <v>9980</v>
      </c>
      <c r="D836" t="s">
        <v>37</v>
      </c>
      <c r="E836" t="s">
        <v>9981</v>
      </c>
      <c r="F836" t="s">
        <v>39</v>
      </c>
      <c r="G836" t="s">
        <v>9982</v>
      </c>
      <c r="H836" t="s">
        <v>9983</v>
      </c>
      <c r="I836" t="s">
        <v>9984</v>
      </c>
      <c r="J836" t="s">
        <v>9983</v>
      </c>
      <c r="K836" t="s">
        <v>9985</v>
      </c>
      <c r="L836">
        <v>1890000</v>
      </c>
      <c r="M836">
        <v>2700000</v>
      </c>
      <c r="N836" t="s">
        <v>9986</v>
      </c>
      <c r="O836" s="1">
        <v>45649</v>
      </c>
      <c r="P836" t="s">
        <v>9987</v>
      </c>
      <c r="Q836" t="s">
        <v>9988</v>
      </c>
      <c r="R836" t="s">
        <v>146</v>
      </c>
      <c r="S836" t="s">
        <v>9989</v>
      </c>
      <c r="T836" t="s">
        <v>1826</v>
      </c>
      <c r="U836" t="s">
        <v>98</v>
      </c>
      <c r="V836" s="1">
        <v>44558</v>
      </c>
      <c r="W836" t="s">
        <v>8102</v>
      </c>
      <c r="X836" t="s">
        <v>7530</v>
      </c>
      <c r="Y836" t="s">
        <v>9990</v>
      </c>
      <c r="Z836">
        <v>3</v>
      </c>
      <c r="AA836" t="s">
        <v>118</v>
      </c>
      <c r="AB836" t="s">
        <v>9991</v>
      </c>
      <c r="AC836" t="s">
        <v>4019</v>
      </c>
      <c r="AD836" t="s">
        <v>299</v>
      </c>
      <c r="AE836">
        <v>2295000</v>
      </c>
      <c r="AF836">
        <v>34425</v>
      </c>
      <c r="AJ836" t="str">
        <f>_xlfn.XLOOKUP(Table9[[#This Row],[Engine No.]],'[1]Dubai Islamic Consumer'!$Q$3:$Q$1176,'[1]Dubai Islamic Consumer'!$B$3:$B$1176,,,)</f>
        <v>KHI/HO/D/MO/PC COMP/C/103702/297/12/2024</v>
      </c>
    </row>
    <row r="837" spans="1:36" x14ac:dyDescent="0.25">
      <c r="A837">
        <v>836</v>
      </c>
      <c r="B837" s="2" t="s">
        <v>8030</v>
      </c>
      <c r="C837" t="s">
        <v>9992</v>
      </c>
      <c r="D837" t="s">
        <v>37</v>
      </c>
      <c r="E837" t="s">
        <v>9993</v>
      </c>
      <c r="F837" t="s">
        <v>39</v>
      </c>
      <c r="G837" t="s">
        <v>9994</v>
      </c>
      <c r="H837" t="s">
        <v>9995</v>
      </c>
      <c r="I837" t="s">
        <v>9996</v>
      </c>
      <c r="J837" t="s">
        <v>9997</v>
      </c>
      <c r="K837" t="s">
        <v>9998</v>
      </c>
      <c r="L837">
        <v>2273240</v>
      </c>
      <c r="M837">
        <v>3343000</v>
      </c>
      <c r="N837" t="s">
        <v>9999</v>
      </c>
      <c r="O837" s="1">
        <v>45649</v>
      </c>
      <c r="P837" t="s">
        <v>10000</v>
      </c>
      <c r="Q837" t="s">
        <v>10001</v>
      </c>
      <c r="R837" t="s">
        <v>47</v>
      </c>
      <c r="S837" t="s">
        <v>48</v>
      </c>
      <c r="T837" t="s">
        <v>10002</v>
      </c>
      <c r="U837" t="s">
        <v>98</v>
      </c>
      <c r="V837" s="1">
        <v>44135</v>
      </c>
      <c r="W837" t="s">
        <v>8114</v>
      </c>
      <c r="X837" t="s">
        <v>7530</v>
      </c>
      <c r="Y837" t="s">
        <v>10003</v>
      </c>
      <c r="Z837">
        <v>4</v>
      </c>
      <c r="AA837" t="s">
        <v>227</v>
      </c>
      <c r="AB837" t="s">
        <v>10004</v>
      </c>
      <c r="AC837" t="s">
        <v>4004</v>
      </c>
      <c r="AD837" t="s">
        <v>58</v>
      </c>
      <c r="AE837">
        <v>2674400</v>
      </c>
      <c r="AF837">
        <v>53488</v>
      </c>
      <c r="AJ837" t="str">
        <f>_xlfn.XLOOKUP(Table9[[#This Row],[Engine No.]],'[1]Dubai Islamic Consumer'!$Q$3:$Q$1176,'[1]Dubai Islamic Consumer'!$B$3:$B$1176,,,)</f>
        <v>KHI/HO/D/MO/PC COMP/C/103702/298/12/2024</v>
      </c>
    </row>
    <row r="838" spans="1:36" x14ac:dyDescent="0.25">
      <c r="A838">
        <v>837</v>
      </c>
      <c r="B838" s="2" t="s">
        <v>8030</v>
      </c>
      <c r="C838" t="s">
        <v>10005</v>
      </c>
      <c r="D838" t="s">
        <v>37</v>
      </c>
      <c r="E838" t="s">
        <v>10006</v>
      </c>
      <c r="F838" t="s">
        <v>138</v>
      </c>
      <c r="G838" t="s">
        <v>10007</v>
      </c>
      <c r="H838" t="s">
        <v>10008</v>
      </c>
      <c r="I838" t="s">
        <v>10008</v>
      </c>
      <c r="J838" t="s">
        <v>141</v>
      </c>
      <c r="K838" t="s">
        <v>10009</v>
      </c>
      <c r="L838">
        <v>1520000</v>
      </c>
      <c r="M838">
        <v>1900000</v>
      </c>
      <c r="N838" t="s">
        <v>10010</v>
      </c>
      <c r="O838" s="1">
        <v>45649</v>
      </c>
      <c r="P838" t="s">
        <v>10011</v>
      </c>
      <c r="Q838" t="s">
        <v>10012</v>
      </c>
      <c r="R838" t="s">
        <v>146</v>
      </c>
      <c r="S838" t="s">
        <v>10013</v>
      </c>
      <c r="T838" t="s">
        <v>783</v>
      </c>
      <c r="U838" t="s">
        <v>50</v>
      </c>
      <c r="V838" s="1">
        <v>44558</v>
      </c>
      <c r="W838" t="s">
        <v>8102</v>
      </c>
      <c r="X838" t="s">
        <v>8103</v>
      </c>
      <c r="Y838" t="s">
        <v>10014</v>
      </c>
      <c r="Z838">
        <v>5</v>
      </c>
      <c r="AA838" t="s">
        <v>55</v>
      </c>
      <c r="AB838" t="s">
        <v>10015</v>
      </c>
      <c r="AC838" t="s">
        <v>4015</v>
      </c>
      <c r="AD838" t="s">
        <v>299</v>
      </c>
      <c r="AE838">
        <v>1615000</v>
      </c>
      <c r="AF838">
        <v>24225</v>
      </c>
      <c r="AJ838" t="str">
        <f>_xlfn.XLOOKUP(Table9[[#This Row],[Engine No.]],'[1]Dubai Islamic Consumer'!$Q$3:$Q$1176,'[1]Dubai Islamic Consumer'!$B$3:$B$1176,,,)</f>
        <v>KHI/HO/D/MO/PC COMP/C/103702/299/12/2024</v>
      </c>
    </row>
    <row r="839" spans="1:36" x14ac:dyDescent="0.25">
      <c r="A839">
        <v>838</v>
      </c>
      <c r="B839" s="2" t="s">
        <v>8030</v>
      </c>
      <c r="C839" t="s">
        <v>10016</v>
      </c>
      <c r="D839" t="s">
        <v>37</v>
      </c>
      <c r="E839" t="s">
        <v>10017</v>
      </c>
      <c r="F839" t="s">
        <v>10018</v>
      </c>
      <c r="G839" t="s">
        <v>10019</v>
      </c>
      <c r="H839" t="s">
        <v>10020</v>
      </c>
      <c r="I839" t="s">
        <v>10021</v>
      </c>
      <c r="J839" t="s">
        <v>10022</v>
      </c>
      <c r="K839" t="s">
        <v>10023</v>
      </c>
      <c r="L839">
        <v>1555500</v>
      </c>
      <c r="M839">
        <v>2074000</v>
      </c>
      <c r="N839" t="s">
        <v>10024</v>
      </c>
      <c r="O839" s="1">
        <v>45649</v>
      </c>
      <c r="P839" t="s">
        <v>10025</v>
      </c>
      <c r="Q839" t="s">
        <v>10026</v>
      </c>
      <c r="R839" t="s">
        <v>47</v>
      </c>
      <c r="S839" t="s">
        <v>48</v>
      </c>
      <c r="T839" t="s">
        <v>3497</v>
      </c>
      <c r="U839" t="s">
        <v>98</v>
      </c>
      <c r="V839" s="1">
        <v>44082</v>
      </c>
      <c r="W839" t="s">
        <v>8114</v>
      </c>
      <c r="X839" t="s">
        <v>8115</v>
      </c>
      <c r="Y839" t="s">
        <v>10027</v>
      </c>
      <c r="Z839">
        <v>5</v>
      </c>
      <c r="AA839" t="s">
        <v>118</v>
      </c>
      <c r="AB839" t="s">
        <v>10028</v>
      </c>
      <c r="AC839" t="s">
        <v>4004</v>
      </c>
      <c r="AD839" t="s">
        <v>58</v>
      </c>
      <c r="AE839">
        <v>1659200</v>
      </c>
      <c r="AF839">
        <v>33184</v>
      </c>
      <c r="AJ839" t="str">
        <f>_xlfn.XLOOKUP(Table9[[#This Row],[Engine No.]],'[1]Dubai Islamic Consumer'!$Q$3:$Q$1176,'[1]Dubai Islamic Consumer'!$B$3:$B$1176,,,)</f>
        <v>KHI/HO/D/MO/PC COMP/C/103702/300/12/2024</v>
      </c>
    </row>
    <row r="840" spans="1:36" x14ac:dyDescent="0.25">
      <c r="A840">
        <v>839</v>
      </c>
      <c r="B840" s="2" t="s">
        <v>8030</v>
      </c>
      <c r="C840" t="s">
        <v>10029</v>
      </c>
      <c r="D840" t="s">
        <v>37</v>
      </c>
      <c r="E840" t="s">
        <v>10030</v>
      </c>
      <c r="F840" t="s">
        <v>138</v>
      </c>
      <c r="G840" t="s">
        <v>10031</v>
      </c>
      <c r="H840" t="s">
        <v>10032</v>
      </c>
      <c r="I840" t="s">
        <v>10033</v>
      </c>
      <c r="J840" t="s">
        <v>141</v>
      </c>
      <c r="K840" t="s">
        <v>10034</v>
      </c>
      <c r="L840">
        <v>1247440</v>
      </c>
      <c r="M840">
        <v>4024000</v>
      </c>
      <c r="N840" t="s">
        <v>10035</v>
      </c>
      <c r="O840" s="1">
        <v>45649</v>
      </c>
      <c r="P840" t="s">
        <v>10036</v>
      </c>
      <c r="Q840" t="s">
        <v>10037</v>
      </c>
      <c r="R840" t="s">
        <v>47</v>
      </c>
      <c r="S840" t="s">
        <v>48</v>
      </c>
      <c r="T840" t="s">
        <v>5867</v>
      </c>
      <c r="U840" t="s">
        <v>50</v>
      </c>
      <c r="V840" s="1">
        <v>44448</v>
      </c>
      <c r="W840" t="s">
        <v>8102</v>
      </c>
      <c r="X840" t="s">
        <v>8103</v>
      </c>
      <c r="Y840" t="s">
        <v>10038</v>
      </c>
      <c r="Z840">
        <v>5</v>
      </c>
      <c r="AA840" t="s">
        <v>55</v>
      </c>
      <c r="AB840" t="s">
        <v>10039</v>
      </c>
      <c r="AC840" t="s">
        <v>4019</v>
      </c>
      <c r="AD840" t="s">
        <v>58</v>
      </c>
      <c r="AE840">
        <v>3420400</v>
      </c>
      <c r="AF840">
        <v>68408</v>
      </c>
      <c r="AJ840" t="str">
        <f>_xlfn.XLOOKUP(Table9[[#This Row],[Engine No.]],'[1]Dubai Islamic Consumer'!$Q$3:$Q$1176,'[1]Dubai Islamic Consumer'!$B$3:$B$1176,,,)</f>
        <v>KHI/HO/D/MO/PC COMP/C/103702/304/12/2024</v>
      </c>
    </row>
    <row r="841" spans="1:36" x14ac:dyDescent="0.25">
      <c r="A841">
        <v>840</v>
      </c>
      <c r="B841" s="2" t="s">
        <v>8030</v>
      </c>
      <c r="C841" t="s">
        <v>10040</v>
      </c>
      <c r="D841" t="s">
        <v>37</v>
      </c>
      <c r="E841" t="s">
        <v>10041</v>
      </c>
      <c r="F841" t="s">
        <v>290</v>
      </c>
      <c r="G841" t="s">
        <v>10042</v>
      </c>
      <c r="H841" t="s">
        <v>48</v>
      </c>
      <c r="I841" t="s">
        <v>10043</v>
      </c>
      <c r="J841" t="s">
        <v>48</v>
      </c>
      <c r="K841" t="s">
        <v>10044</v>
      </c>
      <c r="L841">
        <v>1176000</v>
      </c>
      <c r="M841">
        <v>1680000</v>
      </c>
      <c r="N841" t="s">
        <v>10045</v>
      </c>
      <c r="O841" s="1">
        <v>45649</v>
      </c>
      <c r="P841" t="s">
        <v>10046</v>
      </c>
      <c r="Q841" t="s">
        <v>10047</v>
      </c>
      <c r="R841" t="s">
        <v>146</v>
      </c>
      <c r="S841" t="s">
        <v>10048</v>
      </c>
      <c r="T841" t="s">
        <v>321</v>
      </c>
      <c r="U841" t="s">
        <v>614</v>
      </c>
      <c r="V841" s="1">
        <v>44559</v>
      </c>
      <c r="W841" t="s">
        <v>8102</v>
      </c>
      <c r="X841" t="s">
        <v>8103</v>
      </c>
      <c r="Y841" t="s">
        <v>10049</v>
      </c>
      <c r="Z841">
        <v>5</v>
      </c>
      <c r="AA841" t="s">
        <v>118</v>
      </c>
      <c r="AB841" t="s">
        <v>10050</v>
      </c>
      <c r="AC841" t="s">
        <v>4015</v>
      </c>
      <c r="AD841" t="s">
        <v>299</v>
      </c>
      <c r="AE841">
        <v>1428000</v>
      </c>
      <c r="AF841">
        <v>21420</v>
      </c>
      <c r="AJ841" t="str">
        <f>_xlfn.XLOOKUP(Table9[[#This Row],[Engine No.]],'[1]Dubai Islamic Consumer'!$Q$3:$Q$1176,'[1]Dubai Islamic Consumer'!$B$3:$B$1176,,,)</f>
        <v>KHI/HO/D/MO/PC COMP/C/103702/307/12/2024</v>
      </c>
    </row>
    <row r="842" spans="1:36" x14ac:dyDescent="0.25">
      <c r="A842">
        <v>841</v>
      </c>
      <c r="B842" s="2" t="s">
        <v>8030</v>
      </c>
      <c r="C842" t="s">
        <v>10051</v>
      </c>
      <c r="D842" t="s">
        <v>37</v>
      </c>
      <c r="E842" t="s">
        <v>10052</v>
      </c>
      <c r="F842" t="s">
        <v>138</v>
      </c>
      <c r="G842" t="s">
        <v>10053</v>
      </c>
      <c r="H842" t="s">
        <v>10054</v>
      </c>
      <c r="I842" t="s">
        <v>10055</v>
      </c>
      <c r="J842" t="s">
        <v>48</v>
      </c>
      <c r="K842" t="s">
        <v>10056</v>
      </c>
      <c r="L842">
        <v>1140750</v>
      </c>
      <c r="M842">
        <v>1521000</v>
      </c>
      <c r="N842" t="s">
        <v>10057</v>
      </c>
      <c r="O842" s="1">
        <v>45649</v>
      </c>
      <c r="P842" t="s">
        <v>10058</v>
      </c>
      <c r="Q842" t="s">
        <v>10059</v>
      </c>
      <c r="R842" t="s">
        <v>47</v>
      </c>
      <c r="S842" t="s">
        <v>48</v>
      </c>
      <c r="T842" t="s">
        <v>613</v>
      </c>
      <c r="U842" t="s">
        <v>50</v>
      </c>
      <c r="V842" s="1">
        <v>44433</v>
      </c>
      <c r="W842" t="s">
        <v>8102</v>
      </c>
      <c r="X842" t="s">
        <v>8103</v>
      </c>
      <c r="Y842" t="s">
        <v>10060</v>
      </c>
      <c r="Z842">
        <v>5</v>
      </c>
      <c r="AA842" t="s">
        <v>55</v>
      </c>
      <c r="AB842" t="s">
        <v>10061</v>
      </c>
      <c r="AC842" t="s">
        <v>4437</v>
      </c>
      <c r="AD842" t="s">
        <v>58</v>
      </c>
      <c r="AE842">
        <v>1292850</v>
      </c>
      <c r="AF842">
        <v>25857</v>
      </c>
      <c r="AJ842" t="str">
        <f>_xlfn.XLOOKUP(Table9[[#This Row],[Engine No.]],'[1]Dubai Islamic Consumer'!$Q$3:$Q$1176,'[1]Dubai Islamic Consumer'!$B$3:$B$1176,,,)</f>
        <v>KHI/HO/D/MO/PC COMP/C/103702/308/12/2024</v>
      </c>
    </row>
    <row r="843" spans="1:36" x14ac:dyDescent="0.25">
      <c r="A843">
        <v>842</v>
      </c>
      <c r="B843" s="2" t="s">
        <v>8030</v>
      </c>
      <c r="C843" t="s">
        <v>10062</v>
      </c>
      <c r="D843" t="s">
        <v>37</v>
      </c>
      <c r="E843" t="s">
        <v>10063</v>
      </c>
      <c r="F843" t="s">
        <v>107</v>
      </c>
      <c r="G843" t="s">
        <v>10064</v>
      </c>
      <c r="H843" t="s">
        <v>10065</v>
      </c>
      <c r="I843" t="s">
        <v>10065</v>
      </c>
      <c r="J843" t="s">
        <v>10065</v>
      </c>
      <c r="K843" t="s">
        <v>10066</v>
      </c>
      <c r="L843">
        <v>1134750</v>
      </c>
      <c r="M843">
        <v>1335000</v>
      </c>
      <c r="N843" t="s">
        <v>10067</v>
      </c>
      <c r="O843" s="1">
        <v>45649</v>
      </c>
      <c r="P843" t="s">
        <v>10068</v>
      </c>
      <c r="Q843" t="s">
        <v>10069</v>
      </c>
      <c r="R843" t="s">
        <v>47</v>
      </c>
      <c r="S843" t="s">
        <v>48</v>
      </c>
      <c r="T843" t="s">
        <v>194</v>
      </c>
      <c r="U843" t="s">
        <v>50</v>
      </c>
      <c r="V843" s="1">
        <v>44438</v>
      </c>
      <c r="W843" t="s">
        <v>2981</v>
      </c>
      <c r="X843" t="s">
        <v>2982</v>
      </c>
      <c r="Y843" t="s">
        <v>10070</v>
      </c>
      <c r="Z843">
        <v>5</v>
      </c>
      <c r="AA843" t="s">
        <v>55</v>
      </c>
      <c r="AB843" t="s">
        <v>10071</v>
      </c>
      <c r="AC843" t="s">
        <v>4019</v>
      </c>
      <c r="AD843" t="s">
        <v>58</v>
      </c>
      <c r="AE843">
        <v>1134750</v>
      </c>
      <c r="AF843">
        <v>22695</v>
      </c>
      <c r="AJ843" t="str">
        <f>_xlfn.XLOOKUP(Table9[[#This Row],[Engine No.]],'[1]Dubai Islamic Consumer'!$Q$3:$Q$1176,'[1]Dubai Islamic Consumer'!$B$3:$B$1176,,,)</f>
        <v>KHI/HO/D/MO/PC COMP/C/103702/309/12/2024</v>
      </c>
    </row>
    <row r="844" spans="1:36" x14ac:dyDescent="0.25">
      <c r="A844">
        <v>843</v>
      </c>
      <c r="B844" s="2" t="s">
        <v>8030</v>
      </c>
      <c r="C844" t="s">
        <v>10072</v>
      </c>
      <c r="D844" t="s">
        <v>37</v>
      </c>
      <c r="E844" t="s">
        <v>10073</v>
      </c>
      <c r="F844" t="s">
        <v>525</v>
      </c>
      <c r="G844" t="s">
        <v>10074</v>
      </c>
      <c r="H844" t="s">
        <v>10075</v>
      </c>
      <c r="I844" t="s">
        <v>10075</v>
      </c>
      <c r="J844" t="s">
        <v>10075</v>
      </c>
      <c r="K844" t="s">
        <v>10076</v>
      </c>
      <c r="L844">
        <v>1040000</v>
      </c>
      <c r="M844">
        <v>1300000</v>
      </c>
      <c r="N844" t="s">
        <v>10077</v>
      </c>
      <c r="O844" s="1">
        <v>45649</v>
      </c>
      <c r="P844" t="s">
        <v>10078</v>
      </c>
      <c r="Q844" t="s">
        <v>10079</v>
      </c>
      <c r="R844" t="s">
        <v>146</v>
      </c>
      <c r="S844" t="s">
        <v>10080</v>
      </c>
      <c r="T844" t="s">
        <v>10081</v>
      </c>
      <c r="U844" t="s">
        <v>651</v>
      </c>
      <c r="V844" s="1">
        <v>44559</v>
      </c>
      <c r="W844" t="s">
        <v>8102</v>
      </c>
      <c r="X844" t="s">
        <v>8103</v>
      </c>
      <c r="Y844" t="s">
        <v>10082</v>
      </c>
      <c r="Z844">
        <v>5</v>
      </c>
      <c r="AA844" t="s">
        <v>118</v>
      </c>
      <c r="AB844" t="s">
        <v>10083</v>
      </c>
      <c r="AC844" t="s">
        <v>4019</v>
      </c>
      <c r="AD844" t="s">
        <v>299</v>
      </c>
      <c r="AE844">
        <v>1105000</v>
      </c>
      <c r="AF844">
        <v>16575</v>
      </c>
      <c r="AJ844" t="str">
        <f>_xlfn.XLOOKUP(Table9[[#This Row],[Engine No.]],'[1]Dubai Islamic Consumer'!$Q$3:$Q$1176,'[1]Dubai Islamic Consumer'!$B$3:$B$1176,,,)</f>
        <v>KHI/HO/D/MO/PC COMP/C/103702/311/12/2024</v>
      </c>
    </row>
    <row r="845" spans="1:36" x14ac:dyDescent="0.25">
      <c r="A845">
        <v>844</v>
      </c>
      <c r="B845" s="2" t="s">
        <v>8030</v>
      </c>
      <c r="C845" t="s">
        <v>10084</v>
      </c>
      <c r="D845" t="s">
        <v>37</v>
      </c>
      <c r="E845" t="s">
        <v>10085</v>
      </c>
      <c r="F845" t="s">
        <v>138</v>
      </c>
      <c r="G845" t="s">
        <v>10086</v>
      </c>
      <c r="H845" t="s">
        <v>10087</v>
      </c>
      <c r="I845" t="s">
        <v>10087</v>
      </c>
      <c r="J845" t="s">
        <v>10088</v>
      </c>
      <c r="K845" t="s">
        <v>10089</v>
      </c>
      <c r="L845">
        <v>867750</v>
      </c>
      <c r="M845">
        <v>1335000</v>
      </c>
      <c r="N845" t="s">
        <v>10090</v>
      </c>
      <c r="O845" s="1">
        <v>45649</v>
      </c>
      <c r="P845" t="s">
        <v>10091</v>
      </c>
      <c r="Q845" t="s">
        <v>10092</v>
      </c>
      <c r="R845" t="s">
        <v>47</v>
      </c>
      <c r="S845" t="s">
        <v>48</v>
      </c>
      <c r="T845" t="s">
        <v>194</v>
      </c>
      <c r="U845" t="s">
        <v>50</v>
      </c>
      <c r="V845" s="1">
        <v>44434</v>
      </c>
      <c r="W845" t="s">
        <v>2981</v>
      </c>
      <c r="X845" t="s">
        <v>2982</v>
      </c>
      <c r="Y845" t="s">
        <v>10093</v>
      </c>
      <c r="Z845">
        <v>5</v>
      </c>
      <c r="AA845" t="s">
        <v>55</v>
      </c>
      <c r="AB845" t="s">
        <v>10094</v>
      </c>
      <c r="AC845" t="s">
        <v>4019</v>
      </c>
      <c r="AD845" t="s">
        <v>58</v>
      </c>
      <c r="AE845">
        <v>1134750</v>
      </c>
      <c r="AF845">
        <v>22695</v>
      </c>
      <c r="AJ845" t="str">
        <f>_xlfn.XLOOKUP(Table9[[#This Row],[Engine No.]],'[1]Dubai Islamic Consumer'!$Q$3:$Q$1176,'[1]Dubai Islamic Consumer'!$B$3:$B$1176,,,)</f>
        <v>KHI/HO/D/MO/PC COMP/C/103702/313/12/2024</v>
      </c>
    </row>
    <row r="846" spans="1:36" x14ac:dyDescent="0.25">
      <c r="A846">
        <v>845</v>
      </c>
      <c r="B846" s="2" t="s">
        <v>8030</v>
      </c>
      <c r="C846" t="s">
        <v>10095</v>
      </c>
      <c r="D846" t="s">
        <v>37</v>
      </c>
      <c r="E846" t="s">
        <v>10096</v>
      </c>
      <c r="F846" t="s">
        <v>138</v>
      </c>
      <c r="G846" t="s">
        <v>10097</v>
      </c>
      <c r="H846" t="s">
        <v>10098</v>
      </c>
      <c r="I846" t="s">
        <v>10098</v>
      </c>
      <c r="J846" t="s">
        <v>10098</v>
      </c>
      <c r="K846" t="s">
        <v>10099</v>
      </c>
      <c r="L846">
        <v>825600</v>
      </c>
      <c r="M846">
        <v>1720000</v>
      </c>
      <c r="N846" t="s">
        <v>10100</v>
      </c>
      <c r="O846" s="1">
        <v>45649</v>
      </c>
      <c r="P846" t="s">
        <v>10101</v>
      </c>
      <c r="Q846" t="s">
        <v>10102</v>
      </c>
      <c r="R846" t="s">
        <v>146</v>
      </c>
      <c r="S846" t="s">
        <v>10103</v>
      </c>
      <c r="T846" t="s">
        <v>783</v>
      </c>
      <c r="U846" t="s">
        <v>98</v>
      </c>
      <c r="V846" s="1">
        <v>44558</v>
      </c>
      <c r="W846" t="s">
        <v>8102</v>
      </c>
      <c r="X846" t="s">
        <v>8455</v>
      </c>
      <c r="Y846" t="s">
        <v>10104</v>
      </c>
      <c r="Z846">
        <v>7</v>
      </c>
      <c r="AA846" t="s">
        <v>118</v>
      </c>
      <c r="AB846" t="s">
        <v>10105</v>
      </c>
      <c r="AC846" t="s">
        <v>4019</v>
      </c>
      <c r="AD846" t="s">
        <v>299</v>
      </c>
      <c r="AE846">
        <v>1462000</v>
      </c>
      <c r="AF846">
        <v>21930</v>
      </c>
      <c r="AJ846" t="str">
        <f>_xlfn.XLOOKUP(Table9[[#This Row],[Engine No.]],'[1]Dubai Islamic Consumer'!$Q$3:$Q$1176,'[1]Dubai Islamic Consumer'!$B$3:$B$1176,,,)</f>
        <v>KHI/HO/D/MO/PC COMP/C/103702/314/12/2024</v>
      </c>
    </row>
    <row r="847" spans="1:36" x14ac:dyDescent="0.25">
      <c r="A847">
        <v>846</v>
      </c>
      <c r="B847" s="2" t="s">
        <v>8030</v>
      </c>
      <c r="C847" t="s">
        <v>10106</v>
      </c>
      <c r="D847" t="s">
        <v>37</v>
      </c>
      <c r="E847" t="s">
        <v>10107</v>
      </c>
      <c r="F847" t="s">
        <v>39</v>
      </c>
      <c r="G847" t="s">
        <v>10108</v>
      </c>
      <c r="H847" t="s">
        <v>10109</v>
      </c>
      <c r="I847" t="s">
        <v>10110</v>
      </c>
      <c r="J847" t="s">
        <v>10111</v>
      </c>
      <c r="K847" t="s">
        <v>10112</v>
      </c>
      <c r="L847">
        <v>827500</v>
      </c>
      <c r="M847">
        <v>1655000</v>
      </c>
      <c r="N847" t="s">
        <v>10113</v>
      </c>
      <c r="O847" s="1">
        <v>45649</v>
      </c>
      <c r="P847" t="s">
        <v>10114</v>
      </c>
      <c r="Q847" t="s">
        <v>10115</v>
      </c>
      <c r="R847" t="s">
        <v>47</v>
      </c>
      <c r="S847" t="s">
        <v>48</v>
      </c>
      <c r="T847" t="s">
        <v>1909</v>
      </c>
      <c r="U847" t="s">
        <v>50</v>
      </c>
      <c r="V847" s="1">
        <v>44459</v>
      </c>
      <c r="W847" t="s">
        <v>2981</v>
      </c>
      <c r="X847" t="s">
        <v>2982</v>
      </c>
      <c r="Y847" t="s">
        <v>10116</v>
      </c>
      <c r="Z847">
        <v>5</v>
      </c>
      <c r="AA847" t="s">
        <v>55</v>
      </c>
      <c r="AB847" t="s">
        <v>10117</v>
      </c>
      <c r="AC847" t="s">
        <v>361</v>
      </c>
      <c r="AD847" t="s">
        <v>58</v>
      </c>
      <c r="AE847">
        <v>1406750</v>
      </c>
      <c r="AF847">
        <v>28135</v>
      </c>
      <c r="AJ847" t="str">
        <f>_xlfn.XLOOKUP(Table9[[#This Row],[Engine No.]],'[1]Dubai Islamic Consumer'!$Q$3:$Q$1176,'[1]Dubai Islamic Consumer'!$B$3:$B$1176,,,)</f>
        <v>KHI/HO/D/MO/PC COMP/C/103702/316/12/2024</v>
      </c>
    </row>
    <row r="848" spans="1:36" x14ac:dyDescent="0.25">
      <c r="A848">
        <v>847</v>
      </c>
      <c r="B848" s="2" t="s">
        <v>8030</v>
      </c>
      <c r="C848" t="s">
        <v>10118</v>
      </c>
      <c r="D848" t="s">
        <v>37</v>
      </c>
      <c r="E848" t="s">
        <v>10119</v>
      </c>
      <c r="F848" t="s">
        <v>138</v>
      </c>
      <c r="G848" t="s">
        <v>10120</v>
      </c>
      <c r="H848" t="s">
        <v>10121</v>
      </c>
      <c r="I848" t="s">
        <v>10121</v>
      </c>
      <c r="J848" t="s">
        <v>141</v>
      </c>
      <c r="K848" t="s">
        <v>10122</v>
      </c>
      <c r="L848">
        <v>2480000</v>
      </c>
      <c r="M848">
        <v>3100000</v>
      </c>
      <c r="N848" t="s">
        <v>10123</v>
      </c>
      <c r="O848" s="1">
        <v>45648</v>
      </c>
      <c r="P848" t="s">
        <v>10124</v>
      </c>
      <c r="Q848" t="s">
        <v>10125</v>
      </c>
      <c r="R848" t="s">
        <v>1215</v>
      </c>
      <c r="S848" t="s">
        <v>48</v>
      </c>
      <c r="T848" t="s">
        <v>10126</v>
      </c>
      <c r="U848" t="s">
        <v>496</v>
      </c>
      <c r="V848" s="1">
        <v>44195</v>
      </c>
      <c r="W848" t="s">
        <v>8114</v>
      </c>
      <c r="X848" t="s">
        <v>8115</v>
      </c>
      <c r="Y848" t="s">
        <v>10127</v>
      </c>
      <c r="Z848">
        <v>5</v>
      </c>
      <c r="AA848" t="s">
        <v>227</v>
      </c>
      <c r="AB848" t="s">
        <v>10128</v>
      </c>
      <c r="AC848" t="s">
        <v>4080</v>
      </c>
      <c r="AD848" t="s">
        <v>58</v>
      </c>
      <c r="AE848">
        <v>2480000</v>
      </c>
      <c r="AF848">
        <v>49600</v>
      </c>
      <c r="AJ848" t="str">
        <f>_xlfn.XLOOKUP(Table9[[#This Row],[Engine No.]],'[1]Dubai Islamic Consumer'!$Q$3:$Q$1176,'[1]Dubai Islamic Consumer'!$B$3:$B$1176,,,)</f>
        <v>KHI/HO/D/MO/PC COMP/C/103702/320/12/2024</v>
      </c>
    </row>
    <row r="849" spans="1:36" x14ac:dyDescent="0.25">
      <c r="A849">
        <v>848</v>
      </c>
      <c r="B849" s="2" t="s">
        <v>8030</v>
      </c>
      <c r="C849" t="s">
        <v>10129</v>
      </c>
      <c r="D849" t="s">
        <v>37</v>
      </c>
      <c r="E849" t="s">
        <v>10130</v>
      </c>
      <c r="F849" t="s">
        <v>39</v>
      </c>
      <c r="G849" t="s">
        <v>10131</v>
      </c>
      <c r="H849" t="s">
        <v>10132</v>
      </c>
      <c r="I849" t="s">
        <v>10133</v>
      </c>
      <c r="J849" t="s">
        <v>10132</v>
      </c>
      <c r="K849" t="s">
        <v>10134</v>
      </c>
      <c r="L849">
        <v>1760500</v>
      </c>
      <c r="M849">
        <v>2515000</v>
      </c>
      <c r="N849" t="s">
        <v>10135</v>
      </c>
      <c r="O849" s="1">
        <v>45648</v>
      </c>
      <c r="P849" t="s">
        <v>10136</v>
      </c>
      <c r="Q849" t="s">
        <v>10137</v>
      </c>
      <c r="R849" t="s">
        <v>47</v>
      </c>
      <c r="S849" t="s">
        <v>48</v>
      </c>
      <c r="T849" t="s">
        <v>1264</v>
      </c>
      <c r="U849" t="s">
        <v>148</v>
      </c>
      <c r="V849" s="1">
        <v>44923</v>
      </c>
      <c r="W849" t="s">
        <v>8128</v>
      </c>
      <c r="X849" t="s">
        <v>8129</v>
      </c>
      <c r="Y849" t="s">
        <v>10138</v>
      </c>
      <c r="Z849">
        <v>5</v>
      </c>
      <c r="AA849" t="s">
        <v>323</v>
      </c>
      <c r="AB849" t="s">
        <v>10139</v>
      </c>
      <c r="AC849" t="s">
        <v>10140</v>
      </c>
      <c r="AD849" t="s">
        <v>86</v>
      </c>
      <c r="AE849">
        <v>2263500</v>
      </c>
      <c r="AF849">
        <v>39611</v>
      </c>
      <c r="AJ849" t="str">
        <f>_xlfn.XLOOKUP(Table9[[#This Row],[Engine No.]],'[1]Dubai Islamic Consumer'!$Q$3:$Q$1176,'[1]Dubai Islamic Consumer'!$B$3:$B$1176,,,)</f>
        <v>KHI/HO/D/MO/PC COMP/C/103702/321/12/2024</v>
      </c>
    </row>
    <row r="850" spans="1:36" x14ac:dyDescent="0.25">
      <c r="A850">
        <v>849</v>
      </c>
      <c r="B850" s="2" t="s">
        <v>8030</v>
      </c>
      <c r="C850" t="s">
        <v>10141</v>
      </c>
      <c r="D850" t="s">
        <v>37</v>
      </c>
      <c r="E850" t="s">
        <v>10142</v>
      </c>
      <c r="F850" t="s">
        <v>8094</v>
      </c>
      <c r="G850" t="s">
        <v>10143</v>
      </c>
      <c r="H850" t="s">
        <v>48</v>
      </c>
      <c r="I850" t="s">
        <v>10144</v>
      </c>
      <c r="J850" t="s">
        <v>48</v>
      </c>
      <c r="K850" t="s">
        <v>10145</v>
      </c>
      <c r="L850">
        <v>2278500</v>
      </c>
      <c r="M850">
        <v>3255000</v>
      </c>
      <c r="N850" t="s">
        <v>10146</v>
      </c>
      <c r="O850" s="1">
        <v>45648</v>
      </c>
      <c r="P850" t="s">
        <v>10147</v>
      </c>
      <c r="Q850" t="s">
        <v>10148</v>
      </c>
      <c r="R850" t="s">
        <v>47</v>
      </c>
      <c r="S850" t="s">
        <v>48</v>
      </c>
      <c r="T850" t="s">
        <v>10149</v>
      </c>
      <c r="U850" t="s">
        <v>50</v>
      </c>
      <c r="V850" s="1">
        <v>44559</v>
      </c>
      <c r="W850" t="s">
        <v>8102</v>
      </c>
      <c r="X850" t="s">
        <v>8103</v>
      </c>
      <c r="Y850" t="s">
        <v>10150</v>
      </c>
      <c r="Z850">
        <v>5</v>
      </c>
      <c r="AA850" t="s">
        <v>118</v>
      </c>
      <c r="AB850" t="s">
        <v>10151</v>
      </c>
      <c r="AC850" t="s">
        <v>4437</v>
      </c>
      <c r="AD850" t="s">
        <v>58</v>
      </c>
      <c r="AE850">
        <v>2766750</v>
      </c>
      <c r="AF850">
        <v>55335</v>
      </c>
      <c r="AJ850" t="str">
        <f>_xlfn.XLOOKUP(Table9[[#This Row],[Engine No.]],'[1]Dubai Islamic Consumer'!$Q$3:$Q$1176,'[1]Dubai Islamic Consumer'!$B$3:$B$1176,,,)</f>
        <v>KHI/HO/D/MO/PC COMP/C/103702/322/12/2024</v>
      </c>
    </row>
    <row r="851" spans="1:36" x14ac:dyDescent="0.25">
      <c r="A851">
        <v>850</v>
      </c>
      <c r="B851" s="2" t="s">
        <v>8030</v>
      </c>
      <c r="C851" t="s">
        <v>10152</v>
      </c>
      <c r="D851" t="s">
        <v>37</v>
      </c>
      <c r="E851" t="s">
        <v>10153</v>
      </c>
      <c r="F851" t="s">
        <v>73</v>
      </c>
      <c r="G851" t="s">
        <v>10154</v>
      </c>
      <c r="H851" t="s">
        <v>10155</v>
      </c>
      <c r="I851" t="s">
        <v>10155</v>
      </c>
      <c r="J851" t="s">
        <v>10155</v>
      </c>
      <c r="K851" t="s">
        <v>10156</v>
      </c>
      <c r="L851">
        <v>1657500</v>
      </c>
      <c r="M851">
        <v>2550000</v>
      </c>
      <c r="N851" t="s">
        <v>10157</v>
      </c>
      <c r="O851" s="1">
        <v>45648</v>
      </c>
      <c r="P851" t="s">
        <v>10158</v>
      </c>
      <c r="Q851" t="s">
        <v>10159</v>
      </c>
      <c r="R851" t="s">
        <v>146</v>
      </c>
      <c r="S851" t="s">
        <v>10160</v>
      </c>
      <c r="T851" t="s">
        <v>1289</v>
      </c>
      <c r="U851" t="s">
        <v>335</v>
      </c>
      <c r="V851" s="1">
        <v>44559</v>
      </c>
      <c r="W851" t="s">
        <v>8102</v>
      </c>
      <c r="X851" t="s">
        <v>7530</v>
      </c>
      <c r="Y851" t="s">
        <v>10161</v>
      </c>
      <c r="Z851">
        <v>3</v>
      </c>
      <c r="AA851" t="s">
        <v>118</v>
      </c>
      <c r="AB851" t="s">
        <v>10162</v>
      </c>
      <c r="AC851" t="s">
        <v>4015</v>
      </c>
      <c r="AD851" t="s">
        <v>299</v>
      </c>
      <c r="AE851">
        <v>2167500</v>
      </c>
      <c r="AF851">
        <v>32513</v>
      </c>
      <c r="AJ851" t="str">
        <f>_xlfn.XLOOKUP(Table9[[#This Row],[Engine No.]],'[1]Dubai Islamic Consumer'!$Q$3:$Q$1176,'[1]Dubai Islamic Consumer'!$B$3:$B$1176,,,)</f>
        <v>KHI/HO/D/MO/PC COMP/C/103702/323/12/2024</v>
      </c>
    </row>
    <row r="852" spans="1:36" x14ac:dyDescent="0.25">
      <c r="A852">
        <v>851</v>
      </c>
      <c r="B852" s="2" t="s">
        <v>8030</v>
      </c>
      <c r="C852" t="s">
        <v>10163</v>
      </c>
      <c r="D852" t="s">
        <v>37</v>
      </c>
      <c r="E852" t="s">
        <v>10164</v>
      </c>
      <c r="F852" t="s">
        <v>138</v>
      </c>
      <c r="G852" t="s">
        <v>10165</v>
      </c>
      <c r="H852" t="s">
        <v>48</v>
      </c>
      <c r="I852" t="s">
        <v>10166</v>
      </c>
      <c r="J852" t="s">
        <v>10167</v>
      </c>
      <c r="K852" t="s">
        <v>10168</v>
      </c>
      <c r="L852">
        <v>2716000</v>
      </c>
      <c r="M852">
        <v>3880000</v>
      </c>
      <c r="N852" t="s">
        <v>10169</v>
      </c>
      <c r="O852" s="1">
        <v>45648</v>
      </c>
      <c r="P852" t="s">
        <v>10170</v>
      </c>
      <c r="Q852" t="s">
        <v>10171</v>
      </c>
      <c r="R852" t="s">
        <v>47</v>
      </c>
      <c r="S852" t="s">
        <v>48</v>
      </c>
      <c r="T852" t="s">
        <v>10172</v>
      </c>
      <c r="U852" t="s">
        <v>50</v>
      </c>
      <c r="V852" s="1">
        <v>44558</v>
      </c>
      <c r="W852" t="s">
        <v>8102</v>
      </c>
      <c r="X852" t="s">
        <v>7530</v>
      </c>
      <c r="Y852" t="s">
        <v>10173</v>
      </c>
      <c r="Z852">
        <v>3</v>
      </c>
      <c r="AA852" t="s">
        <v>118</v>
      </c>
      <c r="AB852" t="s">
        <v>10174</v>
      </c>
      <c r="AC852" t="s">
        <v>4019</v>
      </c>
      <c r="AD852" t="s">
        <v>58</v>
      </c>
      <c r="AE852">
        <v>3298000</v>
      </c>
      <c r="AF852">
        <v>65960</v>
      </c>
      <c r="AJ852" t="str">
        <f>_xlfn.XLOOKUP(Table9[[#This Row],[Engine No.]],'[1]Dubai Islamic Consumer'!$Q$3:$Q$1176,'[1]Dubai Islamic Consumer'!$B$3:$B$1176,,,)</f>
        <v>KHI/HO/D/MO/PC COMP/C/103702/325/12/2024</v>
      </c>
    </row>
    <row r="853" spans="1:36" x14ac:dyDescent="0.25">
      <c r="A853">
        <v>852</v>
      </c>
      <c r="B853" s="2" t="s">
        <v>8030</v>
      </c>
      <c r="C853" t="s">
        <v>10175</v>
      </c>
      <c r="D853" t="s">
        <v>37</v>
      </c>
      <c r="E853" t="s">
        <v>10176</v>
      </c>
      <c r="F853" t="s">
        <v>89</v>
      </c>
      <c r="G853" t="s">
        <v>10177</v>
      </c>
      <c r="H853" t="s">
        <v>10178</v>
      </c>
      <c r="I853" t="s">
        <v>48</v>
      </c>
      <c r="J853" t="s">
        <v>10178</v>
      </c>
      <c r="K853" t="s">
        <v>10179</v>
      </c>
      <c r="L853">
        <v>2075500</v>
      </c>
      <c r="M853">
        <v>2965000</v>
      </c>
      <c r="N853" t="s">
        <v>10180</v>
      </c>
      <c r="O853" s="1">
        <v>45648</v>
      </c>
      <c r="P853" t="s">
        <v>10181</v>
      </c>
      <c r="Q853" t="s">
        <v>10182</v>
      </c>
      <c r="R853" t="s">
        <v>47</v>
      </c>
      <c r="S853" t="s">
        <v>48</v>
      </c>
      <c r="T853" t="s">
        <v>495</v>
      </c>
      <c r="U853" t="s">
        <v>50</v>
      </c>
      <c r="V853" s="1">
        <v>44559</v>
      </c>
      <c r="W853" t="s">
        <v>8102</v>
      </c>
      <c r="X853" t="s">
        <v>8103</v>
      </c>
      <c r="Y853" t="s">
        <v>10183</v>
      </c>
      <c r="Z853">
        <v>5</v>
      </c>
      <c r="AA853" t="s">
        <v>55</v>
      </c>
      <c r="AB853" t="s">
        <v>10184</v>
      </c>
      <c r="AC853" t="s">
        <v>361</v>
      </c>
      <c r="AD853" t="s">
        <v>58</v>
      </c>
      <c r="AE853">
        <v>2520250</v>
      </c>
      <c r="AF853">
        <v>50405</v>
      </c>
      <c r="AJ853" t="str">
        <f>_xlfn.XLOOKUP(Table9[[#This Row],[Engine No.]],'[1]Dubai Islamic Consumer'!$Q$3:$Q$1176,'[1]Dubai Islamic Consumer'!$B$3:$B$1176,,,)</f>
        <v>KHI/HO/D/MO/PC COMP/C/103702/326/12/2024</v>
      </c>
    </row>
    <row r="854" spans="1:36" x14ac:dyDescent="0.25">
      <c r="A854">
        <v>853</v>
      </c>
      <c r="B854" s="2" t="s">
        <v>8030</v>
      </c>
      <c r="C854" t="s">
        <v>10185</v>
      </c>
      <c r="D854" t="s">
        <v>37</v>
      </c>
      <c r="E854" t="s">
        <v>10186</v>
      </c>
      <c r="F854" t="s">
        <v>107</v>
      </c>
      <c r="G854" t="s">
        <v>10187</v>
      </c>
      <c r="H854" t="s">
        <v>10188</v>
      </c>
      <c r="I854" t="s">
        <v>10188</v>
      </c>
      <c r="J854" t="s">
        <v>10188</v>
      </c>
      <c r="K854" t="s">
        <v>10189</v>
      </c>
      <c r="L854">
        <v>1249300</v>
      </c>
      <c r="M854">
        <v>1922000</v>
      </c>
      <c r="N854" t="s">
        <v>10190</v>
      </c>
      <c r="O854" s="1">
        <v>45648</v>
      </c>
      <c r="P854" t="s">
        <v>10191</v>
      </c>
      <c r="Q854" t="s">
        <v>10192</v>
      </c>
      <c r="R854" t="s">
        <v>47</v>
      </c>
      <c r="S854" t="s">
        <v>48</v>
      </c>
      <c r="T854" t="s">
        <v>10193</v>
      </c>
      <c r="U854" t="s">
        <v>98</v>
      </c>
      <c r="V854" s="1">
        <v>44069</v>
      </c>
      <c r="W854" t="s">
        <v>8114</v>
      </c>
      <c r="X854" t="s">
        <v>8115</v>
      </c>
      <c r="Y854" t="s">
        <v>10194</v>
      </c>
      <c r="Z854">
        <v>5</v>
      </c>
      <c r="AA854" t="s">
        <v>55</v>
      </c>
      <c r="AB854" t="s">
        <v>10195</v>
      </c>
      <c r="AC854" t="s">
        <v>4080</v>
      </c>
      <c r="AD854" t="s">
        <v>58</v>
      </c>
      <c r="AE854">
        <v>1537600</v>
      </c>
      <c r="AF854">
        <v>30752</v>
      </c>
      <c r="AJ854" t="str">
        <f>_xlfn.XLOOKUP(Table9[[#This Row],[Engine No.]],'[1]Dubai Islamic Consumer'!$Q$3:$Q$1176,'[1]Dubai Islamic Consumer'!$B$3:$B$1176,,,)</f>
        <v>KHI/HO/D/MO/PC COMP/C/103702/329/12/2024</v>
      </c>
    </row>
    <row r="855" spans="1:36" x14ac:dyDescent="0.25">
      <c r="A855">
        <v>854</v>
      </c>
      <c r="B855" s="2" t="s">
        <v>8030</v>
      </c>
      <c r="C855" t="s">
        <v>10196</v>
      </c>
      <c r="D855" t="s">
        <v>37</v>
      </c>
      <c r="E855" t="s">
        <v>10197</v>
      </c>
      <c r="F855" t="s">
        <v>39</v>
      </c>
      <c r="G855" t="s">
        <v>10198</v>
      </c>
      <c r="H855" t="s">
        <v>48</v>
      </c>
      <c r="I855" t="s">
        <v>10199</v>
      </c>
      <c r="J855" t="s">
        <v>48</v>
      </c>
      <c r="K855" t="s">
        <v>10200</v>
      </c>
      <c r="L855">
        <v>3814300</v>
      </c>
      <c r="M855">
        <v>5449000</v>
      </c>
      <c r="N855" t="s">
        <v>10201</v>
      </c>
      <c r="O855" s="1">
        <v>45647</v>
      </c>
      <c r="P855" t="s">
        <v>10202</v>
      </c>
      <c r="Q855" t="s">
        <v>10203</v>
      </c>
      <c r="R855" t="s">
        <v>47</v>
      </c>
      <c r="S855" t="s">
        <v>48</v>
      </c>
      <c r="T855" t="s">
        <v>1028</v>
      </c>
      <c r="U855" t="s">
        <v>50</v>
      </c>
      <c r="V855" s="1">
        <v>44225</v>
      </c>
      <c r="W855" t="s">
        <v>8102</v>
      </c>
      <c r="X855" t="s">
        <v>8103</v>
      </c>
      <c r="Y855" t="s">
        <v>10204</v>
      </c>
      <c r="Z855">
        <v>5</v>
      </c>
      <c r="AA855" t="s">
        <v>55</v>
      </c>
      <c r="AB855" t="s">
        <v>10205</v>
      </c>
      <c r="AC855" t="s">
        <v>4448</v>
      </c>
      <c r="AD855" t="s">
        <v>58</v>
      </c>
      <c r="AE855">
        <v>4631650</v>
      </c>
      <c r="AF855">
        <v>92633</v>
      </c>
      <c r="AJ855" t="str">
        <f>_xlfn.XLOOKUP(Table9[[#This Row],[Engine No.]],'[1]Dubai Islamic Consumer'!$Q$3:$Q$1176,'[1]Dubai Islamic Consumer'!$B$3:$B$1176,,,)</f>
        <v>KHI/HO/D/MO/PC COMP/C/103702/337/12/2024</v>
      </c>
    </row>
    <row r="856" spans="1:36" x14ac:dyDescent="0.25">
      <c r="A856">
        <v>855</v>
      </c>
      <c r="B856" s="2" t="s">
        <v>8030</v>
      </c>
      <c r="C856" t="s">
        <v>10206</v>
      </c>
      <c r="D856" t="s">
        <v>37</v>
      </c>
      <c r="E856" t="s">
        <v>10207</v>
      </c>
      <c r="F856" t="s">
        <v>138</v>
      </c>
      <c r="G856" t="s">
        <v>10208</v>
      </c>
      <c r="H856" t="s">
        <v>48</v>
      </c>
      <c r="I856" t="s">
        <v>10209</v>
      </c>
      <c r="J856" t="s">
        <v>48</v>
      </c>
      <c r="K856" t="s">
        <v>10210</v>
      </c>
      <c r="L856">
        <v>2480000</v>
      </c>
      <c r="M856">
        <v>4960000</v>
      </c>
      <c r="N856" t="s">
        <v>10211</v>
      </c>
      <c r="O856" t="s">
        <v>4328</v>
      </c>
      <c r="P856" t="s">
        <v>10212</v>
      </c>
      <c r="Q856" t="s">
        <v>10213</v>
      </c>
      <c r="R856" t="s">
        <v>47</v>
      </c>
      <c r="S856" t="s">
        <v>48</v>
      </c>
      <c r="T856" t="s">
        <v>5131</v>
      </c>
      <c r="U856" t="s">
        <v>386</v>
      </c>
      <c r="V856" s="1">
        <v>45287</v>
      </c>
      <c r="W856" t="s">
        <v>8767</v>
      </c>
      <c r="X856" t="s">
        <v>8103</v>
      </c>
      <c r="Y856" t="s">
        <v>10214</v>
      </c>
      <c r="Z856">
        <v>3</v>
      </c>
      <c r="AA856" t="s">
        <v>55</v>
      </c>
      <c r="AB856" t="s">
        <v>10215</v>
      </c>
      <c r="AC856" t="s">
        <v>4334</v>
      </c>
      <c r="AD856" t="s">
        <v>86</v>
      </c>
      <c r="AE856">
        <v>4464000</v>
      </c>
      <c r="AF856">
        <v>78120</v>
      </c>
      <c r="AJ856" t="str">
        <f>_xlfn.XLOOKUP(Table9[[#This Row],[Engine No.]],'[1]Dubai Islamic Consumer'!$Q$3:$Q$1176,'[1]Dubai Islamic Consumer'!$B$3:$B$1176,,,)</f>
        <v>KHI/HO/D/MO/PC COMP/C/103702/339/12/2024</v>
      </c>
    </row>
    <row r="857" spans="1:36" x14ac:dyDescent="0.25">
      <c r="A857">
        <v>856</v>
      </c>
      <c r="B857" s="2" t="s">
        <v>8030</v>
      </c>
      <c r="C857" t="s">
        <v>10216</v>
      </c>
      <c r="D857" t="s">
        <v>37</v>
      </c>
      <c r="E857" t="s">
        <v>10217</v>
      </c>
      <c r="F857" t="s">
        <v>245</v>
      </c>
      <c r="G857" t="s">
        <v>10218</v>
      </c>
      <c r="H857" t="s">
        <v>1505</v>
      </c>
      <c r="I857" t="s">
        <v>10219</v>
      </c>
      <c r="J857" t="s">
        <v>10220</v>
      </c>
      <c r="K857" t="s">
        <v>10221</v>
      </c>
      <c r="L857">
        <v>3418700</v>
      </c>
      <c r="M857">
        <v>4022000</v>
      </c>
      <c r="N857" t="s">
        <v>10222</v>
      </c>
      <c r="O857" s="1">
        <v>45647</v>
      </c>
      <c r="P857" t="s">
        <v>10223</v>
      </c>
      <c r="Q857" t="s">
        <v>10224</v>
      </c>
      <c r="R857" t="s">
        <v>47</v>
      </c>
      <c r="S857" t="s">
        <v>10225</v>
      </c>
      <c r="T857" t="s">
        <v>1065</v>
      </c>
      <c r="U857" t="s">
        <v>50</v>
      </c>
      <c r="V857" s="1">
        <v>44453</v>
      </c>
      <c r="W857" t="s">
        <v>8102</v>
      </c>
      <c r="X857" t="s">
        <v>8129</v>
      </c>
      <c r="Y857" t="s">
        <v>10226</v>
      </c>
      <c r="Z857">
        <v>6</v>
      </c>
      <c r="AA857" t="s">
        <v>55</v>
      </c>
      <c r="AB857" t="s">
        <v>10227</v>
      </c>
      <c r="AC857" t="s">
        <v>4437</v>
      </c>
      <c r="AD857" t="s">
        <v>58</v>
      </c>
      <c r="AE857">
        <v>3418700</v>
      </c>
      <c r="AF857">
        <v>68374</v>
      </c>
      <c r="AJ857" t="str">
        <f>_xlfn.XLOOKUP(Table9[[#This Row],[Engine No.]],'[1]Dubai Islamic Consumer'!$Q$3:$Q$1176,'[1]Dubai Islamic Consumer'!$B$3:$B$1176,,,)</f>
        <v>KHI/HO/D/MO/PC COMP/C/80441/98/12/2023</v>
      </c>
    </row>
    <row r="858" spans="1:36" x14ac:dyDescent="0.25">
      <c r="A858">
        <v>857</v>
      </c>
      <c r="B858" s="2" t="s">
        <v>8030</v>
      </c>
      <c r="C858" t="s">
        <v>10228</v>
      </c>
      <c r="D858" t="s">
        <v>37</v>
      </c>
      <c r="E858" t="s">
        <v>10229</v>
      </c>
      <c r="F858" t="s">
        <v>73</v>
      </c>
      <c r="G858" t="s">
        <v>10230</v>
      </c>
      <c r="H858" t="s">
        <v>10231</v>
      </c>
      <c r="I858" t="s">
        <v>10232</v>
      </c>
      <c r="J858" t="s">
        <v>10231</v>
      </c>
      <c r="K858" t="s">
        <v>10233</v>
      </c>
      <c r="L858">
        <v>1961500</v>
      </c>
      <c r="M858">
        <v>3923000</v>
      </c>
      <c r="N858" t="s">
        <v>10234</v>
      </c>
      <c r="O858" s="1">
        <v>45647</v>
      </c>
      <c r="P858" t="s">
        <v>10235</v>
      </c>
      <c r="Q858" t="s">
        <v>10236</v>
      </c>
      <c r="R858" t="s">
        <v>47</v>
      </c>
      <c r="S858" t="s">
        <v>48</v>
      </c>
      <c r="T858" t="s">
        <v>650</v>
      </c>
      <c r="U858" t="s">
        <v>50</v>
      </c>
      <c r="V858" s="1">
        <v>44560</v>
      </c>
      <c r="W858" t="s">
        <v>8102</v>
      </c>
      <c r="X858" t="s">
        <v>8103</v>
      </c>
      <c r="Y858" t="s">
        <v>10237</v>
      </c>
      <c r="Z858">
        <v>5</v>
      </c>
      <c r="AA858" t="s">
        <v>118</v>
      </c>
      <c r="AB858" t="s">
        <v>10238</v>
      </c>
      <c r="AC858" t="s">
        <v>4448</v>
      </c>
      <c r="AD858" t="s">
        <v>58</v>
      </c>
      <c r="AE858">
        <v>3334550</v>
      </c>
      <c r="AF858">
        <v>66691</v>
      </c>
      <c r="AJ858" t="str">
        <f>_xlfn.XLOOKUP(Table9[[#This Row],[Engine No.]],'[1]Dubai Islamic Consumer'!$Q$3:$Q$1176,'[1]Dubai Islamic Consumer'!$B$3:$B$1176,,,)</f>
        <v>KHI/HO/D/MO/PC COMP/C/103702/357/12/2024</v>
      </c>
    </row>
    <row r="859" spans="1:36" x14ac:dyDescent="0.25">
      <c r="A859">
        <v>858</v>
      </c>
      <c r="B859" s="2" t="s">
        <v>8030</v>
      </c>
      <c r="C859" t="s">
        <v>10239</v>
      </c>
      <c r="D859" t="s">
        <v>37</v>
      </c>
      <c r="E859" t="s">
        <v>10240</v>
      </c>
      <c r="F859" t="s">
        <v>39</v>
      </c>
      <c r="G859" t="s">
        <v>10241</v>
      </c>
      <c r="H859" t="s">
        <v>10242</v>
      </c>
      <c r="I859" t="s">
        <v>10243</v>
      </c>
      <c r="J859" t="s">
        <v>10242</v>
      </c>
      <c r="K859" t="s">
        <v>10244</v>
      </c>
      <c r="L859">
        <v>1906450</v>
      </c>
      <c r="M859">
        <v>2933000</v>
      </c>
      <c r="N859" t="s">
        <v>10245</v>
      </c>
      <c r="O859" s="1">
        <v>45647</v>
      </c>
      <c r="P859" t="s">
        <v>10246</v>
      </c>
      <c r="Q859" t="s">
        <v>10247</v>
      </c>
      <c r="R859" t="s">
        <v>47</v>
      </c>
      <c r="S859" t="s">
        <v>48</v>
      </c>
      <c r="T859" t="s">
        <v>1826</v>
      </c>
      <c r="U859" t="s">
        <v>50</v>
      </c>
      <c r="V859" s="1">
        <v>44470</v>
      </c>
      <c r="W859" t="s">
        <v>8102</v>
      </c>
      <c r="X859" t="s">
        <v>7530</v>
      </c>
      <c r="Y859" t="s">
        <v>10248</v>
      </c>
      <c r="Z859">
        <v>3</v>
      </c>
      <c r="AA859" t="s">
        <v>55</v>
      </c>
      <c r="AB859" t="s">
        <v>10249</v>
      </c>
      <c r="AC859" t="s">
        <v>4019</v>
      </c>
      <c r="AD859" t="s">
        <v>86</v>
      </c>
      <c r="AE859">
        <v>2493050</v>
      </c>
      <c r="AF859">
        <v>43628</v>
      </c>
      <c r="AJ859" t="str">
        <f>_xlfn.XLOOKUP(Table9[[#This Row],[Engine No.]],'[1]Dubai Islamic Consumer'!$Q$3:$Q$1176,'[1]Dubai Islamic Consumer'!$B$3:$B$1176,,,)</f>
        <v>KHI/HO/D/MO/PC COMP/C/103702/358/12/2024</v>
      </c>
    </row>
    <row r="860" spans="1:36" x14ac:dyDescent="0.25">
      <c r="A860">
        <v>859</v>
      </c>
      <c r="B860" s="2" t="s">
        <v>8030</v>
      </c>
      <c r="C860" t="s">
        <v>10250</v>
      </c>
      <c r="D860" t="s">
        <v>37</v>
      </c>
      <c r="E860" t="s">
        <v>10251</v>
      </c>
      <c r="F860" t="s">
        <v>73</v>
      </c>
      <c r="G860" t="s">
        <v>10252</v>
      </c>
      <c r="H860" t="s">
        <v>10253</v>
      </c>
      <c r="I860" t="s">
        <v>10253</v>
      </c>
      <c r="J860" t="s">
        <v>10253</v>
      </c>
      <c r="K860" t="s">
        <v>10254</v>
      </c>
      <c r="L860">
        <v>1296400</v>
      </c>
      <c r="M860">
        <v>1852000</v>
      </c>
      <c r="N860" t="s">
        <v>10255</v>
      </c>
      <c r="O860" s="1">
        <v>45647</v>
      </c>
      <c r="P860" t="s">
        <v>10256</v>
      </c>
      <c r="Q860" t="s">
        <v>10257</v>
      </c>
      <c r="R860" t="s">
        <v>47</v>
      </c>
      <c r="S860" t="s">
        <v>48</v>
      </c>
      <c r="T860" t="s">
        <v>224</v>
      </c>
      <c r="U860" t="s">
        <v>50</v>
      </c>
      <c r="V860" s="1">
        <v>44558</v>
      </c>
      <c r="W860" t="s">
        <v>8102</v>
      </c>
      <c r="X860" t="s">
        <v>7530</v>
      </c>
      <c r="Y860" t="s">
        <v>10258</v>
      </c>
      <c r="Z860">
        <v>3</v>
      </c>
      <c r="AA860" t="s">
        <v>118</v>
      </c>
      <c r="AB860" t="s">
        <v>10259</v>
      </c>
      <c r="AC860" t="s">
        <v>4437</v>
      </c>
      <c r="AD860" t="s">
        <v>58</v>
      </c>
      <c r="AE860">
        <v>1574200</v>
      </c>
      <c r="AF860">
        <v>31484</v>
      </c>
      <c r="AJ860" t="str">
        <f>_xlfn.XLOOKUP(Table9[[#This Row],[Engine No.]],'[1]Dubai Islamic Consumer'!$Q$3:$Q$1176,'[1]Dubai Islamic Consumer'!$B$3:$B$1176,,,)</f>
        <v>KHI/HO/D/MO/PC COMP/C/103702/368/12/2024</v>
      </c>
    </row>
    <row r="861" spans="1:36" x14ac:dyDescent="0.25">
      <c r="A861">
        <v>860</v>
      </c>
      <c r="B861" s="2" t="s">
        <v>8030</v>
      </c>
      <c r="C861" t="s">
        <v>10260</v>
      </c>
      <c r="D861" t="s">
        <v>37</v>
      </c>
      <c r="E861" t="s">
        <v>10261</v>
      </c>
      <c r="F861" t="s">
        <v>107</v>
      </c>
      <c r="G861" t="s">
        <v>10262</v>
      </c>
      <c r="H861" t="s">
        <v>10263</v>
      </c>
      <c r="I861" t="s">
        <v>10263</v>
      </c>
      <c r="J861" t="s">
        <v>10263</v>
      </c>
      <c r="K861" t="s">
        <v>10264</v>
      </c>
      <c r="L861">
        <v>1424000</v>
      </c>
      <c r="M861">
        <v>1780000</v>
      </c>
      <c r="N861" t="s">
        <v>10265</v>
      </c>
      <c r="O861" s="1">
        <v>45647</v>
      </c>
      <c r="P861" t="s">
        <v>10266</v>
      </c>
      <c r="Q861" t="s">
        <v>10267</v>
      </c>
      <c r="R861" t="s">
        <v>47</v>
      </c>
      <c r="S861" t="s">
        <v>48</v>
      </c>
      <c r="T861" t="s">
        <v>1651</v>
      </c>
      <c r="U861" t="s">
        <v>98</v>
      </c>
      <c r="V861" s="1">
        <v>44123</v>
      </c>
      <c r="W861" t="s">
        <v>8114</v>
      </c>
      <c r="X861" t="s">
        <v>8115</v>
      </c>
      <c r="Y861" t="s">
        <v>10268</v>
      </c>
      <c r="Z861">
        <v>5</v>
      </c>
      <c r="AA861" t="s">
        <v>55</v>
      </c>
      <c r="AB861" t="s">
        <v>10269</v>
      </c>
      <c r="AC861" t="s">
        <v>4080</v>
      </c>
      <c r="AD861" t="s">
        <v>58</v>
      </c>
      <c r="AE861">
        <v>1424000</v>
      </c>
      <c r="AF861">
        <v>28480</v>
      </c>
      <c r="AJ861" t="str">
        <f>_xlfn.XLOOKUP(Table9[[#This Row],[Engine No.]],'[1]Dubai Islamic Consumer'!$Q$3:$Q$1176,'[1]Dubai Islamic Consumer'!$B$3:$B$1176,,,)</f>
        <v>KHI/HO/D/MO/PC COMP/C/103702/372/12/2024</v>
      </c>
    </row>
    <row r="862" spans="1:36" x14ac:dyDescent="0.25">
      <c r="A862">
        <v>861</v>
      </c>
      <c r="B862" s="2" t="s">
        <v>8030</v>
      </c>
      <c r="C862" t="s">
        <v>10270</v>
      </c>
      <c r="D862" t="s">
        <v>37</v>
      </c>
      <c r="E862" t="s">
        <v>10271</v>
      </c>
      <c r="F862" t="s">
        <v>245</v>
      </c>
      <c r="G862" t="s">
        <v>10272</v>
      </c>
      <c r="H862" t="s">
        <v>48</v>
      </c>
      <c r="I862" t="s">
        <v>10273</v>
      </c>
      <c r="J862" t="s">
        <v>48</v>
      </c>
      <c r="K862" t="s">
        <v>10274</v>
      </c>
      <c r="L862">
        <v>1018600</v>
      </c>
      <c r="M862">
        <v>1852000</v>
      </c>
      <c r="N862" t="s">
        <v>10275</v>
      </c>
      <c r="O862" s="1">
        <v>45647</v>
      </c>
      <c r="P862" t="s">
        <v>10276</v>
      </c>
      <c r="Q862" t="s">
        <v>10277</v>
      </c>
      <c r="R862" t="s">
        <v>47</v>
      </c>
      <c r="S862" t="s">
        <v>48</v>
      </c>
      <c r="T862" t="s">
        <v>321</v>
      </c>
      <c r="U862" t="s">
        <v>50</v>
      </c>
      <c r="V862" s="1">
        <v>44558</v>
      </c>
      <c r="W862" t="s">
        <v>8102</v>
      </c>
      <c r="X862" t="s">
        <v>8455</v>
      </c>
      <c r="Y862" t="s">
        <v>10278</v>
      </c>
      <c r="Z862">
        <v>7</v>
      </c>
      <c r="AA862" t="s">
        <v>55</v>
      </c>
      <c r="AB862" t="s">
        <v>10279</v>
      </c>
      <c r="AC862" t="s">
        <v>4437</v>
      </c>
      <c r="AD862" t="s">
        <v>58</v>
      </c>
      <c r="AE862">
        <v>1574200</v>
      </c>
      <c r="AF862">
        <v>31484</v>
      </c>
      <c r="AJ862" t="str">
        <f>_xlfn.XLOOKUP(Table9[[#This Row],[Engine No.]],'[1]Dubai Islamic Consumer'!$Q$3:$Q$1176,'[1]Dubai Islamic Consumer'!$B$3:$B$1176,,,)</f>
        <v>KHI/HO/D/MO/PC COMP/C/103702/373/12/2024</v>
      </c>
    </row>
    <row r="863" spans="1:36" x14ac:dyDescent="0.25">
      <c r="A863">
        <v>862</v>
      </c>
      <c r="B863" s="2" t="s">
        <v>8030</v>
      </c>
      <c r="C863" t="s">
        <v>10280</v>
      </c>
      <c r="D863" t="s">
        <v>37</v>
      </c>
      <c r="E863" t="s">
        <v>8046</v>
      </c>
      <c r="F863" t="s">
        <v>764</v>
      </c>
      <c r="G863" t="s">
        <v>10281</v>
      </c>
      <c r="H863" t="s">
        <v>48</v>
      </c>
      <c r="I863" t="s">
        <v>10282</v>
      </c>
      <c r="J863" t="s">
        <v>48</v>
      </c>
      <c r="K863" t="s">
        <v>10283</v>
      </c>
      <c r="L863">
        <v>700000</v>
      </c>
      <c r="M863">
        <v>1000000</v>
      </c>
      <c r="N863" t="s">
        <v>10284</v>
      </c>
      <c r="O863" s="1">
        <v>45647</v>
      </c>
      <c r="P863" t="s">
        <v>10285</v>
      </c>
      <c r="Q863" t="s">
        <v>10286</v>
      </c>
      <c r="R863" t="s">
        <v>146</v>
      </c>
      <c r="S863" t="s">
        <v>48</v>
      </c>
      <c r="T863" t="s">
        <v>686</v>
      </c>
      <c r="U863" t="s">
        <v>651</v>
      </c>
      <c r="V863" s="1">
        <v>44558</v>
      </c>
      <c r="W863" t="s">
        <v>8102</v>
      </c>
      <c r="X863" t="s">
        <v>8115</v>
      </c>
      <c r="Y863" t="s">
        <v>10287</v>
      </c>
      <c r="Z863">
        <v>4</v>
      </c>
      <c r="AA863" t="s">
        <v>55</v>
      </c>
      <c r="AB863" t="s">
        <v>10288</v>
      </c>
      <c r="AC863" t="s">
        <v>4019</v>
      </c>
      <c r="AD863" t="s">
        <v>299</v>
      </c>
      <c r="AE863">
        <v>850000</v>
      </c>
      <c r="AF863">
        <v>12750</v>
      </c>
      <c r="AJ863" t="str">
        <f>_xlfn.XLOOKUP(Table9[[#This Row],[Engine No.]],'[1]Dubai Islamic Consumer'!$Q$3:$Q$1176,'[1]Dubai Islamic Consumer'!$B$3:$B$1176,,,)</f>
        <v>KHI/HO/D/MO/PC COMP/C/103702/375/12/2024</v>
      </c>
    </row>
    <row r="864" spans="1:36" x14ac:dyDescent="0.25">
      <c r="A864">
        <v>863</v>
      </c>
      <c r="B864" s="2" t="s">
        <v>8030</v>
      </c>
      <c r="C864" t="s">
        <v>10289</v>
      </c>
      <c r="D864" t="s">
        <v>37</v>
      </c>
      <c r="E864" t="s">
        <v>10290</v>
      </c>
      <c r="F864" t="s">
        <v>107</v>
      </c>
      <c r="G864" t="s">
        <v>10291</v>
      </c>
      <c r="H864" t="s">
        <v>10292</v>
      </c>
      <c r="I864" t="s">
        <v>10292</v>
      </c>
      <c r="J864" t="s">
        <v>10292</v>
      </c>
      <c r="K864" t="s">
        <v>10293</v>
      </c>
      <c r="L864">
        <v>2042400</v>
      </c>
      <c r="M864">
        <v>2553000</v>
      </c>
      <c r="N864" t="s">
        <v>10294</v>
      </c>
      <c r="O864" s="1">
        <v>45646</v>
      </c>
      <c r="P864" t="s">
        <v>10295</v>
      </c>
      <c r="Q864" t="s">
        <v>10296</v>
      </c>
      <c r="R864" t="s">
        <v>47</v>
      </c>
      <c r="S864" t="s">
        <v>48</v>
      </c>
      <c r="T864" t="s">
        <v>10297</v>
      </c>
      <c r="U864" t="s">
        <v>50</v>
      </c>
      <c r="V864" s="1">
        <v>44461</v>
      </c>
      <c r="W864" t="s">
        <v>2981</v>
      </c>
      <c r="X864" t="s">
        <v>2982</v>
      </c>
      <c r="Y864" t="s">
        <v>10298</v>
      </c>
      <c r="Z864">
        <v>5</v>
      </c>
      <c r="AA864" t="s">
        <v>55</v>
      </c>
      <c r="AB864" t="s">
        <v>10299</v>
      </c>
      <c r="AC864" t="s">
        <v>4448</v>
      </c>
      <c r="AD864" t="s">
        <v>58</v>
      </c>
      <c r="AE864">
        <v>2170050</v>
      </c>
      <c r="AF864">
        <v>43401</v>
      </c>
      <c r="AJ864" t="str">
        <f>_xlfn.XLOOKUP(Table9[[#This Row],[Engine No.]],'[1]Dubai Islamic Consumer'!$Q$3:$Q$1176,'[1]Dubai Islamic Consumer'!$B$3:$B$1176,,,)</f>
        <v>KHI/HO/D/MO/PC COMP/C/103702/385/12/2024</v>
      </c>
    </row>
    <row r="865" spans="1:36" x14ac:dyDescent="0.25">
      <c r="A865">
        <v>864</v>
      </c>
      <c r="B865" s="2" t="s">
        <v>8030</v>
      </c>
      <c r="C865" t="s">
        <v>10300</v>
      </c>
      <c r="D865" t="s">
        <v>37</v>
      </c>
      <c r="E865" t="s">
        <v>10301</v>
      </c>
      <c r="F865" t="s">
        <v>107</v>
      </c>
      <c r="G865" t="s">
        <v>10302</v>
      </c>
      <c r="H865" t="s">
        <v>10303</v>
      </c>
      <c r="I865" t="s">
        <v>10303</v>
      </c>
      <c r="J865" t="s">
        <v>10304</v>
      </c>
      <c r="K865" t="s">
        <v>10305</v>
      </c>
      <c r="L865">
        <v>1906450</v>
      </c>
      <c r="M865">
        <v>2933000</v>
      </c>
      <c r="N865" t="s">
        <v>10306</v>
      </c>
      <c r="O865" s="1">
        <v>45646</v>
      </c>
      <c r="P865" t="s">
        <v>10307</v>
      </c>
      <c r="Q865" t="s">
        <v>10308</v>
      </c>
      <c r="R865" t="s">
        <v>47</v>
      </c>
      <c r="S865" t="s">
        <v>48</v>
      </c>
      <c r="T865" t="s">
        <v>2357</v>
      </c>
      <c r="U865" t="s">
        <v>50</v>
      </c>
      <c r="V865" s="1">
        <v>44466</v>
      </c>
      <c r="W865" t="s">
        <v>2981</v>
      </c>
      <c r="X865" t="s">
        <v>2982</v>
      </c>
      <c r="Y865" t="s">
        <v>10309</v>
      </c>
      <c r="Z865">
        <v>5</v>
      </c>
      <c r="AA865" t="s">
        <v>55</v>
      </c>
      <c r="AB865" t="s">
        <v>10310</v>
      </c>
      <c r="AC865" t="s">
        <v>4019</v>
      </c>
      <c r="AD865" t="s">
        <v>58</v>
      </c>
      <c r="AE865">
        <v>2493050</v>
      </c>
      <c r="AF865">
        <v>49861</v>
      </c>
      <c r="AJ865" t="str">
        <f>_xlfn.XLOOKUP(Table9[[#This Row],[Engine No.]],'[1]Dubai Islamic Consumer'!$Q$3:$Q$1176,'[1]Dubai Islamic Consumer'!$B$3:$B$1176,,,)</f>
        <v>KHI/HO/D/MO/PC COMP/C/103702/386/12/2024</v>
      </c>
    </row>
    <row r="866" spans="1:36" x14ac:dyDescent="0.25">
      <c r="A866">
        <v>865</v>
      </c>
      <c r="B866" s="2" t="s">
        <v>8030</v>
      </c>
      <c r="C866" t="s">
        <v>10311</v>
      </c>
      <c r="D866" t="s">
        <v>37</v>
      </c>
      <c r="E866" t="s">
        <v>10312</v>
      </c>
      <c r="F866" t="s">
        <v>764</v>
      </c>
      <c r="G866" t="s">
        <v>10313</v>
      </c>
      <c r="H866" t="s">
        <v>48</v>
      </c>
      <c r="I866" t="s">
        <v>10314</v>
      </c>
      <c r="J866" t="s">
        <v>48</v>
      </c>
      <c r="K866" t="s">
        <v>10315</v>
      </c>
      <c r="L866">
        <v>630000</v>
      </c>
      <c r="M866">
        <v>900000</v>
      </c>
      <c r="N866" t="s">
        <v>10316</v>
      </c>
      <c r="O866" s="1">
        <v>45645</v>
      </c>
      <c r="P866" t="s">
        <v>10317</v>
      </c>
      <c r="Q866" t="s">
        <v>10318</v>
      </c>
      <c r="R866" t="s">
        <v>146</v>
      </c>
      <c r="S866" t="s">
        <v>10319</v>
      </c>
      <c r="T866" t="s">
        <v>686</v>
      </c>
      <c r="U866" t="s">
        <v>903</v>
      </c>
      <c r="V866" s="1">
        <v>44558</v>
      </c>
      <c r="W866" t="s">
        <v>8102</v>
      </c>
      <c r="X866" t="s">
        <v>8103</v>
      </c>
      <c r="Y866" t="s">
        <v>10320</v>
      </c>
      <c r="Z866">
        <v>5</v>
      </c>
      <c r="AA866" t="s">
        <v>55</v>
      </c>
      <c r="AB866" t="s">
        <v>10321</v>
      </c>
      <c r="AC866" t="s">
        <v>4473</v>
      </c>
      <c r="AD866" t="s">
        <v>299</v>
      </c>
      <c r="AE866">
        <v>765000</v>
      </c>
      <c r="AF866">
        <v>11475</v>
      </c>
      <c r="AJ866" t="str">
        <f>_xlfn.XLOOKUP(Table9[[#This Row],[Engine No.]],'[1]Dubai Islamic Consumer'!$Q$3:$Q$1176,'[1]Dubai Islamic Consumer'!$B$3:$B$1176,,,)</f>
        <v>KHI/HO/D/MO/PC COMP/C/103702/402/12/2024</v>
      </c>
    </row>
    <row r="867" spans="1:36" x14ac:dyDescent="0.25">
      <c r="A867">
        <v>866</v>
      </c>
      <c r="B867" s="2" t="s">
        <v>8030</v>
      </c>
      <c r="C867" t="s">
        <v>10322</v>
      </c>
      <c r="D867" t="s">
        <v>37</v>
      </c>
      <c r="E867" t="s">
        <v>2800</v>
      </c>
      <c r="F867" t="s">
        <v>39</v>
      </c>
      <c r="G867" t="s">
        <v>10323</v>
      </c>
      <c r="H867" t="s">
        <v>10324</v>
      </c>
      <c r="I867" t="s">
        <v>10325</v>
      </c>
      <c r="J867" t="s">
        <v>1505</v>
      </c>
      <c r="K867" t="s">
        <v>10326</v>
      </c>
      <c r="L867">
        <v>1876225</v>
      </c>
      <c r="M867">
        <v>2886500</v>
      </c>
      <c r="N867" t="s">
        <v>10327</v>
      </c>
      <c r="O867" s="1">
        <v>45645</v>
      </c>
      <c r="P867" t="s">
        <v>10328</v>
      </c>
      <c r="Q867" t="s">
        <v>10329</v>
      </c>
      <c r="R867" t="s">
        <v>47</v>
      </c>
      <c r="S867" t="s">
        <v>48</v>
      </c>
      <c r="T867" t="s">
        <v>10330</v>
      </c>
      <c r="U867" t="s">
        <v>50</v>
      </c>
      <c r="V867" s="1">
        <v>44516</v>
      </c>
      <c r="W867" t="s">
        <v>2981</v>
      </c>
      <c r="X867" t="s">
        <v>8076</v>
      </c>
      <c r="Y867" t="s">
        <v>10331</v>
      </c>
      <c r="Z867">
        <v>4</v>
      </c>
      <c r="AA867" t="s">
        <v>55</v>
      </c>
      <c r="AB867" t="s">
        <v>10332</v>
      </c>
      <c r="AC867" t="s">
        <v>4176</v>
      </c>
      <c r="AD867" t="s">
        <v>58</v>
      </c>
      <c r="AE867">
        <v>2453525</v>
      </c>
      <c r="AF867">
        <v>49071</v>
      </c>
      <c r="AJ867" t="str">
        <f>_xlfn.XLOOKUP(Table9[[#This Row],[Engine No.]],'[1]Dubai Islamic Consumer'!$Q$3:$Q$1176,'[1]Dubai Islamic Consumer'!$B$3:$B$1176,,,)</f>
        <v>KHI/HO/D/MO/PC COMP/C/103702/404/12/2024</v>
      </c>
    </row>
    <row r="868" spans="1:36" x14ac:dyDescent="0.25">
      <c r="A868">
        <v>867</v>
      </c>
      <c r="B868" s="2" t="s">
        <v>8030</v>
      </c>
      <c r="C868" t="s">
        <v>10333</v>
      </c>
      <c r="D868" t="s">
        <v>37</v>
      </c>
      <c r="E868" t="s">
        <v>10334</v>
      </c>
      <c r="F868" t="s">
        <v>932</v>
      </c>
      <c r="G868" t="s">
        <v>10335</v>
      </c>
      <c r="H868" t="s">
        <v>10336</v>
      </c>
      <c r="I868" t="s">
        <v>10337</v>
      </c>
      <c r="J868" t="s">
        <v>10336</v>
      </c>
      <c r="K868" t="s">
        <v>10338</v>
      </c>
      <c r="L868">
        <v>1761000</v>
      </c>
      <c r="M868">
        <v>2935000</v>
      </c>
      <c r="N868" t="s">
        <v>10339</v>
      </c>
      <c r="O868" s="1">
        <v>45644</v>
      </c>
      <c r="P868" t="s">
        <v>10340</v>
      </c>
      <c r="Q868" t="s">
        <v>10341</v>
      </c>
      <c r="R868" t="s">
        <v>47</v>
      </c>
      <c r="S868" t="s">
        <v>48</v>
      </c>
      <c r="T868" t="s">
        <v>613</v>
      </c>
      <c r="U868" t="s">
        <v>386</v>
      </c>
      <c r="V868" s="1">
        <v>45260</v>
      </c>
      <c r="W868" t="s">
        <v>8767</v>
      </c>
      <c r="X868" t="s">
        <v>8103</v>
      </c>
      <c r="Y868" t="s">
        <v>10342</v>
      </c>
      <c r="Z868">
        <v>3</v>
      </c>
      <c r="AA868" t="s">
        <v>55</v>
      </c>
      <c r="AB868" t="s">
        <v>10343</v>
      </c>
      <c r="AC868" t="s">
        <v>4334</v>
      </c>
      <c r="AD868" t="s">
        <v>58</v>
      </c>
      <c r="AE868">
        <v>2641500</v>
      </c>
      <c r="AF868">
        <v>52830</v>
      </c>
      <c r="AJ868" t="str">
        <f>_xlfn.XLOOKUP(Table9[[#This Row],[Engine No.]],'[1]Dubai Islamic Consumer'!$Q$3:$Q$1176,'[1]Dubai Islamic Consumer'!$B$3:$B$1176,,,)</f>
        <v>KHI/HO/D/MO/PC COMP/C/103702/416/12/2024</v>
      </c>
    </row>
    <row r="869" spans="1:36" x14ac:dyDescent="0.25">
      <c r="A869">
        <v>868</v>
      </c>
      <c r="B869" s="2" t="s">
        <v>8030</v>
      </c>
      <c r="C869" t="s">
        <v>10344</v>
      </c>
      <c r="D869" t="s">
        <v>37</v>
      </c>
      <c r="E869" t="s">
        <v>10345</v>
      </c>
      <c r="F869" t="s">
        <v>89</v>
      </c>
      <c r="G869" t="s">
        <v>10346</v>
      </c>
      <c r="H869" t="s">
        <v>10347</v>
      </c>
      <c r="I869" t="s">
        <v>48</v>
      </c>
      <c r="J869" t="s">
        <v>10347</v>
      </c>
      <c r="K869" t="s">
        <v>10348</v>
      </c>
      <c r="L869">
        <v>2689050</v>
      </c>
      <c r="M869">
        <v>4137000</v>
      </c>
      <c r="N869" t="s">
        <v>10349</v>
      </c>
      <c r="O869" s="1">
        <v>45643</v>
      </c>
      <c r="P869" t="s">
        <v>10350</v>
      </c>
      <c r="Q869" t="s">
        <v>10351</v>
      </c>
      <c r="R869" t="s">
        <v>47</v>
      </c>
      <c r="S869" t="s">
        <v>48</v>
      </c>
      <c r="T869" t="s">
        <v>97</v>
      </c>
      <c r="U869" t="s">
        <v>98</v>
      </c>
      <c r="V869" s="1">
        <v>44186</v>
      </c>
      <c r="W869" t="s">
        <v>5266</v>
      </c>
      <c r="X869" t="s">
        <v>5267</v>
      </c>
      <c r="Y869" t="s">
        <v>10352</v>
      </c>
      <c r="Z869">
        <v>5</v>
      </c>
      <c r="AA869" t="s">
        <v>227</v>
      </c>
      <c r="AB869" t="s">
        <v>10353</v>
      </c>
      <c r="AC869" t="s">
        <v>5270</v>
      </c>
      <c r="AD869" t="s">
        <v>58</v>
      </c>
      <c r="AE869">
        <v>3102750</v>
      </c>
      <c r="AF869">
        <v>62055</v>
      </c>
      <c r="AJ869" t="str">
        <f>_xlfn.XLOOKUP(Table9[[#This Row],[Engine No.]],'[1]Dubai Islamic Consumer'!$Q$3:$Q$1176,'[1]Dubai Islamic Consumer'!$B$3:$B$1176,,,)</f>
        <v>KHI/HO/D/MO/PC COMP/C/103702/408/12/2024</v>
      </c>
    </row>
    <row r="870" spans="1:36" x14ac:dyDescent="0.25">
      <c r="A870">
        <v>869</v>
      </c>
      <c r="B870" s="2" t="s">
        <v>8030</v>
      </c>
      <c r="C870" t="s">
        <v>10354</v>
      </c>
      <c r="D870" t="s">
        <v>37</v>
      </c>
      <c r="E870" t="s">
        <v>10355</v>
      </c>
      <c r="F870" t="s">
        <v>138</v>
      </c>
      <c r="G870" t="s">
        <v>10356</v>
      </c>
      <c r="H870" t="s">
        <v>48</v>
      </c>
      <c r="I870" t="s">
        <v>10357</v>
      </c>
      <c r="J870" t="s">
        <v>48</v>
      </c>
      <c r="K870" t="s">
        <v>10358</v>
      </c>
      <c r="L870">
        <v>1785000</v>
      </c>
      <c r="M870">
        <v>2550000</v>
      </c>
      <c r="N870" t="s">
        <v>10359</v>
      </c>
      <c r="O870" s="1">
        <v>45642</v>
      </c>
      <c r="P870" t="s">
        <v>10360</v>
      </c>
      <c r="Q870" t="s">
        <v>10361</v>
      </c>
      <c r="R870" t="s">
        <v>146</v>
      </c>
      <c r="S870" t="s">
        <v>10362</v>
      </c>
      <c r="T870" t="s">
        <v>1971</v>
      </c>
      <c r="U870" t="s">
        <v>651</v>
      </c>
      <c r="V870" s="1">
        <v>44550</v>
      </c>
      <c r="W870" t="s">
        <v>4473</v>
      </c>
      <c r="X870" t="s">
        <v>4588</v>
      </c>
      <c r="Y870" t="s">
        <v>10363</v>
      </c>
      <c r="Z870">
        <v>5</v>
      </c>
      <c r="AA870" t="s">
        <v>55</v>
      </c>
      <c r="AB870" t="s">
        <v>10364</v>
      </c>
      <c r="AC870" t="s">
        <v>4176</v>
      </c>
      <c r="AD870" t="s">
        <v>299</v>
      </c>
      <c r="AE870">
        <v>2040000</v>
      </c>
      <c r="AF870">
        <v>30600</v>
      </c>
      <c r="AJ870" t="str">
        <f>_xlfn.XLOOKUP(Table9[[#This Row],[Engine No.]],'[1]Dubai Islamic Consumer'!$Q$3:$Q$1176,'[1]Dubai Islamic Consumer'!$B$3:$B$1176,,,)</f>
        <v>KHI/HO/D/MO/PC COMP/C/103702/388/12/2024</v>
      </c>
    </row>
    <row r="871" spans="1:36" x14ac:dyDescent="0.25">
      <c r="A871">
        <v>870</v>
      </c>
      <c r="B871" s="2" t="s">
        <v>8030</v>
      </c>
      <c r="C871" t="s">
        <v>10365</v>
      </c>
      <c r="D871" t="s">
        <v>37</v>
      </c>
      <c r="E871" t="s">
        <v>2578</v>
      </c>
      <c r="F871" t="s">
        <v>138</v>
      </c>
      <c r="G871" t="s">
        <v>10366</v>
      </c>
      <c r="H871" t="s">
        <v>10367</v>
      </c>
      <c r="I871" t="s">
        <v>10367</v>
      </c>
      <c r="J871" t="s">
        <v>141</v>
      </c>
      <c r="K871" t="s">
        <v>10368</v>
      </c>
      <c r="L871">
        <v>1360000</v>
      </c>
      <c r="M871">
        <v>1700000</v>
      </c>
      <c r="N871" t="s">
        <v>10369</v>
      </c>
      <c r="O871" s="1">
        <v>45640</v>
      </c>
      <c r="P871" t="s">
        <v>10370</v>
      </c>
      <c r="Q871" t="s">
        <v>10371</v>
      </c>
      <c r="R871" t="s">
        <v>146</v>
      </c>
      <c r="S871" t="s">
        <v>10372</v>
      </c>
      <c r="T871" t="s">
        <v>613</v>
      </c>
      <c r="U871" t="s">
        <v>614</v>
      </c>
      <c r="V871" s="1">
        <v>44560</v>
      </c>
      <c r="W871" t="s">
        <v>8102</v>
      </c>
      <c r="X871" t="s">
        <v>8455</v>
      </c>
      <c r="Y871" t="s">
        <v>10373</v>
      </c>
      <c r="Z871">
        <v>7</v>
      </c>
      <c r="AA871" t="s">
        <v>55</v>
      </c>
      <c r="AB871" t="s">
        <v>10374</v>
      </c>
      <c r="AC871" t="s">
        <v>9248</v>
      </c>
      <c r="AD871" t="s">
        <v>299</v>
      </c>
      <c r="AE871">
        <v>1445000</v>
      </c>
      <c r="AF871">
        <v>21675</v>
      </c>
      <c r="AJ871" t="str">
        <f>_xlfn.XLOOKUP(Table9[[#This Row],[Engine No.]],'[1]Dubai Islamic Consumer'!$Q$3:$Q$1176,'[1]Dubai Islamic Consumer'!$B$3:$B$1176,,,)</f>
        <v>KHI/HO/D/MO/PC COMP/C/103702/312/12/2024</v>
      </c>
    </row>
    <row r="872" spans="1:36" x14ac:dyDescent="0.25">
      <c r="A872">
        <v>871</v>
      </c>
      <c r="B872" s="2" t="s">
        <v>8030</v>
      </c>
      <c r="C872" t="s">
        <v>10375</v>
      </c>
      <c r="D872" t="s">
        <v>37</v>
      </c>
      <c r="E872" t="s">
        <v>10376</v>
      </c>
      <c r="F872" t="s">
        <v>107</v>
      </c>
      <c r="G872" t="s">
        <v>10377</v>
      </c>
      <c r="H872" t="s">
        <v>10378</v>
      </c>
      <c r="I872" t="s">
        <v>10378</v>
      </c>
      <c r="J872" t="s">
        <v>10378</v>
      </c>
      <c r="K872" t="s">
        <v>10379</v>
      </c>
      <c r="L872">
        <v>3347400</v>
      </c>
      <c r="M872">
        <v>4782000</v>
      </c>
      <c r="N872" t="s">
        <v>10380</v>
      </c>
      <c r="O872" s="1">
        <v>45638</v>
      </c>
      <c r="P872" t="s">
        <v>10381</v>
      </c>
      <c r="Q872" t="s">
        <v>10382</v>
      </c>
      <c r="R872" t="s">
        <v>47</v>
      </c>
      <c r="S872" t="s">
        <v>48</v>
      </c>
      <c r="T872" t="s">
        <v>10383</v>
      </c>
      <c r="U872" t="s">
        <v>50</v>
      </c>
      <c r="V872" s="1">
        <v>44400</v>
      </c>
      <c r="W872" t="s">
        <v>1514</v>
      </c>
      <c r="X872" t="s">
        <v>1515</v>
      </c>
      <c r="Y872" t="s">
        <v>10384</v>
      </c>
      <c r="Z872">
        <v>5</v>
      </c>
      <c r="AA872" t="s">
        <v>118</v>
      </c>
      <c r="AB872" t="s">
        <v>10385</v>
      </c>
      <c r="AC872" t="s">
        <v>5995</v>
      </c>
      <c r="AD872" t="s">
        <v>86</v>
      </c>
      <c r="AE872">
        <v>4064700</v>
      </c>
      <c r="AF872">
        <v>71132</v>
      </c>
      <c r="AJ872" t="str">
        <f>_xlfn.XLOOKUP(Table9[[#This Row],[Engine No.]],'[1]Dubai Islamic Consumer'!$Q$3:$Q$1176,'[1]Dubai Islamic Consumer'!$B$3:$B$1176,,,)</f>
        <v>KHI/HO/D/MO/PC COMP/C/103702/248/12/2024</v>
      </c>
    </row>
    <row r="873" spans="1:36" x14ac:dyDescent="0.25">
      <c r="A873">
        <v>872</v>
      </c>
      <c r="B873" s="2" t="s">
        <v>8030</v>
      </c>
      <c r="C873" t="s">
        <v>10386</v>
      </c>
      <c r="D873" t="s">
        <v>37</v>
      </c>
      <c r="E873" t="s">
        <v>10387</v>
      </c>
      <c r="F873" t="s">
        <v>138</v>
      </c>
      <c r="G873" t="s">
        <v>10388</v>
      </c>
      <c r="H873" t="s">
        <v>10389</v>
      </c>
      <c r="I873" t="s">
        <v>10390</v>
      </c>
      <c r="J873" t="s">
        <v>10391</v>
      </c>
      <c r="K873" t="s">
        <v>10392</v>
      </c>
      <c r="L873">
        <v>927500</v>
      </c>
      <c r="M873">
        <v>1325000</v>
      </c>
      <c r="N873" t="s">
        <v>10393</v>
      </c>
      <c r="O873" s="1">
        <v>45638</v>
      </c>
      <c r="P873" t="s">
        <v>10394</v>
      </c>
      <c r="Q873" t="s">
        <v>10395</v>
      </c>
      <c r="R873" t="s">
        <v>1215</v>
      </c>
      <c r="S873" t="s">
        <v>10396</v>
      </c>
      <c r="T873" t="s">
        <v>10397</v>
      </c>
      <c r="U873" t="s">
        <v>715</v>
      </c>
      <c r="V873" s="1">
        <v>43817</v>
      </c>
      <c r="W873" t="s">
        <v>5729</v>
      </c>
      <c r="X873" t="s">
        <v>5267</v>
      </c>
      <c r="Y873" t="s">
        <v>10398</v>
      </c>
      <c r="Z873">
        <v>6</v>
      </c>
      <c r="AA873" t="s">
        <v>227</v>
      </c>
      <c r="AB873" t="s">
        <v>10399</v>
      </c>
      <c r="AC873" t="s">
        <v>10400</v>
      </c>
      <c r="AD873" t="s">
        <v>171</v>
      </c>
      <c r="AE873">
        <v>927499.99999999988</v>
      </c>
      <c r="AF873">
        <v>23188</v>
      </c>
      <c r="AJ873" t="str">
        <f>_xlfn.XLOOKUP(Table9[[#This Row],[Engine No.]],'[1]Dubai Islamic Consumer'!$Q$3:$Q$1176,'[1]Dubai Islamic Consumer'!$B$3:$B$1176,,,)</f>
        <v>KHI/HO/D/MO/PC COMP/C/103702/237/12/2024</v>
      </c>
    </row>
    <row r="874" spans="1:36" x14ac:dyDescent="0.25">
      <c r="A874">
        <v>873</v>
      </c>
      <c r="B874" s="2" t="s">
        <v>8030</v>
      </c>
      <c r="C874" t="s">
        <v>10401</v>
      </c>
      <c r="D874" t="s">
        <v>37</v>
      </c>
      <c r="E874" t="s">
        <v>2688</v>
      </c>
      <c r="F874" t="s">
        <v>89</v>
      </c>
      <c r="G874" t="s">
        <v>10402</v>
      </c>
      <c r="H874" t="s">
        <v>10403</v>
      </c>
      <c r="I874" t="s">
        <v>10403</v>
      </c>
      <c r="J874" t="s">
        <v>10404</v>
      </c>
      <c r="K874" t="s">
        <v>10405</v>
      </c>
      <c r="L874">
        <v>3952500</v>
      </c>
      <c r="M874">
        <v>5270000</v>
      </c>
      <c r="N874" t="s">
        <v>10406</v>
      </c>
      <c r="O874" s="1">
        <v>45635</v>
      </c>
      <c r="P874" t="s">
        <v>10407</v>
      </c>
      <c r="Q874" t="s">
        <v>10408</v>
      </c>
      <c r="R874" t="s">
        <v>47</v>
      </c>
      <c r="S874" t="s">
        <v>48</v>
      </c>
      <c r="T874" t="s">
        <v>115</v>
      </c>
      <c r="U874" t="s">
        <v>50</v>
      </c>
      <c r="V874" s="1">
        <v>44466</v>
      </c>
      <c r="W874" t="s">
        <v>2981</v>
      </c>
      <c r="X874" t="s">
        <v>8273</v>
      </c>
      <c r="Y874" t="s">
        <v>10409</v>
      </c>
      <c r="Z874">
        <v>3</v>
      </c>
      <c r="AA874" t="s">
        <v>48</v>
      </c>
      <c r="AB874" t="s">
        <v>48</v>
      </c>
      <c r="AC874" t="s">
        <v>48</v>
      </c>
      <c r="AD874" t="s">
        <v>86</v>
      </c>
      <c r="AE874">
        <v>4479500</v>
      </c>
      <c r="AF874">
        <v>78391</v>
      </c>
      <c r="AJ874" t="str">
        <f>_xlfn.XLOOKUP(Table9[[#This Row],[Engine No.]],'[1]Dubai Islamic Consumer'!$Q$3:$Q$1176,'[1]Dubai Islamic Consumer'!$B$3:$B$1176,,,)</f>
        <v>KHI/HO/D/MO/PC COMP/C/103702/216/12/2024</v>
      </c>
    </row>
    <row r="875" spans="1:36" x14ac:dyDescent="0.25">
      <c r="A875">
        <v>874</v>
      </c>
      <c r="B875" s="2" t="s">
        <v>8030</v>
      </c>
      <c r="C875" t="s">
        <v>10410</v>
      </c>
      <c r="D875" t="s">
        <v>37</v>
      </c>
      <c r="E875" t="s">
        <v>10411</v>
      </c>
      <c r="F875" t="s">
        <v>232</v>
      </c>
      <c r="G875" t="s">
        <v>10412</v>
      </c>
      <c r="H875" t="s">
        <v>10413</v>
      </c>
      <c r="I875" t="s">
        <v>10413</v>
      </c>
      <c r="J875" t="s">
        <v>10413</v>
      </c>
      <c r="K875" t="s">
        <v>10414</v>
      </c>
      <c r="L875">
        <v>2496000</v>
      </c>
      <c r="M875">
        <v>4800000</v>
      </c>
      <c r="N875" t="s">
        <v>10415</v>
      </c>
      <c r="O875" s="1">
        <v>45635</v>
      </c>
      <c r="P875" t="s">
        <v>10416</v>
      </c>
      <c r="Q875" t="s">
        <v>10417</v>
      </c>
      <c r="R875" t="s">
        <v>146</v>
      </c>
      <c r="S875" t="s">
        <v>10418</v>
      </c>
      <c r="T875" t="s">
        <v>1154</v>
      </c>
      <c r="U875" t="s">
        <v>50</v>
      </c>
      <c r="V875" s="1">
        <v>44550</v>
      </c>
      <c r="W875" t="s">
        <v>4473</v>
      </c>
      <c r="X875" t="s">
        <v>4588</v>
      </c>
      <c r="Y875" t="s">
        <v>10419</v>
      </c>
      <c r="Z875">
        <v>5</v>
      </c>
      <c r="AA875" t="s">
        <v>55</v>
      </c>
      <c r="AB875" t="s">
        <v>10420</v>
      </c>
      <c r="AC875" t="s">
        <v>6078</v>
      </c>
      <c r="AD875" t="s">
        <v>299</v>
      </c>
      <c r="AE875">
        <v>3840000</v>
      </c>
      <c r="AF875">
        <v>57600</v>
      </c>
      <c r="AJ875" t="str">
        <f>_xlfn.XLOOKUP(Table9[[#This Row],[Engine No.]],'[1]Dubai Islamic Consumer'!$Q$3:$Q$1176,'[1]Dubai Islamic Consumer'!$B$3:$B$1176,,,)</f>
        <v>KHI/HO/D/MO/PC COMP/C/103702/209/12/2024</v>
      </c>
    </row>
    <row r="876" spans="1:36" x14ac:dyDescent="0.25">
      <c r="A876">
        <v>875</v>
      </c>
      <c r="B876" s="2" t="s">
        <v>8030</v>
      </c>
      <c r="C876" t="s">
        <v>10421</v>
      </c>
      <c r="D876" t="s">
        <v>37</v>
      </c>
      <c r="E876" t="s">
        <v>10422</v>
      </c>
      <c r="F876" t="s">
        <v>107</v>
      </c>
      <c r="G876" t="s">
        <v>10423</v>
      </c>
      <c r="H876" t="s">
        <v>10424</v>
      </c>
      <c r="I876" t="s">
        <v>10424</v>
      </c>
      <c r="J876" t="s">
        <v>10425</v>
      </c>
      <c r="K876" t="s">
        <v>10426</v>
      </c>
      <c r="L876">
        <v>1649250</v>
      </c>
      <c r="M876">
        <v>2199000</v>
      </c>
      <c r="N876" t="s">
        <v>10427</v>
      </c>
      <c r="O876" s="1">
        <v>45635</v>
      </c>
      <c r="P876" t="s">
        <v>10428</v>
      </c>
      <c r="Q876" t="s">
        <v>10429</v>
      </c>
      <c r="R876" t="s">
        <v>47</v>
      </c>
      <c r="S876" t="s">
        <v>10430</v>
      </c>
      <c r="T876" t="s">
        <v>10431</v>
      </c>
      <c r="U876" t="s">
        <v>50</v>
      </c>
      <c r="V876" s="1">
        <v>44273</v>
      </c>
      <c r="W876" t="s">
        <v>8102</v>
      </c>
      <c r="X876" t="s">
        <v>8103</v>
      </c>
      <c r="Y876" t="s">
        <v>10432</v>
      </c>
      <c r="Z876">
        <v>5</v>
      </c>
      <c r="AA876" t="s">
        <v>55</v>
      </c>
      <c r="AB876" t="s">
        <v>10433</v>
      </c>
      <c r="AC876" t="s">
        <v>6483</v>
      </c>
      <c r="AD876" t="s">
        <v>58</v>
      </c>
      <c r="AE876">
        <v>1869150</v>
      </c>
      <c r="AF876">
        <v>37383</v>
      </c>
      <c r="AJ876" t="str">
        <f>_xlfn.XLOOKUP(Table9[[#This Row],[Engine No.]],'[1]Dubai Islamic Consumer'!$Q$3:$Q$1176,'[1]Dubai Islamic Consumer'!$B$3:$B$1176,,,)</f>
        <v>KHI/HO/D/MO/PC COMP/C/103702/205/12/2024</v>
      </c>
    </row>
    <row r="877" spans="1:36" x14ac:dyDescent="0.25">
      <c r="A877">
        <v>876</v>
      </c>
      <c r="B877" s="2" t="s">
        <v>8030</v>
      </c>
      <c r="C877" t="s">
        <v>10434</v>
      </c>
      <c r="D877" t="s">
        <v>37</v>
      </c>
      <c r="E877" t="s">
        <v>5859</v>
      </c>
      <c r="F877" t="s">
        <v>107</v>
      </c>
      <c r="G877" t="s">
        <v>10435</v>
      </c>
      <c r="H877" t="s">
        <v>48</v>
      </c>
      <c r="I877" t="s">
        <v>10436</v>
      </c>
      <c r="J877" t="s">
        <v>48</v>
      </c>
      <c r="K877" t="s">
        <v>10437</v>
      </c>
      <c r="L877">
        <v>3951200</v>
      </c>
      <c r="M877">
        <v>4939000</v>
      </c>
      <c r="N877" t="s">
        <v>10438</v>
      </c>
      <c r="O877" t="s">
        <v>7439</v>
      </c>
      <c r="P877" t="s">
        <v>10439</v>
      </c>
      <c r="Q877" t="s">
        <v>10440</v>
      </c>
      <c r="R877" t="s">
        <v>47</v>
      </c>
      <c r="S877" t="s">
        <v>48</v>
      </c>
      <c r="T877" t="s">
        <v>495</v>
      </c>
      <c r="U877" t="s">
        <v>386</v>
      </c>
      <c r="V877" s="1">
        <v>45225</v>
      </c>
      <c r="W877" t="s">
        <v>8767</v>
      </c>
      <c r="X877" t="s">
        <v>8103</v>
      </c>
      <c r="Y877" t="s">
        <v>10441</v>
      </c>
      <c r="Z877">
        <v>3</v>
      </c>
      <c r="AA877" t="s">
        <v>227</v>
      </c>
      <c r="AB877" t="s">
        <v>10442</v>
      </c>
      <c r="AC877" t="s">
        <v>10443</v>
      </c>
      <c r="AD877" t="s">
        <v>299</v>
      </c>
      <c r="AE877">
        <v>4445100</v>
      </c>
      <c r="AF877">
        <v>66677</v>
      </c>
      <c r="AJ877" t="e">
        <f>_xlfn.XLOOKUP(Table9[[#This Row],[Engine No.]],'[1]Dubai Islamic Consumer'!$Q$3:$Q$1176,'[1]Dubai Islamic Consumer'!$B$3:$B$1176,,,)</f>
        <v>#N/A</v>
      </c>
    </row>
    <row r="878" spans="1:36" x14ac:dyDescent="0.25">
      <c r="A878">
        <v>877</v>
      </c>
      <c r="B878" s="2" t="s">
        <v>8030</v>
      </c>
      <c r="C878" t="s">
        <v>10444</v>
      </c>
      <c r="D878" t="s">
        <v>37</v>
      </c>
      <c r="E878" t="s">
        <v>3203</v>
      </c>
      <c r="F878" t="s">
        <v>107</v>
      </c>
      <c r="G878" t="s">
        <v>10445</v>
      </c>
      <c r="H878" t="s">
        <v>48</v>
      </c>
      <c r="I878" t="s">
        <v>10446</v>
      </c>
      <c r="J878" t="s">
        <v>48</v>
      </c>
      <c r="K878" t="s">
        <v>10447</v>
      </c>
      <c r="L878">
        <v>2321330</v>
      </c>
      <c r="M878">
        <v>4939000</v>
      </c>
      <c r="N878" t="s">
        <v>10448</v>
      </c>
      <c r="O878" t="s">
        <v>7295</v>
      </c>
      <c r="P878" t="s">
        <v>10449</v>
      </c>
      <c r="Q878" t="s">
        <v>10450</v>
      </c>
      <c r="R878" t="s">
        <v>47</v>
      </c>
      <c r="S878" t="s">
        <v>48</v>
      </c>
      <c r="T878" t="s">
        <v>495</v>
      </c>
      <c r="U878" t="s">
        <v>386</v>
      </c>
      <c r="V878" s="1">
        <v>45154</v>
      </c>
      <c r="W878" t="s">
        <v>6293</v>
      </c>
      <c r="X878" t="s">
        <v>6431</v>
      </c>
      <c r="Y878" t="s">
        <v>10451</v>
      </c>
      <c r="Z878">
        <v>3</v>
      </c>
      <c r="AA878" t="s">
        <v>55</v>
      </c>
      <c r="AB878" t="s">
        <v>10452</v>
      </c>
      <c r="AC878" t="s">
        <v>7141</v>
      </c>
      <c r="AD878" t="s">
        <v>58</v>
      </c>
      <c r="AE878">
        <v>4445100</v>
      </c>
      <c r="AF878">
        <v>88902</v>
      </c>
      <c r="AJ878" t="str">
        <f>_xlfn.XLOOKUP(Table9[[#This Row],[Engine No.]],'[1]Dubai Islamic Consumer'!$Q$3:$Q$1176,'[1]Dubai Islamic Consumer'!$B$3:$B$1176,,,)</f>
        <v>KHI/HO/D/MO/PC COMP/C/103702/55/12/2024</v>
      </c>
    </row>
    <row r="879" spans="1:36" x14ac:dyDescent="0.25">
      <c r="A879">
        <v>878</v>
      </c>
      <c r="B879" s="2" t="s">
        <v>8030</v>
      </c>
      <c r="C879" t="s">
        <v>10453</v>
      </c>
      <c r="D879" t="s">
        <v>37</v>
      </c>
      <c r="E879" t="s">
        <v>10454</v>
      </c>
      <c r="F879" t="s">
        <v>107</v>
      </c>
      <c r="G879" t="s">
        <v>10455</v>
      </c>
      <c r="H879" t="s">
        <v>48</v>
      </c>
      <c r="I879" t="s">
        <v>10456</v>
      </c>
      <c r="J879" t="s">
        <v>48</v>
      </c>
      <c r="K879" t="s">
        <v>10457</v>
      </c>
      <c r="L879">
        <v>6297850</v>
      </c>
      <c r="M879">
        <v>9689000</v>
      </c>
      <c r="N879" t="s">
        <v>10458</v>
      </c>
      <c r="O879" s="1">
        <v>45624</v>
      </c>
      <c r="P879" t="s">
        <v>10459</v>
      </c>
      <c r="Q879" t="s">
        <v>10460</v>
      </c>
      <c r="R879" t="s">
        <v>47</v>
      </c>
      <c r="S879" t="s">
        <v>48</v>
      </c>
      <c r="T879" t="s">
        <v>1696</v>
      </c>
      <c r="U879" t="s">
        <v>50</v>
      </c>
      <c r="V879" t="s">
        <v>10461</v>
      </c>
      <c r="W879" t="s">
        <v>132</v>
      </c>
      <c r="X879" t="s">
        <v>133</v>
      </c>
      <c r="Y879" t="s">
        <v>10462</v>
      </c>
      <c r="Z879">
        <v>5</v>
      </c>
      <c r="AA879" t="s">
        <v>55</v>
      </c>
      <c r="AB879" t="s">
        <v>10463</v>
      </c>
      <c r="AC879" t="s">
        <v>3368</v>
      </c>
      <c r="AD879" t="s">
        <v>299</v>
      </c>
      <c r="AE879">
        <v>7751200</v>
      </c>
      <c r="AF879">
        <v>116268</v>
      </c>
      <c r="AJ879" t="str">
        <f>_xlfn.XLOOKUP(Table9[[#This Row],[Engine No.]],'[1]Dubai Islamic Consumer'!$Q$3:$Q$1176,'[1]Dubai Islamic Consumer'!$B$3:$B$1176,,,)</f>
        <v>KHI/HO/D/MO/PC COMP/C/102086/180/11/2024</v>
      </c>
    </row>
    <row r="880" spans="1:36" x14ac:dyDescent="0.25">
      <c r="A880">
        <v>879</v>
      </c>
      <c r="B880" s="2" t="s">
        <v>8030</v>
      </c>
      <c r="C880" t="s">
        <v>10464</v>
      </c>
      <c r="D880" t="s">
        <v>37</v>
      </c>
      <c r="E880" t="s">
        <v>10465</v>
      </c>
      <c r="F880" t="s">
        <v>138</v>
      </c>
      <c r="G880" t="s">
        <v>10466</v>
      </c>
      <c r="H880" t="s">
        <v>10467</v>
      </c>
      <c r="I880" t="s">
        <v>10467</v>
      </c>
      <c r="J880" t="s">
        <v>10467</v>
      </c>
      <c r="K880" t="s">
        <v>10468</v>
      </c>
      <c r="L880">
        <v>1320200</v>
      </c>
      <c r="M880">
        <v>1886000</v>
      </c>
      <c r="N880" t="s">
        <v>10469</v>
      </c>
      <c r="O880" s="1">
        <v>45605</v>
      </c>
      <c r="P880" t="s">
        <v>10470</v>
      </c>
      <c r="Q880" t="s">
        <v>10471</v>
      </c>
      <c r="R880" t="s">
        <v>47</v>
      </c>
      <c r="S880" t="s">
        <v>48</v>
      </c>
      <c r="T880" t="s">
        <v>613</v>
      </c>
      <c r="U880" t="s">
        <v>148</v>
      </c>
      <c r="V880" t="s">
        <v>10472</v>
      </c>
      <c r="W880" t="s">
        <v>150</v>
      </c>
      <c r="X880" t="s">
        <v>10473</v>
      </c>
      <c r="Y880" t="s">
        <v>10474</v>
      </c>
      <c r="Z880">
        <v>7</v>
      </c>
      <c r="AA880" t="s">
        <v>118</v>
      </c>
      <c r="AB880" t="s">
        <v>10475</v>
      </c>
      <c r="AC880" t="s">
        <v>336</v>
      </c>
      <c r="AD880" t="s">
        <v>299</v>
      </c>
      <c r="AE880">
        <v>1603100</v>
      </c>
      <c r="AF880">
        <v>24047</v>
      </c>
      <c r="AJ880" t="str">
        <f>_xlfn.XLOOKUP(Table9[[#This Row],[Engine No.]],'[1]Dubai Islamic Consumer'!$Q$3:$Q$1176,'[1]Dubai Islamic Consumer'!$B$3:$B$1176,,,)</f>
        <v>KHI/HO/D/MO/PC COMP/C/102086/174/11/2024</v>
      </c>
    </row>
    <row r="881" spans="1:36" hidden="1" x14ac:dyDescent="0.25">
      <c r="A881">
        <v>880</v>
      </c>
      <c r="B881" s="2" t="s">
        <v>10476</v>
      </c>
      <c r="C881" t="s">
        <v>10477</v>
      </c>
      <c r="D881" t="s">
        <v>37</v>
      </c>
      <c r="E881" t="s">
        <v>10478</v>
      </c>
      <c r="F881" t="s">
        <v>107</v>
      </c>
      <c r="G881" t="s">
        <v>10479</v>
      </c>
      <c r="H881" t="s">
        <v>10480</v>
      </c>
      <c r="I881" t="s">
        <v>10480</v>
      </c>
      <c r="J881" t="s">
        <v>10480</v>
      </c>
      <c r="K881" t="s">
        <v>10481</v>
      </c>
      <c r="L881">
        <v>819956</v>
      </c>
      <c r="M881">
        <v>1274000</v>
      </c>
      <c r="N881" t="s">
        <v>10482</v>
      </c>
      <c r="O881" s="1">
        <v>45643</v>
      </c>
      <c r="P881" t="s">
        <v>10483</v>
      </c>
      <c r="Q881" t="s">
        <v>10484</v>
      </c>
      <c r="R881" t="s">
        <v>47</v>
      </c>
      <c r="S881" t="s">
        <v>10485</v>
      </c>
      <c r="T881" t="s">
        <v>224</v>
      </c>
      <c r="U881" t="s">
        <v>496</v>
      </c>
      <c r="V881" s="1">
        <v>44011</v>
      </c>
      <c r="W881" t="s">
        <v>3920</v>
      </c>
      <c r="X881" t="s">
        <v>10486</v>
      </c>
      <c r="Y881" t="s">
        <v>10487</v>
      </c>
      <c r="Z881">
        <v>5</v>
      </c>
      <c r="AA881" t="s">
        <v>3923</v>
      </c>
      <c r="AB881" t="s">
        <v>10488</v>
      </c>
      <c r="AC881" t="s">
        <v>10489</v>
      </c>
      <c r="AD881" t="s">
        <v>880</v>
      </c>
      <c r="AE881">
        <v>891800</v>
      </c>
      <c r="AF881">
        <v>0</v>
      </c>
      <c r="AG881" t="s">
        <v>10490</v>
      </c>
      <c r="AH881" t="s">
        <v>3577</v>
      </c>
      <c r="AJ881" t="e">
        <f>_xlfn.XLOOKUP(Table9[[#This Row],[Engine No.]],'[1]Dubai Islamic Consumer'!$Q$3:$Q$1176,'[1]Dubai Islamic Consumer'!$B$3:$B$1176,,,)</f>
        <v>#N/A</v>
      </c>
    </row>
    <row r="882" spans="1:36" hidden="1" x14ac:dyDescent="0.25">
      <c r="A882">
        <v>881</v>
      </c>
      <c r="B882" s="2" t="s">
        <v>10476</v>
      </c>
      <c r="C882" t="s">
        <v>10491</v>
      </c>
      <c r="D882" t="s">
        <v>37</v>
      </c>
      <c r="E882" t="s">
        <v>10492</v>
      </c>
      <c r="F882" t="s">
        <v>107</v>
      </c>
      <c r="G882" t="s">
        <v>10493</v>
      </c>
      <c r="H882" t="s">
        <v>10494</v>
      </c>
      <c r="I882" t="s">
        <v>10495</v>
      </c>
      <c r="J882" t="s">
        <v>631</v>
      </c>
      <c r="K882" t="s">
        <v>10496</v>
      </c>
      <c r="L882">
        <v>488562</v>
      </c>
      <c r="M882">
        <v>900000</v>
      </c>
      <c r="N882" t="s">
        <v>10497</v>
      </c>
      <c r="O882" s="1">
        <v>45633</v>
      </c>
      <c r="P882" t="s">
        <v>10498</v>
      </c>
      <c r="Q882" t="s">
        <v>10499</v>
      </c>
      <c r="R882" t="s">
        <v>146</v>
      </c>
      <c r="S882" t="s">
        <v>10500</v>
      </c>
      <c r="T882" t="s">
        <v>9149</v>
      </c>
      <c r="U882" t="s">
        <v>7824</v>
      </c>
      <c r="V882" s="1">
        <v>43994</v>
      </c>
      <c r="W882" t="s">
        <v>10501</v>
      </c>
      <c r="X882" t="s">
        <v>10502</v>
      </c>
      <c r="Y882" t="s">
        <v>10503</v>
      </c>
      <c r="Z882">
        <v>7</v>
      </c>
      <c r="AA882" t="s">
        <v>323</v>
      </c>
      <c r="AB882" t="s">
        <v>10504</v>
      </c>
      <c r="AC882" t="s">
        <v>7727</v>
      </c>
      <c r="AD882" t="s">
        <v>7584</v>
      </c>
      <c r="AE882">
        <v>630000</v>
      </c>
      <c r="AF882">
        <v>0</v>
      </c>
      <c r="AG882" t="s">
        <v>10505</v>
      </c>
      <c r="AH882" t="s">
        <v>3577</v>
      </c>
      <c r="AJ882" t="e">
        <f>_xlfn.XLOOKUP(Table9[[#This Row],[Engine No.]],'[1]Dubai Islamic Consumer'!$Q$3:$Q$1176,'[1]Dubai Islamic Consumer'!$B$3:$B$1176,,,)</f>
        <v>#N/A</v>
      </c>
    </row>
    <row r="883" spans="1:36" hidden="1" x14ac:dyDescent="0.25">
      <c r="A883">
        <v>882</v>
      </c>
      <c r="B883" s="2" t="s">
        <v>10476</v>
      </c>
      <c r="C883" t="s">
        <v>10506</v>
      </c>
      <c r="D883" t="s">
        <v>37</v>
      </c>
      <c r="E883" t="s">
        <v>1096</v>
      </c>
      <c r="F883" t="s">
        <v>107</v>
      </c>
      <c r="G883" t="s">
        <v>10507</v>
      </c>
      <c r="H883" t="s">
        <v>10508</v>
      </c>
      <c r="I883" t="s">
        <v>10508</v>
      </c>
      <c r="J883" t="s">
        <v>10509</v>
      </c>
      <c r="K883" t="s">
        <v>10510</v>
      </c>
      <c r="L883">
        <v>710787</v>
      </c>
      <c r="M883">
        <v>1094000</v>
      </c>
      <c r="N883" t="s">
        <v>10511</v>
      </c>
      <c r="O883" s="1">
        <v>45632</v>
      </c>
      <c r="P883" t="s">
        <v>10512</v>
      </c>
      <c r="Q883" t="s">
        <v>10513</v>
      </c>
      <c r="R883" t="s">
        <v>47</v>
      </c>
      <c r="S883" t="s">
        <v>10514</v>
      </c>
      <c r="T883" t="s">
        <v>3781</v>
      </c>
      <c r="U883" t="s">
        <v>335</v>
      </c>
      <c r="V883" s="1">
        <v>44011</v>
      </c>
      <c r="W883" t="s">
        <v>3920</v>
      </c>
      <c r="X883" t="s">
        <v>10515</v>
      </c>
      <c r="Y883" t="s">
        <v>10516</v>
      </c>
      <c r="Z883">
        <v>7</v>
      </c>
      <c r="AA883" t="s">
        <v>55</v>
      </c>
      <c r="AB883" t="s">
        <v>10517</v>
      </c>
      <c r="AC883" t="s">
        <v>7727</v>
      </c>
      <c r="AD883" t="s">
        <v>880</v>
      </c>
      <c r="AE883">
        <v>765800</v>
      </c>
      <c r="AF883">
        <v>0</v>
      </c>
      <c r="AG883" t="s">
        <v>10518</v>
      </c>
      <c r="AH883" t="s">
        <v>3577</v>
      </c>
      <c r="AJ883" t="e">
        <f>_xlfn.XLOOKUP(Table9[[#This Row],[Engine No.]],'[1]Dubai Islamic Consumer'!$Q$3:$Q$1176,'[1]Dubai Islamic Consumer'!$B$3:$B$1176,,,)</f>
        <v>#N/A</v>
      </c>
    </row>
    <row r="884" spans="1:36" hidden="1" x14ac:dyDescent="0.25">
      <c r="A884">
        <v>883</v>
      </c>
      <c r="B884" s="2" t="s">
        <v>10476</v>
      </c>
      <c r="C884" t="s">
        <v>10519</v>
      </c>
      <c r="D884" t="s">
        <v>37</v>
      </c>
      <c r="E884" t="s">
        <v>10520</v>
      </c>
      <c r="F884" t="s">
        <v>138</v>
      </c>
      <c r="G884" t="s">
        <v>10521</v>
      </c>
      <c r="H884" t="s">
        <v>10522</v>
      </c>
      <c r="I884" t="s">
        <v>10523</v>
      </c>
      <c r="J884" t="s">
        <v>10524</v>
      </c>
      <c r="K884" t="s">
        <v>10525</v>
      </c>
      <c r="L884">
        <v>774282</v>
      </c>
      <c r="M884">
        <v>2575000</v>
      </c>
      <c r="N884" t="s">
        <v>10526</v>
      </c>
      <c r="O884" s="1">
        <v>45629</v>
      </c>
      <c r="P884" t="s">
        <v>10527</v>
      </c>
      <c r="Q884" t="s">
        <v>10528</v>
      </c>
      <c r="R884" t="s">
        <v>146</v>
      </c>
      <c r="S884" t="s">
        <v>10529</v>
      </c>
      <c r="T884" t="s">
        <v>1141</v>
      </c>
      <c r="U884" t="s">
        <v>496</v>
      </c>
      <c r="V884" s="1">
        <v>43994</v>
      </c>
      <c r="W884" t="s">
        <v>5266</v>
      </c>
      <c r="X884" t="s">
        <v>10530</v>
      </c>
      <c r="Y884" t="s">
        <v>10531</v>
      </c>
      <c r="Z884">
        <v>5</v>
      </c>
      <c r="AA884" t="s">
        <v>55</v>
      </c>
      <c r="AB884" t="s">
        <v>10532</v>
      </c>
      <c r="AC884" t="s">
        <v>10533</v>
      </c>
      <c r="AD884" t="s">
        <v>171</v>
      </c>
      <c r="AE884">
        <v>1802500</v>
      </c>
      <c r="AF884">
        <v>0</v>
      </c>
      <c r="AG884" t="s">
        <v>10534</v>
      </c>
      <c r="AH884" t="s">
        <v>3577</v>
      </c>
      <c r="AJ884" t="e">
        <f>_xlfn.XLOOKUP(Table9[[#This Row],[Engine No.]],'[1]Dubai Islamic Consumer'!$Q$3:$Q$1176,'[1]Dubai Islamic Consumer'!$B$3:$B$1176,,,)</f>
        <v>#N/A</v>
      </c>
    </row>
    <row r="885" spans="1:36" hidden="1" x14ac:dyDescent="0.25">
      <c r="A885">
        <v>884</v>
      </c>
      <c r="B885" s="2" t="s">
        <v>10476</v>
      </c>
      <c r="C885" t="s">
        <v>10535</v>
      </c>
      <c r="D885" t="s">
        <v>37</v>
      </c>
      <c r="E885" t="s">
        <v>10536</v>
      </c>
      <c r="F885" t="s">
        <v>138</v>
      </c>
      <c r="G885" t="s">
        <v>10537</v>
      </c>
      <c r="H885" t="s">
        <v>10538</v>
      </c>
      <c r="I885" t="s">
        <v>10538</v>
      </c>
      <c r="J885" t="s">
        <v>141</v>
      </c>
      <c r="K885" t="s">
        <v>10539</v>
      </c>
      <c r="L885">
        <v>1142400</v>
      </c>
      <c r="M885">
        <v>1680000</v>
      </c>
      <c r="N885" t="s">
        <v>10540</v>
      </c>
      <c r="O885" s="1">
        <v>45654</v>
      </c>
      <c r="P885" t="s">
        <v>10541</v>
      </c>
      <c r="Q885" t="s">
        <v>10542</v>
      </c>
      <c r="R885" t="s">
        <v>146</v>
      </c>
      <c r="S885" t="s">
        <v>10543</v>
      </c>
      <c r="T885" t="s">
        <v>1971</v>
      </c>
      <c r="U885" t="s">
        <v>651</v>
      </c>
      <c r="V885" s="1">
        <v>43099</v>
      </c>
      <c r="W885" t="s">
        <v>7529</v>
      </c>
      <c r="X885" t="s">
        <v>10544</v>
      </c>
      <c r="Y885" t="s">
        <v>10545</v>
      </c>
      <c r="Z885">
        <v>6</v>
      </c>
      <c r="AA885" t="s">
        <v>323</v>
      </c>
      <c r="AB885" t="s">
        <v>10546</v>
      </c>
      <c r="AC885" t="s">
        <v>10547</v>
      </c>
      <c r="AD885" t="s">
        <v>880</v>
      </c>
      <c r="AE885">
        <v>1176000</v>
      </c>
      <c r="AF885">
        <v>0</v>
      </c>
      <c r="AJ885" t="e">
        <f>_xlfn.XLOOKUP(Table9[[#This Row],[Engine No.]],'[1]Dubai Islamic Consumer'!$Q$3:$Q$1176,'[1]Dubai Islamic Consumer'!$B$3:$B$1176,,,)</f>
        <v>#N/A</v>
      </c>
    </row>
    <row r="886" spans="1:36" hidden="1" x14ac:dyDescent="0.25">
      <c r="A886">
        <v>885</v>
      </c>
      <c r="B886" s="2" t="s">
        <v>10476</v>
      </c>
      <c r="C886" t="s">
        <v>10548</v>
      </c>
      <c r="D886" t="s">
        <v>37</v>
      </c>
      <c r="E886" t="s">
        <v>10549</v>
      </c>
      <c r="F886" t="s">
        <v>107</v>
      </c>
      <c r="G886" t="s">
        <v>10550</v>
      </c>
      <c r="H886" t="s">
        <v>10551</v>
      </c>
      <c r="I886" t="s">
        <v>10551</v>
      </c>
      <c r="J886" t="s">
        <v>10551</v>
      </c>
      <c r="K886" t="s">
        <v>10552</v>
      </c>
      <c r="L886">
        <v>875000</v>
      </c>
      <c r="M886">
        <v>1250000</v>
      </c>
      <c r="N886" t="s">
        <v>10553</v>
      </c>
      <c r="O886" s="1">
        <v>45652</v>
      </c>
      <c r="P886" t="s">
        <v>10554</v>
      </c>
      <c r="Q886" t="s">
        <v>10555</v>
      </c>
      <c r="R886" t="s">
        <v>47</v>
      </c>
      <c r="S886" t="s">
        <v>10556</v>
      </c>
      <c r="T886" t="s">
        <v>3449</v>
      </c>
      <c r="U886" t="s">
        <v>335</v>
      </c>
      <c r="V886" s="1">
        <v>43097</v>
      </c>
      <c r="W886" t="s">
        <v>7529</v>
      </c>
      <c r="X886" t="s">
        <v>7530</v>
      </c>
      <c r="Y886" t="s">
        <v>10557</v>
      </c>
      <c r="Z886">
        <v>7</v>
      </c>
      <c r="AA886" t="s">
        <v>877</v>
      </c>
      <c r="AB886" t="s">
        <v>10558</v>
      </c>
      <c r="AC886" t="s">
        <v>7533</v>
      </c>
      <c r="AD886" t="s">
        <v>7584</v>
      </c>
      <c r="AE886">
        <v>875000</v>
      </c>
      <c r="AF886">
        <v>0</v>
      </c>
      <c r="AJ886" t="e">
        <f>_xlfn.XLOOKUP(Table9[[#This Row],[Engine No.]],'[1]Dubai Islamic Consumer'!$Q$3:$Q$1176,'[1]Dubai Islamic Consumer'!$B$3:$B$1176,,,)</f>
        <v>#N/A</v>
      </c>
    </row>
    <row r="887" spans="1:36" hidden="1" x14ac:dyDescent="0.25">
      <c r="A887">
        <v>886</v>
      </c>
      <c r="B887" s="2" t="s">
        <v>10476</v>
      </c>
      <c r="C887" t="s">
        <v>10559</v>
      </c>
      <c r="D887" t="s">
        <v>37</v>
      </c>
      <c r="E887" t="s">
        <v>10560</v>
      </c>
      <c r="F887" t="s">
        <v>107</v>
      </c>
      <c r="G887" t="s">
        <v>10561</v>
      </c>
      <c r="H887" t="s">
        <v>10562</v>
      </c>
      <c r="I887" t="s">
        <v>10563</v>
      </c>
      <c r="J887" t="s">
        <v>10564</v>
      </c>
      <c r="K887" t="s">
        <v>10565</v>
      </c>
      <c r="L887">
        <v>1218750</v>
      </c>
      <c r="M887">
        <v>1625000</v>
      </c>
      <c r="N887" t="s">
        <v>10566</v>
      </c>
      <c r="O887" s="1">
        <v>45649</v>
      </c>
      <c r="P887" t="s">
        <v>10567</v>
      </c>
      <c r="Q887" t="s">
        <v>10568</v>
      </c>
      <c r="R887" t="s">
        <v>47</v>
      </c>
      <c r="S887" t="s">
        <v>10569</v>
      </c>
      <c r="T887" t="s">
        <v>321</v>
      </c>
      <c r="U887" t="s">
        <v>614</v>
      </c>
      <c r="V887" s="1">
        <v>43825</v>
      </c>
      <c r="W887" t="s">
        <v>4031</v>
      </c>
      <c r="X887" t="s">
        <v>7515</v>
      </c>
      <c r="Y887" t="s">
        <v>10570</v>
      </c>
      <c r="Z887">
        <v>5</v>
      </c>
      <c r="AA887" t="s">
        <v>55</v>
      </c>
      <c r="AB887" t="s">
        <v>10571</v>
      </c>
      <c r="AC887" t="s">
        <v>10572</v>
      </c>
      <c r="AD887" t="s">
        <v>171</v>
      </c>
      <c r="AE887">
        <v>1137500</v>
      </c>
      <c r="AF887">
        <v>0</v>
      </c>
      <c r="AJ887" t="e">
        <f>_xlfn.XLOOKUP(Table9[[#This Row],[Engine No.]],'[1]Dubai Islamic Consumer'!$Q$3:$Q$1176,'[1]Dubai Islamic Consumer'!$B$3:$B$1176,,,)</f>
        <v>#N/A</v>
      </c>
    </row>
    <row r="888" spans="1:36" hidden="1" x14ac:dyDescent="0.25">
      <c r="A888">
        <v>887</v>
      </c>
      <c r="B888" s="2" t="s">
        <v>10476</v>
      </c>
      <c r="C888" t="s">
        <v>10573</v>
      </c>
      <c r="D888" t="s">
        <v>37</v>
      </c>
      <c r="E888" t="s">
        <v>10574</v>
      </c>
      <c r="F888" t="s">
        <v>138</v>
      </c>
      <c r="G888" t="s">
        <v>10575</v>
      </c>
      <c r="H888" t="s">
        <v>10576</v>
      </c>
      <c r="I888" t="s">
        <v>10576</v>
      </c>
      <c r="J888" t="s">
        <v>141</v>
      </c>
      <c r="K888" t="s">
        <v>10577</v>
      </c>
      <c r="L888">
        <v>1435000</v>
      </c>
      <c r="M888">
        <v>2050000</v>
      </c>
      <c r="N888" t="s">
        <v>10578</v>
      </c>
      <c r="O888" s="1">
        <v>45648</v>
      </c>
      <c r="P888" t="s">
        <v>10579</v>
      </c>
      <c r="Q888" t="s">
        <v>10580</v>
      </c>
      <c r="R888" t="s">
        <v>146</v>
      </c>
      <c r="S888" t="s">
        <v>10581</v>
      </c>
      <c r="T888" t="s">
        <v>4014</v>
      </c>
      <c r="U888" t="s">
        <v>496</v>
      </c>
      <c r="V888" s="1">
        <v>44553</v>
      </c>
      <c r="W888" t="s">
        <v>4015</v>
      </c>
      <c r="X888" t="s">
        <v>7515</v>
      </c>
      <c r="Y888" t="s">
        <v>10582</v>
      </c>
      <c r="Z888">
        <v>3</v>
      </c>
      <c r="AA888" t="s">
        <v>55</v>
      </c>
      <c r="AB888" t="s">
        <v>10583</v>
      </c>
      <c r="AC888" t="s">
        <v>4437</v>
      </c>
      <c r="AD888" t="s">
        <v>299</v>
      </c>
      <c r="AE888">
        <v>1435000</v>
      </c>
      <c r="AF888">
        <v>0</v>
      </c>
      <c r="AJ888" t="e">
        <f>_xlfn.XLOOKUP(Table9[[#This Row],[Engine No.]],'[1]Dubai Islamic Consumer'!$Q$3:$Q$1176,'[1]Dubai Islamic Consumer'!$B$3:$B$1176,,,)</f>
        <v>#N/A</v>
      </c>
    </row>
    <row r="889" spans="1:36" hidden="1" x14ac:dyDescent="0.25">
      <c r="A889">
        <v>888</v>
      </c>
      <c r="B889" s="2" t="s">
        <v>10476</v>
      </c>
      <c r="C889" t="s">
        <v>10584</v>
      </c>
      <c r="D889" t="s">
        <v>37</v>
      </c>
      <c r="E889" t="s">
        <v>10585</v>
      </c>
      <c r="F889" t="s">
        <v>39</v>
      </c>
      <c r="G889" t="s">
        <v>10586</v>
      </c>
      <c r="H889" t="s">
        <v>10587</v>
      </c>
      <c r="I889" t="s">
        <v>10588</v>
      </c>
      <c r="J889" t="s">
        <v>10587</v>
      </c>
      <c r="K889" t="s">
        <v>10589</v>
      </c>
      <c r="L889">
        <v>1436500</v>
      </c>
      <c r="M889">
        <v>2210000</v>
      </c>
      <c r="N889" t="s">
        <v>10590</v>
      </c>
      <c r="O889" s="1">
        <v>45648</v>
      </c>
      <c r="P889" t="s">
        <v>10591</v>
      </c>
      <c r="Q889" t="s">
        <v>10592</v>
      </c>
      <c r="R889" t="s">
        <v>146</v>
      </c>
      <c r="S889" t="s">
        <v>10593</v>
      </c>
      <c r="T889" t="s">
        <v>495</v>
      </c>
      <c r="U889" t="s">
        <v>335</v>
      </c>
      <c r="V889" s="1">
        <v>44557</v>
      </c>
      <c r="W889" t="s">
        <v>4015</v>
      </c>
      <c r="X889" t="s">
        <v>7515</v>
      </c>
      <c r="Y889" t="s">
        <v>10594</v>
      </c>
      <c r="Z889">
        <v>3</v>
      </c>
      <c r="AA889" t="s">
        <v>118</v>
      </c>
      <c r="AB889" t="s">
        <v>10595</v>
      </c>
      <c r="AC889" t="s">
        <v>4437</v>
      </c>
      <c r="AD889" t="s">
        <v>299</v>
      </c>
      <c r="AE889">
        <v>1547000</v>
      </c>
      <c r="AF889">
        <v>0</v>
      </c>
      <c r="AJ889" t="e">
        <f>_xlfn.XLOOKUP(Table9[[#This Row],[Engine No.]],'[1]Dubai Islamic Consumer'!$Q$3:$Q$1176,'[1]Dubai Islamic Consumer'!$B$3:$B$1176,,,)</f>
        <v>#N/A</v>
      </c>
    </row>
    <row r="890" spans="1:36" hidden="1" x14ac:dyDescent="0.25">
      <c r="A890">
        <v>889</v>
      </c>
      <c r="B890" s="2" t="s">
        <v>10476</v>
      </c>
      <c r="C890" t="s">
        <v>10596</v>
      </c>
      <c r="D890" t="s">
        <v>37</v>
      </c>
      <c r="E890" t="s">
        <v>10597</v>
      </c>
      <c r="F890" t="s">
        <v>107</v>
      </c>
      <c r="G890" t="s">
        <v>10598</v>
      </c>
      <c r="H890" t="s">
        <v>10599</v>
      </c>
      <c r="I890" t="s">
        <v>10599</v>
      </c>
      <c r="J890" t="s">
        <v>10600</v>
      </c>
      <c r="K890" t="s">
        <v>10601</v>
      </c>
      <c r="L890">
        <v>929900</v>
      </c>
      <c r="M890">
        <v>1094000</v>
      </c>
      <c r="N890" t="s">
        <v>10602</v>
      </c>
      <c r="O890" s="1">
        <v>45648</v>
      </c>
      <c r="P890" t="s">
        <v>10603</v>
      </c>
      <c r="Q890" t="s">
        <v>10604</v>
      </c>
      <c r="R890" t="s">
        <v>47</v>
      </c>
      <c r="S890" t="s">
        <v>10605</v>
      </c>
      <c r="T890" t="s">
        <v>321</v>
      </c>
      <c r="U890" t="s">
        <v>335</v>
      </c>
      <c r="V890" s="1">
        <v>42908</v>
      </c>
      <c r="W890" t="s">
        <v>7529</v>
      </c>
      <c r="X890" t="s">
        <v>7530</v>
      </c>
      <c r="Y890" t="s">
        <v>10606</v>
      </c>
      <c r="Z890">
        <v>7</v>
      </c>
      <c r="AA890" t="s">
        <v>55</v>
      </c>
      <c r="AB890" t="s">
        <v>10607</v>
      </c>
      <c r="AC890" t="s">
        <v>7518</v>
      </c>
      <c r="AD890" t="s">
        <v>880</v>
      </c>
      <c r="AE890">
        <v>765800</v>
      </c>
      <c r="AF890">
        <v>0</v>
      </c>
      <c r="AJ890" t="e">
        <f>_xlfn.XLOOKUP(Table9[[#This Row],[Engine No.]],'[1]Dubai Islamic Consumer'!$Q$3:$Q$1176,'[1]Dubai Islamic Consumer'!$B$3:$B$1176,,,)</f>
        <v>#N/A</v>
      </c>
    </row>
    <row r="891" spans="1:36" hidden="1" x14ac:dyDescent="0.25">
      <c r="A891">
        <v>890</v>
      </c>
      <c r="B891" s="2" t="s">
        <v>10476</v>
      </c>
      <c r="C891" t="s">
        <v>10608</v>
      </c>
      <c r="D891" t="s">
        <v>37</v>
      </c>
      <c r="E891" t="s">
        <v>10609</v>
      </c>
      <c r="F891" t="s">
        <v>107</v>
      </c>
      <c r="G891" t="s">
        <v>10610</v>
      </c>
      <c r="H891" t="s">
        <v>48</v>
      </c>
      <c r="I891" t="s">
        <v>48</v>
      </c>
      <c r="J891" t="s">
        <v>48</v>
      </c>
      <c r="K891" t="s">
        <v>10611</v>
      </c>
      <c r="L891">
        <v>3204500</v>
      </c>
      <c r="M891">
        <v>4930000</v>
      </c>
      <c r="N891" t="s">
        <v>10612</v>
      </c>
      <c r="O891" s="1">
        <v>45646</v>
      </c>
      <c r="P891" t="s">
        <v>10613</v>
      </c>
      <c r="Q891" t="s">
        <v>10614</v>
      </c>
      <c r="R891" t="s">
        <v>47</v>
      </c>
      <c r="S891" t="s">
        <v>48</v>
      </c>
      <c r="T891" t="s">
        <v>2382</v>
      </c>
      <c r="U891" t="s">
        <v>98</v>
      </c>
      <c r="V891" s="1">
        <v>44103</v>
      </c>
      <c r="W891" t="s">
        <v>4001</v>
      </c>
      <c r="X891" t="s">
        <v>7515</v>
      </c>
      <c r="Y891" t="s">
        <v>10615</v>
      </c>
      <c r="Z891">
        <v>4</v>
      </c>
      <c r="AA891" t="s">
        <v>48</v>
      </c>
      <c r="AB891" t="s">
        <v>48</v>
      </c>
      <c r="AC891" t="s">
        <v>48</v>
      </c>
      <c r="AD891" t="s">
        <v>299</v>
      </c>
      <c r="AE891">
        <v>3451000</v>
      </c>
      <c r="AF891">
        <v>0</v>
      </c>
      <c r="AJ891" t="e">
        <f>_xlfn.XLOOKUP(Table9[[#This Row],[Engine No.]],'[1]Dubai Islamic Consumer'!$Q$3:$Q$1176,'[1]Dubai Islamic Consumer'!$B$3:$B$1176,,,)</f>
        <v>#N/A</v>
      </c>
    </row>
    <row r="892" spans="1:36" hidden="1" x14ac:dyDescent="0.25">
      <c r="A892">
        <v>891</v>
      </c>
      <c r="B892" s="2" t="s">
        <v>10476</v>
      </c>
      <c r="C892" t="s">
        <v>10616</v>
      </c>
      <c r="D892" t="s">
        <v>37</v>
      </c>
      <c r="E892" t="s">
        <v>10617</v>
      </c>
      <c r="F892" t="s">
        <v>138</v>
      </c>
      <c r="G892" t="s">
        <v>10618</v>
      </c>
      <c r="H892" t="s">
        <v>10619</v>
      </c>
      <c r="I892" t="s">
        <v>10619</v>
      </c>
      <c r="J892" t="s">
        <v>10620</v>
      </c>
      <c r="K892" t="s">
        <v>10621</v>
      </c>
      <c r="L892">
        <v>2942500</v>
      </c>
      <c r="M892">
        <v>5350000</v>
      </c>
      <c r="N892" t="s">
        <v>10622</v>
      </c>
      <c r="O892" t="s">
        <v>4710</v>
      </c>
      <c r="P892" t="s">
        <v>10623</v>
      </c>
      <c r="Q892" t="s">
        <v>10624</v>
      </c>
      <c r="R892" t="s">
        <v>146</v>
      </c>
      <c r="S892" t="s">
        <v>10625</v>
      </c>
      <c r="T892" t="s">
        <v>601</v>
      </c>
      <c r="U892" t="s">
        <v>614</v>
      </c>
      <c r="V892" s="1">
        <v>45282</v>
      </c>
      <c r="W892" t="s">
        <v>3964</v>
      </c>
      <c r="X892" t="s">
        <v>7515</v>
      </c>
      <c r="Y892" t="s">
        <v>10626</v>
      </c>
      <c r="Z892">
        <v>1</v>
      </c>
      <c r="AA892" t="s">
        <v>55</v>
      </c>
      <c r="AB892" t="s">
        <v>10627</v>
      </c>
      <c r="AC892" t="s">
        <v>4587</v>
      </c>
      <c r="AD892" t="s">
        <v>86</v>
      </c>
      <c r="AE892">
        <v>3744999.9999999995</v>
      </c>
      <c r="AF892">
        <v>0</v>
      </c>
      <c r="AJ892" t="e">
        <f>_xlfn.XLOOKUP(Table9[[#This Row],[Engine No.]],'[1]Dubai Islamic Consumer'!$Q$3:$Q$1176,'[1]Dubai Islamic Consumer'!$B$3:$B$1176,,,)</f>
        <v>#N/A</v>
      </c>
    </row>
    <row r="893" spans="1:36" hidden="1" x14ac:dyDescent="0.25">
      <c r="A893">
        <v>892</v>
      </c>
      <c r="B893" s="2" t="s">
        <v>10476</v>
      </c>
      <c r="C893" t="s">
        <v>10628</v>
      </c>
      <c r="D893" t="s">
        <v>37</v>
      </c>
      <c r="E893" t="s">
        <v>10629</v>
      </c>
      <c r="F893" t="s">
        <v>245</v>
      </c>
      <c r="G893" t="s">
        <v>10630</v>
      </c>
      <c r="H893" t="s">
        <v>10631</v>
      </c>
      <c r="I893" t="s">
        <v>48</v>
      </c>
      <c r="J893" t="s">
        <v>141</v>
      </c>
      <c r="K893" t="s">
        <v>10632</v>
      </c>
      <c r="L893">
        <v>1950000</v>
      </c>
      <c r="M893">
        <v>3000000</v>
      </c>
      <c r="N893" t="s">
        <v>10633</v>
      </c>
      <c r="O893" s="1">
        <v>45645</v>
      </c>
      <c r="P893" t="s">
        <v>10634</v>
      </c>
      <c r="Q893" t="s">
        <v>10635</v>
      </c>
      <c r="R893" t="s">
        <v>146</v>
      </c>
      <c r="S893" t="s">
        <v>10636</v>
      </c>
      <c r="T893" t="s">
        <v>1141</v>
      </c>
      <c r="U893" t="s">
        <v>496</v>
      </c>
      <c r="V893" s="1">
        <v>44552</v>
      </c>
      <c r="W893" t="s">
        <v>4015</v>
      </c>
      <c r="X893" t="s">
        <v>7515</v>
      </c>
      <c r="Y893" t="s">
        <v>10637</v>
      </c>
      <c r="Z893">
        <v>3</v>
      </c>
      <c r="AA893" t="s">
        <v>55</v>
      </c>
      <c r="AB893" t="s">
        <v>10638</v>
      </c>
      <c r="AC893" t="s">
        <v>4176</v>
      </c>
      <c r="AD893" t="s">
        <v>299</v>
      </c>
      <c r="AE893">
        <v>2100000</v>
      </c>
      <c r="AF893">
        <v>0</v>
      </c>
      <c r="AJ893" t="e">
        <f>_xlfn.XLOOKUP(Table9[[#This Row],[Engine No.]],'[1]Dubai Islamic Consumer'!$Q$3:$Q$1176,'[1]Dubai Islamic Consumer'!$B$3:$B$1176,,,)</f>
        <v>#N/A</v>
      </c>
    </row>
    <row r="894" spans="1:36" hidden="1" x14ac:dyDescent="0.25">
      <c r="A894">
        <v>893</v>
      </c>
      <c r="B894" s="2" t="s">
        <v>10476</v>
      </c>
      <c r="C894" t="s">
        <v>10639</v>
      </c>
      <c r="D894" t="s">
        <v>37</v>
      </c>
      <c r="E894" t="s">
        <v>10640</v>
      </c>
      <c r="F894" t="s">
        <v>89</v>
      </c>
      <c r="G894" t="s">
        <v>10641</v>
      </c>
      <c r="H894" t="s">
        <v>10642</v>
      </c>
      <c r="I894" t="s">
        <v>10643</v>
      </c>
      <c r="J894" t="s">
        <v>10644</v>
      </c>
      <c r="K894" t="s">
        <v>10645</v>
      </c>
      <c r="L894">
        <v>2448750</v>
      </c>
      <c r="M894">
        <v>3265000</v>
      </c>
      <c r="N894" t="s">
        <v>10646</v>
      </c>
      <c r="O894" s="1">
        <v>45645</v>
      </c>
      <c r="P894" t="s">
        <v>10647</v>
      </c>
      <c r="Q894" t="s">
        <v>10648</v>
      </c>
      <c r="R894" t="s">
        <v>47</v>
      </c>
      <c r="S894" t="s">
        <v>10649</v>
      </c>
      <c r="T894" t="s">
        <v>2599</v>
      </c>
      <c r="U894" t="s">
        <v>614</v>
      </c>
      <c r="V894" s="1">
        <v>43823</v>
      </c>
      <c r="W894" t="s">
        <v>4031</v>
      </c>
      <c r="X894" t="s">
        <v>7515</v>
      </c>
      <c r="Y894" t="s">
        <v>10650</v>
      </c>
      <c r="Z894">
        <v>5</v>
      </c>
      <c r="AA894" t="s">
        <v>55</v>
      </c>
      <c r="AB894" t="s">
        <v>10651</v>
      </c>
      <c r="AC894" t="s">
        <v>5148</v>
      </c>
      <c r="AD894" t="s">
        <v>171</v>
      </c>
      <c r="AE894">
        <v>2285500</v>
      </c>
      <c r="AF894">
        <v>0</v>
      </c>
      <c r="AJ894" t="e">
        <f>_xlfn.XLOOKUP(Table9[[#This Row],[Engine No.]],'[1]Dubai Islamic Consumer'!$Q$3:$Q$1176,'[1]Dubai Islamic Consumer'!$B$3:$B$1176,,,)</f>
        <v>#N/A</v>
      </c>
    </row>
    <row r="895" spans="1:36" hidden="1" x14ac:dyDescent="0.25">
      <c r="A895">
        <v>894</v>
      </c>
      <c r="B895" s="2" t="s">
        <v>10476</v>
      </c>
      <c r="C895" t="s">
        <v>10652</v>
      </c>
      <c r="D895" t="s">
        <v>37</v>
      </c>
      <c r="E895" t="s">
        <v>10653</v>
      </c>
      <c r="F895" t="s">
        <v>73</v>
      </c>
      <c r="G895" t="s">
        <v>10654</v>
      </c>
      <c r="H895" t="s">
        <v>10655</v>
      </c>
      <c r="I895" t="s">
        <v>10655</v>
      </c>
      <c r="J895" t="s">
        <v>10655</v>
      </c>
      <c r="K895" t="s">
        <v>10656</v>
      </c>
      <c r="L895">
        <v>904800</v>
      </c>
      <c r="M895">
        <v>1508000</v>
      </c>
      <c r="N895" t="s">
        <v>10657</v>
      </c>
      <c r="O895" s="1">
        <v>45645</v>
      </c>
      <c r="P895" t="s">
        <v>10658</v>
      </c>
      <c r="Q895" t="s">
        <v>10659</v>
      </c>
      <c r="R895" t="s">
        <v>47</v>
      </c>
      <c r="S895" t="s">
        <v>48</v>
      </c>
      <c r="T895" t="s">
        <v>194</v>
      </c>
      <c r="U895" t="s">
        <v>50</v>
      </c>
      <c r="V895" s="1">
        <v>44552</v>
      </c>
      <c r="W895" t="s">
        <v>4015</v>
      </c>
      <c r="X895" t="s">
        <v>7515</v>
      </c>
      <c r="Y895" t="s">
        <v>10660</v>
      </c>
      <c r="Z895">
        <v>3</v>
      </c>
      <c r="AA895" t="s">
        <v>55</v>
      </c>
      <c r="AB895" t="s">
        <v>10661</v>
      </c>
      <c r="AC895" t="s">
        <v>4176</v>
      </c>
      <c r="AD895" t="s">
        <v>58</v>
      </c>
      <c r="AE895">
        <v>1055600</v>
      </c>
      <c r="AF895">
        <v>0</v>
      </c>
      <c r="AJ895" t="e">
        <f>_xlfn.XLOOKUP(Table9[[#This Row],[Engine No.]],'[1]Dubai Islamic Consumer'!$Q$3:$Q$1176,'[1]Dubai Islamic Consumer'!$B$3:$B$1176,,,)</f>
        <v>#N/A</v>
      </c>
    </row>
    <row r="896" spans="1:36" hidden="1" x14ac:dyDescent="0.25">
      <c r="A896">
        <v>895</v>
      </c>
      <c r="B896" s="2" t="s">
        <v>10476</v>
      </c>
      <c r="C896" t="s">
        <v>10662</v>
      </c>
      <c r="D896" t="s">
        <v>37</v>
      </c>
      <c r="E896" t="s">
        <v>10663</v>
      </c>
      <c r="F896" t="s">
        <v>138</v>
      </c>
      <c r="G896" t="s">
        <v>10664</v>
      </c>
      <c r="H896" t="s">
        <v>10665</v>
      </c>
      <c r="I896" t="s">
        <v>10665</v>
      </c>
      <c r="J896" t="s">
        <v>141</v>
      </c>
      <c r="K896" t="s">
        <v>10666</v>
      </c>
      <c r="L896">
        <v>1500000</v>
      </c>
      <c r="M896">
        <v>2000000</v>
      </c>
      <c r="N896" t="s">
        <v>10667</v>
      </c>
      <c r="O896" s="1">
        <v>45643</v>
      </c>
      <c r="P896" t="s">
        <v>10668</v>
      </c>
      <c r="Q896" t="s">
        <v>10669</v>
      </c>
      <c r="R896" t="s">
        <v>146</v>
      </c>
      <c r="S896" t="s">
        <v>10670</v>
      </c>
      <c r="T896" t="s">
        <v>1189</v>
      </c>
      <c r="U896" t="s">
        <v>7824</v>
      </c>
      <c r="V896" s="1">
        <v>44186</v>
      </c>
      <c r="W896" t="s">
        <v>5266</v>
      </c>
      <c r="X896" t="s">
        <v>7608</v>
      </c>
      <c r="Y896" t="s">
        <v>10671</v>
      </c>
      <c r="Z896">
        <v>4</v>
      </c>
      <c r="AA896" t="s">
        <v>55</v>
      </c>
      <c r="AB896" t="s">
        <v>10672</v>
      </c>
      <c r="AC896" t="s">
        <v>5266</v>
      </c>
      <c r="AD896" t="s">
        <v>58</v>
      </c>
      <c r="AE896">
        <v>1400000</v>
      </c>
      <c r="AF896">
        <v>0</v>
      </c>
      <c r="AJ896" t="e">
        <f>_xlfn.XLOOKUP(Table9[[#This Row],[Engine No.]],'[1]Dubai Islamic Consumer'!$Q$3:$Q$1176,'[1]Dubai Islamic Consumer'!$B$3:$B$1176,,,)</f>
        <v>#N/A</v>
      </c>
    </row>
    <row r="897" spans="1:36" hidden="1" x14ac:dyDescent="0.25">
      <c r="A897">
        <v>896</v>
      </c>
      <c r="B897" s="2" t="s">
        <v>10476</v>
      </c>
      <c r="C897" t="s">
        <v>10673</v>
      </c>
      <c r="D897" t="s">
        <v>37</v>
      </c>
      <c r="E897" t="s">
        <v>10674</v>
      </c>
      <c r="F897" t="s">
        <v>290</v>
      </c>
      <c r="G897" t="s">
        <v>10675</v>
      </c>
      <c r="H897" t="s">
        <v>10676</v>
      </c>
      <c r="I897" t="s">
        <v>10676</v>
      </c>
      <c r="J897" t="s">
        <v>10676</v>
      </c>
      <c r="K897" t="s">
        <v>10677</v>
      </c>
      <c r="L897">
        <v>885500</v>
      </c>
      <c r="M897">
        <v>1265000</v>
      </c>
      <c r="N897" t="s">
        <v>10678</v>
      </c>
      <c r="O897" s="1">
        <v>45643</v>
      </c>
      <c r="P897" t="s">
        <v>10679</v>
      </c>
      <c r="Q897" t="s">
        <v>10680</v>
      </c>
      <c r="R897" t="s">
        <v>1215</v>
      </c>
      <c r="S897" t="s">
        <v>10681</v>
      </c>
      <c r="T897" t="s">
        <v>10682</v>
      </c>
      <c r="U897" t="s">
        <v>903</v>
      </c>
      <c r="V897" s="1">
        <v>43453</v>
      </c>
      <c r="W897" t="s">
        <v>5587</v>
      </c>
      <c r="X897" t="s">
        <v>7608</v>
      </c>
      <c r="Y897" t="s">
        <v>10683</v>
      </c>
      <c r="Z897">
        <v>6</v>
      </c>
      <c r="AA897" t="s">
        <v>323</v>
      </c>
      <c r="AB897" t="s">
        <v>10684</v>
      </c>
      <c r="AC897" t="s">
        <v>10489</v>
      </c>
      <c r="AD897" t="s">
        <v>880</v>
      </c>
      <c r="AE897">
        <v>885500</v>
      </c>
      <c r="AF897">
        <v>0</v>
      </c>
      <c r="AJ897" t="e">
        <f>_xlfn.XLOOKUP(Table9[[#This Row],[Engine No.]],'[1]Dubai Islamic Consumer'!$Q$3:$Q$1176,'[1]Dubai Islamic Consumer'!$B$3:$B$1176,,,)</f>
        <v>#N/A</v>
      </c>
    </row>
    <row r="898" spans="1:36" hidden="1" x14ac:dyDescent="0.25">
      <c r="A898">
        <v>897</v>
      </c>
      <c r="B898" s="2" t="s">
        <v>10476</v>
      </c>
      <c r="C898" t="s">
        <v>10685</v>
      </c>
      <c r="D898" t="s">
        <v>37</v>
      </c>
      <c r="E898" t="s">
        <v>10686</v>
      </c>
      <c r="F898" t="s">
        <v>39</v>
      </c>
      <c r="G898" t="s">
        <v>10687</v>
      </c>
      <c r="H898" t="s">
        <v>10688</v>
      </c>
      <c r="I898" t="s">
        <v>10689</v>
      </c>
      <c r="J898" t="s">
        <v>10688</v>
      </c>
      <c r="K898" t="s">
        <v>10690</v>
      </c>
      <c r="L898">
        <v>2015000</v>
      </c>
      <c r="M898">
        <v>3100000</v>
      </c>
      <c r="N898" t="s">
        <v>10691</v>
      </c>
      <c r="O898" s="1">
        <v>45642</v>
      </c>
      <c r="P898" t="s">
        <v>10692</v>
      </c>
      <c r="Q898" t="s">
        <v>10693</v>
      </c>
      <c r="R898" t="s">
        <v>146</v>
      </c>
      <c r="S898" t="s">
        <v>10694</v>
      </c>
      <c r="T898" t="s">
        <v>7008</v>
      </c>
      <c r="U898" t="s">
        <v>496</v>
      </c>
      <c r="V898" s="1">
        <v>44547</v>
      </c>
      <c r="W898" t="s">
        <v>4473</v>
      </c>
      <c r="X898" t="s">
        <v>7608</v>
      </c>
      <c r="Y898" t="s">
        <v>10695</v>
      </c>
      <c r="Z898">
        <v>3</v>
      </c>
      <c r="AA898" t="s">
        <v>118</v>
      </c>
      <c r="AB898" t="s">
        <v>10696</v>
      </c>
      <c r="AC898" t="s">
        <v>5433</v>
      </c>
      <c r="AD898" t="s">
        <v>299</v>
      </c>
      <c r="AE898">
        <v>2170000</v>
      </c>
      <c r="AF898">
        <v>0</v>
      </c>
      <c r="AJ898" t="e">
        <f>_xlfn.XLOOKUP(Table9[[#This Row],[Engine No.]],'[1]Dubai Islamic Consumer'!$Q$3:$Q$1176,'[1]Dubai Islamic Consumer'!$B$3:$B$1176,,,)</f>
        <v>#N/A</v>
      </c>
    </row>
    <row r="899" spans="1:36" hidden="1" x14ac:dyDescent="0.25">
      <c r="A899">
        <v>898</v>
      </c>
      <c r="B899" s="2" t="s">
        <v>10476</v>
      </c>
      <c r="C899" t="s">
        <v>10697</v>
      </c>
      <c r="D899" t="s">
        <v>37</v>
      </c>
      <c r="E899" t="s">
        <v>10698</v>
      </c>
      <c r="F899" t="s">
        <v>10699</v>
      </c>
      <c r="G899" t="s">
        <v>10700</v>
      </c>
      <c r="H899" t="s">
        <v>48</v>
      </c>
      <c r="I899" t="s">
        <v>10701</v>
      </c>
      <c r="J899" t="s">
        <v>48</v>
      </c>
      <c r="K899" t="s">
        <v>10702</v>
      </c>
      <c r="L899">
        <v>2664350</v>
      </c>
      <c r="M899">
        <v>4099000</v>
      </c>
      <c r="N899" t="s">
        <v>10703</v>
      </c>
      <c r="O899" s="1">
        <v>45641</v>
      </c>
      <c r="P899" t="s">
        <v>10704</v>
      </c>
      <c r="Q899" t="s">
        <v>10705</v>
      </c>
      <c r="R899" t="s">
        <v>47</v>
      </c>
      <c r="S899" t="s">
        <v>48</v>
      </c>
      <c r="T899" t="s">
        <v>10706</v>
      </c>
      <c r="U899" t="s">
        <v>50</v>
      </c>
      <c r="V899" s="1">
        <v>44547</v>
      </c>
      <c r="W899" t="s">
        <v>4473</v>
      </c>
      <c r="X899" t="s">
        <v>7608</v>
      </c>
      <c r="Y899" t="s">
        <v>10707</v>
      </c>
      <c r="Z899">
        <v>3</v>
      </c>
      <c r="AA899" t="s">
        <v>55</v>
      </c>
      <c r="AB899" t="s">
        <v>10708</v>
      </c>
      <c r="AC899" t="s">
        <v>5433</v>
      </c>
      <c r="AD899" t="s">
        <v>58</v>
      </c>
      <c r="AE899">
        <v>2869300</v>
      </c>
      <c r="AF899">
        <v>0</v>
      </c>
      <c r="AJ899" t="e">
        <f>_xlfn.XLOOKUP(Table9[[#This Row],[Engine No.]],'[1]Dubai Islamic Consumer'!$Q$3:$Q$1176,'[1]Dubai Islamic Consumer'!$B$3:$B$1176,,,)</f>
        <v>#N/A</v>
      </c>
    </row>
    <row r="900" spans="1:36" hidden="1" x14ac:dyDescent="0.25">
      <c r="A900">
        <v>899</v>
      </c>
      <c r="B900" s="2" t="s">
        <v>10476</v>
      </c>
      <c r="C900" t="s">
        <v>10709</v>
      </c>
      <c r="D900" t="s">
        <v>37</v>
      </c>
      <c r="E900" t="s">
        <v>10710</v>
      </c>
      <c r="F900" t="s">
        <v>39</v>
      </c>
      <c r="G900" t="s">
        <v>10711</v>
      </c>
      <c r="H900" t="s">
        <v>10712</v>
      </c>
      <c r="I900" t="s">
        <v>10713</v>
      </c>
      <c r="J900" t="s">
        <v>10712</v>
      </c>
      <c r="K900" t="s">
        <v>10714</v>
      </c>
      <c r="L900">
        <v>1855000</v>
      </c>
      <c r="M900">
        <v>2650000</v>
      </c>
      <c r="N900" t="s">
        <v>10715</v>
      </c>
      <c r="O900" s="1">
        <v>45641</v>
      </c>
      <c r="P900" t="s">
        <v>10716</v>
      </c>
      <c r="Q900" t="s">
        <v>10717</v>
      </c>
      <c r="R900" t="s">
        <v>47</v>
      </c>
      <c r="S900" t="s">
        <v>48</v>
      </c>
      <c r="T900" t="s">
        <v>1015</v>
      </c>
      <c r="U900" t="s">
        <v>50</v>
      </c>
      <c r="V900" s="1">
        <v>44376</v>
      </c>
      <c r="W900" t="s">
        <v>4473</v>
      </c>
      <c r="X900" t="s">
        <v>7608</v>
      </c>
      <c r="Y900" t="s">
        <v>10718</v>
      </c>
      <c r="Z900">
        <v>3</v>
      </c>
      <c r="AA900" t="s">
        <v>55</v>
      </c>
      <c r="AB900" t="s">
        <v>10719</v>
      </c>
      <c r="AC900" t="s">
        <v>5575</v>
      </c>
      <c r="AD900" t="s">
        <v>58</v>
      </c>
      <c r="AE900">
        <v>1854999.9999999998</v>
      </c>
      <c r="AF900">
        <v>0</v>
      </c>
      <c r="AJ900" t="e">
        <f>_xlfn.XLOOKUP(Table9[[#This Row],[Engine No.]],'[1]Dubai Islamic Consumer'!$Q$3:$Q$1176,'[1]Dubai Islamic Consumer'!$B$3:$B$1176,,,)</f>
        <v>#N/A</v>
      </c>
    </row>
    <row r="901" spans="1:36" hidden="1" x14ac:dyDescent="0.25">
      <c r="A901">
        <v>900</v>
      </c>
      <c r="B901" s="2" t="s">
        <v>10476</v>
      </c>
      <c r="C901" t="s">
        <v>10720</v>
      </c>
      <c r="D901" t="s">
        <v>37</v>
      </c>
      <c r="E901" t="s">
        <v>10721</v>
      </c>
      <c r="F901" t="s">
        <v>138</v>
      </c>
      <c r="G901" t="s">
        <v>10722</v>
      </c>
      <c r="H901" t="s">
        <v>10723</v>
      </c>
      <c r="I901" t="s">
        <v>10724</v>
      </c>
      <c r="J901" t="s">
        <v>48</v>
      </c>
      <c r="K901" t="s">
        <v>10725</v>
      </c>
      <c r="L901">
        <v>1190000</v>
      </c>
      <c r="M901">
        <v>1700000</v>
      </c>
      <c r="N901" t="s">
        <v>10726</v>
      </c>
      <c r="O901" s="1">
        <v>45640</v>
      </c>
      <c r="P901" t="s">
        <v>10727</v>
      </c>
      <c r="Q901" t="s">
        <v>10728</v>
      </c>
      <c r="R901" t="s">
        <v>146</v>
      </c>
      <c r="S901" t="s">
        <v>10729</v>
      </c>
      <c r="T901" t="s">
        <v>6302</v>
      </c>
      <c r="U901" t="s">
        <v>715</v>
      </c>
      <c r="V901" s="1">
        <v>44546</v>
      </c>
      <c r="W901" t="s">
        <v>4473</v>
      </c>
      <c r="X901" t="s">
        <v>7608</v>
      </c>
      <c r="Y901" t="s">
        <v>10730</v>
      </c>
      <c r="Z901">
        <v>3</v>
      </c>
      <c r="AA901" t="s">
        <v>55</v>
      </c>
      <c r="AB901" t="s">
        <v>10731</v>
      </c>
      <c r="AC901" t="s">
        <v>5575</v>
      </c>
      <c r="AD901" t="s">
        <v>299</v>
      </c>
      <c r="AE901">
        <v>1190000</v>
      </c>
      <c r="AF901">
        <v>0</v>
      </c>
      <c r="AJ901" t="e">
        <f>_xlfn.XLOOKUP(Table9[[#This Row],[Engine No.]],'[1]Dubai Islamic Consumer'!$Q$3:$Q$1176,'[1]Dubai Islamic Consumer'!$B$3:$B$1176,,,)</f>
        <v>#N/A</v>
      </c>
    </row>
    <row r="902" spans="1:36" hidden="1" x14ac:dyDescent="0.25">
      <c r="A902">
        <v>901</v>
      </c>
      <c r="B902" s="2" t="s">
        <v>10476</v>
      </c>
      <c r="C902" t="s">
        <v>10732</v>
      </c>
      <c r="D902" t="s">
        <v>37</v>
      </c>
      <c r="E902" t="s">
        <v>10733</v>
      </c>
      <c r="F902" t="s">
        <v>107</v>
      </c>
      <c r="G902" t="s">
        <v>10734</v>
      </c>
      <c r="H902" t="s">
        <v>48</v>
      </c>
      <c r="I902" t="s">
        <v>10735</v>
      </c>
      <c r="J902" t="s">
        <v>48</v>
      </c>
      <c r="K902" t="s">
        <v>10736</v>
      </c>
      <c r="L902">
        <v>2439500</v>
      </c>
      <c r="M902">
        <v>3485000</v>
      </c>
      <c r="N902" t="s">
        <v>10737</v>
      </c>
      <c r="O902" s="1">
        <v>45639</v>
      </c>
      <c r="P902" t="s">
        <v>10738</v>
      </c>
      <c r="Q902" t="s">
        <v>10739</v>
      </c>
      <c r="R902" t="s">
        <v>47</v>
      </c>
      <c r="S902" t="s">
        <v>48</v>
      </c>
      <c r="T902" t="s">
        <v>2599</v>
      </c>
      <c r="U902" t="s">
        <v>98</v>
      </c>
      <c r="V902" s="1">
        <v>44160</v>
      </c>
      <c r="W902" t="s">
        <v>8114</v>
      </c>
      <c r="X902" t="s">
        <v>10544</v>
      </c>
      <c r="Y902" t="s">
        <v>10740</v>
      </c>
      <c r="Z902">
        <v>3</v>
      </c>
      <c r="AA902" t="s">
        <v>55</v>
      </c>
      <c r="AB902" t="s">
        <v>10741</v>
      </c>
      <c r="AC902" t="s">
        <v>5939</v>
      </c>
      <c r="AD902" t="s">
        <v>58</v>
      </c>
      <c r="AE902">
        <v>2439500</v>
      </c>
      <c r="AF902">
        <v>0</v>
      </c>
      <c r="AJ902" t="e">
        <f>_xlfn.XLOOKUP(Table9[[#This Row],[Engine No.]],'[1]Dubai Islamic Consumer'!$Q$3:$Q$1176,'[1]Dubai Islamic Consumer'!$B$3:$B$1176,,,)</f>
        <v>#N/A</v>
      </c>
    </row>
    <row r="903" spans="1:36" hidden="1" x14ac:dyDescent="0.25">
      <c r="A903">
        <v>902</v>
      </c>
      <c r="B903" s="2" t="s">
        <v>10476</v>
      </c>
      <c r="C903" t="s">
        <v>10742</v>
      </c>
      <c r="D903" t="s">
        <v>37</v>
      </c>
      <c r="E903" t="s">
        <v>10743</v>
      </c>
      <c r="F903" t="s">
        <v>245</v>
      </c>
      <c r="G903" t="s">
        <v>10744</v>
      </c>
      <c r="H903" t="s">
        <v>10745</v>
      </c>
      <c r="I903" t="s">
        <v>48</v>
      </c>
      <c r="J903" t="s">
        <v>10745</v>
      </c>
      <c r="K903" t="s">
        <v>10746</v>
      </c>
      <c r="L903">
        <v>2729300</v>
      </c>
      <c r="M903">
        <v>3899000</v>
      </c>
      <c r="N903" t="s">
        <v>10747</v>
      </c>
      <c r="O903" s="1">
        <v>45639</v>
      </c>
      <c r="P903" t="s">
        <v>10748</v>
      </c>
      <c r="Q903" t="s">
        <v>10749</v>
      </c>
      <c r="R903" t="s">
        <v>47</v>
      </c>
      <c r="S903" t="s">
        <v>48</v>
      </c>
      <c r="T903" t="s">
        <v>1240</v>
      </c>
      <c r="U903" t="s">
        <v>50</v>
      </c>
      <c r="V903" s="1">
        <v>44509</v>
      </c>
      <c r="W903" t="s">
        <v>4473</v>
      </c>
      <c r="X903" t="s">
        <v>7608</v>
      </c>
      <c r="Y903" t="s">
        <v>10750</v>
      </c>
      <c r="Z903">
        <v>3</v>
      </c>
      <c r="AA903" t="s">
        <v>55</v>
      </c>
      <c r="AB903" t="s">
        <v>10751</v>
      </c>
      <c r="AC903" t="s">
        <v>5914</v>
      </c>
      <c r="AD903" t="s">
        <v>58</v>
      </c>
      <c r="AE903">
        <v>2729300</v>
      </c>
      <c r="AF903">
        <v>0</v>
      </c>
      <c r="AJ903" t="e">
        <f>_xlfn.XLOOKUP(Table9[[#This Row],[Engine No.]],'[1]Dubai Islamic Consumer'!$Q$3:$Q$1176,'[1]Dubai Islamic Consumer'!$B$3:$B$1176,,,)</f>
        <v>#N/A</v>
      </c>
    </row>
    <row r="904" spans="1:36" hidden="1" x14ac:dyDescent="0.25">
      <c r="A904">
        <v>903</v>
      </c>
      <c r="B904" s="2" t="s">
        <v>10476</v>
      </c>
      <c r="C904" t="s">
        <v>10752</v>
      </c>
      <c r="D904" t="s">
        <v>37</v>
      </c>
      <c r="E904" t="s">
        <v>10753</v>
      </c>
      <c r="F904" t="s">
        <v>138</v>
      </c>
      <c r="G904" t="s">
        <v>10754</v>
      </c>
      <c r="H904" t="s">
        <v>48</v>
      </c>
      <c r="I904" t="s">
        <v>10755</v>
      </c>
      <c r="J904" t="s">
        <v>48</v>
      </c>
      <c r="K904" t="s">
        <v>10756</v>
      </c>
      <c r="L904">
        <v>1536750</v>
      </c>
      <c r="M904">
        <v>2049000</v>
      </c>
      <c r="N904" t="s">
        <v>10757</v>
      </c>
      <c r="O904" s="1">
        <v>45639</v>
      </c>
      <c r="P904" t="s">
        <v>10758</v>
      </c>
      <c r="Q904" t="s">
        <v>10759</v>
      </c>
      <c r="R904" t="s">
        <v>47</v>
      </c>
      <c r="S904" t="s">
        <v>48</v>
      </c>
      <c r="T904" t="s">
        <v>360</v>
      </c>
      <c r="U904" t="s">
        <v>50</v>
      </c>
      <c r="V904" s="1">
        <v>44316</v>
      </c>
      <c r="W904" t="s">
        <v>4473</v>
      </c>
      <c r="X904" t="s">
        <v>7608</v>
      </c>
      <c r="Y904" t="s">
        <v>10760</v>
      </c>
      <c r="Z904">
        <v>3</v>
      </c>
      <c r="AA904" t="s">
        <v>55</v>
      </c>
      <c r="AB904" t="s">
        <v>10761</v>
      </c>
      <c r="AC904" t="s">
        <v>132</v>
      </c>
      <c r="AD904" t="s">
        <v>58</v>
      </c>
      <c r="AE904">
        <v>1434300</v>
      </c>
      <c r="AF904">
        <v>0</v>
      </c>
      <c r="AJ904" t="e">
        <f>_xlfn.XLOOKUP(Table9[[#This Row],[Engine No.]],'[1]Dubai Islamic Consumer'!$Q$3:$Q$1176,'[1]Dubai Islamic Consumer'!$B$3:$B$1176,,,)</f>
        <v>#N/A</v>
      </c>
    </row>
    <row r="905" spans="1:36" hidden="1" x14ac:dyDescent="0.25">
      <c r="A905">
        <v>904</v>
      </c>
      <c r="B905" s="2" t="s">
        <v>10476</v>
      </c>
      <c r="C905" t="s">
        <v>10762</v>
      </c>
      <c r="D905" t="s">
        <v>37</v>
      </c>
      <c r="E905" t="s">
        <v>10763</v>
      </c>
      <c r="F905" t="s">
        <v>39</v>
      </c>
      <c r="G905" t="s">
        <v>10764</v>
      </c>
      <c r="H905" t="s">
        <v>10765</v>
      </c>
      <c r="I905" t="s">
        <v>10766</v>
      </c>
      <c r="J905" t="s">
        <v>10766</v>
      </c>
      <c r="K905" t="s">
        <v>10767</v>
      </c>
      <c r="L905">
        <v>1725500</v>
      </c>
      <c r="M905">
        <v>4930000</v>
      </c>
      <c r="N905" t="s">
        <v>10768</v>
      </c>
      <c r="O905" s="1">
        <v>45639</v>
      </c>
      <c r="P905" t="s">
        <v>10769</v>
      </c>
      <c r="Q905" t="s">
        <v>10770</v>
      </c>
      <c r="R905" t="s">
        <v>47</v>
      </c>
      <c r="S905" t="s">
        <v>48</v>
      </c>
      <c r="T905" t="s">
        <v>2382</v>
      </c>
      <c r="U905" t="s">
        <v>98</v>
      </c>
      <c r="V905" s="1">
        <v>44162</v>
      </c>
      <c r="W905" t="s">
        <v>4001</v>
      </c>
      <c r="X905" t="s">
        <v>7515</v>
      </c>
      <c r="Y905" t="s">
        <v>10771</v>
      </c>
      <c r="Z905">
        <v>4</v>
      </c>
      <c r="AA905" t="s">
        <v>48</v>
      </c>
      <c r="AB905" t="s">
        <v>48</v>
      </c>
      <c r="AC905" t="s">
        <v>48</v>
      </c>
      <c r="AD905" t="s">
        <v>58</v>
      </c>
      <c r="AE905">
        <v>3451000</v>
      </c>
      <c r="AF905">
        <v>0</v>
      </c>
      <c r="AJ905" t="e">
        <f>_xlfn.XLOOKUP(Table9[[#This Row],[Engine No.]],'[1]Dubai Islamic Consumer'!$Q$3:$Q$1176,'[1]Dubai Islamic Consumer'!$B$3:$B$1176,,,)</f>
        <v>#N/A</v>
      </c>
    </row>
    <row r="906" spans="1:36" hidden="1" x14ac:dyDescent="0.25">
      <c r="A906">
        <v>905</v>
      </c>
      <c r="B906" s="2" t="s">
        <v>10476</v>
      </c>
      <c r="C906" t="s">
        <v>10772</v>
      </c>
      <c r="D906" t="s">
        <v>37</v>
      </c>
      <c r="E906" t="s">
        <v>10773</v>
      </c>
      <c r="F906" t="s">
        <v>4022</v>
      </c>
      <c r="G906" t="s">
        <v>10774</v>
      </c>
      <c r="H906" t="s">
        <v>10775</v>
      </c>
      <c r="I906" t="s">
        <v>10775</v>
      </c>
      <c r="J906" t="s">
        <v>10776</v>
      </c>
      <c r="K906" t="s">
        <v>10777</v>
      </c>
      <c r="L906">
        <v>915600</v>
      </c>
      <c r="M906">
        <v>1308000</v>
      </c>
      <c r="N906" t="s">
        <v>10778</v>
      </c>
      <c r="O906" s="1">
        <v>45638</v>
      </c>
      <c r="P906" t="s">
        <v>10779</v>
      </c>
      <c r="Q906" t="s">
        <v>10780</v>
      </c>
      <c r="R906" t="s">
        <v>47</v>
      </c>
      <c r="S906" t="s">
        <v>10781</v>
      </c>
      <c r="T906" t="s">
        <v>7045</v>
      </c>
      <c r="U906" t="s">
        <v>614</v>
      </c>
      <c r="V906" s="1">
        <v>43816</v>
      </c>
      <c r="W906" t="s">
        <v>5729</v>
      </c>
      <c r="X906" t="s">
        <v>7608</v>
      </c>
      <c r="Y906" t="s">
        <v>10782</v>
      </c>
      <c r="Z906">
        <v>5</v>
      </c>
      <c r="AA906" t="s">
        <v>227</v>
      </c>
      <c r="AB906" t="s">
        <v>10783</v>
      </c>
      <c r="AC906" t="s">
        <v>10784</v>
      </c>
      <c r="AD906" t="s">
        <v>171</v>
      </c>
      <c r="AE906">
        <v>915600</v>
      </c>
      <c r="AF906">
        <v>0</v>
      </c>
      <c r="AJ906" t="e">
        <f>_xlfn.XLOOKUP(Table9[[#This Row],[Engine No.]],'[1]Dubai Islamic Consumer'!$Q$3:$Q$1176,'[1]Dubai Islamic Consumer'!$B$3:$B$1176,,,)</f>
        <v>#N/A</v>
      </c>
    </row>
    <row r="907" spans="1:36" hidden="1" x14ac:dyDescent="0.25">
      <c r="A907">
        <v>906</v>
      </c>
      <c r="B907" s="2" t="s">
        <v>10476</v>
      </c>
      <c r="C907" t="s">
        <v>10785</v>
      </c>
      <c r="D907" t="s">
        <v>37</v>
      </c>
      <c r="E907" t="s">
        <v>10786</v>
      </c>
      <c r="F907" t="s">
        <v>107</v>
      </c>
      <c r="G907" t="s">
        <v>10787</v>
      </c>
      <c r="H907" t="s">
        <v>10788</v>
      </c>
      <c r="I907" t="s">
        <v>10789</v>
      </c>
      <c r="J907" t="s">
        <v>10790</v>
      </c>
      <c r="K907" t="s">
        <v>10791</v>
      </c>
      <c r="L907">
        <v>2480400</v>
      </c>
      <c r="M907">
        <v>3180000</v>
      </c>
      <c r="N907" t="s">
        <v>10792</v>
      </c>
      <c r="O907" s="1">
        <v>45638</v>
      </c>
      <c r="P907" t="s">
        <v>10793</v>
      </c>
      <c r="Q907" t="s">
        <v>10794</v>
      </c>
      <c r="R907" t="s">
        <v>47</v>
      </c>
      <c r="S907" t="s">
        <v>48</v>
      </c>
      <c r="T907" t="s">
        <v>283</v>
      </c>
      <c r="U907" t="s">
        <v>50</v>
      </c>
      <c r="V907" s="1">
        <v>44441</v>
      </c>
      <c r="W907" t="s">
        <v>4015</v>
      </c>
      <c r="X907" t="s">
        <v>7515</v>
      </c>
      <c r="Y907" t="s">
        <v>10795</v>
      </c>
      <c r="Z907">
        <v>3</v>
      </c>
      <c r="AA907" t="s">
        <v>55</v>
      </c>
      <c r="AB907" t="s">
        <v>10796</v>
      </c>
      <c r="AC907" t="s">
        <v>5914</v>
      </c>
      <c r="AD907" t="s">
        <v>58</v>
      </c>
      <c r="AE907">
        <v>2226000</v>
      </c>
      <c r="AF907">
        <v>0</v>
      </c>
      <c r="AJ907" t="e">
        <f>_xlfn.XLOOKUP(Table9[[#This Row],[Engine No.]],'[1]Dubai Islamic Consumer'!$Q$3:$Q$1176,'[1]Dubai Islamic Consumer'!$B$3:$B$1176,,,)</f>
        <v>#N/A</v>
      </c>
    </row>
    <row r="908" spans="1:36" hidden="1" x14ac:dyDescent="0.25">
      <c r="A908">
        <v>907</v>
      </c>
      <c r="B908" s="2" t="s">
        <v>10476</v>
      </c>
      <c r="C908" t="s">
        <v>10797</v>
      </c>
      <c r="D908" t="s">
        <v>37</v>
      </c>
      <c r="E908" t="s">
        <v>10798</v>
      </c>
      <c r="F908" t="s">
        <v>39</v>
      </c>
      <c r="G908" t="s">
        <v>10799</v>
      </c>
      <c r="H908" t="s">
        <v>48</v>
      </c>
      <c r="I908" t="s">
        <v>48</v>
      </c>
      <c r="J908" t="s">
        <v>10800</v>
      </c>
      <c r="K908" t="s">
        <v>10801</v>
      </c>
      <c r="L908">
        <v>2197975</v>
      </c>
      <c r="M908">
        <v>3381500</v>
      </c>
      <c r="N908" t="s">
        <v>10802</v>
      </c>
      <c r="O908" s="1">
        <v>45638</v>
      </c>
      <c r="P908" t="s">
        <v>10803</v>
      </c>
      <c r="Q908" t="s">
        <v>10804</v>
      </c>
      <c r="R908" t="s">
        <v>47</v>
      </c>
      <c r="S908" t="s">
        <v>48</v>
      </c>
      <c r="T908" t="s">
        <v>348</v>
      </c>
      <c r="U908" t="s">
        <v>50</v>
      </c>
      <c r="V908" s="1">
        <v>44531</v>
      </c>
      <c r="W908" t="s">
        <v>4473</v>
      </c>
      <c r="X908" t="s">
        <v>7608</v>
      </c>
      <c r="Y908" t="s">
        <v>10805</v>
      </c>
      <c r="Z908">
        <v>3</v>
      </c>
      <c r="AA908" t="s">
        <v>118</v>
      </c>
      <c r="AB908" t="s">
        <v>10806</v>
      </c>
      <c r="AC908" t="s">
        <v>5995</v>
      </c>
      <c r="AD908" t="s">
        <v>58</v>
      </c>
      <c r="AE908">
        <v>2367050</v>
      </c>
      <c r="AF908">
        <v>0</v>
      </c>
      <c r="AJ908" t="e">
        <f>_xlfn.XLOOKUP(Table9[[#This Row],[Engine No.]],'[1]Dubai Islamic Consumer'!$Q$3:$Q$1176,'[1]Dubai Islamic Consumer'!$B$3:$B$1176,,,)</f>
        <v>#N/A</v>
      </c>
    </row>
    <row r="909" spans="1:36" hidden="1" x14ac:dyDescent="0.25">
      <c r="A909">
        <v>908</v>
      </c>
      <c r="B909" s="2" t="s">
        <v>10476</v>
      </c>
      <c r="C909" t="s">
        <v>10807</v>
      </c>
      <c r="D909" t="s">
        <v>37</v>
      </c>
      <c r="E909" t="s">
        <v>10808</v>
      </c>
      <c r="F909" t="s">
        <v>107</v>
      </c>
      <c r="G909" t="s">
        <v>10809</v>
      </c>
      <c r="H909" t="s">
        <v>10810</v>
      </c>
      <c r="I909" t="s">
        <v>10810</v>
      </c>
      <c r="J909" t="s">
        <v>10810</v>
      </c>
      <c r="K909" t="s">
        <v>10811</v>
      </c>
      <c r="L909">
        <v>650000</v>
      </c>
      <c r="M909">
        <v>1000000</v>
      </c>
      <c r="N909" t="s">
        <v>10812</v>
      </c>
      <c r="O909" s="1">
        <v>45638</v>
      </c>
      <c r="P909" t="s">
        <v>10813</v>
      </c>
      <c r="Q909" t="s">
        <v>10814</v>
      </c>
      <c r="R909" t="s">
        <v>1215</v>
      </c>
      <c r="S909" t="s">
        <v>10815</v>
      </c>
      <c r="T909" t="s">
        <v>10816</v>
      </c>
      <c r="U909" t="s">
        <v>651</v>
      </c>
      <c r="V909" s="1">
        <v>43815</v>
      </c>
      <c r="W909" t="s">
        <v>5729</v>
      </c>
      <c r="X909" t="s">
        <v>7608</v>
      </c>
      <c r="Y909" t="s">
        <v>10817</v>
      </c>
      <c r="Z909">
        <v>5</v>
      </c>
      <c r="AA909" t="s">
        <v>55</v>
      </c>
      <c r="AB909" t="s">
        <v>10818</v>
      </c>
      <c r="AC909" t="s">
        <v>10784</v>
      </c>
      <c r="AD909" t="s">
        <v>171</v>
      </c>
      <c r="AE909">
        <v>700000</v>
      </c>
      <c r="AF909">
        <v>0</v>
      </c>
      <c r="AJ909" t="e">
        <f>_xlfn.XLOOKUP(Table9[[#This Row],[Engine No.]],'[1]Dubai Islamic Consumer'!$Q$3:$Q$1176,'[1]Dubai Islamic Consumer'!$B$3:$B$1176,,,)</f>
        <v>#N/A</v>
      </c>
    </row>
    <row r="910" spans="1:36" hidden="1" x14ac:dyDescent="0.25">
      <c r="A910">
        <v>909</v>
      </c>
      <c r="B910" s="2" t="s">
        <v>10476</v>
      </c>
      <c r="C910" t="s">
        <v>10819</v>
      </c>
      <c r="D910" t="s">
        <v>37</v>
      </c>
      <c r="E910" t="s">
        <v>10820</v>
      </c>
      <c r="F910" t="s">
        <v>245</v>
      </c>
      <c r="G910" t="s">
        <v>10821</v>
      </c>
      <c r="H910" t="s">
        <v>10822</v>
      </c>
      <c r="I910" t="s">
        <v>48</v>
      </c>
      <c r="J910" t="s">
        <v>10823</v>
      </c>
      <c r="K910" t="s">
        <v>10824</v>
      </c>
      <c r="L910">
        <v>994000</v>
      </c>
      <c r="M910">
        <v>1420000</v>
      </c>
      <c r="N910" t="s">
        <v>10825</v>
      </c>
      <c r="O910" s="1">
        <v>45637</v>
      </c>
      <c r="P910" t="s">
        <v>10826</v>
      </c>
      <c r="Q910" t="s">
        <v>10827</v>
      </c>
      <c r="R910" t="s">
        <v>1215</v>
      </c>
      <c r="S910" t="s">
        <v>10828</v>
      </c>
      <c r="T910" t="s">
        <v>4077</v>
      </c>
      <c r="U910" t="s">
        <v>715</v>
      </c>
      <c r="V910" s="1">
        <v>43082</v>
      </c>
      <c r="W910" t="s">
        <v>7655</v>
      </c>
      <c r="X910" t="s">
        <v>7608</v>
      </c>
      <c r="Y910" t="s">
        <v>10829</v>
      </c>
      <c r="Z910">
        <v>7</v>
      </c>
      <c r="AA910" t="s">
        <v>323</v>
      </c>
      <c r="AB910" t="s">
        <v>10830</v>
      </c>
      <c r="AC910" t="s">
        <v>10831</v>
      </c>
      <c r="AD910" t="s">
        <v>7584</v>
      </c>
      <c r="AE910">
        <v>993999.99999999988</v>
      </c>
      <c r="AF910">
        <v>0</v>
      </c>
      <c r="AJ910" t="e">
        <f>_xlfn.XLOOKUP(Table9[[#This Row],[Engine No.]],'[1]Dubai Islamic Consumer'!$Q$3:$Q$1176,'[1]Dubai Islamic Consumer'!$B$3:$B$1176,,,)</f>
        <v>#N/A</v>
      </c>
    </row>
    <row r="911" spans="1:36" hidden="1" x14ac:dyDescent="0.25">
      <c r="A911">
        <v>910</v>
      </c>
      <c r="B911" s="2" t="s">
        <v>10476</v>
      </c>
      <c r="C911" t="s">
        <v>10832</v>
      </c>
      <c r="D911" t="s">
        <v>37</v>
      </c>
      <c r="E911" t="s">
        <v>10833</v>
      </c>
      <c r="F911" t="s">
        <v>39</v>
      </c>
      <c r="G911" t="s">
        <v>10834</v>
      </c>
      <c r="H911" t="s">
        <v>48</v>
      </c>
      <c r="I911" t="s">
        <v>10835</v>
      </c>
      <c r="J911" t="s">
        <v>48</v>
      </c>
      <c r="K911" t="s">
        <v>10836</v>
      </c>
      <c r="L911">
        <v>3219300</v>
      </c>
      <c r="M911">
        <v>4599000</v>
      </c>
      <c r="N911" t="s">
        <v>10837</v>
      </c>
      <c r="O911" s="1">
        <v>45635</v>
      </c>
      <c r="P911" t="s">
        <v>10838</v>
      </c>
      <c r="Q911" t="s">
        <v>10839</v>
      </c>
      <c r="R911" t="s">
        <v>47</v>
      </c>
      <c r="S911" t="s">
        <v>10840</v>
      </c>
      <c r="T911" t="s">
        <v>1154</v>
      </c>
      <c r="U911" t="s">
        <v>614</v>
      </c>
      <c r="V911" s="1">
        <v>43790</v>
      </c>
      <c r="W911" t="s">
        <v>5729</v>
      </c>
      <c r="X911" t="s">
        <v>7608</v>
      </c>
      <c r="Y911" t="s">
        <v>10841</v>
      </c>
      <c r="Z911">
        <v>5</v>
      </c>
      <c r="AA911" t="s">
        <v>48</v>
      </c>
      <c r="AB911" t="s">
        <v>48</v>
      </c>
      <c r="AC911" t="s">
        <v>48</v>
      </c>
      <c r="AD911" t="s">
        <v>171</v>
      </c>
      <c r="AE911">
        <v>3219300</v>
      </c>
      <c r="AF911">
        <v>0</v>
      </c>
      <c r="AJ911" t="e">
        <f>_xlfn.XLOOKUP(Table9[[#This Row],[Engine No.]],'[1]Dubai Islamic Consumer'!$Q$3:$Q$1176,'[1]Dubai Islamic Consumer'!$B$3:$B$1176,,,)</f>
        <v>#N/A</v>
      </c>
    </row>
    <row r="912" spans="1:36" hidden="1" x14ac:dyDescent="0.25">
      <c r="A912">
        <v>911</v>
      </c>
      <c r="B912" s="2" t="s">
        <v>10476</v>
      </c>
      <c r="C912" t="s">
        <v>10842</v>
      </c>
      <c r="D912" t="s">
        <v>37</v>
      </c>
      <c r="E912" t="s">
        <v>10843</v>
      </c>
      <c r="F912" t="s">
        <v>89</v>
      </c>
      <c r="G912" t="s">
        <v>10844</v>
      </c>
      <c r="H912" t="s">
        <v>10845</v>
      </c>
      <c r="I912" t="s">
        <v>48</v>
      </c>
      <c r="J912" t="s">
        <v>10846</v>
      </c>
      <c r="K912" t="s">
        <v>10847</v>
      </c>
      <c r="L912">
        <v>1320000</v>
      </c>
      <c r="M912">
        <v>2200000</v>
      </c>
      <c r="N912" t="s">
        <v>10848</v>
      </c>
      <c r="O912" s="1">
        <v>45635</v>
      </c>
      <c r="P912" t="s">
        <v>10849</v>
      </c>
      <c r="Q912" t="s">
        <v>10850</v>
      </c>
      <c r="R912" t="s">
        <v>146</v>
      </c>
      <c r="S912" t="s">
        <v>10851</v>
      </c>
      <c r="T912" t="s">
        <v>3073</v>
      </c>
      <c r="U912" t="s">
        <v>651</v>
      </c>
      <c r="V912" s="1">
        <v>44551</v>
      </c>
      <c r="W912" t="s">
        <v>4473</v>
      </c>
      <c r="X912" t="s">
        <v>7608</v>
      </c>
      <c r="Y912" t="s">
        <v>10852</v>
      </c>
      <c r="Z912">
        <v>3</v>
      </c>
      <c r="AA912" t="s">
        <v>55</v>
      </c>
      <c r="AB912" t="s">
        <v>10853</v>
      </c>
      <c r="AC912" t="s">
        <v>4176</v>
      </c>
      <c r="AD912" t="s">
        <v>299</v>
      </c>
      <c r="AE912">
        <v>1540000</v>
      </c>
      <c r="AF912">
        <v>0</v>
      </c>
      <c r="AJ912" t="e">
        <f>_xlfn.XLOOKUP(Table9[[#This Row],[Engine No.]],'[1]Dubai Islamic Consumer'!$Q$3:$Q$1176,'[1]Dubai Islamic Consumer'!$B$3:$B$1176,,,)</f>
        <v>#N/A</v>
      </c>
    </row>
    <row r="913" spans="1:36" hidden="1" x14ac:dyDescent="0.25">
      <c r="A913">
        <v>912</v>
      </c>
      <c r="B913" s="2" t="s">
        <v>10476</v>
      </c>
      <c r="C913" t="s">
        <v>10854</v>
      </c>
      <c r="D913" t="s">
        <v>37</v>
      </c>
      <c r="E913" t="s">
        <v>10855</v>
      </c>
      <c r="F913" t="s">
        <v>290</v>
      </c>
      <c r="G913" t="s">
        <v>10856</v>
      </c>
      <c r="H913" t="s">
        <v>10857</v>
      </c>
      <c r="I913" t="s">
        <v>10857</v>
      </c>
      <c r="J913" t="s">
        <v>10857</v>
      </c>
      <c r="K913" t="s">
        <v>10858</v>
      </c>
      <c r="L913">
        <v>1154250</v>
      </c>
      <c r="M913">
        <v>1539000</v>
      </c>
      <c r="N913" t="s">
        <v>10859</v>
      </c>
      <c r="O913" s="1">
        <v>45635</v>
      </c>
      <c r="P913" t="s">
        <v>10860</v>
      </c>
      <c r="Q913" t="s">
        <v>10861</v>
      </c>
      <c r="R913" t="s">
        <v>47</v>
      </c>
      <c r="S913" t="s">
        <v>48</v>
      </c>
      <c r="T913" t="s">
        <v>239</v>
      </c>
      <c r="U913" t="s">
        <v>50</v>
      </c>
      <c r="V913" s="1">
        <v>44546</v>
      </c>
      <c r="W913" t="s">
        <v>4473</v>
      </c>
      <c r="X913" t="s">
        <v>7608</v>
      </c>
      <c r="Y913" t="s">
        <v>10862</v>
      </c>
      <c r="Z913">
        <v>3</v>
      </c>
      <c r="AA913" t="s">
        <v>55</v>
      </c>
      <c r="AB913" t="s">
        <v>10863</v>
      </c>
      <c r="AC913" t="s">
        <v>6078</v>
      </c>
      <c r="AD913" t="s">
        <v>58</v>
      </c>
      <c r="AE913">
        <v>1077300</v>
      </c>
      <c r="AF913">
        <v>0</v>
      </c>
      <c r="AJ913" t="e">
        <f>_xlfn.XLOOKUP(Table9[[#This Row],[Engine No.]],'[1]Dubai Islamic Consumer'!$Q$3:$Q$1176,'[1]Dubai Islamic Consumer'!$B$3:$B$1176,,,)</f>
        <v>#N/A</v>
      </c>
    </row>
    <row r="914" spans="1:36" hidden="1" x14ac:dyDescent="0.25">
      <c r="A914">
        <v>913</v>
      </c>
      <c r="B914" s="2" t="s">
        <v>10476</v>
      </c>
      <c r="C914" t="s">
        <v>10864</v>
      </c>
      <c r="D914" t="s">
        <v>37</v>
      </c>
      <c r="E914" t="s">
        <v>10865</v>
      </c>
      <c r="F914" t="s">
        <v>107</v>
      </c>
      <c r="G914" t="s">
        <v>10866</v>
      </c>
      <c r="H914" t="s">
        <v>10867</v>
      </c>
      <c r="I914" t="s">
        <v>10867</v>
      </c>
      <c r="J914" t="s">
        <v>10867</v>
      </c>
      <c r="K914" t="s">
        <v>10868</v>
      </c>
      <c r="L914">
        <v>12000000</v>
      </c>
      <c r="M914">
        <v>20000000</v>
      </c>
      <c r="N914" t="s">
        <v>10869</v>
      </c>
      <c r="O914" s="1">
        <v>45631</v>
      </c>
      <c r="P914" t="s">
        <v>10870</v>
      </c>
      <c r="Q914" t="s">
        <v>10871</v>
      </c>
      <c r="R914" t="s">
        <v>1215</v>
      </c>
      <c r="S914" t="s">
        <v>10872</v>
      </c>
      <c r="T914" t="s">
        <v>10873</v>
      </c>
      <c r="U914" t="s">
        <v>7824</v>
      </c>
      <c r="V914" s="1">
        <v>43805</v>
      </c>
      <c r="W914" t="s">
        <v>7762</v>
      </c>
      <c r="X914" t="s">
        <v>7724</v>
      </c>
      <c r="Y914" t="s">
        <v>10874</v>
      </c>
      <c r="Z914">
        <v>5</v>
      </c>
      <c r="AA914" t="s">
        <v>55</v>
      </c>
      <c r="AB914" t="s">
        <v>10533</v>
      </c>
      <c r="AC914" t="s">
        <v>5683</v>
      </c>
      <c r="AD914" t="s">
        <v>10875</v>
      </c>
      <c r="AE914">
        <v>14000000</v>
      </c>
      <c r="AF914">
        <v>0</v>
      </c>
      <c r="AJ914" t="e">
        <f>_xlfn.XLOOKUP(Table9[[#This Row],[Engine No.]],'[1]Dubai Islamic Consumer'!$Q$3:$Q$1176,'[1]Dubai Islamic Consumer'!$B$3:$B$1176,,,)</f>
        <v>#N/A</v>
      </c>
    </row>
    <row r="915" spans="1:36" hidden="1" x14ac:dyDescent="0.25">
      <c r="A915">
        <v>914</v>
      </c>
      <c r="B915" s="2" t="s">
        <v>10476</v>
      </c>
      <c r="C915" t="s">
        <v>10876</v>
      </c>
      <c r="D915" t="s">
        <v>37</v>
      </c>
      <c r="E915" t="s">
        <v>10877</v>
      </c>
      <c r="F915" t="s">
        <v>39</v>
      </c>
      <c r="G915" t="s">
        <v>10878</v>
      </c>
      <c r="H915" t="s">
        <v>10879</v>
      </c>
      <c r="I915" t="s">
        <v>10879</v>
      </c>
      <c r="J915" t="s">
        <v>10880</v>
      </c>
      <c r="K915" t="s">
        <v>10881</v>
      </c>
      <c r="L915">
        <v>2969450</v>
      </c>
      <c r="M915">
        <v>5399000</v>
      </c>
      <c r="N915" t="s">
        <v>10882</v>
      </c>
      <c r="O915" s="1">
        <v>45629</v>
      </c>
      <c r="P915" t="s">
        <v>10883</v>
      </c>
      <c r="Q915" t="s">
        <v>10884</v>
      </c>
      <c r="R915" t="s">
        <v>47</v>
      </c>
      <c r="S915" t="s">
        <v>48</v>
      </c>
      <c r="T915" t="s">
        <v>115</v>
      </c>
      <c r="U915" t="s">
        <v>98</v>
      </c>
      <c r="V915" s="1">
        <v>44047</v>
      </c>
      <c r="W915" t="s">
        <v>3830</v>
      </c>
      <c r="X915" t="s">
        <v>7724</v>
      </c>
      <c r="Y915" t="s">
        <v>10885</v>
      </c>
      <c r="Z915">
        <v>4</v>
      </c>
      <c r="AA915" t="s">
        <v>48</v>
      </c>
      <c r="AB915" t="s">
        <v>48</v>
      </c>
      <c r="AC915" t="s">
        <v>48</v>
      </c>
      <c r="AD915" t="s">
        <v>299</v>
      </c>
      <c r="AE915">
        <v>3779299.9999999995</v>
      </c>
      <c r="AF915">
        <v>0</v>
      </c>
      <c r="AJ915" t="e">
        <f>_xlfn.XLOOKUP(Table9[[#This Row],[Engine No.]],'[1]Dubai Islamic Consumer'!$Q$3:$Q$1176,'[1]Dubai Islamic Consumer'!$B$3:$B$1176,,,)</f>
        <v>#N/A</v>
      </c>
    </row>
    <row r="916" spans="1:36" hidden="1" x14ac:dyDescent="0.25">
      <c r="A916">
        <v>915</v>
      </c>
      <c r="B916" s="2" t="s">
        <v>10476</v>
      </c>
      <c r="C916" t="s">
        <v>10886</v>
      </c>
      <c r="D916" t="s">
        <v>37</v>
      </c>
      <c r="E916" t="s">
        <v>10887</v>
      </c>
      <c r="F916" t="s">
        <v>107</v>
      </c>
      <c r="G916" t="s">
        <v>10888</v>
      </c>
      <c r="H916" t="s">
        <v>10889</v>
      </c>
      <c r="I916" t="s">
        <v>10889</v>
      </c>
      <c r="J916" t="s">
        <v>10889</v>
      </c>
      <c r="K916" t="s">
        <v>10890</v>
      </c>
      <c r="L916">
        <v>1092861</v>
      </c>
      <c r="M916">
        <v>1610000</v>
      </c>
      <c r="N916" t="s">
        <v>10891</v>
      </c>
      <c r="O916" s="1">
        <v>45625</v>
      </c>
      <c r="P916" t="s">
        <v>10892</v>
      </c>
      <c r="Q916" t="s">
        <v>10893</v>
      </c>
      <c r="R916" t="s">
        <v>1215</v>
      </c>
      <c r="S916" t="s">
        <v>10894</v>
      </c>
      <c r="T916" t="s">
        <v>321</v>
      </c>
      <c r="U916" t="s">
        <v>651</v>
      </c>
      <c r="V916" t="s">
        <v>3728</v>
      </c>
      <c r="W916" t="s">
        <v>3729</v>
      </c>
      <c r="X916" t="s">
        <v>7798</v>
      </c>
      <c r="Y916" t="s">
        <v>10895</v>
      </c>
      <c r="Z916">
        <v>5</v>
      </c>
      <c r="AA916" t="s">
        <v>55</v>
      </c>
      <c r="AB916" t="s">
        <v>10896</v>
      </c>
      <c r="AC916" t="s">
        <v>3728</v>
      </c>
      <c r="AD916" t="s">
        <v>171</v>
      </c>
      <c r="AE916">
        <v>966000</v>
      </c>
      <c r="AF916">
        <v>0</v>
      </c>
      <c r="AG916" t="s">
        <v>10897</v>
      </c>
      <c r="AH916" t="s">
        <v>3577</v>
      </c>
      <c r="AJ916" t="e">
        <f>_xlfn.XLOOKUP(Table9[[#This Row],[Engine No.]],'[1]Dubai Islamic Consumer'!$Q$3:$Q$1176,'[1]Dubai Islamic Consumer'!$B$3:$B$1176,,,)</f>
        <v>#N/A</v>
      </c>
    </row>
    <row r="917" spans="1:36" hidden="1" x14ac:dyDescent="0.25">
      <c r="A917">
        <v>916</v>
      </c>
      <c r="B917" s="2" t="s">
        <v>10476</v>
      </c>
      <c r="C917" t="s">
        <v>10898</v>
      </c>
      <c r="D917" t="s">
        <v>37</v>
      </c>
      <c r="E917" t="s">
        <v>10899</v>
      </c>
      <c r="F917" t="s">
        <v>138</v>
      </c>
      <c r="G917" t="s">
        <v>10900</v>
      </c>
      <c r="H917" t="s">
        <v>10901</v>
      </c>
      <c r="I917" t="s">
        <v>10901</v>
      </c>
      <c r="J917" t="s">
        <v>10902</v>
      </c>
      <c r="K917" t="s">
        <v>10903</v>
      </c>
      <c r="L917">
        <v>651122</v>
      </c>
      <c r="M917">
        <v>1094000</v>
      </c>
      <c r="N917" t="s">
        <v>10904</v>
      </c>
      <c r="O917" s="1">
        <v>45625</v>
      </c>
      <c r="P917" t="s">
        <v>10905</v>
      </c>
      <c r="Q917" t="s">
        <v>10906</v>
      </c>
      <c r="R917" t="s">
        <v>47</v>
      </c>
      <c r="S917" t="s">
        <v>10907</v>
      </c>
      <c r="T917" t="s">
        <v>321</v>
      </c>
      <c r="U917" t="s">
        <v>335</v>
      </c>
      <c r="V917" t="s">
        <v>10908</v>
      </c>
      <c r="W917" t="s">
        <v>7888</v>
      </c>
      <c r="X917" s="1">
        <v>45647</v>
      </c>
      <c r="Y917" t="s">
        <v>10909</v>
      </c>
      <c r="Z917">
        <v>4</v>
      </c>
      <c r="AA917" t="s">
        <v>323</v>
      </c>
      <c r="AB917" t="s">
        <v>10910</v>
      </c>
      <c r="AC917" t="s">
        <v>10911</v>
      </c>
      <c r="AD917" t="s">
        <v>7584</v>
      </c>
      <c r="AE917">
        <v>656400</v>
      </c>
      <c r="AF917">
        <v>0</v>
      </c>
      <c r="AG917" t="s">
        <v>10912</v>
      </c>
      <c r="AH917" t="s">
        <v>3577</v>
      </c>
      <c r="AJ917" t="e">
        <f>_xlfn.XLOOKUP(Table9[[#This Row],[Engine No.]],'[1]Dubai Islamic Consumer'!$Q$3:$Q$1176,'[1]Dubai Islamic Consumer'!$B$3:$B$1176,,,)</f>
        <v>#N/A</v>
      </c>
    </row>
    <row r="918" spans="1:36" hidden="1" x14ac:dyDescent="0.25">
      <c r="A918">
        <v>917</v>
      </c>
      <c r="B918" s="2" t="s">
        <v>10476</v>
      </c>
      <c r="C918" t="s">
        <v>10913</v>
      </c>
      <c r="D918" t="s">
        <v>37</v>
      </c>
      <c r="E918" t="s">
        <v>10914</v>
      </c>
      <c r="F918" t="s">
        <v>107</v>
      </c>
      <c r="G918" t="s">
        <v>10915</v>
      </c>
      <c r="H918" t="s">
        <v>10916</v>
      </c>
      <c r="I918" t="s">
        <v>10916</v>
      </c>
      <c r="J918" t="s">
        <v>10917</v>
      </c>
      <c r="K918" t="s">
        <v>10918</v>
      </c>
      <c r="L918">
        <v>431874</v>
      </c>
      <c r="M918">
        <v>754000</v>
      </c>
      <c r="N918" t="s">
        <v>10919</v>
      </c>
      <c r="O918" s="1">
        <v>45623</v>
      </c>
      <c r="P918" t="s">
        <v>10920</v>
      </c>
      <c r="Q918" t="s">
        <v>10921</v>
      </c>
      <c r="R918" t="s">
        <v>47</v>
      </c>
      <c r="S918" t="s">
        <v>10922</v>
      </c>
      <c r="T918" t="s">
        <v>10923</v>
      </c>
      <c r="U918" t="s">
        <v>335</v>
      </c>
      <c r="V918" t="s">
        <v>7887</v>
      </c>
      <c r="W918" t="s">
        <v>7888</v>
      </c>
      <c r="X918" t="s">
        <v>7798</v>
      </c>
      <c r="Y918" t="s">
        <v>10924</v>
      </c>
      <c r="Z918">
        <v>7</v>
      </c>
      <c r="AA918" t="s">
        <v>55</v>
      </c>
      <c r="AB918" t="s">
        <v>10925</v>
      </c>
      <c r="AC918" t="s">
        <v>7887</v>
      </c>
      <c r="AD918" t="s">
        <v>7584</v>
      </c>
      <c r="AE918">
        <v>452400</v>
      </c>
      <c r="AF918">
        <v>0</v>
      </c>
      <c r="AG918" t="s">
        <v>10926</v>
      </c>
      <c r="AH918" t="s">
        <v>3577</v>
      </c>
      <c r="AJ918" t="e">
        <f>_xlfn.XLOOKUP(Table9[[#This Row],[Engine No.]],'[1]Dubai Islamic Consumer'!$Q$3:$Q$1176,'[1]Dubai Islamic Consumer'!$B$3:$B$1176,,,)</f>
        <v>#N/A</v>
      </c>
    </row>
    <row r="919" spans="1:36" hidden="1" x14ac:dyDescent="0.25">
      <c r="A919">
        <v>918</v>
      </c>
      <c r="B919" s="2" t="s">
        <v>10476</v>
      </c>
      <c r="C919" t="s">
        <v>10927</v>
      </c>
      <c r="D919" t="s">
        <v>37</v>
      </c>
      <c r="E919" t="s">
        <v>10928</v>
      </c>
      <c r="F919" t="s">
        <v>138</v>
      </c>
      <c r="G919" t="s">
        <v>10929</v>
      </c>
      <c r="H919" t="s">
        <v>10930</v>
      </c>
      <c r="I919" t="s">
        <v>10930</v>
      </c>
      <c r="J919" t="s">
        <v>141</v>
      </c>
      <c r="K919" t="s">
        <v>10931</v>
      </c>
      <c r="L919">
        <v>471430</v>
      </c>
      <c r="M919">
        <v>675000</v>
      </c>
      <c r="N919" t="s">
        <v>10932</v>
      </c>
      <c r="O919" s="1">
        <v>45622</v>
      </c>
      <c r="P919" t="s">
        <v>10933</v>
      </c>
      <c r="Q919" t="s">
        <v>10934</v>
      </c>
      <c r="R919" t="s">
        <v>146</v>
      </c>
      <c r="S919" t="s">
        <v>10935</v>
      </c>
      <c r="T919" t="s">
        <v>3308</v>
      </c>
      <c r="U919" t="s">
        <v>651</v>
      </c>
      <c r="V919" t="s">
        <v>3295</v>
      </c>
      <c r="W919" t="s">
        <v>3296</v>
      </c>
      <c r="X919" t="s">
        <v>7915</v>
      </c>
      <c r="Y919" t="s">
        <v>10936</v>
      </c>
      <c r="Z919">
        <v>5</v>
      </c>
      <c r="AA919" t="s">
        <v>55</v>
      </c>
      <c r="AB919" t="s">
        <v>10937</v>
      </c>
      <c r="AC919" t="s">
        <v>3295</v>
      </c>
      <c r="AD919" t="s">
        <v>171</v>
      </c>
      <c r="AE919">
        <v>405000</v>
      </c>
      <c r="AF919">
        <v>0</v>
      </c>
      <c r="AG919" t="s">
        <v>10938</v>
      </c>
      <c r="AH919" t="s">
        <v>3577</v>
      </c>
      <c r="AJ919" t="e">
        <f>_xlfn.XLOOKUP(Table9[[#This Row],[Engine No.]],'[1]Dubai Islamic Consumer'!$Q$3:$Q$1176,'[1]Dubai Islamic Consumer'!$B$3:$B$1176,,,)</f>
        <v>#N/A</v>
      </c>
    </row>
    <row r="920" spans="1:36" hidden="1" x14ac:dyDescent="0.25">
      <c r="A920">
        <v>919</v>
      </c>
      <c r="B920" s="2" t="s">
        <v>10476</v>
      </c>
      <c r="C920" t="s">
        <v>10939</v>
      </c>
      <c r="D920" t="s">
        <v>37</v>
      </c>
      <c r="E920" t="s">
        <v>10940</v>
      </c>
      <c r="F920" t="s">
        <v>245</v>
      </c>
      <c r="G920" t="s">
        <v>10941</v>
      </c>
      <c r="H920" t="s">
        <v>10942</v>
      </c>
      <c r="I920" t="s">
        <v>10942</v>
      </c>
      <c r="J920" t="s">
        <v>10943</v>
      </c>
      <c r="K920" t="s">
        <v>10944</v>
      </c>
      <c r="L920">
        <v>725212</v>
      </c>
      <c r="M920">
        <v>1308000</v>
      </c>
      <c r="N920" t="s">
        <v>10945</v>
      </c>
      <c r="O920" s="1">
        <v>45620</v>
      </c>
      <c r="P920" t="s">
        <v>10946</v>
      </c>
      <c r="Q920" t="s">
        <v>10947</v>
      </c>
      <c r="R920" t="s">
        <v>47</v>
      </c>
      <c r="S920" t="s">
        <v>10948</v>
      </c>
      <c r="T920" t="s">
        <v>2334</v>
      </c>
      <c r="U920" t="s">
        <v>614</v>
      </c>
      <c r="V920" t="s">
        <v>10949</v>
      </c>
      <c r="W920" t="s">
        <v>3296</v>
      </c>
      <c r="X920" s="1">
        <v>45629</v>
      </c>
      <c r="Y920" t="s">
        <v>10950</v>
      </c>
      <c r="Z920">
        <v>4</v>
      </c>
      <c r="AA920" t="s">
        <v>55</v>
      </c>
      <c r="AB920" t="s">
        <v>10951</v>
      </c>
      <c r="AC920" t="s">
        <v>10952</v>
      </c>
      <c r="AD920" t="s">
        <v>171</v>
      </c>
      <c r="AE920">
        <v>784800</v>
      </c>
      <c r="AF920">
        <v>0</v>
      </c>
      <c r="AG920" t="s">
        <v>10953</v>
      </c>
      <c r="AH920" t="s">
        <v>3577</v>
      </c>
      <c r="AJ920" t="e">
        <f>_xlfn.XLOOKUP(Table9[[#This Row],[Engine No.]],'[1]Dubai Islamic Consumer'!$Q$3:$Q$1176,'[1]Dubai Islamic Consumer'!$B$3:$B$1176,,,)</f>
        <v>#N/A</v>
      </c>
    </row>
    <row r="921" spans="1:36" hidden="1" x14ac:dyDescent="0.25">
      <c r="A921">
        <v>920</v>
      </c>
      <c r="B921" s="2" t="s">
        <v>10476</v>
      </c>
      <c r="C921" t="s">
        <v>10954</v>
      </c>
      <c r="D921" t="s">
        <v>37</v>
      </c>
      <c r="E921" t="s">
        <v>10955</v>
      </c>
      <c r="F921" t="s">
        <v>138</v>
      </c>
      <c r="G921" t="s">
        <v>10956</v>
      </c>
      <c r="H921" t="s">
        <v>48</v>
      </c>
      <c r="I921" t="s">
        <v>10957</v>
      </c>
      <c r="J921" t="s">
        <v>48</v>
      </c>
      <c r="K921" t="s">
        <v>10958</v>
      </c>
      <c r="L921">
        <v>1594305</v>
      </c>
      <c r="M921">
        <v>2075000</v>
      </c>
      <c r="N921" t="s">
        <v>10959</v>
      </c>
      <c r="O921" s="1">
        <v>45616</v>
      </c>
      <c r="P921" t="s">
        <v>10960</v>
      </c>
      <c r="Q921" t="s">
        <v>10961</v>
      </c>
      <c r="R921" t="s">
        <v>146</v>
      </c>
      <c r="S921" t="s">
        <v>10962</v>
      </c>
      <c r="T921" t="s">
        <v>1289</v>
      </c>
      <c r="U921" t="s">
        <v>335</v>
      </c>
      <c r="V921" t="s">
        <v>10963</v>
      </c>
      <c r="W921" t="s">
        <v>3296</v>
      </c>
      <c r="X921" t="s">
        <v>7915</v>
      </c>
      <c r="Y921" t="s">
        <v>10964</v>
      </c>
      <c r="Z921">
        <v>5</v>
      </c>
      <c r="AA921" t="s">
        <v>55</v>
      </c>
      <c r="AB921" t="s">
        <v>10965</v>
      </c>
      <c r="AC921" t="s">
        <v>10963</v>
      </c>
      <c r="AD921" t="s">
        <v>171</v>
      </c>
      <c r="AE921">
        <v>1245000</v>
      </c>
      <c r="AF921">
        <v>0</v>
      </c>
      <c r="AG921" t="s">
        <v>10966</v>
      </c>
      <c r="AH921" t="s">
        <v>3577</v>
      </c>
      <c r="AJ921" t="e">
        <f>_xlfn.XLOOKUP(Table9[[#This Row],[Engine No.]],'[1]Dubai Islamic Consumer'!$Q$3:$Q$1176,'[1]Dubai Islamic Consumer'!$B$3:$B$1176,,,)</f>
        <v>#N/A</v>
      </c>
    </row>
    <row r="922" spans="1:36" hidden="1" x14ac:dyDescent="0.25">
      <c r="A922">
        <v>921</v>
      </c>
      <c r="B922" s="2" t="s">
        <v>10476</v>
      </c>
      <c r="C922" t="s">
        <v>10967</v>
      </c>
      <c r="D922" t="s">
        <v>37</v>
      </c>
      <c r="E922" t="s">
        <v>10968</v>
      </c>
      <c r="F922" t="s">
        <v>107</v>
      </c>
      <c r="G922" t="s">
        <v>10969</v>
      </c>
      <c r="H922" t="s">
        <v>10970</v>
      </c>
      <c r="I922" t="s">
        <v>10970</v>
      </c>
      <c r="J922" t="s">
        <v>10970</v>
      </c>
      <c r="K922" t="s">
        <v>10971</v>
      </c>
      <c r="L922">
        <v>498748</v>
      </c>
      <c r="M922">
        <v>760000</v>
      </c>
      <c r="N922" t="s">
        <v>10972</v>
      </c>
      <c r="O922" s="1">
        <v>45615</v>
      </c>
      <c r="P922" t="s">
        <v>10973</v>
      </c>
      <c r="Q922" t="s">
        <v>10974</v>
      </c>
      <c r="R922" t="s">
        <v>146</v>
      </c>
      <c r="S922" t="s">
        <v>10975</v>
      </c>
      <c r="T922" t="s">
        <v>10976</v>
      </c>
      <c r="U922" t="s">
        <v>614</v>
      </c>
      <c r="V922" t="s">
        <v>2321</v>
      </c>
      <c r="W922" t="s">
        <v>2321</v>
      </c>
      <c r="X922" t="s">
        <v>7786</v>
      </c>
      <c r="Y922" t="s">
        <v>10977</v>
      </c>
      <c r="Z922">
        <v>5</v>
      </c>
      <c r="AA922" t="s">
        <v>227</v>
      </c>
      <c r="AB922" t="s">
        <v>10978</v>
      </c>
      <c r="AC922" t="s">
        <v>2321</v>
      </c>
      <c r="AD922" t="s">
        <v>171</v>
      </c>
      <c r="AE922">
        <v>456000</v>
      </c>
      <c r="AF922">
        <v>0</v>
      </c>
      <c r="AG922" t="s">
        <v>10979</v>
      </c>
      <c r="AH922" t="s">
        <v>3577</v>
      </c>
      <c r="AJ922" t="e">
        <f>_xlfn.XLOOKUP(Table9[[#This Row],[Engine No.]],'[1]Dubai Islamic Consumer'!$Q$3:$Q$1176,'[1]Dubai Islamic Consumer'!$B$3:$B$1176,,,)</f>
        <v>#N/A</v>
      </c>
    </row>
    <row r="923" spans="1:36" hidden="1" x14ac:dyDescent="0.25">
      <c r="A923">
        <v>922</v>
      </c>
      <c r="B923" s="2" t="s">
        <v>10476</v>
      </c>
      <c r="C923" t="s">
        <v>10980</v>
      </c>
      <c r="D923" t="s">
        <v>37</v>
      </c>
      <c r="E923" t="s">
        <v>10981</v>
      </c>
      <c r="F923" t="s">
        <v>107</v>
      </c>
      <c r="G923" t="s">
        <v>10982</v>
      </c>
      <c r="H923" t="s">
        <v>10983</v>
      </c>
      <c r="I923" t="s">
        <v>10983</v>
      </c>
      <c r="J923" t="s">
        <v>10983</v>
      </c>
      <c r="K923" t="s">
        <v>10984</v>
      </c>
      <c r="L923">
        <v>704458</v>
      </c>
      <c r="M923">
        <v>1250000</v>
      </c>
      <c r="N923" t="s">
        <v>10985</v>
      </c>
      <c r="O923" s="1">
        <v>45602</v>
      </c>
      <c r="P923" t="s">
        <v>10986</v>
      </c>
      <c r="Q923" t="s">
        <v>10987</v>
      </c>
      <c r="R923" t="s">
        <v>47</v>
      </c>
      <c r="S923" t="s">
        <v>10988</v>
      </c>
      <c r="T923" t="s">
        <v>2195</v>
      </c>
      <c r="U923" t="s">
        <v>335</v>
      </c>
      <c r="V923" t="s">
        <v>10989</v>
      </c>
      <c r="W923" t="s">
        <v>8015</v>
      </c>
      <c r="X923" t="s">
        <v>8027</v>
      </c>
      <c r="Y923" t="s">
        <v>10990</v>
      </c>
      <c r="Z923">
        <v>7</v>
      </c>
      <c r="AA923" t="s">
        <v>877</v>
      </c>
      <c r="AB923" t="s">
        <v>10991</v>
      </c>
      <c r="AC923" t="s">
        <v>10989</v>
      </c>
      <c r="AD923" t="s">
        <v>7584</v>
      </c>
      <c r="AE923">
        <v>750000</v>
      </c>
      <c r="AF923">
        <v>0</v>
      </c>
      <c r="AG923" t="s">
        <v>10992</v>
      </c>
      <c r="AH923" t="s">
        <v>3577</v>
      </c>
      <c r="AJ923" t="e">
        <f>_xlfn.XLOOKUP(Table9[[#This Row],[Engine No.]],'[1]Dubai Islamic Consumer'!$Q$3:$Q$1176,'[1]Dubai Islamic Consumer'!$B$3:$B$1176,,,)</f>
        <v>#N/A</v>
      </c>
    </row>
    <row r="924" spans="1:36" hidden="1" x14ac:dyDescent="0.25">
      <c r="A924">
        <v>923</v>
      </c>
      <c r="B924" s="2" t="s">
        <v>10476</v>
      </c>
      <c r="C924" t="s">
        <v>10993</v>
      </c>
      <c r="D924" t="s">
        <v>37</v>
      </c>
      <c r="E924" t="s">
        <v>10994</v>
      </c>
      <c r="F924" t="s">
        <v>2468</v>
      </c>
      <c r="G924" t="s">
        <v>10995</v>
      </c>
      <c r="H924" t="s">
        <v>48</v>
      </c>
      <c r="I924" t="s">
        <v>10996</v>
      </c>
      <c r="J924" t="s">
        <v>48</v>
      </c>
      <c r="K924" t="s">
        <v>10997</v>
      </c>
      <c r="L924">
        <v>2549950</v>
      </c>
      <c r="M924">
        <v>3923000</v>
      </c>
      <c r="N924" t="s">
        <v>10998</v>
      </c>
      <c r="O924" s="1">
        <v>45626</v>
      </c>
      <c r="P924" t="s">
        <v>10999</v>
      </c>
      <c r="Q924" t="s">
        <v>11000</v>
      </c>
      <c r="R924" t="s">
        <v>47</v>
      </c>
      <c r="S924" t="s">
        <v>48</v>
      </c>
      <c r="T924" t="s">
        <v>6576</v>
      </c>
      <c r="U924" t="s">
        <v>50</v>
      </c>
      <c r="V924" t="s">
        <v>1203</v>
      </c>
      <c r="W924" t="s">
        <v>6483</v>
      </c>
      <c r="X924" t="s">
        <v>7724</v>
      </c>
      <c r="Y924" t="s">
        <v>11001</v>
      </c>
      <c r="Z924">
        <v>3</v>
      </c>
      <c r="AA924" t="s">
        <v>55</v>
      </c>
      <c r="AB924" t="s">
        <v>11002</v>
      </c>
      <c r="AC924" t="s">
        <v>6944</v>
      </c>
      <c r="AD924" t="s">
        <v>58</v>
      </c>
      <c r="AE924">
        <v>2353800</v>
      </c>
      <c r="AF924">
        <v>0</v>
      </c>
      <c r="AJ924" t="e">
        <f>_xlfn.XLOOKUP(Table9[[#This Row],[Engine No.]],'[1]Dubai Islamic Consumer'!$Q$3:$Q$1176,'[1]Dubai Islamic Consumer'!$B$3:$B$1176,,,)</f>
        <v>#N/A</v>
      </c>
    </row>
    <row r="925" spans="1:36" hidden="1" x14ac:dyDescent="0.25">
      <c r="A925">
        <v>924</v>
      </c>
      <c r="B925" s="2" t="s">
        <v>10476</v>
      </c>
      <c r="C925" t="s">
        <v>11003</v>
      </c>
      <c r="D925" t="s">
        <v>37</v>
      </c>
      <c r="E925" t="s">
        <v>11004</v>
      </c>
      <c r="F925" t="s">
        <v>138</v>
      </c>
      <c r="G925" t="s">
        <v>11005</v>
      </c>
      <c r="H925" t="s">
        <v>11006</v>
      </c>
      <c r="I925" t="s">
        <v>11006</v>
      </c>
      <c r="J925" t="s">
        <v>141</v>
      </c>
      <c r="K925" t="s">
        <v>11007</v>
      </c>
      <c r="L925">
        <v>1311000</v>
      </c>
      <c r="M925">
        <v>2300000</v>
      </c>
      <c r="N925" t="s">
        <v>11008</v>
      </c>
      <c r="O925" s="1">
        <v>45625</v>
      </c>
      <c r="P925" t="s">
        <v>11009</v>
      </c>
      <c r="Q925" t="s">
        <v>11010</v>
      </c>
      <c r="R925" t="s">
        <v>47</v>
      </c>
      <c r="S925" t="s">
        <v>48</v>
      </c>
      <c r="T925" t="s">
        <v>11011</v>
      </c>
      <c r="U925" t="s">
        <v>7824</v>
      </c>
      <c r="V925" t="s">
        <v>3368</v>
      </c>
      <c r="W925" t="s">
        <v>132</v>
      </c>
      <c r="X925" t="s">
        <v>7798</v>
      </c>
      <c r="Y925" t="s">
        <v>11012</v>
      </c>
      <c r="Z925">
        <v>3</v>
      </c>
      <c r="AA925" t="s">
        <v>118</v>
      </c>
      <c r="AB925" t="s">
        <v>11013</v>
      </c>
      <c r="AC925" t="s">
        <v>3368</v>
      </c>
      <c r="AD925" t="s">
        <v>299</v>
      </c>
      <c r="AE925">
        <v>1380000</v>
      </c>
      <c r="AF925">
        <v>0</v>
      </c>
      <c r="AJ925" t="e">
        <f>_xlfn.XLOOKUP(Table9[[#This Row],[Engine No.]],'[1]Dubai Islamic Consumer'!$Q$3:$Q$1176,'[1]Dubai Islamic Consumer'!$B$3:$B$1176,,,)</f>
        <v>#N/A</v>
      </c>
    </row>
    <row r="926" spans="1:36" hidden="1" x14ac:dyDescent="0.25">
      <c r="A926">
        <v>925</v>
      </c>
      <c r="B926" s="2" t="s">
        <v>10476</v>
      </c>
      <c r="C926" t="s">
        <v>11014</v>
      </c>
      <c r="D926" t="s">
        <v>37</v>
      </c>
      <c r="E926" t="s">
        <v>11015</v>
      </c>
      <c r="F926" t="s">
        <v>107</v>
      </c>
      <c r="G926" t="s">
        <v>11016</v>
      </c>
      <c r="H926" t="s">
        <v>11017</v>
      </c>
      <c r="I926" t="s">
        <v>11018</v>
      </c>
      <c r="J926" t="s">
        <v>11019</v>
      </c>
      <c r="K926" t="s">
        <v>11020</v>
      </c>
      <c r="L926">
        <v>3312450</v>
      </c>
      <c r="M926">
        <v>3897000</v>
      </c>
      <c r="N926" t="s">
        <v>11021</v>
      </c>
      <c r="O926" s="1">
        <v>45625</v>
      </c>
      <c r="P926" t="s">
        <v>11022</v>
      </c>
      <c r="Q926" t="s">
        <v>11023</v>
      </c>
      <c r="R926" t="s">
        <v>47</v>
      </c>
      <c r="S926" t="s">
        <v>11024</v>
      </c>
      <c r="T926" t="s">
        <v>11025</v>
      </c>
      <c r="U926" t="s">
        <v>614</v>
      </c>
      <c r="V926" t="s">
        <v>3728</v>
      </c>
      <c r="W926" t="s">
        <v>3729</v>
      </c>
      <c r="X926" t="s">
        <v>7798</v>
      </c>
      <c r="Y926" t="s">
        <v>11026</v>
      </c>
      <c r="Z926">
        <v>5</v>
      </c>
      <c r="AA926" t="s">
        <v>227</v>
      </c>
      <c r="AB926" t="s">
        <v>11027</v>
      </c>
      <c r="AC926" t="s">
        <v>3728</v>
      </c>
      <c r="AD926" t="s">
        <v>171</v>
      </c>
      <c r="AE926">
        <v>2338200</v>
      </c>
      <c r="AF926">
        <v>0</v>
      </c>
      <c r="AJ926" t="e">
        <f>_xlfn.XLOOKUP(Table9[[#This Row],[Engine No.]],'[1]Dubai Islamic Consumer'!$Q$3:$Q$1176,'[1]Dubai Islamic Consumer'!$B$3:$B$1176,,,)</f>
        <v>#N/A</v>
      </c>
    </row>
    <row r="927" spans="1:36" hidden="1" x14ac:dyDescent="0.25">
      <c r="A927">
        <v>926</v>
      </c>
      <c r="B927" s="2" t="s">
        <v>10476</v>
      </c>
      <c r="C927" t="s">
        <v>11028</v>
      </c>
      <c r="D927" t="s">
        <v>37</v>
      </c>
      <c r="E927" t="s">
        <v>11029</v>
      </c>
      <c r="F927" t="s">
        <v>8094</v>
      </c>
      <c r="G927" t="s">
        <v>11030</v>
      </c>
      <c r="H927" t="s">
        <v>48</v>
      </c>
      <c r="I927" t="s">
        <v>11031</v>
      </c>
      <c r="J927" t="s">
        <v>48</v>
      </c>
      <c r="K927" t="s">
        <v>11032</v>
      </c>
      <c r="L927">
        <v>1207500</v>
      </c>
      <c r="M927">
        <v>1725000</v>
      </c>
      <c r="N927" t="s">
        <v>11033</v>
      </c>
      <c r="O927" s="1">
        <v>45625</v>
      </c>
      <c r="P927" t="s">
        <v>11034</v>
      </c>
      <c r="Q927" t="s">
        <v>11035</v>
      </c>
      <c r="R927" t="s">
        <v>146</v>
      </c>
      <c r="S927" t="s">
        <v>11036</v>
      </c>
      <c r="T927" t="s">
        <v>11037</v>
      </c>
      <c r="U927" t="s">
        <v>651</v>
      </c>
      <c r="V927" t="s">
        <v>10911</v>
      </c>
      <c r="W927" t="s">
        <v>7888</v>
      </c>
      <c r="X927" t="s">
        <v>7798</v>
      </c>
      <c r="Y927" t="s">
        <v>11038</v>
      </c>
      <c r="Z927">
        <v>7</v>
      </c>
      <c r="AA927" t="s">
        <v>55</v>
      </c>
      <c r="AB927" t="s">
        <v>11039</v>
      </c>
      <c r="AC927" t="s">
        <v>10911</v>
      </c>
      <c r="AD927" t="s">
        <v>171</v>
      </c>
      <c r="AE927">
        <v>1035000</v>
      </c>
      <c r="AF927">
        <v>0</v>
      </c>
      <c r="AJ927" t="e">
        <f>_xlfn.XLOOKUP(Table9[[#This Row],[Engine No.]],'[1]Dubai Islamic Consumer'!$Q$3:$Q$1176,'[1]Dubai Islamic Consumer'!$B$3:$B$1176,,,)</f>
        <v>#N/A</v>
      </c>
    </row>
    <row r="928" spans="1:36" hidden="1" x14ac:dyDescent="0.25">
      <c r="A928">
        <v>927</v>
      </c>
      <c r="B928" s="2" t="s">
        <v>10476</v>
      </c>
      <c r="C928" t="s">
        <v>11040</v>
      </c>
      <c r="D928" t="s">
        <v>37</v>
      </c>
      <c r="E928" t="s">
        <v>11041</v>
      </c>
      <c r="F928" t="s">
        <v>245</v>
      </c>
      <c r="G928" t="s">
        <v>11042</v>
      </c>
      <c r="H928" t="s">
        <v>48</v>
      </c>
      <c r="I928" t="s">
        <v>11043</v>
      </c>
      <c r="J928" t="s">
        <v>48</v>
      </c>
      <c r="K928" t="s">
        <v>11044</v>
      </c>
      <c r="L928">
        <v>2018100</v>
      </c>
      <c r="M928">
        <v>2883000</v>
      </c>
      <c r="N928" t="s">
        <v>11045</v>
      </c>
      <c r="O928" s="1">
        <v>45625</v>
      </c>
      <c r="P928" t="s">
        <v>11046</v>
      </c>
      <c r="Q928" t="s">
        <v>11047</v>
      </c>
      <c r="R928" t="s">
        <v>47</v>
      </c>
      <c r="S928" t="s">
        <v>11048</v>
      </c>
      <c r="T928" t="s">
        <v>1141</v>
      </c>
      <c r="U928" t="s">
        <v>614</v>
      </c>
      <c r="V928" t="s">
        <v>3728</v>
      </c>
      <c r="W928" t="s">
        <v>3729</v>
      </c>
      <c r="X928" t="s">
        <v>7798</v>
      </c>
      <c r="Y928" t="s">
        <v>11049</v>
      </c>
      <c r="Z928">
        <v>5</v>
      </c>
      <c r="AA928" t="s">
        <v>227</v>
      </c>
      <c r="AB928" t="s">
        <v>11050</v>
      </c>
      <c r="AC928" t="s">
        <v>3728</v>
      </c>
      <c r="AD928" t="s">
        <v>171</v>
      </c>
      <c r="AE928">
        <v>1729800</v>
      </c>
      <c r="AF928">
        <v>0</v>
      </c>
      <c r="AJ928" t="e">
        <f>_xlfn.XLOOKUP(Table9[[#This Row],[Engine No.]],'[1]Dubai Islamic Consumer'!$Q$3:$Q$1176,'[1]Dubai Islamic Consumer'!$B$3:$B$1176,,,)</f>
        <v>#N/A</v>
      </c>
    </row>
    <row r="929" spans="1:36" hidden="1" x14ac:dyDescent="0.25">
      <c r="A929">
        <v>928</v>
      </c>
      <c r="B929" s="2" t="s">
        <v>10476</v>
      </c>
      <c r="C929" t="s">
        <v>11051</v>
      </c>
      <c r="D929" t="s">
        <v>37</v>
      </c>
      <c r="E929" t="s">
        <v>11052</v>
      </c>
      <c r="F929" t="s">
        <v>107</v>
      </c>
      <c r="G929" t="s">
        <v>11053</v>
      </c>
      <c r="H929" t="s">
        <v>11054</v>
      </c>
      <c r="I929" t="s">
        <v>11054</v>
      </c>
      <c r="J929" t="s">
        <v>11055</v>
      </c>
      <c r="K929" t="s">
        <v>11056</v>
      </c>
      <c r="L929">
        <v>875200</v>
      </c>
      <c r="M929">
        <v>1094000</v>
      </c>
      <c r="N929" t="s">
        <v>11057</v>
      </c>
      <c r="O929" s="1">
        <v>45625</v>
      </c>
      <c r="P929" t="s">
        <v>11058</v>
      </c>
      <c r="Q929" t="s">
        <v>11059</v>
      </c>
      <c r="R929" t="s">
        <v>47</v>
      </c>
      <c r="S929" t="s">
        <v>11060</v>
      </c>
      <c r="T929" t="s">
        <v>3781</v>
      </c>
      <c r="U929" t="s">
        <v>335</v>
      </c>
      <c r="V929" t="s">
        <v>10911</v>
      </c>
      <c r="W929" t="s">
        <v>7888</v>
      </c>
      <c r="X929" t="s">
        <v>7798</v>
      </c>
      <c r="Y929" t="s">
        <v>11061</v>
      </c>
      <c r="Z929">
        <v>7</v>
      </c>
      <c r="AA929" t="s">
        <v>323</v>
      </c>
      <c r="AB929" t="s">
        <v>11062</v>
      </c>
      <c r="AC929" t="s">
        <v>10911</v>
      </c>
      <c r="AD929" t="s">
        <v>7584</v>
      </c>
      <c r="AE929">
        <v>656400</v>
      </c>
      <c r="AF929">
        <v>0</v>
      </c>
      <c r="AJ929" t="e">
        <f>_xlfn.XLOOKUP(Table9[[#This Row],[Engine No.]],'[1]Dubai Islamic Consumer'!$Q$3:$Q$1176,'[1]Dubai Islamic Consumer'!$B$3:$B$1176,,,)</f>
        <v>#N/A</v>
      </c>
    </row>
    <row r="930" spans="1:36" hidden="1" x14ac:dyDescent="0.25">
      <c r="A930">
        <v>929</v>
      </c>
      <c r="B930" s="2" t="s">
        <v>10476</v>
      </c>
      <c r="C930" t="s">
        <v>11063</v>
      </c>
      <c r="D930" t="s">
        <v>37</v>
      </c>
      <c r="E930" t="s">
        <v>11064</v>
      </c>
      <c r="F930" t="s">
        <v>39</v>
      </c>
      <c r="G930" t="s">
        <v>11065</v>
      </c>
      <c r="H930" t="s">
        <v>48</v>
      </c>
      <c r="I930" t="s">
        <v>11066</v>
      </c>
      <c r="J930" t="s">
        <v>48</v>
      </c>
      <c r="K930" t="s">
        <v>11067</v>
      </c>
      <c r="L930">
        <v>1131000</v>
      </c>
      <c r="M930">
        <v>1508000</v>
      </c>
      <c r="N930" t="s">
        <v>11068</v>
      </c>
      <c r="O930" s="1">
        <v>45624</v>
      </c>
      <c r="P930" t="s">
        <v>11069</v>
      </c>
      <c r="Q930" t="s">
        <v>11070</v>
      </c>
      <c r="R930" t="s">
        <v>47</v>
      </c>
      <c r="S930" t="s">
        <v>48</v>
      </c>
      <c r="T930" t="s">
        <v>7045</v>
      </c>
      <c r="U930" t="s">
        <v>50</v>
      </c>
      <c r="V930" t="s">
        <v>3368</v>
      </c>
      <c r="W930" t="s">
        <v>132</v>
      </c>
      <c r="X930" t="s">
        <v>7798</v>
      </c>
      <c r="Y930" t="s">
        <v>11071</v>
      </c>
      <c r="Z930">
        <v>3</v>
      </c>
      <c r="AA930" t="s">
        <v>118</v>
      </c>
      <c r="AB930" t="s">
        <v>11072</v>
      </c>
      <c r="AC930" t="s">
        <v>2836</v>
      </c>
      <c r="AD930" t="s">
        <v>58</v>
      </c>
      <c r="AE930">
        <v>904800</v>
      </c>
      <c r="AF930">
        <v>0</v>
      </c>
      <c r="AJ930" t="e">
        <f>_xlfn.XLOOKUP(Table9[[#This Row],[Engine No.]],'[1]Dubai Islamic Consumer'!$Q$3:$Q$1176,'[1]Dubai Islamic Consumer'!$B$3:$B$1176,,,)</f>
        <v>#N/A</v>
      </c>
    </row>
    <row r="931" spans="1:36" hidden="1" x14ac:dyDescent="0.25">
      <c r="A931">
        <v>930</v>
      </c>
      <c r="B931" s="2" t="s">
        <v>10476</v>
      </c>
      <c r="C931" t="s">
        <v>11073</v>
      </c>
      <c r="D931" t="s">
        <v>37</v>
      </c>
      <c r="E931" t="s">
        <v>11074</v>
      </c>
      <c r="F931" t="s">
        <v>245</v>
      </c>
      <c r="G931" t="s">
        <v>11075</v>
      </c>
      <c r="H931" t="s">
        <v>48</v>
      </c>
      <c r="I931" t="s">
        <v>11076</v>
      </c>
      <c r="J931" t="s">
        <v>48</v>
      </c>
      <c r="K931" t="s">
        <v>11077</v>
      </c>
      <c r="L931">
        <v>440000</v>
      </c>
      <c r="M931">
        <v>800000</v>
      </c>
      <c r="N931" t="s">
        <v>11078</v>
      </c>
      <c r="O931" s="1">
        <v>45624</v>
      </c>
      <c r="P931" t="s">
        <v>11079</v>
      </c>
      <c r="Q931" t="s">
        <v>11080</v>
      </c>
      <c r="R931" t="s">
        <v>146</v>
      </c>
      <c r="S931" t="s">
        <v>11081</v>
      </c>
      <c r="T931" t="s">
        <v>11082</v>
      </c>
      <c r="U931" t="s">
        <v>614</v>
      </c>
      <c r="V931" t="s">
        <v>4043</v>
      </c>
      <c r="W931" t="s">
        <v>940</v>
      </c>
      <c r="X931" t="s">
        <v>7798</v>
      </c>
      <c r="Y931" t="s">
        <v>11083</v>
      </c>
      <c r="Z931">
        <v>2</v>
      </c>
      <c r="AA931" t="s">
        <v>323</v>
      </c>
      <c r="AB931" t="s">
        <v>11084</v>
      </c>
      <c r="AC931" t="s">
        <v>2181</v>
      </c>
      <c r="AD931" t="s">
        <v>86</v>
      </c>
      <c r="AE931">
        <v>480000</v>
      </c>
      <c r="AF931">
        <v>0</v>
      </c>
      <c r="AJ931" t="e">
        <f>_xlfn.XLOOKUP(Table9[[#This Row],[Engine No.]],'[1]Dubai Islamic Consumer'!$Q$3:$Q$1176,'[1]Dubai Islamic Consumer'!$B$3:$B$1176,,,)</f>
        <v>#N/A</v>
      </c>
    </row>
    <row r="932" spans="1:36" hidden="1" x14ac:dyDescent="0.25">
      <c r="A932">
        <v>931</v>
      </c>
      <c r="B932" s="2" t="s">
        <v>10476</v>
      </c>
      <c r="C932" t="s">
        <v>11085</v>
      </c>
      <c r="D932" t="s">
        <v>37</v>
      </c>
      <c r="E932" t="s">
        <v>11086</v>
      </c>
      <c r="F932" t="s">
        <v>138</v>
      </c>
      <c r="G932" t="s">
        <v>11087</v>
      </c>
      <c r="H932" t="s">
        <v>48</v>
      </c>
      <c r="I932" t="s">
        <v>11088</v>
      </c>
      <c r="J932" t="s">
        <v>11089</v>
      </c>
      <c r="K932" t="s">
        <v>11090</v>
      </c>
      <c r="L932">
        <v>1893000</v>
      </c>
      <c r="M932">
        <v>3155000</v>
      </c>
      <c r="N932" t="s">
        <v>11091</v>
      </c>
      <c r="O932" s="1">
        <v>45622</v>
      </c>
      <c r="P932" t="s">
        <v>11092</v>
      </c>
      <c r="Q932" t="s">
        <v>11093</v>
      </c>
      <c r="R932" t="s">
        <v>47</v>
      </c>
      <c r="S932" t="s">
        <v>11094</v>
      </c>
      <c r="T932" t="s">
        <v>1189</v>
      </c>
      <c r="U932" t="s">
        <v>614</v>
      </c>
      <c r="V932" t="s">
        <v>8002</v>
      </c>
      <c r="W932" t="s">
        <v>3729</v>
      </c>
      <c r="X932" t="s">
        <v>7798</v>
      </c>
      <c r="Y932" t="s">
        <v>11095</v>
      </c>
      <c r="Z932">
        <v>5</v>
      </c>
      <c r="AA932" t="s">
        <v>227</v>
      </c>
      <c r="AB932" t="s">
        <v>11096</v>
      </c>
      <c r="AC932" t="s">
        <v>3296</v>
      </c>
      <c r="AD932" t="s">
        <v>171</v>
      </c>
      <c r="AE932">
        <v>1893000</v>
      </c>
      <c r="AF932">
        <v>0</v>
      </c>
      <c r="AJ932" t="e">
        <f>_xlfn.XLOOKUP(Table9[[#This Row],[Engine No.]],'[1]Dubai Islamic Consumer'!$Q$3:$Q$1176,'[1]Dubai Islamic Consumer'!$B$3:$B$1176,,,)</f>
        <v>#N/A</v>
      </c>
    </row>
    <row r="933" spans="1:36" hidden="1" x14ac:dyDescent="0.25">
      <c r="A933">
        <v>932</v>
      </c>
      <c r="B933" s="2" t="s">
        <v>10476</v>
      </c>
      <c r="C933" t="s">
        <v>11097</v>
      </c>
      <c r="D933" t="s">
        <v>37</v>
      </c>
      <c r="E933" t="s">
        <v>11098</v>
      </c>
      <c r="F933" t="s">
        <v>245</v>
      </c>
      <c r="G933" t="s">
        <v>11099</v>
      </c>
      <c r="H933" t="s">
        <v>11100</v>
      </c>
      <c r="I933" t="s">
        <v>48</v>
      </c>
      <c r="J933" t="s">
        <v>11101</v>
      </c>
      <c r="K933" t="s">
        <v>11102</v>
      </c>
      <c r="L933">
        <v>1512000</v>
      </c>
      <c r="M933">
        <v>1890000</v>
      </c>
      <c r="N933" t="s">
        <v>11103</v>
      </c>
      <c r="O933" s="1">
        <v>45622</v>
      </c>
      <c r="P933" t="s">
        <v>11104</v>
      </c>
      <c r="Q933" t="s">
        <v>11105</v>
      </c>
      <c r="R933" t="s">
        <v>146</v>
      </c>
      <c r="S933" t="s">
        <v>11106</v>
      </c>
      <c r="T933" t="s">
        <v>97</v>
      </c>
      <c r="U933" t="s">
        <v>11107</v>
      </c>
      <c r="V933" t="s">
        <v>7841</v>
      </c>
      <c r="W933" t="s">
        <v>3729</v>
      </c>
      <c r="X933" t="s">
        <v>7798</v>
      </c>
      <c r="Y933" t="s">
        <v>11108</v>
      </c>
      <c r="Z933">
        <v>5</v>
      </c>
      <c r="AA933" t="s">
        <v>227</v>
      </c>
      <c r="AB933" t="s">
        <v>11109</v>
      </c>
      <c r="AC933" t="s">
        <v>3295</v>
      </c>
      <c r="AD933" t="s">
        <v>171</v>
      </c>
      <c r="AE933">
        <v>1134000</v>
      </c>
      <c r="AF933">
        <v>0</v>
      </c>
      <c r="AJ933" t="e">
        <f>_xlfn.XLOOKUP(Table9[[#This Row],[Engine No.]],'[1]Dubai Islamic Consumer'!$Q$3:$Q$1176,'[1]Dubai Islamic Consumer'!$B$3:$B$1176,,,)</f>
        <v>#N/A</v>
      </c>
    </row>
    <row r="934" spans="1:36" hidden="1" x14ac:dyDescent="0.25">
      <c r="A934">
        <v>933</v>
      </c>
      <c r="B934" s="2" t="s">
        <v>10476</v>
      </c>
      <c r="C934" t="s">
        <v>11110</v>
      </c>
      <c r="D934" t="s">
        <v>37</v>
      </c>
      <c r="E934" t="s">
        <v>11111</v>
      </c>
      <c r="F934" t="s">
        <v>138</v>
      </c>
      <c r="G934" t="s">
        <v>11112</v>
      </c>
      <c r="H934" t="s">
        <v>11113</v>
      </c>
      <c r="I934" t="s">
        <v>11114</v>
      </c>
      <c r="J934" t="s">
        <v>11113</v>
      </c>
      <c r="K934" t="s">
        <v>11115</v>
      </c>
      <c r="L934">
        <v>1872500</v>
      </c>
      <c r="M934">
        <v>2675000</v>
      </c>
      <c r="N934" t="s">
        <v>11116</v>
      </c>
      <c r="O934" s="1">
        <v>45620</v>
      </c>
      <c r="P934" t="s">
        <v>11117</v>
      </c>
      <c r="Q934" t="s">
        <v>11118</v>
      </c>
      <c r="R934" t="s">
        <v>47</v>
      </c>
      <c r="S934" t="s">
        <v>48</v>
      </c>
      <c r="T934" t="s">
        <v>1826</v>
      </c>
      <c r="U934" t="s">
        <v>50</v>
      </c>
      <c r="V934" t="s">
        <v>11119</v>
      </c>
      <c r="W934" t="s">
        <v>132</v>
      </c>
      <c r="X934" t="s">
        <v>7798</v>
      </c>
      <c r="Y934" t="s">
        <v>11120</v>
      </c>
      <c r="Z934">
        <v>3</v>
      </c>
      <c r="AA934" t="s">
        <v>55</v>
      </c>
      <c r="AB934" t="s">
        <v>11121</v>
      </c>
      <c r="AC934" t="s">
        <v>2796</v>
      </c>
      <c r="AD934" t="s">
        <v>58</v>
      </c>
      <c r="AE934">
        <v>1605000</v>
      </c>
      <c r="AF934">
        <v>0</v>
      </c>
      <c r="AJ934" t="e">
        <f>_xlfn.XLOOKUP(Table9[[#This Row],[Engine No.]],'[1]Dubai Islamic Consumer'!$Q$3:$Q$1176,'[1]Dubai Islamic Consumer'!$B$3:$B$1176,,,)</f>
        <v>#N/A</v>
      </c>
    </row>
    <row r="935" spans="1:36" hidden="1" x14ac:dyDescent="0.25">
      <c r="A935">
        <v>934</v>
      </c>
      <c r="B935" s="2" t="s">
        <v>10476</v>
      </c>
      <c r="C935" t="s">
        <v>11122</v>
      </c>
      <c r="D935" t="s">
        <v>37</v>
      </c>
      <c r="E935" t="s">
        <v>11123</v>
      </c>
      <c r="F935" t="s">
        <v>39</v>
      </c>
      <c r="G935" t="s">
        <v>11124</v>
      </c>
      <c r="H935" t="s">
        <v>11125</v>
      </c>
      <c r="I935" t="s">
        <v>11126</v>
      </c>
      <c r="J935" t="s">
        <v>11127</v>
      </c>
      <c r="K935" t="s">
        <v>11128</v>
      </c>
      <c r="L935">
        <v>1812300</v>
      </c>
      <c r="M935">
        <v>2589000</v>
      </c>
      <c r="N935" t="s">
        <v>11129</v>
      </c>
      <c r="O935" s="1">
        <v>45620</v>
      </c>
      <c r="P935" t="s">
        <v>11130</v>
      </c>
      <c r="Q935" t="s">
        <v>11131</v>
      </c>
      <c r="R935" t="s">
        <v>47</v>
      </c>
      <c r="S935" t="s">
        <v>48</v>
      </c>
      <c r="T935" t="s">
        <v>1301</v>
      </c>
      <c r="U935" t="s">
        <v>50</v>
      </c>
      <c r="V935" t="s">
        <v>4700</v>
      </c>
      <c r="W935" t="s">
        <v>132</v>
      </c>
      <c r="X935" t="s">
        <v>7798</v>
      </c>
      <c r="Y935" t="s">
        <v>11132</v>
      </c>
      <c r="Z935">
        <v>3</v>
      </c>
      <c r="AA935" t="s">
        <v>323</v>
      </c>
      <c r="AB935" t="s">
        <v>11133</v>
      </c>
      <c r="AC935" t="s">
        <v>2796</v>
      </c>
      <c r="AD935" t="s">
        <v>86</v>
      </c>
      <c r="AE935">
        <v>1553400</v>
      </c>
      <c r="AF935">
        <v>0</v>
      </c>
      <c r="AJ935" t="e">
        <f>_xlfn.XLOOKUP(Table9[[#This Row],[Engine No.]],'[1]Dubai Islamic Consumer'!$Q$3:$Q$1176,'[1]Dubai Islamic Consumer'!$B$3:$B$1176,,,)</f>
        <v>#N/A</v>
      </c>
    </row>
    <row r="936" spans="1:36" hidden="1" x14ac:dyDescent="0.25">
      <c r="A936">
        <v>935</v>
      </c>
      <c r="B936" s="2" t="s">
        <v>10476</v>
      </c>
      <c r="C936" t="s">
        <v>11134</v>
      </c>
      <c r="D936" t="s">
        <v>37</v>
      </c>
      <c r="E936" t="s">
        <v>11135</v>
      </c>
      <c r="F936" t="s">
        <v>138</v>
      </c>
      <c r="G936" t="s">
        <v>11136</v>
      </c>
      <c r="H936" t="s">
        <v>11137</v>
      </c>
      <c r="I936" t="s">
        <v>11137</v>
      </c>
      <c r="J936" t="s">
        <v>11138</v>
      </c>
      <c r="K936" t="s">
        <v>11139</v>
      </c>
      <c r="L936">
        <v>3219200</v>
      </c>
      <c r="M936">
        <v>4024000</v>
      </c>
      <c r="N936" t="s">
        <v>11140</v>
      </c>
      <c r="O936" s="1">
        <v>45619</v>
      </c>
      <c r="P936" t="s">
        <v>11141</v>
      </c>
      <c r="Q936" t="s">
        <v>11142</v>
      </c>
      <c r="R936" t="s">
        <v>47</v>
      </c>
      <c r="S936" t="s">
        <v>48</v>
      </c>
      <c r="T936" t="s">
        <v>97</v>
      </c>
      <c r="U936" t="s">
        <v>50</v>
      </c>
      <c r="V936" t="s">
        <v>3008</v>
      </c>
      <c r="W936" t="s">
        <v>132</v>
      </c>
      <c r="X936" t="s">
        <v>7798</v>
      </c>
      <c r="Y936" t="s">
        <v>11143</v>
      </c>
      <c r="Z936">
        <v>3</v>
      </c>
      <c r="AA936" t="s">
        <v>55</v>
      </c>
      <c r="AB936" t="s">
        <v>11144</v>
      </c>
      <c r="AC936" t="s">
        <v>2196</v>
      </c>
      <c r="AD936" t="s">
        <v>58</v>
      </c>
      <c r="AE936">
        <v>2414400</v>
      </c>
      <c r="AF936">
        <v>0</v>
      </c>
      <c r="AJ936" t="e">
        <f>_xlfn.XLOOKUP(Table9[[#This Row],[Engine No.]],'[1]Dubai Islamic Consumer'!$Q$3:$Q$1176,'[1]Dubai Islamic Consumer'!$B$3:$B$1176,,,)</f>
        <v>#N/A</v>
      </c>
    </row>
    <row r="937" spans="1:36" hidden="1" x14ac:dyDescent="0.25">
      <c r="A937">
        <v>936</v>
      </c>
      <c r="B937" s="2" t="s">
        <v>10476</v>
      </c>
      <c r="C937" t="s">
        <v>11145</v>
      </c>
      <c r="D937" t="s">
        <v>37</v>
      </c>
      <c r="E937" t="s">
        <v>11146</v>
      </c>
      <c r="F937" t="s">
        <v>39</v>
      </c>
      <c r="G937" t="s">
        <v>11147</v>
      </c>
      <c r="H937" t="s">
        <v>11148</v>
      </c>
      <c r="I937" t="s">
        <v>11149</v>
      </c>
      <c r="J937" t="s">
        <v>11150</v>
      </c>
      <c r="K937" t="s">
        <v>11151</v>
      </c>
      <c r="L937">
        <v>1077960</v>
      </c>
      <c r="M937">
        <v>1796600</v>
      </c>
      <c r="N937" t="s">
        <v>11152</v>
      </c>
      <c r="O937" s="1">
        <v>45618</v>
      </c>
      <c r="P937" t="s">
        <v>11153</v>
      </c>
      <c r="Q937" t="s">
        <v>11154</v>
      </c>
      <c r="R937" t="s">
        <v>47</v>
      </c>
      <c r="S937" t="s">
        <v>11155</v>
      </c>
      <c r="T937" t="s">
        <v>2113</v>
      </c>
      <c r="U937" t="s">
        <v>496</v>
      </c>
      <c r="V937" t="s">
        <v>11156</v>
      </c>
      <c r="W937" t="s">
        <v>2306</v>
      </c>
      <c r="X937" t="s">
        <v>7798</v>
      </c>
      <c r="Y937" t="s">
        <v>11157</v>
      </c>
      <c r="Z937">
        <v>6</v>
      </c>
      <c r="AA937" t="s">
        <v>55</v>
      </c>
      <c r="AB937" t="s">
        <v>11158</v>
      </c>
      <c r="AC937" t="s">
        <v>11159</v>
      </c>
      <c r="AD937" t="s">
        <v>880</v>
      </c>
      <c r="AE937">
        <v>1077960</v>
      </c>
      <c r="AF937">
        <v>0</v>
      </c>
      <c r="AJ937" t="e">
        <f>_xlfn.XLOOKUP(Table9[[#This Row],[Engine No.]],'[1]Dubai Islamic Consumer'!$Q$3:$Q$1176,'[1]Dubai Islamic Consumer'!$B$3:$B$1176,,,)</f>
        <v>#N/A</v>
      </c>
    </row>
    <row r="938" spans="1:36" hidden="1" x14ac:dyDescent="0.25">
      <c r="A938">
        <v>937</v>
      </c>
      <c r="B938" s="2" t="s">
        <v>10476</v>
      </c>
      <c r="C938" t="s">
        <v>11160</v>
      </c>
      <c r="D938" t="s">
        <v>37</v>
      </c>
      <c r="E938" t="s">
        <v>11161</v>
      </c>
      <c r="F938" t="s">
        <v>245</v>
      </c>
      <c r="G938" t="s">
        <v>11162</v>
      </c>
      <c r="H938" t="s">
        <v>11163</v>
      </c>
      <c r="I938" t="s">
        <v>11164</v>
      </c>
      <c r="J938" t="s">
        <v>11165</v>
      </c>
      <c r="K938" t="s">
        <v>11166</v>
      </c>
      <c r="L938">
        <v>3217600</v>
      </c>
      <c r="M938">
        <v>4022000</v>
      </c>
      <c r="N938" t="s">
        <v>11167</v>
      </c>
      <c r="O938" s="1">
        <v>45617</v>
      </c>
      <c r="P938" t="s">
        <v>11168</v>
      </c>
      <c r="Q938" t="s">
        <v>11169</v>
      </c>
      <c r="R938" t="s">
        <v>47</v>
      </c>
      <c r="S938" t="s">
        <v>48</v>
      </c>
      <c r="T938" t="s">
        <v>97</v>
      </c>
      <c r="U938" t="s">
        <v>50</v>
      </c>
      <c r="V938" t="s">
        <v>2234</v>
      </c>
      <c r="W938" t="s">
        <v>132</v>
      </c>
      <c r="X938" t="s">
        <v>7798</v>
      </c>
      <c r="Y938" t="s">
        <v>11170</v>
      </c>
      <c r="Z938">
        <v>3</v>
      </c>
      <c r="AA938" t="s">
        <v>55</v>
      </c>
      <c r="AB938" t="s">
        <v>11171</v>
      </c>
      <c r="AC938" t="s">
        <v>2196</v>
      </c>
      <c r="AD938" t="s">
        <v>58</v>
      </c>
      <c r="AE938">
        <v>2413200</v>
      </c>
      <c r="AF938">
        <v>0</v>
      </c>
      <c r="AJ938" t="e">
        <f>_xlfn.XLOOKUP(Table9[[#This Row],[Engine No.]],'[1]Dubai Islamic Consumer'!$Q$3:$Q$1176,'[1]Dubai Islamic Consumer'!$B$3:$B$1176,,,)</f>
        <v>#N/A</v>
      </c>
    </row>
    <row r="939" spans="1:36" hidden="1" x14ac:dyDescent="0.25">
      <c r="A939">
        <v>938</v>
      </c>
      <c r="B939" s="2" t="s">
        <v>10476</v>
      </c>
      <c r="C939" t="s">
        <v>11172</v>
      </c>
      <c r="D939" t="s">
        <v>37</v>
      </c>
      <c r="E939" t="s">
        <v>11173</v>
      </c>
      <c r="F939" t="s">
        <v>138</v>
      </c>
      <c r="G939" t="s">
        <v>11174</v>
      </c>
      <c r="H939" t="s">
        <v>48</v>
      </c>
      <c r="I939" t="s">
        <v>11175</v>
      </c>
      <c r="J939" t="s">
        <v>48</v>
      </c>
      <c r="K939" t="s">
        <v>11176</v>
      </c>
      <c r="L939">
        <v>727500</v>
      </c>
      <c r="M939">
        <v>970000</v>
      </c>
      <c r="N939" t="s">
        <v>11177</v>
      </c>
      <c r="O939" s="1">
        <v>45616</v>
      </c>
      <c r="P939" t="s">
        <v>11178</v>
      </c>
      <c r="Q939" t="s">
        <v>11179</v>
      </c>
      <c r="R939" t="s">
        <v>146</v>
      </c>
      <c r="S939" t="s">
        <v>11180</v>
      </c>
      <c r="T939" t="s">
        <v>2195</v>
      </c>
      <c r="U939" t="s">
        <v>715</v>
      </c>
      <c r="V939" t="s">
        <v>11181</v>
      </c>
      <c r="W939" t="s">
        <v>3296</v>
      </c>
      <c r="X939" t="s">
        <v>7915</v>
      </c>
      <c r="Y939" t="s">
        <v>11182</v>
      </c>
      <c r="Z939">
        <v>5</v>
      </c>
      <c r="AA939" t="s">
        <v>55</v>
      </c>
      <c r="AB939" t="s">
        <v>11183</v>
      </c>
      <c r="AC939" t="s">
        <v>11181</v>
      </c>
      <c r="AD939" t="s">
        <v>171</v>
      </c>
      <c r="AE939">
        <v>582000</v>
      </c>
      <c r="AF939">
        <v>0</v>
      </c>
      <c r="AJ939" t="e">
        <f>_xlfn.XLOOKUP(Table9[[#This Row],[Engine No.]],'[1]Dubai Islamic Consumer'!$Q$3:$Q$1176,'[1]Dubai Islamic Consumer'!$B$3:$B$1176,,,)</f>
        <v>#N/A</v>
      </c>
    </row>
    <row r="940" spans="1:36" hidden="1" x14ac:dyDescent="0.25">
      <c r="A940">
        <v>939</v>
      </c>
      <c r="B940" s="2" t="s">
        <v>10476</v>
      </c>
      <c r="C940" t="s">
        <v>11184</v>
      </c>
      <c r="D940" t="s">
        <v>37</v>
      </c>
      <c r="E940" t="s">
        <v>11185</v>
      </c>
      <c r="F940" t="s">
        <v>107</v>
      </c>
      <c r="G940" t="s">
        <v>11186</v>
      </c>
      <c r="H940" t="s">
        <v>11187</v>
      </c>
      <c r="I940" t="s">
        <v>11188</v>
      </c>
      <c r="J940" t="s">
        <v>11187</v>
      </c>
      <c r="K940" t="s">
        <v>11189</v>
      </c>
      <c r="L940">
        <v>1290300</v>
      </c>
      <c r="M940">
        <v>1518000</v>
      </c>
      <c r="N940" t="s">
        <v>11190</v>
      </c>
      <c r="O940" s="1">
        <v>45615</v>
      </c>
      <c r="P940" t="s">
        <v>11191</v>
      </c>
      <c r="Q940" t="s">
        <v>11192</v>
      </c>
      <c r="R940" t="s">
        <v>47</v>
      </c>
      <c r="S940" t="s">
        <v>11193</v>
      </c>
      <c r="T940" t="s">
        <v>835</v>
      </c>
      <c r="U940" t="s">
        <v>614</v>
      </c>
      <c r="V940" t="s">
        <v>10963</v>
      </c>
      <c r="W940" t="s">
        <v>3296</v>
      </c>
      <c r="X940" t="s">
        <v>7915</v>
      </c>
      <c r="Y940" t="s">
        <v>11194</v>
      </c>
      <c r="Z940">
        <v>5</v>
      </c>
      <c r="AA940" t="s">
        <v>152</v>
      </c>
      <c r="AB940" t="s">
        <v>11195</v>
      </c>
      <c r="AC940" t="s">
        <v>2320</v>
      </c>
      <c r="AD940" t="s">
        <v>171</v>
      </c>
      <c r="AE940">
        <v>910800</v>
      </c>
      <c r="AF940">
        <v>0</v>
      </c>
      <c r="AJ940" t="e">
        <f>_xlfn.XLOOKUP(Table9[[#This Row],[Engine No.]],'[1]Dubai Islamic Consumer'!$Q$3:$Q$1176,'[1]Dubai Islamic Consumer'!$B$3:$B$1176,,,)</f>
        <v>#N/A</v>
      </c>
    </row>
    <row r="941" spans="1:36" hidden="1" x14ac:dyDescent="0.25">
      <c r="A941">
        <v>940</v>
      </c>
      <c r="B941" s="2" t="s">
        <v>10476</v>
      </c>
      <c r="C941" t="s">
        <v>11196</v>
      </c>
      <c r="D941" t="s">
        <v>37</v>
      </c>
      <c r="E941" t="s">
        <v>11197</v>
      </c>
      <c r="F941" t="s">
        <v>107</v>
      </c>
      <c r="G941" t="s">
        <v>11198</v>
      </c>
      <c r="H941" t="s">
        <v>11199</v>
      </c>
      <c r="I941" t="s">
        <v>11199</v>
      </c>
      <c r="J941" t="s">
        <v>11199</v>
      </c>
      <c r="K941" t="s">
        <v>11200</v>
      </c>
      <c r="L941">
        <v>700000</v>
      </c>
      <c r="M941">
        <v>1000000</v>
      </c>
      <c r="N941" t="s">
        <v>11201</v>
      </c>
      <c r="O941" s="1">
        <v>45614</v>
      </c>
      <c r="P941" t="s">
        <v>11202</v>
      </c>
      <c r="Q941" t="s">
        <v>11203</v>
      </c>
      <c r="R941" t="s">
        <v>1215</v>
      </c>
      <c r="S941" t="s">
        <v>11204</v>
      </c>
      <c r="T941" t="s">
        <v>11205</v>
      </c>
      <c r="U941" t="s">
        <v>7824</v>
      </c>
      <c r="V941" t="s">
        <v>11206</v>
      </c>
      <c r="W941" t="s">
        <v>875</v>
      </c>
      <c r="X941" t="s">
        <v>7786</v>
      </c>
      <c r="Y941" t="s">
        <v>11207</v>
      </c>
      <c r="Z941">
        <v>6</v>
      </c>
      <c r="AA941" t="s">
        <v>55</v>
      </c>
      <c r="AB941" t="s">
        <v>11208</v>
      </c>
      <c r="AC941" t="s">
        <v>11209</v>
      </c>
      <c r="AD941" t="s">
        <v>880</v>
      </c>
      <c r="AE941">
        <v>600000</v>
      </c>
      <c r="AF941">
        <v>0</v>
      </c>
      <c r="AJ941" t="e">
        <f>_xlfn.XLOOKUP(Table9[[#This Row],[Engine No.]],'[1]Dubai Islamic Consumer'!$Q$3:$Q$1176,'[1]Dubai Islamic Consumer'!$B$3:$B$1176,,,)</f>
        <v>#N/A</v>
      </c>
    </row>
    <row r="942" spans="1:36" hidden="1" x14ac:dyDescent="0.25">
      <c r="A942">
        <v>941</v>
      </c>
      <c r="B942" s="2" t="s">
        <v>10476</v>
      </c>
      <c r="C942" t="s">
        <v>11210</v>
      </c>
      <c r="D942" t="s">
        <v>37</v>
      </c>
      <c r="E942" t="s">
        <v>11211</v>
      </c>
      <c r="F942" t="s">
        <v>2468</v>
      </c>
      <c r="G942" t="s">
        <v>11212</v>
      </c>
      <c r="H942" t="s">
        <v>48</v>
      </c>
      <c r="I942" t="s">
        <v>11213</v>
      </c>
      <c r="J942" t="s">
        <v>48</v>
      </c>
      <c r="K942" t="s">
        <v>11214</v>
      </c>
      <c r="L942">
        <v>2068500</v>
      </c>
      <c r="M942">
        <v>4137000</v>
      </c>
      <c r="N942" t="s">
        <v>11215</v>
      </c>
      <c r="O942" s="1">
        <v>45613</v>
      </c>
      <c r="P942" t="s">
        <v>11216</v>
      </c>
      <c r="Q942" t="s">
        <v>11217</v>
      </c>
      <c r="R942" t="s">
        <v>47</v>
      </c>
      <c r="S942" t="s">
        <v>48</v>
      </c>
      <c r="T942" t="s">
        <v>1065</v>
      </c>
      <c r="U942" t="s">
        <v>50</v>
      </c>
      <c r="V942" t="s">
        <v>240</v>
      </c>
      <c r="W942" t="s">
        <v>132</v>
      </c>
      <c r="X942" t="s">
        <v>7798</v>
      </c>
      <c r="Y942" t="s">
        <v>11218</v>
      </c>
      <c r="Z942">
        <v>3</v>
      </c>
      <c r="AA942" t="s">
        <v>55</v>
      </c>
      <c r="AB942" t="s">
        <v>11219</v>
      </c>
      <c r="AC942" t="s">
        <v>1387</v>
      </c>
      <c r="AD942" t="s">
        <v>58</v>
      </c>
      <c r="AE942">
        <v>2482200</v>
      </c>
      <c r="AF942">
        <v>0</v>
      </c>
      <c r="AJ942" t="e">
        <f>_xlfn.XLOOKUP(Table9[[#This Row],[Engine No.]],'[1]Dubai Islamic Consumer'!$Q$3:$Q$1176,'[1]Dubai Islamic Consumer'!$B$3:$B$1176,,,)</f>
        <v>#N/A</v>
      </c>
    </row>
    <row r="943" spans="1:36" hidden="1" x14ac:dyDescent="0.25">
      <c r="A943">
        <v>942</v>
      </c>
      <c r="B943" s="2" t="s">
        <v>10476</v>
      </c>
      <c r="C943" t="s">
        <v>11220</v>
      </c>
      <c r="D943" t="s">
        <v>37</v>
      </c>
      <c r="E943" t="s">
        <v>11221</v>
      </c>
      <c r="F943" t="s">
        <v>107</v>
      </c>
      <c r="G943" t="s">
        <v>11222</v>
      </c>
      <c r="H943" t="s">
        <v>11223</v>
      </c>
      <c r="I943" t="s">
        <v>11224</v>
      </c>
      <c r="J943" t="s">
        <v>11225</v>
      </c>
      <c r="K943" t="s">
        <v>11226</v>
      </c>
      <c r="L943">
        <v>2682550</v>
      </c>
      <c r="M943">
        <v>4127000</v>
      </c>
      <c r="N943" t="s">
        <v>11227</v>
      </c>
      <c r="O943" s="1">
        <v>45613</v>
      </c>
      <c r="P943" t="s">
        <v>11228</v>
      </c>
      <c r="Q943" t="s">
        <v>11229</v>
      </c>
      <c r="R943" t="s">
        <v>47</v>
      </c>
      <c r="S943" t="s">
        <v>48</v>
      </c>
      <c r="T943" t="s">
        <v>1861</v>
      </c>
      <c r="U943" t="s">
        <v>98</v>
      </c>
      <c r="V943" t="s">
        <v>11230</v>
      </c>
      <c r="W943" t="s">
        <v>456</v>
      </c>
      <c r="X943" t="s">
        <v>7915</v>
      </c>
      <c r="Y943" t="s">
        <v>11231</v>
      </c>
      <c r="Z943">
        <v>4</v>
      </c>
      <c r="AA943" t="s">
        <v>55</v>
      </c>
      <c r="AB943" t="s">
        <v>11232</v>
      </c>
      <c r="AC943" t="s">
        <v>1548</v>
      </c>
      <c r="AD943" t="s">
        <v>58</v>
      </c>
      <c r="AE943">
        <v>2476200</v>
      </c>
      <c r="AF943">
        <v>0</v>
      </c>
      <c r="AJ943" t="e">
        <f>_xlfn.XLOOKUP(Table9[[#This Row],[Engine No.]],'[1]Dubai Islamic Consumer'!$Q$3:$Q$1176,'[1]Dubai Islamic Consumer'!$B$3:$B$1176,,,)</f>
        <v>#N/A</v>
      </c>
    </row>
    <row r="944" spans="1:36" hidden="1" x14ac:dyDescent="0.25">
      <c r="A944">
        <v>943</v>
      </c>
      <c r="B944" s="2" t="s">
        <v>10476</v>
      </c>
      <c r="C944" t="s">
        <v>11233</v>
      </c>
      <c r="D944" t="s">
        <v>37</v>
      </c>
      <c r="E944" t="s">
        <v>11234</v>
      </c>
      <c r="F944" t="s">
        <v>107</v>
      </c>
      <c r="G944" t="s">
        <v>11235</v>
      </c>
      <c r="H944" t="s">
        <v>11236</v>
      </c>
      <c r="I944" t="s">
        <v>11236</v>
      </c>
      <c r="J944" t="s">
        <v>11236</v>
      </c>
      <c r="K944" t="s">
        <v>11237</v>
      </c>
      <c r="L944">
        <v>1812300</v>
      </c>
      <c r="M944">
        <v>2589000</v>
      </c>
      <c r="N944" t="s">
        <v>11238</v>
      </c>
      <c r="O944" s="1">
        <v>45613</v>
      </c>
      <c r="P944" t="s">
        <v>11239</v>
      </c>
      <c r="Q944" t="s">
        <v>11240</v>
      </c>
      <c r="R944" t="s">
        <v>47</v>
      </c>
      <c r="S944" t="s">
        <v>48</v>
      </c>
      <c r="T944" t="s">
        <v>1301</v>
      </c>
      <c r="U944" t="s">
        <v>50</v>
      </c>
      <c r="V944" t="s">
        <v>116</v>
      </c>
      <c r="W944" t="s">
        <v>1053</v>
      </c>
      <c r="X944" t="s">
        <v>7915</v>
      </c>
      <c r="Y944" t="s">
        <v>11241</v>
      </c>
      <c r="Z944">
        <v>3</v>
      </c>
      <c r="AA944" t="s">
        <v>118</v>
      </c>
      <c r="AB944" t="s">
        <v>11242</v>
      </c>
      <c r="AC944" t="s">
        <v>1961</v>
      </c>
      <c r="AD944" t="s">
        <v>299</v>
      </c>
      <c r="AE944">
        <v>1553400</v>
      </c>
      <c r="AF944">
        <v>0</v>
      </c>
      <c r="AJ944" t="e">
        <f>_xlfn.XLOOKUP(Table9[[#This Row],[Engine No.]],'[1]Dubai Islamic Consumer'!$Q$3:$Q$1176,'[1]Dubai Islamic Consumer'!$B$3:$B$1176,,,)</f>
        <v>#N/A</v>
      </c>
    </row>
    <row r="945" spans="1:36" hidden="1" x14ac:dyDescent="0.25">
      <c r="A945">
        <v>944</v>
      </c>
      <c r="B945" s="2" t="s">
        <v>10476</v>
      </c>
      <c r="C945" t="s">
        <v>11243</v>
      </c>
      <c r="D945" t="s">
        <v>37</v>
      </c>
      <c r="E945" t="s">
        <v>9528</v>
      </c>
      <c r="F945" t="s">
        <v>107</v>
      </c>
      <c r="G945" t="s">
        <v>11244</v>
      </c>
      <c r="H945" t="s">
        <v>11245</v>
      </c>
      <c r="I945" t="s">
        <v>11245</v>
      </c>
      <c r="J945" t="s">
        <v>11246</v>
      </c>
      <c r="K945" t="s">
        <v>11247</v>
      </c>
      <c r="L945">
        <v>999050</v>
      </c>
      <c r="M945">
        <v>1537000</v>
      </c>
      <c r="N945" t="s">
        <v>11248</v>
      </c>
      <c r="O945" s="1">
        <v>45612</v>
      </c>
      <c r="P945" t="s">
        <v>11249</v>
      </c>
      <c r="Q945" t="s">
        <v>11250</v>
      </c>
      <c r="R945" t="s">
        <v>47</v>
      </c>
      <c r="S945" t="s">
        <v>11251</v>
      </c>
      <c r="T945" t="s">
        <v>2113</v>
      </c>
      <c r="U945" t="s">
        <v>335</v>
      </c>
      <c r="V945" t="s">
        <v>11252</v>
      </c>
      <c r="W945" t="s">
        <v>7888</v>
      </c>
      <c r="X945" t="s">
        <v>7798</v>
      </c>
      <c r="Y945" t="s">
        <v>11253</v>
      </c>
      <c r="Z945">
        <v>7</v>
      </c>
      <c r="AA945" t="s">
        <v>55</v>
      </c>
      <c r="AB945" t="s">
        <v>11254</v>
      </c>
      <c r="AC945" t="s">
        <v>11255</v>
      </c>
      <c r="AD945" t="s">
        <v>7584</v>
      </c>
      <c r="AE945">
        <v>922200</v>
      </c>
      <c r="AF945">
        <v>0</v>
      </c>
      <c r="AJ945" t="e">
        <f>_xlfn.XLOOKUP(Table9[[#This Row],[Engine No.]],'[1]Dubai Islamic Consumer'!$Q$3:$Q$1176,'[1]Dubai Islamic Consumer'!$B$3:$B$1176,,,)</f>
        <v>#N/A</v>
      </c>
    </row>
    <row r="946" spans="1:36" hidden="1" x14ac:dyDescent="0.25">
      <c r="A946">
        <v>945</v>
      </c>
      <c r="B946" s="2" t="s">
        <v>10476</v>
      </c>
      <c r="C946" t="s">
        <v>11256</v>
      </c>
      <c r="D946" t="s">
        <v>37</v>
      </c>
      <c r="E946" t="s">
        <v>11257</v>
      </c>
      <c r="F946" t="s">
        <v>764</v>
      </c>
      <c r="G946" t="s">
        <v>11258</v>
      </c>
      <c r="H946" t="s">
        <v>11259</v>
      </c>
      <c r="I946" t="s">
        <v>11259</v>
      </c>
      <c r="J946" t="s">
        <v>11259</v>
      </c>
      <c r="K946" t="s">
        <v>11260</v>
      </c>
      <c r="L946">
        <v>1125750</v>
      </c>
      <c r="M946">
        <v>1501000</v>
      </c>
      <c r="N946" t="s">
        <v>11261</v>
      </c>
      <c r="O946" s="1">
        <v>45611</v>
      </c>
      <c r="P946" t="s">
        <v>11262</v>
      </c>
      <c r="Q946" t="s">
        <v>11263</v>
      </c>
      <c r="R946" t="s">
        <v>47</v>
      </c>
      <c r="S946" t="s">
        <v>11264</v>
      </c>
      <c r="T946" t="s">
        <v>1909</v>
      </c>
      <c r="U946" t="s">
        <v>496</v>
      </c>
      <c r="V946" t="s">
        <v>2309</v>
      </c>
      <c r="W946" t="s">
        <v>11265</v>
      </c>
      <c r="X946" t="s">
        <v>11266</v>
      </c>
      <c r="Y946" t="s">
        <v>11267</v>
      </c>
      <c r="Z946">
        <v>5</v>
      </c>
      <c r="AA946" t="s">
        <v>323</v>
      </c>
      <c r="AB946" t="s">
        <v>11268</v>
      </c>
      <c r="AC946" t="s">
        <v>11269</v>
      </c>
      <c r="AD946" t="s">
        <v>880</v>
      </c>
      <c r="AE946">
        <v>900600</v>
      </c>
      <c r="AF946">
        <v>0</v>
      </c>
      <c r="AJ946" t="e">
        <f>_xlfn.XLOOKUP(Table9[[#This Row],[Engine No.]],'[1]Dubai Islamic Consumer'!$Q$3:$Q$1176,'[1]Dubai Islamic Consumer'!$B$3:$B$1176,,,)</f>
        <v>#N/A</v>
      </c>
    </row>
    <row r="947" spans="1:36" hidden="1" x14ac:dyDescent="0.25">
      <c r="A947">
        <v>946</v>
      </c>
      <c r="B947" s="2" t="s">
        <v>10476</v>
      </c>
      <c r="C947" t="s">
        <v>11270</v>
      </c>
      <c r="D947" t="s">
        <v>37</v>
      </c>
      <c r="E947" t="s">
        <v>11271</v>
      </c>
      <c r="F947" t="s">
        <v>245</v>
      </c>
      <c r="G947" t="s">
        <v>11272</v>
      </c>
      <c r="H947" t="s">
        <v>11273</v>
      </c>
      <c r="I947" t="s">
        <v>11274</v>
      </c>
      <c r="J947" t="s">
        <v>11275</v>
      </c>
      <c r="K947" t="s">
        <v>11276</v>
      </c>
      <c r="L947">
        <v>2016500</v>
      </c>
      <c r="M947">
        <v>4033000</v>
      </c>
      <c r="N947" t="s">
        <v>11277</v>
      </c>
      <c r="O947" s="1">
        <v>45610</v>
      </c>
      <c r="P947" t="s">
        <v>11278</v>
      </c>
      <c r="Q947" t="s">
        <v>11279</v>
      </c>
      <c r="R947" t="s">
        <v>47</v>
      </c>
      <c r="S947" t="s">
        <v>48</v>
      </c>
      <c r="T947" t="s">
        <v>11280</v>
      </c>
      <c r="U947" t="s">
        <v>50</v>
      </c>
      <c r="V947" t="s">
        <v>1513</v>
      </c>
      <c r="W947" t="s">
        <v>132</v>
      </c>
      <c r="X947" t="s">
        <v>7798</v>
      </c>
      <c r="Y947" t="s">
        <v>11281</v>
      </c>
      <c r="Z947">
        <v>3</v>
      </c>
      <c r="AA947" t="s">
        <v>323</v>
      </c>
      <c r="AB947" t="s">
        <v>11282</v>
      </c>
      <c r="AC947" t="s">
        <v>1252</v>
      </c>
      <c r="AD947" t="s">
        <v>58</v>
      </c>
      <c r="AE947">
        <v>2419800</v>
      </c>
      <c r="AF947">
        <v>0</v>
      </c>
      <c r="AJ947" t="e">
        <f>_xlfn.XLOOKUP(Table9[[#This Row],[Engine No.]],'[1]Dubai Islamic Consumer'!$Q$3:$Q$1176,'[1]Dubai Islamic Consumer'!$B$3:$B$1176,,,)</f>
        <v>#N/A</v>
      </c>
    </row>
    <row r="948" spans="1:36" hidden="1" x14ac:dyDescent="0.25">
      <c r="A948">
        <v>947</v>
      </c>
      <c r="B948" s="2" t="s">
        <v>10476</v>
      </c>
      <c r="C948" t="s">
        <v>11283</v>
      </c>
      <c r="D948" t="s">
        <v>37</v>
      </c>
      <c r="E948" t="s">
        <v>11284</v>
      </c>
      <c r="F948" t="s">
        <v>39</v>
      </c>
      <c r="G948" t="s">
        <v>11285</v>
      </c>
      <c r="H948" t="s">
        <v>11286</v>
      </c>
      <c r="I948" t="s">
        <v>11287</v>
      </c>
      <c r="J948" t="s">
        <v>11286</v>
      </c>
      <c r="K948" t="s">
        <v>11288</v>
      </c>
      <c r="L948">
        <v>1337200</v>
      </c>
      <c r="M948">
        <v>3343000</v>
      </c>
      <c r="N948" t="s">
        <v>11289</v>
      </c>
      <c r="O948" s="1">
        <v>45608</v>
      </c>
      <c r="P948" t="s">
        <v>11290</v>
      </c>
      <c r="Q948" t="s">
        <v>11291</v>
      </c>
      <c r="R948" t="s">
        <v>47</v>
      </c>
      <c r="S948" t="s">
        <v>48</v>
      </c>
      <c r="T948" t="s">
        <v>1189</v>
      </c>
      <c r="U948" t="s">
        <v>98</v>
      </c>
      <c r="V948" t="s">
        <v>521</v>
      </c>
      <c r="W948" t="s">
        <v>532</v>
      </c>
      <c r="X948" t="s">
        <v>7798</v>
      </c>
      <c r="Y948" t="s">
        <v>11292</v>
      </c>
      <c r="Z948">
        <v>4</v>
      </c>
      <c r="AA948" t="s">
        <v>55</v>
      </c>
      <c r="AB948" t="s">
        <v>11293</v>
      </c>
      <c r="AC948" t="s">
        <v>1551</v>
      </c>
      <c r="AD948" t="s">
        <v>58</v>
      </c>
      <c r="AE948">
        <v>2005800</v>
      </c>
      <c r="AF948">
        <v>0</v>
      </c>
      <c r="AJ948" t="e">
        <f>_xlfn.XLOOKUP(Table9[[#This Row],[Engine No.]],'[1]Dubai Islamic Consumer'!$Q$3:$Q$1176,'[1]Dubai Islamic Consumer'!$B$3:$B$1176,,,)</f>
        <v>#N/A</v>
      </c>
    </row>
    <row r="949" spans="1:36" hidden="1" x14ac:dyDescent="0.25">
      <c r="A949">
        <v>948</v>
      </c>
      <c r="B949" s="2" t="s">
        <v>10476</v>
      </c>
      <c r="C949" t="s">
        <v>11294</v>
      </c>
      <c r="D949" t="s">
        <v>37</v>
      </c>
      <c r="E949" t="s">
        <v>11295</v>
      </c>
      <c r="F949" t="s">
        <v>138</v>
      </c>
      <c r="G949" t="s">
        <v>11296</v>
      </c>
      <c r="H949" t="s">
        <v>11297</v>
      </c>
      <c r="I949" t="s">
        <v>11298</v>
      </c>
      <c r="J949" t="s">
        <v>1505</v>
      </c>
      <c r="K949" t="s">
        <v>11299</v>
      </c>
      <c r="L949">
        <v>1036000</v>
      </c>
      <c r="M949">
        <v>1295000</v>
      </c>
      <c r="N949" t="s">
        <v>11300</v>
      </c>
      <c r="O949" s="1">
        <v>45607</v>
      </c>
      <c r="P949" t="s">
        <v>11301</v>
      </c>
      <c r="Q949" t="s">
        <v>11302</v>
      </c>
      <c r="R949" t="s">
        <v>47</v>
      </c>
      <c r="S949" t="s">
        <v>11303</v>
      </c>
      <c r="T949" t="s">
        <v>613</v>
      </c>
      <c r="U949" t="s">
        <v>614</v>
      </c>
      <c r="V949" t="s">
        <v>11304</v>
      </c>
      <c r="W949" t="s">
        <v>3296</v>
      </c>
      <c r="X949" t="s">
        <v>7915</v>
      </c>
      <c r="Y949" t="s">
        <v>11305</v>
      </c>
      <c r="Z949">
        <v>5</v>
      </c>
      <c r="AA949" t="s">
        <v>55</v>
      </c>
      <c r="AB949" t="s">
        <v>11306</v>
      </c>
      <c r="AC949" t="s">
        <v>3623</v>
      </c>
      <c r="AD949" t="s">
        <v>171</v>
      </c>
      <c r="AE949">
        <v>777000</v>
      </c>
      <c r="AF949">
        <v>0</v>
      </c>
      <c r="AJ949" t="e">
        <f>_xlfn.XLOOKUP(Table9[[#This Row],[Engine No.]],'[1]Dubai Islamic Consumer'!$Q$3:$Q$1176,'[1]Dubai Islamic Consumer'!$B$3:$B$1176,,,)</f>
        <v>#N/A</v>
      </c>
    </row>
    <row r="950" spans="1:36" hidden="1" x14ac:dyDescent="0.25">
      <c r="A950">
        <v>949</v>
      </c>
      <c r="B950" s="2" t="s">
        <v>10476</v>
      </c>
      <c r="C950" t="s">
        <v>11307</v>
      </c>
      <c r="D950" t="s">
        <v>37</v>
      </c>
      <c r="E950" t="s">
        <v>11308</v>
      </c>
      <c r="F950" t="s">
        <v>932</v>
      </c>
      <c r="G950" t="s">
        <v>11309</v>
      </c>
      <c r="H950" t="s">
        <v>11310</v>
      </c>
      <c r="I950" t="s">
        <v>11310</v>
      </c>
      <c r="J950" t="s">
        <v>11310</v>
      </c>
      <c r="K950" t="s">
        <v>11311</v>
      </c>
      <c r="L950">
        <v>1587950</v>
      </c>
      <c r="M950">
        <v>2443000</v>
      </c>
      <c r="N950" t="s">
        <v>11312</v>
      </c>
      <c r="O950" s="1">
        <v>45604</v>
      </c>
      <c r="P950" t="s">
        <v>11313</v>
      </c>
      <c r="Q950" t="s">
        <v>11314</v>
      </c>
      <c r="R950" t="s">
        <v>47</v>
      </c>
      <c r="S950" t="s">
        <v>48</v>
      </c>
      <c r="T950" t="s">
        <v>3007</v>
      </c>
      <c r="U950" t="s">
        <v>50</v>
      </c>
      <c r="V950" t="s">
        <v>1476</v>
      </c>
      <c r="W950" t="s">
        <v>132</v>
      </c>
      <c r="X950" t="s">
        <v>7798</v>
      </c>
      <c r="Y950" t="s">
        <v>11315</v>
      </c>
      <c r="Z950">
        <v>3</v>
      </c>
      <c r="AA950" t="s">
        <v>55</v>
      </c>
      <c r="AB950" t="s">
        <v>11316</v>
      </c>
      <c r="AC950" t="s">
        <v>981</v>
      </c>
      <c r="AD950" t="s">
        <v>58</v>
      </c>
      <c r="AE950">
        <v>1465800</v>
      </c>
      <c r="AF950">
        <v>0</v>
      </c>
      <c r="AJ950" t="e">
        <f>_xlfn.XLOOKUP(Table9[[#This Row],[Engine No.]],'[1]Dubai Islamic Consumer'!$Q$3:$Q$1176,'[1]Dubai Islamic Consumer'!$B$3:$B$1176,,,)</f>
        <v>#N/A</v>
      </c>
    </row>
    <row r="951" spans="1:36" hidden="1" x14ac:dyDescent="0.25">
      <c r="A951">
        <v>950</v>
      </c>
      <c r="B951" s="2" t="s">
        <v>10476</v>
      </c>
      <c r="C951" t="s">
        <v>11317</v>
      </c>
      <c r="D951" t="s">
        <v>37</v>
      </c>
      <c r="E951" t="s">
        <v>11318</v>
      </c>
      <c r="F951" t="s">
        <v>107</v>
      </c>
      <c r="G951" t="s">
        <v>11319</v>
      </c>
      <c r="H951" t="s">
        <v>11320</v>
      </c>
      <c r="I951" t="s">
        <v>11320</v>
      </c>
      <c r="J951" t="s">
        <v>11320</v>
      </c>
      <c r="K951" t="s">
        <v>11321</v>
      </c>
      <c r="L951">
        <v>1071000</v>
      </c>
      <c r="M951">
        <v>1530000</v>
      </c>
      <c r="N951" t="s">
        <v>11322</v>
      </c>
      <c r="O951" s="1">
        <v>45602</v>
      </c>
      <c r="P951" t="s">
        <v>11323</v>
      </c>
      <c r="Q951" t="s">
        <v>11324</v>
      </c>
      <c r="R951" t="s">
        <v>1215</v>
      </c>
      <c r="S951" t="s">
        <v>11325</v>
      </c>
      <c r="T951" t="s">
        <v>11326</v>
      </c>
      <c r="U951" t="s">
        <v>903</v>
      </c>
      <c r="V951" t="s">
        <v>788</v>
      </c>
      <c r="W951" t="s">
        <v>785</v>
      </c>
      <c r="X951" t="s">
        <v>8027</v>
      </c>
      <c r="Y951" t="s">
        <v>11327</v>
      </c>
      <c r="Z951">
        <v>5</v>
      </c>
      <c r="AA951" t="s">
        <v>227</v>
      </c>
      <c r="AB951" t="s">
        <v>11328</v>
      </c>
      <c r="AC951" t="s">
        <v>11329</v>
      </c>
      <c r="AD951" t="s">
        <v>171</v>
      </c>
      <c r="AE951">
        <v>918000</v>
      </c>
      <c r="AF951">
        <v>0</v>
      </c>
      <c r="AJ951" t="e">
        <f>_xlfn.XLOOKUP(Table9[[#This Row],[Engine No.]],'[1]Dubai Islamic Consumer'!$Q$3:$Q$1176,'[1]Dubai Islamic Consumer'!$B$3:$B$1176,,,)</f>
        <v>#N/A</v>
      </c>
    </row>
    <row r="952" spans="1:36" hidden="1" x14ac:dyDescent="0.25">
      <c r="A952">
        <v>951</v>
      </c>
      <c r="B952" s="2" t="s">
        <v>10476</v>
      </c>
      <c r="C952" t="s">
        <v>11330</v>
      </c>
      <c r="D952" t="s">
        <v>37</v>
      </c>
      <c r="E952" t="s">
        <v>11331</v>
      </c>
      <c r="F952" t="s">
        <v>138</v>
      </c>
      <c r="G952" t="s">
        <v>11332</v>
      </c>
      <c r="H952" t="s">
        <v>11333</v>
      </c>
      <c r="I952" t="s">
        <v>11334</v>
      </c>
      <c r="J952" t="s">
        <v>11335</v>
      </c>
      <c r="K952" t="s">
        <v>11336</v>
      </c>
      <c r="L952">
        <v>667200</v>
      </c>
      <c r="M952">
        <v>834000</v>
      </c>
      <c r="N952" t="s">
        <v>11337</v>
      </c>
      <c r="O952" s="1">
        <v>45601</v>
      </c>
      <c r="P952" t="s">
        <v>11338</v>
      </c>
      <c r="Q952" t="s">
        <v>11339</v>
      </c>
      <c r="R952" t="s">
        <v>47</v>
      </c>
      <c r="S952" t="s">
        <v>11340</v>
      </c>
      <c r="T952" t="s">
        <v>4186</v>
      </c>
      <c r="U952" t="s">
        <v>614</v>
      </c>
      <c r="V952" t="s">
        <v>11341</v>
      </c>
      <c r="W952" t="s">
        <v>785</v>
      </c>
      <c r="X952" t="s">
        <v>8027</v>
      </c>
      <c r="Y952" t="s">
        <v>11342</v>
      </c>
      <c r="Z952">
        <v>5</v>
      </c>
      <c r="AA952" t="s">
        <v>55</v>
      </c>
      <c r="AB952" t="s">
        <v>11343</v>
      </c>
      <c r="AC952" t="s">
        <v>11341</v>
      </c>
      <c r="AD952" t="s">
        <v>171</v>
      </c>
      <c r="AE952">
        <v>500400</v>
      </c>
      <c r="AF952">
        <v>0</v>
      </c>
      <c r="AJ952" t="e">
        <f>_xlfn.XLOOKUP(Table9[[#This Row],[Engine No.]],'[1]Dubai Islamic Consumer'!$Q$3:$Q$1176,'[1]Dubai Islamic Consumer'!$B$3:$B$1176,,,)</f>
        <v>#N/A</v>
      </c>
    </row>
    <row r="953" spans="1:36" hidden="1" x14ac:dyDescent="0.25">
      <c r="A953">
        <v>952</v>
      </c>
      <c r="B953" s="2" t="s">
        <v>10476</v>
      </c>
      <c r="C953" t="s">
        <v>11344</v>
      </c>
      <c r="D953" t="s">
        <v>37</v>
      </c>
      <c r="E953" t="s">
        <v>11345</v>
      </c>
      <c r="F953" t="s">
        <v>39</v>
      </c>
      <c r="G953" t="s">
        <v>11346</v>
      </c>
      <c r="H953" t="s">
        <v>11347</v>
      </c>
      <c r="I953" t="s">
        <v>11348</v>
      </c>
      <c r="J953" t="s">
        <v>11349</v>
      </c>
      <c r="K953" t="s">
        <v>11350</v>
      </c>
      <c r="L953">
        <v>4654500</v>
      </c>
      <c r="M953">
        <v>9309000</v>
      </c>
      <c r="N953" t="s">
        <v>11351</v>
      </c>
      <c r="O953" s="1">
        <v>45600</v>
      </c>
      <c r="P953" t="s">
        <v>11352</v>
      </c>
      <c r="Q953" t="s">
        <v>11353</v>
      </c>
      <c r="R953" t="s">
        <v>47</v>
      </c>
      <c r="S953" t="s">
        <v>48</v>
      </c>
      <c r="T953" t="s">
        <v>130</v>
      </c>
      <c r="U953" t="s">
        <v>50</v>
      </c>
      <c r="V953" t="s">
        <v>508</v>
      </c>
      <c r="W953" t="s">
        <v>132</v>
      </c>
      <c r="X953" t="s">
        <v>7798</v>
      </c>
      <c r="Y953" t="s">
        <v>11354</v>
      </c>
      <c r="Z953">
        <v>3</v>
      </c>
      <c r="AA953" t="s">
        <v>55</v>
      </c>
      <c r="AB953" t="s">
        <v>11355</v>
      </c>
      <c r="AC953" t="s">
        <v>185</v>
      </c>
      <c r="AD953" t="s">
        <v>86</v>
      </c>
      <c r="AE953">
        <v>5585400</v>
      </c>
      <c r="AF953">
        <v>0</v>
      </c>
      <c r="AJ953" t="e">
        <f>_xlfn.XLOOKUP(Table9[[#This Row],[Engine No.]],'[1]Dubai Islamic Consumer'!$Q$3:$Q$1176,'[1]Dubai Islamic Consumer'!$B$3:$B$1176,,,)</f>
        <v>#N/A</v>
      </c>
    </row>
    <row r="954" spans="1:36" hidden="1" x14ac:dyDescent="0.25">
      <c r="A954">
        <v>953</v>
      </c>
      <c r="B954" s="2" t="s">
        <v>10476</v>
      </c>
      <c r="C954" t="s">
        <v>11356</v>
      </c>
      <c r="D954" t="s">
        <v>37</v>
      </c>
      <c r="E954" t="s">
        <v>11357</v>
      </c>
      <c r="F954" t="s">
        <v>10699</v>
      </c>
      <c r="G954" t="s">
        <v>11358</v>
      </c>
      <c r="H954" t="s">
        <v>11359</v>
      </c>
      <c r="I954" t="s">
        <v>11360</v>
      </c>
      <c r="J954" t="s">
        <v>48</v>
      </c>
      <c r="K954" t="s">
        <v>11361</v>
      </c>
      <c r="L954">
        <v>3689000</v>
      </c>
      <c r="M954">
        <v>5270000</v>
      </c>
      <c r="N954" t="s">
        <v>11362</v>
      </c>
      <c r="O954" s="1">
        <v>45599</v>
      </c>
      <c r="P954" t="s">
        <v>11363</v>
      </c>
      <c r="Q954" t="s">
        <v>11364</v>
      </c>
      <c r="R954" t="s">
        <v>47</v>
      </c>
      <c r="S954" t="s">
        <v>48</v>
      </c>
      <c r="T954" t="s">
        <v>520</v>
      </c>
      <c r="U954" t="s">
        <v>50</v>
      </c>
      <c r="V954" t="s">
        <v>116</v>
      </c>
      <c r="W954" t="s">
        <v>4015</v>
      </c>
      <c r="X954" t="s">
        <v>7515</v>
      </c>
      <c r="Y954" t="s">
        <v>11365</v>
      </c>
      <c r="Z954">
        <v>3</v>
      </c>
      <c r="AA954" t="s">
        <v>48</v>
      </c>
      <c r="AB954" t="s">
        <v>48</v>
      </c>
      <c r="AC954" t="s">
        <v>48</v>
      </c>
      <c r="AD954" t="s">
        <v>86</v>
      </c>
      <c r="AE954">
        <v>3162000</v>
      </c>
      <c r="AF954">
        <v>0</v>
      </c>
      <c r="AJ954" t="e">
        <f>_xlfn.XLOOKUP(Table9[[#This Row],[Engine No.]],'[1]Dubai Islamic Consumer'!$Q$3:$Q$1176,'[1]Dubai Islamic Consumer'!$B$3:$B$1176,,,)</f>
        <v>#N/A</v>
      </c>
    </row>
    <row r="955" spans="1:36" hidden="1" x14ac:dyDescent="0.25">
      <c r="A955">
        <v>954</v>
      </c>
      <c r="B955" s="2" t="s">
        <v>10476</v>
      </c>
      <c r="C955" t="s">
        <v>11366</v>
      </c>
      <c r="D955" t="s">
        <v>37</v>
      </c>
      <c r="E955" t="s">
        <v>11367</v>
      </c>
      <c r="F955" t="s">
        <v>245</v>
      </c>
      <c r="G955" t="s">
        <v>11368</v>
      </c>
      <c r="H955" t="s">
        <v>11369</v>
      </c>
      <c r="I955" t="s">
        <v>48</v>
      </c>
      <c r="J955" t="s">
        <v>11370</v>
      </c>
      <c r="K955" t="s">
        <v>11371</v>
      </c>
      <c r="L955">
        <v>760500</v>
      </c>
      <c r="M955">
        <v>1521000</v>
      </c>
      <c r="N955" t="s">
        <v>11372</v>
      </c>
      <c r="O955" s="1">
        <v>45598</v>
      </c>
      <c r="P955" t="s">
        <v>11373</v>
      </c>
      <c r="Q955" t="s">
        <v>11374</v>
      </c>
      <c r="R955" t="s">
        <v>47</v>
      </c>
      <c r="S955" t="s">
        <v>48</v>
      </c>
      <c r="T955" t="s">
        <v>613</v>
      </c>
      <c r="U955" t="s">
        <v>50</v>
      </c>
      <c r="V955" t="s">
        <v>116</v>
      </c>
      <c r="W955" t="s">
        <v>52</v>
      </c>
      <c r="X955" t="s">
        <v>8027</v>
      </c>
      <c r="Y955" t="s">
        <v>11375</v>
      </c>
      <c r="Z955">
        <v>3</v>
      </c>
      <c r="AA955" t="s">
        <v>118</v>
      </c>
      <c r="AB955" t="s">
        <v>11376</v>
      </c>
      <c r="AC955" t="s">
        <v>287</v>
      </c>
      <c r="AD955" t="s">
        <v>58</v>
      </c>
      <c r="AE955">
        <v>912600</v>
      </c>
      <c r="AF955">
        <v>0</v>
      </c>
      <c r="AJ955" t="e">
        <f>_xlfn.XLOOKUP(Table9[[#This Row],[Engine No.]],'[1]Dubai Islamic Consumer'!$Q$3:$Q$1176,'[1]Dubai Islamic Consumer'!$B$3:$B$1176,,,)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8A67-DEBD-4319-9BDA-A89DCA08C6CE}">
  <dimension ref="A1:AN627"/>
  <sheetViews>
    <sheetView topLeftCell="AE607" workbookViewId="0">
      <selection activeCell="AF624" sqref="AF2:AF624"/>
    </sheetView>
  </sheetViews>
  <sheetFormatPr defaultRowHeight="15" x14ac:dyDescent="0.25"/>
  <cols>
    <col min="1" max="1" width="7.7109375" style="3" bestFit="1" customWidth="1"/>
    <col min="2" max="2" width="8.42578125" bestFit="1" customWidth="1"/>
    <col min="3" max="3" width="17.7109375" bestFit="1" customWidth="1"/>
    <col min="4" max="4" width="18.28515625" bestFit="1" customWidth="1"/>
    <col min="5" max="5" width="36.7109375" bestFit="1" customWidth="1"/>
    <col min="6" max="6" width="16.140625" bestFit="1" customWidth="1"/>
    <col min="7" max="7" width="15.42578125" bestFit="1" customWidth="1"/>
    <col min="8" max="8" width="30.140625" bestFit="1" customWidth="1"/>
    <col min="9" max="9" width="28.42578125" bestFit="1" customWidth="1"/>
    <col min="10" max="10" width="20.7109375" bestFit="1" customWidth="1"/>
    <col min="11" max="11" width="119.28515625" bestFit="1" customWidth="1"/>
    <col min="12" max="12" width="17.140625" bestFit="1" customWidth="1"/>
    <col min="13" max="13" width="10.5703125" bestFit="1" customWidth="1"/>
    <col min="14" max="14" width="36.7109375" bestFit="1" customWidth="1"/>
    <col min="15" max="15" width="16.28515625" bestFit="1" customWidth="1"/>
    <col min="16" max="16" width="16.42578125" bestFit="1" customWidth="1"/>
    <col min="17" max="17" width="20.85546875" bestFit="1" customWidth="1"/>
    <col min="18" max="18" width="14" bestFit="1" customWidth="1"/>
    <col min="19" max="19" width="12.42578125" bestFit="1" customWidth="1"/>
    <col min="20" max="20" width="34.28515625" bestFit="1" customWidth="1"/>
    <col min="21" max="21" width="8.7109375" bestFit="1" customWidth="1"/>
    <col min="22" max="22" width="22.28515625" bestFit="1" customWidth="1"/>
    <col min="23" max="23" width="20.28515625" bestFit="1" customWidth="1"/>
    <col min="24" max="24" width="22.7109375" bestFit="1" customWidth="1"/>
    <col min="25" max="25" width="19.7109375" bestFit="1" customWidth="1"/>
    <col min="26" max="26" width="10.140625" bestFit="1" customWidth="1"/>
    <col min="27" max="27" width="18.140625" bestFit="1" customWidth="1"/>
    <col min="28" max="28" width="26" bestFit="1" customWidth="1"/>
    <col min="29" max="29" width="23.85546875" bestFit="1" customWidth="1"/>
    <col min="30" max="30" width="7.42578125" bestFit="1" customWidth="1"/>
    <col min="31" max="31" width="14.28515625" bestFit="1" customWidth="1"/>
    <col min="32" max="32" width="12.7109375" bestFit="1" customWidth="1"/>
    <col min="33" max="33" width="17.7109375" bestFit="1" customWidth="1"/>
    <col min="34" max="34" width="32.7109375" bestFit="1" customWidth="1"/>
    <col min="35" max="35" width="12.28515625" bestFit="1" customWidth="1"/>
    <col min="36" max="36" width="42.28515625" bestFit="1" customWidth="1"/>
    <col min="37" max="37" width="11.5703125" bestFit="1" customWidth="1"/>
    <col min="38" max="38" width="44.42578125" bestFit="1" customWidth="1"/>
    <col min="39" max="39" width="11.85546875" bestFit="1" customWidth="1"/>
    <col min="40" max="40" width="9.7109375" bestFit="1" customWidth="1"/>
  </cols>
  <sheetData>
    <row r="1" spans="1:40" x14ac:dyDescent="0.2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11377</v>
      </c>
      <c r="AK1" s="7" t="s">
        <v>11378</v>
      </c>
      <c r="AL1" s="7" t="s">
        <v>12003</v>
      </c>
      <c r="AM1" s="7" t="s">
        <v>11379</v>
      </c>
      <c r="AN1" s="7" t="s">
        <v>11380</v>
      </c>
    </row>
    <row r="2" spans="1:40" x14ac:dyDescent="0.25">
      <c r="A2" s="8">
        <v>1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39</v>
      </c>
      <c r="G2" s="9" t="s">
        <v>40</v>
      </c>
      <c r="H2" s="9" t="s">
        <v>41</v>
      </c>
      <c r="I2" s="9" t="s">
        <v>42</v>
      </c>
      <c r="J2" s="9" t="s">
        <v>41</v>
      </c>
      <c r="K2" s="9" t="s">
        <v>43</v>
      </c>
      <c r="L2" s="9">
        <v>1001250</v>
      </c>
      <c r="M2" s="9">
        <v>1335000</v>
      </c>
      <c r="N2" s="9" t="s">
        <v>44</v>
      </c>
      <c r="O2" s="10">
        <v>45597</v>
      </c>
      <c r="P2" s="9" t="s">
        <v>45</v>
      </c>
      <c r="Q2" s="9" t="s">
        <v>46</v>
      </c>
      <c r="R2" s="9" t="s">
        <v>47</v>
      </c>
      <c r="S2" s="9" t="s">
        <v>48</v>
      </c>
      <c r="T2" s="9" t="s">
        <v>49</v>
      </c>
      <c r="U2" s="9" t="s">
        <v>50</v>
      </c>
      <c r="V2" s="9" t="s">
        <v>51</v>
      </c>
      <c r="W2" s="9" t="s">
        <v>52</v>
      </c>
      <c r="X2" s="9" t="s">
        <v>53</v>
      </c>
      <c r="Y2" s="9" t="s">
        <v>54</v>
      </c>
      <c r="Z2" s="9">
        <v>5</v>
      </c>
      <c r="AA2" s="9" t="s">
        <v>55</v>
      </c>
      <c r="AB2" s="9" t="s">
        <v>56</v>
      </c>
      <c r="AC2" s="9" t="s">
        <v>57</v>
      </c>
      <c r="AD2" s="9" t="s">
        <v>58</v>
      </c>
      <c r="AE2" s="9">
        <v>1068000</v>
      </c>
      <c r="AF2" s="11">
        <v>21360</v>
      </c>
      <c r="AG2" s="9"/>
      <c r="AH2" s="9"/>
      <c r="AI2" s="9"/>
      <c r="AJ2" s="12" t="s">
        <v>11381</v>
      </c>
      <c r="AK2" s="13">
        <v>21360</v>
      </c>
      <c r="AL2" s="13"/>
      <c r="AM2" s="14">
        <f>AF2-AK2</f>
        <v>0</v>
      </c>
      <c r="AN2" s="12" t="s">
        <v>12004</v>
      </c>
    </row>
    <row r="3" spans="1:40" x14ac:dyDescent="0.25">
      <c r="A3" s="15">
        <v>2</v>
      </c>
      <c r="B3" s="12" t="s">
        <v>35</v>
      </c>
      <c r="C3" s="12" t="s">
        <v>59</v>
      </c>
      <c r="D3" s="12" t="s">
        <v>37</v>
      </c>
      <c r="E3" s="12" t="s">
        <v>60</v>
      </c>
      <c r="F3" s="12" t="s">
        <v>39</v>
      </c>
      <c r="G3" s="12" t="s">
        <v>61</v>
      </c>
      <c r="H3" s="12" t="s">
        <v>48</v>
      </c>
      <c r="I3" s="12" t="s">
        <v>62</v>
      </c>
      <c r="J3" s="12" t="s">
        <v>48</v>
      </c>
      <c r="K3" s="12" t="s">
        <v>63</v>
      </c>
      <c r="L3" s="12">
        <v>1098000</v>
      </c>
      <c r="M3" s="12">
        <v>1830000</v>
      </c>
      <c r="N3" s="12" t="s">
        <v>64</v>
      </c>
      <c r="O3" s="16">
        <v>45597</v>
      </c>
      <c r="P3" s="12" t="s">
        <v>65</v>
      </c>
      <c r="Q3" s="12" t="s">
        <v>66</v>
      </c>
      <c r="R3" s="12" t="s">
        <v>47</v>
      </c>
      <c r="S3" s="12" t="s">
        <v>48</v>
      </c>
      <c r="T3" s="12" t="s">
        <v>67</v>
      </c>
      <c r="U3" s="12" t="s">
        <v>50</v>
      </c>
      <c r="V3" s="12" t="s">
        <v>68</v>
      </c>
      <c r="W3" s="12" t="s">
        <v>52</v>
      </c>
      <c r="X3" s="12" t="s">
        <v>53</v>
      </c>
      <c r="Y3" s="12" t="s">
        <v>69</v>
      </c>
      <c r="Z3" s="12">
        <v>5</v>
      </c>
      <c r="AA3" s="12" t="s">
        <v>55</v>
      </c>
      <c r="AB3" s="12" t="s">
        <v>70</v>
      </c>
      <c r="AC3" s="12" t="s">
        <v>57</v>
      </c>
      <c r="AD3" s="12" t="s">
        <v>58</v>
      </c>
      <c r="AE3" s="12">
        <v>1464000</v>
      </c>
      <c r="AF3" s="13">
        <v>29280</v>
      </c>
      <c r="AG3" s="12"/>
      <c r="AH3" s="12"/>
      <c r="AI3" s="12"/>
      <c r="AJ3" s="12" t="s">
        <v>11382</v>
      </c>
      <c r="AK3" s="13">
        <v>29280</v>
      </c>
      <c r="AL3" s="13"/>
      <c r="AM3" s="14">
        <f t="shared" ref="AM3:AM66" si="0">AF3-AK3</f>
        <v>0</v>
      </c>
      <c r="AN3" s="12" t="s">
        <v>12004</v>
      </c>
    </row>
    <row r="4" spans="1:40" x14ac:dyDescent="0.25">
      <c r="A4" s="8">
        <v>3</v>
      </c>
      <c r="B4" s="9" t="s">
        <v>35</v>
      </c>
      <c r="C4" s="9" t="s">
        <v>71</v>
      </c>
      <c r="D4" s="9" t="s">
        <v>37</v>
      </c>
      <c r="E4" s="9" t="s">
        <v>72</v>
      </c>
      <c r="F4" s="9" t="s">
        <v>73</v>
      </c>
      <c r="G4" s="9" t="s">
        <v>74</v>
      </c>
      <c r="H4" s="9" t="s">
        <v>75</v>
      </c>
      <c r="I4" s="9" t="s">
        <v>76</v>
      </c>
      <c r="J4" s="9" t="s">
        <v>77</v>
      </c>
      <c r="K4" s="9" t="s">
        <v>78</v>
      </c>
      <c r="L4" s="9">
        <v>2027250</v>
      </c>
      <c r="M4" s="9">
        <v>2703000</v>
      </c>
      <c r="N4" s="9" t="s">
        <v>79</v>
      </c>
      <c r="O4" s="10">
        <v>45597</v>
      </c>
      <c r="P4" s="9" t="s">
        <v>80</v>
      </c>
      <c r="Q4" s="9" t="s">
        <v>81</v>
      </c>
      <c r="R4" s="9" t="s">
        <v>47</v>
      </c>
      <c r="S4" s="9" t="s">
        <v>48</v>
      </c>
      <c r="T4" s="9" t="s">
        <v>82</v>
      </c>
      <c r="U4" s="9" t="s">
        <v>50</v>
      </c>
      <c r="V4" s="9" t="s">
        <v>83</v>
      </c>
      <c r="W4" s="9" t="s">
        <v>52</v>
      </c>
      <c r="X4" s="9" t="s">
        <v>53</v>
      </c>
      <c r="Y4" s="9" t="s">
        <v>84</v>
      </c>
      <c r="Z4" s="9">
        <v>5</v>
      </c>
      <c r="AA4" s="9" t="s">
        <v>55</v>
      </c>
      <c r="AB4" s="9" t="s">
        <v>85</v>
      </c>
      <c r="AC4" s="9" t="s">
        <v>57</v>
      </c>
      <c r="AD4" s="9" t="s">
        <v>86</v>
      </c>
      <c r="AE4" s="9">
        <v>2162400</v>
      </c>
      <c r="AF4" s="11">
        <v>37842</v>
      </c>
      <c r="AG4" s="9"/>
      <c r="AH4" s="9"/>
      <c r="AI4" s="9"/>
      <c r="AJ4" s="12" t="s">
        <v>11383</v>
      </c>
      <c r="AK4" s="13">
        <v>37842</v>
      </c>
      <c r="AL4" s="13"/>
      <c r="AM4" s="14">
        <f t="shared" si="0"/>
        <v>0</v>
      </c>
      <c r="AN4" s="12" t="s">
        <v>12004</v>
      </c>
    </row>
    <row r="5" spans="1:40" x14ac:dyDescent="0.25">
      <c r="A5" s="15">
        <v>4</v>
      </c>
      <c r="B5" s="12" t="s">
        <v>35</v>
      </c>
      <c r="C5" s="12" t="s">
        <v>87</v>
      </c>
      <c r="D5" s="12" t="s">
        <v>37</v>
      </c>
      <c r="E5" s="12" t="s">
        <v>88</v>
      </c>
      <c r="F5" s="12" t="s">
        <v>89</v>
      </c>
      <c r="G5" s="12" t="s">
        <v>90</v>
      </c>
      <c r="H5" s="12" t="s">
        <v>91</v>
      </c>
      <c r="I5" s="12" t="s">
        <v>48</v>
      </c>
      <c r="J5" s="12" t="s">
        <v>92</v>
      </c>
      <c r="K5" s="12" t="s">
        <v>93</v>
      </c>
      <c r="L5" s="12">
        <v>2986125</v>
      </c>
      <c r="M5" s="12">
        <v>3981500</v>
      </c>
      <c r="N5" s="12" t="s">
        <v>94</v>
      </c>
      <c r="O5" s="16">
        <v>45597</v>
      </c>
      <c r="P5" s="12" t="s">
        <v>95</v>
      </c>
      <c r="Q5" s="12" t="s">
        <v>96</v>
      </c>
      <c r="R5" s="12" t="s">
        <v>47</v>
      </c>
      <c r="S5" s="12" t="s">
        <v>48</v>
      </c>
      <c r="T5" s="12" t="s">
        <v>97</v>
      </c>
      <c r="U5" s="12" t="s">
        <v>98</v>
      </c>
      <c r="V5" s="12" t="s">
        <v>99</v>
      </c>
      <c r="W5" s="12" t="s">
        <v>100</v>
      </c>
      <c r="X5" s="12" t="s">
        <v>101</v>
      </c>
      <c r="Y5" s="12" t="s">
        <v>102</v>
      </c>
      <c r="Z5" s="12">
        <v>5</v>
      </c>
      <c r="AA5" s="12" t="s">
        <v>55</v>
      </c>
      <c r="AB5" s="12" t="s">
        <v>103</v>
      </c>
      <c r="AC5" s="12" t="s">
        <v>104</v>
      </c>
      <c r="AD5" s="12" t="s">
        <v>58</v>
      </c>
      <c r="AE5" s="12">
        <v>2986125</v>
      </c>
      <c r="AF5" s="13">
        <v>59723</v>
      </c>
      <c r="AG5" s="12"/>
      <c r="AH5" s="12"/>
      <c r="AI5" s="12"/>
      <c r="AJ5" s="12" t="s">
        <v>11384</v>
      </c>
      <c r="AK5" s="13">
        <v>59723</v>
      </c>
      <c r="AL5" s="13"/>
      <c r="AM5" s="14">
        <f t="shared" si="0"/>
        <v>0</v>
      </c>
      <c r="AN5" s="12" t="s">
        <v>12004</v>
      </c>
    </row>
    <row r="6" spans="1:40" x14ac:dyDescent="0.25">
      <c r="A6" s="8">
        <v>5</v>
      </c>
      <c r="B6" s="9" t="s">
        <v>35</v>
      </c>
      <c r="C6" s="9" t="s">
        <v>105</v>
      </c>
      <c r="D6" s="9" t="s">
        <v>37</v>
      </c>
      <c r="E6" s="9" t="s">
        <v>106</v>
      </c>
      <c r="F6" s="9" t="s">
        <v>107</v>
      </c>
      <c r="G6" s="9" t="s">
        <v>108</v>
      </c>
      <c r="H6" s="9" t="s">
        <v>109</v>
      </c>
      <c r="I6" s="9" t="s">
        <v>109</v>
      </c>
      <c r="J6" s="9" t="s">
        <v>110</v>
      </c>
      <c r="K6" s="9" t="s">
        <v>111</v>
      </c>
      <c r="L6" s="9">
        <v>3952500</v>
      </c>
      <c r="M6" s="9">
        <v>5270000</v>
      </c>
      <c r="N6" s="9" t="s">
        <v>112</v>
      </c>
      <c r="O6" s="10">
        <v>45597</v>
      </c>
      <c r="P6" s="9" t="s">
        <v>113</v>
      </c>
      <c r="Q6" s="9" t="s">
        <v>114</v>
      </c>
      <c r="R6" s="9" t="s">
        <v>47</v>
      </c>
      <c r="S6" s="9" t="s">
        <v>48</v>
      </c>
      <c r="T6" s="9" t="s">
        <v>115</v>
      </c>
      <c r="U6" s="9" t="s">
        <v>50</v>
      </c>
      <c r="V6" s="9" t="s">
        <v>116</v>
      </c>
      <c r="W6" s="9" t="s">
        <v>52</v>
      </c>
      <c r="X6" s="9" t="s">
        <v>53</v>
      </c>
      <c r="Y6" s="9" t="s">
        <v>117</v>
      </c>
      <c r="Z6" s="9">
        <v>5</v>
      </c>
      <c r="AA6" s="9" t="s">
        <v>118</v>
      </c>
      <c r="AB6" s="9" t="s">
        <v>119</v>
      </c>
      <c r="AC6" s="9" t="s">
        <v>57</v>
      </c>
      <c r="AD6" s="9" t="s">
        <v>86</v>
      </c>
      <c r="AE6" s="9">
        <v>4216000</v>
      </c>
      <c r="AF6" s="11">
        <v>73780</v>
      </c>
      <c r="AG6" s="9"/>
      <c r="AH6" s="9"/>
      <c r="AI6" s="9"/>
      <c r="AJ6" s="12" t="s">
        <v>11385</v>
      </c>
      <c r="AK6" s="13">
        <v>73780</v>
      </c>
      <c r="AL6" s="13"/>
      <c r="AM6" s="14">
        <f t="shared" si="0"/>
        <v>0</v>
      </c>
      <c r="AN6" s="12" t="s">
        <v>12004</v>
      </c>
    </row>
    <row r="7" spans="1:40" x14ac:dyDescent="0.25">
      <c r="A7" s="15">
        <v>6</v>
      </c>
      <c r="B7" s="12" t="s">
        <v>35</v>
      </c>
      <c r="C7" s="12" t="s">
        <v>120</v>
      </c>
      <c r="D7" s="12" t="s">
        <v>37</v>
      </c>
      <c r="E7" s="12" t="s">
        <v>121</v>
      </c>
      <c r="F7" s="12" t="s">
        <v>39</v>
      </c>
      <c r="G7" s="12" t="s">
        <v>122</v>
      </c>
      <c r="H7" s="12" t="s">
        <v>123</v>
      </c>
      <c r="I7" s="12" t="s">
        <v>124</v>
      </c>
      <c r="J7" s="12" t="s">
        <v>125</v>
      </c>
      <c r="K7" s="12" t="s">
        <v>126</v>
      </c>
      <c r="L7" s="12">
        <v>6516300</v>
      </c>
      <c r="M7" s="12">
        <v>9309000</v>
      </c>
      <c r="N7" s="12" t="s">
        <v>127</v>
      </c>
      <c r="O7" s="16">
        <v>45597</v>
      </c>
      <c r="P7" s="12" t="s">
        <v>128</v>
      </c>
      <c r="Q7" s="12" t="s">
        <v>129</v>
      </c>
      <c r="R7" s="12" t="s">
        <v>47</v>
      </c>
      <c r="S7" s="12" t="s">
        <v>48</v>
      </c>
      <c r="T7" s="12" t="s">
        <v>130</v>
      </c>
      <c r="U7" s="12" t="s">
        <v>50</v>
      </c>
      <c r="V7" s="12" t="s">
        <v>131</v>
      </c>
      <c r="W7" s="12" t="s">
        <v>132</v>
      </c>
      <c r="X7" s="12" t="s">
        <v>133</v>
      </c>
      <c r="Y7" s="12" t="s">
        <v>134</v>
      </c>
      <c r="Z7" s="12">
        <v>5</v>
      </c>
      <c r="AA7" s="12" t="s">
        <v>55</v>
      </c>
      <c r="AB7" s="12" t="s">
        <v>135</v>
      </c>
      <c r="AC7" s="12" t="s">
        <v>57</v>
      </c>
      <c r="AD7" s="12" t="s">
        <v>86</v>
      </c>
      <c r="AE7" s="12">
        <v>7447200</v>
      </c>
      <c r="AF7" s="13">
        <v>130326</v>
      </c>
      <c r="AG7" s="12"/>
      <c r="AH7" s="12"/>
      <c r="AI7" s="12"/>
      <c r="AJ7" s="12" t="s">
        <v>11386</v>
      </c>
      <c r="AK7" s="13">
        <v>130326</v>
      </c>
      <c r="AL7" s="13"/>
      <c r="AM7" s="14">
        <f t="shared" si="0"/>
        <v>0</v>
      </c>
      <c r="AN7" s="12" t="s">
        <v>12004</v>
      </c>
    </row>
    <row r="8" spans="1:40" x14ac:dyDescent="0.25">
      <c r="A8" s="8">
        <v>7</v>
      </c>
      <c r="B8" s="9" t="s">
        <v>35</v>
      </c>
      <c r="C8" s="9" t="s">
        <v>136</v>
      </c>
      <c r="D8" s="9" t="s">
        <v>37</v>
      </c>
      <c r="E8" s="9" t="s">
        <v>137</v>
      </c>
      <c r="F8" s="9" t="s">
        <v>138</v>
      </c>
      <c r="G8" s="9" t="s">
        <v>139</v>
      </c>
      <c r="H8" s="9" t="s">
        <v>140</v>
      </c>
      <c r="I8" s="9" t="s">
        <v>140</v>
      </c>
      <c r="J8" s="9" t="s">
        <v>141</v>
      </c>
      <c r="K8" s="9" t="s">
        <v>142</v>
      </c>
      <c r="L8" s="9">
        <v>922500</v>
      </c>
      <c r="M8" s="9">
        <v>2050000</v>
      </c>
      <c r="N8" s="9" t="s">
        <v>143</v>
      </c>
      <c r="O8" s="10">
        <v>45597</v>
      </c>
      <c r="P8" s="9" t="s">
        <v>144</v>
      </c>
      <c r="Q8" s="9" t="s">
        <v>145</v>
      </c>
      <c r="R8" s="9" t="s">
        <v>146</v>
      </c>
      <c r="S8" s="9" t="s">
        <v>147</v>
      </c>
      <c r="T8" s="9" t="s">
        <v>49</v>
      </c>
      <c r="U8" s="9" t="s">
        <v>148</v>
      </c>
      <c r="V8" s="9" t="s">
        <v>149</v>
      </c>
      <c r="W8" s="9" t="s">
        <v>150</v>
      </c>
      <c r="X8" s="9" t="s">
        <v>101</v>
      </c>
      <c r="Y8" s="9" t="s">
        <v>151</v>
      </c>
      <c r="Z8" s="9">
        <v>3</v>
      </c>
      <c r="AA8" s="9" t="s">
        <v>152</v>
      </c>
      <c r="AB8" s="9" t="s">
        <v>153</v>
      </c>
      <c r="AC8" s="9" t="s">
        <v>154</v>
      </c>
      <c r="AD8" s="9" t="s">
        <v>86</v>
      </c>
      <c r="AE8" s="9">
        <v>1742500</v>
      </c>
      <c r="AF8" s="11">
        <v>30494</v>
      </c>
      <c r="AG8" s="9"/>
      <c r="AH8" s="9"/>
      <c r="AI8" s="9"/>
      <c r="AJ8" s="12" t="s">
        <v>11387</v>
      </c>
      <c r="AK8" s="13">
        <v>30494</v>
      </c>
      <c r="AL8" s="13"/>
      <c r="AM8" s="14">
        <f t="shared" si="0"/>
        <v>0</v>
      </c>
      <c r="AN8" s="12" t="s">
        <v>12004</v>
      </c>
    </row>
    <row r="9" spans="1:40" x14ac:dyDescent="0.25">
      <c r="A9" s="15">
        <v>8</v>
      </c>
      <c r="B9" s="12" t="s">
        <v>35</v>
      </c>
      <c r="C9" s="12" t="s">
        <v>155</v>
      </c>
      <c r="D9" s="12" t="s">
        <v>37</v>
      </c>
      <c r="E9" s="12" t="s">
        <v>156</v>
      </c>
      <c r="F9" s="12" t="s">
        <v>157</v>
      </c>
      <c r="G9" s="12" t="s">
        <v>158</v>
      </c>
      <c r="H9" s="12" t="s">
        <v>159</v>
      </c>
      <c r="I9" s="12" t="s">
        <v>48</v>
      </c>
      <c r="J9" s="12" t="s">
        <v>160</v>
      </c>
      <c r="K9" s="12" t="s">
        <v>161</v>
      </c>
      <c r="L9" s="12">
        <v>1959750</v>
      </c>
      <c r="M9" s="12">
        <v>2613000</v>
      </c>
      <c r="N9" s="12" t="s">
        <v>162</v>
      </c>
      <c r="O9" s="16">
        <v>45597</v>
      </c>
      <c r="P9" s="12" t="s">
        <v>163</v>
      </c>
      <c r="Q9" s="12" t="s">
        <v>164</v>
      </c>
      <c r="R9" s="12" t="s">
        <v>47</v>
      </c>
      <c r="S9" s="12" t="s">
        <v>48</v>
      </c>
      <c r="T9" s="12" t="s">
        <v>165</v>
      </c>
      <c r="U9" s="12" t="s">
        <v>98</v>
      </c>
      <c r="V9" s="12" t="s">
        <v>166</v>
      </c>
      <c r="W9" s="12" t="s">
        <v>167</v>
      </c>
      <c r="X9" s="12" t="s">
        <v>168</v>
      </c>
      <c r="Y9" s="12" t="s">
        <v>169</v>
      </c>
      <c r="Z9" s="12">
        <v>7</v>
      </c>
      <c r="AA9" s="12" t="s">
        <v>55</v>
      </c>
      <c r="AB9" s="12" t="s">
        <v>170</v>
      </c>
      <c r="AC9" s="12" t="s">
        <v>104</v>
      </c>
      <c r="AD9" s="12" t="s">
        <v>171</v>
      </c>
      <c r="AE9" s="12">
        <v>1959750</v>
      </c>
      <c r="AF9" s="13">
        <v>48994</v>
      </c>
      <c r="AG9" s="12"/>
      <c r="AH9" s="12"/>
      <c r="AI9" s="12"/>
      <c r="AJ9" s="12" t="s">
        <v>11388</v>
      </c>
      <c r="AK9" s="13">
        <v>48994</v>
      </c>
      <c r="AL9" s="13"/>
      <c r="AM9" s="14">
        <f t="shared" si="0"/>
        <v>0</v>
      </c>
      <c r="AN9" s="12" t="s">
        <v>12004</v>
      </c>
    </row>
    <row r="10" spans="1:40" x14ac:dyDescent="0.25">
      <c r="A10" s="8">
        <v>9</v>
      </c>
      <c r="B10" s="9" t="s">
        <v>35</v>
      </c>
      <c r="C10" s="9" t="s">
        <v>172</v>
      </c>
      <c r="D10" s="9" t="s">
        <v>37</v>
      </c>
      <c r="E10" s="9" t="s">
        <v>173</v>
      </c>
      <c r="F10" s="9" t="s">
        <v>89</v>
      </c>
      <c r="G10" s="9" t="s">
        <v>174</v>
      </c>
      <c r="H10" s="9" t="s">
        <v>175</v>
      </c>
      <c r="I10" s="9" t="s">
        <v>48</v>
      </c>
      <c r="J10" s="9" t="s">
        <v>176</v>
      </c>
      <c r="K10" s="9" t="s">
        <v>177</v>
      </c>
      <c r="L10" s="9">
        <v>744750</v>
      </c>
      <c r="M10" s="9">
        <v>1655000</v>
      </c>
      <c r="N10" s="9" t="s">
        <v>178</v>
      </c>
      <c r="O10" s="10">
        <v>45598</v>
      </c>
      <c r="P10" s="9" t="s">
        <v>179</v>
      </c>
      <c r="Q10" s="9" t="s">
        <v>180</v>
      </c>
      <c r="R10" s="9" t="s">
        <v>47</v>
      </c>
      <c r="S10" s="9" t="s">
        <v>48</v>
      </c>
      <c r="T10" s="9" t="s">
        <v>181</v>
      </c>
      <c r="U10" s="9" t="s">
        <v>50</v>
      </c>
      <c r="V10" s="9" t="s">
        <v>182</v>
      </c>
      <c r="W10" s="9" t="s">
        <v>52</v>
      </c>
      <c r="X10" s="9" t="s">
        <v>53</v>
      </c>
      <c r="Y10" s="9" t="s">
        <v>183</v>
      </c>
      <c r="Z10" s="9">
        <v>5</v>
      </c>
      <c r="AA10" s="9" t="s">
        <v>55</v>
      </c>
      <c r="AB10" s="9" t="s">
        <v>184</v>
      </c>
      <c r="AC10" s="9" t="s">
        <v>185</v>
      </c>
      <c r="AD10" s="9" t="s">
        <v>58</v>
      </c>
      <c r="AE10" s="9">
        <v>1324000</v>
      </c>
      <c r="AF10" s="11">
        <v>26480</v>
      </c>
      <c r="AG10" s="9"/>
      <c r="AH10" s="9"/>
      <c r="AI10" s="9"/>
      <c r="AJ10" s="12" t="s">
        <v>11389</v>
      </c>
      <c r="AK10" s="13">
        <v>26480</v>
      </c>
      <c r="AL10" s="13"/>
      <c r="AM10" s="14">
        <f t="shared" si="0"/>
        <v>0</v>
      </c>
      <c r="AN10" s="12" t="s">
        <v>12004</v>
      </c>
    </row>
    <row r="11" spans="1:40" x14ac:dyDescent="0.25">
      <c r="A11" s="15">
        <v>10</v>
      </c>
      <c r="B11" s="12" t="s">
        <v>35</v>
      </c>
      <c r="C11" s="12" t="s">
        <v>186</v>
      </c>
      <c r="D11" s="12" t="s">
        <v>37</v>
      </c>
      <c r="E11" s="12" t="s">
        <v>187</v>
      </c>
      <c r="F11" s="12" t="s">
        <v>107</v>
      </c>
      <c r="G11" s="12" t="s">
        <v>188</v>
      </c>
      <c r="H11" s="12" t="s">
        <v>189</v>
      </c>
      <c r="I11" s="12" t="s">
        <v>189</v>
      </c>
      <c r="J11" s="12" t="s">
        <v>189</v>
      </c>
      <c r="K11" s="12" t="s">
        <v>190</v>
      </c>
      <c r="L11" s="12">
        <v>1001250</v>
      </c>
      <c r="M11" s="12">
        <v>1335000</v>
      </c>
      <c r="N11" s="12" t="s">
        <v>191</v>
      </c>
      <c r="O11" s="16">
        <v>45598</v>
      </c>
      <c r="P11" s="12" t="s">
        <v>192</v>
      </c>
      <c r="Q11" s="12" t="s">
        <v>193</v>
      </c>
      <c r="R11" s="12" t="s">
        <v>47</v>
      </c>
      <c r="S11" s="12" t="s">
        <v>48</v>
      </c>
      <c r="T11" s="12" t="s">
        <v>194</v>
      </c>
      <c r="U11" s="12" t="s">
        <v>50</v>
      </c>
      <c r="V11" s="12" t="s">
        <v>195</v>
      </c>
      <c r="W11" s="12" t="s">
        <v>196</v>
      </c>
      <c r="X11" s="12" t="s">
        <v>197</v>
      </c>
      <c r="Y11" s="12" t="s">
        <v>198</v>
      </c>
      <c r="Z11" s="12">
        <v>4</v>
      </c>
      <c r="AA11" s="12" t="s">
        <v>55</v>
      </c>
      <c r="AB11" s="12" t="s">
        <v>199</v>
      </c>
      <c r="AC11" s="12" t="s">
        <v>200</v>
      </c>
      <c r="AD11" s="12" t="s">
        <v>58</v>
      </c>
      <c r="AE11" s="12">
        <v>1068000</v>
      </c>
      <c r="AF11" s="13">
        <v>21360</v>
      </c>
      <c r="AG11" s="12"/>
      <c r="AH11" s="12"/>
      <c r="AI11" s="12"/>
      <c r="AJ11" s="12" t="s">
        <v>11390</v>
      </c>
      <c r="AK11" s="13">
        <v>21360</v>
      </c>
      <c r="AL11" s="13"/>
      <c r="AM11" s="14">
        <f t="shared" si="0"/>
        <v>0</v>
      </c>
      <c r="AN11" s="12" t="s">
        <v>12004</v>
      </c>
    </row>
    <row r="12" spans="1:40" x14ac:dyDescent="0.25">
      <c r="A12" s="8">
        <v>11</v>
      </c>
      <c r="B12" s="9" t="s">
        <v>35</v>
      </c>
      <c r="C12" s="9" t="s">
        <v>201</v>
      </c>
      <c r="D12" s="9" t="s">
        <v>37</v>
      </c>
      <c r="E12" s="9" t="s">
        <v>202</v>
      </c>
      <c r="F12" s="9" t="s">
        <v>203</v>
      </c>
      <c r="G12" s="9" t="s">
        <v>204</v>
      </c>
      <c r="H12" s="9" t="s">
        <v>48</v>
      </c>
      <c r="I12" s="9" t="s">
        <v>205</v>
      </c>
      <c r="J12" s="9" t="s">
        <v>48</v>
      </c>
      <c r="K12" s="9" t="s">
        <v>206</v>
      </c>
      <c r="L12" s="9">
        <v>999750</v>
      </c>
      <c r="M12" s="9">
        <v>1333000</v>
      </c>
      <c r="N12" s="9" t="s">
        <v>207</v>
      </c>
      <c r="O12" s="10">
        <v>45598</v>
      </c>
      <c r="P12" s="9" t="s">
        <v>208</v>
      </c>
      <c r="Q12" s="9" t="s">
        <v>209</v>
      </c>
      <c r="R12" s="9" t="s">
        <v>47</v>
      </c>
      <c r="S12" s="9" t="s">
        <v>48</v>
      </c>
      <c r="T12" s="9" t="s">
        <v>210</v>
      </c>
      <c r="U12" s="9" t="s">
        <v>50</v>
      </c>
      <c r="V12" s="9" t="s">
        <v>211</v>
      </c>
      <c r="W12" s="9" t="s">
        <v>52</v>
      </c>
      <c r="X12" s="9" t="s">
        <v>53</v>
      </c>
      <c r="Y12" s="9" t="s">
        <v>212</v>
      </c>
      <c r="Z12" s="9">
        <v>5</v>
      </c>
      <c r="AA12" s="9" t="s">
        <v>55</v>
      </c>
      <c r="AB12" s="9" t="s">
        <v>213</v>
      </c>
      <c r="AC12" s="9" t="s">
        <v>214</v>
      </c>
      <c r="AD12" s="9" t="s">
        <v>58</v>
      </c>
      <c r="AE12" s="9">
        <v>1066400</v>
      </c>
      <c r="AF12" s="11">
        <v>21328</v>
      </c>
      <c r="AG12" s="9"/>
      <c r="AH12" s="9"/>
      <c r="AI12" s="9"/>
      <c r="AJ12" s="12" t="s">
        <v>11391</v>
      </c>
      <c r="AK12" s="13">
        <v>21328</v>
      </c>
      <c r="AL12" s="13"/>
      <c r="AM12" s="14">
        <f t="shared" si="0"/>
        <v>0</v>
      </c>
      <c r="AN12" s="12" t="s">
        <v>12004</v>
      </c>
    </row>
    <row r="13" spans="1:40" x14ac:dyDescent="0.25">
      <c r="A13" s="15">
        <v>12</v>
      </c>
      <c r="B13" s="12" t="s">
        <v>35</v>
      </c>
      <c r="C13" s="12" t="s">
        <v>215</v>
      </c>
      <c r="D13" s="12" t="s">
        <v>37</v>
      </c>
      <c r="E13" s="12" t="s">
        <v>216</v>
      </c>
      <c r="F13" s="12" t="s">
        <v>107</v>
      </c>
      <c r="G13" s="12" t="s">
        <v>217</v>
      </c>
      <c r="H13" s="12" t="s">
        <v>218</v>
      </c>
      <c r="I13" s="12" t="s">
        <v>218</v>
      </c>
      <c r="J13" s="12" t="s">
        <v>219</v>
      </c>
      <c r="K13" s="12" t="s">
        <v>220</v>
      </c>
      <c r="L13" s="12">
        <v>1211000</v>
      </c>
      <c r="M13" s="12">
        <v>1730000</v>
      </c>
      <c r="N13" s="12" t="s">
        <v>221</v>
      </c>
      <c r="O13" s="16">
        <v>45598</v>
      </c>
      <c r="P13" s="12" t="s">
        <v>222</v>
      </c>
      <c r="Q13" s="12" t="s">
        <v>223</v>
      </c>
      <c r="R13" s="12" t="s">
        <v>47</v>
      </c>
      <c r="S13" s="12" t="s">
        <v>48</v>
      </c>
      <c r="T13" s="12" t="s">
        <v>224</v>
      </c>
      <c r="U13" s="12" t="s">
        <v>98</v>
      </c>
      <c r="V13" s="12" t="s">
        <v>225</v>
      </c>
      <c r="W13" s="12" t="s">
        <v>100</v>
      </c>
      <c r="X13" s="12" t="s">
        <v>53</v>
      </c>
      <c r="Y13" s="12" t="s">
        <v>226</v>
      </c>
      <c r="Z13" s="12">
        <v>6</v>
      </c>
      <c r="AA13" s="12" t="s">
        <v>227</v>
      </c>
      <c r="AB13" s="12" t="s">
        <v>228</v>
      </c>
      <c r="AC13" s="12" t="s">
        <v>229</v>
      </c>
      <c r="AD13" s="12" t="s">
        <v>58</v>
      </c>
      <c r="AE13" s="12">
        <v>1297500</v>
      </c>
      <c r="AF13" s="13">
        <v>25950</v>
      </c>
      <c r="AG13" s="12"/>
      <c r="AH13" s="12"/>
      <c r="AI13" s="12"/>
      <c r="AJ13" s="12" t="s">
        <v>11392</v>
      </c>
      <c r="AK13" s="13">
        <v>27680</v>
      </c>
      <c r="AL13" s="13" t="s">
        <v>12219</v>
      </c>
      <c r="AM13" s="14">
        <f t="shared" si="0"/>
        <v>-1730</v>
      </c>
      <c r="AN13" s="12" t="s">
        <v>12004</v>
      </c>
    </row>
    <row r="14" spans="1:40" x14ac:dyDescent="0.25">
      <c r="A14" s="8">
        <v>13</v>
      </c>
      <c r="B14" s="9" t="s">
        <v>35</v>
      </c>
      <c r="C14" s="9" t="s">
        <v>230</v>
      </c>
      <c r="D14" s="9" t="s">
        <v>37</v>
      </c>
      <c r="E14" s="9" t="s">
        <v>231</v>
      </c>
      <c r="F14" s="9" t="s">
        <v>232</v>
      </c>
      <c r="G14" s="9" t="s">
        <v>233</v>
      </c>
      <c r="H14" s="9" t="s">
        <v>234</v>
      </c>
      <c r="I14" s="9" t="s">
        <v>234</v>
      </c>
      <c r="J14" s="9" t="s">
        <v>234</v>
      </c>
      <c r="K14" s="9" t="s">
        <v>235</v>
      </c>
      <c r="L14" s="9">
        <v>1066000</v>
      </c>
      <c r="M14" s="9">
        <v>1640000</v>
      </c>
      <c r="N14" s="9" t="s">
        <v>236</v>
      </c>
      <c r="O14" s="10">
        <v>45598</v>
      </c>
      <c r="P14" s="9" t="s">
        <v>237</v>
      </c>
      <c r="Q14" s="9" t="s">
        <v>238</v>
      </c>
      <c r="R14" s="9" t="s">
        <v>47</v>
      </c>
      <c r="S14" s="9" t="s">
        <v>48</v>
      </c>
      <c r="T14" s="9" t="s">
        <v>239</v>
      </c>
      <c r="U14" s="9" t="s">
        <v>50</v>
      </c>
      <c r="V14" s="9" t="s">
        <v>240</v>
      </c>
      <c r="W14" s="9" t="s">
        <v>132</v>
      </c>
      <c r="X14" s="9" t="s">
        <v>133</v>
      </c>
      <c r="Y14" s="9" t="s">
        <v>241</v>
      </c>
      <c r="Z14" s="9">
        <v>5</v>
      </c>
      <c r="AA14" s="9" t="s">
        <v>55</v>
      </c>
      <c r="AB14" s="9" t="s">
        <v>242</v>
      </c>
      <c r="AC14" s="9" t="s">
        <v>200</v>
      </c>
      <c r="AD14" s="9" t="s">
        <v>58</v>
      </c>
      <c r="AE14" s="9">
        <v>1312000</v>
      </c>
      <c r="AF14" s="11">
        <v>26240</v>
      </c>
      <c r="AG14" s="9"/>
      <c r="AH14" s="9"/>
      <c r="AI14" s="9"/>
      <c r="AJ14" s="12" t="s">
        <v>11393</v>
      </c>
      <c r="AK14" s="13">
        <v>26240</v>
      </c>
      <c r="AL14" s="13"/>
      <c r="AM14" s="14">
        <f t="shared" si="0"/>
        <v>0</v>
      </c>
      <c r="AN14" s="12" t="s">
        <v>12004</v>
      </c>
    </row>
    <row r="15" spans="1:40" x14ac:dyDescent="0.25">
      <c r="A15" s="15">
        <v>14</v>
      </c>
      <c r="B15" s="12" t="s">
        <v>35</v>
      </c>
      <c r="C15" s="12" t="s">
        <v>243</v>
      </c>
      <c r="D15" s="12" t="s">
        <v>37</v>
      </c>
      <c r="E15" s="12" t="s">
        <v>244</v>
      </c>
      <c r="F15" s="12" t="s">
        <v>245</v>
      </c>
      <c r="G15" s="12" t="s">
        <v>246</v>
      </c>
      <c r="H15" s="12" t="s">
        <v>247</v>
      </c>
      <c r="I15" s="12" t="s">
        <v>48</v>
      </c>
      <c r="J15" s="12" t="s">
        <v>248</v>
      </c>
      <c r="K15" s="12" t="s">
        <v>249</v>
      </c>
      <c r="L15" s="12">
        <v>1232500</v>
      </c>
      <c r="M15" s="12">
        <v>2465000</v>
      </c>
      <c r="N15" s="12" t="s">
        <v>250</v>
      </c>
      <c r="O15" s="16">
        <v>45598</v>
      </c>
      <c r="P15" s="12" t="s">
        <v>251</v>
      </c>
      <c r="Q15" s="12" t="s">
        <v>252</v>
      </c>
      <c r="R15" s="12" t="s">
        <v>47</v>
      </c>
      <c r="S15" s="12" t="s">
        <v>48</v>
      </c>
      <c r="T15" s="12" t="s">
        <v>253</v>
      </c>
      <c r="U15" s="12" t="s">
        <v>98</v>
      </c>
      <c r="V15" s="12" t="s">
        <v>254</v>
      </c>
      <c r="W15" s="12" t="s">
        <v>100</v>
      </c>
      <c r="X15" s="12" t="s">
        <v>255</v>
      </c>
      <c r="Y15" s="12" t="s">
        <v>256</v>
      </c>
      <c r="Z15" s="12">
        <v>7</v>
      </c>
      <c r="AA15" s="12" t="s">
        <v>257</v>
      </c>
      <c r="AB15" s="12" t="s">
        <v>258</v>
      </c>
      <c r="AC15" s="12" t="s">
        <v>259</v>
      </c>
      <c r="AD15" s="12" t="s">
        <v>58</v>
      </c>
      <c r="AE15" s="12">
        <v>1848750</v>
      </c>
      <c r="AF15" s="13">
        <v>36975</v>
      </c>
      <c r="AG15" s="12"/>
      <c r="AH15" s="12"/>
      <c r="AI15" s="12"/>
      <c r="AJ15" s="12" t="s">
        <v>11394</v>
      </c>
      <c r="AK15" s="13">
        <v>36975</v>
      </c>
      <c r="AL15" s="13"/>
      <c r="AM15" s="14">
        <f t="shared" si="0"/>
        <v>0</v>
      </c>
      <c r="AN15" s="12" t="s">
        <v>12004</v>
      </c>
    </row>
    <row r="16" spans="1:40" x14ac:dyDescent="0.25">
      <c r="A16" s="8">
        <v>15</v>
      </c>
      <c r="B16" s="9" t="s">
        <v>35</v>
      </c>
      <c r="C16" s="9" t="s">
        <v>260</v>
      </c>
      <c r="D16" s="9" t="s">
        <v>37</v>
      </c>
      <c r="E16" s="9" t="s">
        <v>261</v>
      </c>
      <c r="F16" s="9" t="s">
        <v>39</v>
      </c>
      <c r="G16" s="9" t="s">
        <v>262</v>
      </c>
      <c r="H16" s="9" t="s">
        <v>263</v>
      </c>
      <c r="I16" s="9" t="s">
        <v>264</v>
      </c>
      <c r="J16" s="9" t="s">
        <v>265</v>
      </c>
      <c r="K16" s="9" t="s">
        <v>266</v>
      </c>
      <c r="L16" s="9">
        <v>2787050</v>
      </c>
      <c r="M16" s="9">
        <v>3981500</v>
      </c>
      <c r="N16" s="9" t="s">
        <v>267</v>
      </c>
      <c r="O16" s="10">
        <v>45598</v>
      </c>
      <c r="P16" s="9" t="s">
        <v>268</v>
      </c>
      <c r="Q16" s="9" t="s">
        <v>269</v>
      </c>
      <c r="R16" s="9" t="s">
        <v>47</v>
      </c>
      <c r="S16" s="9" t="s">
        <v>48</v>
      </c>
      <c r="T16" s="9" t="s">
        <v>97</v>
      </c>
      <c r="U16" s="9" t="s">
        <v>98</v>
      </c>
      <c r="V16" s="9" t="s">
        <v>270</v>
      </c>
      <c r="W16" s="9" t="s">
        <v>100</v>
      </c>
      <c r="X16" s="9" t="s">
        <v>101</v>
      </c>
      <c r="Y16" s="9" t="s">
        <v>271</v>
      </c>
      <c r="Z16" s="9">
        <v>5</v>
      </c>
      <c r="AA16" s="9" t="s">
        <v>227</v>
      </c>
      <c r="AB16" s="9" t="s">
        <v>272</v>
      </c>
      <c r="AC16" s="9" t="s">
        <v>229</v>
      </c>
      <c r="AD16" s="9" t="s">
        <v>58</v>
      </c>
      <c r="AE16" s="9">
        <v>2986125</v>
      </c>
      <c r="AF16" s="11">
        <v>59723</v>
      </c>
      <c r="AG16" s="9"/>
      <c r="AH16" s="9"/>
      <c r="AI16" s="9"/>
      <c r="AJ16" s="12" t="s">
        <v>11395</v>
      </c>
      <c r="AK16" s="13">
        <v>59723</v>
      </c>
      <c r="AL16" s="13"/>
      <c r="AM16" s="14">
        <f t="shared" si="0"/>
        <v>0</v>
      </c>
      <c r="AN16" s="12" t="s">
        <v>12004</v>
      </c>
    </row>
    <row r="17" spans="1:40" x14ac:dyDescent="0.25">
      <c r="A17" s="15">
        <v>16</v>
      </c>
      <c r="B17" s="12" t="s">
        <v>35</v>
      </c>
      <c r="C17" s="12" t="s">
        <v>273</v>
      </c>
      <c r="D17" s="12" t="s">
        <v>37</v>
      </c>
      <c r="E17" s="12" t="s">
        <v>274</v>
      </c>
      <c r="F17" s="12" t="s">
        <v>39</v>
      </c>
      <c r="G17" s="12" t="s">
        <v>275</v>
      </c>
      <c r="H17" s="12" t="s">
        <v>276</v>
      </c>
      <c r="I17" s="12" t="s">
        <v>277</v>
      </c>
      <c r="J17" s="12" t="s">
        <v>278</v>
      </c>
      <c r="K17" s="12" t="s">
        <v>279</v>
      </c>
      <c r="L17" s="12">
        <v>2549200</v>
      </c>
      <c r="M17" s="12">
        <v>3186500</v>
      </c>
      <c r="N17" s="12" t="s">
        <v>280</v>
      </c>
      <c r="O17" s="16">
        <v>45598</v>
      </c>
      <c r="P17" s="12" t="s">
        <v>281</v>
      </c>
      <c r="Q17" s="12" t="s">
        <v>282</v>
      </c>
      <c r="R17" s="12" t="s">
        <v>47</v>
      </c>
      <c r="S17" s="12" t="s">
        <v>48</v>
      </c>
      <c r="T17" s="12" t="s">
        <v>283</v>
      </c>
      <c r="U17" s="12" t="s">
        <v>50</v>
      </c>
      <c r="V17" s="12" t="s">
        <v>284</v>
      </c>
      <c r="W17" s="12" t="s">
        <v>52</v>
      </c>
      <c r="X17" s="12" t="s">
        <v>53</v>
      </c>
      <c r="Y17" s="12" t="s">
        <v>285</v>
      </c>
      <c r="Z17" s="12">
        <v>5</v>
      </c>
      <c r="AA17" s="12" t="s">
        <v>55</v>
      </c>
      <c r="AB17" s="12" t="s">
        <v>286</v>
      </c>
      <c r="AC17" s="12" t="s">
        <v>287</v>
      </c>
      <c r="AD17" s="12" t="s">
        <v>58</v>
      </c>
      <c r="AE17" s="12">
        <v>2549200</v>
      </c>
      <c r="AF17" s="13">
        <v>50984</v>
      </c>
      <c r="AG17" s="12"/>
      <c r="AH17" s="12"/>
      <c r="AI17" s="12"/>
      <c r="AJ17" s="12" t="s">
        <v>11396</v>
      </c>
      <c r="AK17" s="13">
        <v>50984</v>
      </c>
      <c r="AL17" s="13"/>
      <c r="AM17" s="14">
        <f t="shared" si="0"/>
        <v>0</v>
      </c>
      <c r="AN17" s="12" t="s">
        <v>12004</v>
      </c>
    </row>
    <row r="18" spans="1:40" x14ac:dyDescent="0.25">
      <c r="A18" s="8">
        <v>17</v>
      </c>
      <c r="B18" s="9" t="s">
        <v>35</v>
      </c>
      <c r="C18" s="9" t="s">
        <v>288</v>
      </c>
      <c r="D18" s="9" t="s">
        <v>37</v>
      </c>
      <c r="E18" s="9" t="s">
        <v>289</v>
      </c>
      <c r="F18" s="9" t="s">
        <v>290</v>
      </c>
      <c r="G18" s="9" t="s">
        <v>291</v>
      </c>
      <c r="H18" s="9" t="s">
        <v>292</v>
      </c>
      <c r="I18" s="9" t="s">
        <v>292</v>
      </c>
      <c r="J18" s="9" t="s">
        <v>292</v>
      </c>
      <c r="K18" s="9" t="s">
        <v>293</v>
      </c>
      <c r="L18" s="9">
        <v>3239400</v>
      </c>
      <c r="M18" s="9">
        <v>5399000</v>
      </c>
      <c r="N18" s="9" t="s">
        <v>294</v>
      </c>
      <c r="O18" s="10">
        <v>45598</v>
      </c>
      <c r="P18" s="9" t="s">
        <v>295</v>
      </c>
      <c r="Q18" s="9" t="s">
        <v>296</v>
      </c>
      <c r="R18" s="9" t="s">
        <v>47</v>
      </c>
      <c r="S18" s="9" t="s">
        <v>48</v>
      </c>
      <c r="T18" s="9" t="s">
        <v>115</v>
      </c>
      <c r="U18" s="9" t="s">
        <v>98</v>
      </c>
      <c r="V18" s="9" t="s">
        <v>297</v>
      </c>
      <c r="W18" s="9" t="s">
        <v>100</v>
      </c>
      <c r="X18" s="9" t="s">
        <v>101</v>
      </c>
      <c r="Y18" s="9" t="s">
        <v>298</v>
      </c>
      <c r="Z18" s="9">
        <v>5</v>
      </c>
      <c r="AA18" s="9" t="s">
        <v>48</v>
      </c>
      <c r="AB18" s="9" t="s">
        <v>48</v>
      </c>
      <c r="AC18" s="9" t="s">
        <v>48</v>
      </c>
      <c r="AD18" s="9" t="s">
        <v>299</v>
      </c>
      <c r="AE18" s="9">
        <v>4049250</v>
      </c>
      <c r="AF18" s="11">
        <v>60739</v>
      </c>
      <c r="AG18" s="9"/>
      <c r="AH18" s="9"/>
      <c r="AI18" s="9"/>
      <c r="AJ18" s="12" t="s">
        <v>11397</v>
      </c>
      <c r="AK18" s="13">
        <v>60739</v>
      </c>
      <c r="AL18" s="13"/>
      <c r="AM18" s="14">
        <f t="shared" si="0"/>
        <v>0</v>
      </c>
      <c r="AN18" s="12" t="s">
        <v>12004</v>
      </c>
    </row>
    <row r="19" spans="1:40" x14ac:dyDescent="0.25">
      <c r="A19" s="15">
        <v>18</v>
      </c>
      <c r="B19" s="12" t="s">
        <v>35</v>
      </c>
      <c r="C19" s="12" t="s">
        <v>300</v>
      </c>
      <c r="D19" s="12" t="s">
        <v>37</v>
      </c>
      <c r="E19" s="12" t="s">
        <v>301</v>
      </c>
      <c r="F19" s="12" t="s">
        <v>107</v>
      </c>
      <c r="G19" s="12" t="s">
        <v>302</v>
      </c>
      <c r="H19" s="12" t="s">
        <v>303</v>
      </c>
      <c r="I19" s="12" t="s">
        <v>303</v>
      </c>
      <c r="J19" s="12" t="s">
        <v>304</v>
      </c>
      <c r="K19" s="12" t="s">
        <v>305</v>
      </c>
      <c r="L19" s="12">
        <v>3798900</v>
      </c>
      <c r="M19" s="12">
        <v>5427000</v>
      </c>
      <c r="N19" s="12" t="s">
        <v>306</v>
      </c>
      <c r="O19" s="16">
        <v>45598</v>
      </c>
      <c r="P19" s="12" t="s">
        <v>307</v>
      </c>
      <c r="Q19" s="12" t="s">
        <v>308</v>
      </c>
      <c r="R19" s="12" t="s">
        <v>47</v>
      </c>
      <c r="S19" s="12" t="s">
        <v>48</v>
      </c>
      <c r="T19" s="12" t="s">
        <v>309</v>
      </c>
      <c r="U19" s="12" t="s">
        <v>98</v>
      </c>
      <c r="V19" s="12" t="s">
        <v>310</v>
      </c>
      <c r="W19" s="12" t="s">
        <v>100</v>
      </c>
      <c r="X19" s="12" t="s">
        <v>101</v>
      </c>
      <c r="Y19" s="12" t="s">
        <v>311</v>
      </c>
      <c r="Z19" s="12">
        <v>5</v>
      </c>
      <c r="AA19" s="12" t="s">
        <v>48</v>
      </c>
      <c r="AB19" s="12" t="s">
        <v>48</v>
      </c>
      <c r="AC19" s="12" t="s">
        <v>48</v>
      </c>
      <c r="AD19" s="12" t="s">
        <v>299</v>
      </c>
      <c r="AE19" s="12">
        <v>4070250</v>
      </c>
      <c r="AF19" s="13">
        <v>61054</v>
      </c>
      <c r="AG19" s="12"/>
      <c r="AH19" s="12"/>
      <c r="AI19" s="12"/>
      <c r="AJ19" s="12" t="s">
        <v>11398</v>
      </c>
      <c r="AK19" s="13">
        <v>61054</v>
      </c>
      <c r="AL19" s="13"/>
      <c r="AM19" s="14">
        <f t="shared" si="0"/>
        <v>0</v>
      </c>
      <c r="AN19" s="12" t="s">
        <v>12004</v>
      </c>
    </row>
    <row r="20" spans="1:40" x14ac:dyDescent="0.25">
      <c r="A20" s="8">
        <v>19</v>
      </c>
      <c r="B20" s="9" t="s">
        <v>35</v>
      </c>
      <c r="C20" s="9" t="s">
        <v>312</v>
      </c>
      <c r="D20" s="9" t="s">
        <v>37</v>
      </c>
      <c r="E20" s="9" t="s">
        <v>313</v>
      </c>
      <c r="F20" s="9" t="s">
        <v>245</v>
      </c>
      <c r="G20" s="9" t="s">
        <v>314</v>
      </c>
      <c r="H20" s="9" t="s">
        <v>315</v>
      </c>
      <c r="I20" s="9" t="s">
        <v>48</v>
      </c>
      <c r="J20" s="9" t="s">
        <v>316</v>
      </c>
      <c r="K20" s="9" t="s">
        <v>317</v>
      </c>
      <c r="L20" s="9">
        <v>1794800</v>
      </c>
      <c r="M20" s="9">
        <v>2564000</v>
      </c>
      <c r="N20" s="9" t="s">
        <v>318</v>
      </c>
      <c r="O20" s="10">
        <v>45598</v>
      </c>
      <c r="P20" s="9" t="s">
        <v>319</v>
      </c>
      <c r="Q20" s="9" t="s">
        <v>320</v>
      </c>
      <c r="R20" s="9" t="s">
        <v>47</v>
      </c>
      <c r="S20" s="9" t="s">
        <v>48</v>
      </c>
      <c r="T20" s="9" t="s">
        <v>321</v>
      </c>
      <c r="U20" s="9" t="s">
        <v>148</v>
      </c>
      <c r="V20" s="9" t="s">
        <v>149</v>
      </c>
      <c r="W20" s="9" t="s">
        <v>150</v>
      </c>
      <c r="X20" s="9" t="s">
        <v>255</v>
      </c>
      <c r="Y20" s="9" t="s">
        <v>322</v>
      </c>
      <c r="Z20" s="9">
        <v>5</v>
      </c>
      <c r="AA20" s="9" t="s">
        <v>323</v>
      </c>
      <c r="AB20" s="9" t="s">
        <v>324</v>
      </c>
      <c r="AC20" s="9" t="s">
        <v>325</v>
      </c>
      <c r="AD20" s="9" t="s">
        <v>86</v>
      </c>
      <c r="AE20" s="9">
        <v>2179400</v>
      </c>
      <c r="AF20" s="11">
        <v>38140</v>
      </c>
      <c r="AG20" s="9"/>
      <c r="AH20" s="9"/>
      <c r="AI20" s="9"/>
      <c r="AJ20" s="12" t="s">
        <v>11399</v>
      </c>
      <c r="AK20" s="13">
        <v>38140</v>
      </c>
      <c r="AL20" s="13"/>
      <c r="AM20" s="14">
        <f t="shared" si="0"/>
        <v>0</v>
      </c>
      <c r="AN20" s="12" t="s">
        <v>12004</v>
      </c>
    </row>
    <row r="21" spans="1:40" x14ac:dyDescent="0.25">
      <c r="A21" s="15">
        <v>20</v>
      </c>
      <c r="B21" s="12" t="s">
        <v>35</v>
      </c>
      <c r="C21" s="12" t="s">
        <v>326</v>
      </c>
      <c r="D21" s="12" t="s">
        <v>37</v>
      </c>
      <c r="E21" s="12" t="s">
        <v>327</v>
      </c>
      <c r="F21" s="12" t="s">
        <v>138</v>
      </c>
      <c r="G21" s="12" t="s">
        <v>328</v>
      </c>
      <c r="H21" s="12" t="s">
        <v>329</v>
      </c>
      <c r="I21" s="12" t="s">
        <v>329</v>
      </c>
      <c r="J21" s="12" t="s">
        <v>141</v>
      </c>
      <c r="K21" s="12" t="s">
        <v>330</v>
      </c>
      <c r="L21" s="12">
        <v>1330000</v>
      </c>
      <c r="M21" s="12">
        <v>1900000</v>
      </c>
      <c r="N21" s="12" t="s">
        <v>331</v>
      </c>
      <c r="O21" s="16">
        <v>45598</v>
      </c>
      <c r="P21" s="12" t="s">
        <v>332</v>
      </c>
      <c r="Q21" s="12" t="s">
        <v>333</v>
      </c>
      <c r="R21" s="12" t="s">
        <v>146</v>
      </c>
      <c r="S21" s="12" t="s">
        <v>334</v>
      </c>
      <c r="T21" s="12" t="s">
        <v>321</v>
      </c>
      <c r="U21" s="12" t="s">
        <v>335</v>
      </c>
      <c r="V21" s="12" t="s">
        <v>336</v>
      </c>
      <c r="W21" s="12" t="s">
        <v>150</v>
      </c>
      <c r="X21" s="12" t="s">
        <v>53</v>
      </c>
      <c r="Y21" s="12" t="s">
        <v>337</v>
      </c>
      <c r="Z21" s="12">
        <v>4</v>
      </c>
      <c r="AA21" s="12" t="s">
        <v>152</v>
      </c>
      <c r="AB21" s="12" t="s">
        <v>338</v>
      </c>
      <c r="AC21" s="12" t="s">
        <v>339</v>
      </c>
      <c r="AD21" s="12" t="s">
        <v>86</v>
      </c>
      <c r="AE21" s="12">
        <v>1615000</v>
      </c>
      <c r="AF21" s="13">
        <v>28263</v>
      </c>
      <c r="AG21" s="12"/>
      <c r="AH21" s="12"/>
      <c r="AI21" s="12"/>
      <c r="AJ21" s="12" t="s">
        <v>11400</v>
      </c>
      <c r="AK21" s="13">
        <v>28263</v>
      </c>
      <c r="AL21" s="13"/>
      <c r="AM21" s="14">
        <f t="shared" si="0"/>
        <v>0</v>
      </c>
      <c r="AN21" s="12" t="s">
        <v>12004</v>
      </c>
    </row>
    <row r="22" spans="1:40" x14ac:dyDescent="0.25">
      <c r="A22" s="8">
        <v>21</v>
      </c>
      <c r="B22" s="9" t="s">
        <v>35</v>
      </c>
      <c r="C22" s="9" t="s">
        <v>340</v>
      </c>
      <c r="D22" s="9" t="s">
        <v>37</v>
      </c>
      <c r="E22" s="9" t="s">
        <v>341</v>
      </c>
      <c r="F22" s="9" t="s">
        <v>107</v>
      </c>
      <c r="G22" s="9" t="s">
        <v>342</v>
      </c>
      <c r="H22" s="9" t="s">
        <v>343</v>
      </c>
      <c r="I22" s="9" t="s">
        <v>343</v>
      </c>
      <c r="J22" s="9" t="s">
        <v>343</v>
      </c>
      <c r="K22" s="9" t="s">
        <v>344</v>
      </c>
      <c r="L22" s="9">
        <v>2733500</v>
      </c>
      <c r="M22" s="9">
        <v>3905000</v>
      </c>
      <c r="N22" s="9" t="s">
        <v>345</v>
      </c>
      <c r="O22" s="10">
        <v>45598</v>
      </c>
      <c r="P22" s="9" t="s">
        <v>346</v>
      </c>
      <c r="Q22" s="9" t="s">
        <v>347</v>
      </c>
      <c r="R22" s="9" t="s">
        <v>47</v>
      </c>
      <c r="S22" s="9" t="s">
        <v>48</v>
      </c>
      <c r="T22" s="9" t="s">
        <v>348</v>
      </c>
      <c r="U22" s="9" t="s">
        <v>148</v>
      </c>
      <c r="V22" s="9" t="s">
        <v>349</v>
      </c>
      <c r="W22" s="9" t="s">
        <v>150</v>
      </c>
      <c r="X22" s="9" t="s">
        <v>101</v>
      </c>
      <c r="Y22" s="9" t="s">
        <v>350</v>
      </c>
      <c r="Z22" s="9">
        <v>3</v>
      </c>
      <c r="AA22" s="9" t="s">
        <v>152</v>
      </c>
      <c r="AB22" s="9" t="s">
        <v>351</v>
      </c>
      <c r="AC22" s="9" t="s">
        <v>325</v>
      </c>
      <c r="AD22" s="9" t="s">
        <v>58</v>
      </c>
      <c r="AE22" s="9">
        <v>3319250</v>
      </c>
      <c r="AF22" s="11">
        <v>66385</v>
      </c>
      <c r="AG22" s="9"/>
      <c r="AH22" s="9"/>
      <c r="AI22" s="9"/>
      <c r="AJ22" s="12" t="s">
        <v>11401</v>
      </c>
      <c r="AK22" s="13">
        <v>66385</v>
      </c>
      <c r="AL22" s="13"/>
      <c r="AM22" s="14">
        <f t="shared" si="0"/>
        <v>0</v>
      </c>
      <c r="AN22" s="12" t="s">
        <v>12004</v>
      </c>
    </row>
    <row r="23" spans="1:40" x14ac:dyDescent="0.25">
      <c r="A23" s="15">
        <v>22</v>
      </c>
      <c r="B23" s="12" t="s">
        <v>35</v>
      </c>
      <c r="C23" s="12" t="s">
        <v>352</v>
      </c>
      <c r="D23" s="12" t="s">
        <v>37</v>
      </c>
      <c r="E23" s="12" t="s">
        <v>353</v>
      </c>
      <c r="F23" s="12" t="s">
        <v>73</v>
      </c>
      <c r="G23" s="12" t="s">
        <v>354</v>
      </c>
      <c r="H23" s="12" t="s">
        <v>355</v>
      </c>
      <c r="I23" s="12" t="s">
        <v>355</v>
      </c>
      <c r="J23" s="12" t="s">
        <v>355</v>
      </c>
      <c r="K23" s="12" t="s">
        <v>356</v>
      </c>
      <c r="L23" s="12">
        <v>1524600</v>
      </c>
      <c r="M23" s="12">
        <v>2178000</v>
      </c>
      <c r="N23" s="12" t="s">
        <v>357</v>
      </c>
      <c r="O23" s="16">
        <v>45598</v>
      </c>
      <c r="P23" s="12" t="s">
        <v>358</v>
      </c>
      <c r="Q23" s="12" t="s">
        <v>359</v>
      </c>
      <c r="R23" s="12" t="s">
        <v>47</v>
      </c>
      <c r="S23" s="12" t="s">
        <v>48</v>
      </c>
      <c r="T23" s="12" t="s">
        <v>360</v>
      </c>
      <c r="U23" s="12" t="s">
        <v>148</v>
      </c>
      <c r="V23" s="12" t="s">
        <v>361</v>
      </c>
      <c r="W23" s="12" t="s">
        <v>150</v>
      </c>
      <c r="X23" s="12" t="s">
        <v>101</v>
      </c>
      <c r="Y23" s="12" t="s">
        <v>362</v>
      </c>
      <c r="Z23" s="12">
        <v>3</v>
      </c>
      <c r="AA23" s="12" t="s">
        <v>118</v>
      </c>
      <c r="AB23" s="12" t="s">
        <v>363</v>
      </c>
      <c r="AC23" s="12" t="s">
        <v>364</v>
      </c>
      <c r="AD23" s="12" t="s">
        <v>58</v>
      </c>
      <c r="AE23" s="12">
        <v>1851300</v>
      </c>
      <c r="AF23" s="13">
        <v>37026</v>
      </c>
      <c r="AG23" s="12"/>
      <c r="AH23" s="12"/>
      <c r="AI23" s="12"/>
      <c r="AJ23" s="12" t="s">
        <v>11402</v>
      </c>
      <c r="AK23" s="13">
        <v>37026</v>
      </c>
      <c r="AL23" s="13"/>
      <c r="AM23" s="14">
        <f t="shared" si="0"/>
        <v>0</v>
      </c>
      <c r="AN23" s="12" t="s">
        <v>12004</v>
      </c>
    </row>
    <row r="24" spans="1:40" x14ac:dyDescent="0.25">
      <c r="A24" s="8">
        <v>23</v>
      </c>
      <c r="B24" s="9" t="s">
        <v>35</v>
      </c>
      <c r="C24" s="9" t="s">
        <v>365</v>
      </c>
      <c r="D24" s="9" t="s">
        <v>37</v>
      </c>
      <c r="E24" s="9" t="s">
        <v>366</v>
      </c>
      <c r="F24" s="9" t="s">
        <v>138</v>
      </c>
      <c r="G24" s="9" t="s">
        <v>367</v>
      </c>
      <c r="H24" s="9" t="s">
        <v>368</v>
      </c>
      <c r="I24" s="9" t="s">
        <v>368</v>
      </c>
      <c r="J24" s="9" t="s">
        <v>368</v>
      </c>
      <c r="K24" s="9" t="s">
        <v>369</v>
      </c>
      <c r="L24" s="9">
        <v>1267500</v>
      </c>
      <c r="M24" s="9">
        <v>1950000</v>
      </c>
      <c r="N24" s="9" t="s">
        <v>370</v>
      </c>
      <c r="O24" s="10">
        <v>45598</v>
      </c>
      <c r="P24" s="9" t="s">
        <v>371</v>
      </c>
      <c r="Q24" s="9" t="s">
        <v>372</v>
      </c>
      <c r="R24" s="9" t="s">
        <v>146</v>
      </c>
      <c r="S24" s="9" t="s">
        <v>373</v>
      </c>
      <c r="T24" s="9" t="s">
        <v>49</v>
      </c>
      <c r="U24" s="9" t="s">
        <v>148</v>
      </c>
      <c r="V24" s="9" t="s">
        <v>149</v>
      </c>
      <c r="W24" s="9" t="s">
        <v>150</v>
      </c>
      <c r="X24" s="9" t="s">
        <v>255</v>
      </c>
      <c r="Y24" s="9" t="s">
        <v>374</v>
      </c>
      <c r="Z24" s="9">
        <v>5</v>
      </c>
      <c r="AA24" s="9" t="s">
        <v>152</v>
      </c>
      <c r="AB24" s="9" t="s">
        <v>375</v>
      </c>
      <c r="AC24" s="9" t="s">
        <v>325</v>
      </c>
      <c r="AD24" s="9" t="s">
        <v>86</v>
      </c>
      <c r="AE24" s="9">
        <v>1657500</v>
      </c>
      <c r="AF24" s="11">
        <v>29006</v>
      </c>
      <c r="AG24" s="9"/>
      <c r="AH24" s="9"/>
      <c r="AI24" s="9"/>
      <c r="AJ24" s="12" t="s">
        <v>11403</v>
      </c>
      <c r="AK24" s="13">
        <v>29006</v>
      </c>
      <c r="AL24" s="13"/>
      <c r="AM24" s="14">
        <f t="shared" si="0"/>
        <v>0</v>
      </c>
      <c r="AN24" s="12" t="s">
        <v>12004</v>
      </c>
    </row>
    <row r="25" spans="1:40" x14ac:dyDescent="0.25">
      <c r="A25" s="15">
        <v>24</v>
      </c>
      <c r="B25" s="12" t="s">
        <v>35</v>
      </c>
      <c r="C25" s="12" t="s">
        <v>376</v>
      </c>
      <c r="D25" s="12" t="s">
        <v>37</v>
      </c>
      <c r="E25" s="12" t="s">
        <v>377</v>
      </c>
      <c r="F25" s="12" t="s">
        <v>107</v>
      </c>
      <c r="G25" s="12" t="s">
        <v>378</v>
      </c>
      <c r="H25" s="12" t="s">
        <v>379</v>
      </c>
      <c r="I25" s="12" t="s">
        <v>379</v>
      </c>
      <c r="J25" s="12" t="s">
        <v>380</v>
      </c>
      <c r="K25" s="12" t="s">
        <v>381</v>
      </c>
      <c r="L25" s="12">
        <v>1514960</v>
      </c>
      <c r="M25" s="12">
        <v>2612000</v>
      </c>
      <c r="N25" s="12" t="s">
        <v>382</v>
      </c>
      <c r="O25" s="12" t="s">
        <v>383</v>
      </c>
      <c r="P25" s="12" t="s">
        <v>384</v>
      </c>
      <c r="Q25" s="12" t="s">
        <v>385</v>
      </c>
      <c r="R25" s="12" t="s">
        <v>47</v>
      </c>
      <c r="S25" s="12" t="s">
        <v>48</v>
      </c>
      <c r="T25" s="12" t="s">
        <v>194</v>
      </c>
      <c r="U25" s="12" t="s">
        <v>386</v>
      </c>
      <c r="V25" s="16">
        <v>45197</v>
      </c>
      <c r="W25" s="12" t="s">
        <v>387</v>
      </c>
      <c r="X25" s="12" t="s">
        <v>388</v>
      </c>
      <c r="Y25" s="12" t="s">
        <v>389</v>
      </c>
      <c r="Z25" s="12">
        <v>3</v>
      </c>
      <c r="AA25" s="12" t="s">
        <v>55</v>
      </c>
      <c r="AB25" s="12" t="s">
        <v>390</v>
      </c>
      <c r="AC25" s="12" t="s">
        <v>391</v>
      </c>
      <c r="AD25" s="12" t="s">
        <v>58</v>
      </c>
      <c r="AE25" s="12">
        <v>2350800</v>
      </c>
      <c r="AF25" s="13">
        <v>47016</v>
      </c>
      <c r="AG25" s="12"/>
      <c r="AH25" s="12"/>
      <c r="AI25" s="12"/>
      <c r="AJ25" s="12" t="s">
        <v>11404</v>
      </c>
      <c r="AK25" s="13">
        <v>47016</v>
      </c>
      <c r="AL25" s="13"/>
      <c r="AM25" s="14">
        <f t="shared" si="0"/>
        <v>0</v>
      </c>
      <c r="AN25" s="12" t="s">
        <v>12004</v>
      </c>
    </row>
    <row r="26" spans="1:40" x14ac:dyDescent="0.25">
      <c r="A26" s="8">
        <v>25</v>
      </c>
      <c r="B26" s="9" t="s">
        <v>35</v>
      </c>
      <c r="C26" s="9" t="s">
        <v>392</v>
      </c>
      <c r="D26" s="9" t="s">
        <v>37</v>
      </c>
      <c r="E26" s="9" t="s">
        <v>393</v>
      </c>
      <c r="F26" s="9" t="s">
        <v>107</v>
      </c>
      <c r="G26" s="9" t="s">
        <v>394</v>
      </c>
      <c r="H26" s="9" t="s">
        <v>395</v>
      </c>
      <c r="I26" s="9" t="s">
        <v>395</v>
      </c>
      <c r="J26" s="9" t="s">
        <v>396</v>
      </c>
      <c r="K26" s="9" t="s">
        <v>397</v>
      </c>
      <c r="L26" s="9">
        <v>801000</v>
      </c>
      <c r="M26" s="9">
        <v>1335000</v>
      </c>
      <c r="N26" s="9" t="s">
        <v>398</v>
      </c>
      <c r="O26" s="10">
        <v>45599</v>
      </c>
      <c r="P26" s="9" t="s">
        <v>399</v>
      </c>
      <c r="Q26" s="9" t="s">
        <v>400</v>
      </c>
      <c r="R26" s="9" t="s">
        <v>47</v>
      </c>
      <c r="S26" s="9" t="s">
        <v>48</v>
      </c>
      <c r="T26" s="9" t="s">
        <v>210</v>
      </c>
      <c r="U26" s="9" t="s">
        <v>50</v>
      </c>
      <c r="V26" s="9" t="s">
        <v>116</v>
      </c>
      <c r="W26" s="9" t="s">
        <v>196</v>
      </c>
      <c r="X26" s="9" t="s">
        <v>401</v>
      </c>
      <c r="Y26" s="9" t="s">
        <v>402</v>
      </c>
      <c r="Z26" s="9">
        <v>5</v>
      </c>
      <c r="AA26" s="9" t="s">
        <v>118</v>
      </c>
      <c r="AB26" s="9" t="s">
        <v>403</v>
      </c>
      <c r="AC26" s="9" t="s">
        <v>200</v>
      </c>
      <c r="AD26" s="9" t="s">
        <v>58</v>
      </c>
      <c r="AE26" s="9">
        <v>1068000</v>
      </c>
      <c r="AF26" s="11">
        <v>21360</v>
      </c>
      <c r="AG26" s="9"/>
      <c r="AH26" s="9"/>
      <c r="AI26" s="9"/>
      <c r="AJ26" s="12" t="s">
        <v>11405</v>
      </c>
      <c r="AK26" s="13">
        <v>21360</v>
      </c>
      <c r="AL26" s="13"/>
      <c r="AM26" s="14">
        <f t="shared" si="0"/>
        <v>0</v>
      </c>
      <c r="AN26" s="12" t="s">
        <v>12004</v>
      </c>
    </row>
    <row r="27" spans="1:40" x14ac:dyDescent="0.25">
      <c r="A27" s="15">
        <v>26</v>
      </c>
      <c r="B27" s="12" t="s">
        <v>35</v>
      </c>
      <c r="C27" s="12" t="s">
        <v>404</v>
      </c>
      <c r="D27" s="12" t="s">
        <v>37</v>
      </c>
      <c r="E27" s="12" t="s">
        <v>405</v>
      </c>
      <c r="F27" s="12" t="s">
        <v>406</v>
      </c>
      <c r="G27" s="12" t="s">
        <v>407</v>
      </c>
      <c r="H27" s="12" t="s">
        <v>48</v>
      </c>
      <c r="I27" s="12" t="s">
        <v>408</v>
      </c>
      <c r="J27" s="12" t="s">
        <v>409</v>
      </c>
      <c r="K27" s="12" t="s">
        <v>410</v>
      </c>
      <c r="L27" s="12">
        <v>1198500</v>
      </c>
      <c r="M27" s="12">
        <v>1598000</v>
      </c>
      <c r="N27" s="12" t="s">
        <v>411</v>
      </c>
      <c r="O27" s="16">
        <v>45599</v>
      </c>
      <c r="P27" s="12" t="s">
        <v>412</v>
      </c>
      <c r="Q27" s="12" t="s">
        <v>413</v>
      </c>
      <c r="R27" s="12" t="s">
        <v>47</v>
      </c>
      <c r="S27" s="12" t="s">
        <v>48</v>
      </c>
      <c r="T27" s="12" t="s">
        <v>414</v>
      </c>
      <c r="U27" s="12" t="s">
        <v>98</v>
      </c>
      <c r="V27" s="12" t="s">
        <v>415</v>
      </c>
      <c r="W27" s="12" t="s">
        <v>167</v>
      </c>
      <c r="X27" s="12" t="s">
        <v>197</v>
      </c>
      <c r="Y27" s="12" t="s">
        <v>416</v>
      </c>
      <c r="Z27" s="12">
        <v>5</v>
      </c>
      <c r="AA27" s="12" t="s">
        <v>55</v>
      </c>
      <c r="AB27" s="12" t="s">
        <v>417</v>
      </c>
      <c r="AC27" s="12" t="s">
        <v>229</v>
      </c>
      <c r="AD27" s="12" t="s">
        <v>58</v>
      </c>
      <c r="AE27" s="12">
        <v>1198500</v>
      </c>
      <c r="AF27" s="13">
        <v>23970</v>
      </c>
      <c r="AG27" s="12"/>
      <c r="AH27" s="12"/>
      <c r="AI27" s="12"/>
      <c r="AJ27" s="12" t="s">
        <v>11406</v>
      </c>
      <c r="AK27" s="13">
        <v>23970</v>
      </c>
      <c r="AL27" s="13"/>
      <c r="AM27" s="14">
        <f t="shared" si="0"/>
        <v>0</v>
      </c>
      <c r="AN27" s="12" t="s">
        <v>12004</v>
      </c>
    </row>
    <row r="28" spans="1:40" x14ac:dyDescent="0.25">
      <c r="A28" s="8">
        <v>27</v>
      </c>
      <c r="B28" s="9" t="s">
        <v>35</v>
      </c>
      <c r="C28" s="9" t="s">
        <v>418</v>
      </c>
      <c r="D28" s="9" t="s">
        <v>37</v>
      </c>
      <c r="E28" s="9" t="s">
        <v>419</v>
      </c>
      <c r="F28" s="9" t="s">
        <v>107</v>
      </c>
      <c r="G28" s="9" t="s">
        <v>420</v>
      </c>
      <c r="H28" s="9" t="s">
        <v>421</v>
      </c>
      <c r="I28" s="9" t="s">
        <v>421</v>
      </c>
      <c r="J28" s="9" t="s">
        <v>422</v>
      </c>
      <c r="K28" s="9" t="s">
        <v>423</v>
      </c>
      <c r="L28" s="9">
        <v>1218000</v>
      </c>
      <c r="M28" s="9">
        <v>2030000</v>
      </c>
      <c r="N28" s="9" t="s">
        <v>424</v>
      </c>
      <c r="O28" s="10">
        <v>45599</v>
      </c>
      <c r="P28" s="9" t="s">
        <v>425</v>
      </c>
      <c r="Q28" s="9" t="s">
        <v>426</v>
      </c>
      <c r="R28" s="9" t="s">
        <v>47</v>
      </c>
      <c r="S28" s="9" t="s">
        <v>48</v>
      </c>
      <c r="T28" s="9" t="s">
        <v>427</v>
      </c>
      <c r="U28" s="9" t="s">
        <v>98</v>
      </c>
      <c r="V28" s="9" t="s">
        <v>428</v>
      </c>
      <c r="W28" s="9" t="s">
        <v>100</v>
      </c>
      <c r="X28" s="9" t="s">
        <v>101</v>
      </c>
      <c r="Y28" s="9" t="s">
        <v>429</v>
      </c>
      <c r="Z28" s="9">
        <v>5</v>
      </c>
      <c r="AA28" s="9" t="s">
        <v>227</v>
      </c>
      <c r="AB28" s="9" t="s">
        <v>430</v>
      </c>
      <c r="AC28" s="9" t="s">
        <v>431</v>
      </c>
      <c r="AD28" s="9" t="s">
        <v>58</v>
      </c>
      <c r="AE28" s="9">
        <v>1522500</v>
      </c>
      <c r="AF28" s="11">
        <v>30450</v>
      </c>
      <c r="AG28" s="9"/>
      <c r="AH28" s="9"/>
      <c r="AI28" s="9"/>
      <c r="AJ28" s="12" t="s">
        <v>11407</v>
      </c>
      <c r="AK28" s="13">
        <v>30450</v>
      </c>
      <c r="AL28" s="13"/>
      <c r="AM28" s="14">
        <f t="shared" si="0"/>
        <v>0</v>
      </c>
      <c r="AN28" s="12" t="s">
        <v>12004</v>
      </c>
    </row>
    <row r="29" spans="1:40" x14ac:dyDescent="0.25">
      <c r="A29" s="15">
        <v>28</v>
      </c>
      <c r="B29" s="12" t="s">
        <v>35</v>
      </c>
      <c r="C29" s="12" t="s">
        <v>432</v>
      </c>
      <c r="D29" s="12" t="s">
        <v>37</v>
      </c>
      <c r="E29" s="12" t="s">
        <v>433</v>
      </c>
      <c r="F29" s="12" t="s">
        <v>245</v>
      </c>
      <c r="G29" s="12" t="s">
        <v>434</v>
      </c>
      <c r="H29" s="12" t="s">
        <v>435</v>
      </c>
      <c r="I29" s="12" t="s">
        <v>436</v>
      </c>
      <c r="J29" s="12" t="s">
        <v>435</v>
      </c>
      <c r="K29" s="12" t="s">
        <v>437</v>
      </c>
      <c r="L29" s="12">
        <v>1098000</v>
      </c>
      <c r="M29" s="12">
        <v>1830000</v>
      </c>
      <c r="N29" s="12" t="s">
        <v>438</v>
      </c>
      <c r="O29" s="16">
        <v>45599</v>
      </c>
      <c r="P29" s="12" t="s">
        <v>439</v>
      </c>
      <c r="Q29" s="12" t="s">
        <v>440</v>
      </c>
      <c r="R29" s="12" t="s">
        <v>47</v>
      </c>
      <c r="S29" s="12" t="s">
        <v>48</v>
      </c>
      <c r="T29" s="12" t="s">
        <v>441</v>
      </c>
      <c r="U29" s="12" t="s">
        <v>50</v>
      </c>
      <c r="V29" s="12" t="s">
        <v>442</v>
      </c>
      <c r="W29" s="12" t="s">
        <v>196</v>
      </c>
      <c r="X29" s="12" t="s">
        <v>401</v>
      </c>
      <c r="Y29" s="12" t="s">
        <v>443</v>
      </c>
      <c r="Z29" s="12">
        <v>5</v>
      </c>
      <c r="AA29" s="12" t="s">
        <v>55</v>
      </c>
      <c r="AB29" s="12" t="s">
        <v>444</v>
      </c>
      <c r="AC29" s="12" t="s">
        <v>185</v>
      </c>
      <c r="AD29" s="12" t="s">
        <v>58</v>
      </c>
      <c r="AE29" s="12">
        <v>1464000</v>
      </c>
      <c r="AF29" s="13">
        <v>29280</v>
      </c>
      <c r="AG29" s="12"/>
      <c r="AH29" s="12"/>
      <c r="AI29" s="12"/>
      <c r="AJ29" s="12" t="s">
        <v>11408</v>
      </c>
      <c r="AK29" s="13">
        <v>29280</v>
      </c>
      <c r="AL29" s="13"/>
      <c r="AM29" s="14">
        <f t="shared" si="0"/>
        <v>0</v>
      </c>
      <c r="AN29" s="12" t="s">
        <v>12004</v>
      </c>
    </row>
    <row r="30" spans="1:40" x14ac:dyDescent="0.25">
      <c r="A30" s="8">
        <v>29</v>
      </c>
      <c r="B30" s="9" t="s">
        <v>35</v>
      </c>
      <c r="C30" s="9" t="s">
        <v>445</v>
      </c>
      <c r="D30" s="9" t="s">
        <v>37</v>
      </c>
      <c r="E30" s="9" t="s">
        <v>446</v>
      </c>
      <c r="F30" s="9" t="s">
        <v>39</v>
      </c>
      <c r="G30" s="9" t="s">
        <v>447</v>
      </c>
      <c r="H30" s="9" t="s">
        <v>448</v>
      </c>
      <c r="I30" s="9" t="s">
        <v>449</v>
      </c>
      <c r="J30" s="9" t="s">
        <v>448</v>
      </c>
      <c r="K30" s="9" t="s">
        <v>450</v>
      </c>
      <c r="L30" s="9">
        <v>1657800</v>
      </c>
      <c r="M30" s="9">
        <v>2763000</v>
      </c>
      <c r="N30" s="9" t="s">
        <v>451</v>
      </c>
      <c r="O30" s="10">
        <v>45599</v>
      </c>
      <c r="P30" s="9" t="s">
        <v>452</v>
      </c>
      <c r="Q30" s="9" t="s">
        <v>453</v>
      </c>
      <c r="R30" s="9" t="s">
        <v>47</v>
      </c>
      <c r="S30" s="9" t="s">
        <v>48</v>
      </c>
      <c r="T30" s="9" t="s">
        <v>454</v>
      </c>
      <c r="U30" s="9" t="s">
        <v>98</v>
      </c>
      <c r="V30" s="9" t="s">
        <v>455</v>
      </c>
      <c r="W30" s="9" t="s">
        <v>456</v>
      </c>
      <c r="X30" s="9" t="s">
        <v>457</v>
      </c>
      <c r="Y30" s="9" t="s">
        <v>458</v>
      </c>
      <c r="Z30" s="9">
        <v>5</v>
      </c>
      <c r="AA30" s="9" t="s">
        <v>227</v>
      </c>
      <c r="AB30" s="9" t="s">
        <v>459</v>
      </c>
      <c r="AC30" s="9" t="s">
        <v>229</v>
      </c>
      <c r="AD30" s="9" t="s">
        <v>58</v>
      </c>
      <c r="AE30" s="9">
        <v>2072250</v>
      </c>
      <c r="AF30" s="11">
        <v>41445</v>
      </c>
      <c r="AG30" s="9"/>
      <c r="AH30" s="9"/>
      <c r="AI30" s="9"/>
      <c r="AJ30" s="12" t="s">
        <v>11409</v>
      </c>
      <c r="AK30" s="13">
        <v>41445</v>
      </c>
      <c r="AL30" s="13"/>
      <c r="AM30" s="14">
        <f t="shared" si="0"/>
        <v>0</v>
      </c>
      <c r="AN30" s="12" t="s">
        <v>12004</v>
      </c>
    </row>
    <row r="31" spans="1:40" x14ac:dyDescent="0.25">
      <c r="A31" s="15">
        <v>30</v>
      </c>
      <c r="B31" s="12" t="s">
        <v>35</v>
      </c>
      <c r="C31" s="12" t="s">
        <v>460</v>
      </c>
      <c r="D31" s="12" t="s">
        <v>37</v>
      </c>
      <c r="E31" s="12" t="s">
        <v>461</v>
      </c>
      <c r="F31" s="12" t="s">
        <v>138</v>
      </c>
      <c r="G31" s="12" t="s">
        <v>462</v>
      </c>
      <c r="H31" s="12" t="s">
        <v>463</v>
      </c>
      <c r="I31" s="12" t="s">
        <v>463</v>
      </c>
      <c r="J31" s="12" t="s">
        <v>463</v>
      </c>
      <c r="K31" s="12" t="s">
        <v>464</v>
      </c>
      <c r="L31" s="12">
        <v>1692500</v>
      </c>
      <c r="M31" s="12">
        <v>3385000</v>
      </c>
      <c r="N31" s="12" t="s">
        <v>465</v>
      </c>
      <c r="O31" s="16">
        <v>45599</v>
      </c>
      <c r="P31" s="12" t="s">
        <v>466</v>
      </c>
      <c r="Q31" s="12" t="s">
        <v>467</v>
      </c>
      <c r="R31" s="12" t="s">
        <v>146</v>
      </c>
      <c r="S31" s="12" t="s">
        <v>468</v>
      </c>
      <c r="T31" s="12" t="s">
        <v>469</v>
      </c>
      <c r="U31" s="12" t="s">
        <v>335</v>
      </c>
      <c r="V31" s="12" t="s">
        <v>225</v>
      </c>
      <c r="W31" s="12" t="s">
        <v>100</v>
      </c>
      <c r="X31" s="12" t="s">
        <v>101</v>
      </c>
      <c r="Y31" s="12" t="s">
        <v>470</v>
      </c>
      <c r="Z31" s="12">
        <v>5</v>
      </c>
      <c r="AA31" s="12" t="s">
        <v>152</v>
      </c>
      <c r="AB31" s="12" t="s">
        <v>471</v>
      </c>
      <c r="AC31" s="12" t="s">
        <v>229</v>
      </c>
      <c r="AD31" s="12" t="s">
        <v>58</v>
      </c>
      <c r="AE31" s="12">
        <v>2538750</v>
      </c>
      <c r="AF31" s="13">
        <v>50775</v>
      </c>
      <c r="AG31" s="12"/>
      <c r="AH31" s="12"/>
      <c r="AI31" s="12"/>
      <c r="AJ31" s="12" t="s">
        <v>11410</v>
      </c>
      <c r="AK31" s="13">
        <v>50775</v>
      </c>
      <c r="AL31" s="13"/>
      <c r="AM31" s="14">
        <f t="shared" si="0"/>
        <v>0</v>
      </c>
      <c r="AN31" s="12" t="s">
        <v>12004</v>
      </c>
    </row>
    <row r="32" spans="1:40" x14ac:dyDescent="0.25">
      <c r="A32" s="8">
        <v>31</v>
      </c>
      <c r="B32" s="9" t="s">
        <v>35</v>
      </c>
      <c r="C32" s="9" t="s">
        <v>472</v>
      </c>
      <c r="D32" s="9" t="s">
        <v>37</v>
      </c>
      <c r="E32" s="9" t="s">
        <v>473</v>
      </c>
      <c r="F32" s="9" t="s">
        <v>107</v>
      </c>
      <c r="G32" s="9" t="s">
        <v>474</v>
      </c>
      <c r="H32" s="9" t="s">
        <v>475</v>
      </c>
      <c r="I32" s="9" t="s">
        <v>475</v>
      </c>
      <c r="J32" s="9" t="s">
        <v>475</v>
      </c>
      <c r="K32" s="9" t="s">
        <v>476</v>
      </c>
      <c r="L32" s="9">
        <v>1851500</v>
      </c>
      <c r="M32" s="9">
        <v>2645000</v>
      </c>
      <c r="N32" s="9" t="s">
        <v>477</v>
      </c>
      <c r="O32" s="10">
        <v>45599</v>
      </c>
      <c r="P32" s="9" t="s">
        <v>478</v>
      </c>
      <c r="Q32" s="9" t="s">
        <v>479</v>
      </c>
      <c r="R32" s="9" t="s">
        <v>47</v>
      </c>
      <c r="S32" s="9" t="s">
        <v>48</v>
      </c>
      <c r="T32" s="9" t="s">
        <v>480</v>
      </c>
      <c r="U32" s="9" t="s">
        <v>98</v>
      </c>
      <c r="V32" s="9" t="s">
        <v>481</v>
      </c>
      <c r="W32" s="9" t="s">
        <v>100</v>
      </c>
      <c r="X32" s="9" t="s">
        <v>101</v>
      </c>
      <c r="Y32" s="9" t="s">
        <v>482</v>
      </c>
      <c r="Z32" s="9">
        <v>5</v>
      </c>
      <c r="AA32" s="9" t="s">
        <v>55</v>
      </c>
      <c r="AB32" s="9" t="s">
        <v>483</v>
      </c>
      <c r="AC32" s="9" t="s">
        <v>229</v>
      </c>
      <c r="AD32" s="9" t="s">
        <v>58</v>
      </c>
      <c r="AE32" s="9">
        <v>1983750</v>
      </c>
      <c r="AF32" s="11">
        <v>39675</v>
      </c>
      <c r="AG32" s="9"/>
      <c r="AH32" s="9"/>
      <c r="AI32" s="9"/>
      <c r="AJ32" s="12" t="s">
        <v>11411</v>
      </c>
      <c r="AK32" s="13">
        <v>39675</v>
      </c>
      <c r="AL32" s="13"/>
      <c r="AM32" s="14">
        <f t="shared" si="0"/>
        <v>0</v>
      </c>
      <c r="AN32" s="12" t="s">
        <v>12004</v>
      </c>
    </row>
    <row r="33" spans="1:40" x14ac:dyDescent="0.25">
      <c r="A33" s="15">
        <v>32</v>
      </c>
      <c r="B33" s="12" t="s">
        <v>35</v>
      </c>
      <c r="C33" s="12" t="s">
        <v>484</v>
      </c>
      <c r="D33" s="12" t="s">
        <v>37</v>
      </c>
      <c r="E33" s="12" t="s">
        <v>485</v>
      </c>
      <c r="F33" s="12" t="s">
        <v>39</v>
      </c>
      <c r="G33" s="12" t="s">
        <v>486</v>
      </c>
      <c r="H33" s="12" t="s">
        <v>487</v>
      </c>
      <c r="I33" s="12" t="s">
        <v>488</v>
      </c>
      <c r="J33" s="12" t="s">
        <v>489</v>
      </c>
      <c r="K33" s="12" t="s">
        <v>490</v>
      </c>
      <c r="L33" s="12">
        <v>1715000</v>
      </c>
      <c r="M33" s="12">
        <v>2450000</v>
      </c>
      <c r="N33" s="12" t="s">
        <v>491</v>
      </c>
      <c r="O33" s="16">
        <v>45599</v>
      </c>
      <c r="P33" s="12" t="s">
        <v>492</v>
      </c>
      <c r="Q33" s="12" t="s">
        <v>493</v>
      </c>
      <c r="R33" s="12" t="s">
        <v>146</v>
      </c>
      <c r="S33" s="12" t="s">
        <v>494</v>
      </c>
      <c r="T33" s="12" t="s">
        <v>495</v>
      </c>
      <c r="U33" s="12" t="s">
        <v>496</v>
      </c>
      <c r="V33" s="12" t="s">
        <v>185</v>
      </c>
      <c r="W33" s="12" t="s">
        <v>52</v>
      </c>
      <c r="X33" s="12" t="s">
        <v>53</v>
      </c>
      <c r="Y33" s="12" t="s">
        <v>497</v>
      </c>
      <c r="Z33" s="12">
        <v>5</v>
      </c>
      <c r="AA33" s="12" t="s">
        <v>118</v>
      </c>
      <c r="AB33" s="12" t="s">
        <v>498</v>
      </c>
      <c r="AC33" s="12" t="s">
        <v>200</v>
      </c>
      <c r="AD33" s="12" t="s">
        <v>58</v>
      </c>
      <c r="AE33" s="12">
        <v>1960000</v>
      </c>
      <c r="AF33" s="13">
        <v>39200</v>
      </c>
      <c r="AG33" s="12"/>
      <c r="AH33" s="12"/>
      <c r="AI33" s="12"/>
      <c r="AJ33" s="12" t="s">
        <v>11412</v>
      </c>
      <c r="AK33" s="13">
        <v>39200</v>
      </c>
      <c r="AL33" s="13"/>
      <c r="AM33" s="14">
        <f t="shared" si="0"/>
        <v>0</v>
      </c>
      <c r="AN33" s="12" t="s">
        <v>12004</v>
      </c>
    </row>
    <row r="34" spans="1:40" x14ac:dyDescent="0.25">
      <c r="A34" s="8">
        <v>33</v>
      </c>
      <c r="B34" s="9" t="s">
        <v>35</v>
      </c>
      <c r="C34" s="9" t="s">
        <v>499</v>
      </c>
      <c r="D34" s="9" t="s">
        <v>37</v>
      </c>
      <c r="E34" s="9" t="s">
        <v>500</v>
      </c>
      <c r="F34" s="9" t="s">
        <v>406</v>
      </c>
      <c r="G34" s="9" t="s">
        <v>501</v>
      </c>
      <c r="H34" s="9" t="s">
        <v>502</v>
      </c>
      <c r="I34" s="9" t="s">
        <v>502</v>
      </c>
      <c r="J34" s="9" t="s">
        <v>502</v>
      </c>
      <c r="K34" s="9" t="s">
        <v>503</v>
      </c>
      <c r="L34" s="9">
        <v>1847300</v>
      </c>
      <c r="M34" s="9">
        <v>2639000</v>
      </c>
      <c r="N34" s="9" t="s">
        <v>504</v>
      </c>
      <c r="O34" s="10">
        <v>45599</v>
      </c>
      <c r="P34" s="9" t="s">
        <v>505</v>
      </c>
      <c r="Q34" s="9" t="s">
        <v>506</v>
      </c>
      <c r="R34" s="9" t="s">
        <v>47</v>
      </c>
      <c r="S34" s="9" t="s">
        <v>48</v>
      </c>
      <c r="T34" s="9" t="s">
        <v>507</v>
      </c>
      <c r="U34" s="9" t="s">
        <v>50</v>
      </c>
      <c r="V34" s="9" t="s">
        <v>508</v>
      </c>
      <c r="W34" s="9" t="s">
        <v>132</v>
      </c>
      <c r="X34" s="9" t="s">
        <v>133</v>
      </c>
      <c r="Y34" s="9" t="s">
        <v>509</v>
      </c>
      <c r="Z34" s="9">
        <v>5</v>
      </c>
      <c r="AA34" s="9" t="s">
        <v>152</v>
      </c>
      <c r="AB34" s="9" t="s">
        <v>510</v>
      </c>
      <c r="AC34" s="9" t="s">
        <v>185</v>
      </c>
      <c r="AD34" s="9" t="s">
        <v>58</v>
      </c>
      <c r="AE34" s="9">
        <v>2243150</v>
      </c>
      <c r="AF34" s="11">
        <v>44863</v>
      </c>
      <c r="AG34" s="9"/>
      <c r="AH34" s="9"/>
      <c r="AI34" s="9"/>
      <c r="AJ34" s="12" t="s">
        <v>11413</v>
      </c>
      <c r="AK34" s="13">
        <v>44863</v>
      </c>
      <c r="AL34" s="13"/>
      <c r="AM34" s="14">
        <f t="shared" si="0"/>
        <v>0</v>
      </c>
      <c r="AN34" s="12" t="s">
        <v>12004</v>
      </c>
    </row>
    <row r="35" spans="1:40" x14ac:dyDescent="0.25">
      <c r="A35" s="15">
        <v>34</v>
      </c>
      <c r="B35" s="12" t="s">
        <v>35</v>
      </c>
      <c r="C35" s="12" t="s">
        <v>511</v>
      </c>
      <c r="D35" s="12" t="s">
        <v>37</v>
      </c>
      <c r="E35" s="12" t="s">
        <v>512</v>
      </c>
      <c r="F35" s="12" t="s">
        <v>290</v>
      </c>
      <c r="G35" s="12" t="s">
        <v>513</v>
      </c>
      <c r="H35" s="12" t="s">
        <v>514</v>
      </c>
      <c r="I35" s="12" t="s">
        <v>514</v>
      </c>
      <c r="J35" s="12" t="s">
        <v>515</v>
      </c>
      <c r="K35" s="12" t="s">
        <v>516</v>
      </c>
      <c r="L35" s="12">
        <v>2699500</v>
      </c>
      <c r="M35" s="12">
        <v>5399000</v>
      </c>
      <c r="N35" s="12" t="s">
        <v>517</v>
      </c>
      <c r="O35" s="16">
        <v>45599</v>
      </c>
      <c r="P35" s="12" t="s">
        <v>518</v>
      </c>
      <c r="Q35" s="12" t="s">
        <v>519</v>
      </c>
      <c r="R35" s="12" t="s">
        <v>47</v>
      </c>
      <c r="S35" s="12" t="s">
        <v>48</v>
      </c>
      <c r="T35" s="12" t="s">
        <v>520</v>
      </c>
      <c r="U35" s="12" t="s">
        <v>98</v>
      </c>
      <c r="V35" s="12" t="s">
        <v>521</v>
      </c>
      <c r="W35" s="12" t="s">
        <v>456</v>
      </c>
      <c r="X35" s="12" t="s">
        <v>457</v>
      </c>
      <c r="Y35" s="12" t="s">
        <v>522</v>
      </c>
      <c r="Z35" s="12">
        <v>5</v>
      </c>
      <c r="AA35" s="12" t="s">
        <v>48</v>
      </c>
      <c r="AB35" s="12" t="s">
        <v>48</v>
      </c>
      <c r="AC35" s="12" t="s">
        <v>48</v>
      </c>
      <c r="AD35" s="12" t="s">
        <v>58</v>
      </c>
      <c r="AE35" s="12">
        <v>4049250</v>
      </c>
      <c r="AF35" s="13">
        <v>80985</v>
      </c>
      <c r="AG35" s="12"/>
      <c r="AH35" s="12"/>
      <c r="AI35" s="12"/>
      <c r="AJ35" s="12" t="s">
        <v>11414</v>
      </c>
      <c r="AK35" s="13">
        <v>80985</v>
      </c>
      <c r="AL35" s="13"/>
      <c r="AM35" s="14">
        <f t="shared" si="0"/>
        <v>0</v>
      </c>
      <c r="AN35" s="12" t="s">
        <v>12004</v>
      </c>
    </row>
    <row r="36" spans="1:40" x14ac:dyDescent="0.25">
      <c r="A36" s="8">
        <v>35</v>
      </c>
      <c r="B36" s="9" t="s">
        <v>35</v>
      </c>
      <c r="C36" s="9" t="s">
        <v>523</v>
      </c>
      <c r="D36" s="9" t="s">
        <v>37</v>
      </c>
      <c r="E36" s="9" t="s">
        <v>524</v>
      </c>
      <c r="F36" s="9" t="s">
        <v>525</v>
      </c>
      <c r="G36" s="9" t="s">
        <v>526</v>
      </c>
      <c r="H36" s="9" t="s">
        <v>48</v>
      </c>
      <c r="I36" s="9" t="s">
        <v>527</v>
      </c>
      <c r="J36" s="9" t="s">
        <v>48</v>
      </c>
      <c r="K36" s="9" t="s">
        <v>528</v>
      </c>
      <c r="L36" s="9">
        <v>2699500</v>
      </c>
      <c r="M36" s="9">
        <v>5399000</v>
      </c>
      <c r="N36" s="9" t="s">
        <v>529</v>
      </c>
      <c r="O36" s="10">
        <v>45599</v>
      </c>
      <c r="P36" s="9" t="s">
        <v>530</v>
      </c>
      <c r="Q36" s="9" t="s">
        <v>531</v>
      </c>
      <c r="R36" s="9" t="s">
        <v>47</v>
      </c>
      <c r="S36" s="9" t="s">
        <v>48</v>
      </c>
      <c r="T36" s="9" t="s">
        <v>115</v>
      </c>
      <c r="U36" s="9" t="s">
        <v>98</v>
      </c>
      <c r="V36" s="9" t="s">
        <v>521</v>
      </c>
      <c r="W36" s="9" t="s">
        <v>532</v>
      </c>
      <c r="X36" s="9" t="s">
        <v>533</v>
      </c>
      <c r="Y36" s="9" t="s">
        <v>534</v>
      </c>
      <c r="Z36" s="9">
        <v>5</v>
      </c>
      <c r="AA36" s="9" t="s">
        <v>48</v>
      </c>
      <c r="AB36" s="9" t="s">
        <v>48</v>
      </c>
      <c r="AC36" s="9" t="s">
        <v>48</v>
      </c>
      <c r="AD36" s="9" t="s">
        <v>58</v>
      </c>
      <c r="AE36" s="9">
        <v>4049250</v>
      </c>
      <c r="AF36" s="11">
        <v>80985</v>
      </c>
      <c r="AG36" s="9"/>
      <c r="AH36" s="9"/>
      <c r="AI36" s="9"/>
      <c r="AJ36" s="12" t="s">
        <v>11415</v>
      </c>
      <c r="AK36" s="13">
        <v>80985</v>
      </c>
      <c r="AL36" s="13"/>
      <c r="AM36" s="14">
        <f t="shared" si="0"/>
        <v>0</v>
      </c>
      <c r="AN36" s="12" t="s">
        <v>12004</v>
      </c>
    </row>
    <row r="37" spans="1:40" x14ac:dyDescent="0.25">
      <c r="A37" s="15">
        <v>36</v>
      </c>
      <c r="B37" s="12" t="s">
        <v>35</v>
      </c>
      <c r="C37" s="12" t="s">
        <v>535</v>
      </c>
      <c r="D37" s="12" t="s">
        <v>37</v>
      </c>
      <c r="E37" s="12" t="s">
        <v>536</v>
      </c>
      <c r="F37" s="12" t="s">
        <v>107</v>
      </c>
      <c r="G37" s="12" t="s">
        <v>537</v>
      </c>
      <c r="H37" s="12" t="s">
        <v>538</v>
      </c>
      <c r="I37" s="12" t="s">
        <v>538</v>
      </c>
      <c r="J37" s="12" t="s">
        <v>538</v>
      </c>
      <c r="K37" s="12" t="s">
        <v>539</v>
      </c>
      <c r="L37" s="12">
        <v>2416500</v>
      </c>
      <c r="M37" s="12">
        <v>5370000</v>
      </c>
      <c r="N37" s="12" t="s">
        <v>540</v>
      </c>
      <c r="O37" s="16">
        <v>45599</v>
      </c>
      <c r="P37" s="12" t="s">
        <v>541</v>
      </c>
      <c r="Q37" s="12" t="s">
        <v>542</v>
      </c>
      <c r="R37" s="12" t="s">
        <v>146</v>
      </c>
      <c r="S37" s="12" t="s">
        <v>543</v>
      </c>
      <c r="T37" s="12" t="s">
        <v>520</v>
      </c>
      <c r="U37" s="12" t="s">
        <v>98</v>
      </c>
      <c r="V37" s="12" t="s">
        <v>185</v>
      </c>
      <c r="W37" s="12" t="s">
        <v>52</v>
      </c>
      <c r="X37" s="12" t="s">
        <v>53</v>
      </c>
      <c r="Y37" s="12" t="s">
        <v>544</v>
      </c>
      <c r="Z37" s="12">
        <v>5</v>
      </c>
      <c r="AA37" s="12" t="s">
        <v>55</v>
      </c>
      <c r="AB37" s="12" t="s">
        <v>545</v>
      </c>
      <c r="AC37" s="12" t="s">
        <v>200</v>
      </c>
      <c r="AD37" s="12" t="s">
        <v>58</v>
      </c>
      <c r="AE37" s="12">
        <v>4296000</v>
      </c>
      <c r="AF37" s="13">
        <v>85920</v>
      </c>
      <c r="AG37" s="12"/>
      <c r="AH37" s="12"/>
      <c r="AI37" s="12"/>
      <c r="AJ37" s="12" t="s">
        <v>11416</v>
      </c>
      <c r="AK37" s="13">
        <v>85920</v>
      </c>
      <c r="AL37" s="13"/>
      <c r="AM37" s="14">
        <f t="shared" si="0"/>
        <v>0</v>
      </c>
      <c r="AN37" s="12" t="s">
        <v>12004</v>
      </c>
    </row>
    <row r="38" spans="1:40" x14ac:dyDescent="0.25">
      <c r="A38" s="8">
        <v>37</v>
      </c>
      <c r="B38" s="9" t="s">
        <v>35</v>
      </c>
      <c r="C38" s="9" t="s">
        <v>546</v>
      </c>
      <c r="D38" s="9" t="s">
        <v>37</v>
      </c>
      <c r="E38" s="9" t="s">
        <v>547</v>
      </c>
      <c r="F38" s="9" t="s">
        <v>245</v>
      </c>
      <c r="G38" s="9" t="s">
        <v>548</v>
      </c>
      <c r="H38" s="9" t="s">
        <v>549</v>
      </c>
      <c r="I38" s="9" t="s">
        <v>48</v>
      </c>
      <c r="J38" s="9" t="s">
        <v>550</v>
      </c>
      <c r="K38" s="9" t="s">
        <v>551</v>
      </c>
      <c r="L38" s="9">
        <v>2986125</v>
      </c>
      <c r="M38" s="9">
        <v>3981500</v>
      </c>
      <c r="N38" s="9" t="s">
        <v>552</v>
      </c>
      <c r="O38" s="10">
        <v>45599</v>
      </c>
      <c r="P38" s="9" t="s">
        <v>553</v>
      </c>
      <c r="Q38" s="9" t="s">
        <v>554</v>
      </c>
      <c r="R38" s="9" t="s">
        <v>47</v>
      </c>
      <c r="S38" s="9" t="s">
        <v>48</v>
      </c>
      <c r="T38" s="9" t="s">
        <v>97</v>
      </c>
      <c r="U38" s="9" t="s">
        <v>98</v>
      </c>
      <c r="V38" s="9" t="s">
        <v>254</v>
      </c>
      <c r="W38" s="9" t="s">
        <v>167</v>
      </c>
      <c r="X38" s="9" t="s">
        <v>168</v>
      </c>
      <c r="Y38" s="9" t="s">
        <v>555</v>
      </c>
      <c r="Z38" s="9">
        <v>7</v>
      </c>
      <c r="AA38" s="9" t="s">
        <v>257</v>
      </c>
      <c r="AB38" s="9" t="s">
        <v>556</v>
      </c>
      <c r="AC38" s="9" t="s">
        <v>229</v>
      </c>
      <c r="AD38" s="9" t="s">
        <v>58</v>
      </c>
      <c r="AE38" s="9">
        <v>2986125</v>
      </c>
      <c r="AF38" s="11">
        <v>59723</v>
      </c>
      <c r="AG38" s="9"/>
      <c r="AH38" s="9"/>
      <c r="AI38" s="9"/>
      <c r="AJ38" s="12" t="s">
        <v>11417</v>
      </c>
      <c r="AK38" s="13">
        <v>59723</v>
      </c>
      <c r="AL38" s="13"/>
      <c r="AM38" s="14">
        <f t="shared" si="0"/>
        <v>0</v>
      </c>
      <c r="AN38" s="12" t="s">
        <v>12004</v>
      </c>
    </row>
    <row r="39" spans="1:40" x14ac:dyDescent="0.25">
      <c r="A39" s="15">
        <v>38</v>
      </c>
      <c r="B39" s="12" t="s">
        <v>35</v>
      </c>
      <c r="C39" s="12" t="s">
        <v>557</v>
      </c>
      <c r="D39" s="12" t="s">
        <v>37</v>
      </c>
      <c r="E39" s="12" t="s">
        <v>558</v>
      </c>
      <c r="F39" s="12" t="s">
        <v>107</v>
      </c>
      <c r="G39" s="12" t="s">
        <v>559</v>
      </c>
      <c r="H39" s="12" t="s">
        <v>560</v>
      </c>
      <c r="I39" s="12" t="s">
        <v>560</v>
      </c>
      <c r="J39" s="12" t="s">
        <v>561</v>
      </c>
      <c r="K39" s="12" t="s">
        <v>562</v>
      </c>
      <c r="L39" s="12">
        <v>3527550</v>
      </c>
      <c r="M39" s="12">
        <v>5427000</v>
      </c>
      <c r="N39" s="12" t="s">
        <v>563</v>
      </c>
      <c r="O39" s="16">
        <v>45599</v>
      </c>
      <c r="P39" s="12" t="s">
        <v>564</v>
      </c>
      <c r="Q39" s="12" t="s">
        <v>565</v>
      </c>
      <c r="R39" s="12" t="s">
        <v>47</v>
      </c>
      <c r="S39" s="12" t="s">
        <v>48</v>
      </c>
      <c r="T39" s="12" t="s">
        <v>566</v>
      </c>
      <c r="U39" s="12" t="s">
        <v>98</v>
      </c>
      <c r="V39" s="12" t="s">
        <v>297</v>
      </c>
      <c r="W39" s="12" t="s">
        <v>100</v>
      </c>
      <c r="X39" s="12" t="s">
        <v>101</v>
      </c>
      <c r="Y39" s="12" t="s">
        <v>567</v>
      </c>
      <c r="Z39" s="12">
        <v>5</v>
      </c>
      <c r="AA39" s="12" t="s">
        <v>48</v>
      </c>
      <c r="AB39" s="12" t="s">
        <v>48</v>
      </c>
      <c r="AC39" s="12" t="s">
        <v>48</v>
      </c>
      <c r="AD39" s="12" t="s">
        <v>299</v>
      </c>
      <c r="AE39" s="12">
        <v>4070250</v>
      </c>
      <c r="AF39" s="13">
        <v>61054</v>
      </c>
      <c r="AG39" s="12"/>
      <c r="AH39" s="12"/>
      <c r="AI39" s="12"/>
      <c r="AJ39" s="12" t="s">
        <v>11418</v>
      </c>
      <c r="AK39" s="13">
        <v>61054</v>
      </c>
      <c r="AL39" s="13"/>
      <c r="AM39" s="14">
        <f t="shared" si="0"/>
        <v>0</v>
      </c>
      <c r="AN39" s="12" t="s">
        <v>12004</v>
      </c>
    </row>
    <row r="40" spans="1:40" x14ac:dyDescent="0.25">
      <c r="A40" s="8">
        <v>39</v>
      </c>
      <c r="B40" s="9" t="s">
        <v>35</v>
      </c>
      <c r="C40" s="9" t="s">
        <v>568</v>
      </c>
      <c r="D40" s="9" t="s">
        <v>37</v>
      </c>
      <c r="E40" s="9" t="s">
        <v>569</v>
      </c>
      <c r="F40" s="9" t="s">
        <v>245</v>
      </c>
      <c r="G40" s="9" t="s">
        <v>570</v>
      </c>
      <c r="H40" s="9" t="s">
        <v>571</v>
      </c>
      <c r="I40" s="9" t="s">
        <v>48</v>
      </c>
      <c r="J40" s="9" t="s">
        <v>572</v>
      </c>
      <c r="K40" s="9" t="s">
        <v>573</v>
      </c>
      <c r="L40" s="9">
        <v>3919300</v>
      </c>
      <c r="M40" s="9">
        <v>5599000</v>
      </c>
      <c r="N40" s="9" t="s">
        <v>574</v>
      </c>
      <c r="O40" s="10">
        <v>45599</v>
      </c>
      <c r="P40" s="9" t="s">
        <v>575</v>
      </c>
      <c r="Q40" s="9" t="s">
        <v>576</v>
      </c>
      <c r="R40" s="9" t="s">
        <v>47</v>
      </c>
      <c r="S40" s="9" t="s">
        <v>48</v>
      </c>
      <c r="T40" s="9" t="s">
        <v>577</v>
      </c>
      <c r="U40" s="9" t="s">
        <v>98</v>
      </c>
      <c r="V40" s="9" t="s">
        <v>431</v>
      </c>
      <c r="W40" s="9" t="s">
        <v>100</v>
      </c>
      <c r="X40" s="9" t="s">
        <v>101</v>
      </c>
      <c r="Y40" s="9" t="s">
        <v>578</v>
      </c>
      <c r="Z40" s="9">
        <v>5</v>
      </c>
      <c r="AA40" s="9" t="s">
        <v>55</v>
      </c>
      <c r="AB40" s="9" t="s">
        <v>579</v>
      </c>
      <c r="AC40" s="9" t="s">
        <v>431</v>
      </c>
      <c r="AD40" s="9" t="s">
        <v>299</v>
      </c>
      <c r="AE40" s="9">
        <v>4199250</v>
      </c>
      <c r="AF40" s="11">
        <v>62989</v>
      </c>
      <c r="AG40" s="9"/>
      <c r="AH40" s="9"/>
      <c r="AI40" s="9"/>
      <c r="AJ40" s="12" t="s">
        <v>11419</v>
      </c>
      <c r="AK40" s="13">
        <v>62989</v>
      </c>
      <c r="AL40" s="13"/>
      <c r="AM40" s="14">
        <f t="shared" si="0"/>
        <v>0</v>
      </c>
      <c r="AN40" s="12" t="s">
        <v>12004</v>
      </c>
    </row>
    <row r="41" spans="1:40" x14ac:dyDescent="0.25">
      <c r="A41" s="15">
        <v>40</v>
      </c>
      <c r="B41" s="12" t="s">
        <v>35</v>
      </c>
      <c r="C41" s="12" t="s">
        <v>580</v>
      </c>
      <c r="D41" s="12" t="s">
        <v>37</v>
      </c>
      <c r="E41" s="12" t="s">
        <v>581</v>
      </c>
      <c r="F41" s="12" t="s">
        <v>107</v>
      </c>
      <c r="G41" s="12" t="s">
        <v>582</v>
      </c>
      <c r="H41" s="12" t="s">
        <v>48</v>
      </c>
      <c r="I41" s="12" t="s">
        <v>583</v>
      </c>
      <c r="J41" s="12" t="s">
        <v>584</v>
      </c>
      <c r="K41" s="12" t="s">
        <v>585</v>
      </c>
      <c r="L41" s="12">
        <v>36750000</v>
      </c>
      <c r="M41" s="12">
        <v>73500000</v>
      </c>
      <c r="N41" s="12" t="s">
        <v>586</v>
      </c>
      <c r="O41" s="16">
        <v>45599</v>
      </c>
      <c r="P41" s="12" t="s">
        <v>587</v>
      </c>
      <c r="Q41" s="12" t="s">
        <v>588</v>
      </c>
      <c r="R41" s="12" t="s">
        <v>47</v>
      </c>
      <c r="S41" s="12" t="s">
        <v>48</v>
      </c>
      <c r="T41" s="12" t="s">
        <v>589</v>
      </c>
      <c r="U41" s="12" t="s">
        <v>50</v>
      </c>
      <c r="V41" s="12" t="s">
        <v>68</v>
      </c>
      <c r="W41" s="12" t="s">
        <v>132</v>
      </c>
      <c r="X41" s="12" t="s">
        <v>133</v>
      </c>
      <c r="Y41" s="12" t="s">
        <v>590</v>
      </c>
      <c r="Z41" s="12">
        <v>5</v>
      </c>
      <c r="AA41" s="12" t="s">
        <v>48</v>
      </c>
      <c r="AB41" s="12" t="s">
        <v>48</v>
      </c>
      <c r="AC41" s="12" t="s">
        <v>48</v>
      </c>
      <c r="AD41" s="12" t="s">
        <v>86</v>
      </c>
      <c r="AE41" s="12">
        <v>58800000</v>
      </c>
      <c r="AF41" s="13">
        <v>1029000</v>
      </c>
      <c r="AG41" s="12"/>
      <c r="AH41" s="12"/>
      <c r="AI41" s="12"/>
      <c r="AJ41" s="12" t="s">
        <v>11420</v>
      </c>
      <c r="AK41" s="13">
        <v>1029000</v>
      </c>
      <c r="AL41" s="13"/>
      <c r="AM41" s="14">
        <f t="shared" si="0"/>
        <v>0</v>
      </c>
      <c r="AN41" s="12" t="s">
        <v>12004</v>
      </c>
    </row>
    <row r="42" spans="1:40" x14ac:dyDescent="0.25">
      <c r="A42" s="8">
        <v>41</v>
      </c>
      <c r="B42" s="9" t="s">
        <v>35</v>
      </c>
      <c r="C42" s="9" t="s">
        <v>591</v>
      </c>
      <c r="D42" s="9" t="s">
        <v>37</v>
      </c>
      <c r="E42" s="9" t="s">
        <v>592</v>
      </c>
      <c r="F42" s="9" t="s">
        <v>138</v>
      </c>
      <c r="G42" s="9" t="s">
        <v>593</v>
      </c>
      <c r="H42" s="9" t="s">
        <v>594</v>
      </c>
      <c r="I42" s="9" t="s">
        <v>595</v>
      </c>
      <c r="J42" s="9" t="s">
        <v>594</v>
      </c>
      <c r="K42" s="9" t="s">
        <v>596</v>
      </c>
      <c r="L42" s="9">
        <v>1404000</v>
      </c>
      <c r="M42" s="9">
        <v>3600000</v>
      </c>
      <c r="N42" s="9" t="s">
        <v>597</v>
      </c>
      <c r="O42" s="10">
        <v>45599</v>
      </c>
      <c r="P42" s="9" t="s">
        <v>598</v>
      </c>
      <c r="Q42" s="9" t="s">
        <v>599</v>
      </c>
      <c r="R42" s="9" t="s">
        <v>146</v>
      </c>
      <c r="S42" s="9" t="s">
        <v>600</v>
      </c>
      <c r="T42" s="9" t="s">
        <v>601</v>
      </c>
      <c r="U42" s="9" t="s">
        <v>335</v>
      </c>
      <c r="V42" s="9" t="s">
        <v>336</v>
      </c>
      <c r="W42" s="9" t="s">
        <v>150</v>
      </c>
      <c r="X42" s="9" t="s">
        <v>101</v>
      </c>
      <c r="Y42" s="9" t="s">
        <v>602</v>
      </c>
      <c r="Z42" s="9">
        <v>3</v>
      </c>
      <c r="AA42" s="9" t="s">
        <v>227</v>
      </c>
      <c r="AB42" s="9" t="s">
        <v>603</v>
      </c>
      <c r="AC42" s="9" t="s">
        <v>336</v>
      </c>
      <c r="AD42" s="9" t="s">
        <v>86</v>
      </c>
      <c r="AE42" s="9">
        <v>3060000</v>
      </c>
      <c r="AF42" s="11">
        <v>53550</v>
      </c>
      <c r="AG42" s="9"/>
      <c r="AH42" s="9"/>
      <c r="AI42" s="9"/>
      <c r="AJ42" s="12" t="s">
        <v>11421</v>
      </c>
      <c r="AK42" s="13">
        <v>53550</v>
      </c>
      <c r="AL42" s="13"/>
      <c r="AM42" s="14">
        <f t="shared" si="0"/>
        <v>0</v>
      </c>
      <c r="AN42" s="12" t="s">
        <v>12004</v>
      </c>
    </row>
    <row r="43" spans="1:40" x14ac:dyDescent="0.25">
      <c r="A43" s="15">
        <v>42</v>
      </c>
      <c r="B43" s="12" t="s">
        <v>35</v>
      </c>
      <c r="C43" s="12" t="s">
        <v>604</v>
      </c>
      <c r="D43" s="12" t="s">
        <v>37</v>
      </c>
      <c r="E43" s="12" t="s">
        <v>605</v>
      </c>
      <c r="F43" s="12" t="s">
        <v>245</v>
      </c>
      <c r="G43" s="12" t="s">
        <v>606</v>
      </c>
      <c r="H43" s="12" t="s">
        <v>48</v>
      </c>
      <c r="I43" s="12" t="s">
        <v>607</v>
      </c>
      <c r="J43" s="12" t="s">
        <v>48</v>
      </c>
      <c r="K43" s="12" t="s">
        <v>608</v>
      </c>
      <c r="L43" s="12">
        <v>1470000</v>
      </c>
      <c r="M43" s="12">
        <v>2100000</v>
      </c>
      <c r="N43" s="12" t="s">
        <v>609</v>
      </c>
      <c r="O43" s="16">
        <v>45599</v>
      </c>
      <c r="P43" s="12" t="s">
        <v>610</v>
      </c>
      <c r="Q43" s="12" t="s">
        <v>611</v>
      </c>
      <c r="R43" s="12" t="s">
        <v>146</v>
      </c>
      <c r="S43" s="12" t="s">
        <v>612</v>
      </c>
      <c r="T43" s="12" t="s">
        <v>613</v>
      </c>
      <c r="U43" s="12" t="s">
        <v>614</v>
      </c>
      <c r="V43" s="12" t="s">
        <v>336</v>
      </c>
      <c r="W43" s="12" t="s">
        <v>150</v>
      </c>
      <c r="X43" s="12" t="s">
        <v>101</v>
      </c>
      <c r="Y43" s="12" t="s">
        <v>615</v>
      </c>
      <c r="Z43" s="12">
        <v>3</v>
      </c>
      <c r="AA43" s="12" t="s">
        <v>323</v>
      </c>
      <c r="AB43" s="12" t="s">
        <v>48</v>
      </c>
      <c r="AC43" s="12" t="s">
        <v>48</v>
      </c>
      <c r="AD43" s="12" t="s">
        <v>86</v>
      </c>
      <c r="AE43" s="12">
        <v>1785000</v>
      </c>
      <c r="AF43" s="13">
        <v>31238</v>
      </c>
      <c r="AG43" s="12"/>
      <c r="AH43" s="12"/>
      <c r="AI43" s="12"/>
      <c r="AJ43" s="12" t="s">
        <v>11422</v>
      </c>
      <c r="AK43" s="13">
        <v>31238</v>
      </c>
      <c r="AL43" s="13"/>
      <c r="AM43" s="14">
        <f t="shared" si="0"/>
        <v>0</v>
      </c>
      <c r="AN43" s="12" t="s">
        <v>12004</v>
      </c>
    </row>
    <row r="44" spans="1:40" x14ac:dyDescent="0.25">
      <c r="A44" s="8">
        <v>43</v>
      </c>
      <c r="B44" s="9" t="s">
        <v>35</v>
      </c>
      <c r="C44" s="9" t="s">
        <v>616</v>
      </c>
      <c r="D44" s="9" t="s">
        <v>37</v>
      </c>
      <c r="E44" s="9" t="s">
        <v>617</v>
      </c>
      <c r="F44" s="9" t="s">
        <v>245</v>
      </c>
      <c r="G44" s="9" t="s">
        <v>618</v>
      </c>
      <c r="H44" s="9" t="s">
        <v>619</v>
      </c>
      <c r="I44" s="9" t="s">
        <v>48</v>
      </c>
      <c r="J44" s="9" t="s">
        <v>619</v>
      </c>
      <c r="K44" s="9" t="s">
        <v>620</v>
      </c>
      <c r="L44" s="9">
        <v>1536250</v>
      </c>
      <c r="M44" s="9">
        <v>6145000</v>
      </c>
      <c r="N44" s="9" t="s">
        <v>621</v>
      </c>
      <c r="O44" s="10">
        <v>45599</v>
      </c>
      <c r="P44" s="9" t="s">
        <v>622</v>
      </c>
      <c r="Q44" s="9" t="s">
        <v>623</v>
      </c>
      <c r="R44" s="9" t="s">
        <v>47</v>
      </c>
      <c r="S44" s="9" t="s">
        <v>48</v>
      </c>
      <c r="T44" s="9" t="s">
        <v>624</v>
      </c>
      <c r="U44" s="9" t="s">
        <v>148</v>
      </c>
      <c r="V44" s="9" t="s">
        <v>625</v>
      </c>
      <c r="W44" s="9" t="s">
        <v>150</v>
      </c>
      <c r="X44" s="9" t="s">
        <v>101</v>
      </c>
      <c r="Y44" s="9" t="s">
        <v>626</v>
      </c>
      <c r="Z44" s="9">
        <v>3</v>
      </c>
      <c r="AA44" s="9" t="s">
        <v>323</v>
      </c>
      <c r="AB44" s="9" t="s">
        <v>627</v>
      </c>
      <c r="AC44" s="9" t="s">
        <v>149</v>
      </c>
      <c r="AD44" s="9" t="s">
        <v>86</v>
      </c>
      <c r="AE44" s="9">
        <v>5223250</v>
      </c>
      <c r="AF44" s="11">
        <v>91407</v>
      </c>
      <c r="AG44" s="9"/>
      <c r="AH44" s="9"/>
      <c r="AI44" s="9"/>
      <c r="AJ44" s="12" t="s">
        <v>11423</v>
      </c>
      <c r="AK44" s="13">
        <v>91407</v>
      </c>
      <c r="AL44" s="13"/>
      <c r="AM44" s="14">
        <f t="shared" si="0"/>
        <v>0</v>
      </c>
      <c r="AN44" s="12" t="s">
        <v>12004</v>
      </c>
    </row>
    <row r="45" spans="1:40" x14ac:dyDescent="0.25">
      <c r="A45" s="15">
        <v>44</v>
      </c>
      <c r="B45" s="12" t="s">
        <v>35</v>
      </c>
      <c r="C45" s="12" t="s">
        <v>628</v>
      </c>
      <c r="D45" s="12" t="s">
        <v>37</v>
      </c>
      <c r="E45" s="12" t="s">
        <v>629</v>
      </c>
      <c r="F45" s="12" t="s">
        <v>245</v>
      </c>
      <c r="G45" s="12" t="s">
        <v>630</v>
      </c>
      <c r="H45" s="12" t="s">
        <v>631</v>
      </c>
      <c r="I45" s="12" t="s">
        <v>632</v>
      </c>
      <c r="J45" s="12" t="s">
        <v>633</v>
      </c>
      <c r="K45" s="12" t="s">
        <v>634</v>
      </c>
      <c r="L45" s="12">
        <v>700000</v>
      </c>
      <c r="M45" s="12">
        <v>1000000</v>
      </c>
      <c r="N45" s="12" t="s">
        <v>635</v>
      </c>
      <c r="O45" s="16">
        <v>45599</v>
      </c>
      <c r="P45" s="12" t="s">
        <v>636</v>
      </c>
      <c r="Q45" s="12" t="s">
        <v>637</v>
      </c>
      <c r="R45" s="12" t="s">
        <v>146</v>
      </c>
      <c r="S45" s="12" t="s">
        <v>638</v>
      </c>
      <c r="T45" s="12" t="s">
        <v>639</v>
      </c>
      <c r="U45" s="12" t="s">
        <v>496</v>
      </c>
      <c r="V45" s="12" t="s">
        <v>336</v>
      </c>
      <c r="W45" s="12" t="s">
        <v>150</v>
      </c>
      <c r="X45" s="12" t="s">
        <v>255</v>
      </c>
      <c r="Y45" s="12" t="s">
        <v>640</v>
      </c>
      <c r="Z45" s="12">
        <v>5</v>
      </c>
      <c r="AA45" s="12" t="s">
        <v>323</v>
      </c>
      <c r="AB45" s="12" t="s">
        <v>48</v>
      </c>
      <c r="AC45" s="12" t="s">
        <v>149</v>
      </c>
      <c r="AD45" s="12" t="s">
        <v>86</v>
      </c>
      <c r="AE45" s="12">
        <v>850000</v>
      </c>
      <c r="AF45" s="13">
        <v>14875</v>
      </c>
      <c r="AG45" s="12"/>
      <c r="AH45" s="12"/>
      <c r="AI45" s="12"/>
      <c r="AJ45" s="12" t="s">
        <v>11424</v>
      </c>
      <c r="AK45" s="13">
        <v>14875</v>
      </c>
      <c r="AL45" s="13"/>
      <c r="AM45" s="14">
        <f t="shared" si="0"/>
        <v>0</v>
      </c>
      <c r="AN45" s="12" t="s">
        <v>12004</v>
      </c>
    </row>
    <row r="46" spans="1:40" x14ac:dyDescent="0.25">
      <c r="A46" s="8">
        <v>45</v>
      </c>
      <c r="B46" s="9" t="s">
        <v>35</v>
      </c>
      <c r="C46" s="9" t="s">
        <v>641</v>
      </c>
      <c r="D46" s="9" t="s">
        <v>37</v>
      </c>
      <c r="E46" s="9" t="s">
        <v>642</v>
      </c>
      <c r="F46" s="9" t="s">
        <v>138</v>
      </c>
      <c r="G46" s="9" t="s">
        <v>643</v>
      </c>
      <c r="H46" s="9" t="s">
        <v>644</v>
      </c>
      <c r="I46" s="9" t="s">
        <v>644</v>
      </c>
      <c r="J46" s="9" t="s">
        <v>141</v>
      </c>
      <c r="K46" s="9" t="s">
        <v>645</v>
      </c>
      <c r="L46" s="9">
        <v>1456000</v>
      </c>
      <c r="M46" s="9">
        <v>2600000</v>
      </c>
      <c r="N46" s="9" t="s">
        <v>646</v>
      </c>
      <c r="O46" s="10">
        <v>45599</v>
      </c>
      <c r="P46" s="9" t="s">
        <v>647</v>
      </c>
      <c r="Q46" s="9" t="s">
        <v>648</v>
      </c>
      <c r="R46" s="9" t="s">
        <v>146</v>
      </c>
      <c r="S46" s="9" t="s">
        <v>649</v>
      </c>
      <c r="T46" s="9" t="s">
        <v>650</v>
      </c>
      <c r="U46" s="9" t="s">
        <v>651</v>
      </c>
      <c r="V46" s="9" t="s">
        <v>625</v>
      </c>
      <c r="W46" s="9" t="s">
        <v>150</v>
      </c>
      <c r="X46" s="9" t="s">
        <v>101</v>
      </c>
      <c r="Y46" s="9" t="s">
        <v>652</v>
      </c>
      <c r="Z46" s="9">
        <v>3</v>
      </c>
      <c r="AA46" s="9" t="s">
        <v>152</v>
      </c>
      <c r="AB46" s="9" t="s">
        <v>653</v>
      </c>
      <c r="AC46" s="9" t="s">
        <v>149</v>
      </c>
      <c r="AD46" s="9" t="s">
        <v>86</v>
      </c>
      <c r="AE46" s="9">
        <v>2210000</v>
      </c>
      <c r="AF46" s="11">
        <v>38675</v>
      </c>
      <c r="AG46" s="9"/>
      <c r="AH46" s="9"/>
      <c r="AI46" s="9"/>
      <c r="AJ46" s="12" t="s">
        <v>11425</v>
      </c>
      <c r="AK46" s="13">
        <v>38675</v>
      </c>
      <c r="AL46" s="13"/>
      <c r="AM46" s="14">
        <f t="shared" si="0"/>
        <v>0</v>
      </c>
      <c r="AN46" s="12" t="s">
        <v>12004</v>
      </c>
    </row>
    <row r="47" spans="1:40" x14ac:dyDescent="0.25">
      <c r="A47" s="15">
        <v>46</v>
      </c>
      <c r="B47" s="12" t="s">
        <v>35</v>
      </c>
      <c r="C47" s="12" t="s">
        <v>654</v>
      </c>
      <c r="D47" s="12" t="s">
        <v>37</v>
      </c>
      <c r="E47" s="12" t="s">
        <v>655</v>
      </c>
      <c r="F47" s="12" t="s">
        <v>107</v>
      </c>
      <c r="G47" s="12" t="s">
        <v>656</v>
      </c>
      <c r="H47" s="12" t="s">
        <v>657</v>
      </c>
      <c r="I47" s="12" t="s">
        <v>657</v>
      </c>
      <c r="J47" s="12" t="s">
        <v>657</v>
      </c>
      <c r="K47" s="12" t="s">
        <v>658</v>
      </c>
      <c r="L47" s="12">
        <v>934500</v>
      </c>
      <c r="M47" s="12">
        <v>1335000</v>
      </c>
      <c r="N47" s="12" t="s">
        <v>659</v>
      </c>
      <c r="O47" s="16">
        <v>45600</v>
      </c>
      <c r="P47" s="12" t="s">
        <v>660</v>
      </c>
      <c r="Q47" s="12" t="s">
        <v>661</v>
      </c>
      <c r="R47" s="12" t="s">
        <v>47</v>
      </c>
      <c r="S47" s="12" t="s">
        <v>48</v>
      </c>
      <c r="T47" s="12" t="s">
        <v>194</v>
      </c>
      <c r="U47" s="12" t="s">
        <v>50</v>
      </c>
      <c r="V47" s="12" t="s">
        <v>442</v>
      </c>
      <c r="W47" s="12" t="s">
        <v>196</v>
      </c>
      <c r="X47" s="12" t="s">
        <v>401</v>
      </c>
      <c r="Y47" s="12" t="s">
        <v>662</v>
      </c>
      <c r="Z47" s="12">
        <v>5</v>
      </c>
      <c r="AA47" s="12" t="s">
        <v>118</v>
      </c>
      <c r="AB47" s="12" t="s">
        <v>663</v>
      </c>
      <c r="AC47" s="12" t="s">
        <v>185</v>
      </c>
      <c r="AD47" s="12" t="s">
        <v>58</v>
      </c>
      <c r="AE47" s="12">
        <v>1068000</v>
      </c>
      <c r="AF47" s="13">
        <v>21360</v>
      </c>
      <c r="AG47" s="12"/>
      <c r="AH47" s="12"/>
      <c r="AI47" s="12"/>
      <c r="AJ47" s="12" t="s">
        <v>11426</v>
      </c>
      <c r="AK47" s="13">
        <v>21360</v>
      </c>
      <c r="AL47" s="13"/>
      <c r="AM47" s="14">
        <f t="shared" si="0"/>
        <v>0</v>
      </c>
      <c r="AN47" s="12" t="s">
        <v>12004</v>
      </c>
    </row>
    <row r="48" spans="1:40" x14ac:dyDescent="0.25">
      <c r="A48" s="8">
        <v>47</v>
      </c>
      <c r="B48" s="9" t="s">
        <v>35</v>
      </c>
      <c r="C48" s="9" t="s">
        <v>664</v>
      </c>
      <c r="D48" s="9" t="s">
        <v>37</v>
      </c>
      <c r="E48" s="9" t="s">
        <v>665</v>
      </c>
      <c r="F48" s="9" t="s">
        <v>406</v>
      </c>
      <c r="G48" s="9" t="s">
        <v>666</v>
      </c>
      <c r="H48" s="9" t="s">
        <v>667</v>
      </c>
      <c r="I48" s="9" t="s">
        <v>667</v>
      </c>
      <c r="J48" s="9" t="s">
        <v>668</v>
      </c>
      <c r="K48" s="9" t="s">
        <v>669</v>
      </c>
      <c r="L48" s="9">
        <v>1001250</v>
      </c>
      <c r="M48" s="9">
        <v>1335000</v>
      </c>
      <c r="N48" s="9" t="s">
        <v>670</v>
      </c>
      <c r="O48" s="10">
        <v>45600</v>
      </c>
      <c r="P48" s="9" t="s">
        <v>671</v>
      </c>
      <c r="Q48" s="9" t="s">
        <v>672</v>
      </c>
      <c r="R48" s="9" t="s">
        <v>47</v>
      </c>
      <c r="S48" s="9" t="s">
        <v>48</v>
      </c>
      <c r="T48" s="9" t="s">
        <v>673</v>
      </c>
      <c r="U48" s="9" t="s">
        <v>50</v>
      </c>
      <c r="V48" s="9" t="s">
        <v>116</v>
      </c>
      <c r="W48" s="9" t="s">
        <v>52</v>
      </c>
      <c r="X48" s="9" t="s">
        <v>53</v>
      </c>
      <c r="Y48" s="9" t="s">
        <v>674</v>
      </c>
      <c r="Z48" s="9">
        <v>5</v>
      </c>
      <c r="AA48" s="9" t="s">
        <v>118</v>
      </c>
      <c r="AB48" s="9" t="s">
        <v>675</v>
      </c>
      <c r="AC48" s="9" t="s">
        <v>676</v>
      </c>
      <c r="AD48" s="9" t="s">
        <v>58</v>
      </c>
      <c r="AE48" s="9">
        <v>1068000</v>
      </c>
      <c r="AF48" s="11">
        <v>21360</v>
      </c>
      <c r="AG48" s="9"/>
      <c r="AH48" s="9"/>
      <c r="AI48" s="9"/>
      <c r="AJ48" s="12" t="s">
        <v>11427</v>
      </c>
      <c r="AK48" s="13">
        <v>21360</v>
      </c>
      <c r="AL48" s="13"/>
      <c r="AM48" s="14">
        <f t="shared" si="0"/>
        <v>0</v>
      </c>
      <c r="AN48" s="12" t="s">
        <v>12004</v>
      </c>
    </row>
    <row r="49" spans="1:40" x14ac:dyDescent="0.25">
      <c r="A49" s="15">
        <v>48</v>
      </c>
      <c r="B49" s="12" t="s">
        <v>35</v>
      </c>
      <c r="C49" s="12" t="s">
        <v>677</v>
      </c>
      <c r="D49" s="12" t="s">
        <v>37</v>
      </c>
      <c r="E49" s="12" t="s">
        <v>678</v>
      </c>
      <c r="F49" s="12" t="s">
        <v>107</v>
      </c>
      <c r="G49" s="12" t="s">
        <v>679</v>
      </c>
      <c r="H49" s="12" t="s">
        <v>680</v>
      </c>
      <c r="I49" s="12" t="s">
        <v>680</v>
      </c>
      <c r="J49" s="12" t="s">
        <v>681</v>
      </c>
      <c r="K49" s="12" t="s">
        <v>682</v>
      </c>
      <c r="L49" s="12">
        <v>1287200</v>
      </c>
      <c r="M49" s="12">
        <v>1609000</v>
      </c>
      <c r="N49" s="12" t="s">
        <v>683</v>
      </c>
      <c r="O49" s="16">
        <v>45600</v>
      </c>
      <c r="P49" s="12" t="s">
        <v>684</v>
      </c>
      <c r="Q49" s="12" t="s">
        <v>685</v>
      </c>
      <c r="R49" s="12" t="s">
        <v>47</v>
      </c>
      <c r="S49" s="12" t="s">
        <v>48</v>
      </c>
      <c r="T49" s="12" t="s">
        <v>686</v>
      </c>
      <c r="U49" s="12" t="s">
        <v>98</v>
      </c>
      <c r="V49" s="12" t="s">
        <v>687</v>
      </c>
      <c r="W49" s="12" t="s">
        <v>100</v>
      </c>
      <c r="X49" s="12" t="s">
        <v>101</v>
      </c>
      <c r="Y49" s="12" t="s">
        <v>688</v>
      </c>
      <c r="Z49" s="12">
        <v>5</v>
      </c>
      <c r="AA49" s="12" t="s">
        <v>227</v>
      </c>
      <c r="AB49" s="12" t="s">
        <v>689</v>
      </c>
      <c r="AC49" s="12" t="s">
        <v>431</v>
      </c>
      <c r="AD49" s="12" t="s">
        <v>58</v>
      </c>
      <c r="AE49" s="12">
        <v>1206750</v>
      </c>
      <c r="AF49" s="13">
        <v>24135</v>
      </c>
      <c r="AG49" s="12"/>
      <c r="AH49" s="12"/>
      <c r="AI49" s="12"/>
      <c r="AJ49" s="12" t="s">
        <v>11428</v>
      </c>
      <c r="AK49" s="13">
        <v>24135</v>
      </c>
      <c r="AL49" s="13"/>
      <c r="AM49" s="14">
        <f t="shared" si="0"/>
        <v>0</v>
      </c>
      <c r="AN49" s="12" t="s">
        <v>12004</v>
      </c>
    </row>
    <row r="50" spans="1:40" x14ac:dyDescent="0.25">
      <c r="A50" s="8">
        <v>49</v>
      </c>
      <c r="B50" s="9" t="s">
        <v>35</v>
      </c>
      <c r="C50" s="9" t="s">
        <v>690</v>
      </c>
      <c r="D50" s="9" t="s">
        <v>37</v>
      </c>
      <c r="E50" s="9" t="s">
        <v>691</v>
      </c>
      <c r="F50" s="9" t="s">
        <v>692</v>
      </c>
      <c r="G50" s="9" t="s">
        <v>693</v>
      </c>
      <c r="H50" s="9" t="s">
        <v>694</v>
      </c>
      <c r="I50" s="9" t="s">
        <v>694</v>
      </c>
      <c r="J50" s="9" t="s">
        <v>694</v>
      </c>
      <c r="K50" s="9" t="s">
        <v>695</v>
      </c>
      <c r="L50" s="9">
        <v>2008500</v>
      </c>
      <c r="M50" s="9">
        <v>2678000</v>
      </c>
      <c r="N50" s="9" t="s">
        <v>696</v>
      </c>
      <c r="O50" s="10">
        <v>45600</v>
      </c>
      <c r="P50" s="9" t="s">
        <v>697</v>
      </c>
      <c r="Q50" s="9" t="s">
        <v>698</v>
      </c>
      <c r="R50" s="9" t="s">
        <v>47</v>
      </c>
      <c r="S50" s="9" t="s">
        <v>48</v>
      </c>
      <c r="T50" s="9" t="s">
        <v>699</v>
      </c>
      <c r="U50" s="9" t="s">
        <v>98</v>
      </c>
      <c r="V50" s="9" t="s">
        <v>700</v>
      </c>
      <c r="W50" s="9" t="s">
        <v>167</v>
      </c>
      <c r="X50" s="9" t="s">
        <v>197</v>
      </c>
      <c r="Y50" s="9" t="s">
        <v>701</v>
      </c>
      <c r="Z50" s="9">
        <v>5</v>
      </c>
      <c r="AA50" s="9" t="s">
        <v>227</v>
      </c>
      <c r="AB50" s="9" t="s">
        <v>702</v>
      </c>
      <c r="AC50" s="9" t="s">
        <v>431</v>
      </c>
      <c r="AD50" s="9" t="s">
        <v>171</v>
      </c>
      <c r="AE50" s="9">
        <v>2008500</v>
      </c>
      <c r="AF50" s="11">
        <v>50213</v>
      </c>
      <c r="AG50" s="9"/>
      <c r="AH50" s="9"/>
      <c r="AI50" s="9"/>
      <c r="AJ50" s="12" t="s">
        <v>11429</v>
      </c>
      <c r="AK50" s="13">
        <v>50213</v>
      </c>
      <c r="AL50" s="13"/>
      <c r="AM50" s="14">
        <f t="shared" si="0"/>
        <v>0</v>
      </c>
      <c r="AN50" s="12" t="s">
        <v>12004</v>
      </c>
    </row>
    <row r="51" spans="1:40" x14ac:dyDescent="0.25">
      <c r="A51" s="15">
        <v>50</v>
      </c>
      <c r="B51" s="12" t="s">
        <v>35</v>
      </c>
      <c r="C51" s="12" t="s">
        <v>703</v>
      </c>
      <c r="D51" s="12" t="s">
        <v>37</v>
      </c>
      <c r="E51" s="12" t="s">
        <v>704</v>
      </c>
      <c r="F51" s="12" t="s">
        <v>138</v>
      </c>
      <c r="G51" s="12" t="s">
        <v>705</v>
      </c>
      <c r="H51" s="12" t="s">
        <v>706</v>
      </c>
      <c r="I51" s="12" t="s">
        <v>707</v>
      </c>
      <c r="J51" s="12" t="s">
        <v>708</v>
      </c>
      <c r="K51" s="12" t="s">
        <v>709</v>
      </c>
      <c r="L51" s="12">
        <v>1697500</v>
      </c>
      <c r="M51" s="12">
        <v>2425000</v>
      </c>
      <c r="N51" s="12" t="s">
        <v>710</v>
      </c>
      <c r="O51" s="16">
        <v>45600</v>
      </c>
      <c r="P51" s="12" t="s">
        <v>711</v>
      </c>
      <c r="Q51" s="12" t="s">
        <v>712</v>
      </c>
      <c r="R51" s="12" t="s">
        <v>146</v>
      </c>
      <c r="S51" s="12" t="s">
        <v>713</v>
      </c>
      <c r="T51" s="12" t="s">
        <v>714</v>
      </c>
      <c r="U51" s="12" t="s">
        <v>715</v>
      </c>
      <c r="V51" s="12" t="s">
        <v>716</v>
      </c>
      <c r="W51" s="12" t="s">
        <v>52</v>
      </c>
      <c r="X51" s="12" t="s">
        <v>101</v>
      </c>
      <c r="Y51" s="12" t="s">
        <v>717</v>
      </c>
      <c r="Z51" s="12">
        <v>4</v>
      </c>
      <c r="AA51" s="12" t="s">
        <v>118</v>
      </c>
      <c r="AB51" s="12" t="s">
        <v>675</v>
      </c>
      <c r="AC51" s="12" t="s">
        <v>676</v>
      </c>
      <c r="AD51" s="12" t="s">
        <v>58</v>
      </c>
      <c r="AE51" s="12">
        <v>1940000</v>
      </c>
      <c r="AF51" s="13">
        <v>38800</v>
      </c>
      <c r="AG51" s="12"/>
      <c r="AH51" s="12"/>
      <c r="AI51" s="12"/>
      <c r="AJ51" s="12" t="s">
        <v>11430</v>
      </c>
      <c r="AK51" s="13">
        <v>38800</v>
      </c>
      <c r="AL51" s="13"/>
      <c r="AM51" s="14">
        <f t="shared" si="0"/>
        <v>0</v>
      </c>
      <c r="AN51" s="12" t="s">
        <v>12004</v>
      </c>
    </row>
    <row r="52" spans="1:40" x14ac:dyDescent="0.25">
      <c r="A52" s="8">
        <v>51</v>
      </c>
      <c r="B52" s="9" t="s">
        <v>35</v>
      </c>
      <c r="C52" s="9" t="s">
        <v>718</v>
      </c>
      <c r="D52" s="9" t="s">
        <v>37</v>
      </c>
      <c r="E52" s="9" t="s">
        <v>719</v>
      </c>
      <c r="F52" s="9" t="s">
        <v>107</v>
      </c>
      <c r="G52" s="9" t="s">
        <v>720</v>
      </c>
      <c r="H52" s="9" t="s">
        <v>48</v>
      </c>
      <c r="I52" s="9" t="s">
        <v>721</v>
      </c>
      <c r="J52" s="9" t="s">
        <v>48</v>
      </c>
      <c r="K52" s="9" t="s">
        <v>722</v>
      </c>
      <c r="L52" s="9">
        <v>2128500</v>
      </c>
      <c r="M52" s="9">
        <v>3870000</v>
      </c>
      <c r="N52" s="9" t="s">
        <v>723</v>
      </c>
      <c r="O52" s="10">
        <v>45600</v>
      </c>
      <c r="P52" s="9" t="s">
        <v>724</v>
      </c>
      <c r="Q52" s="9" t="s">
        <v>725</v>
      </c>
      <c r="R52" s="9" t="s">
        <v>47</v>
      </c>
      <c r="S52" s="9" t="s">
        <v>48</v>
      </c>
      <c r="T52" s="9" t="s">
        <v>726</v>
      </c>
      <c r="U52" s="9" t="s">
        <v>50</v>
      </c>
      <c r="V52" s="9" t="s">
        <v>727</v>
      </c>
      <c r="W52" s="9" t="s">
        <v>52</v>
      </c>
      <c r="X52" s="9" t="s">
        <v>53</v>
      </c>
      <c r="Y52" s="9" t="s">
        <v>728</v>
      </c>
      <c r="Z52" s="9">
        <v>5</v>
      </c>
      <c r="AA52" s="9" t="s">
        <v>55</v>
      </c>
      <c r="AB52" s="9" t="s">
        <v>729</v>
      </c>
      <c r="AC52" s="9" t="s">
        <v>185</v>
      </c>
      <c r="AD52" s="9" t="s">
        <v>58</v>
      </c>
      <c r="AE52" s="9">
        <v>3096000</v>
      </c>
      <c r="AF52" s="11">
        <v>61920</v>
      </c>
      <c r="AG52" s="9"/>
      <c r="AH52" s="9"/>
      <c r="AI52" s="9"/>
      <c r="AJ52" s="12" t="s">
        <v>11431</v>
      </c>
      <c r="AK52" s="13">
        <v>61920</v>
      </c>
      <c r="AL52" s="13"/>
      <c r="AM52" s="14">
        <f t="shared" si="0"/>
        <v>0</v>
      </c>
      <c r="AN52" s="12" t="s">
        <v>12004</v>
      </c>
    </row>
    <row r="53" spans="1:40" x14ac:dyDescent="0.25">
      <c r="A53" s="15">
        <v>52</v>
      </c>
      <c r="B53" s="12" t="s">
        <v>35</v>
      </c>
      <c r="C53" s="12" t="s">
        <v>730</v>
      </c>
      <c r="D53" s="12" t="s">
        <v>37</v>
      </c>
      <c r="E53" s="12" t="s">
        <v>731</v>
      </c>
      <c r="F53" s="12" t="s">
        <v>107</v>
      </c>
      <c r="G53" s="12" t="s">
        <v>732</v>
      </c>
      <c r="H53" s="12" t="s">
        <v>733</v>
      </c>
      <c r="I53" s="12" t="s">
        <v>734</v>
      </c>
      <c r="J53" s="12" t="s">
        <v>735</v>
      </c>
      <c r="K53" s="12" t="s">
        <v>736</v>
      </c>
      <c r="L53" s="12">
        <v>2984850</v>
      </c>
      <c r="M53" s="12">
        <v>5427000</v>
      </c>
      <c r="N53" s="12" t="s">
        <v>737</v>
      </c>
      <c r="O53" s="16">
        <v>45600</v>
      </c>
      <c r="P53" s="12" t="s">
        <v>738</v>
      </c>
      <c r="Q53" s="12" t="s">
        <v>739</v>
      </c>
      <c r="R53" s="12" t="s">
        <v>47</v>
      </c>
      <c r="S53" s="12" t="s">
        <v>48</v>
      </c>
      <c r="T53" s="12" t="s">
        <v>520</v>
      </c>
      <c r="U53" s="12" t="s">
        <v>98</v>
      </c>
      <c r="V53" s="12" t="s">
        <v>521</v>
      </c>
      <c r="W53" s="12" t="s">
        <v>100</v>
      </c>
      <c r="X53" s="12" t="s">
        <v>101</v>
      </c>
      <c r="Y53" s="12" t="s">
        <v>740</v>
      </c>
      <c r="Z53" s="12">
        <v>5</v>
      </c>
      <c r="AA53" s="12" t="s">
        <v>48</v>
      </c>
      <c r="AB53" s="12" t="s">
        <v>48</v>
      </c>
      <c r="AC53" s="12" t="s">
        <v>48</v>
      </c>
      <c r="AD53" s="12" t="s">
        <v>299</v>
      </c>
      <c r="AE53" s="12">
        <v>4070250</v>
      </c>
      <c r="AF53" s="13">
        <v>61054</v>
      </c>
      <c r="AG53" s="12"/>
      <c r="AH53" s="12"/>
      <c r="AI53" s="12"/>
      <c r="AJ53" s="12" t="s">
        <v>11432</v>
      </c>
      <c r="AK53" s="13">
        <v>61054</v>
      </c>
      <c r="AL53" s="13"/>
      <c r="AM53" s="14">
        <f t="shared" si="0"/>
        <v>0</v>
      </c>
      <c r="AN53" s="12" t="s">
        <v>12004</v>
      </c>
    </row>
    <row r="54" spans="1:40" x14ac:dyDescent="0.25">
      <c r="A54" s="8">
        <v>53</v>
      </c>
      <c r="B54" s="9" t="s">
        <v>35</v>
      </c>
      <c r="C54" s="9" t="s">
        <v>741</v>
      </c>
      <c r="D54" s="9" t="s">
        <v>37</v>
      </c>
      <c r="E54" s="9" t="s">
        <v>742</v>
      </c>
      <c r="F54" s="9" t="s">
        <v>89</v>
      </c>
      <c r="G54" s="9" t="s">
        <v>743</v>
      </c>
      <c r="H54" s="9" t="s">
        <v>744</v>
      </c>
      <c r="I54" s="9" t="s">
        <v>48</v>
      </c>
      <c r="J54" s="9" t="s">
        <v>744</v>
      </c>
      <c r="K54" s="9" t="s">
        <v>745</v>
      </c>
      <c r="L54" s="9">
        <v>3804500</v>
      </c>
      <c r="M54" s="9">
        <v>5435000</v>
      </c>
      <c r="N54" s="9" t="s">
        <v>746</v>
      </c>
      <c r="O54" s="10">
        <v>45600</v>
      </c>
      <c r="P54" s="9" t="s">
        <v>747</v>
      </c>
      <c r="Q54" s="9" t="s">
        <v>748</v>
      </c>
      <c r="R54" s="9" t="s">
        <v>47</v>
      </c>
      <c r="S54" s="9" t="s">
        <v>48</v>
      </c>
      <c r="T54" s="9" t="s">
        <v>520</v>
      </c>
      <c r="U54" s="9" t="s">
        <v>50</v>
      </c>
      <c r="V54" s="9" t="s">
        <v>749</v>
      </c>
      <c r="W54" s="9" t="s">
        <v>132</v>
      </c>
      <c r="X54" s="9" t="s">
        <v>133</v>
      </c>
      <c r="Y54" s="9" t="s">
        <v>750</v>
      </c>
      <c r="Z54" s="9">
        <v>5</v>
      </c>
      <c r="AA54" s="9" t="s">
        <v>48</v>
      </c>
      <c r="AB54" s="9" t="s">
        <v>48</v>
      </c>
      <c r="AC54" s="9" t="s">
        <v>48</v>
      </c>
      <c r="AD54" s="9" t="s">
        <v>58</v>
      </c>
      <c r="AE54" s="9">
        <v>4348000</v>
      </c>
      <c r="AF54" s="11">
        <v>86960</v>
      </c>
      <c r="AG54" s="9"/>
      <c r="AH54" s="9"/>
      <c r="AI54" s="9"/>
      <c r="AJ54" s="12" t="s">
        <v>11433</v>
      </c>
      <c r="AK54" s="13">
        <v>86960</v>
      </c>
      <c r="AL54" s="13"/>
      <c r="AM54" s="14">
        <f t="shared" si="0"/>
        <v>0</v>
      </c>
      <c r="AN54" s="12" t="s">
        <v>12004</v>
      </c>
    </row>
    <row r="55" spans="1:40" x14ac:dyDescent="0.25">
      <c r="A55" s="15">
        <v>54</v>
      </c>
      <c r="B55" s="12" t="s">
        <v>35</v>
      </c>
      <c r="C55" s="12" t="s">
        <v>751</v>
      </c>
      <c r="D55" s="12" t="s">
        <v>37</v>
      </c>
      <c r="E55" s="12" t="s">
        <v>752</v>
      </c>
      <c r="F55" s="12" t="s">
        <v>73</v>
      </c>
      <c r="G55" s="12" t="s">
        <v>753</v>
      </c>
      <c r="H55" s="12" t="s">
        <v>754</v>
      </c>
      <c r="I55" s="12" t="s">
        <v>754</v>
      </c>
      <c r="J55" s="12" t="s">
        <v>754</v>
      </c>
      <c r="K55" s="12" t="s">
        <v>755</v>
      </c>
      <c r="L55" s="12">
        <v>1001250</v>
      </c>
      <c r="M55" s="12">
        <v>1335000</v>
      </c>
      <c r="N55" s="12" t="s">
        <v>756</v>
      </c>
      <c r="O55" s="16">
        <v>45600</v>
      </c>
      <c r="P55" s="12" t="s">
        <v>757</v>
      </c>
      <c r="Q55" s="12" t="s">
        <v>758</v>
      </c>
      <c r="R55" s="12" t="s">
        <v>47</v>
      </c>
      <c r="S55" s="12" t="s">
        <v>48</v>
      </c>
      <c r="T55" s="12" t="s">
        <v>194</v>
      </c>
      <c r="U55" s="12" t="s">
        <v>50</v>
      </c>
      <c r="V55" s="12" t="s">
        <v>759</v>
      </c>
      <c r="W55" s="12" t="s">
        <v>52</v>
      </c>
      <c r="X55" s="12" t="s">
        <v>53</v>
      </c>
      <c r="Y55" s="12" t="s">
        <v>760</v>
      </c>
      <c r="Z55" s="12">
        <v>5</v>
      </c>
      <c r="AA55" s="12" t="s">
        <v>55</v>
      </c>
      <c r="AB55" s="12" t="s">
        <v>761</v>
      </c>
      <c r="AC55" s="12" t="s">
        <v>185</v>
      </c>
      <c r="AD55" s="12" t="s">
        <v>58</v>
      </c>
      <c r="AE55" s="12">
        <v>1068000</v>
      </c>
      <c r="AF55" s="13">
        <v>21360</v>
      </c>
      <c r="AG55" s="12"/>
      <c r="AH55" s="12"/>
      <c r="AI55" s="12"/>
      <c r="AJ55" s="12" t="s">
        <v>11434</v>
      </c>
      <c r="AK55" s="13">
        <v>21360</v>
      </c>
      <c r="AL55" s="13"/>
      <c r="AM55" s="14">
        <f t="shared" si="0"/>
        <v>0</v>
      </c>
      <c r="AN55" s="12" t="s">
        <v>12004</v>
      </c>
    </row>
    <row r="56" spans="1:40" x14ac:dyDescent="0.25">
      <c r="A56" s="8">
        <v>55</v>
      </c>
      <c r="B56" s="9" t="s">
        <v>35</v>
      </c>
      <c r="C56" s="9" t="s">
        <v>762</v>
      </c>
      <c r="D56" s="9" t="s">
        <v>37</v>
      </c>
      <c r="E56" s="9" t="s">
        <v>763</v>
      </c>
      <c r="F56" s="9" t="s">
        <v>764</v>
      </c>
      <c r="G56" s="9" t="s">
        <v>765</v>
      </c>
      <c r="H56" s="9" t="s">
        <v>48</v>
      </c>
      <c r="I56" s="9" t="s">
        <v>766</v>
      </c>
      <c r="J56" s="9" t="s">
        <v>48</v>
      </c>
      <c r="K56" s="9" t="s">
        <v>767</v>
      </c>
      <c r="L56" s="9">
        <v>927500</v>
      </c>
      <c r="M56" s="9">
        <v>1855000</v>
      </c>
      <c r="N56" s="9" t="s">
        <v>768</v>
      </c>
      <c r="O56" s="10">
        <v>45600</v>
      </c>
      <c r="P56" s="9" t="s">
        <v>769</v>
      </c>
      <c r="Q56" s="9" t="s">
        <v>770</v>
      </c>
      <c r="R56" s="9" t="s">
        <v>146</v>
      </c>
      <c r="S56" s="9" t="s">
        <v>48</v>
      </c>
      <c r="T56" s="9" t="s">
        <v>67</v>
      </c>
      <c r="U56" s="9" t="s">
        <v>98</v>
      </c>
      <c r="V56" s="9" t="s">
        <v>716</v>
      </c>
      <c r="W56" s="9" t="s">
        <v>52</v>
      </c>
      <c r="X56" s="9" t="s">
        <v>53</v>
      </c>
      <c r="Y56" s="9" t="s">
        <v>771</v>
      </c>
      <c r="Z56" s="9">
        <v>5</v>
      </c>
      <c r="AA56" s="9" t="s">
        <v>55</v>
      </c>
      <c r="AB56" s="9" t="s">
        <v>772</v>
      </c>
      <c r="AC56" s="9" t="s">
        <v>185</v>
      </c>
      <c r="AD56" s="9" t="s">
        <v>58</v>
      </c>
      <c r="AE56" s="9">
        <v>1484000</v>
      </c>
      <c r="AF56" s="11">
        <v>29680</v>
      </c>
      <c r="AG56" s="9"/>
      <c r="AH56" s="9"/>
      <c r="AI56" s="9"/>
      <c r="AJ56" s="12" t="s">
        <v>11435</v>
      </c>
      <c r="AK56" s="13">
        <v>29680</v>
      </c>
      <c r="AL56" s="13"/>
      <c r="AM56" s="14">
        <f t="shared" si="0"/>
        <v>0</v>
      </c>
      <c r="AN56" s="12" t="s">
        <v>12004</v>
      </c>
    </row>
    <row r="57" spans="1:40" x14ac:dyDescent="0.25">
      <c r="A57" s="15">
        <v>56</v>
      </c>
      <c r="B57" s="12" t="s">
        <v>35</v>
      </c>
      <c r="C57" s="12" t="s">
        <v>773</v>
      </c>
      <c r="D57" s="12" t="s">
        <v>37</v>
      </c>
      <c r="E57" s="12" t="s">
        <v>774</v>
      </c>
      <c r="F57" s="12" t="s">
        <v>245</v>
      </c>
      <c r="G57" s="12" t="s">
        <v>775</v>
      </c>
      <c r="H57" s="12" t="s">
        <v>776</v>
      </c>
      <c r="I57" s="12" t="s">
        <v>48</v>
      </c>
      <c r="J57" s="12" t="s">
        <v>777</v>
      </c>
      <c r="K57" s="12" t="s">
        <v>778</v>
      </c>
      <c r="L57" s="12">
        <v>971250</v>
      </c>
      <c r="M57" s="12">
        <v>1295000</v>
      </c>
      <c r="N57" s="12" t="s">
        <v>779</v>
      </c>
      <c r="O57" s="16">
        <v>45601</v>
      </c>
      <c r="P57" s="12" t="s">
        <v>780</v>
      </c>
      <c r="Q57" s="12" t="s">
        <v>781</v>
      </c>
      <c r="R57" s="12" t="s">
        <v>47</v>
      </c>
      <c r="S57" s="12" t="s">
        <v>782</v>
      </c>
      <c r="T57" s="12" t="s">
        <v>783</v>
      </c>
      <c r="U57" s="12" t="s">
        <v>614</v>
      </c>
      <c r="V57" s="12" t="s">
        <v>784</v>
      </c>
      <c r="W57" s="12" t="s">
        <v>785</v>
      </c>
      <c r="X57" s="12" t="s">
        <v>101</v>
      </c>
      <c r="Y57" s="12" t="s">
        <v>786</v>
      </c>
      <c r="Z57" s="12">
        <v>6</v>
      </c>
      <c r="AA57" s="12" t="s">
        <v>227</v>
      </c>
      <c r="AB57" s="12" t="s">
        <v>787</v>
      </c>
      <c r="AC57" s="12" t="s">
        <v>788</v>
      </c>
      <c r="AD57" s="12" t="s">
        <v>171</v>
      </c>
      <c r="AE57" s="12">
        <v>906500</v>
      </c>
      <c r="AF57" s="13">
        <v>22663</v>
      </c>
      <c r="AG57" s="12"/>
      <c r="AH57" s="12"/>
      <c r="AI57" s="12"/>
      <c r="AJ57" s="12" t="s">
        <v>11436</v>
      </c>
      <c r="AK57" s="13">
        <v>22663</v>
      </c>
      <c r="AL57" s="13"/>
      <c r="AM57" s="14">
        <f t="shared" si="0"/>
        <v>0</v>
      </c>
      <c r="AN57" s="12" t="s">
        <v>12004</v>
      </c>
    </row>
    <row r="58" spans="1:40" x14ac:dyDescent="0.25">
      <c r="A58" s="8">
        <v>57</v>
      </c>
      <c r="B58" s="9" t="s">
        <v>35</v>
      </c>
      <c r="C58" s="9" t="s">
        <v>789</v>
      </c>
      <c r="D58" s="9" t="s">
        <v>37</v>
      </c>
      <c r="E58" s="9" t="s">
        <v>790</v>
      </c>
      <c r="F58" s="9" t="s">
        <v>245</v>
      </c>
      <c r="G58" s="9" t="s">
        <v>791</v>
      </c>
      <c r="H58" s="9" t="s">
        <v>48</v>
      </c>
      <c r="I58" s="9" t="s">
        <v>792</v>
      </c>
      <c r="J58" s="9" t="s">
        <v>48</v>
      </c>
      <c r="K58" s="9" t="s">
        <v>793</v>
      </c>
      <c r="L58" s="9">
        <v>958400</v>
      </c>
      <c r="M58" s="9">
        <v>1198000</v>
      </c>
      <c r="N58" s="9" t="s">
        <v>794</v>
      </c>
      <c r="O58" s="10">
        <v>45601</v>
      </c>
      <c r="P58" s="9" t="s">
        <v>795</v>
      </c>
      <c r="Q58" s="9" t="s">
        <v>796</v>
      </c>
      <c r="R58" s="9" t="s">
        <v>47</v>
      </c>
      <c r="S58" s="9" t="s">
        <v>48</v>
      </c>
      <c r="T58" s="9" t="s">
        <v>797</v>
      </c>
      <c r="U58" s="9" t="s">
        <v>98</v>
      </c>
      <c r="V58" s="9" t="s">
        <v>481</v>
      </c>
      <c r="W58" s="9" t="s">
        <v>167</v>
      </c>
      <c r="X58" s="9" t="s">
        <v>197</v>
      </c>
      <c r="Y58" s="9" t="s">
        <v>798</v>
      </c>
      <c r="Z58" s="9">
        <v>5</v>
      </c>
      <c r="AA58" s="9" t="s">
        <v>55</v>
      </c>
      <c r="AB58" s="9" t="s">
        <v>799</v>
      </c>
      <c r="AC58" s="9" t="s">
        <v>428</v>
      </c>
      <c r="AD58" s="9" t="s">
        <v>58</v>
      </c>
      <c r="AE58" s="9">
        <v>898500</v>
      </c>
      <c r="AF58" s="11">
        <v>17970</v>
      </c>
      <c r="AG58" s="9"/>
      <c r="AH58" s="9"/>
      <c r="AI58" s="9"/>
      <c r="AJ58" s="12" t="s">
        <v>11437</v>
      </c>
      <c r="AK58" s="13">
        <v>17970</v>
      </c>
      <c r="AL58" s="13"/>
      <c r="AM58" s="14">
        <f t="shared" si="0"/>
        <v>0</v>
      </c>
      <c r="AN58" s="12" t="s">
        <v>12004</v>
      </c>
    </row>
    <row r="59" spans="1:40" x14ac:dyDescent="0.25">
      <c r="A59" s="15">
        <v>58</v>
      </c>
      <c r="B59" s="12" t="s">
        <v>35</v>
      </c>
      <c r="C59" s="12" t="s">
        <v>800</v>
      </c>
      <c r="D59" s="12" t="s">
        <v>37</v>
      </c>
      <c r="E59" s="12" t="s">
        <v>801</v>
      </c>
      <c r="F59" s="12" t="s">
        <v>39</v>
      </c>
      <c r="G59" s="12" t="s">
        <v>802</v>
      </c>
      <c r="H59" s="12" t="s">
        <v>48</v>
      </c>
      <c r="I59" s="12" t="s">
        <v>803</v>
      </c>
      <c r="J59" s="12" t="s">
        <v>804</v>
      </c>
      <c r="K59" s="12" t="s">
        <v>805</v>
      </c>
      <c r="L59" s="12">
        <v>898500</v>
      </c>
      <c r="M59" s="12">
        <v>1198000</v>
      </c>
      <c r="N59" s="12" t="s">
        <v>806</v>
      </c>
      <c r="O59" s="16">
        <v>45601</v>
      </c>
      <c r="P59" s="12" t="s">
        <v>807</v>
      </c>
      <c r="Q59" s="12" t="s">
        <v>808</v>
      </c>
      <c r="R59" s="12" t="s">
        <v>47</v>
      </c>
      <c r="S59" s="12" t="s">
        <v>48</v>
      </c>
      <c r="T59" s="12" t="s">
        <v>809</v>
      </c>
      <c r="U59" s="12" t="s">
        <v>98</v>
      </c>
      <c r="V59" s="12" t="s">
        <v>810</v>
      </c>
      <c r="W59" s="12" t="s">
        <v>100</v>
      </c>
      <c r="X59" s="12" t="s">
        <v>255</v>
      </c>
      <c r="Y59" s="12" t="s">
        <v>811</v>
      </c>
      <c r="Z59" s="12">
        <v>7</v>
      </c>
      <c r="AA59" s="12" t="s">
        <v>55</v>
      </c>
      <c r="AB59" s="12" t="s">
        <v>812</v>
      </c>
      <c r="AC59" s="12" t="s">
        <v>225</v>
      </c>
      <c r="AD59" s="12" t="s">
        <v>58</v>
      </c>
      <c r="AE59" s="12">
        <v>898500</v>
      </c>
      <c r="AF59" s="13">
        <v>17970</v>
      </c>
      <c r="AG59" s="12"/>
      <c r="AH59" s="12"/>
      <c r="AI59" s="12"/>
      <c r="AJ59" s="12" t="s">
        <v>11438</v>
      </c>
      <c r="AK59" s="13">
        <v>17970</v>
      </c>
      <c r="AL59" s="13"/>
      <c r="AM59" s="14">
        <f t="shared" si="0"/>
        <v>0</v>
      </c>
      <c r="AN59" s="12" t="s">
        <v>12004</v>
      </c>
    </row>
    <row r="60" spans="1:40" x14ac:dyDescent="0.25">
      <c r="A60" s="8">
        <v>59</v>
      </c>
      <c r="B60" s="9" t="s">
        <v>35</v>
      </c>
      <c r="C60" s="9" t="s">
        <v>813</v>
      </c>
      <c r="D60" s="9" t="s">
        <v>37</v>
      </c>
      <c r="E60" s="9" t="s">
        <v>814</v>
      </c>
      <c r="F60" s="9" t="s">
        <v>107</v>
      </c>
      <c r="G60" s="9" t="s">
        <v>815</v>
      </c>
      <c r="H60" s="9" t="s">
        <v>816</v>
      </c>
      <c r="I60" s="9" t="s">
        <v>816</v>
      </c>
      <c r="J60" s="9" t="s">
        <v>817</v>
      </c>
      <c r="K60" s="9" t="s">
        <v>818</v>
      </c>
      <c r="L60" s="9">
        <v>1068750</v>
      </c>
      <c r="M60" s="9">
        <v>1425000</v>
      </c>
      <c r="N60" s="9" t="s">
        <v>819</v>
      </c>
      <c r="O60" s="10">
        <v>45601</v>
      </c>
      <c r="P60" s="9" t="s">
        <v>820</v>
      </c>
      <c r="Q60" s="9" t="s">
        <v>821</v>
      </c>
      <c r="R60" s="9" t="s">
        <v>146</v>
      </c>
      <c r="S60" s="9" t="s">
        <v>822</v>
      </c>
      <c r="T60" s="9" t="s">
        <v>224</v>
      </c>
      <c r="U60" s="9" t="s">
        <v>335</v>
      </c>
      <c r="V60" s="9" t="s">
        <v>428</v>
      </c>
      <c r="W60" s="9" t="s">
        <v>100</v>
      </c>
      <c r="X60" s="9" t="s">
        <v>53</v>
      </c>
      <c r="Y60" s="9" t="s">
        <v>823</v>
      </c>
      <c r="Z60" s="9">
        <v>6</v>
      </c>
      <c r="AA60" s="9" t="s">
        <v>227</v>
      </c>
      <c r="AB60" s="9" t="s">
        <v>824</v>
      </c>
      <c r="AC60" s="9" t="s">
        <v>825</v>
      </c>
      <c r="AD60" s="9" t="s">
        <v>58</v>
      </c>
      <c r="AE60" s="9">
        <v>1068750</v>
      </c>
      <c r="AF60" s="11">
        <v>21375</v>
      </c>
      <c r="AG60" s="9"/>
      <c r="AH60" s="9"/>
      <c r="AI60" s="9"/>
      <c r="AJ60" s="12" t="s">
        <v>11439</v>
      </c>
      <c r="AK60" s="13">
        <v>22800</v>
      </c>
      <c r="AL60" s="13" t="s">
        <v>12220</v>
      </c>
      <c r="AM60" s="14">
        <f t="shared" si="0"/>
        <v>-1425</v>
      </c>
      <c r="AN60" s="12" t="s">
        <v>12004</v>
      </c>
    </row>
    <row r="61" spans="1:40" x14ac:dyDescent="0.25">
      <c r="A61" s="15">
        <v>60</v>
      </c>
      <c r="B61" s="12" t="s">
        <v>35</v>
      </c>
      <c r="C61" s="12" t="s">
        <v>826</v>
      </c>
      <c r="D61" s="12" t="s">
        <v>37</v>
      </c>
      <c r="E61" s="12" t="s">
        <v>827</v>
      </c>
      <c r="F61" s="12" t="s">
        <v>138</v>
      </c>
      <c r="G61" s="12" t="s">
        <v>828</v>
      </c>
      <c r="H61" s="12" t="s">
        <v>829</v>
      </c>
      <c r="I61" s="12" t="s">
        <v>830</v>
      </c>
      <c r="J61" s="12" t="s">
        <v>829</v>
      </c>
      <c r="K61" s="12" t="s">
        <v>831</v>
      </c>
      <c r="L61" s="12">
        <v>1306400</v>
      </c>
      <c r="M61" s="12">
        <v>1633000</v>
      </c>
      <c r="N61" s="12" t="s">
        <v>832</v>
      </c>
      <c r="O61" s="16">
        <v>45601</v>
      </c>
      <c r="P61" s="12" t="s">
        <v>833</v>
      </c>
      <c r="Q61" s="12" t="s">
        <v>834</v>
      </c>
      <c r="R61" s="12" t="s">
        <v>47</v>
      </c>
      <c r="S61" s="12" t="s">
        <v>48</v>
      </c>
      <c r="T61" s="12" t="s">
        <v>835</v>
      </c>
      <c r="U61" s="12" t="s">
        <v>98</v>
      </c>
      <c r="V61" s="12" t="s">
        <v>270</v>
      </c>
      <c r="W61" s="12" t="s">
        <v>456</v>
      </c>
      <c r="X61" s="12" t="s">
        <v>457</v>
      </c>
      <c r="Y61" s="12" t="s">
        <v>836</v>
      </c>
      <c r="Z61" s="12">
        <v>5</v>
      </c>
      <c r="AA61" s="12" t="s">
        <v>55</v>
      </c>
      <c r="AB61" s="12" t="s">
        <v>837</v>
      </c>
      <c r="AC61" s="12" t="s">
        <v>225</v>
      </c>
      <c r="AD61" s="12" t="s">
        <v>58</v>
      </c>
      <c r="AE61" s="12">
        <v>1224750</v>
      </c>
      <c r="AF61" s="13">
        <v>24495</v>
      </c>
      <c r="AG61" s="12"/>
      <c r="AH61" s="12"/>
      <c r="AI61" s="12"/>
      <c r="AJ61" s="12" t="s">
        <v>11440</v>
      </c>
      <c r="AK61" s="13">
        <v>24495</v>
      </c>
      <c r="AL61" s="13"/>
      <c r="AM61" s="14">
        <f t="shared" si="0"/>
        <v>0</v>
      </c>
      <c r="AN61" s="12" t="s">
        <v>12004</v>
      </c>
    </row>
    <row r="62" spans="1:40" x14ac:dyDescent="0.25">
      <c r="A62" s="8">
        <v>61</v>
      </c>
      <c r="B62" s="9" t="s">
        <v>35</v>
      </c>
      <c r="C62" s="9" t="s">
        <v>838</v>
      </c>
      <c r="D62" s="9" t="s">
        <v>37</v>
      </c>
      <c r="E62" s="9" t="s">
        <v>839</v>
      </c>
      <c r="F62" s="9" t="s">
        <v>107</v>
      </c>
      <c r="G62" s="9" t="s">
        <v>840</v>
      </c>
      <c r="H62" s="9" t="s">
        <v>841</v>
      </c>
      <c r="I62" s="9" t="s">
        <v>841</v>
      </c>
      <c r="J62" s="9" t="s">
        <v>841</v>
      </c>
      <c r="K62" s="9" t="s">
        <v>842</v>
      </c>
      <c r="L62" s="9">
        <v>2215000</v>
      </c>
      <c r="M62" s="9">
        <v>4430000</v>
      </c>
      <c r="N62" s="9" t="s">
        <v>843</v>
      </c>
      <c r="O62" s="10">
        <v>45601</v>
      </c>
      <c r="P62" s="9" t="s">
        <v>844</v>
      </c>
      <c r="Q62" s="9" t="s">
        <v>845</v>
      </c>
      <c r="R62" s="9" t="s">
        <v>47</v>
      </c>
      <c r="S62" s="9" t="s">
        <v>48</v>
      </c>
      <c r="T62" s="9" t="s">
        <v>846</v>
      </c>
      <c r="U62" s="9" t="s">
        <v>98</v>
      </c>
      <c r="V62" s="9" t="s">
        <v>847</v>
      </c>
      <c r="W62" s="9" t="s">
        <v>100</v>
      </c>
      <c r="X62" s="9" t="s">
        <v>101</v>
      </c>
      <c r="Y62" s="9" t="s">
        <v>848</v>
      </c>
      <c r="Z62" s="9">
        <v>5</v>
      </c>
      <c r="AA62" s="9" t="s">
        <v>48</v>
      </c>
      <c r="AB62" s="9" t="s">
        <v>48</v>
      </c>
      <c r="AC62" s="9" t="s">
        <v>48</v>
      </c>
      <c r="AD62" s="9" t="s">
        <v>299</v>
      </c>
      <c r="AE62" s="9">
        <v>3322500</v>
      </c>
      <c r="AF62" s="11">
        <v>49838</v>
      </c>
      <c r="AG62" s="9"/>
      <c r="AH62" s="9"/>
      <c r="AI62" s="9"/>
      <c r="AJ62" s="12" t="s">
        <v>11441</v>
      </c>
      <c r="AK62" s="13">
        <v>49838</v>
      </c>
      <c r="AL62" s="13"/>
      <c r="AM62" s="14">
        <f t="shared" si="0"/>
        <v>0</v>
      </c>
      <c r="AN62" s="12" t="s">
        <v>12004</v>
      </c>
    </row>
    <row r="63" spans="1:40" x14ac:dyDescent="0.25">
      <c r="A63" s="15">
        <v>62</v>
      </c>
      <c r="B63" s="12" t="s">
        <v>35</v>
      </c>
      <c r="C63" s="12" t="s">
        <v>849</v>
      </c>
      <c r="D63" s="12" t="s">
        <v>37</v>
      </c>
      <c r="E63" s="12" t="s">
        <v>850</v>
      </c>
      <c r="F63" s="12" t="s">
        <v>851</v>
      </c>
      <c r="G63" s="12" t="s">
        <v>852</v>
      </c>
      <c r="H63" s="12" t="s">
        <v>48</v>
      </c>
      <c r="I63" s="12" t="s">
        <v>853</v>
      </c>
      <c r="J63" s="12" t="s">
        <v>48</v>
      </c>
      <c r="K63" s="12" t="s">
        <v>854</v>
      </c>
      <c r="L63" s="12">
        <v>918000</v>
      </c>
      <c r="M63" s="12">
        <v>1530000</v>
      </c>
      <c r="N63" s="12" t="s">
        <v>855</v>
      </c>
      <c r="O63" s="16">
        <v>45602</v>
      </c>
      <c r="P63" s="12" t="s">
        <v>856</v>
      </c>
      <c r="Q63" s="12" t="s">
        <v>857</v>
      </c>
      <c r="R63" s="12" t="s">
        <v>858</v>
      </c>
      <c r="S63" s="12" t="s">
        <v>48</v>
      </c>
      <c r="T63" s="12" t="s">
        <v>859</v>
      </c>
      <c r="U63" s="12" t="s">
        <v>50</v>
      </c>
      <c r="V63" s="12" t="s">
        <v>860</v>
      </c>
      <c r="W63" s="12" t="s">
        <v>132</v>
      </c>
      <c r="X63" s="12" t="s">
        <v>533</v>
      </c>
      <c r="Y63" s="12" t="s">
        <v>861</v>
      </c>
      <c r="Z63" s="12">
        <v>4</v>
      </c>
      <c r="AA63" s="12" t="s">
        <v>152</v>
      </c>
      <c r="AB63" s="12" t="s">
        <v>862</v>
      </c>
      <c r="AC63" s="12" t="s">
        <v>863</v>
      </c>
      <c r="AD63" s="12" t="s">
        <v>86</v>
      </c>
      <c r="AE63" s="12">
        <v>1224000</v>
      </c>
      <c r="AF63" s="13">
        <v>21420</v>
      </c>
      <c r="AG63" s="12"/>
      <c r="AH63" s="12"/>
      <c r="AI63" s="12"/>
      <c r="AJ63" s="12" t="s">
        <v>11442</v>
      </c>
      <c r="AK63" s="13">
        <v>21420</v>
      </c>
      <c r="AL63" s="13"/>
      <c r="AM63" s="14">
        <f t="shared" si="0"/>
        <v>0</v>
      </c>
      <c r="AN63" s="12" t="s">
        <v>12004</v>
      </c>
    </row>
    <row r="64" spans="1:40" x14ac:dyDescent="0.25">
      <c r="A64" s="8">
        <v>63</v>
      </c>
      <c r="B64" s="9" t="s">
        <v>35</v>
      </c>
      <c r="C64" s="9" t="s">
        <v>864</v>
      </c>
      <c r="D64" s="9" t="s">
        <v>37</v>
      </c>
      <c r="E64" s="9" t="s">
        <v>865</v>
      </c>
      <c r="F64" s="9" t="s">
        <v>107</v>
      </c>
      <c r="G64" s="9" t="s">
        <v>866</v>
      </c>
      <c r="H64" s="9" t="s">
        <v>867</v>
      </c>
      <c r="I64" s="9" t="s">
        <v>867</v>
      </c>
      <c r="J64" s="9" t="s">
        <v>867</v>
      </c>
      <c r="K64" s="9" t="s">
        <v>868</v>
      </c>
      <c r="L64" s="9">
        <v>1473050</v>
      </c>
      <c r="M64" s="9">
        <v>1733000</v>
      </c>
      <c r="N64" s="9" t="s">
        <v>869</v>
      </c>
      <c r="O64" s="10">
        <v>45602</v>
      </c>
      <c r="P64" s="9" t="s">
        <v>870</v>
      </c>
      <c r="Q64" s="9" t="s">
        <v>871</v>
      </c>
      <c r="R64" s="9" t="s">
        <v>47</v>
      </c>
      <c r="S64" s="9" t="s">
        <v>872</v>
      </c>
      <c r="T64" s="9" t="s">
        <v>873</v>
      </c>
      <c r="U64" s="9" t="s">
        <v>496</v>
      </c>
      <c r="V64" s="9" t="s">
        <v>874</v>
      </c>
      <c r="W64" s="9" t="s">
        <v>875</v>
      </c>
      <c r="X64" s="9" t="s">
        <v>197</v>
      </c>
      <c r="Y64" s="9" t="s">
        <v>876</v>
      </c>
      <c r="Z64" s="9">
        <v>7</v>
      </c>
      <c r="AA64" s="9" t="s">
        <v>877</v>
      </c>
      <c r="AB64" s="9" t="s">
        <v>878</v>
      </c>
      <c r="AC64" s="9" t="s">
        <v>879</v>
      </c>
      <c r="AD64" s="9" t="s">
        <v>880</v>
      </c>
      <c r="AE64" s="9">
        <v>1126450</v>
      </c>
      <c r="AF64" s="11">
        <v>34920</v>
      </c>
      <c r="AG64" s="9"/>
      <c r="AH64" s="9"/>
      <c r="AI64" s="9"/>
      <c r="AJ64" s="12" t="s">
        <v>11443</v>
      </c>
      <c r="AK64" s="13">
        <v>34920</v>
      </c>
      <c r="AL64" s="13"/>
      <c r="AM64" s="14">
        <f t="shared" si="0"/>
        <v>0</v>
      </c>
      <c r="AN64" s="12" t="s">
        <v>12004</v>
      </c>
    </row>
    <row r="65" spans="1:40" x14ac:dyDescent="0.25">
      <c r="A65" s="15">
        <v>64</v>
      </c>
      <c r="B65" s="12" t="s">
        <v>35</v>
      </c>
      <c r="C65" s="12" t="s">
        <v>881</v>
      </c>
      <c r="D65" s="12" t="s">
        <v>37</v>
      </c>
      <c r="E65" s="12" t="s">
        <v>882</v>
      </c>
      <c r="F65" s="12" t="s">
        <v>245</v>
      </c>
      <c r="G65" s="12" t="s">
        <v>883</v>
      </c>
      <c r="H65" s="12" t="s">
        <v>884</v>
      </c>
      <c r="I65" s="12" t="s">
        <v>48</v>
      </c>
      <c r="J65" s="12" t="s">
        <v>141</v>
      </c>
      <c r="K65" s="12" t="s">
        <v>885</v>
      </c>
      <c r="L65" s="12">
        <v>2029300</v>
      </c>
      <c r="M65" s="12">
        <v>2899000</v>
      </c>
      <c r="N65" s="12" t="s">
        <v>886</v>
      </c>
      <c r="O65" s="16">
        <v>45602</v>
      </c>
      <c r="P65" s="12" t="s">
        <v>887</v>
      </c>
      <c r="Q65" s="12" t="s">
        <v>888</v>
      </c>
      <c r="R65" s="12" t="s">
        <v>47</v>
      </c>
      <c r="S65" s="12" t="s">
        <v>48</v>
      </c>
      <c r="T65" s="12" t="s">
        <v>889</v>
      </c>
      <c r="U65" s="12" t="s">
        <v>148</v>
      </c>
      <c r="V65" s="12" t="s">
        <v>890</v>
      </c>
      <c r="W65" s="12" t="s">
        <v>150</v>
      </c>
      <c r="X65" s="12" t="s">
        <v>255</v>
      </c>
      <c r="Y65" s="12" t="s">
        <v>891</v>
      </c>
      <c r="Z65" s="12">
        <v>5</v>
      </c>
      <c r="AA65" s="12" t="s">
        <v>55</v>
      </c>
      <c r="AB65" s="12" t="s">
        <v>892</v>
      </c>
      <c r="AC65" s="12" t="s">
        <v>336</v>
      </c>
      <c r="AD65" s="12" t="s">
        <v>58</v>
      </c>
      <c r="AE65" s="12">
        <v>2464150</v>
      </c>
      <c r="AF65" s="13">
        <v>49283</v>
      </c>
      <c r="AG65" s="12"/>
      <c r="AH65" s="12"/>
      <c r="AI65" s="12"/>
      <c r="AJ65" s="12" t="s">
        <v>11444</v>
      </c>
      <c r="AK65" s="13">
        <v>49283</v>
      </c>
      <c r="AL65" s="13"/>
      <c r="AM65" s="14">
        <f t="shared" si="0"/>
        <v>0</v>
      </c>
      <c r="AN65" s="12" t="s">
        <v>12004</v>
      </c>
    </row>
    <row r="66" spans="1:40" x14ac:dyDescent="0.25">
      <c r="A66" s="8">
        <v>65</v>
      </c>
      <c r="B66" s="9" t="s">
        <v>35</v>
      </c>
      <c r="C66" s="9" t="s">
        <v>893</v>
      </c>
      <c r="D66" s="9" t="s">
        <v>37</v>
      </c>
      <c r="E66" s="9" t="s">
        <v>894</v>
      </c>
      <c r="F66" s="9" t="s">
        <v>138</v>
      </c>
      <c r="G66" s="9" t="s">
        <v>895</v>
      </c>
      <c r="H66" s="9" t="s">
        <v>896</v>
      </c>
      <c r="I66" s="9" t="s">
        <v>896</v>
      </c>
      <c r="J66" s="9" t="s">
        <v>141</v>
      </c>
      <c r="K66" s="9" t="s">
        <v>897</v>
      </c>
      <c r="L66" s="9">
        <v>1265000</v>
      </c>
      <c r="M66" s="9">
        <v>2530000</v>
      </c>
      <c r="N66" s="9" t="s">
        <v>898</v>
      </c>
      <c r="O66" s="10">
        <v>45602</v>
      </c>
      <c r="P66" s="9" t="s">
        <v>899</v>
      </c>
      <c r="Q66" s="9" t="s">
        <v>900</v>
      </c>
      <c r="R66" s="9" t="s">
        <v>146</v>
      </c>
      <c r="S66" s="9" t="s">
        <v>901</v>
      </c>
      <c r="T66" s="9" t="s">
        <v>902</v>
      </c>
      <c r="U66" s="9" t="s">
        <v>903</v>
      </c>
      <c r="V66" s="9" t="s">
        <v>904</v>
      </c>
      <c r="W66" s="9" t="s">
        <v>150</v>
      </c>
      <c r="X66" s="9" t="s">
        <v>101</v>
      </c>
      <c r="Y66" s="9" t="s">
        <v>905</v>
      </c>
      <c r="Z66" s="9">
        <v>3</v>
      </c>
      <c r="AA66" s="9" t="s">
        <v>227</v>
      </c>
      <c r="AB66" s="9" t="s">
        <v>906</v>
      </c>
      <c r="AC66" s="9" t="s">
        <v>336</v>
      </c>
      <c r="AD66" s="9" t="s">
        <v>86</v>
      </c>
      <c r="AE66" s="9">
        <v>2150500</v>
      </c>
      <c r="AF66" s="11">
        <v>37634</v>
      </c>
      <c r="AG66" s="9"/>
      <c r="AH66" s="9"/>
      <c r="AI66" s="9"/>
      <c r="AJ66" s="12" t="s">
        <v>11445</v>
      </c>
      <c r="AK66" s="13">
        <v>37634</v>
      </c>
      <c r="AL66" s="13"/>
      <c r="AM66" s="14">
        <f t="shared" si="0"/>
        <v>0</v>
      </c>
      <c r="AN66" s="12" t="s">
        <v>12004</v>
      </c>
    </row>
    <row r="67" spans="1:40" x14ac:dyDescent="0.25">
      <c r="A67" s="15">
        <v>66</v>
      </c>
      <c r="B67" s="12" t="s">
        <v>35</v>
      </c>
      <c r="C67" s="12" t="s">
        <v>907</v>
      </c>
      <c r="D67" s="12" t="s">
        <v>37</v>
      </c>
      <c r="E67" s="12" t="s">
        <v>908</v>
      </c>
      <c r="F67" s="12" t="s">
        <v>138</v>
      </c>
      <c r="G67" s="12" t="s">
        <v>909</v>
      </c>
      <c r="H67" s="12" t="s">
        <v>910</v>
      </c>
      <c r="I67" s="12" t="s">
        <v>910</v>
      </c>
      <c r="J67" s="12" t="s">
        <v>141</v>
      </c>
      <c r="K67" s="12" t="s">
        <v>911</v>
      </c>
      <c r="L67" s="12">
        <v>1625000</v>
      </c>
      <c r="M67" s="12">
        <v>2500000</v>
      </c>
      <c r="N67" s="12" t="s">
        <v>912</v>
      </c>
      <c r="O67" s="16">
        <v>45602</v>
      </c>
      <c r="P67" s="12" t="s">
        <v>913</v>
      </c>
      <c r="Q67" s="12" t="s">
        <v>914</v>
      </c>
      <c r="R67" s="12" t="s">
        <v>146</v>
      </c>
      <c r="S67" s="12" t="s">
        <v>915</v>
      </c>
      <c r="T67" s="12" t="s">
        <v>902</v>
      </c>
      <c r="U67" s="12" t="s">
        <v>335</v>
      </c>
      <c r="V67" s="12" t="s">
        <v>904</v>
      </c>
      <c r="W67" s="12" t="s">
        <v>150</v>
      </c>
      <c r="X67" s="12" t="s">
        <v>101</v>
      </c>
      <c r="Y67" s="12" t="s">
        <v>916</v>
      </c>
      <c r="Z67" s="12">
        <v>3</v>
      </c>
      <c r="AA67" s="12" t="s">
        <v>227</v>
      </c>
      <c r="AB67" s="12" t="s">
        <v>917</v>
      </c>
      <c r="AC67" s="12" t="s">
        <v>904</v>
      </c>
      <c r="AD67" s="12" t="s">
        <v>86</v>
      </c>
      <c r="AE67" s="12">
        <v>2125000</v>
      </c>
      <c r="AF67" s="13">
        <v>37188</v>
      </c>
      <c r="AG67" s="12"/>
      <c r="AH67" s="12"/>
      <c r="AI67" s="12"/>
      <c r="AJ67" s="12" t="s">
        <v>11446</v>
      </c>
      <c r="AK67" s="13">
        <v>37188</v>
      </c>
      <c r="AL67" s="13"/>
      <c r="AM67" s="14">
        <f t="shared" ref="AM67:AM130" si="1">AF67-AK67</f>
        <v>0</v>
      </c>
      <c r="AN67" s="12" t="s">
        <v>12004</v>
      </c>
    </row>
    <row r="68" spans="1:40" x14ac:dyDescent="0.25">
      <c r="A68" s="8">
        <v>67</v>
      </c>
      <c r="B68" s="9" t="s">
        <v>35</v>
      </c>
      <c r="C68" s="9" t="s">
        <v>918</v>
      </c>
      <c r="D68" s="9" t="s">
        <v>37</v>
      </c>
      <c r="E68" s="9" t="s">
        <v>919</v>
      </c>
      <c r="F68" s="9" t="s">
        <v>245</v>
      </c>
      <c r="G68" s="9" t="s">
        <v>920</v>
      </c>
      <c r="H68" s="9" t="s">
        <v>921</v>
      </c>
      <c r="I68" s="9" t="s">
        <v>48</v>
      </c>
      <c r="J68" s="9" t="s">
        <v>922</v>
      </c>
      <c r="K68" s="9" t="s">
        <v>923</v>
      </c>
      <c r="L68" s="9">
        <v>2218300</v>
      </c>
      <c r="M68" s="9">
        <v>3169000</v>
      </c>
      <c r="N68" s="9" t="s">
        <v>924</v>
      </c>
      <c r="O68" s="10">
        <v>45602</v>
      </c>
      <c r="P68" s="9" t="s">
        <v>925</v>
      </c>
      <c r="Q68" s="9" t="s">
        <v>926</v>
      </c>
      <c r="R68" s="9" t="s">
        <v>47</v>
      </c>
      <c r="S68" s="9" t="s">
        <v>48</v>
      </c>
      <c r="T68" s="9" t="s">
        <v>889</v>
      </c>
      <c r="U68" s="9" t="s">
        <v>148</v>
      </c>
      <c r="V68" s="9" t="s">
        <v>927</v>
      </c>
      <c r="W68" s="9" t="s">
        <v>150</v>
      </c>
      <c r="X68" s="9" t="s">
        <v>255</v>
      </c>
      <c r="Y68" s="9" t="s">
        <v>928</v>
      </c>
      <c r="Z68" s="9">
        <v>5</v>
      </c>
      <c r="AA68" s="9" t="s">
        <v>118</v>
      </c>
      <c r="AB68" s="9" t="s">
        <v>929</v>
      </c>
      <c r="AC68" s="9" t="s">
        <v>336</v>
      </c>
      <c r="AD68" s="9" t="s">
        <v>58</v>
      </c>
      <c r="AE68" s="9">
        <v>2693650</v>
      </c>
      <c r="AF68" s="11">
        <v>53873</v>
      </c>
      <c r="AG68" s="9"/>
      <c r="AH68" s="9"/>
      <c r="AI68" s="9"/>
      <c r="AJ68" s="12" t="s">
        <v>11447</v>
      </c>
      <c r="AK68" s="13">
        <v>53873</v>
      </c>
      <c r="AL68" s="13"/>
      <c r="AM68" s="14">
        <f t="shared" si="1"/>
        <v>0</v>
      </c>
      <c r="AN68" s="12" t="s">
        <v>12004</v>
      </c>
    </row>
    <row r="69" spans="1:40" x14ac:dyDescent="0.25">
      <c r="A69" s="15">
        <v>68</v>
      </c>
      <c r="B69" s="12" t="s">
        <v>35</v>
      </c>
      <c r="C69" s="12" t="s">
        <v>930</v>
      </c>
      <c r="D69" s="12" t="s">
        <v>37</v>
      </c>
      <c r="E69" s="12" t="s">
        <v>931</v>
      </c>
      <c r="F69" s="12" t="s">
        <v>932</v>
      </c>
      <c r="G69" s="12" t="s">
        <v>933</v>
      </c>
      <c r="H69" s="12" t="s">
        <v>48</v>
      </c>
      <c r="I69" s="12" t="s">
        <v>934</v>
      </c>
      <c r="J69" s="12" t="s">
        <v>48</v>
      </c>
      <c r="K69" s="12" t="s">
        <v>935</v>
      </c>
      <c r="L69" s="12">
        <v>1694700</v>
      </c>
      <c r="M69" s="12">
        <v>2421000</v>
      </c>
      <c r="N69" s="12" t="s">
        <v>936</v>
      </c>
      <c r="O69" s="16">
        <v>45602</v>
      </c>
      <c r="P69" s="12" t="s">
        <v>937</v>
      </c>
      <c r="Q69" s="12" t="s">
        <v>938</v>
      </c>
      <c r="R69" s="12" t="s">
        <v>858</v>
      </c>
      <c r="S69" s="12" t="s">
        <v>48</v>
      </c>
      <c r="T69" s="12" t="s">
        <v>859</v>
      </c>
      <c r="U69" s="12" t="s">
        <v>148</v>
      </c>
      <c r="V69" s="12" t="s">
        <v>939</v>
      </c>
      <c r="W69" s="12" t="s">
        <v>940</v>
      </c>
      <c r="X69" s="12" t="s">
        <v>533</v>
      </c>
      <c r="Y69" s="12" t="s">
        <v>941</v>
      </c>
      <c r="Z69" s="12">
        <v>3</v>
      </c>
      <c r="AA69" s="12" t="s">
        <v>227</v>
      </c>
      <c r="AB69" s="12" t="s">
        <v>942</v>
      </c>
      <c r="AC69" s="12" t="s">
        <v>336</v>
      </c>
      <c r="AD69" s="12" t="s">
        <v>943</v>
      </c>
      <c r="AE69" s="12">
        <v>2057850</v>
      </c>
      <c r="AF69" s="13">
        <v>28810</v>
      </c>
      <c r="AG69" s="12"/>
      <c r="AH69" s="12"/>
      <c r="AI69" s="12"/>
      <c r="AJ69" s="12" t="s">
        <v>11448</v>
      </c>
      <c r="AK69" s="13">
        <v>28810</v>
      </c>
      <c r="AL69" s="13"/>
      <c r="AM69" s="14">
        <f t="shared" si="1"/>
        <v>0</v>
      </c>
      <c r="AN69" s="12" t="s">
        <v>12004</v>
      </c>
    </row>
    <row r="70" spans="1:40" x14ac:dyDescent="0.25">
      <c r="A70" s="8">
        <v>69</v>
      </c>
      <c r="B70" s="9" t="s">
        <v>35</v>
      </c>
      <c r="C70" s="9" t="s">
        <v>944</v>
      </c>
      <c r="D70" s="9" t="s">
        <v>37</v>
      </c>
      <c r="E70" s="9" t="s">
        <v>945</v>
      </c>
      <c r="F70" s="9" t="s">
        <v>138</v>
      </c>
      <c r="G70" s="9" t="s">
        <v>946</v>
      </c>
      <c r="H70" s="9" t="s">
        <v>947</v>
      </c>
      <c r="I70" s="9" t="s">
        <v>947</v>
      </c>
      <c r="J70" s="9" t="s">
        <v>141</v>
      </c>
      <c r="K70" s="9" t="s">
        <v>948</v>
      </c>
      <c r="L70" s="9">
        <v>1446720</v>
      </c>
      <c r="M70" s="9">
        <v>6028000</v>
      </c>
      <c r="N70" s="9" t="s">
        <v>949</v>
      </c>
      <c r="O70" s="9" t="s">
        <v>950</v>
      </c>
      <c r="P70" s="9" t="s">
        <v>951</v>
      </c>
      <c r="Q70" s="9" t="s">
        <v>952</v>
      </c>
      <c r="R70" s="9" t="s">
        <v>47</v>
      </c>
      <c r="S70" s="9" t="s">
        <v>48</v>
      </c>
      <c r="T70" s="9" t="s">
        <v>495</v>
      </c>
      <c r="U70" s="9" t="s">
        <v>386</v>
      </c>
      <c r="V70" s="10">
        <v>45208</v>
      </c>
      <c r="W70" s="9" t="s">
        <v>953</v>
      </c>
      <c r="X70" s="9" t="s">
        <v>53</v>
      </c>
      <c r="Y70" s="9" t="s">
        <v>954</v>
      </c>
      <c r="Z70" s="9">
        <v>3</v>
      </c>
      <c r="AA70" s="9" t="s">
        <v>55</v>
      </c>
      <c r="AB70" s="9" t="s">
        <v>955</v>
      </c>
      <c r="AC70" s="9" t="s">
        <v>956</v>
      </c>
      <c r="AD70" s="9" t="s">
        <v>58</v>
      </c>
      <c r="AE70" s="9">
        <v>5425200</v>
      </c>
      <c r="AF70" s="11">
        <v>108504</v>
      </c>
      <c r="AG70" s="9"/>
      <c r="AH70" s="9"/>
      <c r="AI70" s="9"/>
      <c r="AJ70" s="12" t="s">
        <v>11449</v>
      </c>
      <c r="AK70" s="13">
        <v>108504</v>
      </c>
      <c r="AL70" s="13"/>
      <c r="AM70" s="14">
        <f t="shared" si="1"/>
        <v>0</v>
      </c>
      <c r="AN70" s="12" t="s">
        <v>12004</v>
      </c>
    </row>
    <row r="71" spans="1:40" x14ac:dyDescent="0.25">
      <c r="A71" s="15">
        <v>70</v>
      </c>
      <c r="B71" s="12" t="s">
        <v>35</v>
      </c>
      <c r="C71" s="12" t="s">
        <v>957</v>
      </c>
      <c r="D71" s="12" t="s">
        <v>37</v>
      </c>
      <c r="E71" s="12" t="s">
        <v>958</v>
      </c>
      <c r="F71" s="12" t="s">
        <v>39</v>
      </c>
      <c r="G71" s="12" t="s">
        <v>959</v>
      </c>
      <c r="H71" s="12" t="s">
        <v>960</v>
      </c>
      <c r="I71" s="12" t="s">
        <v>961</v>
      </c>
      <c r="J71" s="12" t="s">
        <v>960</v>
      </c>
      <c r="K71" s="12" t="s">
        <v>962</v>
      </c>
      <c r="L71" s="12">
        <v>734300</v>
      </c>
      <c r="M71" s="12">
        <v>1049000</v>
      </c>
      <c r="N71" s="12" t="s">
        <v>963</v>
      </c>
      <c r="O71" s="16">
        <v>45603</v>
      </c>
      <c r="P71" s="12" t="s">
        <v>964</v>
      </c>
      <c r="Q71" s="12" t="s">
        <v>965</v>
      </c>
      <c r="R71" s="12" t="s">
        <v>47</v>
      </c>
      <c r="S71" s="12" t="s">
        <v>48</v>
      </c>
      <c r="T71" s="12" t="s">
        <v>966</v>
      </c>
      <c r="U71" s="12" t="s">
        <v>50</v>
      </c>
      <c r="V71" s="12" t="s">
        <v>967</v>
      </c>
      <c r="W71" s="12" t="s">
        <v>52</v>
      </c>
      <c r="X71" s="12" t="s">
        <v>53</v>
      </c>
      <c r="Y71" s="12" t="s">
        <v>968</v>
      </c>
      <c r="Z71" s="12">
        <v>5</v>
      </c>
      <c r="AA71" s="12" t="s">
        <v>55</v>
      </c>
      <c r="AB71" s="12" t="s">
        <v>969</v>
      </c>
      <c r="AC71" s="12" t="s">
        <v>716</v>
      </c>
      <c r="AD71" s="12" t="s">
        <v>58</v>
      </c>
      <c r="AE71" s="12">
        <v>839200</v>
      </c>
      <c r="AF71" s="13">
        <v>16784</v>
      </c>
      <c r="AG71" s="12"/>
      <c r="AH71" s="12"/>
      <c r="AI71" s="12"/>
      <c r="AJ71" s="12" t="s">
        <v>11450</v>
      </c>
      <c r="AK71" s="13">
        <v>16784</v>
      </c>
      <c r="AL71" s="13"/>
      <c r="AM71" s="14">
        <f t="shared" si="1"/>
        <v>0</v>
      </c>
      <c r="AN71" s="12" t="s">
        <v>12004</v>
      </c>
    </row>
    <row r="72" spans="1:40" x14ac:dyDescent="0.25">
      <c r="A72" s="8">
        <v>71</v>
      </c>
      <c r="B72" s="9" t="s">
        <v>35</v>
      </c>
      <c r="C72" s="9" t="s">
        <v>970</v>
      </c>
      <c r="D72" s="9" t="s">
        <v>37</v>
      </c>
      <c r="E72" s="9" t="s">
        <v>971</v>
      </c>
      <c r="F72" s="9" t="s">
        <v>39</v>
      </c>
      <c r="G72" s="9" t="s">
        <v>972</v>
      </c>
      <c r="H72" s="9" t="s">
        <v>973</v>
      </c>
      <c r="I72" s="9" t="s">
        <v>974</v>
      </c>
      <c r="J72" s="9" t="s">
        <v>975</v>
      </c>
      <c r="K72" s="9" t="s">
        <v>976</v>
      </c>
      <c r="L72" s="9">
        <v>1035000</v>
      </c>
      <c r="M72" s="9">
        <v>1725000</v>
      </c>
      <c r="N72" s="9" t="s">
        <v>977</v>
      </c>
      <c r="O72" s="10">
        <v>45603</v>
      </c>
      <c r="P72" s="9" t="s">
        <v>978</v>
      </c>
      <c r="Q72" s="9" t="s">
        <v>979</v>
      </c>
      <c r="R72" s="9" t="s">
        <v>146</v>
      </c>
      <c r="S72" s="9" t="s">
        <v>980</v>
      </c>
      <c r="T72" s="9" t="s">
        <v>181</v>
      </c>
      <c r="U72" s="9" t="s">
        <v>496</v>
      </c>
      <c r="V72" s="9" t="s">
        <v>981</v>
      </c>
      <c r="W72" s="9" t="s">
        <v>52</v>
      </c>
      <c r="X72" s="9" t="s">
        <v>101</v>
      </c>
      <c r="Y72" s="9" t="s">
        <v>982</v>
      </c>
      <c r="Z72" s="9">
        <v>4</v>
      </c>
      <c r="AA72" s="9" t="s">
        <v>55</v>
      </c>
      <c r="AB72" s="9" t="s">
        <v>983</v>
      </c>
      <c r="AC72" s="9" t="s">
        <v>716</v>
      </c>
      <c r="AD72" s="9" t="s">
        <v>58</v>
      </c>
      <c r="AE72" s="9">
        <v>1380000</v>
      </c>
      <c r="AF72" s="11">
        <v>27600</v>
      </c>
      <c r="AG72" s="9"/>
      <c r="AH72" s="9"/>
      <c r="AI72" s="9"/>
      <c r="AJ72" s="12" t="s">
        <v>11451</v>
      </c>
      <c r="AK72" s="13">
        <v>27600</v>
      </c>
      <c r="AL72" s="13"/>
      <c r="AM72" s="14">
        <f t="shared" si="1"/>
        <v>0</v>
      </c>
      <c r="AN72" s="12" t="s">
        <v>12004</v>
      </c>
    </row>
    <row r="73" spans="1:40" x14ac:dyDescent="0.25">
      <c r="A73" s="15">
        <v>72</v>
      </c>
      <c r="B73" s="12" t="s">
        <v>35</v>
      </c>
      <c r="C73" s="12" t="s">
        <v>984</v>
      </c>
      <c r="D73" s="12" t="s">
        <v>37</v>
      </c>
      <c r="E73" s="12" t="s">
        <v>985</v>
      </c>
      <c r="F73" s="12" t="s">
        <v>245</v>
      </c>
      <c r="G73" s="12" t="s">
        <v>986</v>
      </c>
      <c r="H73" s="12" t="s">
        <v>987</v>
      </c>
      <c r="I73" s="12" t="s">
        <v>48</v>
      </c>
      <c r="J73" s="12" t="s">
        <v>988</v>
      </c>
      <c r="K73" s="12" t="s">
        <v>989</v>
      </c>
      <c r="L73" s="12">
        <v>1068000</v>
      </c>
      <c r="M73" s="12">
        <v>1335000</v>
      </c>
      <c r="N73" s="12" t="s">
        <v>990</v>
      </c>
      <c r="O73" s="16">
        <v>45603</v>
      </c>
      <c r="P73" s="12" t="s">
        <v>991</v>
      </c>
      <c r="Q73" s="12" t="s">
        <v>992</v>
      </c>
      <c r="R73" s="12" t="s">
        <v>47</v>
      </c>
      <c r="S73" s="12" t="s">
        <v>48</v>
      </c>
      <c r="T73" s="12" t="s">
        <v>194</v>
      </c>
      <c r="U73" s="12" t="s">
        <v>50</v>
      </c>
      <c r="V73" s="12" t="s">
        <v>993</v>
      </c>
      <c r="W73" s="12" t="s">
        <v>196</v>
      </c>
      <c r="X73" s="12" t="s">
        <v>168</v>
      </c>
      <c r="Y73" s="12" t="s">
        <v>994</v>
      </c>
      <c r="Z73" s="12">
        <v>6</v>
      </c>
      <c r="AA73" s="12" t="s">
        <v>55</v>
      </c>
      <c r="AB73" s="12" t="s">
        <v>995</v>
      </c>
      <c r="AC73" s="12" t="s">
        <v>981</v>
      </c>
      <c r="AD73" s="12" t="s">
        <v>58</v>
      </c>
      <c r="AE73" s="12">
        <v>1068000</v>
      </c>
      <c r="AF73" s="13">
        <v>21360</v>
      </c>
      <c r="AG73" s="12"/>
      <c r="AH73" s="12"/>
      <c r="AI73" s="12"/>
      <c r="AJ73" s="12" t="s">
        <v>11452</v>
      </c>
      <c r="AK73" s="13">
        <v>21360</v>
      </c>
      <c r="AL73" s="13"/>
      <c r="AM73" s="14">
        <f t="shared" si="1"/>
        <v>0</v>
      </c>
      <c r="AN73" s="12" t="s">
        <v>12004</v>
      </c>
    </row>
    <row r="74" spans="1:40" x14ac:dyDescent="0.25">
      <c r="A74" s="8">
        <v>73</v>
      </c>
      <c r="B74" s="9" t="s">
        <v>35</v>
      </c>
      <c r="C74" s="9" t="s">
        <v>996</v>
      </c>
      <c r="D74" s="9" t="s">
        <v>37</v>
      </c>
      <c r="E74" s="9" t="s">
        <v>997</v>
      </c>
      <c r="F74" s="9" t="s">
        <v>245</v>
      </c>
      <c r="G74" s="9" t="s">
        <v>998</v>
      </c>
      <c r="H74" s="9" t="s">
        <v>999</v>
      </c>
      <c r="I74" s="9" t="s">
        <v>48</v>
      </c>
      <c r="J74" s="9" t="s">
        <v>141</v>
      </c>
      <c r="K74" s="9" t="s">
        <v>1000</v>
      </c>
      <c r="L74" s="9">
        <v>1472000</v>
      </c>
      <c r="M74" s="9">
        <v>2300000</v>
      </c>
      <c r="N74" s="9" t="s">
        <v>1001</v>
      </c>
      <c r="O74" s="10">
        <v>45603</v>
      </c>
      <c r="P74" s="9" t="s">
        <v>1002</v>
      </c>
      <c r="Q74" s="9" t="s">
        <v>1003</v>
      </c>
      <c r="R74" s="9" t="s">
        <v>146</v>
      </c>
      <c r="S74" s="9" t="s">
        <v>1004</v>
      </c>
      <c r="T74" s="9" t="s">
        <v>283</v>
      </c>
      <c r="U74" s="9" t="s">
        <v>651</v>
      </c>
      <c r="V74" s="9" t="s">
        <v>981</v>
      </c>
      <c r="W74" s="9" t="s">
        <v>52</v>
      </c>
      <c r="X74" s="9" t="s">
        <v>53</v>
      </c>
      <c r="Y74" s="9" t="s">
        <v>1005</v>
      </c>
      <c r="Z74" s="9">
        <v>5</v>
      </c>
      <c r="AA74" s="9" t="s">
        <v>55</v>
      </c>
      <c r="AB74" s="9" t="s">
        <v>1006</v>
      </c>
      <c r="AC74" s="9" t="s">
        <v>981</v>
      </c>
      <c r="AD74" s="9" t="s">
        <v>58</v>
      </c>
      <c r="AE74" s="9">
        <v>1840000</v>
      </c>
      <c r="AF74" s="11">
        <v>36800</v>
      </c>
      <c r="AG74" s="9"/>
      <c r="AH74" s="9"/>
      <c r="AI74" s="9"/>
      <c r="AJ74" s="12" t="s">
        <v>11453</v>
      </c>
      <c r="AK74" s="13">
        <v>36800</v>
      </c>
      <c r="AL74" s="13"/>
      <c r="AM74" s="14">
        <f t="shared" si="1"/>
        <v>0</v>
      </c>
      <c r="AN74" s="12" t="s">
        <v>12004</v>
      </c>
    </row>
    <row r="75" spans="1:40" x14ac:dyDescent="0.25">
      <c r="A75" s="15">
        <v>74</v>
      </c>
      <c r="B75" s="12" t="s">
        <v>35</v>
      </c>
      <c r="C75" s="12" t="s">
        <v>1007</v>
      </c>
      <c r="D75" s="12" t="s">
        <v>37</v>
      </c>
      <c r="E75" s="12" t="s">
        <v>1008</v>
      </c>
      <c r="F75" s="12" t="s">
        <v>107</v>
      </c>
      <c r="G75" s="12" t="s">
        <v>1009</v>
      </c>
      <c r="H75" s="12" t="s">
        <v>1010</v>
      </c>
      <c r="I75" s="12" t="s">
        <v>1010</v>
      </c>
      <c r="J75" s="12" t="s">
        <v>1010</v>
      </c>
      <c r="K75" s="12" t="s">
        <v>1011</v>
      </c>
      <c r="L75" s="12">
        <v>1784300</v>
      </c>
      <c r="M75" s="12">
        <v>2549000</v>
      </c>
      <c r="N75" s="12" t="s">
        <v>1012</v>
      </c>
      <c r="O75" s="16">
        <v>45603</v>
      </c>
      <c r="P75" s="12" t="s">
        <v>1013</v>
      </c>
      <c r="Q75" s="12" t="s">
        <v>1014</v>
      </c>
      <c r="R75" s="12" t="s">
        <v>47</v>
      </c>
      <c r="S75" s="12" t="s">
        <v>48</v>
      </c>
      <c r="T75" s="12" t="s">
        <v>1015</v>
      </c>
      <c r="U75" s="12" t="s">
        <v>50</v>
      </c>
      <c r="V75" s="12" t="s">
        <v>1016</v>
      </c>
      <c r="W75" s="12" t="s">
        <v>132</v>
      </c>
      <c r="X75" s="12" t="s">
        <v>133</v>
      </c>
      <c r="Y75" s="12" t="s">
        <v>1017</v>
      </c>
      <c r="Z75" s="12">
        <v>5</v>
      </c>
      <c r="AA75" s="12" t="s">
        <v>55</v>
      </c>
      <c r="AB75" s="12" t="s">
        <v>1018</v>
      </c>
      <c r="AC75" s="12" t="s">
        <v>981</v>
      </c>
      <c r="AD75" s="12" t="s">
        <v>58</v>
      </c>
      <c r="AE75" s="12">
        <v>2039200</v>
      </c>
      <c r="AF75" s="13">
        <v>40784</v>
      </c>
      <c r="AG75" s="12"/>
      <c r="AH75" s="12"/>
      <c r="AI75" s="12"/>
      <c r="AJ75" s="12" t="s">
        <v>11454</v>
      </c>
      <c r="AK75" s="13">
        <v>40784</v>
      </c>
      <c r="AL75" s="13"/>
      <c r="AM75" s="14">
        <f t="shared" si="1"/>
        <v>0</v>
      </c>
      <c r="AN75" s="12" t="s">
        <v>12004</v>
      </c>
    </row>
    <row r="76" spans="1:40" x14ac:dyDescent="0.25">
      <c r="A76" s="8">
        <v>75</v>
      </c>
      <c r="B76" s="9" t="s">
        <v>35</v>
      </c>
      <c r="C76" s="9" t="s">
        <v>1019</v>
      </c>
      <c r="D76" s="9" t="s">
        <v>37</v>
      </c>
      <c r="E76" s="9" t="s">
        <v>1020</v>
      </c>
      <c r="F76" s="9" t="s">
        <v>138</v>
      </c>
      <c r="G76" s="9" t="s">
        <v>1021</v>
      </c>
      <c r="H76" s="9" t="s">
        <v>1022</v>
      </c>
      <c r="I76" s="9" t="s">
        <v>1022</v>
      </c>
      <c r="J76" s="9" t="s">
        <v>1023</v>
      </c>
      <c r="K76" s="9" t="s">
        <v>1024</v>
      </c>
      <c r="L76" s="9">
        <v>3550950</v>
      </c>
      <c r="M76" s="9">
        <v>5463000</v>
      </c>
      <c r="N76" s="9" t="s">
        <v>1025</v>
      </c>
      <c r="O76" s="10">
        <v>45603</v>
      </c>
      <c r="P76" s="9" t="s">
        <v>1026</v>
      </c>
      <c r="Q76" s="9" t="s">
        <v>1027</v>
      </c>
      <c r="R76" s="9" t="s">
        <v>47</v>
      </c>
      <c r="S76" s="9" t="s">
        <v>48</v>
      </c>
      <c r="T76" s="9" t="s">
        <v>1028</v>
      </c>
      <c r="U76" s="9" t="s">
        <v>50</v>
      </c>
      <c r="V76" s="9" t="s">
        <v>1029</v>
      </c>
      <c r="W76" s="9" t="s">
        <v>196</v>
      </c>
      <c r="X76" s="9" t="s">
        <v>401</v>
      </c>
      <c r="Y76" s="9" t="s">
        <v>1030</v>
      </c>
      <c r="Z76" s="9">
        <v>5</v>
      </c>
      <c r="AA76" s="9" t="s">
        <v>55</v>
      </c>
      <c r="AB76" s="9" t="s">
        <v>1031</v>
      </c>
      <c r="AC76" s="9" t="s">
        <v>200</v>
      </c>
      <c r="AD76" s="9" t="s">
        <v>299</v>
      </c>
      <c r="AE76" s="9">
        <v>4370400</v>
      </c>
      <c r="AF76" s="11">
        <v>65556</v>
      </c>
      <c r="AG76" s="9"/>
      <c r="AH76" s="9"/>
      <c r="AI76" s="9"/>
      <c r="AJ76" s="12" t="s">
        <v>11455</v>
      </c>
      <c r="AK76" s="13">
        <v>65556</v>
      </c>
      <c r="AL76" s="13"/>
      <c r="AM76" s="14">
        <f t="shared" si="1"/>
        <v>0</v>
      </c>
      <c r="AN76" s="12" t="s">
        <v>12004</v>
      </c>
    </row>
    <row r="77" spans="1:40" x14ac:dyDescent="0.25">
      <c r="A77" s="15">
        <v>76</v>
      </c>
      <c r="B77" s="12" t="s">
        <v>35</v>
      </c>
      <c r="C77" s="12" t="s">
        <v>1032</v>
      </c>
      <c r="D77" s="12" t="s">
        <v>37</v>
      </c>
      <c r="E77" s="12" t="s">
        <v>1033</v>
      </c>
      <c r="F77" s="12" t="s">
        <v>107</v>
      </c>
      <c r="G77" s="12" t="s">
        <v>1034</v>
      </c>
      <c r="H77" s="12" t="s">
        <v>1035</v>
      </c>
      <c r="I77" s="12" t="s">
        <v>1035</v>
      </c>
      <c r="J77" s="12" t="s">
        <v>1036</v>
      </c>
      <c r="K77" s="12" t="s">
        <v>1037</v>
      </c>
      <c r="L77" s="12">
        <v>5273800</v>
      </c>
      <c r="M77" s="12">
        <v>7534000</v>
      </c>
      <c r="N77" s="12" t="s">
        <v>1038</v>
      </c>
      <c r="O77" s="16">
        <v>45603</v>
      </c>
      <c r="P77" s="12" t="s">
        <v>1039</v>
      </c>
      <c r="Q77" s="12" t="s">
        <v>1040</v>
      </c>
      <c r="R77" s="12" t="s">
        <v>47</v>
      </c>
      <c r="S77" s="12" t="s">
        <v>48</v>
      </c>
      <c r="T77" s="12" t="s">
        <v>1041</v>
      </c>
      <c r="U77" s="12" t="s">
        <v>50</v>
      </c>
      <c r="V77" s="12" t="s">
        <v>508</v>
      </c>
      <c r="W77" s="12" t="s">
        <v>132</v>
      </c>
      <c r="X77" s="12" t="s">
        <v>133</v>
      </c>
      <c r="Y77" s="12" t="s">
        <v>1042</v>
      </c>
      <c r="Z77" s="12">
        <v>5</v>
      </c>
      <c r="AA77" s="12" t="s">
        <v>55</v>
      </c>
      <c r="AB77" s="12" t="s">
        <v>1043</v>
      </c>
      <c r="AC77" s="12" t="s">
        <v>981</v>
      </c>
      <c r="AD77" s="12" t="s">
        <v>86</v>
      </c>
      <c r="AE77" s="12">
        <v>6027200</v>
      </c>
      <c r="AF77" s="13">
        <v>105476</v>
      </c>
      <c r="AG77" s="12"/>
      <c r="AH77" s="12"/>
      <c r="AI77" s="12"/>
      <c r="AJ77" s="12" t="s">
        <v>11456</v>
      </c>
      <c r="AK77" s="13">
        <v>105476</v>
      </c>
      <c r="AL77" s="13"/>
      <c r="AM77" s="14">
        <f t="shared" si="1"/>
        <v>0</v>
      </c>
      <c r="AN77" s="12" t="s">
        <v>12004</v>
      </c>
    </row>
    <row r="78" spans="1:40" x14ac:dyDescent="0.25">
      <c r="A78" s="8">
        <v>77</v>
      </c>
      <c r="B78" s="9" t="s">
        <v>35</v>
      </c>
      <c r="C78" s="9" t="s">
        <v>1044</v>
      </c>
      <c r="D78" s="9" t="s">
        <v>37</v>
      </c>
      <c r="E78" s="9" t="s">
        <v>1045</v>
      </c>
      <c r="F78" s="9" t="s">
        <v>290</v>
      </c>
      <c r="G78" s="9" t="s">
        <v>48</v>
      </c>
      <c r="H78" s="9" t="s">
        <v>48</v>
      </c>
      <c r="I78" s="9" t="s">
        <v>1046</v>
      </c>
      <c r="J78" s="9" t="s">
        <v>48</v>
      </c>
      <c r="K78" s="9" t="s">
        <v>1047</v>
      </c>
      <c r="L78" s="9">
        <v>6891750</v>
      </c>
      <c r="M78" s="9">
        <v>9189000</v>
      </c>
      <c r="N78" s="9" t="s">
        <v>1048</v>
      </c>
      <c r="O78" s="10">
        <v>45603</v>
      </c>
      <c r="P78" s="9" t="s">
        <v>1049</v>
      </c>
      <c r="Q78" s="9" t="s">
        <v>1050</v>
      </c>
      <c r="R78" s="9" t="s">
        <v>47</v>
      </c>
      <c r="S78" s="9" t="s">
        <v>48</v>
      </c>
      <c r="T78" s="9" t="s">
        <v>1051</v>
      </c>
      <c r="U78" s="9" t="s">
        <v>50</v>
      </c>
      <c r="V78" s="9" t="s">
        <v>1052</v>
      </c>
      <c r="W78" s="9" t="s">
        <v>1053</v>
      </c>
      <c r="X78" s="9" t="s">
        <v>388</v>
      </c>
      <c r="Y78" s="9" t="s">
        <v>1054</v>
      </c>
      <c r="Z78" s="9">
        <v>5</v>
      </c>
      <c r="AA78" s="9" t="s">
        <v>1055</v>
      </c>
      <c r="AB78" s="9" t="s">
        <v>1056</v>
      </c>
      <c r="AC78" s="9" t="s">
        <v>981</v>
      </c>
      <c r="AD78" s="9" t="s">
        <v>299</v>
      </c>
      <c r="AE78" s="9">
        <v>7351200</v>
      </c>
      <c r="AF78" s="11">
        <v>110268</v>
      </c>
      <c r="AG78" s="9"/>
      <c r="AH78" s="9"/>
      <c r="AI78" s="9"/>
      <c r="AJ78" s="12" t="s">
        <v>11457</v>
      </c>
      <c r="AK78" s="13">
        <v>110268</v>
      </c>
      <c r="AL78" s="13"/>
      <c r="AM78" s="14">
        <f t="shared" si="1"/>
        <v>0</v>
      </c>
      <c r="AN78" s="12" t="s">
        <v>12004</v>
      </c>
    </row>
    <row r="79" spans="1:40" x14ac:dyDescent="0.25">
      <c r="A79" s="15">
        <v>78</v>
      </c>
      <c r="B79" s="12" t="s">
        <v>35</v>
      </c>
      <c r="C79" s="12" t="s">
        <v>1057</v>
      </c>
      <c r="D79" s="12" t="s">
        <v>37</v>
      </c>
      <c r="E79" s="12" t="s">
        <v>1058</v>
      </c>
      <c r="F79" s="12" t="s">
        <v>89</v>
      </c>
      <c r="G79" s="12" t="s">
        <v>1059</v>
      </c>
      <c r="H79" s="12" t="s">
        <v>48</v>
      </c>
      <c r="I79" s="12" t="s">
        <v>1060</v>
      </c>
      <c r="J79" s="12" t="s">
        <v>48</v>
      </c>
      <c r="K79" s="12" t="s">
        <v>1061</v>
      </c>
      <c r="L79" s="12">
        <v>2660000</v>
      </c>
      <c r="M79" s="12">
        <v>3800000</v>
      </c>
      <c r="N79" s="12" t="s">
        <v>1062</v>
      </c>
      <c r="O79" s="16">
        <v>45603</v>
      </c>
      <c r="P79" s="12" t="s">
        <v>1063</v>
      </c>
      <c r="Q79" s="12" t="s">
        <v>1064</v>
      </c>
      <c r="R79" s="12" t="s">
        <v>146</v>
      </c>
      <c r="S79" s="12" t="s">
        <v>48</v>
      </c>
      <c r="T79" s="12" t="s">
        <v>1065</v>
      </c>
      <c r="U79" s="12" t="s">
        <v>335</v>
      </c>
      <c r="V79" s="12" t="s">
        <v>904</v>
      </c>
      <c r="W79" s="12" t="s">
        <v>150</v>
      </c>
      <c r="X79" s="12" t="s">
        <v>101</v>
      </c>
      <c r="Y79" s="12" t="s">
        <v>1066</v>
      </c>
      <c r="Z79" s="12">
        <v>3</v>
      </c>
      <c r="AA79" s="12" t="s">
        <v>323</v>
      </c>
      <c r="AB79" s="12" t="s">
        <v>1067</v>
      </c>
      <c r="AC79" s="12" t="s">
        <v>625</v>
      </c>
      <c r="AD79" s="12" t="s">
        <v>86</v>
      </c>
      <c r="AE79" s="12">
        <v>3230000</v>
      </c>
      <c r="AF79" s="13">
        <v>56525</v>
      </c>
      <c r="AG79" s="12"/>
      <c r="AH79" s="12"/>
      <c r="AI79" s="12"/>
      <c r="AJ79" s="12" t="s">
        <v>11458</v>
      </c>
      <c r="AK79" s="13">
        <v>56525</v>
      </c>
      <c r="AL79" s="13"/>
      <c r="AM79" s="14">
        <f t="shared" si="1"/>
        <v>0</v>
      </c>
      <c r="AN79" s="12" t="s">
        <v>12004</v>
      </c>
    </row>
    <row r="80" spans="1:40" x14ac:dyDescent="0.25">
      <c r="A80" s="8">
        <v>79</v>
      </c>
      <c r="B80" s="9" t="s">
        <v>35</v>
      </c>
      <c r="C80" s="9" t="s">
        <v>1068</v>
      </c>
      <c r="D80" s="9" t="s">
        <v>37</v>
      </c>
      <c r="E80" s="9" t="s">
        <v>1069</v>
      </c>
      <c r="F80" s="9" t="s">
        <v>245</v>
      </c>
      <c r="G80" s="9" t="s">
        <v>1070</v>
      </c>
      <c r="H80" s="9" t="s">
        <v>1071</v>
      </c>
      <c r="I80" s="9" t="s">
        <v>48</v>
      </c>
      <c r="J80" s="9" t="s">
        <v>1072</v>
      </c>
      <c r="K80" s="9" t="s">
        <v>1073</v>
      </c>
      <c r="L80" s="9">
        <v>875000</v>
      </c>
      <c r="M80" s="9">
        <v>1250000</v>
      </c>
      <c r="N80" s="9" t="s">
        <v>1074</v>
      </c>
      <c r="O80" s="10">
        <v>45603</v>
      </c>
      <c r="P80" s="9" t="s">
        <v>1075</v>
      </c>
      <c r="Q80" s="9" t="s">
        <v>1076</v>
      </c>
      <c r="R80" s="9" t="s">
        <v>146</v>
      </c>
      <c r="S80" s="9" t="s">
        <v>1077</v>
      </c>
      <c r="T80" s="9" t="s">
        <v>1078</v>
      </c>
      <c r="U80" s="9" t="s">
        <v>903</v>
      </c>
      <c r="V80" s="9" t="s">
        <v>1079</v>
      </c>
      <c r="W80" s="9" t="s">
        <v>1080</v>
      </c>
      <c r="X80" s="9" t="s">
        <v>197</v>
      </c>
      <c r="Y80" s="9" t="s">
        <v>1081</v>
      </c>
      <c r="Z80" s="9">
        <v>3</v>
      </c>
      <c r="AA80" s="9" t="s">
        <v>323</v>
      </c>
      <c r="AB80" s="9" t="s">
        <v>1082</v>
      </c>
      <c r="AC80" s="9" t="s">
        <v>625</v>
      </c>
      <c r="AD80" s="9" t="s">
        <v>86</v>
      </c>
      <c r="AE80" s="9">
        <v>1062500</v>
      </c>
      <c r="AF80" s="11">
        <v>18594</v>
      </c>
      <c r="AG80" s="9"/>
      <c r="AH80" s="9"/>
      <c r="AI80" s="9"/>
      <c r="AJ80" s="12" t="s">
        <v>11459</v>
      </c>
      <c r="AK80" s="13">
        <v>18594</v>
      </c>
      <c r="AL80" s="13"/>
      <c r="AM80" s="14">
        <f t="shared" si="1"/>
        <v>0</v>
      </c>
      <c r="AN80" s="12" t="s">
        <v>12004</v>
      </c>
    </row>
    <row r="81" spans="1:40" x14ac:dyDescent="0.25">
      <c r="A81" s="15">
        <v>80</v>
      </c>
      <c r="B81" s="12" t="s">
        <v>35</v>
      </c>
      <c r="C81" s="12" t="s">
        <v>1083</v>
      </c>
      <c r="D81" s="12" t="s">
        <v>37</v>
      </c>
      <c r="E81" s="12" t="s">
        <v>1084</v>
      </c>
      <c r="F81" s="12" t="s">
        <v>89</v>
      </c>
      <c r="G81" s="12" t="s">
        <v>1085</v>
      </c>
      <c r="H81" s="12" t="s">
        <v>1086</v>
      </c>
      <c r="I81" s="12" t="s">
        <v>48</v>
      </c>
      <c r="J81" s="12" t="s">
        <v>1087</v>
      </c>
      <c r="K81" s="12" t="s">
        <v>1088</v>
      </c>
      <c r="L81" s="12">
        <v>839200</v>
      </c>
      <c r="M81" s="12">
        <v>1049000</v>
      </c>
      <c r="N81" s="12" t="s">
        <v>1089</v>
      </c>
      <c r="O81" s="16">
        <v>45604</v>
      </c>
      <c r="P81" s="12" t="s">
        <v>1090</v>
      </c>
      <c r="Q81" s="12" t="s">
        <v>1091</v>
      </c>
      <c r="R81" s="12" t="s">
        <v>47</v>
      </c>
      <c r="S81" s="12" t="s">
        <v>48</v>
      </c>
      <c r="T81" s="12" t="s">
        <v>966</v>
      </c>
      <c r="U81" s="12" t="s">
        <v>50</v>
      </c>
      <c r="V81" s="12" t="s">
        <v>1092</v>
      </c>
      <c r="W81" s="12" t="s">
        <v>196</v>
      </c>
      <c r="X81" s="12" t="s">
        <v>401</v>
      </c>
      <c r="Y81" s="12" t="s">
        <v>1093</v>
      </c>
      <c r="Z81" s="12">
        <v>5</v>
      </c>
      <c r="AA81" s="12" t="s">
        <v>55</v>
      </c>
      <c r="AB81" s="12" t="s">
        <v>1094</v>
      </c>
      <c r="AC81" s="12" t="s">
        <v>967</v>
      </c>
      <c r="AD81" s="12" t="s">
        <v>58</v>
      </c>
      <c r="AE81" s="12">
        <v>839200</v>
      </c>
      <c r="AF81" s="13">
        <v>16784</v>
      </c>
      <c r="AG81" s="12"/>
      <c r="AH81" s="12"/>
      <c r="AI81" s="12"/>
      <c r="AJ81" s="12" t="s">
        <v>11460</v>
      </c>
      <c r="AK81" s="13">
        <v>16784</v>
      </c>
      <c r="AL81" s="13"/>
      <c r="AM81" s="14">
        <f t="shared" si="1"/>
        <v>0</v>
      </c>
      <c r="AN81" s="12" t="s">
        <v>12004</v>
      </c>
    </row>
    <row r="82" spans="1:40" x14ac:dyDescent="0.25">
      <c r="A82" s="8">
        <v>81</v>
      </c>
      <c r="B82" s="9" t="s">
        <v>35</v>
      </c>
      <c r="C82" s="9" t="s">
        <v>1095</v>
      </c>
      <c r="D82" s="9" t="s">
        <v>37</v>
      </c>
      <c r="E82" s="9" t="s">
        <v>1096</v>
      </c>
      <c r="F82" s="9" t="s">
        <v>290</v>
      </c>
      <c r="G82" s="9" t="s">
        <v>1097</v>
      </c>
      <c r="H82" s="9" t="s">
        <v>1098</v>
      </c>
      <c r="I82" s="9" t="s">
        <v>1098</v>
      </c>
      <c r="J82" s="9" t="s">
        <v>1098</v>
      </c>
      <c r="K82" s="9" t="s">
        <v>1099</v>
      </c>
      <c r="L82" s="9">
        <v>1001250</v>
      </c>
      <c r="M82" s="9">
        <v>1335000</v>
      </c>
      <c r="N82" s="9" t="s">
        <v>1100</v>
      </c>
      <c r="O82" s="10">
        <v>45604</v>
      </c>
      <c r="P82" s="9" t="s">
        <v>1101</v>
      </c>
      <c r="Q82" s="9" t="s">
        <v>1102</v>
      </c>
      <c r="R82" s="9" t="s">
        <v>47</v>
      </c>
      <c r="S82" s="9" t="s">
        <v>48</v>
      </c>
      <c r="T82" s="9" t="s">
        <v>210</v>
      </c>
      <c r="U82" s="9" t="s">
        <v>50</v>
      </c>
      <c r="V82" s="9" t="s">
        <v>1103</v>
      </c>
      <c r="W82" s="9" t="s">
        <v>1053</v>
      </c>
      <c r="X82" s="9" t="s">
        <v>388</v>
      </c>
      <c r="Y82" s="9" t="s">
        <v>1104</v>
      </c>
      <c r="Z82" s="9">
        <v>5</v>
      </c>
      <c r="AA82" s="9" t="s">
        <v>152</v>
      </c>
      <c r="AB82" s="9" t="s">
        <v>1105</v>
      </c>
      <c r="AC82" s="9" t="s">
        <v>967</v>
      </c>
      <c r="AD82" s="9" t="s">
        <v>58</v>
      </c>
      <c r="AE82" s="9">
        <v>1068000</v>
      </c>
      <c r="AF82" s="11">
        <v>21360</v>
      </c>
      <c r="AG82" s="9"/>
      <c r="AH82" s="9"/>
      <c r="AI82" s="9"/>
      <c r="AJ82" s="12" t="s">
        <v>11461</v>
      </c>
      <c r="AK82" s="13">
        <v>21360</v>
      </c>
      <c r="AL82" s="13"/>
      <c r="AM82" s="14">
        <f t="shared" si="1"/>
        <v>0</v>
      </c>
      <c r="AN82" s="12" t="s">
        <v>12004</v>
      </c>
    </row>
    <row r="83" spans="1:40" x14ac:dyDescent="0.25">
      <c r="A83" s="15">
        <v>82</v>
      </c>
      <c r="B83" s="12" t="s">
        <v>35</v>
      </c>
      <c r="C83" s="12" t="s">
        <v>1106</v>
      </c>
      <c r="D83" s="12" t="s">
        <v>37</v>
      </c>
      <c r="E83" s="12" t="s">
        <v>1107</v>
      </c>
      <c r="F83" s="12" t="s">
        <v>107</v>
      </c>
      <c r="G83" s="12" t="s">
        <v>1108</v>
      </c>
      <c r="H83" s="12" t="s">
        <v>1109</v>
      </c>
      <c r="I83" s="12" t="s">
        <v>1109</v>
      </c>
      <c r="J83" s="12" t="s">
        <v>1109</v>
      </c>
      <c r="K83" s="12" t="s">
        <v>1110</v>
      </c>
      <c r="L83" s="12">
        <v>1372500</v>
      </c>
      <c r="M83" s="12">
        <v>1830000</v>
      </c>
      <c r="N83" s="12" t="s">
        <v>1111</v>
      </c>
      <c r="O83" s="16">
        <v>45604</v>
      </c>
      <c r="P83" s="12" t="s">
        <v>1112</v>
      </c>
      <c r="Q83" s="12" t="s">
        <v>1113</v>
      </c>
      <c r="R83" s="12" t="s">
        <v>47</v>
      </c>
      <c r="S83" s="12" t="s">
        <v>48</v>
      </c>
      <c r="T83" s="12" t="s">
        <v>1114</v>
      </c>
      <c r="U83" s="12" t="s">
        <v>50</v>
      </c>
      <c r="V83" s="12" t="s">
        <v>1115</v>
      </c>
      <c r="W83" s="12" t="s">
        <v>52</v>
      </c>
      <c r="X83" s="12" t="s">
        <v>53</v>
      </c>
      <c r="Y83" s="12" t="s">
        <v>1116</v>
      </c>
      <c r="Z83" s="12">
        <v>5</v>
      </c>
      <c r="AA83" s="12" t="s">
        <v>55</v>
      </c>
      <c r="AB83" s="12" t="s">
        <v>1117</v>
      </c>
      <c r="AC83" s="12" t="s">
        <v>981</v>
      </c>
      <c r="AD83" s="12" t="s">
        <v>58</v>
      </c>
      <c r="AE83" s="12">
        <v>1464000</v>
      </c>
      <c r="AF83" s="13">
        <v>29280</v>
      </c>
      <c r="AG83" s="12"/>
      <c r="AH83" s="12"/>
      <c r="AI83" s="12"/>
      <c r="AJ83" s="12" t="s">
        <v>11462</v>
      </c>
      <c r="AK83" s="13">
        <v>29280</v>
      </c>
      <c r="AL83" s="13"/>
      <c r="AM83" s="14">
        <f t="shared" si="1"/>
        <v>0</v>
      </c>
      <c r="AN83" s="12" t="s">
        <v>12004</v>
      </c>
    </row>
    <row r="84" spans="1:40" x14ac:dyDescent="0.25">
      <c r="A84" s="8">
        <v>83</v>
      </c>
      <c r="B84" s="9" t="s">
        <v>35</v>
      </c>
      <c r="C84" s="9" t="s">
        <v>1118</v>
      </c>
      <c r="D84" s="9" t="s">
        <v>37</v>
      </c>
      <c r="E84" s="9" t="s">
        <v>1119</v>
      </c>
      <c r="F84" s="9" t="s">
        <v>138</v>
      </c>
      <c r="G84" s="9" t="s">
        <v>1120</v>
      </c>
      <c r="H84" s="9" t="s">
        <v>1121</v>
      </c>
      <c r="I84" s="9" t="s">
        <v>1121</v>
      </c>
      <c r="J84" s="9" t="s">
        <v>1122</v>
      </c>
      <c r="K84" s="9" t="s">
        <v>1123</v>
      </c>
      <c r="L84" s="9">
        <v>1787500</v>
      </c>
      <c r="M84" s="9">
        <v>2750000</v>
      </c>
      <c r="N84" s="9" t="s">
        <v>1124</v>
      </c>
      <c r="O84" s="10">
        <v>45604</v>
      </c>
      <c r="P84" s="9" t="s">
        <v>1125</v>
      </c>
      <c r="Q84" s="9" t="s">
        <v>1126</v>
      </c>
      <c r="R84" s="9" t="s">
        <v>146</v>
      </c>
      <c r="S84" s="9" t="s">
        <v>1127</v>
      </c>
      <c r="T84" s="9" t="s">
        <v>1128</v>
      </c>
      <c r="U84" s="9" t="s">
        <v>651</v>
      </c>
      <c r="V84" s="9" t="s">
        <v>100</v>
      </c>
      <c r="W84" s="9" t="s">
        <v>100</v>
      </c>
      <c r="X84" s="9" t="s">
        <v>53</v>
      </c>
      <c r="Y84" s="9" t="s">
        <v>1129</v>
      </c>
      <c r="Z84" s="9">
        <v>6</v>
      </c>
      <c r="AA84" s="9" t="s">
        <v>227</v>
      </c>
      <c r="AB84" s="9" t="s">
        <v>1130</v>
      </c>
      <c r="AC84" s="9" t="s">
        <v>428</v>
      </c>
      <c r="AD84" s="9" t="s">
        <v>58</v>
      </c>
      <c r="AE84" s="9">
        <v>2062500</v>
      </c>
      <c r="AF84" s="11">
        <v>41250</v>
      </c>
      <c r="AG84" s="9"/>
      <c r="AH84" s="9"/>
      <c r="AI84" s="9"/>
      <c r="AJ84" s="12" t="s">
        <v>11463</v>
      </c>
      <c r="AK84" s="13">
        <v>44000</v>
      </c>
      <c r="AL84" s="13" t="s">
        <v>12221</v>
      </c>
      <c r="AM84" s="14">
        <f t="shared" si="1"/>
        <v>-2750</v>
      </c>
      <c r="AN84" s="12" t="s">
        <v>12004</v>
      </c>
    </row>
    <row r="85" spans="1:40" x14ac:dyDescent="0.25">
      <c r="A85" s="15">
        <v>84</v>
      </c>
      <c r="B85" s="12" t="s">
        <v>35</v>
      </c>
      <c r="C85" s="12" t="s">
        <v>1131</v>
      </c>
      <c r="D85" s="12" t="s">
        <v>37</v>
      </c>
      <c r="E85" s="12" t="s">
        <v>1132</v>
      </c>
      <c r="F85" s="12" t="s">
        <v>107</v>
      </c>
      <c r="G85" s="12" t="s">
        <v>1133</v>
      </c>
      <c r="H85" s="12" t="s">
        <v>1134</v>
      </c>
      <c r="I85" s="12" t="s">
        <v>1134</v>
      </c>
      <c r="J85" s="12" t="s">
        <v>1135</v>
      </c>
      <c r="K85" s="12" t="s">
        <v>1136</v>
      </c>
      <c r="L85" s="12">
        <v>2250000</v>
      </c>
      <c r="M85" s="12">
        <v>3000000</v>
      </c>
      <c r="N85" s="12" t="s">
        <v>1137</v>
      </c>
      <c r="O85" s="16">
        <v>45604</v>
      </c>
      <c r="P85" s="12" t="s">
        <v>1138</v>
      </c>
      <c r="Q85" s="12" t="s">
        <v>1139</v>
      </c>
      <c r="R85" s="12" t="s">
        <v>146</v>
      </c>
      <c r="S85" s="12" t="s">
        <v>1140</v>
      </c>
      <c r="T85" s="12" t="s">
        <v>1141</v>
      </c>
      <c r="U85" s="12" t="s">
        <v>614</v>
      </c>
      <c r="V85" s="12" t="s">
        <v>1142</v>
      </c>
      <c r="W85" s="12" t="s">
        <v>100</v>
      </c>
      <c r="X85" s="12" t="s">
        <v>101</v>
      </c>
      <c r="Y85" s="12" t="s">
        <v>1143</v>
      </c>
      <c r="Z85" s="12">
        <v>5</v>
      </c>
      <c r="AA85" s="12" t="s">
        <v>227</v>
      </c>
      <c r="AB85" s="12" t="s">
        <v>1144</v>
      </c>
      <c r="AC85" s="12" t="s">
        <v>428</v>
      </c>
      <c r="AD85" s="12" t="s">
        <v>58</v>
      </c>
      <c r="AE85" s="12">
        <v>2250000</v>
      </c>
      <c r="AF85" s="13">
        <v>45000</v>
      </c>
      <c r="AG85" s="12"/>
      <c r="AH85" s="12"/>
      <c r="AI85" s="12"/>
      <c r="AJ85" s="12" t="s">
        <v>11464</v>
      </c>
      <c r="AK85" s="13">
        <v>45000</v>
      </c>
      <c r="AL85" s="13"/>
      <c r="AM85" s="14">
        <f t="shared" si="1"/>
        <v>0</v>
      </c>
      <c r="AN85" s="12" t="s">
        <v>12004</v>
      </c>
    </row>
    <row r="86" spans="1:40" x14ac:dyDescent="0.25">
      <c r="A86" s="8">
        <v>85</v>
      </c>
      <c r="B86" s="9" t="s">
        <v>35</v>
      </c>
      <c r="C86" s="9" t="s">
        <v>1145</v>
      </c>
      <c r="D86" s="9" t="s">
        <v>37</v>
      </c>
      <c r="E86" s="9" t="s">
        <v>1146</v>
      </c>
      <c r="F86" s="9" t="s">
        <v>107</v>
      </c>
      <c r="G86" s="9" t="s">
        <v>1147</v>
      </c>
      <c r="H86" s="9" t="s">
        <v>1148</v>
      </c>
      <c r="I86" s="9" t="s">
        <v>1148</v>
      </c>
      <c r="J86" s="9" t="s">
        <v>1149</v>
      </c>
      <c r="K86" s="9" t="s">
        <v>1150</v>
      </c>
      <c r="L86" s="9">
        <v>1874160</v>
      </c>
      <c r="M86" s="9">
        <v>4932000</v>
      </c>
      <c r="N86" s="9" t="s">
        <v>1151</v>
      </c>
      <c r="O86" s="10">
        <v>45604</v>
      </c>
      <c r="P86" s="9" t="s">
        <v>1152</v>
      </c>
      <c r="Q86" s="9" t="s">
        <v>1153</v>
      </c>
      <c r="R86" s="9" t="s">
        <v>47</v>
      </c>
      <c r="S86" s="9" t="s">
        <v>48</v>
      </c>
      <c r="T86" s="9" t="s">
        <v>1154</v>
      </c>
      <c r="U86" s="9" t="s">
        <v>50</v>
      </c>
      <c r="V86" s="9" t="s">
        <v>1155</v>
      </c>
      <c r="W86" s="9" t="s">
        <v>132</v>
      </c>
      <c r="X86" s="9" t="s">
        <v>133</v>
      </c>
      <c r="Y86" s="9" t="s">
        <v>1156</v>
      </c>
      <c r="Z86" s="9">
        <v>5</v>
      </c>
      <c r="AA86" s="9" t="s">
        <v>48</v>
      </c>
      <c r="AB86" s="9" t="s">
        <v>48</v>
      </c>
      <c r="AC86" s="9" t="s">
        <v>48</v>
      </c>
      <c r="AD86" s="9" t="s">
        <v>58</v>
      </c>
      <c r="AE86" s="9">
        <v>3945600</v>
      </c>
      <c r="AF86" s="11">
        <v>78912</v>
      </c>
      <c r="AG86" s="9"/>
      <c r="AH86" s="9"/>
      <c r="AI86" s="9"/>
      <c r="AJ86" s="12" t="s">
        <v>11465</v>
      </c>
      <c r="AK86" s="13">
        <v>78912</v>
      </c>
      <c r="AL86" s="13"/>
      <c r="AM86" s="14">
        <f t="shared" si="1"/>
        <v>0</v>
      </c>
      <c r="AN86" s="12" t="s">
        <v>12004</v>
      </c>
    </row>
    <row r="87" spans="1:40" x14ac:dyDescent="0.25">
      <c r="A87" s="15">
        <v>86</v>
      </c>
      <c r="B87" s="12" t="s">
        <v>35</v>
      </c>
      <c r="C87" s="12" t="s">
        <v>1157</v>
      </c>
      <c r="D87" s="12" t="s">
        <v>37</v>
      </c>
      <c r="E87" s="12" t="s">
        <v>1158</v>
      </c>
      <c r="F87" s="12" t="s">
        <v>107</v>
      </c>
      <c r="G87" s="12" t="s">
        <v>1159</v>
      </c>
      <c r="H87" s="12" t="s">
        <v>1160</v>
      </c>
      <c r="I87" s="12" t="s">
        <v>1161</v>
      </c>
      <c r="J87" s="12" t="s">
        <v>48</v>
      </c>
      <c r="K87" s="12" t="s">
        <v>1162</v>
      </c>
      <c r="L87" s="12">
        <v>1966250</v>
      </c>
      <c r="M87" s="12">
        <v>3025000</v>
      </c>
      <c r="N87" s="12" t="s">
        <v>1163</v>
      </c>
      <c r="O87" s="16">
        <v>45604</v>
      </c>
      <c r="P87" s="12" t="s">
        <v>1164</v>
      </c>
      <c r="Q87" s="12" t="s">
        <v>1165</v>
      </c>
      <c r="R87" s="12" t="s">
        <v>47</v>
      </c>
      <c r="S87" s="12" t="s">
        <v>48</v>
      </c>
      <c r="T87" s="12" t="s">
        <v>1166</v>
      </c>
      <c r="U87" s="12" t="s">
        <v>50</v>
      </c>
      <c r="V87" s="12" t="s">
        <v>1167</v>
      </c>
      <c r="W87" s="12" t="s">
        <v>1053</v>
      </c>
      <c r="X87" s="12" t="s">
        <v>388</v>
      </c>
      <c r="Y87" s="12" t="s">
        <v>1168</v>
      </c>
      <c r="Z87" s="12">
        <v>5</v>
      </c>
      <c r="AA87" s="12" t="s">
        <v>55</v>
      </c>
      <c r="AB87" s="12" t="s">
        <v>1169</v>
      </c>
      <c r="AC87" s="12" t="s">
        <v>981</v>
      </c>
      <c r="AD87" s="12" t="s">
        <v>58</v>
      </c>
      <c r="AE87" s="12">
        <v>2420000</v>
      </c>
      <c r="AF87" s="13">
        <v>48400</v>
      </c>
      <c r="AG87" s="12"/>
      <c r="AH87" s="12"/>
      <c r="AI87" s="12"/>
      <c r="AJ87" s="12" t="s">
        <v>11466</v>
      </c>
      <c r="AK87" s="13">
        <v>48400</v>
      </c>
      <c r="AL87" s="13"/>
      <c r="AM87" s="14">
        <f t="shared" si="1"/>
        <v>0</v>
      </c>
      <c r="AN87" s="12" t="s">
        <v>12004</v>
      </c>
    </row>
    <row r="88" spans="1:40" x14ac:dyDescent="0.25">
      <c r="A88" s="8">
        <v>87</v>
      </c>
      <c r="B88" s="9" t="s">
        <v>35</v>
      </c>
      <c r="C88" s="9" t="s">
        <v>1170</v>
      </c>
      <c r="D88" s="9" t="s">
        <v>37</v>
      </c>
      <c r="E88" s="9" t="s">
        <v>1171</v>
      </c>
      <c r="F88" s="9" t="s">
        <v>89</v>
      </c>
      <c r="G88" s="9" t="s">
        <v>1172</v>
      </c>
      <c r="H88" s="9" t="s">
        <v>48</v>
      </c>
      <c r="I88" s="9" t="s">
        <v>1173</v>
      </c>
      <c r="J88" s="9" t="s">
        <v>48</v>
      </c>
      <c r="K88" s="9" t="s">
        <v>1174</v>
      </c>
      <c r="L88" s="9">
        <v>2073500</v>
      </c>
      <c r="M88" s="9">
        <v>3190000</v>
      </c>
      <c r="N88" s="9" t="s">
        <v>1175</v>
      </c>
      <c r="O88" s="10">
        <v>45604</v>
      </c>
      <c r="P88" s="9" t="s">
        <v>1176</v>
      </c>
      <c r="Q88" s="9" t="s">
        <v>1177</v>
      </c>
      <c r="R88" s="9" t="s">
        <v>47</v>
      </c>
      <c r="S88" s="9" t="s">
        <v>48</v>
      </c>
      <c r="T88" s="9" t="s">
        <v>1166</v>
      </c>
      <c r="U88" s="9" t="s">
        <v>50</v>
      </c>
      <c r="V88" s="9" t="s">
        <v>967</v>
      </c>
      <c r="W88" s="9" t="s">
        <v>52</v>
      </c>
      <c r="X88" s="9" t="s">
        <v>53</v>
      </c>
      <c r="Y88" s="9" t="s">
        <v>1178</v>
      </c>
      <c r="Z88" s="9">
        <v>5</v>
      </c>
      <c r="AA88" s="9" t="s">
        <v>55</v>
      </c>
      <c r="AB88" s="9" t="s">
        <v>1179</v>
      </c>
      <c r="AC88" s="9" t="s">
        <v>967</v>
      </c>
      <c r="AD88" s="9" t="s">
        <v>58</v>
      </c>
      <c r="AE88" s="9">
        <v>2552000</v>
      </c>
      <c r="AF88" s="11">
        <v>51040</v>
      </c>
      <c r="AG88" s="9"/>
      <c r="AH88" s="9"/>
      <c r="AI88" s="9"/>
      <c r="AJ88" s="12" t="s">
        <v>11467</v>
      </c>
      <c r="AK88" s="13">
        <v>51040</v>
      </c>
      <c r="AL88" s="13"/>
      <c r="AM88" s="14">
        <f t="shared" si="1"/>
        <v>0</v>
      </c>
      <c r="AN88" s="12" t="s">
        <v>12004</v>
      </c>
    </row>
    <row r="89" spans="1:40" x14ac:dyDescent="0.25">
      <c r="A89" s="15">
        <v>88</v>
      </c>
      <c r="B89" s="12" t="s">
        <v>35</v>
      </c>
      <c r="C89" s="12" t="s">
        <v>1180</v>
      </c>
      <c r="D89" s="12" t="s">
        <v>37</v>
      </c>
      <c r="E89" s="12" t="s">
        <v>1181</v>
      </c>
      <c r="F89" s="12" t="s">
        <v>245</v>
      </c>
      <c r="G89" s="12" t="s">
        <v>1182</v>
      </c>
      <c r="H89" s="12" t="s">
        <v>48</v>
      </c>
      <c r="I89" s="12" t="s">
        <v>1183</v>
      </c>
      <c r="J89" s="12" t="s">
        <v>1184</v>
      </c>
      <c r="K89" s="12" t="s">
        <v>1185</v>
      </c>
      <c r="L89" s="12">
        <v>2211950</v>
      </c>
      <c r="M89" s="12">
        <v>3403000</v>
      </c>
      <c r="N89" s="12" t="s">
        <v>1186</v>
      </c>
      <c r="O89" s="16">
        <v>45604</v>
      </c>
      <c r="P89" s="12" t="s">
        <v>1187</v>
      </c>
      <c r="Q89" s="12" t="s">
        <v>1188</v>
      </c>
      <c r="R89" s="12" t="s">
        <v>47</v>
      </c>
      <c r="S89" s="12" t="s">
        <v>48</v>
      </c>
      <c r="T89" s="12" t="s">
        <v>1189</v>
      </c>
      <c r="U89" s="12" t="s">
        <v>50</v>
      </c>
      <c r="V89" s="12" t="s">
        <v>1190</v>
      </c>
      <c r="W89" s="12" t="s">
        <v>132</v>
      </c>
      <c r="X89" s="12" t="s">
        <v>1191</v>
      </c>
      <c r="Y89" s="12" t="s">
        <v>1192</v>
      </c>
      <c r="Z89" s="12">
        <v>7</v>
      </c>
      <c r="AA89" s="12" t="s">
        <v>55</v>
      </c>
      <c r="AB89" s="12" t="s">
        <v>1193</v>
      </c>
      <c r="AC89" s="12" t="s">
        <v>967</v>
      </c>
      <c r="AD89" s="12" t="s">
        <v>58</v>
      </c>
      <c r="AE89" s="12">
        <v>2722400</v>
      </c>
      <c r="AF89" s="13">
        <v>54448</v>
      </c>
      <c r="AG89" s="12"/>
      <c r="AH89" s="12"/>
      <c r="AI89" s="12"/>
      <c r="AJ89" s="12" t="s">
        <v>11468</v>
      </c>
      <c r="AK89" s="13">
        <v>54448</v>
      </c>
      <c r="AL89" s="13"/>
      <c r="AM89" s="14">
        <f t="shared" si="1"/>
        <v>0</v>
      </c>
      <c r="AN89" s="12" t="s">
        <v>12004</v>
      </c>
    </row>
    <row r="90" spans="1:40" x14ac:dyDescent="0.25">
      <c r="A90" s="8">
        <v>89</v>
      </c>
      <c r="B90" s="9" t="s">
        <v>35</v>
      </c>
      <c r="C90" s="9" t="s">
        <v>1194</v>
      </c>
      <c r="D90" s="9" t="s">
        <v>37</v>
      </c>
      <c r="E90" s="9" t="s">
        <v>1195</v>
      </c>
      <c r="F90" s="9" t="s">
        <v>1196</v>
      </c>
      <c r="G90" s="9" t="s">
        <v>1197</v>
      </c>
      <c r="H90" s="9" t="s">
        <v>48</v>
      </c>
      <c r="I90" s="9" t="s">
        <v>1198</v>
      </c>
      <c r="J90" s="9" t="s">
        <v>48</v>
      </c>
      <c r="K90" s="9" t="s">
        <v>1199</v>
      </c>
      <c r="L90" s="9">
        <v>2298100</v>
      </c>
      <c r="M90" s="9">
        <v>3283000</v>
      </c>
      <c r="N90" s="9" t="s">
        <v>1200</v>
      </c>
      <c r="O90" s="10">
        <v>45604</v>
      </c>
      <c r="P90" s="9" t="s">
        <v>1201</v>
      </c>
      <c r="Q90" s="9" t="s">
        <v>1202</v>
      </c>
      <c r="R90" s="9" t="s">
        <v>858</v>
      </c>
      <c r="S90" s="9" t="s">
        <v>48</v>
      </c>
      <c r="T90" s="9" t="s">
        <v>1128</v>
      </c>
      <c r="U90" s="9" t="s">
        <v>50</v>
      </c>
      <c r="V90" s="9" t="s">
        <v>1203</v>
      </c>
      <c r="W90" s="9" t="s">
        <v>196</v>
      </c>
      <c r="X90" s="9" t="s">
        <v>1204</v>
      </c>
      <c r="Y90" s="9" t="s">
        <v>1205</v>
      </c>
      <c r="Z90" s="9">
        <v>7</v>
      </c>
      <c r="AA90" s="9" t="s">
        <v>55</v>
      </c>
      <c r="AB90" s="9" t="s">
        <v>1206</v>
      </c>
      <c r="AC90" s="9" t="s">
        <v>185</v>
      </c>
      <c r="AD90" s="9" t="s">
        <v>943</v>
      </c>
      <c r="AE90" s="9">
        <v>2626400</v>
      </c>
      <c r="AF90" s="11">
        <v>36770</v>
      </c>
      <c r="AG90" s="9"/>
      <c r="AH90" s="9"/>
      <c r="AI90" s="9"/>
      <c r="AJ90" s="12" t="s">
        <v>11469</v>
      </c>
      <c r="AK90" s="13">
        <v>36770</v>
      </c>
      <c r="AL90" s="13"/>
      <c r="AM90" s="14">
        <f t="shared" si="1"/>
        <v>0</v>
      </c>
      <c r="AN90" s="12" t="s">
        <v>12004</v>
      </c>
    </row>
    <row r="91" spans="1:40" x14ac:dyDescent="0.25">
      <c r="A91" s="15">
        <v>90</v>
      </c>
      <c r="B91" s="12" t="s">
        <v>35</v>
      </c>
      <c r="C91" s="12" t="s">
        <v>1207</v>
      </c>
      <c r="D91" s="12" t="s">
        <v>37</v>
      </c>
      <c r="E91" s="12" t="s">
        <v>1208</v>
      </c>
      <c r="F91" s="12" t="s">
        <v>138</v>
      </c>
      <c r="G91" s="12" t="s">
        <v>1209</v>
      </c>
      <c r="H91" s="12" t="s">
        <v>1210</v>
      </c>
      <c r="I91" s="12" t="s">
        <v>1210</v>
      </c>
      <c r="J91" s="12" t="s">
        <v>1210</v>
      </c>
      <c r="K91" s="12" t="s">
        <v>1211</v>
      </c>
      <c r="L91" s="12">
        <v>2992500</v>
      </c>
      <c r="M91" s="12">
        <v>3990000</v>
      </c>
      <c r="N91" s="12" t="s">
        <v>1212</v>
      </c>
      <c r="O91" s="16">
        <v>45604</v>
      </c>
      <c r="P91" s="12" t="s">
        <v>1213</v>
      </c>
      <c r="Q91" s="12" t="s">
        <v>1214</v>
      </c>
      <c r="R91" s="12" t="s">
        <v>1215</v>
      </c>
      <c r="S91" s="12" t="s">
        <v>48</v>
      </c>
      <c r="T91" s="12" t="s">
        <v>1216</v>
      </c>
      <c r="U91" s="12" t="s">
        <v>903</v>
      </c>
      <c r="V91" s="12" t="s">
        <v>1217</v>
      </c>
      <c r="W91" s="12" t="s">
        <v>167</v>
      </c>
      <c r="X91" s="12" t="s">
        <v>197</v>
      </c>
      <c r="Y91" s="12" t="s">
        <v>1218</v>
      </c>
      <c r="Z91" s="12">
        <v>5</v>
      </c>
      <c r="AA91" s="12" t="s">
        <v>152</v>
      </c>
      <c r="AB91" s="12" t="s">
        <v>1219</v>
      </c>
      <c r="AC91" s="12" t="s">
        <v>428</v>
      </c>
      <c r="AD91" s="12" t="s">
        <v>58</v>
      </c>
      <c r="AE91" s="12">
        <v>2992500</v>
      </c>
      <c r="AF91" s="13">
        <v>59850</v>
      </c>
      <c r="AG91" s="12"/>
      <c r="AH91" s="12"/>
      <c r="AI91" s="12"/>
      <c r="AJ91" s="12" t="s">
        <v>11470</v>
      </c>
      <c r="AK91" s="13">
        <v>59850</v>
      </c>
      <c r="AL91" s="13"/>
      <c r="AM91" s="14">
        <f t="shared" si="1"/>
        <v>0</v>
      </c>
      <c r="AN91" s="12" t="s">
        <v>12004</v>
      </c>
    </row>
    <row r="92" spans="1:40" x14ac:dyDescent="0.25">
      <c r="A92" s="8">
        <v>91</v>
      </c>
      <c r="B92" s="9" t="s">
        <v>35</v>
      </c>
      <c r="C92" s="9" t="s">
        <v>1220</v>
      </c>
      <c r="D92" s="9" t="s">
        <v>37</v>
      </c>
      <c r="E92" s="9" t="s">
        <v>1221</v>
      </c>
      <c r="F92" s="9" t="s">
        <v>89</v>
      </c>
      <c r="G92" s="9" t="s">
        <v>1222</v>
      </c>
      <c r="H92" s="9" t="s">
        <v>48</v>
      </c>
      <c r="I92" s="9" t="s">
        <v>1223</v>
      </c>
      <c r="J92" s="9" t="s">
        <v>48</v>
      </c>
      <c r="K92" s="9" t="s">
        <v>1224</v>
      </c>
      <c r="L92" s="9">
        <v>2790550</v>
      </c>
      <c r="M92" s="9">
        <v>3283000</v>
      </c>
      <c r="N92" s="9" t="s">
        <v>1225</v>
      </c>
      <c r="O92" s="10">
        <v>45604</v>
      </c>
      <c r="P92" s="9" t="s">
        <v>1226</v>
      </c>
      <c r="Q92" s="9" t="s">
        <v>1227</v>
      </c>
      <c r="R92" s="9" t="s">
        <v>858</v>
      </c>
      <c r="S92" s="9" t="s">
        <v>48</v>
      </c>
      <c r="T92" s="9" t="s">
        <v>1128</v>
      </c>
      <c r="U92" s="9" t="s">
        <v>50</v>
      </c>
      <c r="V92" s="9" t="s">
        <v>1228</v>
      </c>
      <c r="W92" s="9" t="s">
        <v>1053</v>
      </c>
      <c r="X92" s="9" t="s">
        <v>457</v>
      </c>
      <c r="Y92" s="9" t="s">
        <v>1229</v>
      </c>
      <c r="Z92" s="9">
        <v>4</v>
      </c>
      <c r="AA92" s="9" t="s">
        <v>55</v>
      </c>
      <c r="AB92" s="9" t="s">
        <v>1230</v>
      </c>
      <c r="AC92" s="9" t="s">
        <v>967</v>
      </c>
      <c r="AD92" s="9" t="s">
        <v>943</v>
      </c>
      <c r="AE92" s="9">
        <v>2626400</v>
      </c>
      <c r="AF92" s="11">
        <v>36770</v>
      </c>
      <c r="AG92" s="9"/>
      <c r="AH92" s="9"/>
      <c r="AI92" s="9"/>
      <c r="AJ92" s="12" t="s">
        <v>11471</v>
      </c>
      <c r="AK92" s="13">
        <v>36770</v>
      </c>
      <c r="AL92" s="13"/>
      <c r="AM92" s="14">
        <f t="shared" si="1"/>
        <v>0</v>
      </c>
      <c r="AN92" s="12" t="s">
        <v>12004</v>
      </c>
    </row>
    <row r="93" spans="1:40" x14ac:dyDescent="0.25">
      <c r="A93" s="15">
        <v>92</v>
      </c>
      <c r="B93" s="12" t="s">
        <v>35</v>
      </c>
      <c r="C93" s="12" t="s">
        <v>1231</v>
      </c>
      <c r="D93" s="12" t="s">
        <v>37</v>
      </c>
      <c r="E93" s="12" t="s">
        <v>1232</v>
      </c>
      <c r="F93" s="12" t="s">
        <v>245</v>
      </c>
      <c r="G93" s="12" t="s">
        <v>1233</v>
      </c>
      <c r="H93" s="12" t="s">
        <v>1234</v>
      </c>
      <c r="I93" s="12" t="s">
        <v>48</v>
      </c>
      <c r="J93" s="12" t="s">
        <v>1235</v>
      </c>
      <c r="K93" s="12" t="s">
        <v>1236</v>
      </c>
      <c r="L93" s="12">
        <v>2729300</v>
      </c>
      <c r="M93" s="12">
        <v>3899000</v>
      </c>
      <c r="N93" s="12" t="s">
        <v>1237</v>
      </c>
      <c r="O93" s="16">
        <v>45604</v>
      </c>
      <c r="P93" s="12" t="s">
        <v>1238</v>
      </c>
      <c r="Q93" s="12" t="s">
        <v>1239</v>
      </c>
      <c r="R93" s="12" t="s">
        <v>47</v>
      </c>
      <c r="S93" s="12" t="s">
        <v>48</v>
      </c>
      <c r="T93" s="12" t="s">
        <v>1240</v>
      </c>
      <c r="U93" s="12" t="s">
        <v>50</v>
      </c>
      <c r="V93" s="12" t="s">
        <v>1241</v>
      </c>
      <c r="W93" s="12" t="s">
        <v>196</v>
      </c>
      <c r="X93" s="12" t="s">
        <v>401</v>
      </c>
      <c r="Y93" s="12" t="s">
        <v>1242</v>
      </c>
      <c r="Z93" s="12">
        <v>5</v>
      </c>
      <c r="AA93" s="12" t="s">
        <v>55</v>
      </c>
      <c r="AB93" s="12" t="s">
        <v>1243</v>
      </c>
      <c r="AC93" s="12" t="s">
        <v>967</v>
      </c>
      <c r="AD93" s="12" t="s">
        <v>58</v>
      </c>
      <c r="AE93" s="12">
        <v>3119200</v>
      </c>
      <c r="AF93" s="13">
        <v>62384</v>
      </c>
      <c r="AG93" s="12"/>
      <c r="AH93" s="12"/>
      <c r="AI93" s="12"/>
      <c r="AJ93" s="12" t="s">
        <v>11472</v>
      </c>
      <c r="AK93" s="13">
        <v>62384</v>
      </c>
      <c r="AL93" s="13"/>
      <c r="AM93" s="14">
        <f t="shared" si="1"/>
        <v>0</v>
      </c>
      <c r="AN93" s="12" t="s">
        <v>12004</v>
      </c>
    </row>
    <row r="94" spans="1:40" x14ac:dyDescent="0.25">
      <c r="A94" s="8">
        <v>93</v>
      </c>
      <c r="B94" s="9" t="s">
        <v>35</v>
      </c>
      <c r="C94" s="9" t="s">
        <v>1244</v>
      </c>
      <c r="D94" s="9" t="s">
        <v>37</v>
      </c>
      <c r="E94" s="9" t="s">
        <v>1245</v>
      </c>
      <c r="F94" s="9" t="s">
        <v>107</v>
      </c>
      <c r="G94" s="9" t="s">
        <v>1246</v>
      </c>
      <c r="H94" s="9" t="s">
        <v>1247</v>
      </c>
      <c r="I94" s="9" t="s">
        <v>1247</v>
      </c>
      <c r="J94" s="9" t="s">
        <v>1247</v>
      </c>
      <c r="K94" s="9" t="s">
        <v>1248</v>
      </c>
      <c r="L94" s="9">
        <v>987900</v>
      </c>
      <c r="M94" s="9">
        <v>1335000</v>
      </c>
      <c r="N94" s="9" t="s">
        <v>1249</v>
      </c>
      <c r="O94" s="10">
        <v>45605</v>
      </c>
      <c r="P94" s="9" t="s">
        <v>1250</v>
      </c>
      <c r="Q94" s="9" t="s">
        <v>1251</v>
      </c>
      <c r="R94" s="9" t="s">
        <v>47</v>
      </c>
      <c r="S94" s="9" t="s">
        <v>48</v>
      </c>
      <c r="T94" s="9" t="s">
        <v>194</v>
      </c>
      <c r="U94" s="9" t="s">
        <v>50</v>
      </c>
      <c r="V94" s="9" t="s">
        <v>1252</v>
      </c>
      <c r="W94" s="9" t="s">
        <v>196</v>
      </c>
      <c r="X94" s="9" t="s">
        <v>1204</v>
      </c>
      <c r="Y94" s="9" t="s">
        <v>1253</v>
      </c>
      <c r="Z94" s="9">
        <v>7</v>
      </c>
      <c r="AA94" s="9" t="s">
        <v>323</v>
      </c>
      <c r="AB94" s="9" t="s">
        <v>1254</v>
      </c>
      <c r="AC94" s="9" t="s">
        <v>1252</v>
      </c>
      <c r="AD94" s="9" t="s">
        <v>58</v>
      </c>
      <c r="AE94" s="9">
        <v>1068000</v>
      </c>
      <c r="AF94" s="11">
        <v>21360</v>
      </c>
      <c r="AG94" s="9"/>
      <c r="AH94" s="9"/>
      <c r="AI94" s="9"/>
      <c r="AJ94" s="12" t="s">
        <v>11473</v>
      </c>
      <c r="AK94" s="13">
        <v>21360</v>
      </c>
      <c r="AL94" s="13"/>
      <c r="AM94" s="14">
        <f t="shared" si="1"/>
        <v>0</v>
      </c>
      <c r="AN94" s="12" t="s">
        <v>12004</v>
      </c>
    </row>
    <row r="95" spans="1:40" x14ac:dyDescent="0.25">
      <c r="A95" s="15">
        <v>94</v>
      </c>
      <c r="B95" s="12" t="s">
        <v>35</v>
      </c>
      <c r="C95" s="12" t="s">
        <v>1255</v>
      </c>
      <c r="D95" s="12" t="s">
        <v>37</v>
      </c>
      <c r="E95" s="12" t="s">
        <v>1256</v>
      </c>
      <c r="F95" s="12" t="s">
        <v>39</v>
      </c>
      <c r="G95" s="12" t="s">
        <v>1257</v>
      </c>
      <c r="H95" s="12" t="s">
        <v>1258</v>
      </c>
      <c r="I95" s="12" t="s">
        <v>1259</v>
      </c>
      <c r="J95" s="12" t="s">
        <v>1258</v>
      </c>
      <c r="K95" s="12" t="s">
        <v>1260</v>
      </c>
      <c r="L95" s="12">
        <v>1077300</v>
      </c>
      <c r="M95" s="12">
        <v>1539000</v>
      </c>
      <c r="N95" s="12" t="s">
        <v>1261</v>
      </c>
      <c r="O95" s="16">
        <v>45605</v>
      </c>
      <c r="P95" s="12" t="s">
        <v>1262</v>
      </c>
      <c r="Q95" s="12" t="s">
        <v>1263</v>
      </c>
      <c r="R95" s="12" t="s">
        <v>47</v>
      </c>
      <c r="S95" s="12" t="s">
        <v>48</v>
      </c>
      <c r="T95" s="12" t="s">
        <v>1264</v>
      </c>
      <c r="U95" s="12" t="s">
        <v>50</v>
      </c>
      <c r="V95" s="12" t="s">
        <v>1265</v>
      </c>
      <c r="W95" s="12" t="s">
        <v>196</v>
      </c>
      <c r="X95" s="12" t="s">
        <v>401</v>
      </c>
      <c r="Y95" s="12" t="s">
        <v>1266</v>
      </c>
      <c r="Z95" s="12">
        <v>5</v>
      </c>
      <c r="AA95" s="12" t="s">
        <v>55</v>
      </c>
      <c r="AB95" s="12" t="s">
        <v>1267</v>
      </c>
      <c r="AC95" s="12" t="s">
        <v>1265</v>
      </c>
      <c r="AD95" s="12" t="s">
        <v>58</v>
      </c>
      <c r="AE95" s="12">
        <v>1231200</v>
      </c>
      <c r="AF95" s="13">
        <v>24624</v>
      </c>
      <c r="AG95" s="12"/>
      <c r="AH95" s="12"/>
      <c r="AI95" s="12"/>
      <c r="AJ95" s="12" t="s">
        <v>11474</v>
      </c>
      <c r="AK95" s="13">
        <v>24624</v>
      </c>
      <c r="AL95" s="13"/>
      <c r="AM95" s="14">
        <f t="shared" si="1"/>
        <v>0</v>
      </c>
      <c r="AN95" s="12" t="s">
        <v>12004</v>
      </c>
    </row>
    <row r="96" spans="1:40" x14ac:dyDescent="0.25">
      <c r="A96" s="8">
        <v>95</v>
      </c>
      <c r="B96" s="9" t="s">
        <v>35</v>
      </c>
      <c r="C96" s="9" t="s">
        <v>1268</v>
      </c>
      <c r="D96" s="9" t="s">
        <v>37</v>
      </c>
      <c r="E96" s="9" t="s">
        <v>1269</v>
      </c>
      <c r="F96" s="9" t="s">
        <v>138</v>
      </c>
      <c r="G96" s="9" t="s">
        <v>1270</v>
      </c>
      <c r="H96" s="9" t="s">
        <v>1271</v>
      </c>
      <c r="I96" s="9" t="s">
        <v>1271</v>
      </c>
      <c r="J96" s="9" t="s">
        <v>141</v>
      </c>
      <c r="K96" s="9" t="s">
        <v>1272</v>
      </c>
      <c r="L96" s="9">
        <v>1088430</v>
      </c>
      <c r="M96" s="9">
        <v>1533000</v>
      </c>
      <c r="N96" s="9" t="s">
        <v>1273</v>
      </c>
      <c r="O96" s="10">
        <v>45605</v>
      </c>
      <c r="P96" s="9" t="s">
        <v>1274</v>
      </c>
      <c r="Q96" s="9" t="s">
        <v>1275</v>
      </c>
      <c r="R96" s="9" t="s">
        <v>47</v>
      </c>
      <c r="S96" s="9" t="s">
        <v>48</v>
      </c>
      <c r="T96" s="9" t="s">
        <v>1276</v>
      </c>
      <c r="U96" s="9" t="s">
        <v>50</v>
      </c>
      <c r="V96" s="9" t="s">
        <v>211</v>
      </c>
      <c r="W96" s="9" t="s">
        <v>52</v>
      </c>
      <c r="X96" s="9" t="s">
        <v>53</v>
      </c>
      <c r="Y96" s="9" t="s">
        <v>1277</v>
      </c>
      <c r="Z96" s="9">
        <v>5</v>
      </c>
      <c r="AA96" s="9" t="s">
        <v>55</v>
      </c>
      <c r="AB96" s="9" t="s">
        <v>1278</v>
      </c>
      <c r="AC96" s="9" t="s">
        <v>287</v>
      </c>
      <c r="AD96" s="9" t="s">
        <v>58</v>
      </c>
      <c r="AE96" s="9">
        <v>1226400</v>
      </c>
      <c r="AF96" s="11">
        <v>24528</v>
      </c>
      <c r="AG96" s="9"/>
      <c r="AH96" s="9"/>
      <c r="AI96" s="9"/>
      <c r="AJ96" s="12" t="s">
        <v>11475</v>
      </c>
      <c r="AK96" s="13">
        <v>24528</v>
      </c>
      <c r="AL96" s="13"/>
      <c r="AM96" s="14">
        <f t="shared" si="1"/>
        <v>0</v>
      </c>
      <c r="AN96" s="12" t="s">
        <v>12004</v>
      </c>
    </row>
    <row r="97" spans="1:40" x14ac:dyDescent="0.25">
      <c r="A97" s="15">
        <v>96</v>
      </c>
      <c r="B97" s="12" t="s">
        <v>35</v>
      </c>
      <c r="C97" s="12" t="s">
        <v>1279</v>
      </c>
      <c r="D97" s="12" t="s">
        <v>37</v>
      </c>
      <c r="E97" s="12" t="s">
        <v>1280</v>
      </c>
      <c r="F97" s="12" t="s">
        <v>138</v>
      </c>
      <c r="G97" s="12" t="s">
        <v>1281</v>
      </c>
      <c r="H97" s="12" t="s">
        <v>48</v>
      </c>
      <c r="I97" s="12" t="s">
        <v>1282</v>
      </c>
      <c r="J97" s="12" t="s">
        <v>1283</v>
      </c>
      <c r="K97" s="12" t="s">
        <v>1284</v>
      </c>
      <c r="L97" s="12">
        <v>1643000</v>
      </c>
      <c r="M97" s="12">
        <v>2650000</v>
      </c>
      <c r="N97" s="12" t="s">
        <v>1285</v>
      </c>
      <c r="O97" s="16">
        <v>45605</v>
      </c>
      <c r="P97" s="12" t="s">
        <v>1286</v>
      </c>
      <c r="Q97" s="12" t="s">
        <v>1287</v>
      </c>
      <c r="R97" s="12" t="s">
        <v>146</v>
      </c>
      <c r="S97" s="12" t="s">
        <v>1288</v>
      </c>
      <c r="T97" s="12" t="s">
        <v>1289</v>
      </c>
      <c r="U97" s="12" t="s">
        <v>496</v>
      </c>
      <c r="V97" s="12" t="s">
        <v>1290</v>
      </c>
      <c r="W97" s="12" t="s">
        <v>196</v>
      </c>
      <c r="X97" s="12" t="s">
        <v>197</v>
      </c>
      <c r="Y97" s="12" t="s">
        <v>1291</v>
      </c>
      <c r="Z97" s="12">
        <v>4</v>
      </c>
      <c r="AA97" s="12" t="s">
        <v>118</v>
      </c>
      <c r="AB97" s="12" t="s">
        <v>1292</v>
      </c>
      <c r="AC97" s="12" t="s">
        <v>52</v>
      </c>
      <c r="AD97" s="12" t="s">
        <v>58</v>
      </c>
      <c r="AE97" s="12">
        <v>2120000</v>
      </c>
      <c r="AF97" s="13">
        <v>42400</v>
      </c>
      <c r="AG97" s="12"/>
      <c r="AH97" s="12"/>
      <c r="AI97" s="12"/>
      <c r="AJ97" s="12" t="s">
        <v>11476</v>
      </c>
      <c r="AK97" s="13">
        <v>42400</v>
      </c>
      <c r="AL97" s="13"/>
      <c r="AM97" s="14">
        <f t="shared" si="1"/>
        <v>0</v>
      </c>
      <c r="AN97" s="12" t="s">
        <v>12004</v>
      </c>
    </row>
    <row r="98" spans="1:40" x14ac:dyDescent="0.25">
      <c r="A98" s="8">
        <v>97</v>
      </c>
      <c r="B98" s="9" t="s">
        <v>35</v>
      </c>
      <c r="C98" s="9" t="s">
        <v>1293</v>
      </c>
      <c r="D98" s="9" t="s">
        <v>37</v>
      </c>
      <c r="E98" s="9" t="s">
        <v>1294</v>
      </c>
      <c r="F98" s="9" t="s">
        <v>290</v>
      </c>
      <c r="G98" s="9" t="s">
        <v>1295</v>
      </c>
      <c r="H98" s="9" t="s">
        <v>1296</v>
      </c>
      <c r="I98" s="9" t="s">
        <v>1296</v>
      </c>
      <c r="J98" s="9" t="s">
        <v>1296</v>
      </c>
      <c r="K98" s="9" t="s">
        <v>1297</v>
      </c>
      <c r="L98" s="9">
        <v>1812300</v>
      </c>
      <c r="M98" s="9">
        <v>2589000</v>
      </c>
      <c r="N98" s="9" t="s">
        <v>1298</v>
      </c>
      <c r="O98" s="10">
        <v>45605</v>
      </c>
      <c r="P98" s="9" t="s">
        <v>1299</v>
      </c>
      <c r="Q98" s="9" t="s">
        <v>1300</v>
      </c>
      <c r="R98" s="9" t="s">
        <v>47</v>
      </c>
      <c r="S98" s="9" t="s">
        <v>48</v>
      </c>
      <c r="T98" s="9" t="s">
        <v>1301</v>
      </c>
      <c r="U98" s="9" t="s">
        <v>50</v>
      </c>
      <c r="V98" s="9" t="s">
        <v>116</v>
      </c>
      <c r="W98" s="9" t="s">
        <v>1053</v>
      </c>
      <c r="X98" s="9" t="s">
        <v>457</v>
      </c>
      <c r="Y98" s="9" t="s">
        <v>1302</v>
      </c>
      <c r="Z98" s="9">
        <v>4</v>
      </c>
      <c r="AA98" s="9" t="s">
        <v>118</v>
      </c>
      <c r="AB98" s="9" t="s">
        <v>1303</v>
      </c>
      <c r="AC98" s="9" t="s">
        <v>52</v>
      </c>
      <c r="AD98" s="9" t="s">
        <v>58</v>
      </c>
      <c r="AE98" s="9">
        <v>2071200</v>
      </c>
      <c r="AF98" s="11">
        <v>41424</v>
      </c>
      <c r="AG98" s="9"/>
      <c r="AH98" s="9"/>
      <c r="AI98" s="9"/>
      <c r="AJ98" s="12" t="s">
        <v>11477</v>
      </c>
      <c r="AK98" s="13">
        <v>41424</v>
      </c>
      <c r="AL98" s="13"/>
      <c r="AM98" s="14">
        <f t="shared" si="1"/>
        <v>0</v>
      </c>
      <c r="AN98" s="12" t="s">
        <v>12004</v>
      </c>
    </row>
    <row r="99" spans="1:40" x14ac:dyDescent="0.25">
      <c r="A99" s="15">
        <v>98</v>
      </c>
      <c r="B99" s="12" t="s">
        <v>35</v>
      </c>
      <c r="C99" s="12" t="s">
        <v>1304</v>
      </c>
      <c r="D99" s="12" t="s">
        <v>37</v>
      </c>
      <c r="E99" s="12" t="s">
        <v>1305</v>
      </c>
      <c r="F99" s="12" t="s">
        <v>107</v>
      </c>
      <c r="G99" s="12" t="s">
        <v>1306</v>
      </c>
      <c r="H99" s="12" t="s">
        <v>1307</v>
      </c>
      <c r="I99" s="12" t="s">
        <v>1307</v>
      </c>
      <c r="J99" s="12" t="s">
        <v>1307</v>
      </c>
      <c r="K99" s="12" t="s">
        <v>1308</v>
      </c>
      <c r="L99" s="12">
        <v>1963500</v>
      </c>
      <c r="M99" s="12">
        <v>2805000</v>
      </c>
      <c r="N99" s="12" t="s">
        <v>1309</v>
      </c>
      <c r="O99" s="16">
        <v>45605</v>
      </c>
      <c r="P99" s="12" t="s">
        <v>1310</v>
      </c>
      <c r="Q99" s="12" t="s">
        <v>1311</v>
      </c>
      <c r="R99" s="12" t="s">
        <v>47</v>
      </c>
      <c r="S99" s="12" t="s">
        <v>48</v>
      </c>
      <c r="T99" s="12" t="s">
        <v>495</v>
      </c>
      <c r="U99" s="12" t="s">
        <v>50</v>
      </c>
      <c r="V99" s="12" t="s">
        <v>52</v>
      </c>
      <c r="W99" s="12" t="s">
        <v>52</v>
      </c>
      <c r="X99" s="12" t="s">
        <v>53</v>
      </c>
      <c r="Y99" s="12" t="s">
        <v>1312</v>
      </c>
      <c r="Z99" s="12">
        <v>5</v>
      </c>
      <c r="AA99" s="12" t="s">
        <v>323</v>
      </c>
      <c r="AB99" s="12" t="s">
        <v>1313</v>
      </c>
      <c r="AC99" s="12" t="s">
        <v>967</v>
      </c>
      <c r="AD99" s="12" t="s">
        <v>58</v>
      </c>
      <c r="AE99" s="12">
        <v>2244000</v>
      </c>
      <c r="AF99" s="13">
        <v>44880</v>
      </c>
      <c r="AG99" s="12"/>
      <c r="AH99" s="12"/>
      <c r="AI99" s="12"/>
      <c r="AJ99" s="12" t="s">
        <v>11478</v>
      </c>
      <c r="AK99" s="13">
        <v>44880</v>
      </c>
      <c r="AL99" s="13"/>
      <c r="AM99" s="14">
        <f t="shared" si="1"/>
        <v>0</v>
      </c>
      <c r="AN99" s="12" t="s">
        <v>12004</v>
      </c>
    </row>
    <row r="100" spans="1:40" x14ac:dyDescent="0.25">
      <c r="A100" s="8">
        <v>99</v>
      </c>
      <c r="B100" s="9" t="s">
        <v>35</v>
      </c>
      <c r="C100" s="9" t="s">
        <v>1314</v>
      </c>
      <c r="D100" s="9" t="s">
        <v>37</v>
      </c>
      <c r="E100" s="9" t="s">
        <v>1315</v>
      </c>
      <c r="F100" s="9" t="s">
        <v>138</v>
      </c>
      <c r="G100" s="9" t="s">
        <v>1316</v>
      </c>
      <c r="H100" s="9" t="s">
        <v>1317</v>
      </c>
      <c r="I100" s="9" t="s">
        <v>1317</v>
      </c>
      <c r="J100" s="9" t="s">
        <v>141</v>
      </c>
      <c r="K100" s="9" t="s">
        <v>1318</v>
      </c>
      <c r="L100" s="9">
        <v>1330000</v>
      </c>
      <c r="M100" s="9">
        <v>1900000</v>
      </c>
      <c r="N100" s="9" t="s">
        <v>1319</v>
      </c>
      <c r="O100" s="10">
        <v>45605</v>
      </c>
      <c r="P100" s="9" t="s">
        <v>1320</v>
      </c>
      <c r="Q100" s="9" t="s">
        <v>1321</v>
      </c>
      <c r="R100" s="9" t="s">
        <v>146</v>
      </c>
      <c r="S100" s="9" t="s">
        <v>1322</v>
      </c>
      <c r="T100" s="9" t="s">
        <v>1323</v>
      </c>
      <c r="U100" s="9" t="s">
        <v>335</v>
      </c>
      <c r="V100" s="9" t="s">
        <v>150</v>
      </c>
      <c r="W100" s="9" t="s">
        <v>150</v>
      </c>
      <c r="X100" s="9" t="s">
        <v>255</v>
      </c>
      <c r="Y100" s="9" t="s">
        <v>1324</v>
      </c>
      <c r="Z100" s="9">
        <v>5</v>
      </c>
      <c r="AA100" s="9" t="s">
        <v>227</v>
      </c>
      <c r="AB100" s="9" t="s">
        <v>1325</v>
      </c>
      <c r="AC100" s="9" t="s">
        <v>904</v>
      </c>
      <c r="AD100" s="9" t="s">
        <v>86</v>
      </c>
      <c r="AE100" s="9">
        <v>1615000</v>
      </c>
      <c r="AF100" s="11">
        <v>28263</v>
      </c>
      <c r="AG100" s="9"/>
      <c r="AH100" s="9"/>
      <c r="AI100" s="9"/>
      <c r="AJ100" s="12" t="s">
        <v>11479</v>
      </c>
      <c r="AK100" s="13">
        <v>28263</v>
      </c>
      <c r="AL100" s="13"/>
      <c r="AM100" s="14">
        <f t="shared" si="1"/>
        <v>0</v>
      </c>
      <c r="AN100" s="12" t="s">
        <v>12004</v>
      </c>
    </row>
    <row r="101" spans="1:40" x14ac:dyDescent="0.25">
      <c r="A101" s="15">
        <v>100</v>
      </c>
      <c r="B101" s="12" t="s">
        <v>35</v>
      </c>
      <c r="C101" s="12" t="s">
        <v>1326</v>
      </c>
      <c r="D101" s="12" t="s">
        <v>37</v>
      </c>
      <c r="E101" s="12" t="s">
        <v>1327</v>
      </c>
      <c r="F101" s="12" t="s">
        <v>138</v>
      </c>
      <c r="G101" s="12" t="s">
        <v>1328</v>
      </c>
      <c r="H101" s="12" t="s">
        <v>1329</v>
      </c>
      <c r="I101" s="12" t="s">
        <v>1329</v>
      </c>
      <c r="J101" s="12" t="s">
        <v>141</v>
      </c>
      <c r="K101" s="12" t="s">
        <v>1330</v>
      </c>
      <c r="L101" s="12">
        <v>1260000</v>
      </c>
      <c r="M101" s="12">
        <v>1800000</v>
      </c>
      <c r="N101" s="12" t="s">
        <v>1331</v>
      </c>
      <c r="O101" s="16">
        <v>45605</v>
      </c>
      <c r="P101" s="12" t="s">
        <v>1332</v>
      </c>
      <c r="Q101" s="12" t="s">
        <v>1333</v>
      </c>
      <c r="R101" s="12" t="s">
        <v>146</v>
      </c>
      <c r="S101" s="12" t="s">
        <v>1334</v>
      </c>
      <c r="T101" s="12" t="s">
        <v>49</v>
      </c>
      <c r="U101" s="12" t="s">
        <v>98</v>
      </c>
      <c r="V101" s="12" t="s">
        <v>150</v>
      </c>
      <c r="W101" s="12" t="s">
        <v>150</v>
      </c>
      <c r="X101" s="12" t="s">
        <v>255</v>
      </c>
      <c r="Y101" s="12" t="s">
        <v>1335</v>
      </c>
      <c r="Z101" s="12">
        <v>5</v>
      </c>
      <c r="AA101" s="12" t="s">
        <v>227</v>
      </c>
      <c r="AB101" s="12" t="s">
        <v>1336</v>
      </c>
      <c r="AC101" s="12" t="s">
        <v>904</v>
      </c>
      <c r="AD101" s="12" t="s">
        <v>86</v>
      </c>
      <c r="AE101" s="12">
        <v>1530000</v>
      </c>
      <c r="AF101" s="13">
        <v>26775</v>
      </c>
      <c r="AG101" s="12"/>
      <c r="AH101" s="12"/>
      <c r="AI101" s="12"/>
      <c r="AJ101" s="12" t="s">
        <v>11480</v>
      </c>
      <c r="AK101" s="13">
        <v>26775</v>
      </c>
      <c r="AL101" s="13"/>
      <c r="AM101" s="14">
        <f t="shared" si="1"/>
        <v>0</v>
      </c>
      <c r="AN101" s="12" t="s">
        <v>12004</v>
      </c>
    </row>
    <row r="102" spans="1:40" x14ac:dyDescent="0.25">
      <c r="A102" s="8">
        <v>101</v>
      </c>
      <c r="B102" s="9" t="s">
        <v>35</v>
      </c>
      <c r="C102" s="9" t="s">
        <v>1337</v>
      </c>
      <c r="D102" s="9" t="s">
        <v>37</v>
      </c>
      <c r="E102" s="9" t="s">
        <v>1338</v>
      </c>
      <c r="F102" s="9" t="s">
        <v>138</v>
      </c>
      <c r="G102" s="9" t="s">
        <v>1339</v>
      </c>
      <c r="H102" s="9" t="s">
        <v>1340</v>
      </c>
      <c r="I102" s="9" t="s">
        <v>1340</v>
      </c>
      <c r="J102" s="9" t="s">
        <v>141</v>
      </c>
      <c r="K102" s="9" t="s">
        <v>1341</v>
      </c>
      <c r="L102" s="9">
        <v>2940000</v>
      </c>
      <c r="M102" s="9">
        <v>9800000</v>
      </c>
      <c r="N102" s="9" t="s">
        <v>1342</v>
      </c>
      <c r="O102" s="10">
        <v>45605</v>
      </c>
      <c r="P102" s="9" t="s">
        <v>1343</v>
      </c>
      <c r="Q102" s="9" t="s">
        <v>1344</v>
      </c>
      <c r="R102" s="9" t="s">
        <v>146</v>
      </c>
      <c r="S102" s="9" t="s">
        <v>1345</v>
      </c>
      <c r="T102" s="9" t="s">
        <v>1346</v>
      </c>
      <c r="U102" s="9" t="s">
        <v>98</v>
      </c>
      <c r="V102" s="9" t="s">
        <v>150</v>
      </c>
      <c r="W102" s="9" t="s">
        <v>150</v>
      </c>
      <c r="X102" s="9" t="s">
        <v>101</v>
      </c>
      <c r="Y102" s="9" t="s">
        <v>1347</v>
      </c>
      <c r="Z102" s="9">
        <v>3</v>
      </c>
      <c r="AA102" s="9" t="s">
        <v>227</v>
      </c>
      <c r="AB102" s="9" t="s">
        <v>1348</v>
      </c>
      <c r="AC102" s="9" t="s">
        <v>150</v>
      </c>
      <c r="AD102" s="9" t="s">
        <v>299</v>
      </c>
      <c r="AE102" s="9">
        <v>8330000</v>
      </c>
      <c r="AF102" s="11">
        <v>124950</v>
      </c>
      <c r="AG102" s="9"/>
      <c r="AH102" s="9"/>
      <c r="AI102" s="9"/>
      <c r="AJ102" s="12" t="s">
        <v>11481</v>
      </c>
      <c r="AK102" s="13">
        <v>124950</v>
      </c>
      <c r="AL102" s="13"/>
      <c r="AM102" s="14">
        <f t="shared" si="1"/>
        <v>0</v>
      </c>
      <c r="AN102" s="12" t="s">
        <v>12004</v>
      </c>
    </row>
    <row r="103" spans="1:40" x14ac:dyDescent="0.25">
      <c r="A103" s="15">
        <v>102</v>
      </c>
      <c r="B103" s="12" t="s">
        <v>35</v>
      </c>
      <c r="C103" s="12" t="s">
        <v>1349</v>
      </c>
      <c r="D103" s="12" t="s">
        <v>37</v>
      </c>
      <c r="E103" s="12" t="s">
        <v>1350</v>
      </c>
      <c r="F103" s="12" t="s">
        <v>107</v>
      </c>
      <c r="G103" s="12" t="s">
        <v>1351</v>
      </c>
      <c r="H103" s="12" t="s">
        <v>1352</v>
      </c>
      <c r="I103" s="12" t="s">
        <v>1353</v>
      </c>
      <c r="J103" s="12" t="s">
        <v>1354</v>
      </c>
      <c r="K103" s="12" t="s">
        <v>1355</v>
      </c>
      <c r="L103" s="12">
        <v>2207400</v>
      </c>
      <c r="M103" s="12">
        <v>3396000</v>
      </c>
      <c r="N103" s="12" t="s">
        <v>1356</v>
      </c>
      <c r="O103" s="16">
        <v>45605</v>
      </c>
      <c r="P103" s="12" t="s">
        <v>1357</v>
      </c>
      <c r="Q103" s="12" t="s">
        <v>1358</v>
      </c>
      <c r="R103" s="12" t="s">
        <v>47</v>
      </c>
      <c r="S103" s="12" t="s">
        <v>48</v>
      </c>
      <c r="T103" s="12" t="s">
        <v>1359</v>
      </c>
      <c r="U103" s="12" t="s">
        <v>148</v>
      </c>
      <c r="V103" s="12" t="s">
        <v>1360</v>
      </c>
      <c r="W103" s="12" t="s">
        <v>1080</v>
      </c>
      <c r="X103" s="12" t="s">
        <v>197</v>
      </c>
      <c r="Y103" s="12" t="s">
        <v>1361</v>
      </c>
      <c r="Z103" s="12">
        <v>3</v>
      </c>
      <c r="AA103" s="12" t="s">
        <v>152</v>
      </c>
      <c r="AB103" s="12" t="s">
        <v>1362</v>
      </c>
      <c r="AC103" s="12" t="s">
        <v>904</v>
      </c>
      <c r="AD103" s="12" t="s">
        <v>58</v>
      </c>
      <c r="AE103" s="12">
        <v>2886600</v>
      </c>
      <c r="AF103" s="13">
        <v>57732</v>
      </c>
      <c r="AG103" s="12"/>
      <c r="AH103" s="12"/>
      <c r="AI103" s="12"/>
      <c r="AJ103" s="12" t="s">
        <v>11482</v>
      </c>
      <c r="AK103" s="13">
        <v>57732</v>
      </c>
      <c r="AL103" s="13"/>
      <c r="AM103" s="14">
        <f t="shared" si="1"/>
        <v>0</v>
      </c>
      <c r="AN103" s="12" t="s">
        <v>12004</v>
      </c>
    </row>
    <row r="104" spans="1:40" x14ac:dyDescent="0.25">
      <c r="A104" s="8">
        <v>103</v>
      </c>
      <c r="B104" s="9" t="s">
        <v>35</v>
      </c>
      <c r="C104" s="9" t="s">
        <v>1363</v>
      </c>
      <c r="D104" s="9" t="s">
        <v>37</v>
      </c>
      <c r="E104" s="9" t="s">
        <v>1364</v>
      </c>
      <c r="F104" s="9" t="s">
        <v>107</v>
      </c>
      <c r="G104" s="9" t="s">
        <v>1365</v>
      </c>
      <c r="H104" s="9" t="s">
        <v>48</v>
      </c>
      <c r="I104" s="9" t="s">
        <v>1366</v>
      </c>
      <c r="J104" s="9" t="s">
        <v>48</v>
      </c>
      <c r="K104" s="9" t="s">
        <v>1367</v>
      </c>
      <c r="L104" s="9">
        <v>1470000</v>
      </c>
      <c r="M104" s="9">
        <v>2100000</v>
      </c>
      <c r="N104" s="9" t="s">
        <v>1368</v>
      </c>
      <c r="O104" s="10">
        <v>45605</v>
      </c>
      <c r="P104" s="9" t="s">
        <v>1369</v>
      </c>
      <c r="Q104" s="9" t="s">
        <v>1370</v>
      </c>
      <c r="R104" s="9" t="s">
        <v>146</v>
      </c>
      <c r="S104" s="9" t="s">
        <v>1371</v>
      </c>
      <c r="T104" s="9" t="s">
        <v>1078</v>
      </c>
      <c r="U104" s="9" t="s">
        <v>496</v>
      </c>
      <c r="V104" s="9" t="s">
        <v>1372</v>
      </c>
      <c r="W104" s="9" t="s">
        <v>1080</v>
      </c>
      <c r="X104" s="9" t="s">
        <v>168</v>
      </c>
      <c r="Y104" s="9" t="s">
        <v>1373</v>
      </c>
      <c r="Z104" s="9">
        <v>5</v>
      </c>
      <c r="AA104" s="9" t="s">
        <v>227</v>
      </c>
      <c r="AB104" s="9" t="s">
        <v>1374</v>
      </c>
      <c r="AC104" s="9" t="s">
        <v>904</v>
      </c>
      <c r="AD104" s="9" t="s">
        <v>86</v>
      </c>
      <c r="AE104" s="9">
        <v>1785000</v>
      </c>
      <c r="AF104" s="11">
        <v>31238</v>
      </c>
      <c r="AG104" s="9"/>
      <c r="AH104" s="9"/>
      <c r="AI104" s="9"/>
      <c r="AJ104" s="12" t="s">
        <v>11483</v>
      </c>
      <c r="AK104" s="13">
        <v>31238</v>
      </c>
      <c r="AL104" s="13"/>
      <c r="AM104" s="14">
        <f t="shared" si="1"/>
        <v>0</v>
      </c>
      <c r="AN104" s="12" t="s">
        <v>12004</v>
      </c>
    </row>
    <row r="105" spans="1:40" x14ac:dyDescent="0.25">
      <c r="A105" s="15">
        <v>104</v>
      </c>
      <c r="B105" s="12" t="s">
        <v>35</v>
      </c>
      <c r="C105" s="12" t="s">
        <v>1375</v>
      </c>
      <c r="D105" s="12" t="s">
        <v>37</v>
      </c>
      <c r="E105" s="12" t="s">
        <v>1376</v>
      </c>
      <c r="F105" s="12" t="s">
        <v>89</v>
      </c>
      <c r="G105" s="12" t="s">
        <v>1377</v>
      </c>
      <c r="H105" s="12" t="s">
        <v>1378</v>
      </c>
      <c r="I105" s="12" t="s">
        <v>48</v>
      </c>
      <c r="J105" s="12" t="s">
        <v>1379</v>
      </c>
      <c r="K105" s="12" t="s">
        <v>1380</v>
      </c>
      <c r="L105" s="12">
        <v>779100</v>
      </c>
      <c r="M105" s="12">
        <v>1113000</v>
      </c>
      <c r="N105" s="12" t="s">
        <v>1381</v>
      </c>
      <c r="O105" s="16">
        <v>45606</v>
      </c>
      <c r="P105" s="12" t="s">
        <v>1382</v>
      </c>
      <c r="Q105" s="12" t="s">
        <v>1383</v>
      </c>
      <c r="R105" s="12" t="s">
        <v>47</v>
      </c>
      <c r="S105" s="12" t="s">
        <v>48</v>
      </c>
      <c r="T105" s="12" t="s">
        <v>1384</v>
      </c>
      <c r="U105" s="12" t="s">
        <v>50</v>
      </c>
      <c r="V105" s="12" t="s">
        <v>993</v>
      </c>
      <c r="W105" s="12" t="s">
        <v>1053</v>
      </c>
      <c r="X105" s="12" t="s">
        <v>388</v>
      </c>
      <c r="Y105" s="12" t="s">
        <v>1385</v>
      </c>
      <c r="Z105" s="12">
        <v>5</v>
      </c>
      <c r="AA105" s="12" t="s">
        <v>55</v>
      </c>
      <c r="AB105" s="12" t="s">
        <v>1386</v>
      </c>
      <c r="AC105" s="12" t="s">
        <v>1387</v>
      </c>
      <c r="AD105" s="12" t="s">
        <v>58</v>
      </c>
      <c r="AE105" s="12">
        <v>890400</v>
      </c>
      <c r="AF105" s="13">
        <v>17808</v>
      </c>
      <c r="AG105" s="12"/>
      <c r="AH105" s="12"/>
      <c r="AI105" s="12"/>
      <c r="AJ105" s="12" t="s">
        <v>11484</v>
      </c>
      <c r="AK105" s="13">
        <v>17808</v>
      </c>
      <c r="AL105" s="13"/>
      <c r="AM105" s="14">
        <f t="shared" si="1"/>
        <v>0</v>
      </c>
      <c r="AN105" s="12" t="s">
        <v>12004</v>
      </c>
    </row>
    <row r="106" spans="1:40" x14ac:dyDescent="0.25">
      <c r="A106" s="8">
        <v>105</v>
      </c>
      <c r="B106" s="9" t="s">
        <v>35</v>
      </c>
      <c r="C106" s="9" t="s">
        <v>1388</v>
      </c>
      <c r="D106" s="9" t="s">
        <v>37</v>
      </c>
      <c r="E106" s="9" t="s">
        <v>1389</v>
      </c>
      <c r="F106" s="9" t="s">
        <v>89</v>
      </c>
      <c r="G106" s="9" t="s">
        <v>1390</v>
      </c>
      <c r="H106" s="9" t="s">
        <v>631</v>
      </c>
      <c r="I106" s="9" t="s">
        <v>1391</v>
      </c>
      <c r="J106" s="9" t="s">
        <v>1392</v>
      </c>
      <c r="K106" s="9" t="s">
        <v>1393</v>
      </c>
      <c r="L106" s="9">
        <v>1795800</v>
      </c>
      <c r="M106" s="9">
        <v>2993000</v>
      </c>
      <c r="N106" s="9" t="s">
        <v>1394</v>
      </c>
      <c r="O106" s="10">
        <v>45606</v>
      </c>
      <c r="P106" s="9" t="s">
        <v>1395</v>
      </c>
      <c r="Q106" s="9" t="s">
        <v>1396</v>
      </c>
      <c r="R106" s="9" t="s">
        <v>47</v>
      </c>
      <c r="S106" s="9" t="s">
        <v>48</v>
      </c>
      <c r="T106" s="9" t="s">
        <v>1397</v>
      </c>
      <c r="U106" s="9" t="s">
        <v>98</v>
      </c>
      <c r="V106" s="9" t="s">
        <v>1398</v>
      </c>
      <c r="W106" s="9" t="s">
        <v>167</v>
      </c>
      <c r="X106" s="9" t="s">
        <v>197</v>
      </c>
      <c r="Y106" s="9" t="s">
        <v>1399</v>
      </c>
      <c r="Z106" s="9">
        <v>5</v>
      </c>
      <c r="AA106" s="9" t="s">
        <v>227</v>
      </c>
      <c r="AB106" s="9" t="s">
        <v>1400</v>
      </c>
      <c r="AC106" s="9" t="s">
        <v>100</v>
      </c>
      <c r="AD106" s="9" t="s">
        <v>58</v>
      </c>
      <c r="AE106" s="9">
        <v>2244750</v>
      </c>
      <c r="AF106" s="11">
        <v>44895</v>
      </c>
      <c r="AG106" s="9"/>
      <c r="AH106" s="9"/>
      <c r="AI106" s="9"/>
      <c r="AJ106" s="12" t="s">
        <v>11485</v>
      </c>
      <c r="AK106" s="13">
        <v>44895</v>
      </c>
      <c r="AL106" s="13"/>
      <c r="AM106" s="14">
        <f t="shared" si="1"/>
        <v>0</v>
      </c>
      <c r="AN106" s="12" t="s">
        <v>12004</v>
      </c>
    </row>
    <row r="107" spans="1:40" x14ac:dyDescent="0.25">
      <c r="A107" s="15">
        <v>106</v>
      </c>
      <c r="B107" s="12" t="s">
        <v>35</v>
      </c>
      <c r="C107" s="12" t="s">
        <v>1401</v>
      </c>
      <c r="D107" s="12" t="s">
        <v>37</v>
      </c>
      <c r="E107" s="12" t="s">
        <v>1402</v>
      </c>
      <c r="F107" s="12" t="s">
        <v>107</v>
      </c>
      <c r="G107" s="12" t="s">
        <v>1403</v>
      </c>
      <c r="H107" s="12" t="s">
        <v>1404</v>
      </c>
      <c r="I107" s="12" t="s">
        <v>1404</v>
      </c>
      <c r="J107" s="12" t="s">
        <v>1405</v>
      </c>
      <c r="K107" s="12" t="s">
        <v>1406</v>
      </c>
      <c r="L107" s="12">
        <v>2382100</v>
      </c>
      <c r="M107" s="12">
        <v>3403000</v>
      </c>
      <c r="N107" s="12" t="s">
        <v>1407</v>
      </c>
      <c r="O107" s="16">
        <v>45606</v>
      </c>
      <c r="P107" s="12" t="s">
        <v>1408</v>
      </c>
      <c r="Q107" s="12" t="s">
        <v>1409</v>
      </c>
      <c r="R107" s="12" t="s">
        <v>47</v>
      </c>
      <c r="S107" s="12" t="s">
        <v>48</v>
      </c>
      <c r="T107" s="12" t="s">
        <v>1189</v>
      </c>
      <c r="U107" s="12" t="s">
        <v>50</v>
      </c>
      <c r="V107" s="12" t="s">
        <v>1410</v>
      </c>
      <c r="W107" s="12" t="s">
        <v>132</v>
      </c>
      <c r="X107" s="12" t="s">
        <v>133</v>
      </c>
      <c r="Y107" s="12" t="s">
        <v>1411</v>
      </c>
      <c r="Z107" s="12">
        <v>5</v>
      </c>
      <c r="AA107" s="12" t="s">
        <v>55</v>
      </c>
      <c r="AB107" s="12" t="s">
        <v>1412</v>
      </c>
      <c r="AC107" s="12" t="s">
        <v>52</v>
      </c>
      <c r="AD107" s="12" t="s">
        <v>58</v>
      </c>
      <c r="AE107" s="12">
        <v>2722400</v>
      </c>
      <c r="AF107" s="13">
        <v>54448</v>
      </c>
      <c r="AG107" s="12"/>
      <c r="AH107" s="12"/>
      <c r="AI107" s="12"/>
      <c r="AJ107" s="12" t="s">
        <v>11486</v>
      </c>
      <c r="AK107" s="13">
        <v>54448</v>
      </c>
      <c r="AL107" s="13"/>
      <c r="AM107" s="14">
        <f t="shared" si="1"/>
        <v>0</v>
      </c>
      <c r="AN107" s="12" t="s">
        <v>12004</v>
      </c>
    </row>
    <row r="108" spans="1:40" x14ac:dyDescent="0.25">
      <c r="A108" s="8">
        <v>107</v>
      </c>
      <c r="B108" s="9" t="s">
        <v>35</v>
      </c>
      <c r="C108" s="9" t="s">
        <v>1413</v>
      </c>
      <c r="D108" s="9" t="s">
        <v>37</v>
      </c>
      <c r="E108" s="9" t="s">
        <v>1414</v>
      </c>
      <c r="F108" s="9" t="s">
        <v>73</v>
      </c>
      <c r="G108" s="9" t="s">
        <v>1415</v>
      </c>
      <c r="H108" s="9" t="s">
        <v>48</v>
      </c>
      <c r="I108" s="9" t="s">
        <v>1416</v>
      </c>
      <c r="J108" s="9" t="s">
        <v>48</v>
      </c>
      <c r="K108" s="9" t="s">
        <v>1417</v>
      </c>
      <c r="L108" s="9">
        <v>3963170</v>
      </c>
      <c r="M108" s="9">
        <v>5429000</v>
      </c>
      <c r="N108" s="9" t="s">
        <v>1418</v>
      </c>
      <c r="O108" s="10">
        <v>45606</v>
      </c>
      <c r="P108" s="9" t="s">
        <v>1419</v>
      </c>
      <c r="Q108" s="9" t="s">
        <v>1420</v>
      </c>
      <c r="R108" s="9" t="s">
        <v>47</v>
      </c>
      <c r="S108" s="9" t="s">
        <v>48</v>
      </c>
      <c r="T108" s="9" t="s">
        <v>1421</v>
      </c>
      <c r="U108" s="9" t="s">
        <v>98</v>
      </c>
      <c r="V108" s="9" t="s">
        <v>1422</v>
      </c>
      <c r="W108" s="9" t="s">
        <v>167</v>
      </c>
      <c r="X108" s="9" t="s">
        <v>197</v>
      </c>
      <c r="Y108" s="9" t="s">
        <v>1423</v>
      </c>
      <c r="Z108" s="9">
        <v>5</v>
      </c>
      <c r="AA108" s="9" t="s">
        <v>48</v>
      </c>
      <c r="AB108" s="9" t="s">
        <v>48</v>
      </c>
      <c r="AC108" s="9" t="s">
        <v>48</v>
      </c>
      <c r="AD108" s="9" t="s">
        <v>299</v>
      </c>
      <c r="AE108" s="9">
        <v>4071750</v>
      </c>
      <c r="AF108" s="11">
        <v>61076</v>
      </c>
      <c r="AG108" s="9"/>
      <c r="AH108" s="9"/>
      <c r="AI108" s="9"/>
      <c r="AJ108" s="12" t="s">
        <v>11487</v>
      </c>
      <c r="AK108" s="13">
        <v>61076</v>
      </c>
      <c r="AL108" s="13"/>
      <c r="AM108" s="14">
        <f t="shared" si="1"/>
        <v>0</v>
      </c>
      <c r="AN108" s="12" t="s">
        <v>12004</v>
      </c>
    </row>
    <row r="109" spans="1:40" x14ac:dyDescent="0.25">
      <c r="A109" s="15">
        <v>108</v>
      </c>
      <c r="B109" s="12" t="s">
        <v>35</v>
      </c>
      <c r="C109" s="12" t="s">
        <v>1424</v>
      </c>
      <c r="D109" s="12" t="s">
        <v>37</v>
      </c>
      <c r="E109" s="12" t="s">
        <v>1425</v>
      </c>
      <c r="F109" s="12" t="s">
        <v>138</v>
      </c>
      <c r="G109" s="12" t="s">
        <v>1426</v>
      </c>
      <c r="H109" s="12" t="s">
        <v>48</v>
      </c>
      <c r="I109" s="12" t="s">
        <v>48</v>
      </c>
      <c r="J109" s="12" t="s">
        <v>48</v>
      </c>
      <c r="K109" s="12" t="s">
        <v>1427</v>
      </c>
      <c r="L109" s="12">
        <v>1645000</v>
      </c>
      <c r="M109" s="12">
        <v>2350000</v>
      </c>
      <c r="N109" s="12" t="s">
        <v>1428</v>
      </c>
      <c r="O109" s="16">
        <v>45606</v>
      </c>
      <c r="P109" s="12" t="s">
        <v>1429</v>
      </c>
      <c r="Q109" s="12" t="s">
        <v>1430</v>
      </c>
      <c r="R109" s="12" t="s">
        <v>146</v>
      </c>
      <c r="S109" s="12" t="s">
        <v>1431</v>
      </c>
      <c r="T109" s="12" t="s">
        <v>613</v>
      </c>
      <c r="U109" s="12" t="s">
        <v>148</v>
      </c>
      <c r="V109" s="12" t="s">
        <v>150</v>
      </c>
      <c r="W109" s="12" t="s">
        <v>150</v>
      </c>
      <c r="X109" s="12" t="s">
        <v>53</v>
      </c>
      <c r="Y109" s="12" t="s">
        <v>1432</v>
      </c>
      <c r="Z109" s="12">
        <v>4</v>
      </c>
      <c r="AA109" s="12" t="s">
        <v>227</v>
      </c>
      <c r="AB109" s="12" t="s">
        <v>1433</v>
      </c>
      <c r="AC109" s="12" t="s">
        <v>150</v>
      </c>
      <c r="AD109" s="12" t="s">
        <v>299</v>
      </c>
      <c r="AE109" s="12">
        <v>1997500</v>
      </c>
      <c r="AF109" s="13">
        <v>29963</v>
      </c>
      <c r="AG109" s="12"/>
      <c r="AH109" s="12"/>
      <c r="AI109" s="12"/>
      <c r="AJ109" s="12" t="s">
        <v>11488</v>
      </c>
      <c r="AK109" s="13">
        <v>29963</v>
      </c>
      <c r="AL109" s="13"/>
      <c r="AM109" s="14">
        <f t="shared" si="1"/>
        <v>0</v>
      </c>
      <c r="AN109" s="12" t="s">
        <v>12004</v>
      </c>
    </row>
    <row r="110" spans="1:40" x14ac:dyDescent="0.25">
      <c r="A110" s="8">
        <v>109</v>
      </c>
      <c r="B110" s="9" t="s">
        <v>35</v>
      </c>
      <c r="C110" s="9" t="s">
        <v>1434</v>
      </c>
      <c r="D110" s="9" t="s">
        <v>37</v>
      </c>
      <c r="E110" s="9" t="s">
        <v>1435</v>
      </c>
      <c r="F110" s="9" t="s">
        <v>245</v>
      </c>
      <c r="G110" s="9" t="s">
        <v>1436</v>
      </c>
      <c r="H110" s="9" t="s">
        <v>1437</v>
      </c>
      <c r="I110" s="9" t="s">
        <v>48</v>
      </c>
      <c r="J110" s="9" t="s">
        <v>1438</v>
      </c>
      <c r="K110" s="9" t="s">
        <v>1439</v>
      </c>
      <c r="L110" s="9">
        <v>1040000</v>
      </c>
      <c r="M110" s="9">
        <v>1600000</v>
      </c>
      <c r="N110" s="9" t="s">
        <v>1440</v>
      </c>
      <c r="O110" s="10">
        <v>45607</v>
      </c>
      <c r="P110" s="9" t="s">
        <v>1441</v>
      </c>
      <c r="Q110" s="9" t="s">
        <v>1442</v>
      </c>
      <c r="R110" s="9" t="s">
        <v>146</v>
      </c>
      <c r="S110" s="9" t="s">
        <v>1443</v>
      </c>
      <c r="T110" s="9" t="s">
        <v>181</v>
      </c>
      <c r="U110" s="9" t="s">
        <v>496</v>
      </c>
      <c r="V110" s="9" t="s">
        <v>1265</v>
      </c>
      <c r="W110" s="9" t="s">
        <v>196</v>
      </c>
      <c r="X110" s="9" t="s">
        <v>401</v>
      </c>
      <c r="Y110" s="9" t="s">
        <v>1444</v>
      </c>
      <c r="Z110" s="9">
        <v>5</v>
      </c>
      <c r="AA110" s="9" t="s">
        <v>118</v>
      </c>
      <c r="AB110" s="9" t="s">
        <v>1445</v>
      </c>
      <c r="AC110" s="9" t="s">
        <v>1290</v>
      </c>
      <c r="AD110" s="9" t="s">
        <v>58</v>
      </c>
      <c r="AE110" s="9">
        <v>1280000</v>
      </c>
      <c r="AF110" s="11">
        <v>25600</v>
      </c>
      <c r="AG110" s="9"/>
      <c r="AH110" s="9"/>
      <c r="AI110" s="9"/>
      <c r="AJ110" s="12" t="s">
        <v>11489</v>
      </c>
      <c r="AK110" s="13">
        <v>25600</v>
      </c>
      <c r="AL110" s="13"/>
      <c r="AM110" s="14">
        <f t="shared" si="1"/>
        <v>0</v>
      </c>
      <c r="AN110" s="12" t="s">
        <v>12004</v>
      </c>
    </row>
    <row r="111" spans="1:40" x14ac:dyDescent="0.25">
      <c r="A111" s="15">
        <v>110</v>
      </c>
      <c r="B111" s="12" t="s">
        <v>35</v>
      </c>
      <c r="C111" s="12" t="s">
        <v>1446</v>
      </c>
      <c r="D111" s="12" t="s">
        <v>37</v>
      </c>
      <c r="E111" s="12" t="s">
        <v>1447</v>
      </c>
      <c r="F111" s="12" t="s">
        <v>525</v>
      </c>
      <c r="G111" s="12" t="s">
        <v>1448</v>
      </c>
      <c r="H111" s="12" t="s">
        <v>1449</v>
      </c>
      <c r="I111" s="12" t="s">
        <v>1449</v>
      </c>
      <c r="J111" s="12" t="s">
        <v>1449</v>
      </c>
      <c r="K111" s="12" t="s">
        <v>1450</v>
      </c>
      <c r="L111" s="12">
        <v>1278400</v>
      </c>
      <c r="M111" s="12">
        <v>1598000</v>
      </c>
      <c r="N111" s="12" t="s">
        <v>1451</v>
      </c>
      <c r="O111" s="16">
        <v>45607</v>
      </c>
      <c r="P111" s="12" t="s">
        <v>1452</v>
      </c>
      <c r="Q111" s="12" t="s">
        <v>1453</v>
      </c>
      <c r="R111" s="12" t="s">
        <v>47</v>
      </c>
      <c r="S111" s="12" t="s">
        <v>48</v>
      </c>
      <c r="T111" s="12" t="s">
        <v>414</v>
      </c>
      <c r="U111" s="12" t="s">
        <v>98</v>
      </c>
      <c r="V111" s="12" t="s">
        <v>455</v>
      </c>
      <c r="W111" s="12" t="s">
        <v>532</v>
      </c>
      <c r="X111" s="12" t="s">
        <v>533</v>
      </c>
      <c r="Y111" s="12" t="s">
        <v>1454</v>
      </c>
      <c r="Z111" s="12">
        <v>5</v>
      </c>
      <c r="AA111" s="12" t="s">
        <v>55</v>
      </c>
      <c r="AB111" s="12" t="s">
        <v>1455</v>
      </c>
      <c r="AC111" s="12" t="s">
        <v>100</v>
      </c>
      <c r="AD111" s="12" t="s">
        <v>58</v>
      </c>
      <c r="AE111" s="12">
        <v>1198500</v>
      </c>
      <c r="AF111" s="13">
        <v>23970</v>
      </c>
      <c r="AG111" s="12"/>
      <c r="AH111" s="12"/>
      <c r="AI111" s="12"/>
      <c r="AJ111" s="12" t="s">
        <v>11490</v>
      </c>
      <c r="AK111" s="13">
        <v>23970</v>
      </c>
      <c r="AL111" s="13"/>
      <c r="AM111" s="14">
        <f t="shared" si="1"/>
        <v>0</v>
      </c>
      <c r="AN111" s="12" t="s">
        <v>12004</v>
      </c>
    </row>
    <row r="112" spans="1:40" x14ac:dyDescent="0.25">
      <c r="A112" s="8">
        <v>111</v>
      </c>
      <c r="B112" s="9" t="s">
        <v>35</v>
      </c>
      <c r="C112" s="9" t="s">
        <v>1456</v>
      </c>
      <c r="D112" s="9" t="s">
        <v>37</v>
      </c>
      <c r="E112" s="9" t="s">
        <v>1457</v>
      </c>
      <c r="F112" s="9" t="s">
        <v>107</v>
      </c>
      <c r="G112" s="9" t="s">
        <v>1458</v>
      </c>
      <c r="H112" s="9" t="s">
        <v>48</v>
      </c>
      <c r="I112" s="9" t="s">
        <v>1459</v>
      </c>
      <c r="J112" s="9" t="s">
        <v>1460</v>
      </c>
      <c r="K112" s="9" t="s">
        <v>1461</v>
      </c>
      <c r="L112" s="9">
        <v>1216800</v>
      </c>
      <c r="M112" s="9">
        <v>1521000</v>
      </c>
      <c r="N112" s="9" t="s">
        <v>1462</v>
      </c>
      <c r="O112" s="10">
        <v>45607</v>
      </c>
      <c r="P112" s="9" t="s">
        <v>1463</v>
      </c>
      <c r="Q112" s="9" t="s">
        <v>1464</v>
      </c>
      <c r="R112" s="9" t="s">
        <v>47</v>
      </c>
      <c r="S112" s="9" t="s">
        <v>48</v>
      </c>
      <c r="T112" s="9" t="s">
        <v>783</v>
      </c>
      <c r="U112" s="9" t="s">
        <v>50</v>
      </c>
      <c r="V112" s="9" t="s">
        <v>1115</v>
      </c>
      <c r="W112" s="9" t="s">
        <v>196</v>
      </c>
      <c r="X112" s="9" t="s">
        <v>401</v>
      </c>
      <c r="Y112" s="9" t="s">
        <v>1465</v>
      </c>
      <c r="Z112" s="9">
        <v>5</v>
      </c>
      <c r="AA112" s="9" t="s">
        <v>55</v>
      </c>
      <c r="AB112" s="9" t="s">
        <v>1466</v>
      </c>
      <c r="AC112" s="9" t="s">
        <v>1290</v>
      </c>
      <c r="AD112" s="9" t="s">
        <v>58</v>
      </c>
      <c r="AE112" s="9">
        <v>1216800</v>
      </c>
      <c r="AF112" s="11">
        <v>24336</v>
      </c>
      <c r="AG112" s="9"/>
      <c r="AH112" s="9"/>
      <c r="AI112" s="9"/>
      <c r="AJ112" s="12" t="s">
        <v>11491</v>
      </c>
      <c r="AK112" s="13">
        <v>24336</v>
      </c>
      <c r="AL112" s="13"/>
      <c r="AM112" s="14">
        <f t="shared" si="1"/>
        <v>0</v>
      </c>
      <c r="AN112" s="12" t="s">
        <v>12004</v>
      </c>
    </row>
    <row r="113" spans="1:40" x14ac:dyDescent="0.25">
      <c r="A113" s="15">
        <v>112</v>
      </c>
      <c r="B113" s="12" t="s">
        <v>35</v>
      </c>
      <c r="C113" s="12" t="s">
        <v>1467</v>
      </c>
      <c r="D113" s="12" t="s">
        <v>37</v>
      </c>
      <c r="E113" s="12" t="s">
        <v>1468</v>
      </c>
      <c r="F113" s="12" t="s">
        <v>138</v>
      </c>
      <c r="G113" s="12" t="s">
        <v>1469</v>
      </c>
      <c r="H113" s="12" t="s">
        <v>1470</v>
      </c>
      <c r="I113" s="12" t="s">
        <v>1471</v>
      </c>
      <c r="J113" s="12" t="s">
        <v>1470</v>
      </c>
      <c r="K113" s="12" t="s">
        <v>1472</v>
      </c>
      <c r="L113" s="12">
        <v>2205750</v>
      </c>
      <c r="M113" s="12">
        <v>2595000</v>
      </c>
      <c r="N113" s="12" t="s">
        <v>1473</v>
      </c>
      <c r="O113" s="16">
        <v>45607</v>
      </c>
      <c r="P113" s="12" t="s">
        <v>1474</v>
      </c>
      <c r="Q113" s="12" t="s">
        <v>1475</v>
      </c>
      <c r="R113" s="12" t="s">
        <v>47</v>
      </c>
      <c r="S113" s="12" t="s">
        <v>48</v>
      </c>
      <c r="T113" s="12" t="s">
        <v>699</v>
      </c>
      <c r="U113" s="12" t="s">
        <v>50</v>
      </c>
      <c r="V113" s="12" t="s">
        <v>1476</v>
      </c>
      <c r="W113" s="12" t="s">
        <v>196</v>
      </c>
      <c r="X113" s="12" t="s">
        <v>401</v>
      </c>
      <c r="Y113" s="12" t="s">
        <v>1477</v>
      </c>
      <c r="Z113" s="12">
        <v>5</v>
      </c>
      <c r="AA113" s="12" t="s">
        <v>55</v>
      </c>
      <c r="AB113" s="12" t="s">
        <v>1478</v>
      </c>
      <c r="AC113" s="12" t="s">
        <v>967</v>
      </c>
      <c r="AD113" s="12" t="s">
        <v>86</v>
      </c>
      <c r="AE113" s="12">
        <v>2076000</v>
      </c>
      <c r="AF113" s="13">
        <v>36330</v>
      </c>
      <c r="AG113" s="12"/>
      <c r="AH113" s="12"/>
      <c r="AI113" s="12"/>
      <c r="AJ113" s="12" t="s">
        <v>11492</v>
      </c>
      <c r="AK113" s="13">
        <v>36330</v>
      </c>
      <c r="AL113" s="13"/>
      <c r="AM113" s="14">
        <f t="shared" si="1"/>
        <v>0</v>
      </c>
      <c r="AN113" s="12" t="s">
        <v>12004</v>
      </c>
    </row>
    <row r="114" spans="1:40" x14ac:dyDescent="0.25">
      <c r="A114" s="8">
        <v>113</v>
      </c>
      <c r="B114" s="9" t="s">
        <v>35</v>
      </c>
      <c r="C114" s="9" t="s">
        <v>1479</v>
      </c>
      <c r="D114" s="9" t="s">
        <v>37</v>
      </c>
      <c r="E114" s="9" t="s">
        <v>106</v>
      </c>
      <c r="F114" s="9" t="s">
        <v>107</v>
      </c>
      <c r="G114" s="9" t="s">
        <v>1480</v>
      </c>
      <c r="H114" s="9" t="s">
        <v>1481</v>
      </c>
      <c r="I114" s="9" t="s">
        <v>1481</v>
      </c>
      <c r="J114" s="9" t="s">
        <v>1481</v>
      </c>
      <c r="K114" s="9" t="s">
        <v>1482</v>
      </c>
      <c r="L114" s="9">
        <v>2736160</v>
      </c>
      <c r="M114" s="9">
        <v>3908800</v>
      </c>
      <c r="N114" s="9" t="s">
        <v>1483</v>
      </c>
      <c r="O114" s="10">
        <v>45607</v>
      </c>
      <c r="P114" s="9" t="s">
        <v>1484</v>
      </c>
      <c r="Q114" s="9" t="s">
        <v>1485</v>
      </c>
      <c r="R114" s="9" t="s">
        <v>47</v>
      </c>
      <c r="S114" s="9" t="s">
        <v>48</v>
      </c>
      <c r="T114" s="9" t="s">
        <v>1486</v>
      </c>
      <c r="U114" s="9" t="s">
        <v>50</v>
      </c>
      <c r="V114" s="9" t="s">
        <v>1487</v>
      </c>
      <c r="W114" s="9" t="s">
        <v>1053</v>
      </c>
      <c r="X114" s="9" t="s">
        <v>388</v>
      </c>
      <c r="Y114" s="9" t="s">
        <v>1488</v>
      </c>
      <c r="Z114" s="9">
        <v>5</v>
      </c>
      <c r="AA114" s="9" t="s">
        <v>55</v>
      </c>
      <c r="AB114" s="9" t="s">
        <v>1489</v>
      </c>
      <c r="AC114" s="9" t="s">
        <v>1290</v>
      </c>
      <c r="AD114" s="9" t="s">
        <v>58</v>
      </c>
      <c r="AE114" s="9">
        <v>3127040</v>
      </c>
      <c r="AF114" s="11">
        <v>62541</v>
      </c>
      <c r="AG114" s="9"/>
      <c r="AH114" s="9"/>
      <c r="AI114" s="9"/>
      <c r="AJ114" s="12" t="s">
        <v>11493</v>
      </c>
      <c r="AK114" s="13">
        <v>62541</v>
      </c>
      <c r="AL114" s="13"/>
      <c r="AM114" s="14">
        <f t="shared" si="1"/>
        <v>0</v>
      </c>
      <c r="AN114" s="12" t="s">
        <v>12004</v>
      </c>
    </row>
    <row r="115" spans="1:40" x14ac:dyDescent="0.25">
      <c r="A115" s="15">
        <v>114</v>
      </c>
      <c r="B115" s="12" t="s">
        <v>35</v>
      </c>
      <c r="C115" s="12" t="s">
        <v>1490</v>
      </c>
      <c r="D115" s="12" t="s">
        <v>37</v>
      </c>
      <c r="E115" s="12" t="s">
        <v>1491</v>
      </c>
      <c r="F115" s="12" t="s">
        <v>245</v>
      </c>
      <c r="G115" s="12" t="s">
        <v>1492</v>
      </c>
      <c r="H115" s="12" t="s">
        <v>1493</v>
      </c>
      <c r="I115" s="12" t="s">
        <v>48</v>
      </c>
      <c r="J115" s="12" t="s">
        <v>1493</v>
      </c>
      <c r="K115" s="12" t="s">
        <v>1494</v>
      </c>
      <c r="L115" s="12">
        <v>2977000</v>
      </c>
      <c r="M115" s="12">
        <v>4580000</v>
      </c>
      <c r="N115" s="12" t="s">
        <v>1495</v>
      </c>
      <c r="O115" s="16">
        <v>45607</v>
      </c>
      <c r="P115" s="12" t="s">
        <v>1496</v>
      </c>
      <c r="Q115" s="12" t="s">
        <v>1497</v>
      </c>
      <c r="R115" s="12" t="s">
        <v>47</v>
      </c>
      <c r="S115" s="12" t="s">
        <v>48</v>
      </c>
      <c r="T115" s="12" t="s">
        <v>1498</v>
      </c>
      <c r="U115" s="12" t="s">
        <v>50</v>
      </c>
      <c r="V115" s="12" t="s">
        <v>1265</v>
      </c>
      <c r="W115" s="12" t="s">
        <v>196</v>
      </c>
      <c r="X115" s="12" t="s">
        <v>401</v>
      </c>
      <c r="Y115" s="12" t="s">
        <v>1499</v>
      </c>
      <c r="Z115" s="12">
        <v>5</v>
      </c>
      <c r="AA115" s="12" t="s">
        <v>118</v>
      </c>
      <c r="AB115" s="12" t="s">
        <v>1500</v>
      </c>
      <c r="AC115" s="12" t="s">
        <v>1501</v>
      </c>
      <c r="AD115" s="12" t="s">
        <v>58</v>
      </c>
      <c r="AE115" s="12">
        <v>3664000</v>
      </c>
      <c r="AF115" s="13">
        <v>73280</v>
      </c>
      <c r="AG115" s="12"/>
      <c r="AH115" s="12"/>
      <c r="AI115" s="12"/>
      <c r="AJ115" s="12" t="s">
        <v>11494</v>
      </c>
      <c r="AK115" s="13">
        <v>73280</v>
      </c>
      <c r="AL115" s="13"/>
      <c r="AM115" s="14">
        <f t="shared" si="1"/>
        <v>0</v>
      </c>
      <c r="AN115" s="12" t="s">
        <v>12004</v>
      </c>
    </row>
    <row r="116" spans="1:40" x14ac:dyDescent="0.25">
      <c r="A116" s="8">
        <v>115</v>
      </c>
      <c r="B116" s="9" t="s">
        <v>35</v>
      </c>
      <c r="C116" s="9" t="s">
        <v>1502</v>
      </c>
      <c r="D116" s="9" t="s">
        <v>37</v>
      </c>
      <c r="E116" s="9" t="s">
        <v>1503</v>
      </c>
      <c r="F116" s="9" t="s">
        <v>138</v>
      </c>
      <c r="G116" s="9" t="s">
        <v>1504</v>
      </c>
      <c r="H116" s="9" t="s">
        <v>1505</v>
      </c>
      <c r="I116" s="9" t="s">
        <v>1506</v>
      </c>
      <c r="J116" s="9" t="s">
        <v>1507</v>
      </c>
      <c r="K116" s="9" t="s">
        <v>1508</v>
      </c>
      <c r="L116" s="9">
        <v>5629875</v>
      </c>
      <c r="M116" s="9">
        <v>7506500</v>
      </c>
      <c r="N116" s="9" t="s">
        <v>1509</v>
      </c>
      <c r="O116" s="10">
        <v>45607</v>
      </c>
      <c r="P116" s="9" t="s">
        <v>1510</v>
      </c>
      <c r="Q116" s="9" t="s">
        <v>1511</v>
      </c>
      <c r="R116" s="9" t="s">
        <v>47</v>
      </c>
      <c r="S116" s="9" t="s">
        <v>48</v>
      </c>
      <c r="T116" s="9" t="s">
        <v>1512</v>
      </c>
      <c r="U116" s="9" t="s">
        <v>50</v>
      </c>
      <c r="V116" s="9" t="s">
        <v>1513</v>
      </c>
      <c r="W116" s="9" t="s">
        <v>1514</v>
      </c>
      <c r="X116" s="9" t="s">
        <v>1515</v>
      </c>
      <c r="Y116" s="9" t="s">
        <v>1516</v>
      </c>
      <c r="Z116" s="9">
        <v>5</v>
      </c>
      <c r="AA116" s="9" t="s">
        <v>55</v>
      </c>
      <c r="AB116" s="9" t="s">
        <v>1517</v>
      </c>
      <c r="AC116" s="9" t="s">
        <v>981</v>
      </c>
      <c r="AD116" s="9" t="s">
        <v>86</v>
      </c>
      <c r="AE116" s="9">
        <v>6380525</v>
      </c>
      <c r="AF116" s="11">
        <v>111659</v>
      </c>
      <c r="AG116" s="9"/>
      <c r="AH116" s="9"/>
      <c r="AI116" s="9"/>
      <c r="AJ116" s="12" t="s">
        <v>11495</v>
      </c>
      <c r="AK116" s="13">
        <v>111659</v>
      </c>
      <c r="AL116" s="13"/>
      <c r="AM116" s="14">
        <f t="shared" si="1"/>
        <v>0</v>
      </c>
      <c r="AN116" s="12" t="s">
        <v>12004</v>
      </c>
    </row>
    <row r="117" spans="1:40" x14ac:dyDescent="0.25">
      <c r="A117" s="15">
        <v>116</v>
      </c>
      <c r="B117" s="12" t="s">
        <v>35</v>
      </c>
      <c r="C117" s="12" t="s">
        <v>1518</v>
      </c>
      <c r="D117" s="12" t="s">
        <v>37</v>
      </c>
      <c r="E117" s="12" t="s">
        <v>1519</v>
      </c>
      <c r="F117" s="12" t="s">
        <v>107</v>
      </c>
      <c r="G117" s="12" t="s">
        <v>1520</v>
      </c>
      <c r="H117" s="12" t="s">
        <v>1521</v>
      </c>
      <c r="I117" s="12" t="s">
        <v>1521</v>
      </c>
      <c r="J117" s="12" t="s">
        <v>1521</v>
      </c>
      <c r="K117" s="12" t="s">
        <v>1522</v>
      </c>
      <c r="L117" s="12">
        <v>1292850</v>
      </c>
      <c r="M117" s="12">
        <v>1521000</v>
      </c>
      <c r="N117" s="12" t="s">
        <v>1523</v>
      </c>
      <c r="O117" s="16">
        <v>45607</v>
      </c>
      <c r="P117" s="12" t="s">
        <v>1524</v>
      </c>
      <c r="Q117" s="12" t="s">
        <v>1525</v>
      </c>
      <c r="R117" s="12" t="s">
        <v>47</v>
      </c>
      <c r="S117" s="12" t="s">
        <v>48</v>
      </c>
      <c r="T117" s="12" t="s">
        <v>613</v>
      </c>
      <c r="U117" s="12" t="s">
        <v>50</v>
      </c>
      <c r="V117" s="12" t="s">
        <v>116</v>
      </c>
      <c r="W117" s="12" t="s">
        <v>1053</v>
      </c>
      <c r="X117" s="12" t="s">
        <v>388</v>
      </c>
      <c r="Y117" s="12" t="s">
        <v>1526</v>
      </c>
      <c r="Z117" s="12">
        <v>5</v>
      </c>
      <c r="AA117" s="12" t="s">
        <v>118</v>
      </c>
      <c r="AB117" s="12" t="s">
        <v>1527</v>
      </c>
      <c r="AC117" s="12" t="s">
        <v>1290</v>
      </c>
      <c r="AD117" s="12" t="s">
        <v>58</v>
      </c>
      <c r="AE117" s="12">
        <v>1216800</v>
      </c>
      <c r="AF117" s="13">
        <v>24336</v>
      </c>
      <c r="AG117" s="12"/>
      <c r="AH117" s="12"/>
      <c r="AI117" s="12"/>
      <c r="AJ117" s="12" t="s">
        <v>11496</v>
      </c>
      <c r="AK117" s="13">
        <v>24336</v>
      </c>
      <c r="AL117" s="13"/>
      <c r="AM117" s="14">
        <f t="shared" si="1"/>
        <v>0</v>
      </c>
      <c r="AN117" s="12" t="s">
        <v>12004</v>
      </c>
    </row>
    <row r="118" spans="1:40" x14ac:dyDescent="0.25">
      <c r="A118" s="8">
        <v>117</v>
      </c>
      <c r="B118" s="9" t="s">
        <v>35</v>
      </c>
      <c r="C118" s="9" t="s">
        <v>1528</v>
      </c>
      <c r="D118" s="9" t="s">
        <v>37</v>
      </c>
      <c r="E118" s="9" t="s">
        <v>1529</v>
      </c>
      <c r="F118" s="9" t="s">
        <v>39</v>
      </c>
      <c r="G118" s="9" t="s">
        <v>1530</v>
      </c>
      <c r="H118" s="9" t="s">
        <v>1531</v>
      </c>
      <c r="I118" s="9" t="s">
        <v>1532</v>
      </c>
      <c r="J118" s="9" t="s">
        <v>48</v>
      </c>
      <c r="K118" s="9" t="s">
        <v>1533</v>
      </c>
      <c r="L118" s="9">
        <v>1470500</v>
      </c>
      <c r="M118" s="9">
        <v>1730000</v>
      </c>
      <c r="N118" s="9" t="s">
        <v>1534</v>
      </c>
      <c r="O118" s="10">
        <v>45607</v>
      </c>
      <c r="P118" s="9" t="s">
        <v>1535</v>
      </c>
      <c r="Q118" s="9" t="s">
        <v>1536</v>
      </c>
      <c r="R118" s="9" t="s">
        <v>47</v>
      </c>
      <c r="S118" s="9" t="s">
        <v>48</v>
      </c>
      <c r="T118" s="9" t="s">
        <v>224</v>
      </c>
      <c r="U118" s="9" t="s">
        <v>98</v>
      </c>
      <c r="V118" s="9" t="s">
        <v>1537</v>
      </c>
      <c r="W118" s="9" t="s">
        <v>167</v>
      </c>
      <c r="X118" s="9" t="s">
        <v>197</v>
      </c>
      <c r="Y118" s="9" t="s">
        <v>1538</v>
      </c>
      <c r="Z118" s="9">
        <v>5</v>
      </c>
      <c r="AA118" s="9" t="s">
        <v>55</v>
      </c>
      <c r="AB118" s="9" t="s">
        <v>1539</v>
      </c>
      <c r="AC118" s="9" t="s">
        <v>687</v>
      </c>
      <c r="AD118" s="9" t="s">
        <v>58</v>
      </c>
      <c r="AE118" s="9">
        <v>1297500</v>
      </c>
      <c r="AF118" s="11">
        <v>25950</v>
      </c>
      <c r="AG118" s="9"/>
      <c r="AH118" s="9"/>
      <c r="AI118" s="9"/>
      <c r="AJ118" s="12" t="s">
        <v>11497</v>
      </c>
      <c r="AK118" s="13">
        <v>25950</v>
      </c>
      <c r="AL118" s="13"/>
      <c r="AM118" s="14">
        <f t="shared" si="1"/>
        <v>0</v>
      </c>
      <c r="AN118" s="12" t="s">
        <v>12004</v>
      </c>
    </row>
    <row r="119" spans="1:40" x14ac:dyDescent="0.25">
      <c r="A119" s="15">
        <v>118</v>
      </c>
      <c r="B119" s="12" t="s">
        <v>35</v>
      </c>
      <c r="C119" s="12" t="s">
        <v>1540</v>
      </c>
      <c r="D119" s="12" t="s">
        <v>37</v>
      </c>
      <c r="E119" s="12" t="s">
        <v>1541</v>
      </c>
      <c r="F119" s="12" t="s">
        <v>107</v>
      </c>
      <c r="G119" s="12" t="s">
        <v>1542</v>
      </c>
      <c r="H119" s="12" t="s">
        <v>1543</v>
      </c>
      <c r="I119" s="12" t="s">
        <v>1543</v>
      </c>
      <c r="J119" s="12" t="s">
        <v>1543</v>
      </c>
      <c r="K119" s="12" t="s">
        <v>1544</v>
      </c>
      <c r="L119" s="12">
        <v>1306400</v>
      </c>
      <c r="M119" s="12">
        <v>1633000</v>
      </c>
      <c r="N119" s="12" t="s">
        <v>1545</v>
      </c>
      <c r="O119" s="16">
        <v>45608</v>
      </c>
      <c r="P119" s="12" t="s">
        <v>1546</v>
      </c>
      <c r="Q119" s="12" t="s">
        <v>1547</v>
      </c>
      <c r="R119" s="12" t="s">
        <v>47</v>
      </c>
      <c r="S119" s="12" t="s">
        <v>48</v>
      </c>
      <c r="T119" s="12" t="s">
        <v>783</v>
      </c>
      <c r="U119" s="12" t="s">
        <v>98</v>
      </c>
      <c r="V119" s="12" t="s">
        <v>1548</v>
      </c>
      <c r="W119" s="12" t="s">
        <v>167</v>
      </c>
      <c r="X119" s="12" t="s">
        <v>197</v>
      </c>
      <c r="Y119" s="12" t="s">
        <v>1549</v>
      </c>
      <c r="Z119" s="12">
        <v>5</v>
      </c>
      <c r="AA119" s="12" t="s">
        <v>227</v>
      </c>
      <c r="AB119" s="12" t="s">
        <v>1550</v>
      </c>
      <c r="AC119" s="12" t="s">
        <v>1551</v>
      </c>
      <c r="AD119" s="12" t="s">
        <v>58</v>
      </c>
      <c r="AE119" s="12">
        <v>1224750</v>
      </c>
      <c r="AF119" s="13">
        <v>24495</v>
      </c>
      <c r="AG119" s="12"/>
      <c r="AH119" s="12"/>
      <c r="AI119" s="12"/>
      <c r="AJ119" s="12" t="s">
        <v>11498</v>
      </c>
      <c r="AK119" s="13">
        <v>24495</v>
      </c>
      <c r="AL119" s="13"/>
      <c r="AM119" s="14">
        <f t="shared" si="1"/>
        <v>0</v>
      </c>
      <c r="AN119" s="12" t="s">
        <v>12004</v>
      </c>
    </row>
    <row r="120" spans="1:40" x14ac:dyDescent="0.25">
      <c r="A120" s="8">
        <v>119</v>
      </c>
      <c r="B120" s="9" t="s">
        <v>35</v>
      </c>
      <c r="C120" s="9" t="s">
        <v>1552</v>
      </c>
      <c r="D120" s="9" t="s">
        <v>37</v>
      </c>
      <c r="E120" s="9" t="s">
        <v>1553</v>
      </c>
      <c r="F120" s="9" t="s">
        <v>107</v>
      </c>
      <c r="G120" s="9" t="s">
        <v>1554</v>
      </c>
      <c r="H120" s="9" t="s">
        <v>1555</v>
      </c>
      <c r="I120" s="9" t="s">
        <v>1555</v>
      </c>
      <c r="J120" s="9" t="s">
        <v>1556</v>
      </c>
      <c r="K120" s="9" t="s">
        <v>1557</v>
      </c>
      <c r="L120" s="9">
        <v>1540000</v>
      </c>
      <c r="M120" s="9">
        <v>2200000</v>
      </c>
      <c r="N120" s="9" t="s">
        <v>1558</v>
      </c>
      <c r="O120" s="10">
        <v>45608</v>
      </c>
      <c r="P120" s="9" t="s">
        <v>1559</v>
      </c>
      <c r="Q120" s="9" t="s">
        <v>1560</v>
      </c>
      <c r="R120" s="9" t="s">
        <v>146</v>
      </c>
      <c r="S120" s="9" t="s">
        <v>1561</v>
      </c>
      <c r="T120" s="9" t="s">
        <v>1562</v>
      </c>
      <c r="U120" s="9" t="s">
        <v>651</v>
      </c>
      <c r="V120" s="9" t="s">
        <v>1217</v>
      </c>
      <c r="W120" s="9" t="s">
        <v>167</v>
      </c>
      <c r="X120" s="9" t="s">
        <v>401</v>
      </c>
      <c r="Y120" s="9" t="s">
        <v>1563</v>
      </c>
      <c r="Z120" s="9">
        <v>6</v>
      </c>
      <c r="AA120" s="9" t="s">
        <v>55</v>
      </c>
      <c r="AB120" s="9" t="s">
        <v>1564</v>
      </c>
      <c r="AC120" s="9" t="s">
        <v>1565</v>
      </c>
      <c r="AD120" s="9" t="s">
        <v>58</v>
      </c>
      <c r="AE120" s="9">
        <v>1650000</v>
      </c>
      <c r="AF120" s="11">
        <v>33000</v>
      </c>
      <c r="AG120" s="9"/>
      <c r="AH120" s="9"/>
      <c r="AI120" s="9"/>
      <c r="AJ120" s="12" t="s">
        <v>11499</v>
      </c>
      <c r="AK120" s="13">
        <v>35200</v>
      </c>
      <c r="AL120" s="13" t="s">
        <v>12222</v>
      </c>
      <c r="AM120" s="14">
        <f t="shared" si="1"/>
        <v>-2200</v>
      </c>
      <c r="AN120" s="12" t="s">
        <v>12004</v>
      </c>
    </row>
    <row r="121" spans="1:40" x14ac:dyDescent="0.25">
      <c r="A121" s="15">
        <v>120</v>
      </c>
      <c r="B121" s="12" t="s">
        <v>35</v>
      </c>
      <c r="C121" s="12" t="s">
        <v>1566</v>
      </c>
      <c r="D121" s="12" t="s">
        <v>37</v>
      </c>
      <c r="E121" s="12" t="s">
        <v>1567</v>
      </c>
      <c r="F121" s="12" t="s">
        <v>39</v>
      </c>
      <c r="G121" s="12" t="s">
        <v>1568</v>
      </c>
      <c r="H121" s="12" t="s">
        <v>1569</v>
      </c>
      <c r="I121" s="12" t="s">
        <v>1570</v>
      </c>
      <c r="J121" s="12" t="s">
        <v>1569</v>
      </c>
      <c r="K121" s="12" t="s">
        <v>1571</v>
      </c>
      <c r="L121" s="12">
        <v>2986125</v>
      </c>
      <c r="M121" s="12">
        <v>3981500</v>
      </c>
      <c r="N121" s="12" t="s">
        <v>1572</v>
      </c>
      <c r="O121" s="16">
        <v>45608</v>
      </c>
      <c r="P121" s="12" t="s">
        <v>1573</v>
      </c>
      <c r="Q121" s="12" t="s">
        <v>1574</v>
      </c>
      <c r="R121" s="12" t="s">
        <v>47</v>
      </c>
      <c r="S121" s="12" t="s">
        <v>48</v>
      </c>
      <c r="T121" s="12" t="s">
        <v>1575</v>
      </c>
      <c r="U121" s="12" t="s">
        <v>98</v>
      </c>
      <c r="V121" s="12" t="s">
        <v>1576</v>
      </c>
      <c r="W121" s="12" t="s">
        <v>167</v>
      </c>
      <c r="X121" s="12" t="s">
        <v>197</v>
      </c>
      <c r="Y121" s="12" t="s">
        <v>1577</v>
      </c>
      <c r="Z121" s="12">
        <v>5</v>
      </c>
      <c r="AA121" s="12" t="s">
        <v>55</v>
      </c>
      <c r="AB121" s="12" t="s">
        <v>1578</v>
      </c>
      <c r="AC121" s="12" t="s">
        <v>1551</v>
      </c>
      <c r="AD121" s="12" t="s">
        <v>58</v>
      </c>
      <c r="AE121" s="12">
        <v>2986125</v>
      </c>
      <c r="AF121" s="13">
        <v>59723</v>
      </c>
      <c r="AG121" s="12"/>
      <c r="AH121" s="12"/>
      <c r="AI121" s="12"/>
      <c r="AJ121" s="12" t="s">
        <v>11500</v>
      </c>
      <c r="AK121" s="13">
        <v>59723</v>
      </c>
      <c r="AL121" s="13"/>
      <c r="AM121" s="14">
        <f t="shared" si="1"/>
        <v>0</v>
      </c>
      <c r="AN121" s="12" t="s">
        <v>12004</v>
      </c>
    </row>
    <row r="122" spans="1:40" x14ac:dyDescent="0.25">
      <c r="A122" s="8">
        <v>121</v>
      </c>
      <c r="B122" s="9" t="s">
        <v>35</v>
      </c>
      <c r="C122" s="9" t="s">
        <v>1579</v>
      </c>
      <c r="D122" s="9" t="s">
        <v>37</v>
      </c>
      <c r="E122" s="9" t="s">
        <v>1580</v>
      </c>
      <c r="F122" s="9" t="s">
        <v>245</v>
      </c>
      <c r="G122" s="9" t="s">
        <v>1581</v>
      </c>
      <c r="H122" s="9" t="s">
        <v>1582</v>
      </c>
      <c r="I122" s="9" t="s">
        <v>48</v>
      </c>
      <c r="J122" s="9" t="s">
        <v>1582</v>
      </c>
      <c r="K122" s="9" t="s">
        <v>1583</v>
      </c>
      <c r="L122" s="9">
        <v>4000000</v>
      </c>
      <c r="M122" s="9">
        <v>8000000</v>
      </c>
      <c r="N122" s="9" t="s">
        <v>1584</v>
      </c>
      <c r="O122" s="10">
        <v>45608</v>
      </c>
      <c r="P122" s="9" t="s">
        <v>1585</v>
      </c>
      <c r="Q122" s="9" t="s">
        <v>1586</v>
      </c>
      <c r="R122" s="9" t="s">
        <v>146</v>
      </c>
      <c r="S122" s="9" t="s">
        <v>1587</v>
      </c>
      <c r="T122" s="9" t="s">
        <v>1588</v>
      </c>
      <c r="U122" s="9" t="s">
        <v>496</v>
      </c>
      <c r="V122" s="9" t="s">
        <v>1589</v>
      </c>
      <c r="W122" s="9" t="s">
        <v>167</v>
      </c>
      <c r="X122" s="9" t="s">
        <v>197</v>
      </c>
      <c r="Y122" s="9" t="s">
        <v>1590</v>
      </c>
      <c r="Z122" s="9">
        <v>5</v>
      </c>
      <c r="AA122" s="9" t="s">
        <v>55</v>
      </c>
      <c r="AB122" s="9" t="s">
        <v>1591</v>
      </c>
      <c r="AC122" s="9" t="s">
        <v>1589</v>
      </c>
      <c r="AD122" s="9" t="s">
        <v>299</v>
      </c>
      <c r="AE122" s="9">
        <v>6000000</v>
      </c>
      <c r="AF122" s="11">
        <v>90000</v>
      </c>
      <c r="AG122" s="9"/>
      <c r="AH122" s="9"/>
      <c r="AI122" s="9"/>
      <c r="AJ122" s="12" t="s">
        <v>11501</v>
      </c>
      <c r="AK122" s="13">
        <v>90000</v>
      </c>
      <c r="AL122" s="13"/>
      <c r="AM122" s="14">
        <f t="shared" si="1"/>
        <v>0</v>
      </c>
      <c r="AN122" s="12" t="s">
        <v>12004</v>
      </c>
    </row>
    <row r="123" spans="1:40" x14ac:dyDescent="0.25">
      <c r="A123" s="15">
        <v>122</v>
      </c>
      <c r="B123" s="12" t="s">
        <v>35</v>
      </c>
      <c r="C123" s="12" t="s">
        <v>1592</v>
      </c>
      <c r="D123" s="12" t="s">
        <v>37</v>
      </c>
      <c r="E123" s="12" t="s">
        <v>1593</v>
      </c>
      <c r="F123" s="12" t="s">
        <v>89</v>
      </c>
      <c r="G123" s="12" t="s">
        <v>1594</v>
      </c>
      <c r="H123" s="12" t="s">
        <v>1595</v>
      </c>
      <c r="I123" s="12" t="s">
        <v>48</v>
      </c>
      <c r="J123" s="12" t="s">
        <v>1596</v>
      </c>
      <c r="K123" s="12" t="s">
        <v>1597</v>
      </c>
      <c r="L123" s="12">
        <v>1110100</v>
      </c>
      <c r="M123" s="12">
        <v>1306000</v>
      </c>
      <c r="N123" s="12" t="s">
        <v>1598</v>
      </c>
      <c r="O123" s="16">
        <v>45609</v>
      </c>
      <c r="P123" s="12" t="s">
        <v>1599</v>
      </c>
      <c r="Q123" s="12" t="s">
        <v>1600</v>
      </c>
      <c r="R123" s="12" t="s">
        <v>47</v>
      </c>
      <c r="S123" s="12" t="s">
        <v>48</v>
      </c>
      <c r="T123" s="12" t="s">
        <v>1601</v>
      </c>
      <c r="U123" s="12" t="s">
        <v>148</v>
      </c>
      <c r="V123" s="12" t="s">
        <v>1602</v>
      </c>
      <c r="W123" s="12" t="s">
        <v>1080</v>
      </c>
      <c r="X123" s="12" t="s">
        <v>168</v>
      </c>
      <c r="Y123" s="12" t="s">
        <v>1603</v>
      </c>
      <c r="Z123" s="12">
        <v>5</v>
      </c>
      <c r="AA123" s="12" t="s">
        <v>55</v>
      </c>
      <c r="AB123" s="12" t="s">
        <v>1604</v>
      </c>
      <c r="AC123" s="12" t="s">
        <v>1372</v>
      </c>
      <c r="AD123" s="12" t="s">
        <v>58</v>
      </c>
      <c r="AE123" s="12">
        <v>1110100</v>
      </c>
      <c r="AF123" s="13">
        <v>22202</v>
      </c>
      <c r="AG123" s="12"/>
      <c r="AH123" s="12"/>
      <c r="AI123" s="12"/>
      <c r="AJ123" s="12" t="s">
        <v>11502</v>
      </c>
      <c r="AK123" s="13">
        <v>22202</v>
      </c>
      <c r="AL123" s="13"/>
      <c r="AM123" s="14">
        <f t="shared" si="1"/>
        <v>0</v>
      </c>
      <c r="AN123" s="12" t="s">
        <v>12004</v>
      </c>
    </row>
    <row r="124" spans="1:40" x14ac:dyDescent="0.25">
      <c r="A124" s="8">
        <v>123</v>
      </c>
      <c r="B124" s="9" t="s">
        <v>35</v>
      </c>
      <c r="C124" s="9" t="s">
        <v>1605</v>
      </c>
      <c r="D124" s="9" t="s">
        <v>37</v>
      </c>
      <c r="E124" s="9" t="s">
        <v>1606</v>
      </c>
      <c r="F124" s="9" t="s">
        <v>138</v>
      </c>
      <c r="G124" s="9" t="s">
        <v>1607</v>
      </c>
      <c r="H124" s="9" t="s">
        <v>48</v>
      </c>
      <c r="I124" s="9" t="s">
        <v>1608</v>
      </c>
      <c r="J124" s="9" t="s">
        <v>48</v>
      </c>
      <c r="K124" s="9" t="s">
        <v>1609</v>
      </c>
      <c r="L124" s="9">
        <v>1225000</v>
      </c>
      <c r="M124" s="9">
        <v>1750000</v>
      </c>
      <c r="N124" s="9" t="s">
        <v>1610</v>
      </c>
      <c r="O124" s="10">
        <v>45609</v>
      </c>
      <c r="P124" s="9" t="s">
        <v>1611</v>
      </c>
      <c r="Q124" s="9" t="s">
        <v>1612</v>
      </c>
      <c r="R124" s="9" t="s">
        <v>146</v>
      </c>
      <c r="S124" s="9" t="s">
        <v>1613</v>
      </c>
      <c r="T124" s="9" t="s">
        <v>49</v>
      </c>
      <c r="U124" s="9" t="s">
        <v>98</v>
      </c>
      <c r="V124" s="9" t="s">
        <v>1079</v>
      </c>
      <c r="W124" s="9" t="s">
        <v>1080</v>
      </c>
      <c r="X124" s="9" t="s">
        <v>168</v>
      </c>
      <c r="Y124" s="9" t="s">
        <v>1614</v>
      </c>
      <c r="Z124" s="9">
        <v>5</v>
      </c>
      <c r="AA124" s="9" t="s">
        <v>152</v>
      </c>
      <c r="AB124" s="9" t="s">
        <v>1615</v>
      </c>
      <c r="AC124" s="9" t="s">
        <v>1616</v>
      </c>
      <c r="AD124" s="9" t="s">
        <v>86</v>
      </c>
      <c r="AE124" s="9">
        <v>1487500</v>
      </c>
      <c r="AF124" s="11">
        <v>26031</v>
      </c>
      <c r="AG124" s="9"/>
      <c r="AH124" s="9"/>
      <c r="AI124" s="9"/>
      <c r="AJ124" s="12" t="s">
        <v>11503</v>
      </c>
      <c r="AK124" s="13">
        <v>26031</v>
      </c>
      <c r="AL124" s="13"/>
      <c r="AM124" s="14">
        <f t="shared" si="1"/>
        <v>0</v>
      </c>
      <c r="AN124" s="12" t="s">
        <v>12004</v>
      </c>
    </row>
    <row r="125" spans="1:40" x14ac:dyDescent="0.25">
      <c r="A125" s="15">
        <v>124</v>
      </c>
      <c r="B125" s="12" t="s">
        <v>35</v>
      </c>
      <c r="C125" s="12" t="s">
        <v>1617</v>
      </c>
      <c r="D125" s="12" t="s">
        <v>37</v>
      </c>
      <c r="E125" s="12" t="s">
        <v>1618</v>
      </c>
      <c r="F125" s="12" t="s">
        <v>245</v>
      </c>
      <c r="G125" s="12" t="s">
        <v>1619</v>
      </c>
      <c r="H125" s="12" t="s">
        <v>1620</v>
      </c>
      <c r="I125" s="12" t="s">
        <v>1621</v>
      </c>
      <c r="J125" s="12" t="s">
        <v>1622</v>
      </c>
      <c r="K125" s="12" t="s">
        <v>1623</v>
      </c>
      <c r="L125" s="12">
        <v>934500</v>
      </c>
      <c r="M125" s="12">
        <v>1335000</v>
      </c>
      <c r="N125" s="12" t="s">
        <v>1624</v>
      </c>
      <c r="O125" s="16">
        <v>45610</v>
      </c>
      <c r="P125" s="12" t="s">
        <v>1625</v>
      </c>
      <c r="Q125" s="12" t="s">
        <v>1626</v>
      </c>
      <c r="R125" s="12" t="s">
        <v>47</v>
      </c>
      <c r="S125" s="12" t="s">
        <v>48</v>
      </c>
      <c r="T125" s="12" t="s">
        <v>194</v>
      </c>
      <c r="U125" s="12" t="s">
        <v>50</v>
      </c>
      <c r="V125" s="12" t="s">
        <v>1627</v>
      </c>
      <c r="W125" s="12" t="s">
        <v>1053</v>
      </c>
      <c r="X125" s="12" t="s">
        <v>1628</v>
      </c>
      <c r="Y125" s="12" t="s">
        <v>1629</v>
      </c>
      <c r="Z125" s="12">
        <v>7</v>
      </c>
      <c r="AA125" s="12" t="s">
        <v>118</v>
      </c>
      <c r="AB125" s="12" t="s">
        <v>1630</v>
      </c>
      <c r="AC125" s="12" t="s">
        <v>1252</v>
      </c>
      <c r="AD125" s="12" t="s">
        <v>58</v>
      </c>
      <c r="AE125" s="12">
        <v>1068000</v>
      </c>
      <c r="AF125" s="13">
        <v>21360</v>
      </c>
      <c r="AG125" s="12"/>
      <c r="AH125" s="12"/>
      <c r="AI125" s="12"/>
      <c r="AJ125" s="12" t="s">
        <v>11504</v>
      </c>
      <c r="AK125" s="13">
        <v>21360</v>
      </c>
      <c r="AL125" s="13"/>
      <c r="AM125" s="14">
        <f t="shared" si="1"/>
        <v>0</v>
      </c>
      <c r="AN125" s="12" t="s">
        <v>12004</v>
      </c>
    </row>
    <row r="126" spans="1:40" x14ac:dyDescent="0.25">
      <c r="A126" s="8">
        <v>125</v>
      </c>
      <c r="B126" s="9" t="s">
        <v>35</v>
      </c>
      <c r="C126" s="9" t="s">
        <v>1631</v>
      </c>
      <c r="D126" s="9" t="s">
        <v>37</v>
      </c>
      <c r="E126" s="9" t="s">
        <v>1632</v>
      </c>
      <c r="F126" s="9" t="s">
        <v>107</v>
      </c>
      <c r="G126" s="9" t="s">
        <v>1633</v>
      </c>
      <c r="H126" s="9" t="s">
        <v>48</v>
      </c>
      <c r="I126" s="9" t="s">
        <v>48</v>
      </c>
      <c r="J126" s="9" t="s">
        <v>48</v>
      </c>
      <c r="K126" s="9" t="s">
        <v>1634</v>
      </c>
      <c r="L126" s="9">
        <v>1158500</v>
      </c>
      <c r="M126" s="9">
        <v>1655000</v>
      </c>
      <c r="N126" s="9" t="s">
        <v>1635</v>
      </c>
      <c r="O126" s="10">
        <v>45610</v>
      </c>
      <c r="P126" s="9" t="s">
        <v>1636</v>
      </c>
      <c r="Q126" s="9" t="s">
        <v>1637</v>
      </c>
      <c r="R126" s="9" t="s">
        <v>47</v>
      </c>
      <c r="S126" s="9" t="s">
        <v>48</v>
      </c>
      <c r="T126" s="9" t="s">
        <v>181</v>
      </c>
      <c r="U126" s="9" t="s">
        <v>50</v>
      </c>
      <c r="V126" s="9" t="s">
        <v>182</v>
      </c>
      <c r="W126" s="9" t="s">
        <v>132</v>
      </c>
      <c r="X126" s="9" t="s">
        <v>1638</v>
      </c>
      <c r="Y126" s="9" t="s">
        <v>1639</v>
      </c>
      <c r="Z126" s="9">
        <v>6</v>
      </c>
      <c r="AA126" s="9" t="s">
        <v>55</v>
      </c>
      <c r="AB126" s="9" t="s">
        <v>1640</v>
      </c>
      <c r="AC126" s="9" t="s">
        <v>1252</v>
      </c>
      <c r="AD126" s="9" t="s">
        <v>58</v>
      </c>
      <c r="AE126" s="9">
        <v>1324000</v>
      </c>
      <c r="AF126" s="11">
        <v>26480</v>
      </c>
      <c r="AG126" s="9"/>
      <c r="AH126" s="9"/>
      <c r="AI126" s="9"/>
      <c r="AJ126" s="12" t="s">
        <v>11505</v>
      </c>
      <c r="AK126" s="13">
        <v>26480</v>
      </c>
      <c r="AL126" s="13"/>
      <c r="AM126" s="14">
        <f t="shared" si="1"/>
        <v>0</v>
      </c>
      <c r="AN126" s="12" t="s">
        <v>12004</v>
      </c>
    </row>
    <row r="127" spans="1:40" x14ac:dyDescent="0.25">
      <c r="A127" s="15">
        <v>126</v>
      </c>
      <c r="B127" s="12" t="s">
        <v>35</v>
      </c>
      <c r="C127" s="12" t="s">
        <v>1641</v>
      </c>
      <c r="D127" s="12" t="s">
        <v>37</v>
      </c>
      <c r="E127" s="12" t="s">
        <v>1642</v>
      </c>
      <c r="F127" s="12" t="s">
        <v>39</v>
      </c>
      <c r="G127" s="12" t="s">
        <v>1643</v>
      </c>
      <c r="H127" s="12" t="s">
        <v>1644</v>
      </c>
      <c r="I127" s="12" t="s">
        <v>1645</v>
      </c>
      <c r="J127" s="12" t="s">
        <v>1644</v>
      </c>
      <c r="K127" s="12" t="s">
        <v>1646</v>
      </c>
      <c r="L127" s="12">
        <v>1593750</v>
      </c>
      <c r="M127" s="12">
        <v>2125000</v>
      </c>
      <c r="N127" s="12" t="s">
        <v>1647</v>
      </c>
      <c r="O127" s="16">
        <v>45610</v>
      </c>
      <c r="P127" s="12" t="s">
        <v>1648</v>
      </c>
      <c r="Q127" s="12" t="s">
        <v>1649</v>
      </c>
      <c r="R127" s="12" t="s">
        <v>146</v>
      </c>
      <c r="S127" s="12" t="s">
        <v>1650</v>
      </c>
      <c r="T127" s="12" t="s">
        <v>1651</v>
      </c>
      <c r="U127" s="12" t="s">
        <v>50</v>
      </c>
      <c r="V127" s="12" t="s">
        <v>1265</v>
      </c>
      <c r="W127" s="12" t="s">
        <v>196</v>
      </c>
      <c r="X127" s="12" t="s">
        <v>401</v>
      </c>
      <c r="Y127" s="12" t="s">
        <v>1652</v>
      </c>
      <c r="Z127" s="12">
        <v>5</v>
      </c>
      <c r="AA127" s="12" t="s">
        <v>55</v>
      </c>
      <c r="AB127" s="12" t="s">
        <v>1653</v>
      </c>
      <c r="AC127" s="12" t="s">
        <v>1252</v>
      </c>
      <c r="AD127" s="12" t="s">
        <v>58</v>
      </c>
      <c r="AE127" s="12">
        <v>1700000</v>
      </c>
      <c r="AF127" s="13">
        <v>34000</v>
      </c>
      <c r="AG127" s="12"/>
      <c r="AH127" s="12"/>
      <c r="AI127" s="12"/>
      <c r="AJ127" s="12" t="s">
        <v>11506</v>
      </c>
      <c r="AK127" s="13">
        <v>34000</v>
      </c>
      <c r="AL127" s="13"/>
      <c r="AM127" s="14">
        <f t="shared" si="1"/>
        <v>0</v>
      </c>
      <c r="AN127" s="12" t="s">
        <v>12004</v>
      </c>
    </row>
    <row r="128" spans="1:40" x14ac:dyDescent="0.25">
      <c r="A128" s="8">
        <v>127</v>
      </c>
      <c r="B128" s="9" t="s">
        <v>35</v>
      </c>
      <c r="C128" s="9" t="s">
        <v>1654</v>
      </c>
      <c r="D128" s="9" t="s">
        <v>37</v>
      </c>
      <c r="E128" s="9" t="s">
        <v>1655</v>
      </c>
      <c r="F128" s="9" t="s">
        <v>107</v>
      </c>
      <c r="G128" s="9" t="s">
        <v>1656</v>
      </c>
      <c r="H128" s="9" t="s">
        <v>48</v>
      </c>
      <c r="I128" s="9" t="s">
        <v>1657</v>
      </c>
      <c r="J128" s="9" t="s">
        <v>48</v>
      </c>
      <c r="K128" s="9" t="s">
        <v>1658</v>
      </c>
      <c r="L128" s="9">
        <v>1722500</v>
      </c>
      <c r="M128" s="9">
        <v>2650000</v>
      </c>
      <c r="N128" s="9" t="s">
        <v>1659</v>
      </c>
      <c r="O128" s="10">
        <v>45610</v>
      </c>
      <c r="P128" s="9" t="s">
        <v>1660</v>
      </c>
      <c r="Q128" s="9" t="s">
        <v>1661</v>
      </c>
      <c r="R128" s="9" t="s">
        <v>47</v>
      </c>
      <c r="S128" s="9" t="s">
        <v>48</v>
      </c>
      <c r="T128" s="9" t="s">
        <v>1662</v>
      </c>
      <c r="U128" s="9" t="s">
        <v>50</v>
      </c>
      <c r="V128" s="9" t="s">
        <v>749</v>
      </c>
      <c r="W128" s="9" t="s">
        <v>132</v>
      </c>
      <c r="X128" s="9" t="s">
        <v>133</v>
      </c>
      <c r="Y128" s="9" t="s">
        <v>1663</v>
      </c>
      <c r="Z128" s="9">
        <v>5</v>
      </c>
      <c r="AA128" s="9" t="s">
        <v>55</v>
      </c>
      <c r="AB128" s="9" t="s">
        <v>1664</v>
      </c>
      <c r="AC128" s="9" t="s">
        <v>1265</v>
      </c>
      <c r="AD128" s="9" t="s">
        <v>58</v>
      </c>
      <c r="AE128" s="9">
        <v>2120000</v>
      </c>
      <c r="AF128" s="11">
        <v>42400</v>
      </c>
      <c r="AG128" s="9"/>
      <c r="AH128" s="9"/>
      <c r="AI128" s="9"/>
      <c r="AJ128" s="12" t="s">
        <v>11507</v>
      </c>
      <c r="AK128" s="13">
        <v>42400</v>
      </c>
      <c r="AL128" s="13"/>
      <c r="AM128" s="14">
        <f t="shared" si="1"/>
        <v>0</v>
      </c>
      <c r="AN128" s="12" t="s">
        <v>12004</v>
      </c>
    </row>
    <row r="129" spans="1:40" x14ac:dyDescent="0.25">
      <c r="A129" s="15">
        <v>128</v>
      </c>
      <c r="B129" s="12" t="s">
        <v>35</v>
      </c>
      <c r="C129" s="12" t="s">
        <v>1665</v>
      </c>
      <c r="D129" s="12" t="s">
        <v>37</v>
      </c>
      <c r="E129" s="12" t="s">
        <v>1666</v>
      </c>
      <c r="F129" s="12" t="s">
        <v>107</v>
      </c>
      <c r="G129" s="12" t="s">
        <v>1667</v>
      </c>
      <c r="H129" s="12" t="s">
        <v>1668</v>
      </c>
      <c r="I129" s="12" t="s">
        <v>1668</v>
      </c>
      <c r="J129" s="12" t="s">
        <v>1668</v>
      </c>
      <c r="K129" s="12" t="s">
        <v>1669</v>
      </c>
      <c r="L129" s="12">
        <v>2292000</v>
      </c>
      <c r="M129" s="12">
        <v>2865000</v>
      </c>
      <c r="N129" s="12" t="s">
        <v>1670</v>
      </c>
      <c r="O129" s="16">
        <v>45610</v>
      </c>
      <c r="P129" s="12" t="s">
        <v>1671</v>
      </c>
      <c r="Q129" s="12" t="s">
        <v>1672</v>
      </c>
      <c r="R129" s="12" t="s">
        <v>47</v>
      </c>
      <c r="S129" s="12" t="s">
        <v>48</v>
      </c>
      <c r="T129" s="12" t="s">
        <v>348</v>
      </c>
      <c r="U129" s="12" t="s">
        <v>50</v>
      </c>
      <c r="V129" s="12" t="s">
        <v>749</v>
      </c>
      <c r="W129" s="12" t="s">
        <v>196</v>
      </c>
      <c r="X129" s="12" t="s">
        <v>401</v>
      </c>
      <c r="Y129" s="12" t="s">
        <v>1673</v>
      </c>
      <c r="Z129" s="12">
        <v>5</v>
      </c>
      <c r="AA129" s="12" t="s">
        <v>55</v>
      </c>
      <c r="AB129" s="12" t="s">
        <v>1674</v>
      </c>
      <c r="AC129" s="12" t="s">
        <v>1265</v>
      </c>
      <c r="AD129" s="12" t="s">
        <v>58</v>
      </c>
      <c r="AE129" s="12">
        <v>2292000</v>
      </c>
      <c r="AF129" s="13">
        <v>45840</v>
      </c>
      <c r="AG129" s="12"/>
      <c r="AH129" s="12"/>
      <c r="AI129" s="12"/>
      <c r="AJ129" s="12" t="s">
        <v>11508</v>
      </c>
      <c r="AK129" s="13">
        <v>45840</v>
      </c>
      <c r="AL129" s="13"/>
      <c r="AM129" s="14">
        <f t="shared" si="1"/>
        <v>0</v>
      </c>
      <c r="AN129" s="12" t="s">
        <v>12004</v>
      </c>
    </row>
    <row r="130" spans="1:40" x14ac:dyDescent="0.25">
      <c r="A130" s="8">
        <v>129</v>
      </c>
      <c r="B130" s="9" t="s">
        <v>35</v>
      </c>
      <c r="C130" s="9" t="s">
        <v>1675</v>
      </c>
      <c r="D130" s="9" t="s">
        <v>37</v>
      </c>
      <c r="E130" s="9" t="s">
        <v>1676</v>
      </c>
      <c r="F130" s="9" t="s">
        <v>138</v>
      </c>
      <c r="G130" s="9" t="s">
        <v>1677</v>
      </c>
      <c r="H130" s="9" t="s">
        <v>1678</v>
      </c>
      <c r="I130" s="9" t="s">
        <v>1678</v>
      </c>
      <c r="J130" s="9" t="s">
        <v>141</v>
      </c>
      <c r="K130" s="9" t="s">
        <v>1679</v>
      </c>
      <c r="L130" s="9">
        <v>3773000</v>
      </c>
      <c r="M130" s="9">
        <v>5390000</v>
      </c>
      <c r="N130" s="9" t="s">
        <v>1680</v>
      </c>
      <c r="O130" s="10">
        <v>45610</v>
      </c>
      <c r="P130" s="9" t="s">
        <v>1681</v>
      </c>
      <c r="Q130" s="9" t="s">
        <v>1682</v>
      </c>
      <c r="R130" s="9" t="s">
        <v>47</v>
      </c>
      <c r="S130" s="9" t="s">
        <v>48</v>
      </c>
      <c r="T130" s="9" t="s">
        <v>1683</v>
      </c>
      <c r="U130" s="9" t="s">
        <v>50</v>
      </c>
      <c r="V130" s="9" t="s">
        <v>1684</v>
      </c>
      <c r="W130" s="9" t="s">
        <v>132</v>
      </c>
      <c r="X130" s="9" t="s">
        <v>133</v>
      </c>
      <c r="Y130" s="9" t="s">
        <v>1685</v>
      </c>
      <c r="Z130" s="9">
        <v>5</v>
      </c>
      <c r="AA130" s="9" t="s">
        <v>55</v>
      </c>
      <c r="AB130" s="9" t="s">
        <v>1686</v>
      </c>
      <c r="AC130" s="9" t="s">
        <v>132</v>
      </c>
      <c r="AD130" s="9" t="s">
        <v>299</v>
      </c>
      <c r="AE130" s="9">
        <v>4312000</v>
      </c>
      <c r="AF130" s="11">
        <v>64680</v>
      </c>
      <c r="AG130" s="9"/>
      <c r="AH130" s="9"/>
      <c r="AI130" s="9"/>
      <c r="AJ130" s="12" t="s">
        <v>11509</v>
      </c>
      <c r="AK130" s="13">
        <v>64680</v>
      </c>
      <c r="AL130" s="13"/>
      <c r="AM130" s="14">
        <f t="shared" si="1"/>
        <v>0</v>
      </c>
      <c r="AN130" s="12" t="s">
        <v>12004</v>
      </c>
    </row>
    <row r="131" spans="1:40" x14ac:dyDescent="0.25">
      <c r="A131" s="15">
        <v>130</v>
      </c>
      <c r="B131" s="12" t="s">
        <v>35</v>
      </c>
      <c r="C131" s="12" t="s">
        <v>1687</v>
      </c>
      <c r="D131" s="12" t="s">
        <v>37</v>
      </c>
      <c r="E131" s="12" t="s">
        <v>1688</v>
      </c>
      <c r="F131" s="12" t="s">
        <v>107</v>
      </c>
      <c r="G131" s="12" t="s">
        <v>1689</v>
      </c>
      <c r="H131" s="12" t="s">
        <v>1690</v>
      </c>
      <c r="I131" s="12" t="s">
        <v>1691</v>
      </c>
      <c r="J131" s="12" t="s">
        <v>48</v>
      </c>
      <c r="K131" s="12" t="s">
        <v>1692</v>
      </c>
      <c r="L131" s="12">
        <v>6432300</v>
      </c>
      <c r="M131" s="12">
        <v>9189000</v>
      </c>
      <c r="N131" s="12" t="s">
        <v>1693</v>
      </c>
      <c r="O131" s="16">
        <v>45610</v>
      </c>
      <c r="P131" s="12" t="s">
        <v>1694</v>
      </c>
      <c r="Q131" s="12" t="s">
        <v>1695</v>
      </c>
      <c r="R131" s="12" t="s">
        <v>47</v>
      </c>
      <c r="S131" s="12" t="s">
        <v>48</v>
      </c>
      <c r="T131" s="12" t="s">
        <v>1696</v>
      </c>
      <c r="U131" s="12" t="s">
        <v>50</v>
      </c>
      <c r="V131" s="12" t="s">
        <v>1697</v>
      </c>
      <c r="W131" s="12" t="s">
        <v>196</v>
      </c>
      <c r="X131" s="12" t="s">
        <v>168</v>
      </c>
      <c r="Y131" s="12" t="s">
        <v>1698</v>
      </c>
      <c r="Z131" s="12">
        <v>6</v>
      </c>
      <c r="AA131" s="12" t="s">
        <v>55</v>
      </c>
      <c r="AB131" s="12" t="s">
        <v>1699</v>
      </c>
      <c r="AC131" s="12" t="s">
        <v>1252</v>
      </c>
      <c r="AD131" s="12" t="s">
        <v>86</v>
      </c>
      <c r="AE131" s="12">
        <v>7351200</v>
      </c>
      <c r="AF131" s="13">
        <v>128646</v>
      </c>
      <c r="AG131" s="12"/>
      <c r="AH131" s="12"/>
      <c r="AI131" s="12"/>
      <c r="AJ131" s="12" t="s">
        <v>11510</v>
      </c>
      <c r="AK131" s="13">
        <v>128646</v>
      </c>
      <c r="AL131" s="13"/>
      <c r="AM131" s="14">
        <f t="shared" ref="AM131:AM194" si="2">AF131-AK131</f>
        <v>0</v>
      </c>
      <c r="AN131" s="12" t="s">
        <v>12004</v>
      </c>
    </row>
    <row r="132" spans="1:40" x14ac:dyDescent="0.25">
      <c r="A132" s="8">
        <v>131</v>
      </c>
      <c r="B132" s="9" t="s">
        <v>35</v>
      </c>
      <c r="C132" s="9" t="s">
        <v>1700</v>
      </c>
      <c r="D132" s="9" t="s">
        <v>37</v>
      </c>
      <c r="E132" s="9" t="s">
        <v>1701</v>
      </c>
      <c r="F132" s="9" t="s">
        <v>138</v>
      </c>
      <c r="G132" s="9" t="s">
        <v>1702</v>
      </c>
      <c r="H132" s="9" t="s">
        <v>1703</v>
      </c>
      <c r="I132" s="9" t="s">
        <v>1704</v>
      </c>
      <c r="J132" s="9" t="s">
        <v>141</v>
      </c>
      <c r="K132" s="9" t="s">
        <v>1705</v>
      </c>
      <c r="L132" s="9">
        <v>1533000</v>
      </c>
      <c r="M132" s="9">
        <v>2190000</v>
      </c>
      <c r="N132" s="9" t="s">
        <v>1706</v>
      </c>
      <c r="O132" s="10">
        <v>45610</v>
      </c>
      <c r="P132" s="9" t="s">
        <v>1707</v>
      </c>
      <c r="Q132" s="9" t="s">
        <v>1708</v>
      </c>
      <c r="R132" s="9" t="s">
        <v>146</v>
      </c>
      <c r="S132" s="9" t="s">
        <v>48</v>
      </c>
      <c r="T132" s="9" t="s">
        <v>1276</v>
      </c>
      <c r="U132" s="9" t="s">
        <v>614</v>
      </c>
      <c r="V132" s="9" t="s">
        <v>1079</v>
      </c>
      <c r="W132" s="9" t="s">
        <v>1080</v>
      </c>
      <c r="X132" s="9" t="s">
        <v>168</v>
      </c>
      <c r="Y132" s="9" t="s">
        <v>1709</v>
      </c>
      <c r="Z132" s="9">
        <v>5</v>
      </c>
      <c r="AA132" s="9" t="s">
        <v>227</v>
      </c>
      <c r="AB132" s="9" t="s">
        <v>1710</v>
      </c>
      <c r="AC132" s="9" t="s">
        <v>1079</v>
      </c>
      <c r="AD132" s="9" t="s">
        <v>86</v>
      </c>
      <c r="AE132" s="9">
        <v>1861500</v>
      </c>
      <c r="AF132" s="11">
        <v>32576</v>
      </c>
      <c r="AG132" s="9"/>
      <c r="AH132" s="9"/>
      <c r="AI132" s="9"/>
      <c r="AJ132" s="12" t="s">
        <v>11511</v>
      </c>
      <c r="AK132" s="13">
        <v>32576</v>
      </c>
      <c r="AL132" s="13"/>
      <c r="AM132" s="14">
        <f t="shared" si="2"/>
        <v>0</v>
      </c>
      <c r="AN132" s="12" t="s">
        <v>12004</v>
      </c>
    </row>
    <row r="133" spans="1:40" x14ac:dyDescent="0.25">
      <c r="A133" s="15">
        <v>132</v>
      </c>
      <c r="B133" s="12" t="s">
        <v>35</v>
      </c>
      <c r="C133" s="12" t="s">
        <v>1711</v>
      </c>
      <c r="D133" s="12" t="s">
        <v>37</v>
      </c>
      <c r="E133" s="12" t="s">
        <v>1712</v>
      </c>
      <c r="F133" s="12" t="s">
        <v>138</v>
      </c>
      <c r="G133" s="12" t="s">
        <v>1713</v>
      </c>
      <c r="H133" s="12" t="s">
        <v>1714</v>
      </c>
      <c r="I133" s="12" t="s">
        <v>1714</v>
      </c>
      <c r="J133" s="12" t="s">
        <v>141</v>
      </c>
      <c r="K133" s="12" t="s">
        <v>1715</v>
      </c>
      <c r="L133" s="12">
        <v>1325000</v>
      </c>
      <c r="M133" s="12">
        <v>2500000</v>
      </c>
      <c r="N133" s="12" t="s">
        <v>1716</v>
      </c>
      <c r="O133" s="16">
        <v>45610</v>
      </c>
      <c r="P133" s="12" t="s">
        <v>1717</v>
      </c>
      <c r="Q133" s="12" t="s">
        <v>1718</v>
      </c>
      <c r="R133" s="12" t="s">
        <v>146</v>
      </c>
      <c r="S133" s="12" t="s">
        <v>1719</v>
      </c>
      <c r="T133" s="12" t="s">
        <v>360</v>
      </c>
      <c r="U133" s="12" t="s">
        <v>98</v>
      </c>
      <c r="V133" s="12" t="s">
        <v>1079</v>
      </c>
      <c r="W133" s="12" t="s">
        <v>1080</v>
      </c>
      <c r="X133" s="12" t="s">
        <v>197</v>
      </c>
      <c r="Y133" s="12" t="s">
        <v>1720</v>
      </c>
      <c r="Z133" s="12">
        <v>3</v>
      </c>
      <c r="AA133" s="12" t="s">
        <v>227</v>
      </c>
      <c r="AB133" s="12" t="s">
        <v>1721</v>
      </c>
      <c r="AC133" s="12" t="s">
        <v>1372</v>
      </c>
      <c r="AD133" s="12" t="s">
        <v>86</v>
      </c>
      <c r="AE133" s="12">
        <v>2125000</v>
      </c>
      <c r="AF133" s="13">
        <v>37188</v>
      </c>
      <c r="AG133" s="12"/>
      <c r="AH133" s="12"/>
      <c r="AI133" s="12"/>
      <c r="AJ133" s="12" t="s">
        <v>11512</v>
      </c>
      <c r="AK133" s="13">
        <v>37188</v>
      </c>
      <c r="AL133" s="13"/>
      <c r="AM133" s="14">
        <f t="shared" si="2"/>
        <v>0</v>
      </c>
      <c r="AN133" s="12" t="s">
        <v>12004</v>
      </c>
    </row>
    <row r="134" spans="1:40" x14ac:dyDescent="0.25">
      <c r="A134" s="8">
        <v>133</v>
      </c>
      <c r="B134" s="9" t="s">
        <v>35</v>
      </c>
      <c r="C134" s="9" t="s">
        <v>1722</v>
      </c>
      <c r="D134" s="9" t="s">
        <v>37</v>
      </c>
      <c r="E134" s="9" t="s">
        <v>1723</v>
      </c>
      <c r="F134" s="9" t="s">
        <v>138</v>
      </c>
      <c r="G134" s="9" t="s">
        <v>1724</v>
      </c>
      <c r="H134" s="9" t="s">
        <v>1725</v>
      </c>
      <c r="I134" s="9" t="s">
        <v>1726</v>
      </c>
      <c r="J134" s="9" t="s">
        <v>1725</v>
      </c>
      <c r="K134" s="9" t="s">
        <v>1727</v>
      </c>
      <c r="L134" s="9">
        <v>1610000</v>
      </c>
      <c r="M134" s="9">
        <v>2300000</v>
      </c>
      <c r="N134" s="9" t="s">
        <v>1728</v>
      </c>
      <c r="O134" s="10">
        <v>45610</v>
      </c>
      <c r="P134" s="9" t="s">
        <v>1729</v>
      </c>
      <c r="Q134" s="9" t="s">
        <v>1730</v>
      </c>
      <c r="R134" s="9" t="s">
        <v>146</v>
      </c>
      <c r="S134" s="9" t="s">
        <v>1731</v>
      </c>
      <c r="T134" s="9" t="s">
        <v>1732</v>
      </c>
      <c r="U134" s="9" t="s">
        <v>903</v>
      </c>
      <c r="V134" s="9" t="s">
        <v>1079</v>
      </c>
      <c r="W134" s="9" t="s">
        <v>1080</v>
      </c>
      <c r="X134" s="9" t="s">
        <v>197</v>
      </c>
      <c r="Y134" s="9" t="s">
        <v>1733</v>
      </c>
      <c r="Z134" s="9">
        <v>3</v>
      </c>
      <c r="AA134" s="9" t="s">
        <v>152</v>
      </c>
      <c r="AB134" s="9" t="s">
        <v>1734</v>
      </c>
      <c r="AC134" s="9" t="s">
        <v>1372</v>
      </c>
      <c r="AD134" s="9" t="s">
        <v>86</v>
      </c>
      <c r="AE134" s="9">
        <v>1955000</v>
      </c>
      <c r="AF134" s="11">
        <v>34213</v>
      </c>
      <c r="AG134" s="9"/>
      <c r="AH134" s="9"/>
      <c r="AI134" s="9"/>
      <c r="AJ134" s="12" t="s">
        <v>11513</v>
      </c>
      <c r="AK134" s="13">
        <v>34213</v>
      </c>
      <c r="AL134" s="13"/>
      <c r="AM134" s="14">
        <f t="shared" si="2"/>
        <v>0</v>
      </c>
      <c r="AN134" s="12" t="s">
        <v>12004</v>
      </c>
    </row>
    <row r="135" spans="1:40" x14ac:dyDescent="0.25">
      <c r="A135" s="15">
        <v>134</v>
      </c>
      <c r="B135" s="12" t="s">
        <v>35</v>
      </c>
      <c r="C135" s="12" t="s">
        <v>1735</v>
      </c>
      <c r="D135" s="12" t="s">
        <v>37</v>
      </c>
      <c r="E135" s="12" t="s">
        <v>1736</v>
      </c>
      <c r="F135" s="12" t="s">
        <v>245</v>
      </c>
      <c r="G135" s="12" t="s">
        <v>1737</v>
      </c>
      <c r="H135" s="12" t="s">
        <v>1738</v>
      </c>
      <c r="I135" s="12" t="s">
        <v>1739</v>
      </c>
      <c r="J135" s="12" t="s">
        <v>48</v>
      </c>
      <c r="K135" s="12" t="s">
        <v>1740</v>
      </c>
      <c r="L135" s="12">
        <v>2205000</v>
      </c>
      <c r="M135" s="12">
        <v>3500000</v>
      </c>
      <c r="N135" s="12" t="s">
        <v>1741</v>
      </c>
      <c r="O135" s="16">
        <v>45610</v>
      </c>
      <c r="P135" s="12" t="s">
        <v>1742</v>
      </c>
      <c r="Q135" s="12" t="s">
        <v>1743</v>
      </c>
      <c r="R135" s="12" t="s">
        <v>146</v>
      </c>
      <c r="S135" s="12" t="s">
        <v>1744</v>
      </c>
      <c r="T135" s="12" t="s">
        <v>283</v>
      </c>
      <c r="U135" s="12" t="s">
        <v>98</v>
      </c>
      <c r="V135" s="12" t="s">
        <v>1079</v>
      </c>
      <c r="W135" s="12" t="s">
        <v>1080</v>
      </c>
      <c r="X135" s="12" t="s">
        <v>197</v>
      </c>
      <c r="Y135" s="12" t="s">
        <v>1745</v>
      </c>
      <c r="Z135" s="12">
        <v>3</v>
      </c>
      <c r="AA135" s="12" t="s">
        <v>323</v>
      </c>
      <c r="AB135" s="12" t="s">
        <v>1746</v>
      </c>
      <c r="AC135" s="12" t="s">
        <v>1372</v>
      </c>
      <c r="AD135" s="12" t="s">
        <v>86</v>
      </c>
      <c r="AE135" s="12">
        <v>2975000</v>
      </c>
      <c r="AF135" s="13">
        <v>52063</v>
      </c>
      <c r="AG135" s="12"/>
      <c r="AH135" s="12"/>
      <c r="AI135" s="12"/>
      <c r="AJ135" s="12" t="s">
        <v>11514</v>
      </c>
      <c r="AK135" s="13">
        <v>52063</v>
      </c>
      <c r="AL135" s="13"/>
      <c r="AM135" s="14">
        <f t="shared" si="2"/>
        <v>0</v>
      </c>
      <c r="AN135" s="12" t="s">
        <v>12004</v>
      </c>
    </row>
    <row r="136" spans="1:40" x14ac:dyDescent="0.25">
      <c r="A136" s="8">
        <v>135</v>
      </c>
      <c r="B136" s="9" t="s">
        <v>35</v>
      </c>
      <c r="C136" s="9" t="s">
        <v>1747</v>
      </c>
      <c r="D136" s="9" t="s">
        <v>37</v>
      </c>
      <c r="E136" s="9" t="s">
        <v>1748</v>
      </c>
      <c r="F136" s="9" t="s">
        <v>138</v>
      </c>
      <c r="G136" s="9" t="s">
        <v>1749</v>
      </c>
      <c r="H136" s="9" t="s">
        <v>1750</v>
      </c>
      <c r="I136" s="9" t="s">
        <v>1751</v>
      </c>
      <c r="J136" s="9" t="s">
        <v>1752</v>
      </c>
      <c r="K136" s="9" t="s">
        <v>1753</v>
      </c>
      <c r="L136" s="9">
        <v>3773000</v>
      </c>
      <c r="M136" s="9">
        <v>5390000</v>
      </c>
      <c r="N136" s="9" t="s">
        <v>1754</v>
      </c>
      <c r="O136" s="10">
        <v>45610</v>
      </c>
      <c r="P136" s="9" t="s">
        <v>1755</v>
      </c>
      <c r="Q136" s="9" t="s">
        <v>1756</v>
      </c>
      <c r="R136" s="9" t="s">
        <v>47</v>
      </c>
      <c r="S136" s="9" t="s">
        <v>48</v>
      </c>
      <c r="T136" s="9" t="s">
        <v>1757</v>
      </c>
      <c r="U136" s="9" t="s">
        <v>50</v>
      </c>
      <c r="V136" s="9" t="s">
        <v>1758</v>
      </c>
      <c r="W136" s="9" t="s">
        <v>132</v>
      </c>
      <c r="X136" s="9" t="s">
        <v>133</v>
      </c>
      <c r="Y136" s="9" t="s">
        <v>1759</v>
      </c>
      <c r="Z136" s="9">
        <v>5</v>
      </c>
      <c r="AA136" s="9" t="s">
        <v>55</v>
      </c>
      <c r="AB136" s="9" t="s">
        <v>1760</v>
      </c>
      <c r="AC136" s="9" t="s">
        <v>132</v>
      </c>
      <c r="AD136" s="9" t="s">
        <v>86</v>
      </c>
      <c r="AE136" s="9">
        <v>4312000</v>
      </c>
      <c r="AF136" s="11">
        <v>75460</v>
      </c>
      <c r="AG136" s="9"/>
      <c r="AH136" s="9"/>
      <c r="AI136" s="9"/>
      <c r="AJ136" s="12" t="s">
        <v>11515</v>
      </c>
      <c r="AK136" s="13">
        <v>75460</v>
      </c>
      <c r="AL136" s="13"/>
      <c r="AM136" s="14">
        <f t="shared" si="2"/>
        <v>0</v>
      </c>
      <c r="AN136" s="12" t="s">
        <v>12004</v>
      </c>
    </row>
    <row r="137" spans="1:40" x14ac:dyDescent="0.25">
      <c r="A137" s="15">
        <v>136</v>
      </c>
      <c r="B137" s="12" t="s">
        <v>35</v>
      </c>
      <c r="C137" s="12" t="s">
        <v>1761</v>
      </c>
      <c r="D137" s="12" t="s">
        <v>37</v>
      </c>
      <c r="E137" s="12" t="s">
        <v>1762</v>
      </c>
      <c r="F137" s="12" t="s">
        <v>1763</v>
      </c>
      <c r="G137" s="12" t="s">
        <v>1764</v>
      </c>
      <c r="H137" s="12" t="s">
        <v>48</v>
      </c>
      <c r="I137" s="12" t="s">
        <v>1765</v>
      </c>
      <c r="J137" s="12" t="s">
        <v>48</v>
      </c>
      <c r="K137" s="12" t="s">
        <v>1766</v>
      </c>
      <c r="L137" s="12">
        <v>1134750</v>
      </c>
      <c r="M137" s="12">
        <v>1335000</v>
      </c>
      <c r="N137" s="12" t="s">
        <v>1767</v>
      </c>
      <c r="O137" s="16">
        <v>45610</v>
      </c>
      <c r="P137" s="12" t="s">
        <v>1768</v>
      </c>
      <c r="Q137" s="12" t="s">
        <v>1769</v>
      </c>
      <c r="R137" s="12" t="s">
        <v>858</v>
      </c>
      <c r="S137" s="12" t="s">
        <v>48</v>
      </c>
      <c r="T137" s="12" t="s">
        <v>673</v>
      </c>
      <c r="U137" s="12" t="s">
        <v>50</v>
      </c>
      <c r="V137" s="12" t="s">
        <v>195</v>
      </c>
      <c r="W137" s="12" t="s">
        <v>132</v>
      </c>
      <c r="X137" s="12" t="s">
        <v>1191</v>
      </c>
      <c r="Y137" s="12" t="s">
        <v>1770</v>
      </c>
      <c r="Z137" s="12">
        <v>7</v>
      </c>
      <c r="AA137" s="12" t="s">
        <v>118</v>
      </c>
      <c r="AB137" s="12" t="s">
        <v>1771</v>
      </c>
      <c r="AC137" s="12" t="s">
        <v>1252</v>
      </c>
      <c r="AD137" s="12" t="s">
        <v>943</v>
      </c>
      <c r="AE137" s="12">
        <v>1068000</v>
      </c>
      <c r="AF137" s="13">
        <v>14952</v>
      </c>
      <c r="AG137" s="12"/>
      <c r="AH137" s="12"/>
      <c r="AI137" s="12"/>
      <c r="AJ137" s="12" t="s">
        <v>11516</v>
      </c>
      <c r="AK137" s="13">
        <v>36434</v>
      </c>
      <c r="AL137" s="13" t="s">
        <v>12223</v>
      </c>
      <c r="AM137" s="14">
        <f t="shared" si="2"/>
        <v>-21482</v>
      </c>
      <c r="AN137" s="12" t="s">
        <v>12004</v>
      </c>
    </row>
    <row r="138" spans="1:40" x14ac:dyDescent="0.25">
      <c r="A138" s="8">
        <v>137</v>
      </c>
      <c r="B138" s="9" t="s">
        <v>35</v>
      </c>
      <c r="C138" s="9" t="s">
        <v>1772</v>
      </c>
      <c r="D138" s="9" t="s">
        <v>37</v>
      </c>
      <c r="E138" s="9" t="s">
        <v>1773</v>
      </c>
      <c r="F138" s="9" t="s">
        <v>1774</v>
      </c>
      <c r="G138" s="9" t="s">
        <v>1775</v>
      </c>
      <c r="H138" s="9" t="s">
        <v>48</v>
      </c>
      <c r="I138" s="9" t="s">
        <v>1776</v>
      </c>
      <c r="J138" s="9" t="s">
        <v>48</v>
      </c>
      <c r="K138" s="9" t="s">
        <v>1777</v>
      </c>
      <c r="L138" s="9">
        <v>804900</v>
      </c>
      <c r="M138" s="9">
        <v>2683000</v>
      </c>
      <c r="N138" s="9" t="s">
        <v>1778</v>
      </c>
      <c r="O138" s="10">
        <v>45611</v>
      </c>
      <c r="P138" s="9" t="s">
        <v>1779</v>
      </c>
      <c r="Q138" s="9" t="s">
        <v>1780</v>
      </c>
      <c r="R138" s="9" t="s">
        <v>47</v>
      </c>
      <c r="S138" s="9" t="s">
        <v>48</v>
      </c>
      <c r="T138" s="9" t="s">
        <v>1781</v>
      </c>
      <c r="U138" s="9" t="s">
        <v>98</v>
      </c>
      <c r="V138" s="9" t="s">
        <v>1782</v>
      </c>
      <c r="W138" s="9" t="s">
        <v>167</v>
      </c>
      <c r="X138" s="9" t="s">
        <v>197</v>
      </c>
      <c r="Y138" s="9" t="s">
        <v>1783</v>
      </c>
      <c r="Z138" s="9">
        <v>5</v>
      </c>
      <c r="AA138" s="9" t="s">
        <v>55</v>
      </c>
      <c r="AB138" s="9" t="s">
        <v>1784</v>
      </c>
      <c r="AC138" s="9" t="s">
        <v>1548</v>
      </c>
      <c r="AD138" s="9" t="s">
        <v>58</v>
      </c>
      <c r="AE138" s="9">
        <v>2012250</v>
      </c>
      <c r="AF138" s="11">
        <v>40245</v>
      </c>
      <c r="AG138" s="9"/>
      <c r="AH138" s="9"/>
      <c r="AI138" s="9"/>
      <c r="AJ138" s="12" t="s">
        <v>11517</v>
      </c>
      <c r="AK138" s="13">
        <v>40245</v>
      </c>
      <c r="AL138" s="13"/>
      <c r="AM138" s="14">
        <f t="shared" si="2"/>
        <v>0</v>
      </c>
      <c r="AN138" s="12" t="s">
        <v>12004</v>
      </c>
    </row>
    <row r="139" spans="1:40" x14ac:dyDescent="0.25">
      <c r="A139" s="15">
        <v>138</v>
      </c>
      <c r="B139" s="12" t="s">
        <v>35</v>
      </c>
      <c r="C139" s="12" t="s">
        <v>1785</v>
      </c>
      <c r="D139" s="12" t="s">
        <v>37</v>
      </c>
      <c r="E139" s="12" t="s">
        <v>1786</v>
      </c>
      <c r="F139" s="12" t="s">
        <v>138</v>
      </c>
      <c r="G139" s="12" t="s">
        <v>1787</v>
      </c>
      <c r="H139" s="12" t="s">
        <v>1788</v>
      </c>
      <c r="I139" s="12" t="s">
        <v>1788</v>
      </c>
      <c r="J139" s="12" t="s">
        <v>1788</v>
      </c>
      <c r="K139" s="12" t="s">
        <v>1789</v>
      </c>
      <c r="L139" s="12">
        <v>1000350</v>
      </c>
      <c r="M139" s="12">
        <v>1539000</v>
      </c>
      <c r="N139" s="12" t="s">
        <v>1790</v>
      </c>
      <c r="O139" s="16">
        <v>45611</v>
      </c>
      <c r="P139" s="12" t="s">
        <v>1791</v>
      </c>
      <c r="Q139" s="12" t="s">
        <v>1792</v>
      </c>
      <c r="R139" s="12" t="s">
        <v>47</v>
      </c>
      <c r="S139" s="12" t="s">
        <v>48</v>
      </c>
      <c r="T139" s="12" t="s">
        <v>1264</v>
      </c>
      <c r="U139" s="12" t="s">
        <v>50</v>
      </c>
      <c r="V139" s="12" t="s">
        <v>1793</v>
      </c>
      <c r="W139" s="12" t="s">
        <v>196</v>
      </c>
      <c r="X139" s="12" t="s">
        <v>401</v>
      </c>
      <c r="Y139" s="12" t="s">
        <v>1794</v>
      </c>
      <c r="Z139" s="12">
        <v>5</v>
      </c>
      <c r="AA139" s="12" t="s">
        <v>55</v>
      </c>
      <c r="AB139" s="12" t="s">
        <v>1795</v>
      </c>
      <c r="AC139" s="12" t="s">
        <v>1252</v>
      </c>
      <c r="AD139" s="12" t="s">
        <v>58</v>
      </c>
      <c r="AE139" s="12">
        <v>1231200</v>
      </c>
      <c r="AF139" s="13">
        <v>24624</v>
      </c>
      <c r="AG139" s="12"/>
      <c r="AH139" s="12"/>
      <c r="AI139" s="12"/>
      <c r="AJ139" s="12" t="s">
        <v>11518</v>
      </c>
      <c r="AK139" s="13">
        <v>24624</v>
      </c>
      <c r="AL139" s="13"/>
      <c r="AM139" s="14">
        <f t="shared" si="2"/>
        <v>0</v>
      </c>
      <c r="AN139" s="12" t="s">
        <v>12004</v>
      </c>
    </row>
    <row r="140" spans="1:40" x14ac:dyDescent="0.25">
      <c r="A140" s="8">
        <v>139</v>
      </c>
      <c r="B140" s="9" t="s">
        <v>35</v>
      </c>
      <c r="C140" s="9" t="s">
        <v>1796</v>
      </c>
      <c r="D140" s="9" t="s">
        <v>37</v>
      </c>
      <c r="E140" s="9" t="s">
        <v>1797</v>
      </c>
      <c r="F140" s="9" t="s">
        <v>107</v>
      </c>
      <c r="G140" s="9" t="s">
        <v>1798</v>
      </c>
      <c r="H140" s="9" t="s">
        <v>1799</v>
      </c>
      <c r="I140" s="9" t="s">
        <v>1799</v>
      </c>
      <c r="J140" s="9" t="s">
        <v>1799</v>
      </c>
      <c r="K140" s="9" t="s">
        <v>1800</v>
      </c>
      <c r="L140" s="9">
        <v>1531800</v>
      </c>
      <c r="M140" s="9">
        <v>2553000</v>
      </c>
      <c r="N140" s="9" t="s">
        <v>1801</v>
      </c>
      <c r="O140" s="10">
        <v>45611</v>
      </c>
      <c r="P140" s="9" t="s">
        <v>1802</v>
      </c>
      <c r="Q140" s="9" t="s">
        <v>1803</v>
      </c>
      <c r="R140" s="9" t="s">
        <v>47</v>
      </c>
      <c r="S140" s="9" t="s">
        <v>48</v>
      </c>
      <c r="T140" s="9" t="s">
        <v>1804</v>
      </c>
      <c r="U140" s="9" t="s">
        <v>50</v>
      </c>
      <c r="V140" s="9" t="s">
        <v>727</v>
      </c>
      <c r="W140" s="9" t="s">
        <v>1053</v>
      </c>
      <c r="X140" s="9" t="s">
        <v>388</v>
      </c>
      <c r="Y140" s="9" t="s">
        <v>1805</v>
      </c>
      <c r="Z140" s="9">
        <v>5</v>
      </c>
      <c r="AA140" s="9" t="s">
        <v>55</v>
      </c>
      <c r="AB140" s="9" t="s">
        <v>1806</v>
      </c>
      <c r="AC140" s="9" t="s">
        <v>1265</v>
      </c>
      <c r="AD140" s="9" t="s">
        <v>58</v>
      </c>
      <c r="AE140" s="9">
        <v>2042400</v>
      </c>
      <c r="AF140" s="11">
        <v>40848</v>
      </c>
      <c r="AG140" s="9"/>
      <c r="AH140" s="9"/>
      <c r="AI140" s="9"/>
      <c r="AJ140" s="12" t="s">
        <v>11519</v>
      </c>
      <c r="AK140" s="13">
        <v>40848</v>
      </c>
      <c r="AL140" s="13"/>
      <c r="AM140" s="14">
        <f t="shared" si="2"/>
        <v>0</v>
      </c>
      <c r="AN140" s="12" t="s">
        <v>12004</v>
      </c>
    </row>
    <row r="141" spans="1:40" x14ac:dyDescent="0.25">
      <c r="A141" s="15">
        <v>140</v>
      </c>
      <c r="B141" s="12" t="s">
        <v>35</v>
      </c>
      <c r="C141" s="12" t="s">
        <v>1807</v>
      </c>
      <c r="D141" s="12" t="s">
        <v>37</v>
      </c>
      <c r="E141" s="12" t="s">
        <v>1808</v>
      </c>
      <c r="F141" s="12" t="s">
        <v>107</v>
      </c>
      <c r="G141" s="12" t="s">
        <v>1809</v>
      </c>
      <c r="H141" s="12" t="s">
        <v>1810</v>
      </c>
      <c r="I141" s="12" t="s">
        <v>1810</v>
      </c>
      <c r="J141" s="12" t="s">
        <v>48</v>
      </c>
      <c r="K141" s="12" t="s">
        <v>1811</v>
      </c>
      <c r="L141" s="12">
        <v>1925000</v>
      </c>
      <c r="M141" s="12">
        <v>2750000</v>
      </c>
      <c r="N141" s="12" t="s">
        <v>1812</v>
      </c>
      <c r="O141" s="16">
        <v>45611</v>
      </c>
      <c r="P141" s="12" t="s">
        <v>1813</v>
      </c>
      <c r="Q141" s="12" t="s">
        <v>1814</v>
      </c>
      <c r="R141" s="12" t="s">
        <v>146</v>
      </c>
      <c r="S141" s="12" t="s">
        <v>1815</v>
      </c>
      <c r="T141" s="12" t="s">
        <v>283</v>
      </c>
      <c r="U141" s="12" t="s">
        <v>614</v>
      </c>
      <c r="V141" s="12" t="s">
        <v>1548</v>
      </c>
      <c r="W141" s="12" t="s">
        <v>167</v>
      </c>
      <c r="X141" s="12" t="s">
        <v>197</v>
      </c>
      <c r="Y141" s="12" t="s">
        <v>1816</v>
      </c>
      <c r="Z141" s="12">
        <v>5</v>
      </c>
      <c r="AA141" s="12" t="s">
        <v>227</v>
      </c>
      <c r="AB141" s="12" t="s">
        <v>1817</v>
      </c>
      <c r="AC141" s="12" t="s">
        <v>1565</v>
      </c>
      <c r="AD141" s="12" t="s">
        <v>58</v>
      </c>
      <c r="AE141" s="12">
        <v>2062500</v>
      </c>
      <c r="AF141" s="13">
        <v>41250</v>
      </c>
      <c r="AG141" s="12"/>
      <c r="AH141" s="12"/>
      <c r="AI141" s="12"/>
      <c r="AJ141" s="12" t="s">
        <v>11520</v>
      </c>
      <c r="AK141" s="13">
        <v>41250</v>
      </c>
      <c r="AL141" s="13"/>
      <c r="AM141" s="14">
        <f t="shared" si="2"/>
        <v>0</v>
      </c>
      <c r="AN141" s="12" t="s">
        <v>12004</v>
      </c>
    </row>
    <row r="142" spans="1:40" x14ac:dyDescent="0.25">
      <c r="A142" s="8">
        <v>141</v>
      </c>
      <c r="B142" s="9" t="s">
        <v>35</v>
      </c>
      <c r="C142" s="9" t="s">
        <v>1818</v>
      </c>
      <c r="D142" s="9" t="s">
        <v>37</v>
      </c>
      <c r="E142" s="9" t="s">
        <v>1819</v>
      </c>
      <c r="F142" s="9" t="s">
        <v>107</v>
      </c>
      <c r="G142" s="9" t="s">
        <v>1820</v>
      </c>
      <c r="H142" s="9" t="s">
        <v>1821</v>
      </c>
      <c r="I142" s="9" t="s">
        <v>1821</v>
      </c>
      <c r="J142" s="9" t="s">
        <v>1821</v>
      </c>
      <c r="K142" s="9" t="s">
        <v>1822</v>
      </c>
      <c r="L142" s="9">
        <v>1787100</v>
      </c>
      <c r="M142" s="9">
        <v>2553000</v>
      </c>
      <c r="N142" s="9" t="s">
        <v>1823</v>
      </c>
      <c r="O142" s="10">
        <v>45611</v>
      </c>
      <c r="P142" s="9" t="s">
        <v>1824</v>
      </c>
      <c r="Q142" s="9" t="s">
        <v>1825</v>
      </c>
      <c r="R142" s="9" t="s">
        <v>47</v>
      </c>
      <c r="S142" s="9" t="s">
        <v>48</v>
      </c>
      <c r="T142" s="9" t="s">
        <v>1826</v>
      </c>
      <c r="U142" s="9" t="s">
        <v>50</v>
      </c>
      <c r="V142" s="9" t="s">
        <v>1476</v>
      </c>
      <c r="W142" s="9" t="s">
        <v>1053</v>
      </c>
      <c r="X142" s="9" t="s">
        <v>388</v>
      </c>
      <c r="Y142" s="9" t="s">
        <v>1827</v>
      </c>
      <c r="Z142" s="9">
        <v>5</v>
      </c>
      <c r="AA142" s="9" t="s">
        <v>55</v>
      </c>
      <c r="AB142" s="9" t="s">
        <v>1828</v>
      </c>
      <c r="AC142" s="9" t="s">
        <v>1265</v>
      </c>
      <c r="AD142" s="9" t="s">
        <v>58</v>
      </c>
      <c r="AE142" s="9">
        <v>2042400</v>
      </c>
      <c r="AF142" s="11">
        <v>40848</v>
      </c>
      <c r="AG142" s="9"/>
      <c r="AH142" s="9"/>
      <c r="AI142" s="9"/>
      <c r="AJ142" s="12" t="s">
        <v>11521</v>
      </c>
      <c r="AK142" s="13">
        <v>40848</v>
      </c>
      <c r="AL142" s="13"/>
      <c r="AM142" s="14">
        <f t="shared" si="2"/>
        <v>0</v>
      </c>
      <c r="AN142" s="12" t="s">
        <v>12004</v>
      </c>
    </row>
    <row r="143" spans="1:40" x14ac:dyDescent="0.25">
      <c r="A143" s="15">
        <v>142</v>
      </c>
      <c r="B143" s="12" t="s">
        <v>35</v>
      </c>
      <c r="C143" s="12" t="s">
        <v>1829</v>
      </c>
      <c r="D143" s="12" t="s">
        <v>37</v>
      </c>
      <c r="E143" s="12" t="s">
        <v>1830</v>
      </c>
      <c r="F143" s="12" t="s">
        <v>138</v>
      </c>
      <c r="G143" s="12" t="s">
        <v>1831</v>
      </c>
      <c r="H143" s="12" t="s">
        <v>1832</v>
      </c>
      <c r="I143" s="12" t="s">
        <v>1832</v>
      </c>
      <c r="J143" s="12" t="s">
        <v>141</v>
      </c>
      <c r="K143" s="12" t="s">
        <v>1833</v>
      </c>
      <c r="L143" s="12">
        <v>1987500</v>
      </c>
      <c r="M143" s="12">
        <v>2650000</v>
      </c>
      <c r="N143" s="12" t="s">
        <v>1834</v>
      </c>
      <c r="O143" s="16">
        <v>45611</v>
      </c>
      <c r="P143" s="12" t="s">
        <v>1835</v>
      </c>
      <c r="Q143" s="12" t="s">
        <v>1836</v>
      </c>
      <c r="R143" s="12" t="s">
        <v>47</v>
      </c>
      <c r="S143" s="12" t="s">
        <v>48</v>
      </c>
      <c r="T143" s="12" t="s">
        <v>1837</v>
      </c>
      <c r="U143" s="12" t="s">
        <v>50</v>
      </c>
      <c r="V143" s="12" t="s">
        <v>1513</v>
      </c>
      <c r="W143" s="12" t="s">
        <v>196</v>
      </c>
      <c r="X143" s="12" t="s">
        <v>401</v>
      </c>
      <c r="Y143" s="12" t="s">
        <v>1838</v>
      </c>
      <c r="Z143" s="12">
        <v>5</v>
      </c>
      <c r="AA143" s="12" t="s">
        <v>55</v>
      </c>
      <c r="AB143" s="12" t="s">
        <v>1839</v>
      </c>
      <c r="AC143" s="12" t="s">
        <v>1252</v>
      </c>
      <c r="AD143" s="12" t="s">
        <v>58</v>
      </c>
      <c r="AE143" s="12">
        <v>2120000</v>
      </c>
      <c r="AF143" s="13">
        <v>42400</v>
      </c>
      <c r="AG143" s="12"/>
      <c r="AH143" s="12"/>
      <c r="AI143" s="12"/>
      <c r="AJ143" s="12" t="s">
        <v>11522</v>
      </c>
      <c r="AK143" s="13">
        <v>42400</v>
      </c>
      <c r="AL143" s="13"/>
      <c r="AM143" s="14">
        <f t="shared" si="2"/>
        <v>0</v>
      </c>
      <c r="AN143" s="12" t="s">
        <v>12004</v>
      </c>
    </row>
    <row r="144" spans="1:40" x14ac:dyDescent="0.25">
      <c r="A144" s="8">
        <v>143</v>
      </c>
      <c r="B144" s="9" t="s">
        <v>35</v>
      </c>
      <c r="C144" s="9" t="s">
        <v>1840</v>
      </c>
      <c r="D144" s="9" t="s">
        <v>37</v>
      </c>
      <c r="E144" s="9" t="s">
        <v>1841</v>
      </c>
      <c r="F144" s="9" t="s">
        <v>39</v>
      </c>
      <c r="G144" s="9" t="s">
        <v>1842</v>
      </c>
      <c r="H144" s="9" t="s">
        <v>1843</v>
      </c>
      <c r="I144" s="9" t="s">
        <v>1844</v>
      </c>
      <c r="J144" s="9" t="s">
        <v>1843</v>
      </c>
      <c r="K144" s="9" t="s">
        <v>1845</v>
      </c>
      <c r="L144" s="9">
        <v>2587975</v>
      </c>
      <c r="M144" s="9">
        <v>3981500</v>
      </c>
      <c r="N144" s="9" t="s">
        <v>1846</v>
      </c>
      <c r="O144" s="10">
        <v>45611</v>
      </c>
      <c r="P144" s="9" t="s">
        <v>1847</v>
      </c>
      <c r="Q144" s="9" t="s">
        <v>1848</v>
      </c>
      <c r="R144" s="9" t="s">
        <v>47</v>
      </c>
      <c r="S144" s="9" t="s">
        <v>48</v>
      </c>
      <c r="T144" s="9" t="s">
        <v>1065</v>
      </c>
      <c r="U144" s="9" t="s">
        <v>98</v>
      </c>
      <c r="V144" s="9" t="s">
        <v>1849</v>
      </c>
      <c r="W144" s="9" t="s">
        <v>167</v>
      </c>
      <c r="X144" s="9" t="s">
        <v>197</v>
      </c>
      <c r="Y144" s="9" t="s">
        <v>1850</v>
      </c>
      <c r="Z144" s="9">
        <v>5</v>
      </c>
      <c r="AA144" s="9" t="s">
        <v>55</v>
      </c>
      <c r="AB144" s="9" t="s">
        <v>1851</v>
      </c>
      <c r="AC144" s="9" t="s">
        <v>1217</v>
      </c>
      <c r="AD144" s="9" t="s">
        <v>58</v>
      </c>
      <c r="AE144" s="9">
        <v>2986125</v>
      </c>
      <c r="AF144" s="11">
        <v>59723</v>
      </c>
      <c r="AG144" s="9"/>
      <c r="AH144" s="9"/>
      <c r="AI144" s="9"/>
      <c r="AJ144" s="12" t="s">
        <v>11523</v>
      </c>
      <c r="AK144" s="13">
        <v>59723</v>
      </c>
      <c r="AL144" s="13"/>
      <c r="AM144" s="14">
        <f t="shared" si="2"/>
        <v>0</v>
      </c>
      <c r="AN144" s="12" t="s">
        <v>12004</v>
      </c>
    </row>
    <row r="145" spans="1:40" x14ac:dyDescent="0.25">
      <c r="A145" s="15">
        <v>144</v>
      </c>
      <c r="B145" s="12" t="s">
        <v>35</v>
      </c>
      <c r="C145" s="12" t="s">
        <v>1852</v>
      </c>
      <c r="D145" s="12" t="s">
        <v>37</v>
      </c>
      <c r="E145" s="12" t="s">
        <v>1853</v>
      </c>
      <c r="F145" s="12" t="s">
        <v>39</v>
      </c>
      <c r="G145" s="12" t="s">
        <v>1854</v>
      </c>
      <c r="H145" s="12" t="s">
        <v>1855</v>
      </c>
      <c r="I145" s="12" t="s">
        <v>1856</v>
      </c>
      <c r="J145" s="12" t="s">
        <v>1855</v>
      </c>
      <c r="K145" s="12" t="s">
        <v>1857</v>
      </c>
      <c r="L145" s="12">
        <v>2787050</v>
      </c>
      <c r="M145" s="12">
        <v>3981500</v>
      </c>
      <c r="N145" s="12" t="s">
        <v>1858</v>
      </c>
      <c r="O145" s="16">
        <v>45611</v>
      </c>
      <c r="P145" s="12" t="s">
        <v>1859</v>
      </c>
      <c r="Q145" s="12" t="s">
        <v>1860</v>
      </c>
      <c r="R145" s="12" t="s">
        <v>47</v>
      </c>
      <c r="S145" s="12" t="s">
        <v>48</v>
      </c>
      <c r="T145" s="12" t="s">
        <v>1861</v>
      </c>
      <c r="U145" s="12" t="s">
        <v>98</v>
      </c>
      <c r="V145" s="12" t="s">
        <v>1862</v>
      </c>
      <c r="W145" s="12" t="s">
        <v>167</v>
      </c>
      <c r="X145" s="12" t="s">
        <v>197</v>
      </c>
      <c r="Y145" s="12" t="s">
        <v>1863</v>
      </c>
      <c r="Z145" s="12">
        <v>5</v>
      </c>
      <c r="AA145" s="12" t="s">
        <v>55</v>
      </c>
      <c r="AB145" s="12" t="s">
        <v>1864</v>
      </c>
      <c r="AC145" s="12" t="s">
        <v>1217</v>
      </c>
      <c r="AD145" s="12" t="s">
        <v>58</v>
      </c>
      <c r="AE145" s="12">
        <v>2986125</v>
      </c>
      <c r="AF145" s="13">
        <v>59723</v>
      </c>
      <c r="AG145" s="12"/>
      <c r="AH145" s="12"/>
      <c r="AI145" s="12"/>
      <c r="AJ145" s="12" t="s">
        <v>11524</v>
      </c>
      <c r="AK145" s="13">
        <v>59723</v>
      </c>
      <c r="AL145" s="13"/>
      <c r="AM145" s="14">
        <f t="shared" si="2"/>
        <v>0</v>
      </c>
      <c r="AN145" s="12" t="s">
        <v>12004</v>
      </c>
    </row>
    <row r="146" spans="1:40" x14ac:dyDescent="0.25">
      <c r="A146" s="8">
        <v>145</v>
      </c>
      <c r="B146" s="9" t="s">
        <v>35</v>
      </c>
      <c r="C146" s="9" t="s">
        <v>1865</v>
      </c>
      <c r="D146" s="9" t="s">
        <v>37</v>
      </c>
      <c r="E146" s="9" t="s">
        <v>1866</v>
      </c>
      <c r="F146" s="9" t="s">
        <v>138</v>
      </c>
      <c r="G146" s="9" t="s">
        <v>1867</v>
      </c>
      <c r="H146" s="9" t="s">
        <v>48</v>
      </c>
      <c r="I146" s="9" t="s">
        <v>1868</v>
      </c>
      <c r="J146" s="9" t="s">
        <v>48</v>
      </c>
      <c r="K146" s="9" t="s">
        <v>1869</v>
      </c>
      <c r="L146" s="9">
        <v>3429300</v>
      </c>
      <c r="M146" s="9">
        <v>4899000</v>
      </c>
      <c r="N146" s="9" t="s">
        <v>1870</v>
      </c>
      <c r="O146" s="10">
        <v>45611</v>
      </c>
      <c r="P146" s="9" t="s">
        <v>1871</v>
      </c>
      <c r="Q146" s="9" t="s">
        <v>1872</v>
      </c>
      <c r="R146" s="9" t="s">
        <v>47</v>
      </c>
      <c r="S146" s="9" t="s">
        <v>48</v>
      </c>
      <c r="T146" s="9" t="s">
        <v>1154</v>
      </c>
      <c r="U146" s="9" t="s">
        <v>98</v>
      </c>
      <c r="V146" s="9" t="s">
        <v>1873</v>
      </c>
      <c r="W146" s="9" t="s">
        <v>456</v>
      </c>
      <c r="X146" s="9" t="s">
        <v>457</v>
      </c>
      <c r="Y146" s="9" t="s">
        <v>1874</v>
      </c>
      <c r="Z146" s="9">
        <v>5</v>
      </c>
      <c r="AA146" s="9" t="s">
        <v>48</v>
      </c>
      <c r="AB146" s="9" t="s">
        <v>48</v>
      </c>
      <c r="AC146" s="9" t="s">
        <v>48</v>
      </c>
      <c r="AD146" s="9" t="s">
        <v>299</v>
      </c>
      <c r="AE146" s="9">
        <v>3674250</v>
      </c>
      <c r="AF146" s="11">
        <v>55114</v>
      </c>
      <c r="AG146" s="9"/>
      <c r="AH146" s="9"/>
      <c r="AI146" s="9"/>
      <c r="AJ146" s="12" t="s">
        <v>11525</v>
      </c>
      <c r="AK146" s="13">
        <v>55114</v>
      </c>
      <c r="AL146" s="13"/>
      <c r="AM146" s="14">
        <f t="shared" si="2"/>
        <v>0</v>
      </c>
      <c r="AN146" s="12" t="s">
        <v>12004</v>
      </c>
    </row>
    <row r="147" spans="1:40" x14ac:dyDescent="0.25">
      <c r="A147" s="15">
        <v>146</v>
      </c>
      <c r="B147" s="12" t="s">
        <v>35</v>
      </c>
      <c r="C147" s="12" t="s">
        <v>1875</v>
      </c>
      <c r="D147" s="12" t="s">
        <v>37</v>
      </c>
      <c r="E147" s="12" t="s">
        <v>1876</v>
      </c>
      <c r="F147" s="12" t="s">
        <v>107</v>
      </c>
      <c r="G147" s="12" t="s">
        <v>1877</v>
      </c>
      <c r="H147" s="12" t="s">
        <v>1878</v>
      </c>
      <c r="I147" s="12" t="s">
        <v>1878</v>
      </c>
      <c r="J147" s="12" t="s">
        <v>1879</v>
      </c>
      <c r="K147" s="12" t="s">
        <v>1880</v>
      </c>
      <c r="L147" s="12">
        <v>7266750</v>
      </c>
      <c r="M147" s="12">
        <v>9689000</v>
      </c>
      <c r="N147" s="12" t="s">
        <v>1881</v>
      </c>
      <c r="O147" s="16">
        <v>45611</v>
      </c>
      <c r="P147" s="12" t="s">
        <v>1882</v>
      </c>
      <c r="Q147" s="12" t="s">
        <v>1883</v>
      </c>
      <c r="R147" s="12" t="s">
        <v>47</v>
      </c>
      <c r="S147" s="12" t="s">
        <v>48</v>
      </c>
      <c r="T147" s="12" t="s">
        <v>1696</v>
      </c>
      <c r="U147" s="12" t="s">
        <v>50</v>
      </c>
      <c r="V147" s="12" t="s">
        <v>1884</v>
      </c>
      <c r="W147" s="12" t="s">
        <v>132</v>
      </c>
      <c r="X147" s="12" t="s">
        <v>133</v>
      </c>
      <c r="Y147" s="12" t="s">
        <v>1885</v>
      </c>
      <c r="Z147" s="12">
        <v>5</v>
      </c>
      <c r="AA147" s="12" t="s">
        <v>55</v>
      </c>
      <c r="AB147" s="12" t="s">
        <v>1886</v>
      </c>
      <c r="AC147" s="12" t="s">
        <v>1265</v>
      </c>
      <c r="AD147" s="12" t="s">
        <v>86</v>
      </c>
      <c r="AE147" s="12">
        <v>7751200</v>
      </c>
      <c r="AF147" s="13">
        <v>135646</v>
      </c>
      <c r="AG147" s="12"/>
      <c r="AH147" s="12"/>
      <c r="AI147" s="12"/>
      <c r="AJ147" s="12" t="s">
        <v>11526</v>
      </c>
      <c r="AK147" s="13">
        <v>135646</v>
      </c>
      <c r="AL147" s="13"/>
      <c r="AM147" s="14">
        <f t="shared" si="2"/>
        <v>0</v>
      </c>
      <c r="AN147" s="12" t="s">
        <v>12004</v>
      </c>
    </row>
    <row r="148" spans="1:40" x14ac:dyDescent="0.25">
      <c r="A148" s="8">
        <v>147</v>
      </c>
      <c r="B148" s="9" t="s">
        <v>35</v>
      </c>
      <c r="C148" s="9" t="s">
        <v>1887</v>
      </c>
      <c r="D148" s="9" t="s">
        <v>37</v>
      </c>
      <c r="E148" s="9" t="s">
        <v>1888</v>
      </c>
      <c r="F148" s="9" t="s">
        <v>39</v>
      </c>
      <c r="G148" s="9" t="s">
        <v>1889</v>
      </c>
      <c r="H148" s="9" t="s">
        <v>1890</v>
      </c>
      <c r="I148" s="9" t="s">
        <v>1891</v>
      </c>
      <c r="J148" s="9" t="s">
        <v>1890</v>
      </c>
      <c r="K148" s="9" t="s">
        <v>1892</v>
      </c>
      <c r="L148" s="9">
        <v>712500</v>
      </c>
      <c r="M148" s="9">
        <v>1425000</v>
      </c>
      <c r="N148" s="9" t="s">
        <v>1893</v>
      </c>
      <c r="O148" s="10">
        <v>45611</v>
      </c>
      <c r="P148" s="9" t="s">
        <v>1894</v>
      </c>
      <c r="Q148" s="9" t="s">
        <v>1895</v>
      </c>
      <c r="R148" s="9" t="s">
        <v>47</v>
      </c>
      <c r="S148" s="9" t="s">
        <v>48</v>
      </c>
      <c r="T148" s="9" t="s">
        <v>1896</v>
      </c>
      <c r="U148" s="9" t="s">
        <v>148</v>
      </c>
      <c r="V148" s="9" t="s">
        <v>1897</v>
      </c>
      <c r="W148" s="9" t="s">
        <v>1080</v>
      </c>
      <c r="X148" s="9" t="s">
        <v>197</v>
      </c>
      <c r="Y148" s="9" t="s">
        <v>1898</v>
      </c>
      <c r="Z148" s="9">
        <v>3</v>
      </c>
      <c r="AA148" s="9" t="s">
        <v>227</v>
      </c>
      <c r="AB148" s="9" t="s">
        <v>1899</v>
      </c>
      <c r="AC148" s="9" t="s">
        <v>1900</v>
      </c>
      <c r="AD148" s="9" t="s">
        <v>58</v>
      </c>
      <c r="AE148" s="9">
        <v>1211250</v>
      </c>
      <c r="AF148" s="11">
        <v>24225</v>
      </c>
      <c r="AG148" s="9"/>
      <c r="AH148" s="9"/>
      <c r="AI148" s="9"/>
      <c r="AJ148" s="12" t="s">
        <v>11527</v>
      </c>
      <c r="AK148" s="13">
        <v>24225</v>
      </c>
      <c r="AL148" s="13"/>
      <c r="AM148" s="14">
        <f t="shared" si="2"/>
        <v>0</v>
      </c>
      <c r="AN148" s="12" t="s">
        <v>12004</v>
      </c>
    </row>
    <row r="149" spans="1:40" x14ac:dyDescent="0.25">
      <c r="A149" s="15">
        <v>148</v>
      </c>
      <c r="B149" s="12" t="s">
        <v>35</v>
      </c>
      <c r="C149" s="12" t="s">
        <v>1901</v>
      </c>
      <c r="D149" s="12" t="s">
        <v>37</v>
      </c>
      <c r="E149" s="12" t="s">
        <v>1902</v>
      </c>
      <c r="F149" s="12" t="s">
        <v>138</v>
      </c>
      <c r="G149" s="12" t="s">
        <v>1903</v>
      </c>
      <c r="H149" s="12" t="s">
        <v>48</v>
      </c>
      <c r="I149" s="12" t="s">
        <v>1904</v>
      </c>
      <c r="J149" s="12" t="s">
        <v>48</v>
      </c>
      <c r="K149" s="12" t="s">
        <v>1905</v>
      </c>
      <c r="L149" s="12">
        <v>816000</v>
      </c>
      <c r="M149" s="12">
        <v>1200000</v>
      </c>
      <c r="N149" s="12" t="s">
        <v>1906</v>
      </c>
      <c r="O149" s="16">
        <v>45611</v>
      </c>
      <c r="P149" s="12" t="s">
        <v>1907</v>
      </c>
      <c r="Q149" s="12" t="s">
        <v>1908</v>
      </c>
      <c r="R149" s="12" t="s">
        <v>146</v>
      </c>
      <c r="S149" s="12" t="s">
        <v>48</v>
      </c>
      <c r="T149" s="12" t="s">
        <v>1909</v>
      </c>
      <c r="U149" s="12" t="s">
        <v>651</v>
      </c>
      <c r="V149" s="12" t="s">
        <v>1900</v>
      </c>
      <c r="W149" s="12" t="s">
        <v>1080</v>
      </c>
      <c r="X149" s="12" t="s">
        <v>168</v>
      </c>
      <c r="Y149" s="12" t="s">
        <v>1910</v>
      </c>
      <c r="Z149" s="12">
        <v>5</v>
      </c>
      <c r="AA149" s="12" t="s">
        <v>227</v>
      </c>
      <c r="AB149" s="12" t="s">
        <v>1911</v>
      </c>
      <c r="AC149" s="12" t="s">
        <v>1900</v>
      </c>
      <c r="AD149" s="12" t="s">
        <v>86</v>
      </c>
      <c r="AE149" s="12">
        <v>1020000</v>
      </c>
      <c r="AF149" s="13">
        <v>17850</v>
      </c>
      <c r="AG149" s="12"/>
      <c r="AH149" s="12"/>
      <c r="AI149" s="12"/>
      <c r="AJ149" s="12" t="s">
        <v>11528</v>
      </c>
      <c r="AK149" s="13">
        <v>17850</v>
      </c>
      <c r="AL149" s="13"/>
      <c r="AM149" s="14">
        <f t="shared" si="2"/>
        <v>0</v>
      </c>
      <c r="AN149" s="12" t="s">
        <v>12004</v>
      </c>
    </row>
    <row r="150" spans="1:40" x14ac:dyDescent="0.25">
      <c r="A150" s="8">
        <v>149</v>
      </c>
      <c r="B150" s="9" t="s">
        <v>35</v>
      </c>
      <c r="C150" s="9" t="s">
        <v>1912</v>
      </c>
      <c r="D150" s="9" t="s">
        <v>37</v>
      </c>
      <c r="E150" s="9" t="s">
        <v>1913</v>
      </c>
      <c r="F150" s="9" t="s">
        <v>138</v>
      </c>
      <c r="G150" s="9" t="s">
        <v>1914</v>
      </c>
      <c r="H150" s="9" t="s">
        <v>1915</v>
      </c>
      <c r="I150" s="9" t="s">
        <v>1915</v>
      </c>
      <c r="J150" s="9" t="s">
        <v>141</v>
      </c>
      <c r="K150" s="9" t="s">
        <v>1916</v>
      </c>
      <c r="L150" s="9">
        <v>1855360</v>
      </c>
      <c r="M150" s="9">
        <v>2899000</v>
      </c>
      <c r="N150" s="9" t="s">
        <v>1917</v>
      </c>
      <c r="O150" s="10">
        <v>45611</v>
      </c>
      <c r="P150" s="9" t="s">
        <v>1918</v>
      </c>
      <c r="Q150" s="9" t="s">
        <v>1919</v>
      </c>
      <c r="R150" s="9" t="s">
        <v>47</v>
      </c>
      <c r="S150" s="9" t="s">
        <v>48</v>
      </c>
      <c r="T150" s="9" t="s">
        <v>1920</v>
      </c>
      <c r="U150" s="9" t="s">
        <v>148</v>
      </c>
      <c r="V150" s="9" t="s">
        <v>1921</v>
      </c>
      <c r="W150" s="9" t="s">
        <v>1922</v>
      </c>
      <c r="X150" s="9" t="s">
        <v>457</v>
      </c>
      <c r="Y150" s="9" t="s">
        <v>1923</v>
      </c>
      <c r="Z150" s="9">
        <v>3</v>
      </c>
      <c r="AA150" s="9" t="s">
        <v>227</v>
      </c>
      <c r="AB150" s="9" t="s">
        <v>1924</v>
      </c>
      <c r="AC150" s="9" t="s">
        <v>1372</v>
      </c>
      <c r="AD150" s="9" t="s">
        <v>58</v>
      </c>
      <c r="AE150" s="9">
        <v>2464150</v>
      </c>
      <c r="AF150" s="11">
        <v>49283</v>
      </c>
      <c r="AG150" s="9"/>
      <c r="AH150" s="9"/>
      <c r="AI150" s="9"/>
      <c r="AJ150" s="12" t="s">
        <v>11529</v>
      </c>
      <c r="AK150" s="13">
        <v>49283</v>
      </c>
      <c r="AL150" s="13"/>
      <c r="AM150" s="14">
        <f t="shared" si="2"/>
        <v>0</v>
      </c>
      <c r="AN150" s="12" t="s">
        <v>12004</v>
      </c>
    </row>
    <row r="151" spans="1:40" x14ac:dyDescent="0.25">
      <c r="A151" s="15">
        <v>150</v>
      </c>
      <c r="B151" s="12" t="s">
        <v>35</v>
      </c>
      <c r="C151" s="12" t="s">
        <v>1925</v>
      </c>
      <c r="D151" s="12" t="s">
        <v>37</v>
      </c>
      <c r="E151" s="12" t="s">
        <v>1926</v>
      </c>
      <c r="F151" s="12" t="s">
        <v>107</v>
      </c>
      <c r="G151" s="12" t="s">
        <v>1927</v>
      </c>
      <c r="H151" s="12" t="s">
        <v>1928</v>
      </c>
      <c r="I151" s="12" t="s">
        <v>1928</v>
      </c>
      <c r="J151" s="12" t="s">
        <v>1928</v>
      </c>
      <c r="K151" s="12" t="s">
        <v>1929</v>
      </c>
      <c r="L151" s="12">
        <v>1213100</v>
      </c>
      <c r="M151" s="12">
        <v>1733000</v>
      </c>
      <c r="N151" s="12" t="s">
        <v>1930</v>
      </c>
      <c r="O151" s="16">
        <v>45611</v>
      </c>
      <c r="P151" s="12" t="s">
        <v>1931</v>
      </c>
      <c r="Q151" s="12" t="s">
        <v>1932</v>
      </c>
      <c r="R151" s="12" t="s">
        <v>47</v>
      </c>
      <c r="S151" s="12" t="s">
        <v>48</v>
      </c>
      <c r="T151" s="12" t="s">
        <v>194</v>
      </c>
      <c r="U151" s="12" t="s">
        <v>148</v>
      </c>
      <c r="V151" s="12" t="s">
        <v>1933</v>
      </c>
      <c r="W151" s="12" t="s">
        <v>1080</v>
      </c>
      <c r="X151" s="12" t="s">
        <v>168</v>
      </c>
      <c r="Y151" s="12" t="s">
        <v>1934</v>
      </c>
      <c r="Z151" s="12">
        <v>5</v>
      </c>
      <c r="AA151" s="12" t="s">
        <v>152</v>
      </c>
      <c r="AB151" s="12" t="s">
        <v>1935</v>
      </c>
      <c r="AC151" s="12" t="s">
        <v>1900</v>
      </c>
      <c r="AD151" s="12" t="s">
        <v>58</v>
      </c>
      <c r="AE151" s="12">
        <v>1473050</v>
      </c>
      <c r="AF151" s="13">
        <v>29461</v>
      </c>
      <c r="AG151" s="12"/>
      <c r="AH151" s="12"/>
      <c r="AI151" s="12"/>
      <c r="AJ151" s="12" t="s">
        <v>11530</v>
      </c>
      <c r="AK151" s="13">
        <v>29461</v>
      </c>
      <c r="AL151" s="13"/>
      <c r="AM151" s="14">
        <f t="shared" si="2"/>
        <v>0</v>
      </c>
      <c r="AN151" s="12" t="s">
        <v>12004</v>
      </c>
    </row>
    <row r="152" spans="1:40" x14ac:dyDescent="0.25">
      <c r="A152" s="8">
        <v>151</v>
      </c>
      <c r="B152" s="9" t="s">
        <v>35</v>
      </c>
      <c r="C152" s="9" t="s">
        <v>1936</v>
      </c>
      <c r="D152" s="9" t="s">
        <v>37</v>
      </c>
      <c r="E152" s="9" t="s">
        <v>1937</v>
      </c>
      <c r="F152" s="9" t="s">
        <v>138</v>
      </c>
      <c r="G152" s="9" t="s">
        <v>1938</v>
      </c>
      <c r="H152" s="9" t="s">
        <v>1939</v>
      </c>
      <c r="I152" s="9" t="s">
        <v>1940</v>
      </c>
      <c r="J152" s="9" t="s">
        <v>1941</v>
      </c>
      <c r="K152" s="9" t="s">
        <v>1942</v>
      </c>
      <c r="L152" s="9">
        <v>1387500</v>
      </c>
      <c r="M152" s="9">
        <v>1850000</v>
      </c>
      <c r="N152" s="9" t="s">
        <v>1943</v>
      </c>
      <c r="O152" s="10">
        <v>45612</v>
      </c>
      <c r="P152" s="9" t="s">
        <v>1944</v>
      </c>
      <c r="Q152" s="9" t="s">
        <v>1945</v>
      </c>
      <c r="R152" s="9" t="s">
        <v>1215</v>
      </c>
      <c r="S152" s="9" t="s">
        <v>48</v>
      </c>
      <c r="T152" s="9" t="s">
        <v>1946</v>
      </c>
      <c r="U152" s="9" t="s">
        <v>335</v>
      </c>
      <c r="V152" s="9" t="s">
        <v>1548</v>
      </c>
      <c r="W152" s="9" t="s">
        <v>167</v>
      </c>
      <c r="X152" s="9" t="s">
        <v>197</v>
      </c>
      <c r="Y152" s="9" t="s">
        <v>1947</v>
      </c>
      <c r="Z152" s="9">
        <v>5</v>
      </c>
      <c r="AA152" s="9" t="s">
        <v>55</v>
      </c>
      <c r="AB152" s="9" t="s">
        <v>1948</v>
      </c>
      <c r="AC152" s="9" t="s">
        <v>1589</v>
      </c>
      <c r="AD152" s="9" t="s">
        <v>58</v>
      </c>
      <c r="AE152" s="9">
        <v>1387500</v>
      </c>
      <c r="AF152" s="11">
        <v>27750</v>
      </c>
      <c r="AG152" s="9"/>
      <c r="AH152" s="9"/>
      <c r="AI152" s="9"/>
      <c r="AJ152" s="12" t="s">
        <v>11531</v>
      </c>
      <c r="AK152" s="13">
        <v>27750</v>
      </c>
      <c r="AL152" s="13"/>
      <c r="AM152" s="14">
        <f t="shared" si="2"/>
        <v>0</v>
      </c>
      <c r="AN152" s="12" t="s">
        <v>12004</v>
      </c>
    </row>
    <row r="153" spans="1:40" x14ac:dyDescent="0.25">
      <c r="A153" s="15">
        <v>152</v>
      </c>
      <c r="B153" s="12" t="s">
        <v>35</v>
      </c>
      <c r="C153" s="12" t="s">
        <v>1949</v>
      </c>
      <c r="D153" s="12" t="s">
        <v>37</v>
      </c>
      <c r="E153" s="12" t="s">
        <v>1950</v>
      </c>
      <c r="F153" s="12" t="s">
        <v>245</v>
      </c>
      <c r="G153" s="12" t="s">
        <v>1951</v>
      </c>
      <c r="H153" s="12" t="s">
        <v>1952</v>
      </c>
      <c r="I153" s="12" t="s">
        <v>48</v>
      </c>
      <c r="J153" s="12" t="s">
        <v>1953</v>
      </c>
      <c r="K153" s="12" t="s">
        <v>1954</v>
      </c>
      <c r="L153" s="12">
        <v>1320000</v>
      </c>
      <c r="M153" s="12">
        <v>2400000</v>
      </c>
      <c r="N153" s="12" t="s">
        <v>1955</v>
      </c>
      <c r="O153" s="16">
        <v>45612</v>
      </c>
      <c r="P153" s="12" t="s">
        <v>1956</v>
      </c>
      <c r="Q153" s="12" t="s">
        <v>1957</v>
      </c>
      <c r="R153" s="12" t="s">
        <v>146</v>
      </c>
      <c r="S153" s="12" t="s">
        <v>1958</v>
      </c>
      <c r="T153" s="12" t="s">
        <v>495</v>
      </c>
      <c r="U153" s="12" t="s">
        <v>614</v>
      </c>
      <c r="V153" s="12" t="s">
        <v>1627</v>
      </c>
      <c r="W153" s="12" t="s">
        <v>1053</v>
      </c>
      <c r="X153" s="12" t="s">
        <v>388</v>
      </c>
      <c r="Y153" s="12" t="s">
        <v>1959</v>
      </c>
      <c r="Z153" s="12">
        <v>5</v>
      </c>
      <c r="AA153" s="12" t="s">
        <v>118</v>
      </c>
      <c r="AB153" s="12" t="s">
        <v>1960</v>
      </c>
      <c r="AC153" s="12" t="s">
        <v>1961</v>
      </c>
      <c r="AD153" s="12" t="s">
        <v>58</v>
      </c>
      <c r="AE153" s="12">
        <v>1920000</v>
      </c>
      <c r="AF153" s="13">
        <v>38400</v>
      </c>
      <c r="AG153" s="12"/>
      <c r="AH153" s="12"/>
      <c r="AI153" s="12"/>
      <c r="AJ153" s="12" t="s">
        <v>11532</v>
      </c>
      <c r="AK153" s="13">
        <v>38400</v>
      </c>
      <c r="AL153" s="13"/>
      <c r="AM153" s="14">
        <f t="shared" si="2"/>
        <v>0</v>
      </c>
      <c r="AN153" s="12" t="s">
        <v>12004</v>
      </c>
    </row>
    <row r="154" spans="1:40" x14ac:dyDescent="0.25">
      <c r="A154" s="8">
        <v>153</v>
      </c>
      <c r="B154" s="9" t="s">
        <v>35</v>
      </c>
      <c r="C154" s="9" t="s">
        <v>1962</v>
      </c>
      <c r="D154" s="9" t="s">
        <v>37</v>
      </c>
      <c r="E154" s="9" t="s">
        <v>1963</v>
      </c>
      <c r="F154" s="9" t="s">
        <v>138</v>
      </c>
      <c r="G154" s="9" t="s">
        <v>1964</v>
      </c>
      <c r="H154" s="9" t="s">
        <v>1965</v>
      </c>
      <c r="I154" s="9" t="s">
        <v>1965</v>
      </c>
      <c r="J154" s="9" t="s">
        <v>141</v>
      </c>
      <c r="K154" s="9" t="s">
        <v>1966</v>
      </c>
      <c r="L154" s="9">
        <v>1508000</v>
      </c>
      <c r="M154" s="9">
        <v>2320000</v>
      </c>
      <c r="N154" s="9" t="s">
        <v>1967</v>
      </c>
      <c r="O154" s="10">
        <v>45612</v>
      </c>
      <c r="P154" s="9" t="s">
        <v>1968</v>
      </c>
      <c r="Q154" s="9" t="s">
        <v>1969</v>
      </c>
      <c r="R154" s="9" t="s">
        <v>146</v>
      </c>
      <c r="S154" s="9" t="s">
        <v>1970</v>
      </c>
      <c r="T154" s="9" t="s">
        <v>1971</v>
      </c>
      <c r="U154" s="9" t="s">
        <v>903</v>
      </c>
      <c r="V154" s="9" t="s">
        <v>1961</v>
      </c>
      <c r="W154" s="9" t="s">
        <v>196</v>
      </c>
      <c r="X154" s="9" t="s">
        <v>401</v>
      </c>
      <c r="Y154" s="9" t="s">
        <v>1972</v>
      </c>
      <c r="Z154" s="9">
        <v>5</v>
      </c>
      <c r="AA154" s="9" t="s">
        <v>118</v>
      </c>
      <c r="AB154" s="9" t="s">
        <v>1973</v>
      </c>
      <c r="AC154" s="9" t="s">
        <v>1961</v>
      </c>
      <c r="AD154" s="9" t="s">
        <v>299</v>
      </c>
      <c r="AE154" s="9">
        <v>1856000</v>
      </c>
      <c r="AF154" s="11">
        <v>27840</v>
      </c>
      <c r="AG154" s="9"/>
      <c r="AH154" s="9"/>
      <c r="AI154" s="9"/>
      <c r="AJ154" s="12" t="s">
        <v>11533</v>
      </c>
      <c r="AK154" s="13">
        <v>27840</v>
      </c>
      <c r="AL154" s="13"/>
      <c r="AM154" s="14">
        <f t="shared" si="2"/>
        <v>0</v>
      </c>
      <c r="AN154" s="12" t="s">
        <v>12004</v>
      </c>
    </row>
    <row r="155" spans="1:40" x14ac:dyDescent="0.25">
      <c r="A155" s="15">
        <v>154</v>
      </c>
      <c r="B155" s="12" t="s">
        <v>35</v>
      </c>
      <c r="C155" s="12" t="s">
        <v>1974</v>
      </c>
      <c r="D155" s="12" t="s">
        <v>37</v>
      </c>
      <c r="E155" s="12" t="s">
        <v>1975</v>
      </c>
      <c r="F155" s="12" t="s">
        <v>290</v>
      </c>
      <c r="G155" s="12" t="s">
        <v>1976</v>
      </c>
      <c r="H155" s="12" t="s">
        <v>1977</v>
      </c>
      <c r="I155" s="12" t="s">
        <v>1977</v>
      </c>
      <c r="J155" s="12" t="s">
        <v>1977</v>
      </c>
      <c r="K155" s="12" t="s">
        <v>1978</v>
      </c>
      <c r="L155" s="12">
        <v>2008500</v>
      </c>
      <c r="M155" s="12">
        <v>2678000</v>
      </c>
      <c r="N155" s="12" t="s">
        <v>1979</v>
      </c>
      <c r="O155" s="16">
        <v>45612</v>
      </c>
      <c r="P155" s="12" t="s">
        <v>1980</v>
      </c>
      <c r="Q155" s="12" t="s">
        <v>1981</v>
      </c>
      <c r="R155" s="12" t="s">
        <v>47</v>
      </c>
      <c r="S155" s="12" t="s">
        <v>48</v>
      </c>
      <c r="T155" s="12" t="s">
        <v>1781</v>
      </c>
      <c r="U155" s="12" t="s">
        <v>98</v>
      </c>
      <c r="V155" s="12" t="s">
        <v>1982</v>
      </c>
      <c r="W155" s="12" t="s">
        <v>167</v>
      </c>
      <c r="X155" s="12" t="s">
        <v>197</v>
      </c>
      <c r="Y155" s="12" t="s">
        <v>1983</v>
      </c>
      <c r="Z155" s="12">
        <v>5</v>
      </c>
      <c r="AA155" s="12" t="s">
        <v>55</v>
      </c>
      <c r="AB155" s="12" t="s">
        <v>1984</v>
      </c>
      <c r="AC155" s="12" t="s">
        <v>1589</v>
      </c>
      <c r="AD155" s="12" t="s">
        <v>58</v>
      </c>
      <c r="AE155" s="12">
        <v>2008500</v>
      </c>
      <c r="AF155" s="13">
        <v>40170</v>
      </c>
      <c r="AG155" s="12"/>
      <c r="AH155" s="12"/>
      <c r="AI155" s="12"/>
      <c r="AJ155" s="12" t="s">
        <v>11534</v>
      </c>
      <c r="AK155" s="13">
        <v>40170</v>
      </c>
      <c r="AL155" s="13"/>
      <c r="AM155" s="14">
        <f t="shared" si="2"/>
        <v>0</v>
      </c>
      <c r="AN155" s="12" t="s">
        <v>12004</v>
      </c>
    </row>
    <row r="156" spans="1:40" x14ac:dyDescent="0.25">
      <c r="A156" s="8">
        <v>155</v>
      </c>
      <c r="B156" s="9" t="s">
        <v>35</v>
      </c>
      <c r="C156" s="9" t="s">
        <v>1985</v>
      </c>
      <c r="D156" s="9" t="s">
        <v>37</v>
      </c>
      <c r="E156" s="9" t="s">
        <v>1986</v>
      </c>
      <c r="F156" s="9" t="s">
        <v>138</v>
      </c>
      <c r="G156" s="9" t="s">
        <v>1987</v>
      </c>
      <c r="H156" s="9" t="s">
        <v>1988</v>
      </c>
      <c r="I156" s="9" t="s">
        <v>48</v>
      </c>
      <c r="J156" s="9" t="s">
        <v>1989</v>
      </c>
      <c r="K156" s="9" t="s">
        <v>1990</v>
      </c>
      <c r="L156" s="9">
        <v>1742300</v>
      </c>
      <c r="M156" s="9">
        <v>2489000</v>
      </c>
      <c r="N156" s="9" t="s">
        <v>1991</v>
      </c>
      <c r="O156" s="10">
        <v>45612</v>
      </c>
      <c r="P156" s="9" t="s">
        <v>1992</v>
      </c>
      <c r="Q156" s="9" t="s">
        <v>1993</v>
      </c>
      <c r="R156" s="9" t="s">
        <v>146</v>
      </c>
      <c r="S156" s="9" t="s">
        <v>1994</v>
      </c>
      <c r="T156" s="9" t="s">
        <v>1995</v>
      </c>
      <c r="U156" s="9" t="s">
        <v>50</v>
      </c>
      <c r="V156" s="9" t="s">
        <v>1961</v>
      </c>
      <c r="W156" s="9" t="s">
        <v>196</v>
      </c>
      <c r="X156" s="9" t="s">
        <v>401</v>
      </c>
      <c r="Y156" s="9" t="s">
        <v>1996</v>
      </c>
      <c r="Z156" s="9">
        <v>5</v>
      </c>
      <c r="AA156" s="9" t="s">
        <v>118</v>
      </c>
      <c r="AB156" s="9" t="s">
        <v>1997</v>
      </c>
      <c r="AC156" s="9" t="s">
        <v>1961</v>
      </c>
      <c r="AD156" s="9" t="s">
        <v>299</v>
      </c>
      <c r="AE156" s="9">
        <v>1991200</v>
      </c>
      <c r="AF156" s="11">
        <v>29868</v>
      </c>
      <c r="AG156" s="9"/>
      <c r="AH156" s="9"/>
      <c r="AI156" s="9"/>
      <c r="AJ156" s="12" t="s">
        <v>11535</v>
      </c>
      <c r="AK156" s="13">
        <v>29868</v>
      </c>
      <c r="AL156" s="13"/>
      <c r="AM156" s="14">
        <f t="shared" si="2"/>
        <v>0</v>
      </c>
      <c r="AN156" s="12" t="s">
        <v>12004</v>
      </c>
    </row>
    <row r="157" spans="1:40" x14ac:dyDescent="0.25">
      <c r="A157" s="15">
        <v>156</v>
      </c>
      <c r="B157" s="12" t="s">
        <v>35</v>
      </c>
      <c r="C157" s="12" t="s">
        <v>1998</v>
      </c>
      <c r="D157" s="12" t="s">
        <v>37</v>
      </c>
      <c r="E157" s="12" t="s">
        <v>1999</v>
      </c>
      <c r="F157" s="12" t="s">
        <v>245</v>
      </c>
      <c r="G157" s="12" t="s">
        <v>2000</v>
      </c>
      <c r="H157" s="12" t="s">
        <v>2001</v>
      </c>
      <c r="I157" s="12" t="s">
        <v>2001</v>
      </c>
      <c r="J157" s="12" t="s">
        <v>2002</v>
      </c>
      <c r="K157" s="12" t="s">
        <v>2003</v>
      </c>
      <c r="L157" s="12">
        <v>2388900</v>
      </c>
      <c r="M157" s="12">
        <v>3981500</v>
      </c>
      <c r="N157" s="12" t="s">
        <v>2004</v>
      </c>
      <c r="O157" s="16">
        <v>45612</v>
      </c>
      <c r="P157" s="12" t="s">
        <v>2005</v>
      </c>
      <c r="Q157" s="12" t="s">
        <v>2006</v>
      </c>
      <c r="R157" s="12" t="s">
        <v>47</v>
      </c>
      <c r="S157" s="12" t="s">
        <v>48</v>
      </c>
      <c r="T157" s="12" t="s">
        <v>97</v>
      </c>
      <c r="U157" s="12" t="s">
        <v>98</v>
      </c>
      <c r="V157" s="12" t="s">
        <v>2007</v>
      </c>
      <c r="W157" s="12" t="s">
        <v>456</v>
      </c>
      <c r="X157" s="12" t="s">
        <v>457</v>
      </c>
      <c r="Y157" s="12" t="s">
        <v>2008</v>
      </c>
      <c r="Z157" s="12">
        <v>5</v>
      </c>
      <c r="AA157" s="12" t="s">
        <v>1055</v>
      </c>
      <c r="AB157" s="12" t="s">
        <v>2009</v>
      </c>
      <c r="AC157" s="12" t="s">
        <v>1589</v>
      </c>
      <c r="AD157" s="12" t="s">
        <v>58</v>
      </c>
      <c r="AE157" s="12">
        <v>2986125</v>
      </c>
      <c r="AF157" s="13">
        <v>59723</v>
      </c>
      <c r="AG157" s="12"/>
      <c r="AH157" s="12"/>
      <c r="AI157" s="12"/>
      <c r="AJ157" s="12" t="s">
        <v>11536</v>
      </c>
      <c r="AK157" s="13">
        <v>59723</v>
      </c>
      <c r="AL157" s="13"/>
      <c r="AM157" s="14">
        <f t="shared" si="2"/>
        <v>0</v>
      </c>
      <c r="AN157" s="12" t="s">
        <v>12004</v>
      </c>
    </row>
    <row r="158" spans="1:40" x14ac:dyDescent="0.25">
      <c r="A158" s="8">
        <v>157</v>
      </c>
      <c r="B158" s="9" t="s">
        <v>35</v>
      </c>
      <c r="C158" s="9" t="s">
        <v>2010</v>
      </c>
      <c r="D158" s="9" t="s">
        <v>37</v>
      </c>
      <c r="E158" s="9" t="s">
        <v>2011</v>
      </c>
      <c r="F158" s="9" t="s">
        <v>39</v>
      </c>
      <c r="G158" s="9" t="s">
        <v>2012</v>
      </c>
      <c r="H158" s="9" t="s">
        <v>2013</v>
      </c>
      <c r="I158" s="9" t="s">
        <v>2014</v>
      </c>
      <c r="J158" s="9" t="s">
        <v>2013</v>
      </c>
      <c r="K158" s="9" t="s">
        <v>2015</v>
      </c>
      <c r="L158" s="9">
        <v>2747235</v>
      </c>
      <c r="M158" s="9">
        <v>3981500</v>
      </c>
      <c r="N158" s="9" t="s">
        <v>2016</v>
      </c>
      <c r="O158" s="10">
        <v>45612</v>
      </c>
      <c r="P158" s="9" t="s">
        <v>2017</v>
      </c>
      <c r="Q158" s="9" t="s">
        <v>2018</v>
      </c>
      <c r="R158" s="9" t="s">
        <v>47</v>
      </c>
      <c r="S158" s="9" t="s">
        <v>48</v>
      </c>
      <c r="T158" s="9" t="s">
        <v>97</v>
      </c>
      <c r="U158" s="9" t="s">
        <v>98</v>
      </c>
      <c r="V158" s="9" t="s">
        <v>2019</v>
      </c>
      <c r="W158" s="9" t="s">
        <v>167</v>
      </c>
      <c r="X158" s="9" t="s">
        <v>197</v>
      </c>
      <c r="Y158" s="9" t="s">
        <v>2020</v>
      </c>
      <c r="Z158" s="9">
        <v>5</v>
      </c>
      <c r="AA158" s="9" t="s">
        <v>55</v>
      </c>
      <c r="AB158" s="9" t="s">
        <v>2021</v>
      </c>
      <c r="AC158" s="9" t="s">
        <v>1217</v>
      </c>
      <c r="AD158" s="9" t="s">
        <v>58</v>
      </c>
      <c r="AE158" s="9">
        <v>2986125</v>
      </c>
      <c r="AF158" s="11">
        <v>59723</v>
      </c>
      <c r="AG158" s="9"/>
      <c r="AH158" s="9"/>
      <c r="AI158" s="9"/>
      <c r="AJ158" s="12" t="s">
        <v>11537</v>
      </c>
      <c r="AK158" s="13">
        <v>59723</v>
      </c>
      <c r="AL158" s="13"/>
      <c r="AM158" s="14">
        <f t="shared" si="2"/>
        <v>0</v>
      </c>
      <c r="AN158" s="12" t="s">
        <v>12004</v>
      </c>
    </row>
    <row r="159" spans="1:40" x14ac:dyDescent="0.25">
      <c r="A159" s="15">
        <v>158</v>
      </c>
      <c r="B159" s="12" t="s">
        <v>35</v>
      </c>
      <c r="C159" s="12" t="s">
        <v>2022</v>
      </c>
      <c r="D159" s="12" t="s">
        <v>37</v>
      </c>
      <c r="E159" s="12" t="s">
        <v>2023</v>
      </c>
      <c r="F159" s="12" t="s">
        <v>39</v>
      </c>
      <c r="G159" s="12" t="s">
        <v>2024</v>
      </c>
      <c r="H159" s="12" t="s">
        <v>2025</v>
      </c>
      <c r="I159" s="12" t="s">
        <v>2026</v>
      </c>
      <c r="J159" s="12" t="s">
        <v>2025</v>
      </c>
      <c r="K159" s="12" t="s">
        <v>2027</v>
      </c>
      <c r="L159" s="12">
        <v>2363700</v>
      </c>
      <c r="M159" s="12">
        <v>3939500</v>
      </c>
      <c r="N159" s="12" t="s">
        <v>2028</v>
      </c>
      <c r="O159" s="16">
        <v>45612</v>
      </c>
      <c r="P159" s="12" t="s">
        <v>2029</v>
      </c>
      <c r="Q159" s="12" t="s">
        <v>2030</v>
      </c>
      <c r="R159" s="12" t="s">
        <v>47</v>
      </c>
      <c r="S159" s="12" t="s">
        <v>48</v>
      </c>
      <c r="T159" s="12" t="s">
        <v>1065</v>
      </c>
      <c r="U159" s="12" t="s">
        <v>50</v>
      </c>
      <c r="V159" s="12" t="s">
        <v>2031</v>
      </c>
      <c r="W159" s="12" t="s">
        <v>132</v>
      </c>
      <c r="X159" s="12" t="s">
        <v>133</v>
      </c>
      <c r="Y159" s="12" t="s">
        <v>2032</v>
      </c>
      <c r="Z159" s="12">
        <v>5</v>
      </c>
      <c r="AA159" s="12" t="s">
        <v>55</v>
      </c>
      <c r="AB159" s="12" t="s">
        <v>2033</v>
      </c>
      <c r="AC159" s="12" t="s">
        <v>2034</v>
      </c>
      <c r="AD159" s="12" t="s">
        <v>58</v>
      </c>
      <c r="AE159" s="12">
        <v>3151600</v>
      </c>
      <c r="AF159" s="13">
        <v>63032</v>
      </c>
      <c r="AG159" s="12"/>
      <c r="AH159" s="12"/>
      <c r="AI159" s="12"/>
      <c r="AJ159" s="12" t="s">
        <v>11538</v>
      </c>
      <c r="AK159" s="13">
        <v>63032</v>
      </c>
      <c r="AL159" s="13"/>
      <c r="AM159" s="14">
        <f t="shared" si="2"/>
        <v>0</v>
      </c>
      <c r="AN159" s="12" t="s">
        <v>12004</v>
      </c>
    </row>
    <row r="160" spans="1:40" x14ac:dyDescent="0.25">
      <c r="A160" s="8">
        <v>159</v>
      </c>
      <c r="B160" s="9" t="s">
        <v>35</v>
      </c>
      <c r="C160" s="9" t="s">
        <v>2035</v>
      </c>
      <c r="D160" s="9" t="s">
        <v>37</v>
      </c>
      <c r="E160" s="9" t="s">
        <v>2036</v>
      </c>
      <c r="F160" s="9" t="s">
        <v>138</v>
      </c>
      <c r="G160" s="9" t="s">
        <v>2037</v>
      </c>
      <c r="H160" s="9" t="s">
        <v>2038</v>
      </c>
      <c r="I160" s="9" t="s">
        <v>2039</v>
      </c>
      <c r="J160" s="9" t="s">
        <v>2040</v>
      </c>
      <c r="K160" s="9" t="s">
        <v>2041</v>
      </c>
      <c r="L160" s="9">
        <v>3185200</v>
      </c>
      <c r="M160" s="9">
        <v>3981500</v>
      </c>
      <c r="N160" s="9" t="s">
        <v>2042</v>
      </c>
      <c r="O160" s="10">
        <v>45612</v>
      </c>
      <c r="P160" s="9" t="s">
        <v>2043</v>
      </c>
      <c r="Q160" s="9" t="s">
        <v>2044</v>
      </c>
      <c r="R160" s="9" t="s">
        <v>47</v>
      </c>
      <c r="S160" s="9" t="s">
        <v>48</v>
      </c>
      <c r="T160" s="9" t="s">
        <v>1065</v>
      </c>
      <c r="U160" s="9" t="s">
        <v>98</v>
      </c>
      <c r="V160" s="9" t="s">
        <v>687</v>
      </c>
      <c r="W160" s="9" t="s">
        <v>532</v>
      </c>
      <c r="X160" s="9" t="s">
        <v>533</v>
      </c>
      <c r="Y160" s="9" t="s">
        <v>2045</v>
      </c>
      <c r="Z160" s="9">
        <v>5</v>
      </c>
      <c r="AA160" s="9" t="s">
        <v>227</v>
      </c>
      <c r="AB160" s="9" t="s">
        <v>2046</v>
      </c>
      <c r="AC160" s="9" t="s">
        <v>1217</v>
      </c>
      <c r="AD160" s="9" t="s">
        <v>58</v>
      </c>
      <c r="AE160" s="9">
        <v>2986125</v>
      </c>
      <c r="AF160" s="11">
        <v>59723</v>
      </c>
      <c r="AG160" s="9"/>
      <c r="AH160" s="9"/>
      <c r="AI160" s="9"/>
      <c r="AJ160" s="12" t="s">
        <v>11539</v>
      </c>
      <c r="AK160" s="13">
        <v>59723</v>
      </c>
      <c r="AL160" s="13"/>
      <c r="AM160" s="14">
        <f t="shared" si="2"/>
        <v>0</v>
      </c>
      <c r="AN160" s="12" t="s">
        <v>12004</v>
      </c>
    </row>
    <row r="161" spans="1:40" x14ac:dyDescent="0.25">
      <c r="A161" s="15">
        <v>160</v>
      </c>
      <c r="B161" s="12" t="s">
        <v>35</v>
      </c>
      <c r="C161" s="12" t="s">
        <v>2047</v>
      </c>
      <c r="D161" s="12" t="s">
        <v>37</v>
      </c>
      <c r="E161" s="12" t="s">
        <v>2048</v>
      </c>
      <c r="F161" s="12" t="s">
        <v>89</v>
      </c>
      <c r="G161" s="12" t="s">
        <v>2049</v>
      </c>
      <c r="H161" s="12" t="s">
        <v>2050</v>
      </c>
      <c r="I161" s="12" t="s">
        <v>48</v>
      </c>
      <c r="J161" s="12" t="s">
        <v>141</v>
      </c>
      <c r="K161" s="12" t="s">
        <v>2051</v>
      </c>
      <c r="L161" s="12">
        <v>2895900</v>
      </c>
      <c r="M161" s="12">
        <v>4137000</v>
      </c>
      <c r="N161" s="12" t="s">
        <v>2052</v>
      </c>
      <c r="O161" s="16">
        <v>45612</v>
      </c>
      <c r="P161" s="12" t="s">
        <v>2053</v>
      </c>
      <c r="Q161" s="12" t="s">
        <v>2054</v>
      </c>
      <c r="R161" s="12" t="s">
        <v>47</v>
      </c>
      <c r="S161" s="12" t="s">
        <v>48</v>
      </c>
      <c r="T161" s="12" t="s">
        <v>97</v>
      </c>
      <c r="U161" s="12" t="s">
        <v>50</v>
      </c>
      <c r="V161" s="12" t="s">
        <v>211</v>
      </c>
      <c r="W161" s="12" t="s">
        <v>132</v>
      </c>
      <c r="X161" s="12" t="s">
        <v>133</v>
      </c>
      <c r="Y161" s="12" t="s">
        <v>2055</v>
      </c>
      <c r="Z161" s="12">
        <v>5</v>
      </c>
      <c r="AA161" s="12" t="s">
        <v>118</v>
      </c>
      <c r="AB161" s="12" t="s">
        <v>2056</v>
      </c>
      <c r="AC161" s="12" t="s">
        <v>2034</v>
      </c>
      <c r="AD161" s="12" t="s">
        <v>58</v>
      </c>
      <c r="AE161" s="12">
        <v>3309600</v>
      </c>
      <c r="AF161" s="13">
        <v>66192</v>
      </c>
      <c r="AG161" s="12"/>
      <c r="AH161" s="12"/>
      <c r="AI161" s="12"/>
      <c r="AJ161" s="12" t="s">
        <v>11540</v>
      </c>
      <c r="AK161" s="13">
        <v>66192</v>
      </c>
      <c r="AL161" s="13"/>
      <c r="AM161" s="14">
        <f t="shared" si="2"/>
        <v>0</v>
      </c>
      <c r="AN161" s="12" t="s">
        <v>12004</v>
      </c>
    </row>
    <row r="162" spans="1:40" x14ac:dyDescent="0.25">
      <c r="A162" s="8">
        <v>161</v>
      </c>
      <c r="B162" s="9" t="s">
        <v>35</v>
      </c>
      <c r="C162" s="9" t="s">
        <v>2057</v>
      </c>
      <c r="D162" s="9" t="s">
        <v>37</v>
      </c>
      <c r="E162" s="9" t="s">
        <v>2058</v>
      </c>
      <c r="F162" s="9" t="s">
        <v>107</v>
      </c>
      <c r="G162" s="9" t="s">
        <v>2059</v>
      </c>
      <c r="H162" s="9" t="s">
        <v>2060</v>
      </c>
      <c r="I162" s="9" t="s">
        <v>2060</v>
      </c>
      <c r="J162" s="9" t="s">
        <v>2060</v>
      </c>
      <c r="K162" s="9" t="s">
        <v>2061</v>
      </c>
      <c r="L162" s="9">
        <v>1386400</v>
      </c>
      <c r="M162" s="9">
        <v>1733000</v>
      </c>
      <c r="N162" s="9" t="s">
        <v>2062</v>
      </c>
      <c r="O162" s="10">
        <v>45612</v>
      </c>
      <c r="P162" s="9" t="s">
        <v>2063</v>
      </c>
      <c r="Q162" s="9" t="s">
        <v>2064</v>
      </c>
      <c r="R162" s="9" t="s">
        <v>47</v>
      </c>
      <c r="S162" s="9" t="s">
        <v>48</v>
      </c>
      <c r="T162" s="9" t="s">
        <v>49</v>
      </c>
      <c r="U162" s="9" t="s">
        <v>148</v>
      </c>
      <c r="V162" s="9" t="s">
        <v>2065</v>
      </c>
      <c r="W162" s="9" t="s">
        <v>1080</v>
      </c>
      <c r="X162" s="9" t="s">
        <v>168</v>
      </c>
      <c r="Y162" s="9" t="s">
        <v>2066</v>
      </c>
      <c r="Z162" s="9">
        <v>5</v>
      </c>
      <c r="AA162" s="9" t="s">
        <v>152</v>
      </c>
      <c r="AB162" s="9" t="s">
        <v>2067</v>
      </c>
      <c r="AC162" s="9" t="s">
        <v>2068</v>
      </c>
      <c r="AD162" s="9" t="s">
        <v>58</v>
      </c>
      <c r="AE162" s="9">
        <v>1473050</v>
      </c>
      <c r="AF162" s="11">
        <v>29461</v>
      </c>
      <c r="AG162" s="9"/>
      <c r="AH162" s="9"/>
      <c r="AI162" s="9"/>
      <c r="AJ162" s="12" t="s">
        <v>11541</v>
      </c>
      <c r="AK162" s="13">
        <v>29461</v>
      </c>
      <c r="AL162" s="13"/>
      <c r="AM162" s="14">
        <f t="shared" si="2"/>
        <v>0</v>
      </c>
      <c r="AN162" s="12" t="s">
        <v>12004</v>
      </c>
    </row>
    <row r="163" spans="1:40" x14ac:dyDescent="0.25">
      <c r="A163" s="15">
        <v>162</v>
      </c>
      <c r="B163" s="12" t="s">
        <v>35</v>
      </c>
      <c r="C163" s="12" t="s">
        <v>2069</v>
      </c>
      <c r="D163" s="12" t="s">
        <v>37</v>
      </c>
      <c r="E163" s="12" t="s">
        <v>2070</v>
      </c>
      <c r="F163" s="12" t="s">
        <v>138</v>
      </c>
      <c r="G163" s="12" t="s">
        <v>2071</v>
      </c>
      <c r="H163" s="12" t="s">
        <v>141</v>
      </c>
      <c r="I163" s="12" t="s">
        <v>2072</v>
      </c>
      <c r="J163" s="12" t="s">
        <v>141</v>
      </c>
      <c r="K163" s="12" t="s">
        <v>2073</v>
      </c>
      <c r="L163" s="12">
        <v>1715000</v>
      </c>
      <c r="M163" s="12">
        <v>2450000</v>
      </c>
      <c r="N163" s="12" t="s">
        <v>2074</v>
      </c>
      <c r="O163" s="16">
        <v>45612</v>
      </c>
      <c r="P163" s="12" t="s">
        <v>2075</v>
      </c>
      <c r="Q163" s="12" t="s">
        <v>2076</v>
      </c>
      <c r="R163" s="12" t="s">
        <v>146</v>
      </c>
      <c r="S163" s="12" t="s">
        <v>2077</v>
      </c>
      <c r="T163" s="12" t="s">
        <v>1276</v>
      </c>
      <c r="U163" s="12" t="s">
        <v>148</v>
      </c>
      <c r="V163" s="12" t="s">
        <v>2068</v>
      </c>
      <c r="W163" s="12" t="s">
        <v>1080</v>
      </c>
      <c r="X163" s="12" t="s">
        <v>197</v>
      </c>
      <c r="Y163" s="12" t="s">
        <v>2078</v>
      </c>
      <c r="Z163" s="12">
        <v>3</v>
      </c>
      <c r="AA163" s="12" t="s">
        <v>227</v>
      </c>
      <c r="AB163" s="12" t="s">
        <v>2079</v>
      </c>
      <c r="AC163" s="12" t="s">
        <v>2068</v>
      </c>
      <c r="AD163" s="12" t="s">
        <v>86</v>
      </c>
      <c r="AE163" s="12">
        <v>2082500</v>
      </c>
      <c r="AF163" s="13">
        <v>36444</v>
      </c>
      <c r="AG163" s="12"/>
      <c r="AH163" s="12"/>
      <c r="AI163" s="12"/>
      <c r="AJ163" s="12" t="s">
        <v>11542</v>
      </c>
      <c r="AK163" s="13">
        <v>36444</v>
      </c>
      <c r="AL163" s="13"/>
      <c r="AM163" s="14">
        <f t="shared" si="2"/>
        <v>0</v>
      </c>
      <c r="AN163" s="12" t="s">
        <v>12004</v>
      </c>
    </row>
    <row r="164" spans="1:40" x14ac:dyDescent="0.25">
      <c r="A164" s="8">
        <v>163</v>
      </c>
      <c r="B164" s="9" t="s">
        <v>35</v>
      </c>
      <c r="C164" s="9" t="s">
        <v>2080</v>
      </c>
      <c r="D164" s="9" t="s">
        <v>37</v>
      </c>
      <c r="E164" s="9" t="s">
        <v>2081</v>
      </c>
      <c r="F164" s="9" t="s">
        <v>138</v>
      </c>
      <c r="G164" s="9" t="s">
        <v>2082</v>
      </c>
      <c r="H164" s="9" t="s">
        <v>2083</v>
      </c>
      <c r="I164" s="9" t="s">
        <v>2083</v>
      </c>
      <c r="J164" s="9" t="s">
        <v>141</v>
      </c>
      <c r="K164" s="9" t="s">
        <v>2084</v>
      </c>
      <c r="L164" s="9">
        <v>1750000</v>
      </c>
      <c r="M164" s="9">
        <v>2500000</v>
      </c>
      <c r="N164" s="9" t="s">
        <v>2085</v>
      </c>
      <c r="O164" s="10">
        <v>45612</v>
      </c>
      <c r="P164" s="9" t="s">
        <v>2086</v>
      </c>
      <c r="Q164" s="9" t="s">
        <v>2087</v>
      </c>
      <c r="R164" s="9" t="s">
        <v>146</v>
      </c>
      <c r="S164" s="9" t="s">
        <v>2088</v>
      </c>
      <c r="T164" s="9" t="s">
        <v>1276</v>
      </c>
      <c r="U164" s="9" t="s">
        <v>148</v>
      </c>
      <c r="V164" s="9" t="s">
        <v>2068</v>
      </c>
      <c r="W164" s="9" t="s">
        <v>1080</v>
      </c>
      <c r="X164" s="9" t="s">
        <v>168</v>
      </c>
      <c r="Y164" s="9" t="s">
        <v>2089</v>
      </c>
      <c r="Z164" s="9">
        <v>5</v>
      </c>
      <c r="AA164" s="9" t="s">
        <v>227</v>
      </c>
      <c r="AB164" s="9" t="s">
        <v>2090</v>
      </c>
      <c r="AC164" s="9" t="s">
        <v>2068</v>
      </c>
      <c r="AD164" s="9" t="s">
        <v>86</v>
      </c>
      <c r="AE164" s="9">
        <v>2125000</v>
      </c>
      <c r="AF164" s="11">
        <v>37188</v>
      </c>
      <c r="AG164" s="9"/>
      <c r="AH164" s="9"/>
      <c r="AI164" s="9"/>
      <c r="AJ164" s="12" t="s">
        <v>11543</v>
      </c>
      <c r="AK164" s="13">
        <v>37188</v>
      </c>
      <c r="AL164" s="13"/>
      <c r="AM164" s="14">
        <f t="shared" si="2"/>
        <v>0</v>
      </c>
      <c r="AN164" s="12" t="s">
        <v>12004</v>
      </c>
    </row>
    <row r="165" spans="1:40" x14ac:dyDescent="0.25">
      <c r="A165" s="15">
        <v>164</v>
      </c>
      <c r="B165" s="12" t="s">
        <v>35</v>
      </c>
      <c r="C165" s="12" t="s">
        <v>2091</v>
      </c>
      <c r="D165" s="12" t="s">
        <v>37</v>
      </c>
      <c r="E165" s="12" t="s">
        <v>2092</v>
      </c>
      <c r="F165" s="12" t="s">
        <v>107</v>
      </c>
      <c r="G165" s="12" t="s">
        <v>2093</v>
      </c>
      <c r="H165" s="12" t="s">
        <v>2094</v>
      </c>
      <c r="I165" s="12" t="s">
        <v>2094</v>
      </c>
      <c r="J165" s="12" t="s">
        <v>2095</v>
      </c>
      <c r="K165" s="12" t="s">
        <v>2096</v>
      </c>
      <c r="L165" s="12">
        <v>988650</v>
      </c>
      <c r="M165" s="12">
        <v>1521000</v>
      </c>
      <c r="N165" s="12" t="s">
        <v>2097</v>
      </c>
      <c r="O165" s="16">
        <v>45613</v>
      </c>
      <c r="P165" s="12" t="s">
        <v>2098</v>
      </c>
      <c r="Q165" s="12" t="s">
        <v>2099</v>
      </c>
      <c r="R165" s="12" t="s">
        <v>47</v>
      </c>
      <c r="S165" s="12" t="s">
        <v>48</v>
      </c>
      <c r="T165" s="12" t="s">
        <v>2100</v>
      </c>
      <c r="U165" s="12" t="s">
        <v>50</v>
      </c>
      <c r="V165" s="12" t="s">
        <v>2101</v>
      </c>
      <c r="W165" s="12" t="s">
        <v>1053</v>
      </c>
      <c r="X165" s="12" t="s">
        <v>1628</v>
      </c>
      <c r="Y165" s="12" t="s">
        <v>2102</v>
      </c>
      <c r="Z165" s="12">
        <v>7</v>
      </c>
      <c r="AA165" s="12" t="s">
        <v>55</v>
      </c>
      <c r="AB165" s="12" t="s">
        <v>2103</v>
      </c>
      <c r="AC165" s="12" t="s">
        <v>1961</v>
      </c>
      <c r="AD165" s="12" t="s">
        <v>58</v>
      </c>
      <c r="AE165" s="12">
        <v>1216800</v>
      </c>
      <c r="AF165" s="13">
        <v>24336</v>
      </c>
      <c r="AG165" s="12"/>
      <c r="AH165" s="12"/>
      <c r="AI165" s="12"/>
      <c r="AJ165" s="12" t="s">
        <v>11544</v>
      </c>
      <c r="AK165" s="13">
        <v>24336</v>
      </c>
      <c r="AL165" s="13"/>
      <c r="AM165" s="14">
        <f t="shared" si="2"/>
        <v>0</v>
      </c>
      <c r="AN165" s="12" t="s">
        <v>12004</v>
      </c>
    </row>
    <row r="166" spans="1:40" x14ac:dyDescent="0.25">
      <c r="A166" s="8">
        <v>165</v>
      </c>
      <c r="B166" s="9" t="s">
        <v>35</v>
      </c>
      <c r="C166" s="9" t="s">
        <v>2104</v>
      </c>
      <c r="D166" s="9" t="s">
        <v>37</v>
      </c>
      <c r="E166" s="9" t="s">
        <v>2105</v>
      </c>
      <c r="F166" s="9" t="s">
        <v>39</v>
      </c>
      <c r="G166" s="9" t="s">
        <v>2106</v>
      </c>
      <c r="H166" s="9" t="s">
        <v>48</v>
      </c>
      <c r="I166" s="9" t="s">
        <v>2107</v>
      </c>
      <c r="J166" s="9" t="s">
        <v>48</v>
      </c>
      <c r="K166" s="9" t="s">
        <v>2108</v>
      </c>
      <c r="L166" s="9">
        <v>1303500</v>
      </c>
      <c r="M166" s="9">
        <v>2370000</v>
      </c>
      <c r="N166" s="9" t="s">
        <v>2109</v>
      </c>
      <c r="O166" s="10">
        <v>45613</v>
      </c>
      <c r="P166" s="9" t="s">
        <v>2110</v>
      </c>
      <c r="Q166" s="9" t="s">
        <v>2111</v>
      </c>
      <c r="R166" s="9" t="s">
        <v>146</v>
      </c>
      <c r="S166" s="9" t="s">
        <v>2112</v>
      </c>
      <c r="T166" s="9" t="s">
        <v>2113</v>
      </c>
      <c r="U166" s="9" t="s">
        <v>496</v>
      </c>
      <c r="V166" s="9" t="s">
        <v>1387</v>
      </c>
      <c r="W166" s="9" t="s">
        <v>196</v>
      </c>
      <c r="X166" s="9" t="s">
        <v>401</v>
      </c>
      <c r="Y166" s="9" t="s">
        <v>2114</v>
      </c>
      <c r="Z166" s="9">
        <v>5</v>
      </c>
      <c r="AA166" s="9" t="s">
        <v>118</v>
      </c>
      <c r="AB166" s="9" t="s">
        <v>2115</v>
      </c>
      <c r="AC166" s="9" t="s">
        <v>1961</v>
      </c>
      <c r="AD166" s="9" t="s">
        <v>58</v>
      </c>
      <c r="AE166" s="9">
        <v>1896000</v>
      </c>
      <c r="AF166" s="11">
        <v>37920</v>
      </c>
      <c r="AG166" s="9"/>
      <c r="AH166" s="9"/>
      <c r="AI166" s="9"/>
      <c r="AJ166" s="12" t="s">
        <v>11545</v>
      </c>
      <c r="AK166" s="13">
        <v>37920</v>
      </c>
      <c r="AL166" s="13"/>
      <c r="AM166" s="14">
        <f t="shared" si="2"/>
        <v>0</v>
      </c>
      <c r="AN166" s="12" t="s">
        <v>12004</v>
      </c>
    </row>
    <row r="167" spans="1:40" x14ac:dyDescent="0.25">
      <c r="A167" s="15">
        <v>166</v>
      </c>
      <c r="B167" s="12" t="s">
        <v>35</v>
      </c>
      <c r="C167" s="12" t="s">
        <v>2116</v>
      </c>
      <c r="D167" s="12" t="s">
        <v>37</v>
      </c>
      <c r="E167" s="12" t="s">
        <v>2117</v>
      </c>
      <c r="F167" s="12" t="s">
        <v>138</v>
      </c>
      <c r="G167" s="12" t="s">
        <v>2118</v>
      </c>
      <c r="H167" s="12" t="s">
        <v>2119</v>
      </c>
      <c r="I167" s="12" t="s">
        <v>2120</v>
      </c>
      <c r="J167" s="12" t="s">
        <v>2121</v>
      </c>
      <c r="K167" s="12" t="s">
        <v>2122</v>
      </c>
      <c r="L167" s="12">
        <v>1505000</v>
      </c>
      <c r="M167" s="12">
        <v>2150000</v>
      </c>
      <c r="N167" s="12" t="s">
        <v>2123</v>
      </c>
      <c r="O167" s="16">
        <v>45613</v>
      </c>
      <c r="P167" s="12" t="s">
        <v>2124</v>
      </c>
      <c r="Q167" s="12" t="s">
        <v>2125</v>
      </c>
      <c r="R167" s="12" t="s">
        <v>146</v>
      </c>
      <c r="S167" s="12" t="s">
        <v>2126</v>
      </c>
      <c r="T167" s="12" t="s">
        <v>1289</v>
      </c>
      <c r="U167" s="12" t="s">
        <v>715</v>
      </c>
      <c r="V167" s="12" t="s">
        <v>1387</v>
      </c>
      <c r="W167" s="12" t="s">
        <v>196</v>
      </c>
      <c r="X167" s="12" t="s">
        <v>197</v>
      </c>
      <c r="Y167" s="12" t="s">
        <v>2127</v>
      </c>
      <c r="Z167" s="12">
        <v>4</v>
      </c>
      <c r="AA167" s="12" t="s">
        <v>118</v>
      </c>
      <c r="AB167" s="12" t="s">
        <v>2128</v>
      </c>
      <c r="AC167" s="12" t="s">
        <v>1961</v>
      </c>
      <c r="AD167" s="12" t="s">
        <v>299</v>
      </c>
      <c r="AE167" s="12">
        <v>1720000</v>
      </c>
      <c r="AF167" s="13">
        <v>25800</v>
      </c>
      <c r="AG167" s="12"/>
      <c r="AH167" s="12"/>
      <c r="AI167" s="12"/>
      <c r="AJ167" s="12" t="s">
        <v>11546</v>
      </c>
      <c r="AK167" s="13">
        <v>25800</v>
      </c>
      <c r="AL167" s="13"/>
      <c r="AM167" s="14">
        <f t="shared" si="2"/>
        <v>0</v>
      </c>
      <c r="AN167" s="12" t="s">
        <v>12004</v>
      </c>
    </row>
    <row r="168" spans="1:40" x14ac:dyDescent="0.25">
      <c r="A168" s="8">
        <v>167</v>
      </c>
      <c r="B168" s="9" t="s">
        <v>35</v>
      </c>
      <c r="C168" s="9" t="s">
        <v>2129</v>
      </c>
      <c r="D168" s="9" t="s">
        <v>37</v>
      </c>
      <c r="E168" s="9" t="s">
        <v>2130</v>
      </c>
      <c r="F168" s="9" t="s">
        <v>107</v>
      </c>
      <c r="G168" s="9" t="s">
        <v>2131</v>
      </c>
      <c r="H168" s="9" t="s">
        <v>2132</v>
      </c>
      <c r="I168" s="9" t="s">
        <v>2132</v>
      </c>
      <c r="J168" s="9" t="s">
        <v>2133</v>
      </c>
      <c r="K168" s="9" t="s">
        <v>2134</v>
      </c>
      <c r="L168" s="9">
        <v>1855000</v>
      </c>
      <c r="M168" s="9">
        <v>2650000</v>
      </c>
      <c r="N168" s="9" t="s">
        <v>2135</v>
      </c>
      <c r="O168" s="10">
        <v>45613</v>
      </c>
      <c r="P168" s="9" t="s">
        <v>2136</v>
      </c>
      <c r="Q168" s="9" t="s">
        <v>2137</v>
      </c>
      <c r="R168" s="9" t="s">
        <v>47</v>
      </c>
      <c r="S168" s="9" t="s">
        <v>48</v>
      </c>
      <c r="T168" s="9" t="s">
        <v>1015</v>
      </c>
      <c r="U168" s="9" t="s">
        <v>50</v>
      </c>
      <c r="V168" s="9" t="s">
        <v>211</v>
      </c>
      <c r="W168" s="9" t="s">
        <v>1053</v>
      </c>
      <c r="X168" s="9" t="s">
        <v>388</v>
      </c>
      <c r="Y168" s="9" t="s">
        <v>2138</v>
      </c>
      <c r="Z168" s="9">
        <v>5</v>
      </c>
      <c r="AA168" s="9" t="s">
        <v>55</v>
      </c>
      <c r="AB168" s="9" t="s">
        <v>2139</v>
      </c>
      <c r="AC168" s="9" t="s">
        <v>1961</v>
      </c>
      <c r="AD168" s="9" t="s">
        <v>58</v>
      </c>
      <c r="AE168" s="9">
        <v>2120000</v>
      </c>
      <c r="AF168" s="11">
        <v>42400</v>
      </c>
      <c r="AG168" s="9"/>
      <c r="AH168" s="9"/>
      <c r="AI168" s="9"/>
      <c r="AJ168" s="12" t="s">
        <v>11547</v>
      </c>
      <c r="AK168" s="13">
        <v>42400</v>
      </c>
      <c r="AL168" s="13"/>
      <c r="AM168" s="14">
        <f t="shared" si="2"/>
        <v>0</v>
      </c>
      <c r="AN168" s="12" t="s">
        <v>12004</v>
      </c>
    </row>
    <row r="169" spans="1:40" x14ac:dyDescent="0.25">
      <c r="A169" s="15">
        <v>168</v>
      </c>
      <c r="B169" s="12" t="s">
        <v>35</v>
      </c>
      <c r="C169" s="12" t="s">
        <v>2140</v>
      </c>
      <c r="D169" s="12" t="s">
        <v>37</v>
      </c>
      <c r="E169" s="12" t="s">
        <v>2141</v>
      </c>
      <c r="F169" s="12" t="s">
        <v>107</v>
      </c>
      <c r="G169" s="12" t="s">
        <v>2142</v>
      </c>
      <c r="H169" s="12" t="s">
        <v>2143</v>
      </c>
      <c r="I169" s="12" t="s">
        <v>2143</v>
      </c>
      <c r="J169" s="12" t="s">
        <v>2143</v>
      </c>
      <c r="K169" s="12" t="s">
        <v>2144</v>
      </c>
      <c r="L169" s="12">
        <v>1855000</v>
      </c>
      <c r="M169" s="12">
        <v>2650000</v>
      </c>
      <c r="N169" s="12" t="s">
        <v>2145</v>
      </c>
      <c r="O169" s="16">
        <v>45613</v>
      </c>
      <c r="P169" s="12" t="s">
        <v>2146</v>
      </c>
      <c r="Q169" s="12" t="s">
        <v>2147</v>
      </c>
      <c r="R169" s="12" t="s">
        <v>47</v>
      </c>
      <c r="S169" s="12" t="s">
        <v>48</v>
      </c>
      <c r="T169" s="12" t="s">
        <v>1015</v>
      </c>
      <c r="U169" s="12" t="s">
        <v>50</v>
      </c>
      <c r="V169" s="12" t="s">
        <v>1410</v>
      </c>
      <c r="W169" s="12" t="s">
        <v>1053</v>
      </c>
      <c r="X169" s="12" t="s">
        <v>388</v>
      </c>
      <c r="Y169" s="12" t="s">
        <v>2148</v>
      </c>
      <c r="Z169" s="12">
        <v>5</v>
      </c>
      <c r="AA169" s="12" t="s">
        <v>55</v>
      </c>
      <c r="AB169" s="12" t="s">
        <v>2149</v>
      </c>
      <c r="AC169" s="12" t="s">
        <v>1387</v>
      </c>
      <c r="AD169" s="12" t="s">
        <v>58</v>
      </c>
      <c r="AE169" s="12">
        <v>2120000</v>
      </c>
      <c r="AF169" s="13">
        <v>42400</v>
      </c>
      <c r="AG169" s="12"/>
      <c r="AH169" s="12"/>
      <c r="AI169" s="12"/>
      <c r="AJ169" s="12" t="s">
        <v>11548</v>
      </c>
      <c r="AK169" s="13">
        <v>42400</v>
      </c>
      <c r="AL169" s="13"/>
      <c r="AM169" s="14">
        <f t="shared" si="2"/>
        <v>0</v>
      </c>
      <c r="AN169" s="12" t="s">
        <v>12004</v>
      </c>
    </row>
    <row r="170" spans="1:40" x14ac:dyDescent="0.25">
      <c r="A170" s="8">
        <v>169</v>
      </c>
      <c r="B170" s="9" t="s">
        <v>35</v>
      </c>
      <c r="C170" s="9" t="s">
        <v>2150</v>
      </c>
      <c r="D170" s="9" t="s">
        <v>37</v>
      </c>
      <c r="E170" s="9" t="s">
        <v>2151</v>
      </c>
      <c r="F170" s="9" t="s">
        <v>107</v>
      </c>
      <c r="G170" s="9" t="s">
        <v>2152</v>
      </c>
      <c r="H170" s="9" t="s">
        <v>2153</v>
      </c>
      <c r="I170" s="9" t="s">
        <v>2153</v>
      </c>
      <c r="J170" s="9" t="s">
        <v>2153</v>
      </c>
      <c r="K170" s="9" t="s">
        <v>2154</v>
      </c>
      <c r="L170" s="9">
        <v>2787050</v>
      </c>
      <c r="M170" s="9">
        <v>3981500</v>
      </c>
      <c r="N170" s="9" t="s">
        <v>2155</v>
      </c>
      <c r="O170" s="10">
        <v>45613</v>
      </c>
      <c r="P170" s="9" t="s">
        <v>2156</v>
      </c>
      <c r="Q170" s="9" t="s">
        <v>2157</v>
      </c>
      <c r="R170" s="9" t="s">
        <v>47</v>
      </c>
      <c r="S170" s="9" t="s">
        <v>48</v>
      </c>
      <c r="T170" s="9" t="s">
        <v>97</v>
      </c>
      <c r="U170" s="9" t="s">
        <v>98</v>
      </c>
      <c r="V170" s="9" t="s">
        <v>99</v>
      </c>
      <c r="W170" s="9" t="s">
        <v>456</v>
      </c>
      <c r="X170" s="9" t="s">
        <v>457</v>
      </c>
      <c r="Y170" s="9" t="s">
        <v>2158</v>
      </c>
      <c r="Z170" s="9">
        <v>5</v>
      </c>
      <c r="AA170" s="9" t="s">
        <v>55</v>
      </c>
      <c r="AB170" s="9" t="s">
        <v>2159</v>
      </c>
      <c r="AC170" s="9" t="s">
        <v>1537</v>
      </c>
      <c r="AD170" s="9" t="s">
        <v>58</v>
      </c>
      <c r="AE170" s="9">
        <v>2986125</v>
      </c>
      <c r="AF170" s="11">
        <v>59723</v>
      </c>
      <c r="AG170" s="9"/>
      <c r="AH170" s="9"/>
      <c r="AI170" s="9"/>
      <c r="AJ170" s="12" t="s">
        <v>11549</v>
      </c>
      <c r="AK170" s="13">
        <v>59723</v>
      </c>
      <c r="AL170" s="13"/>
      <c r="AM170" s="14">
        <f t="shared" si="2"/>
        <v>0</v>
      </c>
      <c r="AN170" s="12" t="s">
        <v>12004</v>
      </c>
    </row>
    <row r="171" spans="1:40" x14ac:dyDescent="0.25">
      <c r="A171" s="15">
        <v>170</v>
      </c>
      <c r="B171" s="12" t="s">
        <v>35</v>
      </c>
      <c r="C171" s="12" t="s">
        <v>2160</v>
      </c>
      <c r="D171" s="12" t="s">
        <v>37</v>
      </c>
      <c r="E171" s="12" t="s">
        <v>2161</v>
      </c>
      <c r="F171" s="12" t="s">
        <v>107</v>
      </c>
      <c r="G171" s="12" t="s">
        <v>2162</v>
      </c>
      <c r="H171" s="12" t="s">
        <v>2163</v>
      </c>
      <c r="I171" s="12" t="s">
        <v>2163</v>
      </c>
      <c r="J171" s="12" t="s">
        <v>2164</v>
      </c>
      <c r="K171" s="12" t="s">
        <v>2165</v>
      </c>
      <c r="L171" s="12">
        <v>1039800</v>
      </c>
      <c r="M171" s="12">
        <v>1733000</v>
      </c>
      <c r="N171" s="12" t="s">
        <v>2166</v>
      </c>
      <c r="O171" s="16">
        <v>45613</v>
      </c>
      <c r="P171" s="12" t="s">
        <v>2167</v>
      </c>
      <c r="Q171" s="12" t="s">
        <v>2168</v>
      </c>
      <c r="R171" s="12" t="s">
        <v>47</v>
      </c>
      <c r="S171" s="12" t="s">
        <v>48</v>
      </c>
      <c r="T171" s="12" t="s">
        <v>49</v>
      </c>
      <c r="U171" s="12" t="s">
        <v>148</v>
      </c>
      <c r="V171" s="12" t="s">
        <v>2169</v>
      </c>
      <c r="W171" s="12" t="s">
        <v>1922</v>
      </c>
      <c r="X171" s="12" t="s">
        <v>457</v>
      </c>
      <c r="Y171" s="12" t="s">
        <v>2170</v>
      </c>
      <c r="Z171" s="12">
        <v>3</v>
      </c>
      <c r="AA171" s="12" t="s">
        <v>227</v>
      </c>
      <c r="AB171" s="12" t="s">
        <v>2171</v>
      </c>
      <c r="AC171" s="12" t="s">
        <v>2068</v>
      </c>
      <c r="AD171" s="12" t="s">
        <v>58</v>
      </c>
      <c r="AE171" s="12">
        <v>1473050</v>
      </c>
      <c r="AF171" s="13">
        <v>29461</v>
      </c>
      <c r="AG171" s="12"/>
      <c r="AH171" s="12"/>
      <c r="AI171" s="12"/>
      <c r="AJ171" s="12" t="s">
        <v>11550</v>
      </c>
      <c r="AK171" s="13">
        <v>29461</v>
      </c>
      <c r="AL171" s="13"/>
      <c r="AM171" s="14">
        <f t="shared" si="2"/>
        <v>0</v>
      </c>
      <c r="AN171" s="12" t="s">
        <v>12004</v>
      </c>
    </row>
    <row r="172" spans="1:40" x14ac:dyDescent="0.25">
      <c r="A172" s="8">
        <v>171</v>
      </c>
      <c r="B172" s="9" t="s">
        <v>35</v>
      </c>
      <c r="C172" s="9" t="s">
        <v>2172</v>
      </c>
      <c r="D172" s="9" t="s">
        <v>37</v>
      </c>
      <c r="E172" s="9" t="s">
        <v>2173</v>
      </c>
      <c r="F172" s="9" t="s">
        <v>525</v>
      </c>
      <c r="G172" s="9" t="s">
        <v>2174</v>
      </c>
      <c r="H172" s="9" t="s">
        <v>2175</v>
      </c>
      <c r="I172" s="9" t="s">
        <v>2175</v>
      </c>
      <c r="J172" s="9" t="s">
        <v>2175</v>
      </c>
      <c r="K172" s="9" t="s">
        <v>2176</v>
      </c>
      <c r="L172" s="9">
        <v>1356800</v>
      </c>
      <c r="M172" s="9">
        <v>2120000</v>
      </c>
      <c r="N172" s="9" t="s">
        <v>2177</v>
      </c>
      <c r="O172" s="10">
        <v>45613</v>
      </c>
      <c r="P172" s="9" t="s">
        <v>2178</v>
      </c>
      <c r="Q172" s="9" t="s">
        <v>2179</v>
      </c>
      <c r="R172" s="9" t="s">
        <v>47</v>
      </c>
      <c r="S172" s="9" t="s">
        <v>48</v>
      </c>
      <c r="T172" s="9" t="s">
        <v>2180</v>
      </c>
      <c r="U172" s="9" t="s">
        <v>148</v>
      </c>
      <c r="V172" s="9" t="s">
        <v>2181</v>
      </c>
      <c r="W172" s="9" t="s">
        <v>940</v>
      </c>
      <c r="X172" s="9" t="s">
        <v>533</v>
      </c>
      <c r="Y172" s="9" t="s">
        <v>2182</v>
      </c>
      <c r="Z172" s="9">
        <v>3</v>
      </c>
      <c r="AA172" s="9" t="s">
        <v>152</v>
      </c>
      <c r="AB172" s="9" t="s">
        <v>2183</v>
      </c>
      <c r="AC172" s="9" t="s">
        <v>2184</v>
      </c>
      <c r="AD172" s="9" t="s">
        <v>86</v>
      </c>
      <c r="AE172" s="9">
        <v>1802000</v>
      </c>
      <c r="AF172" s="11">
        <v>31535</v>
      </c>
      <c r="AG172" s="9"/>
      <c r="AH172" s="9"/>
      <c r="AI172" s="9"/>
      <c r="AJ172" s="12" t="s">
        <v>11551</v>
      </c>
      <c r="AK172" s="13">
        <v>31535</v>
      </c>
      <c r="AL172" s="13"/>
      <c r="AM172" s="14">
        <f t="shared" si="2"/>
        <v>0</v>
      </c>
      <c r="AN172" s="12" t="s">
        <v>12004</v>
      </c>
    </row>
    <row r="173" spans="1:40" x14ac:dyDescent="0.25">
      <c r="A173" s="15">
        <v>172</v>
      </c>
      <c r="B173" s="12" t="s">
        <v>35</v>
      </c>
      <c r="C173" s="12" t="s">
        <v>2185</v>
      </c>
      <c r="D173" s="12" t="s">
        <v>37</v>
      </c>
      <c r="E173" s="12" t="s">
        <v>2186</v>
      </c>
      <c r="F173" s="12" t="s">
        <v>138</v>
      </c>
      <c r="G173" s="12" t="s">
        <v>2187</v>
      </c>
      <c r="H173" s="12" t="s">
        <v>2188</v>
      </c>
      <c r="I173" s="12" t="s">
        <v>2189</v>
      </c>
      <c r="J173" s="12" t="s">
        <v>141</v>
      </c>
      <c r="K173" s="12" t="s">
        <v>2190</v>
      </c>
      <c r="L173" s="12">
        <v>1050000</v>
      </c>
      <c r="M173" s="12">
        <v>1500000</v>
      </c>
      <c r="N173" s="12" t="s">
        <v>2191</v>
      </c>
      <c r="O173" s="16">
        <v>45614</v>
      </c>
      <c r="P173" s="12" t="s">
        <v>2192</v>
      </c>
      <c r="Q173" s="12" t="s">
        <v>2193</v>
      </c>
      <c r="R173" s="12" t="s">
        <v>146</v>
      </c>
      <c r="S173" s="12" t="s">
        <v>2194</v>
      </c>
      <c r="T173" s="12" t="s">
        <v>2195</v>
      </c>
      <c r="U173" s="12" t="s">
        <v>335</v>
      </c>
      <c r="V173" s="12" t="s">
        <v>2196</v>
      </c>
      <c r="W173" s="12" t="s">
        <v>1053</v>
      </c>
      <c r="X173" s="12" t="s">
        <v>388</v>
      </c>
      <c r="Y173" s="12" t="s">
        <v>2197</v>
      </c>
      <c r="Z173" s="12">
        <v>5</v>
      </c>
      <c r="AA173" s="12" t="s">
        <v>118</v>
      </c>
      <c r="AB173" s="12" t="s">
        <v>2198</v>
      </c>
      <c r="AC173" s="12" t="s">
        <v>1387</v>
      </c>
      <c r="AD173" s="12" t="s">
        <v>58</v>
      </c>
      <c r="AE173" s="12">
        <v>1200000</v>
      </c>
      <c r="AF173" s="13">
        <v>24000</v>
      </c>
      <c r="AG173" s="12"/>
      <c r="AH173" s="12"/>
      <c r="AI173" s="12"/>
      <c r="AJ173" s="12" t="s">
        <v>11552</v>
      </c>
      <c r="AK173" s="13">
        <v>24000</v>
      </c>
      <c r="AL173" s="13"/>
      <c r="AM173" s="14">
        <f t="shared" si="2"/>
        <v>0</v>
      </c>
      <c r="AN173" s="12" t="s">
        <v>12004</v>
      </c>
    </row>
    <row r="174" spans="1:40" x14ac:dyDescent="0.25">
      <c r="A174" s="8">
        <v>173</v>
      </c>
      <c r="B174" s="9" t="s">
        <v>35</v>
      </c>
      <c r="C174" s="9" t="s">
        <v>2199</v>
      </c>
      <c r="D174" s="9" t="s">
        <v>37</v>
      </c>
      <c r="E174" s="9" t="s">
        <v>2200</v>
      </c>
      <c r="F174" s="9" t="s">
        <v>245</v>
      </c>
      <c r="G174" s="9" t="s">
        <v>2201</v>
      </c>
      <c r="H174" s="9" t="s">
        <v>2202</v>
      </c>
      <c r="I174" s="9" t="s">
        <v>2203</v>
      </c>
      <c r="J174" s="9" t="s">
        <v>48</v>
      </c>
      <c r="K174" s="9" t="s">
        <v>2204</v>
      </c>
      <c r="L174" s="9">
        <v>1290250</v>
      </c>
      <c r="M174" s="9">
        <v>1985000</v>
      </c>
      <c r="N174" s="9" t="s">
        <v>2205</v>
      </c>
      <c r="O174" s="10">
        <v>45614</v>
      </c>
      <c r="P174" s="9" t="s">
        <v>2206</v>
      </c>
      <c r="Q174" s="9" t="s">
        <v>2207</v>
      </c>
      <c r="R174" s="9" t="s">
        <v>47</v>
      </c>
      <c r="S174" s="9" t="s">
        <v>48</v>
      </c>
      <c r="T174" s="9" t="s">
        <v>2208</v>
      </c>
      <c r="U174" s="9" t="s">
        <v>98</v>
      </c>
      <c r="V174" s="9" t="s">
        <v>2209</v>
      </c>
      <c r="W174" s="9" t="s">
        <v>456</v>
      </c>
      <c r="X174" s="9" t="s">
        <v>2210</v>
      </c>
      <c r="Y174" s="9" t="s">
        <v>2211</v>
      </c>
      <c r="Z174" s="9">
        <v>7</v>
      </c>
      <c r="AA174" s="9" t="s">
        <v>227</v>
      </c>
      <c r="AB174" s="9" t="s">
        <v>2212</v>
      </c>
      <c r="AC174" s="9" t="s">
        <v>2213</v>
      </c>
      <c r="AD174" s="9" t="s">
        <v>299</v>
      </c>
      <c r="AE174" s="9">
        <v>1488750</v>
      </c>
      <c r="AF174" s="11">
        <v>22331</v>
      </c>
      <c r="AG174" s="9"/>
      <c r="AH174" s="9"/>
      <c r="AI174" s="9"/>
      <c r="AJ174" s="12" t="s">
        <v>11553</v>
      </c>
      <c r="AK174" s="13">
        <v>22331</v>
      </c>
      <c r="AL174" s="13"/>
      <c r="AM174" s="14">
        <f t="shared" si="2"/>
        <v>0</v>
      </c>
      <c r="AN174" s="12" t="s">
        <v>12004</v>
      </c>
    </row>
    <row r="175" spans="1:40" x14ac:dyDescent="0.25">
      <c r="A175" s="15">
        <v>174</v>
      </c>
      <c r="B175" s="12" t="s">
        <v>35</v>
      </c>
      <c r="C175" s="12" t="s">
        <v>2214</v>
      </c>
      <c r="D175" s="12" t="s">
        <v>37</v>
      </c>
      <c r="E175" s="12" t="s">
        <v>2215</v>
      </c>
      <c r="F175" s="12" t="s">
        <v>245</v>
      </c>
      <c r="G175" s="12" t="s">
        <v>2216</v>
      </c>
      <c r="H175" s="12" t="s">
        <v>2217</v>
      </c>
      <c r="I175" s="12" t="s">
        <v>48</v>
      </c>
      <c r="J175" s="12" t="s">
        <v>2218</v>
      </c>
      <c r="K175" s="12" t="s">
        <v>2219</v>
      </c>
      <c r="L175" s="12">
        <v>1848750</v>
      </c>
      <c r="M175" s="12">
        <v>2465000</v>
      </c>
      <c r="N175" s="12" t="s">
        <v>2220</v>
      </c>
      <c r="O175" s="16">
        <v>45614</v>
      </c>
      <c r="P175" s="12" t="s">
        <v>2221</v>
      </c>
      <c r="Q175" s="12" t="s">
        <v>2222</v>
      </c>
      <c r="R175" s="12" t="s">
        <v>47</v>
      </c>
      <c r="S175" s="12" t="s">
        <v>48</v>
      </c>
      <c r="T175" s="12" t="s">
        <v>873</v>
      </c>
      <c r="U175" s="12" t="s">
        <v>98</v>
      </c>
      <c r="V175" s="12" t="s">
        <v>2223</v>
      </c>
      <c r="W175" s="12" t="s">
        <v>456</v>
      </c>
      <c r="X175" s="12" t="s">
        <v>388</v>
      </c>
      <c r="Y175" s="12" t="s">
        <v>2224</v>
      </c>
      <c r="Z175" s="12">
        <v>6</v>
      </c>
      <c r="AA175" s="12" t="s">
        <v>55</v>
      </c>
      <c r="AB175" s="12" t="s">
        <v>2225</v>
      </c>
      <c r="AC175" s="12" t="s">
        <v>1537</v>
      </c>
      <c r="AD175" s="12" t="s">
        <v>58</v>
      </c>
      <c r="AE175" s="12">
        <v>1848750</v>
      </c>
      <c r="AF175" s="13">
        <v>36975</v>
      </c>
      <c r="AG175" s="12"/>
      <c r="AH175" s="12"/>
      <c r="AI175" s="12"/>
      <c r="AJ175" s="12" t="s">
        <v>11554</v>
      </c>
      <c r="AK175" s="13">
        <v>39440</v>
      </c>
      <c r="AL175" s="13" t="s">
        <v>12224</v>
      </c>
      <c r="AM175" s="14">
        <f t="shared" si="2"/>
        <v>-2465</v>
      </c>
      <c r="AN175" s="12" t="s">
        <v>12004</v>
      </c>
    </row>
    <row r="176" spans="1:40" x14ac:dyDescent="0.25">
      <c r="A176" s="8">
        <v>175</v>
      </c>
      <c r="B176" s="9" t="s">
        <v>35</v>
      </c>
      <c r="C176" s="9" t="s">
        <v>2226</v>
      </c>
      <c r="D176" s="9" t="s">
        <v>37</v>
      </c>
      <c r="E176" s="9" t="s">
        <v>2227</v>
      </c>
      <c r="F176" s="9" t="s">
        <v>138</v>
      </c>
      <c r="G176" s="9" t="s">
        <v>2228</v>
      </c>
      <c r="H176" s="9" t="s">
        <v>2229</v>
      </c>
      <c r="I176" s="9" t="s">
        <v>2229</v>
      </c>
      <c r="J176" s="9" t="s">
        <v>141</v>
      </c>
      <c r="K176" s="9" t="s">
        <v>2230</v>
      </c>
      <c r="L176" s="9">
        <v>1790250</v>
      </c>
      <c r="M176" s="9">
        <v>3255000</v>
      </c>
      <c r="N176" s="9" t="s">
        <v>2231</v>
      </c>
      <c r="O176" s="10">
        <v>45614</v>
      </c>
      <c r="P176" s="9" t="s">
        <v>2232</v>
      </c>
      <c r="Q176" s="9" t="s">
        <v>2233</v>
      </c>
      <c r="R176" s="9" t="s">
        <v>47</v>
      </c>
      <c r="S176" s="9" t="s">
        <v>48</v>
      </c>
      <c r="T176" s="9" t="s">
        <v>650</v>
      </c>
      <c r="U176" s="9" t="s">
        <v>50</v>
      </c>
      <c r="V176" s="9" t="s">
        <v>2234</v>
      </c>
      <c r="W176" s="9" t="s">
        <v>1053</v>
      </c>
      <c r="X176" s="9" t="s">
        <v>388</v>
      </c>
      <c r="Y176" s="9" t="s">
        <v>2235</v>
      </c>
      <c r="Z176" s="9">
        <v>5</v>
      </c>
      <c r="AA176" s="9" t="s">
        <v>55</v>
      </c>
      <c r="AB176" s="9" t="s">
        <v>2236</v>
      </c>
      <c r="AC176" s="9" t="s">
        <v>2034</v>
      </c>
      <c r="AD176" s="9" t="s">
        <v>58</v>
      </c>
      <c r="AE176" s="9">
        <v>2604000</v>
      </c>
      <c r="AF176" s="11">
        <v>52080</v>
      </c>
      <c r="AG176" s="9"/>
      <c r="AH176" s="9"/>
      <c r="AI176" s="9"/>
      <c r="AJ176" s="12" t="s">
        <v>11555</v>
      </c>
      <c r="AK176" s="13">
        <v>52080</v>
      </c>
      <c r="AL176" s="13"/>
      <c r="AM176" s="14">
        <f t="shared" si="2"/>
        <v>0</v>
      </c>
      <c r="AN176" s="12" t="s">
        <v>12004</v>
      </c>
    </row>
    <row r="177" spans="1:40" x14ac:dyDescent="0.25">
      <c r="A177" s="15">
        <v>176</v>
      </c>
      <c r="B177" s="12" t="s">
        <v>35</v>
      </c>
      <c r="C177" s="12" t="s">
        <v>2237</v>
      </c>
      <c r="D177" s="12" t="s">
        <v>37</v>
      </c>
      <c r="E177" s="12" t="s">
        <v>2238</v>
      </c>
      <c r="F177" s="12" t="s">
        <v>107</v>
      </c>
      <c r="G177" s="12" t="s">
        <v>2239</v>
      </c>
      <c r="H177" s="12" t="s">
        <v>2240</v>
      </c>
      <c r="I177" s="12" t="s">
        <v>2240</v>
      </c>
      <c r="J177" s="12" t="s">
        <v>2240</v>
      </c>
      <c r="K177" s="12" t="s">
        <v>2241</v>
      </c>
      <c r="L177" s="12">
        <v>2292000</v>
      </c>
      <c r="M177" s="12">
        <v>2865000</v>
      </c>
      <c r="N177" s="12" t="s">
        <v>2242</v>
      </c>
      <c r="O177" s="16">
        <v>45614</v>
      </c>
      <c r="P177" s="12" t="s">
        <v>2243</v>
      </c>
      <c r="Q177" s="12" t="s">
        <v>2244</v>
      </c>
      <c r="R177" s="12" t="s">
        <v>47</v>
      </c>
      <c r="S177" s="12" t="s">
        <v>48</v>
      </c>
      <c r="T177" s="12" t="s">
        <v>1166</v>
      </c>
      <c r="U177" s="12" t="s">
        <v>98</v>
      </c>
      <c r="V177" s="12" t="s">
        <v>481</v>
      </c>
      <c r="W177" s="12" t="s">
        <v>456</v>
      </c>
      <c r="X177" s="12" t="s">
        <v>457</v>
      </c>
      <c r="Y177" s="12" t="s">
        <v>2245</v>
      </c>
      <c r="Z177" s="12">
        <v>5</v>
      </c>
      <c r="AA177" s="12" t="s">
        <v>257</v>
      </c>
      <c r="AB177" s="12" t="s">
        <v>2246</v>
      </c>
      <c r="AC177" s="12" t="s">
        <v>1537</v>
      </c>
      <c r="AD177" s="12" t="s">
        <v>58</v>
      </c>
      <c r="AE177" s="12">
        <v>2148750</v>
      </c>
      <c r="AF177" s="13">
        <v>42975</v>
      </c>
      <c r="AG177" s="12"/>
      <c r="AH177" s="12"/>
      <c r="AI177" s="12"/>
      <c r="AJ177" s="12" t="s">
        <v>11556</v>
      </c>
      <c r="AK177" s="13">
        <v>42975</v>
      </c>
      <c r="AL177" s="13"/>
      <c r="AM177" s="14">
        <f t="shared" si="2"/>
        <v>0</v>
      </c>
      <c r="AN177" s="12" t="s">
        <v>12004</v>
      </c>
    </row>
    <row r="178" spans="1:40" x14ac:dyDescent="0.25">
      <c r="A178" s="8">
        <v>177</v>
      </c>
      <c r="B178" s="9" t="s">
        <v>35</v>
      </c>
      <c r="C178" s="9" t="s">
        <v>2247</v>
      </c>
      <c r="D178" s="9" t="s">
        <v>37</v>
      </c>
      <c r="E178" s="9" t="s">
        <v>2248</v>
      </c>
      <c r="F178" s="9" t="s">
        <v>107</v>
      </c>
      <c r="G178" s="9" t="s">
        <v>2249</v>
      </c>
      <c r="H178" s="9" t="s">
        <v>2250</v>
      </c>
      <c r="I178" s="9" t="s">
        <v>2251</v>
      </c>
      <c r="J178" s="9" t="s">
        <v>2252</v>
      </c>
      <c r="K178" s="9" t="s">
        <v>2253</v>
      </c>
      <c r="L178" s="9">
        <v>2465000</v>
      </c>
      <c r="M178" s="9">
        <v>4930000</v>
      </c>
      <c r="N178" s="9" t="s">
        <v>2254</v>
      </c>
      <c r="O178" s="10">
        <v>45614</v>
      </c>
      <c r="P178" s="9" t="s">
        <v>2255</v>
      </c>
      <c r="Q178" s="9" t="s">
        <v>2256</v>
      </c>
      <c r="R178" s="9" t="s">
        <v>47</v>
      </c>
      <c r="S178" s="9" t="s">
        <v>48</v>
      </c>
      <c r="T178" s="9" t="s">
        <v>1154</v>
      </c>
      <c r="U178" s="9" t="s">
        <v>98</v>
      </c>
      <c r="V178" s="9" t="s">
        <v>2257</v>
      </c>
      <c r="W178" s="9" t="s">
        <v>456</v>
      </c>
      <c r="X178" s="9" t="s">
        <v>457</v>
      </c>
      <c r="Y178" s="9" t="s">
        <v>2258</v>
      </c>
      <c r="Z178" s="9">
        <v>5</v>
      </c>
      <c r="AA178" s="9" t="s">
        <v>48</v>
      </c>
      <c r="AB178" s="9" t="s">
        <v>48</v>
      </c>
      <c r="AC178" s="9" t="s">
        <v>48</v>
      </c>
      <c r="AD178" s="9" t="s">
        <v>299</v>
      </c>
      <c r="AE178" s="9">
        <v>3697500</v>
      </c>
      <c r="AF178" s="11">
        <v>55463</v>
      </c>
      <c r="AG178" s="9"/>
      <c r="AH178" s="9"/>
      <c r="AI178" s="9"/>
      <c r="AJ178" s="12" t="s">
        <v>11557</v>
      </c>
      <c r="AK178" s="13">
        <v>55463</v>
      </c>
      <c r="AL178" s="13"/>
      <c r="AM178" s="14">
        <f t="shared" si="2"/>
        <v>0</v>
      </c>
      <c r="AN178" s="12" t="s">
        <v>12004</v>
      </c>
    </row>
    <row r="179" spans="1:40" x14ac:dyDescent="0.25">
      <c r="A179" s="15">
        <v>178</v>
      </c>
      <c r="B179" s="12" t="s">
        <v>35</v>
      </c>
      <c r="C179" s="12" t="s">
        <v>2259</v>
      </c>
      <c r="D179" s="12" t="s">
        <v>37</v>
      </c>
      <c r="E179" s="12" t="s">
        <v>2260</v>
      </c>
      <c r="F179" s="12" t="s">
        <v>107</v>
      </c>
      <c r="G179" s="12" t="s">
        <v>2261</v>
      </c>
      <c r="H179" s="12" t="s">
        <v>2262</v>
      </c>
      <c r="I179" s="12" t="s">
        <v>2263</v>
      </c>
      <c r="J179" s="12" t="s">
        <v>48</v>
      </c>
      <c r="K179" s="12" t="s">
        <v>2264</v>
      </c>
      <c r="L179" s="12">
        <v>2208000</v>
      </c>
      <c r="M179" s="12">
        <v>3450000</v>
      </c>
      <c r="N179" s="12" t="s">
        <v>2265</v>
      </c>
      <c r="O179" s="16">
        <v>45614</v>
      </c>
      <c r="P179" s="12" t="s">
        <v>2266</v>
      </c>
      <c r="Q179" s="12" t="s">
        <v>2267</v>
      </c>
      <c r="R179" s="12" t="s">
        <v>146</v>
      </c>
      <c r="S179" s="12" t="s">
        <v>2268</v>
      </c>
      <c r="T179" s="12" t="s">
        <v>714</v>
      </c>
      <c r="U179" s="12" t="s">
        <v>496</v>
      </c>
      <c r="V179" s="12" t="s">
        <v>2196</v>
      </c>
      <c r="W179" s="12" t="s">
        <v>1053</v>
      </c>
      <c r="X179" s="12" t="s">
        <v>388</v>
      </c>
      <c r="Y179" s="12" t="s">
        <v>2269</v>
      </c>
      <c r="Z179" s="12">
        <v>5</v>
      </c>
      <c r="AA179" s="12" t="s">
        <v>118</v>
      </c>
      <c r="AB179" s="12" t="s">
        <v>2270</v>
      </c>
      <c r="AC179" s="12" t="s">
        <v>1387</v>
      </c>
      <c r="AD179" s="12" t="s">
        <v>299</v>
      </c>
      <c r="AE179" s="12">
        <v>2760000</v>
      </c>
      <c r="AF179" s="13">
        <v>41400</v>
      </c>
      <c r="AG179" s="12"/>
      <c r="AH179" s="12"/>
      <c r="AI179" s="12"/>
      <c r="AJ179" s="12" t="s">
        <v>11558</v>
      </c>
      <c r="AK179" s="13">
        <v>41400</v>
      </c>
      <c r="AL179" s="13"/>
      <c r="AM179" s="14">
        <f t="shared" si="2"/>
        <v>0</v>
      </c>
      <c r="AN179" s="12" t="s">
        <v>12004</v>
      </c>
    </row>
    <row r="180" spans="1:40" x14ac:dyDescent="0.25">
      <c r="A180" s="8">
        <v>179</v>
      </c>
      <c r="B180" s="9" t="s">
        <v>35</v>
      </c>
      <c r="C180" s="9" t="s">
        <v>2271</v>
      </c>
      <c r="D180" s="9" t="s">
        <v>37</v>
      </c>
      <c r="E180" s="9" t="s">
        <v>2272</v>
      </c>
      <c r="F180" s="9" t="s">
        <v>39</v>
      </c>
      <c r="G180" s="9" t="s">
        <v>2273</v>
      </c>
      <c r="H180" s="9" t="s">
        <v>2274</v>
      </c>
      <c r="I180" s="9" t="s">
        <v>2275</v>
      </c>
      <c r="J180" s="9" t="s">
        <v>2274</v>
      </c>
      <c r="K180" s="9" t="s">
        <v>2276</v>
      </c>
      <c r="L180" s="9">
        <v>3697500</v>
      </c>
      <c r="M180" s="9">
        <v>4930000</v>
      </c>
      <c r="N180" s="9" t="s">
        <v>2277</v>
      </c>
      <c r="O180" s="10">
        <v>45614</v>
      </c>
      <c r="P180" s="9" t="s">
        <v>2278</v>
      </c>
      <c r="Q180" s="9" t="s">
        <v>2279</v>
      </c>
      <c r="R180" s="9" t="s">
        <v>47</v>
      </c>
      <c r="S180" s="9" t="s">
        <v>48</v>
      </c>
      <c r="T180" s="9" t="s">
        <v>115</v>
      </c>
      <c r="U180" s="9" t="s">
        <v>98</v>
      </c>
      <c r="V180" s="9" t="s">
        <v>2280</v>
      </c>
      <c r="W180" s="9" t="s">
        <v>532</v>
      </c>
      <c r="X180" s="9" t="s">
        <v>533</v>
      </c>
      <c r="Y180" s="9" t="s">
        <v>2281</v>
      </c>
      <c r="Z180" s="9">
        <v>5</v>
      </c>
      <c r="AA180" s="9" t="s">
        <v>48</v>
      </c>
      <c r="AB180" s="9" t="s">
        <v>48</v>
      </c>
      <c r="AC180" s="9" t="s">
        <v>48</v>
      </c>
      <c r="AD180" s="9" t="s">
        <v>299</v>
      </c>
      <c r="AE180" s="9">
        <v>3697500</v>
      </c>
      <c r="AF180" s="11">
        <v>55463</v>
      </c>
      <c r="AG180" s="9"/>
      <c r="AH180" s="9"/>
      <c r="AI180" s="9"/>
      <c r="AJ180" s="12" t="s">
        <v>11559</v>
      </c>
      <c r="AK180" s="13">
        <v>55463</v>
      </c>
      <c r="AL180" s="13"/>
      <c r="AM180" s="14">
        <f t="shared" si="2"/>
        <v>0</v>
      </c>
      <c r="AN180" s="12" t="s">
        <v>12004</v>
      </c>
    </row>
    <row r="181" spans="1:40" x14ac:dyDescent="0.25">
      <c r="A181" s="15">
        <v>180</v>
      </c>
      <c r="B181" s="12" t="s">
        <v>35</v>
      </c>
      <c r="C181" s="12" t="s">
        <v>2282</v>
      </c>
      <c r="D181" s="12" t="s">
        <v>37</v>
      </c>
      <c r="E181" s="12" t="s">
        <v>2283</v>
      </c>
      <c r="F181" s="12" t="s">
        <v>138</v>
      </c>
      <c r="G181" s="12" t="s">
        <v>2284</v>
      </c>
      <c r="H181" s="12" t="s">
        <v>2285</v>
      </c>
      <c r="I181" s="12" t="s">
        <v>2286</v>
      </c>
      <c r="J181" s="12" t="s">
        <v>2287</v>
      </c>
      <c r="K181" s="12" t="s">
        <v>2288</v>
      </c>
      <c r="L181" s="12">
        <v>9727200</v>
      </c>
      <c r="M181" s="12">
        <v>17370000</v>
      </c>
      <c r="N181" s="12" t="s">
        <v>2289</v>
      </c>
      <c r="O181" s="16">
        <v>45614</v>
      </c>
      <c r="P181" s="12" t="s">
        <v>2290</v>
      </c>
      <c r="Q181" s="12" t="s">
        <v>2291</v>
      </c>
      <c r="R181" s="12" t="s">
        <v>47</v>
      </c>
      <c r="S181" s="12" t="s">
        <v>48</v>
      </c>
      <c r="T181" s="12" t="s">
        <v>2292</v>
      </c>
      <c r="U181" s="12" t="s">
        <v>98</v>
      </c>
      <c r="V181" s="12" t="s">
        <v>2293</v>
      </c>
      <c r="W181" s="12" t="s">
        <v>456</v>
      </c>
      <c r="X181" s="12" t="s">
        <v>457</v>
      </c>
      <c r="Y181" s="12" t="s">
        <v>2294</v>
      </c>
      <c r="Z181" s="12">
        <v>5</v>
      </c>
      <c r="AA181" s="12" t="s">
        <v>48</v>
      </c>
      <c r="AB181" s="12" t="s">
        <v>48</v>
      </c>
      <c r="AC181" s="12" t="s">
        <v>48</v>
      </c>
      <c r="AD181" s="12" t="s">
        <v>299</v>
      </c>
      <c r="AE181" s="12">
        <v>13027500</v>
      </c>
      <c r="AF181" s="13">
        <v>195413</v>
      </c>
      <c r="AG181" s="12"/>
      <c r="AH181" s="12"/>
      <c r="AI181" s="12"/>
      <c r="AJ181" s="12" t="s">
        <v>11560</v>
      </c>
      <c r="AK181" s="13">
        <v>195413</v>
      </c>
      <c r="AL181" s="13"/>
      <c r="AM181" s="14">
        <f t="shared" si="2"/>
        <v>0</v>
      </c>
      <c r="AN181" s="12" t="s">
        <v>12004</v>
      </c>
    </row>
    <row r="182" spans="1:40" x14ac:dyDescent="0.25">
      <c r="A182" s="8">
        <v>181</v>
      </c>
      <c r="B182" s="9" t="s">
        <v>35</v>
      </c>
      <c r="C182" s="9" t="s">
        <v>2295</v>
      </c>
      <c r="D182" s="9" t="s">
        <v>37</v>
      </c>
      <c r="E182" s="9" t="s">
        <v>2296</v>
      </c>
      <c r="F182" s="9" t="s">
        <v>932</v>
      </c>
      <c r="G182" s="9" t="s">
        <v>2297</v>
      </c>
      <c r="H182" s="9" t="s">
        <v>2298</v>
      </c>
      <c r="I182" s="9" t="s">
        <v>2298</v>
      </c>
      <c r="J182" s="9" t="s">
        <v>2298</v>
      </c>
      <c r="K182" s="9" t="s">
        <v>2299</v>
      </c>
      <c r="L182" s="9">
        <v>1629000</v>
      </c>
      <c r="M182" s="9">
        <v>2172000</v>
      </c>
      <c r="N182" s="9" t="s">
        <v>2300</v>
      </c>
      <c r="O182" s="10">
        <v>45614</v>
      </c>
      <c r="P182" s="9" t="s">
        <v>2301</v>
      </c>
      <c r="Q182" s="9" t="s">
        <v>2302</v>
      </c>
      <c r="R182" s="9" t="s">
        <v>47</v>
      </c>
      <c r="S182" s="9" t="s">
        <v>2303</v>
      </c>
      <c r="T182" s="9" t="s">
        <v>2304</v>
      </c>
      <c r="U182" s="9" t="s">
        <v>496</v>
      </c>
      <c r="V182" s="9" t="s">
        <v>2305</v>
      </c>
      <c r="W182" s="9" t="s">
        <v>2306</v>
      </c>
      <c r="X182" s="9" t="s">
        <v>533</v>
      </c>
      <c r="Y182" s="9" t="s">
        <v>2307</v>
      </c>
      <c r="Z182" s="9">
        <v>7</v>
      </c>
      <c r="AA182" s="9" t="s">
        <v>55</v>
      </c>
      <c r="AB182" s="9" t="s">
        <v>2308</v>
      </c>
      <c r="AC182" s="9" t="s">
        <v>2309</v>
      </c>
      <c r="AD182" s="9" t="s">
        <v>880</v>
      </c>
      <c r="AE182" s="9">
        <v>1411800</v>
      </c>
      <c r="AF182" s="11">
        <v>43766</v>
      </c>
      <c r="AG182" s="9"/>
      <c r="AH182" s="9"/>
      <c r="AI182" s="9"/>
      <c r="AJ182" s="12" t="s">
        <v>11561</v>
      </c>
      <c r="AK182" s="13">
        <v>43766</v>
      </c>
      <c r="AL182" s="13"/>
      <c r="AM182" s="14">
        <f t="shared" si="2"/>
        <v>0</v>
      </c>
      <c r="AN182" s="12" t="s">
        <v>12004</v>
      </c>
    </row>
    <row r="183" spans="1:40" x14ac:dyDescent="0.25">
      <c r="A183" s="15">
        <v>182</v>
      </c>
      <c r="B183" s="12" t="s">
        <v>35</v>
      </c>
      <c r="C183" s="12" t="s">
        <v>2310</v>
      </c>
      <c r="D183" s="12" t="s">
        <v>37</v>
      </c>
      <c r="E183" s="12" t="s">
        <v>377</v>
      </c>
      <c r="F183" s="12" t="s">
        <v>39</v>
      </c>
      <c r="G183" s="12" t="s">
        <v>2311</v>
      </c>
      <c r="H183" s="12" t="s">
        <v>2312</v>
      </c>
      <c r="I183" s="12" t="s">
        <v>2313</v>
      </c>
      <c r="J183" s="12" t="s">
        <v>2314</v>
      </c>
      <c r="K183" s="12" t="s">
        <v>2315</v>
      </c>
      <c r="L183" s="12">
        <v>1576750</v>
      </c>
      <c r="M183" s="12">
        <v>1855000</v>
      </c>
      <c r="N183" s="12" t="s">
        <v>2316</v>
      </c>
      <c r="O183" s="16">
        <v>45614</v>
      </c>
      <c r="P183" s="12" t="s">
        <v>2317</v>
      </c>
      <c r="Q183" s="12" t="s">
        <v>2318</v>
      </c>
      <c r="R183" s="12" t="s">
        <v>47</v>
      </c>
      <c r="S183" s="12" t="s">
        <v>2319</v>
      </c>
      <c r="T183" s="12" t="s">
        <v>67</v>
      </c>
      <c r="U183" s="12" t="s">
        <v>614</v>
      </c>
      <c r="V183" s="12" t="s">
        <v>2320</v>
      </c>
      <c r="W183" s="12" t="s">
        <v>2321</v>
      </c>
      <c r="X183" s="12" t="s">
        <v>401</v>
      </c>
      <c r="Y183" s="12" t="s">
        <v>2322</v>
      </c>
      <c r="Z183" s="12">
        <v>7</v>
      </c>
      <c r="AA183" s="12" t="s">
        <v>55</v>
      </c>
      <c r="AB183" s="12" t="s">
        <v>2323</v>
      </c>
      <c r="AC183" s="12" t="s">
        <v>2324</v>
      </c>
      <c r="AD183" s="12" t="s">
        <v>171</v>
      </c>
      <c r="AE183" s="12">
        <v>1298500</v>
      </c>
      <c r="AF183" s="13">
        <v>32463</v>
      </c>
      <c r="AG183" s="12"/>
      <c r="AH183" s="12"/>
      <c r="AI183" s="12"/>
      <c r="AJ183" s="12" t="s">
        <v>11562</v>
      </c>
      <c r="AK183" s="13">
        <v>34781</v>
      </c>
      <c r="AL183" s="13" t="s">
        <v>12225</v>
      </c>
      <c r="AM183" s="14">
        <f t="shared" si="2"/>
        <v>-2318</v>
      </c>
      <c r="AN183" s="12" t="s">
        <v>12004</v>
      </c>
    </row>
    <row r="184" spans="1:40" x14ac:dyDescent="0.25">
      <c r="A184" s="8">
        <v>183</v>
      </c>
      <c r="B184" s="9" t="s">
        <v>35</v>
      </c>
      <c r="C184" s="9" t="s">
        <v>2325</v>
      </c>
      <c r="D184" s="9" t="s">
        <v>37</v>
      </c>
      <c r="E184" s="9" t="s">
        <v>2326</v>
      </c>
      <c r="F184" s="9" t="s">
        <v>138</v>
      </c>
      <c r="G184" s="9" t="s">
        <v>2327</v>
      </c>
      <c r="H184" s="9" t="s">
        <v>2328</v>
      </c>
      <c r="I184" s="9" t="s">
        <v>2328</v>
      </c>
      <c r="J184" s="9" t="s">
        <v>2329</v>
      </c>
      <c r="K184" s="9" t="s">
        <v>2330</v>
      </c>
      <c r="L184" s="9">
        <v>859800</v>
      </c>
      <c r="M184" s="9">
        <v>1433000</v>
      </c>
      <c r="N184" s="9" t="s">
        <v>2331</v>
      </c>
      <c r="O184" s="10">
        <v>45615</v>
      </c>
      <c r="P184" s="9" t="s">
        <v>2332</v>
      </c>
      <c r="Q184" s="9" t="s">
        <v>2333</v>
      </c>
      <c r="R184" s="9" t="s">
        <v>47</v>
      </c>
      <c r="S184" s="9" t="s">
        <v>48</v>
      </c>
      <c r="T184" s="9" t="s">
        <v>2334</v>
      </c>
      <c r="U184" s="9" t="s">
        <v>98</v>
      </c>
      <c r="V184" s="9" t="s">
        <v>2335</v>
      </c>
      <c r="W184" s="9" t="s">
        <v>456</v>
      </c>
      <c r="X184" s="9" t="s">
        <v>457</v>
      </c>
      <c r="Y184" s="9" t="s">
        <v>2336</v>
      </c>
      <c r="Z184" s="9">
        <v>5</v>
      </c>
      <c r="AA184" s="9" t="s">
        <v>227</v>
      </c>
      <c r="AB184" s="9" t="s">
        <v>2337</v>
      </c>
      <c r="AC184" s="9" t="s">
        <v>167</v>
      </c>
      <c r="AD184" s="9" t="s">
        <v>58</v>
      </c>
      <c r="AE184" s="9">
        <v>1074750</v>
      </c>
      <c r="AF184" s="11">
        <v>21495</v>
      </c>
      <c r="AG184" s="9"/>
      <c r="AH184" s="9"/>
      <c r="AI184" s="9"/>
      <c r="AJ184" s="12" t="s">
        <v>11563</v>
      </c>
      <c r="AK184" s="13">
        <v>21495</v>
      </c>
      <c r="AL184" s="13"/>
      <c r="AM184" s="14">
        <f t="shared" si="2"/>
        <v>0</v>
      </c>
      <c r="AN184" s="12" t="s">
        <v>12004</v>
      </c>
    </row>
    <row r="185" spans="1:40" x14ac:dyDescent="0.25">
      <c r="A185" s="15">
        <v>184</v>
      </c>
      <c r="B185" s="12" t="s">
        <v>35</v>
      </c>
      <c r="C185" s="12" t="s">
        <v>2338</v>
      </c>
      <c r="D185" s="12" t="s">
        <v>37</v>
      </c>
      <c r="E185" s="12" t="s">
        <v>2339</v>
      </c>
      <c r="F185" s="12" t="s">
        <v>107</v>
      </c>
      <c r="G185" s="12" t="s">
        <v>2340</v>
      </c>
      <c r="H185" s="12" t="s">
        <v>2341</v>
      </c>
      <c r="I185" s="12" t="s">
        <v>2342</v>
      </c>
      <c r="J185" s="12" t="s">
        <v>48</v>
      </c>
      <c r="K185" s="12" t="s">
        <v>2343</v>
      </c>
      <c r="L185" s="12">
        <v>1218050</v>
      </c>
      <c r="M185" s="12">
        <v>1433000</v>
      </c>
      <c r="N185" s="12" t="s">
        <v>2344</v>
      </c>
      <c r="O185" s="16">
        <v>45615</v>
      </c>
      <c r="P185" s="12" t="s">
        <v>2345</v>
      </c>
      <c r="Q185" s="12" t="s">
        <v>2346</v>
      </c>
      <c r="R185" s="12" t="s">
        <v>47</v>
      </c>
      <c r="S185" s="12" t="s">
        <v>48</v>
      </c>
      <c r="T185" s="12" t="s">
        <v>194</v>
      </c>
      <c r="U185" s="12" t="s">
        <v>98</v>
      </c>
      <c r="V185" s="12" t="s">
        <v>2223</v>
      </c>
      <c r="W185" s="12" t="s">
        <v>456</v>
      </c>
      <c r="X185" s="12" t="s">
        <v>2210</v>
      </c>
      <c r="Y185" s="12" t="s">
        <v>2347</v>
      </c>
      <c r="Z185" s="12">
        <v>7</v>
      </c>
      <c r="AA185" s="12" t="s">
        <v>227</v>
      </c>
      <c r="AB185" s="12" t="s">
        <v>2348</v>
      </c>
      <c r="AC185" s="12" t="s">
        <v>2213</v>
      </c>
      <c r="AD185" s="12" t="s">
        <v>58</v>
      </c>
      <c r="AE185" s="12">
        <v>1074750</v>
      </c>
      <c r="AF185" s="13">
        <v>21495</v>
      </c>
      <c r="AG185" s="12"/>
      <c r="AH185" s="12"/>
      <c r="AI185" s="12"/>
      <c r="AJ185" s="12" t="s">
        <v>11564</v>
      </c>
      <c r="AK185" s="13">
        <v>21495</v>
      </c>
      <c r="AL185" s="13"/>
      <c r="AM185" s="14">
        <f t="shared" si="2"/>
        <v>0</v>
      </c>
      <c r="AN185" s="12" t="s">
        <v>12004</v>
      </c>
    </row>
    <row r="186" spans="1:40" x14ac:dyDescent="0.25">
      <c r="A186" s="8">
        <v>185</v>
      </c>
      <c r="B186" s="9" t="s">
        <v>35</v>
      </c>
      <c r="C186" s="9" t="s">
        <v>2349</v>
      </c>
      <c r="D186" s="9" t="s">
        <v>37</v>
      </c>
      <c r="E186" s="9" t="s">
        <v>2350</v>
      </c>
      <c r="F186" s="9" t="s">
        <v>107</v>
      </c>
      <c r="G186" s="9" t="s">
        <v>2351</v>
      </c>
      <c r="H186" s="9" t="s">
        <v>2352</v>
      </c>
      <c r="I186" s="9" t="s">
        <v>2352</v>
      </c>
      <c r="J186" s="9" t="s">
        <v>2352</v>
      </c>
      <c r="K186" s="9" t="s">
        <v>2353</v>
      </c>
      <c r="L186" s="9">
        <v>2091600</v>
      </c>
      <c r="M186" s="9">
        <v>2988000</v>
      </c>
      <c r="N186" s="9" t="s">
        <v>2354</v>
      </c>
      <c r="O186" s="10">
        <v>45615</v>
      </c>
      <c r="P186" s="9" t="s">
        <v>2355</v>
      </c>
      <c r="Q186" s="9" t="s">
        <v>2356</v>
      </c>
      <c r="R186" s="9" t="s">
        <v>47</v>
      </c>
      <c r="S186" s="9" t="s">
        <v>48</v>
      </c>
      <c r="T186" s="9" t="s">
        <v>2357</v>
      </c>
      <c r="U186" s="9" t="s">
        <v>98</v>
      </c>
      <c r="V186" s="9" t="s">
        <v>2358</v>
      </c>
      <c r="W186" s="9" t="s">
        <v>456</v>
      </c>
      <c r="X186" s="9" t="s">
        <v>457</v>
      </c>
      <c r="Y186" s="9" t="s">
        <v>2359</v>
      </c>
      <c r="Z186" s="9">
        <v>5</v>
      </c>
      <c r="AA186" s="9" t="s">
        <v>55</v>
      </c>
      <c r="AB186" s="9" t="s">
        <v>2360</v>
      </c>
      <c r="AC186" s="9" t="s">
        <v>2213</v>
      </c>
      <c r="AD186" s="9" t="s">
        <v>171</v>
      </c>
      <c r="AE186" s="9">
        <v>2241000</v>
      </c>
      <c r="AF186" s="11">
        <v>56025</v>
      </c>
      <c r="AG186" s="9"/>
      <c r="AH186" s="9"/>
      <c r="AI186" s="9"/>
      <c r="AJ186" s="12" t="s">
        <v>11565</v>
      </c>
      <c r="AK186" s="13">
        <v>56025</v>
      </c>
      <c r="AL186" s="13"/>
      <c r="AM186" s="14">
        <f t="shared" si="2"/>
        <v>0</v>
      </c>
      <c r="AN186" s="12" t="s">
        <v>12004</v>
      </c>
    </row>
    <row r="187" spans="1:40" x14ac:dyDescent="0.25">
      <c r="A187" s="15">
        <v>186</v>
      </c>
      <c r="B187" s="12" t="s">
        <v>35</v>
      </c>
      <c r="C187" s="12" t="s">
        <v>2361</v>
      </c>
      <c r="D187" s="12" t="s">
        <v>37</v>
      </c>
      <c r="E187" s="12" t="s">
        <v>2362</v>
      </c>
      <c r="F187" s="12" t="s">
        <v>39</v>
      </c>
      <c r="G187" s="12" t="s">
        <v>2363</v>
      </c>
      <c r="H187" s="12" t="s">
        <v>2364</v>
      </c>
      <c r="I187" s="12" t="s">
        <v>2365</v>
      </c>
      <c r="J187" s="12" t="s">
        <v>2366</v>
      </c>
      <c r="K187" s="12" t="s">
        <v>2367</v>
      </c>
      <c r="L187" s="12">
        <v>3204500</v>
      </c>
      <c r="M187" s="12">
        <v>4930000</v>
      </c>
      <c r="N187" s="12" t="s">
        <v>2368</v>
      </c>
      <c r="O187" s="16">
        <v>45615</v>
      </c>
      <c r="P187" s="12" t="s">
        <v>2369</v>
      </c>
      <c r="Q187" s="12" t="s">
        <v>2370</v>
      </c>
      <c r="R187" s="12" t="s">
        <v>47</v>
      </c>
      <c r="S187" s="12" t="s">
        <v>48</v>
      </c>
      <c r="T187" s="12" t="s">
        <v>2371</v>
      </c>
      <c r="U187" s="12" t="s">
        <v>98</v>
      </c>
      <c r="V187" s="12" t="s">
        <v>415</v>
      </c>
      <c r="W187" s="12" t="s">
        <v>532</v>
      </c>
      <c r="X187" s="12" t="s">
        <v>533</v>
      </c>
      <c r="Y187" s="12" t="s">
        <v>2372</v>
      </c>
      <c r="Z187" s="12">
        <v>5</v>
      </c>
      <c r="AA187" s="12" t="s">
        <v>48</v>
      </c>
      <c r="AB187" s="12" t="s">
        <v>48</v>
      </c>
      <c r="AC187" s="12" t="s">
        <v>48</v>
      </c>
      <c r="AD187" s="12" t="s">
        <v>299</v>
      </c>
      <c r="AE187" s="12">
        <v>3697500</v>
      </c>
      <c r="AF187" s="13">
        <v>55463</v>
      </c>
      <c r="AG187" s="12"/>
      <c r="AH187" s="12"/>
      <c r="AI187" s="12"/>
      <c r="AJ187" s="12" t="s">
        <v>11566</v>
      </c>
      <c r="AK187" s="13">
        <v>55463</v>
      </c>
      <c r="AL187" s="13"/>
      <c r="AM187" s="14">
        <f t="shared" si="2"/>
        <v>0</v>
      </c>
      <c r="AN187" s="12" t="s">
        <v>12004</v>
      </c>
    </row>
    <row r="188" spans="1:40" x14ac:dyDescent="0.25">
      <c r="A188" s="8">
        <v>187</v>
      </c>
      <c r="B188" s="9" t="s">
        <v>35</v>
      </c>
      <c r="C188" s="9" t="s">
        <v>2373</v>
      </c>
      <c r="D188" s="9" t="s">
        <v>37</v>
      </c>
      <c r="E188" s="9" t="s">
        <v>2374</v>
      </c>
      <c r="F188" s="9" t="s">
        <v>107</v>
      </c>
      <c r="G188" s="9" t="s">
        <v>2375</v>
      </c>
      <c r="H188" s="9" t="s">
        <v>2376</v>
      </c>
      <c r="I188" s="9" t="s">
        <v>2376</v>
      </c>
      <c r="J188" s="9" t="s">
        <v>2377</v>
      </c>
      <c r="K188" s="9" t="s">
        <v>2378</v>
      </c>
      <c r="L188" s="9">
        <v>3451000</v>
      </c>
      <c r="M188" s="9">
        <v>4930000</v>
      </c>
      <c r="N188" s="9" t="s">
        <v>2379</v>
      </c>
      <c r="O188" s="10">
        <v>45615</v>
      </c>
      <c r="P188" s="9" t="s">
        <v>2380</v>
      </c>
      <c r="Q188" s="9" t="s">
        <v>2381</v>
      </c>
      <c r="R188" s="9" t="s">
        <v>47</v>
      </c>
      <c r="S188" s="9" t="s">
        <v>48</v>
      </c>
      <c r="T188" s="9" t="s">
        <v>2382</v>
      </c>
      <c r="U188" s="9" t="s">
        <v>98</v>
      </c>
      <c r="V188" s="9" t="s">
        <v>2383</v>
      </c>
      <c r="W188" s="9" t="s">
        <v>456</v>
      </c>
      <c r="X188" s="9" t="s">
        <v>457</v>
      </c>
      <c r="Y188" s="9" t="s">
        <v>2384</v>
      </c>
      <c r="Z188" s="9">
        <v>5</v>
      </c>
      <c r="AA188" s="9" t="s">
        <v>48</v>
      </c>
      <c r="AB188" s="9" t="s">
        <v>48</v>
      </c>
      <c r="AC188" s="9" t="s">
        <v>48</v>
      </c>
      <c r="AD188" s="9" t="s">
        <v>299</v>
      </c>
      <c r="AE188" s="9">
        <v>3697500</v>
      </c>
      <c r="AF188" s="11">
        <v>55463</v>
      </c>
      <c r="AG188" s="9"/>
      <c r="AH188" s="9"/>
      <c r="AI188" s="9"/>
      <c r="AJ188" s="12" t="s">
        <v>11567</v>
      </c>
      <c r="AK188" s="13">
        <v>55463</v>
      </c>
      <c r="AL188" s="13"/>
      <c r="AM188" s="14">
        <f t="shared" si="2"/>
        <v>0</v>
      </c>
      <c r="AN188" s="12" t="s">
        <v>12004</v>
      </c>
    </row>
    <row r="189" spans="1:40" x14ac:dyDescent="0.25">
      <c r="A189" s="15">
        <v>188</v>
      </c>
      <c r="B189" s="12" t="s">
        <v>35</v>
      </c>
      <c r="C189" s="12" t="s">
        <v>2385</v>
      </c>
      <c r="D189" s="12" t="s">
        <v>37</v>
      </c>
      <c r="E189" s="12" t="s">
        <v>2386</v>
      </c>
      <c r="F189" s="12" t="s">
        <v>138</v>
      </c>
      <c r="G189" s="12" t="s">
        <v>2387</v>
      </c>
      <c r="H189" s="12" t="s">
        <v>2388</v>
      </c>
      <c r="I189" s="12" t="s">
        <v>2389</v>
      </c>
      <c r="J189" s="12" t="s">
        <v>2388</v>
      </c>
      <c r="K189" s="12" t="s">
        <v>2390</v>
      </c>
      <c r="L189" s="12">
        <v>2951200</v>
      </c>
      <c r="M189" s="12">
        <v>5270000</v>
      </c>
      <c r="N189" s="12" t="s">
        <v>2391</v>
      </c>
      <c r="O189" s="16">
        <v>45615</v>
      </c>
      <c r="P189" s="12" t="s">
        <v>2392</v>
      </c>
      <c r="Q189" s="12" t="s">
        <v>2393</v>
      </c>
      <c r="R189" s="12" t="s">
        <v>146</v>
      </c>
      <c r="S189" s="12" t="s">
        <v>2394</v>
      </c>
      <c r="T189" s="12" t="s">
        <v>520</v>
      </c>
      <c r="U189" s="12" t="s">
        <v>50</v>
      </c>
      <c r="V189" s="12" t="s">
        <v>2196</v>
      </c>
      <c r="W189" s="12" t="s">
        <v>1053</v>
      </c>
      <c r="X189" s="12" t="s">
        <v>457</v>
      </c>
      <c r="Y189" s="12" t="s">
        <v>2395</v>
      </c>
      <c r="Z189" s="12">
        <v>4</v>
      </c>
      <c r="AA189" s="12" t="s">
        <v>323</v>
      </c>
      <c r="AB189" s="12" t="s">
        <v>2396</v>
      </c>
      <c r="AC189" s="12" t="s">
        <v>1387</v>
      </c>
      <c r="AD189" s="12" t="s">
        <v>299</v>
      </c>
      <c r="AE189" s="12">
        <v>4216000</v>
      </c>
      <c r="AF189" s="13">
        <v>63240</v>
      </c>
      <c r="AG189" s="12"/>
      <c r="AH189" s="12"/>
      <c r="AI189" s="12"/>
      <c r="AJ189" s="12" t="s">
        <v>11568</v>
      </c>
      <c r="AK189" s="13">
        <v>63240</v>
      </c>
      <c r="AL189" s="13"/>
      <c r="AM189" s="14">
        <f t="shared" si="2"/>
        <v>0</v>
      </c>
      <c r="AN189" s="12" t="s">
        <v>12004</v>
      </c>
    </row>
    <row r="190" spans="1:40" x14ac:dyDescent="0.25">
      <c r="A190" s="8">
        <v>189</v>
      </c>
      <c r="B190" s="9" t="s">
        <v>35</v>
      </c>
      <c r="C190" s="9" t="s">
        <v>2397</v>
      </c>
      <c r="D190" s="9" t="s">
        <v>37</v>
      </c>
      <c r="E190" s="9" t="s">
        <v>2398</v>
      </c>
      <c r="F190" s="9" t="s">
        <v>39</v>
      </c>
      <c r="G190" s="9" t="s">
        <v>2399</v>
      </c>
      <c r="H190" s="9" t="s">
        <v>2400</v>
      </c>
      <c r="I190" s="9" t="s">
        <v>2401</v>
      </c>
      <c r="J190" s="9" t="s">
        <v>2400</v>
      </c>
      <c r="K190" s="9" t="s">
        <v>2402</v>
      </c>
      <c r="L190" s="9">
        <v>3697500</v>
      </c>
      <c r="M190" s="9">
        <v>4930000</v>
      </c>
      <c r="N190" s="9" t="s">
        <v>2403</v>
      </c>
      <c r="O190" s="10">
        <v>45615</v>
      </c>
      <c r="P190" s="9" t="s">
        <v>2404</v>
      </c>
      <c r="Q190" s="9" t="s">
        <v>2405</v>
      </c>
      <c r="R190" s="9" t="s">
        <v>47</v>
      </c>
      <c r="S190" s="9" t="s">
        <v>48</v>
      </c>
      <c r="T190" s="9" t="s">
        <v>1154</v>
      </c>
      <c r="U190" s="9" t="s">
        <v>98</v>
      </c>
      <c r="V190" s="9" t="s">
        <v>1873</v>
      </c>
      <c r="W190" s="9" t="s">
        <v>456</v>
      </c>
      <c r="X190" s="9" t="s">
        <v>457</v>
      </c>
      <c r="Y190" s="9" t="s">
        <v>2406</v>
      </c>
      <c r="Z190" s="9">
        <v>5</v>
      </c>
      <c r="AA190" s="9" t="s">
        <v>48</v>
      </c>
      <c r="AB190" s="9" t="s">
        <v>48</v>
      </c>
      <c r="AC190" s="9" t="s">
        <v>48</v>
      </c>
      <c r="AD190" s="9" t="s">
        <v>299</v>
      </c>
      <c r="AE190" s="9">
        <v>3697500</v>
      </c>
      <c r="AF190" s="11">
        <v>55463</v>
      </c>
      <c r="AG190" s="9"/>
      <c r="AH190" s="9"/>
      <c r="AI190" s="9"/>
      <c r="AJ190" s="12" t="s">
        <v>11569</v>
      </c>
      <c r="AK190" s="13">
        <v>55463</v>
      </c>
      <c r="AL190" s="13"/>
      <c r="AM190" s="14">
        <f t="shared" si="2"/>
        <v>0</v>
      </c>
      <c r="AN190" s="12" t="s">
        <v>12004</v>
      </c>
    </row>
    <row r="191" spans="1:40" x14ac:dyDescent="0.25">
      <c r="A191" s="15">
        <v>190</v>
      </c>
      <c r="B191" s="12" t="s">
        <v>35</v>
      </c>
      <c r="C191" s="12" t="s">
        <v>2407</v>
      </c>
      <c r="D191" s="12" t="s">
        <v>37</v>
      </c>
      <c r="E191" s="12" t="s">
        <v>2408</v>
      </c>
      <c r="F191" s="12" t="s">
        <v>138</v>
      </c>
      <c r="G191" s="12" t="s">
        <v>2409</v>
      </c>
      <c r="H191" s="12" t="s">
        <v>2410</v>
      </c>
      <c r="I191" s="12" t="s">
        <v>2411</v>
      </c>
      <c r="J191" s="12" t="s">
        <v>48</v>
      </c>
      <c r="K191" s="12" t="s">
        <v>2412</v>
      </c>
      <c r="L191" s="12">
        <v>4762160</v>
      </c>
      <c r="M191" s="12">
        <v>9158000</v>
      </c>
      <c r="N191" s="12" t="s">
        <v>2413</v>
      </c>
      <c r="O191" s="16">
        <v>45615</v>
      </c>
      <c r="P191" s="12" t="s">
        <v>2414</v>
      </c>
      <c r="Q191" s="12" t="s">
        <v>2415</v>
      </c>
      <c r="R191" s="12" t="s">
        <v>47</v>
      </c>
      <c r="S191" s="12" t="s">
        <v>48</v>
      </c>
      <c r="T191" s="12" t="s">
        <v>2416</v>
      </c>
      <c r="U191" s="12" t="s">
        <v>98</v>
      </c>
      <c r="V191" s="12" t="s">
        <v>521</v>
      </c>
      <c r="W191" s="12" t="s">
        <v>456</v>
      </c>
      <c r="X191" s="12" t="s">
        <v>457</v>
      </c>
      <c r="Y191" s="12" t="s">
        <v>2417</v>
      </c>
      <c r="Z191" s="12">
        <v>5</v>
      </c>
      <c r="AA191" s="12" t="s">
        <v>55</v>
      </c>
      <c r="AB191" s="12" t="s">
        <v>2418</v>
      </c>
      <c r="AC191" s="12" t="s">
        <v>2213</v>
      </c>
      <c r="AD191" s="12" t="s">
        <v>299</v>
      </c>
      <c r="AE191" s="12">
        <v>6868500</v>
      </c>
      <c r="AF191" s="13">
        <v>103028</v>
      </c>
      <c r="AG191" s="12"/>
      <c r="AH191" s="12"/>
      <c r="AI191" s="12"/>
      <c r="AJ191" s="12" t="s">
        <v>11570</v>
      </c>
      <c r="AK191" s="13">
        <v>103028</v>
      </c>
      <c r="AL191" s="13"/>
      <c r="AM191" s="14">
        <f t="shared" si="2"/>
        <v>0</v>
      </c>
      <c r="AN191" s="12" t="s">
        <v>12004</v>
      </c>
    </row>
    <row r="192" spans="1:40" x14ac:dyDescent="0.25">
      <c r="A192" s="8">
        <v>191</v>
      </c>
      <c r="B192" s="9" t="s">
        <v>35</v>
      </c>
      <c r="C192" s="9" t="s">
        <v>2419</v>
      </c>
      <c r="D192" s="9" t="s">
        <v>37</v>
      </c>
      <c r="E192" s="9" t="s">
        <v>2420</v>
      </c>
      <c r="F192" s="9" t="s">
        <v>107</v>
      </c>
      <c r="G192" s="9" t="s">
        <v>2421</v>
      </c>
      <c r="H192" s="9" t="s">
        <v>2422</v>
      </c>
      <c r="I192" s="9" t="s">
        <v>2422</v>
      </c>
      <c r="J192" s="9" t="s">
        <v>2422</v>
      </c>
      <c r="K192" s="9" t="s">
        <v>2423</v>
      </c>
      <c r="L192" s="9">
        <v>2800000</v>
      </c>
      <c r="M192" s="9">
        <v>5600000</v>
      </c>
      <c r="N192" s="9" t="s">
        <v>2424</v>
      </c>
      <c r="O192" s="10">
        <v>45616</v>
      </c>
      <c r="P192" s="9" t="s">
        <v>2425</v>
      </c>
      <c r="Q192" s="9" t="s">
        <v>2426</v>
      </c>
      <c r="R192" s="9" t="s">
        <v>1215</v>
      </c>
      <c r="S192" s="9" t="s">
        <v>48</v>
      </c>
      <c r="T192" s="9" t="s">
        <v>2427</v>
      </c>
      <c r="U192" s="9" t="s">
        <v>335</v>
      </c>
      <c r="V192" s="9" t="s">
        <v>2428</v>
      </c>
      <c r="W192" s="9" t="s">
        <v>167</v>
      </c>
      <c r="X192" s="9" t="s">
        <v>168</v>
      </c>
      <c r="Y192" s="9" t="s">
        <v>2429</v>
      </c>
      <c r="Z192" s="9">
        <v>7</v>
      </c>
      <c r="AA192" s="9" t="s">
        <v>227</v>
      </c>
      <c r="AB192" s="9" t="s">
        <v>2430</v>
      </c>
      <c r="AC192" s="9" t="s">
        <v>167</v>
      </c>
      <c r="AD192" s="9" t="s">
        <v>58</v>
      </c>
      <c r="AE192" s="9">
        <v>4200000</v>
      </c>
      <c r="AF192" s="11">
        <v>84000</v>
      </c>
      <c r="AG192" s="9"/>
      <c r="AH192" s="9"/>
      <c r="AI192" s="9"/>
      <c r="AJ192" s="12" t="s">
        <v>11571</v>
      </c>
      <c r="AK192" s="13">
        <v>84000</v>
      </c>
      <c r="AL192" s="13"/>
      <c r="AM192" s="14">
        <f t="shared" si="2"/>
        <v>0</v>
      </c>
      <c r="AN192" s="12" t="s">
        <v>12004</v>
      </c>
    </row>
    <row r="193" spans="1:40" x14ac:dyDescent="0.25">
      <c r="A193" s="15">
        <v>192</v>
      </c>
      <c r="B193" s="12" t="s">
        <v>35</v>
      </c>
      <c r="C193" s="12" t="s">
        <v>2431</v>
      </c>
      <c r="D193" s="12" t="s">
        <v>37</v>
      </c>
      <c r="E193" s="12" t="s">
        <v>2432</v>
      </c>
      <c r="F193" s="12" t="s">
        <v>39</v>
      </c>
      <c r="G193" s="12" t="s">
        <v>2433</v>
      </c>
      <c r="H193" s="12" t="s">
        <v>2434</v>
      </c>
      <c r="I193" s="12" t="s">
        <v>2435</v>
      </c>
      <c r="J193" s="12" t="s">
        <v>2434</v>
      </c>
      <c r="K193" s="12" t="s">
        <v>2436</v>
      </c>
      <c r="L193" s="12">
        <v>3529500</v>
      </c>
      <c r="M193" s="12">
        <v>5430000</v>
      </c>
      <c r="N193" s="12" t="s">
        <v>2437</v>
      </c>
      <c r="O193" s="16">
        <v>45616</v>
      </c>
      <c r="P193" s="12" t="s">
        <v>2438</v>
      </c>
      <c r="Q193" s="12" t="s">
        <v>2439</v>
      </c>
      <c r="R193" s="12" t="s">
        <v>47</v>
      </c>
      <c r="S193" s="12" t="s">
        <v>48</v>
      </c>
      <c r="T193" s="12" t="s">
        <v>520</v>
      </c>
      <c r="U193" s="12" t="s">
        <v>98</v>
      </c>
      <c r="V193" s="12" t="s">
        <v>2335</v>
      </c>
      <c r="W193" s="12" t="s">
        <v>456</v>
      </c>
      <c r="X193" s="12" t="s">
        <v>457</v>
      </c>
      <c r="Y193" s="12" t="s">
        <v>2440</v>
      </c>
      <c r="Z193" s="12">
        <v>5</v>
      </c>
      <c r="AA193" s="12" t="s">
        <v>48</v>
      </c>
      <c r="AB193" s="12" t="s">
        <v>48</v>
      </c>
      <c r="AC193" s="12" t="s">
        <v>48</v>
      </c>
      <c r="AD193" s="12" t="s">
        <v>299</v>
      </c>
      <c r="AE193" s="12">
        <v>4072500</v>
      </c>
      <c r="AF193" s="13">
        <v>61088</v>
      </c>
      <c r="AG193" s="12"/>
      <c r="AH193" s="12"/>
      <c r="AI193" s="12"/>
      <c r="AJ193" s="12" t="s">
        <v>11572</v>
      </c>
      <c r="AK193" s="13">
        <v>61088</v>
      </c>
      <c r="AL193" s="13"/>
      <c r="AM193" s="14">
        <f t="shared" si="2"/>
        <v>0</v>
      </c>
      <c r="AN193" s="12" t="s">
        <v>12004</v>
      </c>
    </row>
    <row r="194" spans="1:40" x14ac:dyDescent="0.25">
      <c r="A194" s="8">
        <v>193</v>
      </c>
      <c r="B194" s="9" t="s">
        <v>35</v>
      </c>
      <c r="C194" s="9" t="s">
        <v>2441</v>
      </c>
      <c r="D194" s="9" t="s">
        <v>37</v>
      </c>
      <c r="E194" s="9" t="s">
        <v>2442</v>
      </c>
      <c r="F194" s="9" t="s">
        <v>107</v>
      </c>
      <c r="G194" s="9" t="s">
        <v>2443</v>
      </c>
      <c r="H194" s="9" t="s">
        <v>48</v>
      </c>
      <c r="I194" s="9" t="s">
        <v>2444</v>
      </c>
      <c r="J194" s="9" t="s">
        <v>48</v>
      </c>
      <c r="K194" s="9" t="s">
        <v>2445</v>
      </c>
      <c r="L194" s="9">
        <v>1365700</v>
      </c>
      <c r="M194" s="9">
        <v>1951000</v>
      </c>
      <c r="N194" s="9" t="s">
        <v>2446</v>
      </c>
      <c r="O194" s="10">
        <v>45616</v>
      </c>
      <c r="P194" s="9" t="s">
        <v>2447</v>
      </c>
      <c r="Q194" s="9" t="s">
        <v>2448</v>
      </c>
      <c r="R194" s="9" t="s">
        <v>47</v>
      </c>
      <c r="S194" s="9" t="s">
        <v>48</v>
      </c>
      <c r="T194" s="9" t="s">
        <v>2449</v>
      </c>
      <c r="U194" s="9" t="s">
        <v>148</v>
      </c>
      <c r="V194" s="9" t="s">
        <v>1933</v>
      </c>
      <c r="W194" s="9" t="s">
        <v>1922</v>
      </c>
      <c r="X194" s="9" t="s">
        <v>2210</v>
      </c>
      <c r="Y194" s="9" t="s">
        <v>2450</v>
      </c>
      <c r="Z194" s="9">
        <v>5</v>
      </c>
      <c r="AA194" s="9" t="s">
        <v>227</v>
      </c>
      <c r="AB194" s="9" t="s">
        <v>2451</v>
      </c>
      <c r="AC194" s="9" t="s">
        <v>1080</v>
      </c>
      <c r="AD194" s="9" t="s">
        <v>299</v>
      </c>
      <c r="AE194" s="9">
        <v>1658350</v>
      </c>
      <c r="AF194" s="11">
        <v>24875</v>
      </c>
      <c r="AG194" s="9"/>
      <c r="AH194" s="9"/>
      <c r="AI194" s="9"/>
      <c r="AJ194" s="12" t="s">
        <v>11573</v>
      </c>
      <c r="AK194" s="13">
        <v>24875</v>
      </c>
      <c r="AL194" s="13"/>
      <c r="AM194" s="14">
        <f t="shared" si="2"/>
        <v>0</v>
      </c>
      <c r="AN194" s="12" t="s">
        <v>12004</v>
      </c>
    </row>
    <row r="195" spans="1:40" x14ac:dyDescent="0.25">
      <c r="A195" s="15">
        <v>194</v>
      </c>
      <c r="B195" s="12" t="s">
        <v>35</v>
      </c>
      <c r="C195" s="12" t="s">
        <v>2452</v>
      </c>
      <c r="D195" s="12" t="s">
        <v>37</v>
      </c>
      <c r="E195" s="12" t="s">
        <v>2453</v>
      </c>
      <c r="F195" s="12" t="s">
        <v>138</v>
      </c>
      <c r="G195" s="12" t="s">
        <v>2454</v>
      </c>
      <c r="H195" s="12" t="s">
        <v>48</v>
      </c>
      <c r="I195" s="12" t="s">
        <v>2455</v>
      </c>
      <c r="J195" s="12" t="s">
        <v>48</v>
      </c>
      <c r="K195" s="12" t="s">
        <v>2456</v>
      </c>
      <c r="L195" s="12">
        <v>1400000</v>
      </c>
      <c r="M195" s="12">
        <v>2000000</v>
      </c>
      <c r="N195" s="12" t="s">
        <v>2457</v>
      </c>
      <c r="O195" s="16">
        <v>45616</v>
      </c>
      <c r="P195" s="12" t="s">
        <v>2458</v>
      </c>
      <c r="Q195" s="12" t="s">
        <v>2459</v>
      </c>
      <c r="R195" s="12" t="s">
        <v>146</v>
      </c>
      <c r="S195" s="12" t="s">
        <v>2460</v>
      </c>
      <c r="T195" s="12" t="s">
        <v>2461</v>
      </c>
      <c r="U195" s="12" t="s">
        <v>98</v>
      </c>
      <c r="V195" s="12" t="s">
        <v>2462</v>
      </c>
      <c r="W195" s="12" t="s">
        <v>1922</v>
      </c>
      <c r="X195" s="12" t="s">
        <v>457</v>
      </c>
      <c r="Y195" s="12" t="s">
        <v>2463</v>
      </c>
      <c r="Z195" s="12">
        <v>3</v>
      </c>
      <c r="AA195" s="12" t="s">
        <v>227</v>
      </c>
      <c r="AB195" s="12" t="s">
        <v>2464</v>
      </c>
      <c r="AC195" s="12" t="s">
        <v>2465</v>
      </c>
      <c r="AD195" s="12" t="s">
        <v>86</v>
      </c>
      <c r="AE195" s="12">
        <v>1700000</v>
      </c>
      <c r="AF195" s="13">
        <v>29750</v>
      </c>
      <c r="AG195" s="12"/>
      <c r="AH195" s="12"/>
      <c r="AI195" s="12"/>
      <c r="AJ195" s="12" t="s">
        <v>11574</v>
      </c>
      <c r="AK195" s="13">
        <v>29750</v>
      </c>
      <c r="AL195" s="13"/>
      <c r="AM195" s="14">
        <f t="shared" ref="AM195:AM258" si="3">AF195-AK195</f>
        <v>0</v>
      </c>
      <c r="AN195" s="12" t="s">
        <v>12004</v>
      </c>
    </row>
    <row r="196" spans="1:40" x14ac:dyDescent="0.25">
      <c r="A196" s="8">
        <v>195</v>
      </c>
      <c r="B196" s="9" t="s">
        <v>35</v>
      </c>
      <c r="C196" s="9" t="s">
        <v>2466</v>
      </c>
      <c r="D196" s="9" t="s">
        <v>37</v>
      </c>
      <c r="E196" s="9" t="s">
        <v>2467</v>
      </c>
      <c r="F196" s="9" t="s">
        <v>2468</v>
      </c>
      <c r="G196" s="9" t="s">
        <v>2469</v>
      </c>
      <c r="H196" s="9" t="s">
        <v>2470</v>
      </c>
      <c r="I196" s="9" t="s">
        <v>2470</v>
      </c>
      <c r="J196" s="9" t="s">
        <v>2471</v>
      </c>
      <c r="K196" s="9" t="s">
        <v>2472</v>
      </c>
      <c r="L196" s="9">
        <v>2984500</v>
      </c>
      <c r="M196" s="9">
        <v>6350000</v>
      </c>
      <c r="N196" s="9" t="s">
        <v>2473</v>
      </c>
      <c r="O196" s="10">
        <v>45616</v>
      </c>
      <c r="P196" s="9" t="s">
        <v>2474</v>
      </c>
      <c r="Q196" s="9" t="s">
        <v>2475</v>
      </c>
      <c r="R196" s="9" t="s">
        <v>47</v>
      </c>
      <c r="S196" s="9" t="s">
        <v>48</v>
      </c>
      <c r="T196" s="9" t="s">
        <v>2476</v>
      </c>
      <c r="U196" s="9" t="s">
        <v>148</v>
      </c>
      <c r="V196" s="9" t="s">
        <v>2477</v>
      </c>
      <c r="W196" s="9" t="s">
        <v>940</v>
      </c>
      <c r="X196" s="9" t="s">
        <v>533</v>
      </c>
      <c r="Y196" s="9" t="s">
        <v>2478</v>
      </c>
      <c r="Z196" s="9">
        <v>3</v>
      </c>
      <c r="AA196" s="9" t="s">
        <v>152</v>
      </c>
      <c r="AB196" s="9" t="s">
        <v>2479</v>
      </c>
      <c r="AC196" s="9" t="s">
        <v>1080</v>
      </c>
      <c r="AD196" s="9" t="s">
        <v>299</v>
      </c>
      <c r="AE196" s="9">
        <v>5397500</v>
      </c>
      <c r="AF196" s="11">
        <v>80963</v>
      </c>
      <c r="AG196" s="9"/>
      <c r="AH196" s="9"/>
      <c r="AI196" s="9"/>
      <c r="AJ196" s="12" t="s">
        <v>11575</v>
      </c>
      <c r="AK196" s="13">
        <v>80963</v>
      </c>
      <c r="AL196" s="13"/>
      <c r="AM196" s="14">
        <f t="shared" si="3"/>
        <v>0</v>
      </c>
      <c r="AN196" s="12" t="s">
        <v>12004</v>
      </c>
    </row>
    <row r="197" spans="1:40" x14ac:dyDescent="0.25">
      <c r="A197" s="15">
        <v>196</v>
      </c>
      <c r="B197" s="12" t="s">
        <v>35</v>
      </c>
      <c r="C197" s="12" t="s">
        <v>2480</v>
      </c>
      <c r="D197" s="12" t="s">
        <v>37</v>
      </c>
      <c r="E197" s="12" t="s">
        <v>2481</v>
      </c>
      <c r="F197" s="12" t="s">
        <v>39</v>
      </c>
      <c r="G197" s="12" t="s">
        <v>2482</v>
      </c>
      <c r="H197" s="12" t="s">
        <v>2483</v>
      </c>
      <c r="I197" s="12" t="s">
        <v>2484</v>
      </c>
      <c r="J197" s="12" t="s">
        <v>2483</v>
      </c>
      <c r="K197" s="12" t="s">
        <v>2485</v>
      </c>
      <c r="L197" s="12">
        <v>2054500</v>
      </c>
      <c r="M197" s="12">
        <v>2935000</v>
      </c>
      <c r="N197" s="12" t="s">
        <v>2486</v>
      </c>
      <c r="O197" s="12" t="s">
        <v>2487</v>
      </c>
      <c r="P197" s="12" t="s">
        <v>2488</v>
      </c>
      <c r="Q197" s="12" t="s">
        <v>2489</v>
      </c>
      <c r="R197" s="12" t="s">
        <v>146</v>
      </c>
      <c r="S197" s="12" t="s">
        <v>2490</v>
      </c>
      <c r="T197" s="12" t="s">
        <v>2491</v>
      </c>
      <c r="U197" s="12" t="s">
        <v>386</v>
      </c>
      <c r="V197" s="16">
        <v>45252</v>
      </c>
      <c r="W197" s="12" t="s">
        <v>387</v>
      </c>
      <c r="X197" s="12" t="s">
        <v>1628</v>
      </c>
      <c r="Y197" s="12" t="s">
        <v>2492</v>
      </c>
      <c r="Z197" s="12">
        <v>5</v>
      </c>
      <c r="AA197" s="12" t="s">
        <v>152</v>
      </c>
      <c r="AB197" s="12" t="s">
        <v>2493</v>
      </c>
      <c r="AC197" s="12" t="s">
        <v>2494</v>
      </c>
      <c r="AD197" s="12" t="s">
        <v>86</v>
      </c>
      <c r="AE197" s="12">
        <v>2641500</v>
      </c>
      <c r="AF197" s="13">
        <v>46226</v>
      </c>
      <c r="AG197" s="12"/>
      <c r="AH197" s="12"/>
      <c r="AI197" s="12"/>
      <c r="AJ197" s="12" t="s">
        <v>11576</v>
      </c>
      <c r="AK197" s="13">
        <v>46226</v>
      </c>
      <c r="AL197" s="13"/>
      <c r="AM197" s="14">
        <f t="shared" si="3"/>
        <v>0</v>
      </c>
      <c r="AN197" s="12" t="s">
        <v>12004</v>
      </c>
    </row>
    <row r="198" spans="1:40" x14ac:dyDescent="0.25">
      <c r="A198" s="8">
        <v>197</v>
      </c>
      <c r="B198" s="9" t="s">
        <v>35</v>
      </c>
      <c r="C198" s="9" t="s">
        <v>2495</v>
      </c>
      <c r="D198" s="9" t="s">
        <v>37</v>
      </c>
      <c r="E198" s="9" t="s">
        <v>2496</v>
      </c>
      <c r="F198" s="9" t="s">
        <v>138</v>
      </c>
      <c r="G198" s="9" t="s">
        <v>2497</v>
      </c>
      <c r="H198" s="9" t="s">
        <v>48</v>
      </c>
      <c r="I198" s="9" t="s">
        <v>2498</v>
      </c>
      <c r="J198" s="9" t="s">
        <v>48</v>
      </c>
      <c r="K198" s="9" t="s">
        <v>2499</v>
      </c>
      <c r="L198" s="9">
        <v>2960000</v>
      </c>
      <c r="M198" s="9">
        <v>8000000</v>
      </c>
      <c r="N198" s="9" t="s">
        <v>2500</v>
      </c>
      <c r="O198" s="9" t="s">
        <v>2487</v>
      </c>
      <c r="P198" s="9" t="s">
        <v>2501</v>
      </c>
      <c r="Q198" s="9" t="s">
        <v>2502</v>
      </c>
      <c r="R198" s="9" t="s">
        <v>146</v>
      </c>
      <c r="S198" s="9" t="s">
        <v>2503</v>
      </c>
      <c r="T198" s="9" t="s">
        <v>2504</v>
      </c>
      <c r="U198" s="9" t="s">
        <v>614</v>
      </c>
      <c r="V198" s="10">
        <v>45252</v>
      </c>
      <c r="W198" s="9" t="s">
        <v>387</v>
      </c>
      <c r="X198" s="9" t="s">
        <v>388</v>
      </c>
      <c r="Y198" s="9" t="s">
        <v>2505</v>
      </c>
      <c r="Z198" s="9">
        <v>3</v>
      </c>
      <c r="AA198" s="9" t="s">
        <v>55</v>
      </c>
      <c r="AB198" s="9" t="s">
        <v>2506</v>
      </c>
      <c r="AC198" s="9" t="s">
        <v>2494</v>
      </c>
      <c r="AD198" s="9" t="s">
        <v>86</v>
      </c>
      <c r="AE198" s="9">
        <v>7200000</v>
      </c>
      <c r="AF198" s="11">
        <v>126000</v>
      </c>
      <c r="AG198" s="9"/>
      <c r="AH198" s="9"/>
      <c r="AI198" s="9"/>
      <c r="AJ198" s="12" t="s">
        <v>11577</v>
      </c>
      <c r="AK198" s="13">
        <v>126000</v>
      </c>
      <c r="AL198" s="13"/>
      <c r="AM198" s="14">
        <f t="shared" si="3"/>
        <v>0</v>
      </c>
      <c r="AN198" s="12" t="s">
        <v>12004</v>
      </c>
    </row>
    <row r="199" spans="1:40" x14ac:dyDescent="0.25">
      <c r="A199" s="15">
        <v>198</v>
      </c>
      <c r="B199" s="12" t="s">
        <v>35</v>
      </c>
      <c r="C199" s="12" t="s">
        <v>2507</v>
      </c>
      <c r="D199" s="12" t="s">
        <v>37</v>
      </c>
      <c r="E199" s="12" t="s">
        <v>2508</v>
      </c>
      <c r="F199" s="12" t="s">
        <v>157</v>
      </c>
      <c r="G199" s="12" t="s">
        <v>2509</v>
      </c>
      <c r="H199" s="12" t="s">
        <v>2510</v>
      </c>
      <c r="I199" s="12" t="s">
        <v>48</v>
      </c>
      <c r="J199" s="12" t="s">
        <v>2511</v>
      </c>
      <c r="K199" s="12" t="s">
        <v>2512</v>
      </c>
      <c r="L199" s="12">
        <v>997500</v>
      </c>
      <c r="M199" s="12">
        <v>1425000</v>
      </c>
      <c r="N199" s="12" t="s">
        <v>2513</v>
      </c>
      <c r="O199" s="16">
        <v>45616</v>
      </c>
      <c r="P199" s="12" t="s">
        <v>2514</v>
      </c>
      <c r="Q199" s="12" t="s">
        <v>2515</v>
      </c>
      <c r="R199" s="12" t="s">
        <v>47</v>
      </c>
      <c r="S199" s="12" t="s">
        <v>48</v>
      </c>
      <c r="T199" s="12" t="s">
        <v>2516</v>
      </c>
      <c r="U199" s="12" t="s">
        <v>148</v>
      </c>
      <c r="V199" s="12" t="s">
        <v>1897</v>
      </c>
      <c r="W199" s="12" t="s">
        <v>940</v>
      </c>
      <c r="X199" s="12" t="s">
        <v>2517</v>
      </c>
      <c r="Y199" s="12" t="s">
        <v>2518</v>
      </c>
      <c r="Z199" s="12">
        <v>7</v>
      </c>
      <c r="AA199" s="12" t="s">
        <v>227</v>
      </c>
      <c r="AB199" s="12" t="s">
        <v>2519</v>
      </c>
      <c r="AC199" s="12" t="s">
        <v>2465</v>
      </c>
      <c r="AD199" s="12" t="s">
        <v>299</v>
      </c>
      <c r="AE199" s="12">
        <v>1211250</v>
      </c>
      <c r="AF199" s="13">
        <v>18169</v>
      </c>
      <c r="AG199" s="12"/>
      <c r="AH199" s="12"/>
      <c r="AI199" s="12"/>
      <c r="AJ199" s="12" t="s">
        <v>11578</v>
      </c>
      <c r="AK199" s="13">
        <v>18169</v>
      </c>
      <c r="AL199" s="13"/>
      <c r="AM199" s="14">
        <f t="shared" si="3"/>
        <v>0</v>
      </c>
      <c r="AN199" s="12" t="s">
        <v>12004</v>
      </c>
    </row>
    <row r="200" spans="1:40" x14ac:dyDescent="0.25">
      <c r="A200" s="8">
        <v>199</v>
      </c>
      <c r="B200" s="9" t="s">
        <v>35</v>
      </c>
      <c r="C200" s="9" t="s">
        <v>2520</v>
      </c>
      <c r="D200" s="9" t="s">
        <v>37</v>
      </c>
      <c r="E200" s="9" t="s">
        <v>2521</v>
      </c>
      <c r="F200" s="9" t="s">
        <v>107</v>
      </c>
      <c r="G200" s="9" t="s">
        <v>2522</v>
      </c>
      <c r="H200" s="9" t="s">
        <v>2523</v>
      </c>
      <c r="I200" s="9" t="s">
        <v>2523</v>
      </c>
      <c r="J200" s="9" t="s">
        <v>2523</v>
      </c>
      <c r="K200" s="9" t="s">
        <v>2524</v>
      </c>
      <c r="L200" s="9">
        <v>768000</v>
      </c>
      <c r="M200" s="9">
        <v>960000</v>
      </c>
      <c r="N200" s="9" t="s">
        <v>2525</v>
      </c>
      <c r="O200" s="10">
        <v>45617</v>
      </c>
      <c r="P200" s="9" t="s">
        <v>2526</v>
      </c>
      <c r="Q200" s="9" t="s">
        <v>2527</v>
      </c>
      <c r="R200" s="9" t="s">
        <v>146</v>
      </c>
      <c r="S200" s="9" t="s">
        <v>2528</v>
      </c>
      <c r="T200" s="9" t="s">
        <v>639</v>
      </c>
      <c r="U200" s="9" t="s">
        <v>496</v>
      </c>
      <c r="V200" s="9" t="s">
        <v>2529</v>
      </c>
      <c r="W200" s="9" t="s">
        <v>1053</v>
      </c>
      <c r="X200" s="9" t="s">
        <v>1628</v>
      </c>
      <c r="Y200" s="9" t="s">
        <v>2530</v>
      </c>
      <c r="Z200" s="9">
        <v>7</v>
      </c>
      <c r="AA200" s="9" t="s">
        <v>118</v>
      </c>
      <c r="AB200" s="9" t="s">
        <v>2531</v>
      </c>
      <c r="AC200" s="9" t="s">
        <v>1627</v>
      </c>
      <c r="AD200" s="9" t="s">
        <v>299</v>
      </c>
      <c r="AE200" s="9">
        <v>768000</v>
      </c>
      <c r="AF200" s="11">
        <v>11520</v>
      </c>
      <c r="AG200" s="9"/>
      <c r="AH200" s="9"/>
      <c r="AI200" s="9"/>
      <c r="AJ200" s="12" t="s">
        <v>11579</v>
      </c>
      <c r="AK200" s="13">
        <v>11520</v>
      </c>
      <c r="AL200" s="13"/>
      <c r="AM200" s="14">
        <f t="shared" si="3"/>
        <v>0</v>
      </c>
      <c r="AN200" s="12" t="s">
        <v>12004</v>
      </c>
    </row>
    <row r="201" spans="1:40" x14ac:dyDescent="0.25">
      <c r="A201" s="15">
        <v>200</v>
      </c>
      <c r="B201" s="12" t="s">
        <v>35</v>
      </c>
      <c r="C201" s="12" t="s">
        <v>2532</v>
      </c>
      <c r="D201" s="12" t="s">
        <v>37</v>
      </c>
      <c r="E201" s="12" t="s">
        <v>2533</v>
      </c>
      <c r="F201" s="12" t="s">
        <v>245</v>
      </c>
      <c r="G201" s="12" t="s">
        <v>2534</v>
      </c>
      <c r="H201" s="12" t="s">
        <v>48</v>
      </c>
      <c r="I201" s="12" t="s">
        <v>2535</v>
      </c>
      <c r="J201" s="12" t="s">
        <v>2536</v>
      </c>
      <c r="K201" s="12" t="s">
        <v>2537</v>
      </c>
      <c r="L201" s="12">
        <v>1064700</v>
      </c>
      <c r="M201" s="12">
        <v>1521000</v>
      </c>
      <c r="N201" s="12" t="s">
        <v>2538</v>
      </c>
      <c r="O201" s="16">
        <v>45617</v>
      </c>
      <c r="P201" s="12" t="s">
        <v>2539</v>
      </c>
      <c r="Q201" s="12" t="s">
        <v>2540</v>
      </c>
      <c r="R201" s="12" t="s">
        <v>146</v>
      </c>
      <c r="S201" s="12" t="s">
        <v>2541</v>
      </c>
      <c r="T201" s="12" t="s">
        <v>613</v>
      </c>
      <c r="U201" s="12" t="s">
        <v>614</v>
      </c>
      <c r="V201" s="12" t="s">
        <v>2529</v>
      </c>
      <c r="W201" s="12" t="s">
        <v>1053</v>
      </c>
      <c r="X201" s="12" t="s">
        <v>388</v>
      </c>
      <c r="Y201" s="12" t="s">
        <v>2542</v>
      </c>
      <c r="Z201" s="12">
        <v>5</v>
      </c>
      <c r="AA201" s="12" t="s">
        <v>118</v>
      </c>
      <c r="AB201" s="12" t="s">
        <v>2543</v>
      </c>
      <c r="AC201" s="12" t="s">
        <v>1387</v>
      </c>
      <c r="AD201" s="12" t="s">
        <v>299</v>
      </c>
      <c r="AE201" s="12">
        <v>1216800</v>
      </c>
      <c r="AF201" s="13">
        <v>18252</v>
      </c>
      <c r="AG201" s="12"/>
      <c r="AH201" s="12"/>
      <c r="AI201" s="12"/>
      <c r="AJ201" s="12" t="s">
        <v>11580</v>
      </c>
      <c r="AK201" s="13">
        <v>18252</v>
      </c>
      <c r="AL201" s="13"/>
      <c r="AM201" s="14">
        <f t="shared" si="3"/>
        <v>0</v>
      </c>
      <c r="AN201" s="12" t="s">
        <v>12004</v>
      </c>
    </row>
    <row r="202" spans="1:40" x14ac:dyDescent="0.25">
      <c r="A202" s="8">
        <v>201</v>
      </c>
      <c r="B202" s="9" t="s">
        <v>35</v>
      </c>
      <c r="C202" s="9" t="s">
        <v>2544</v>
      </c>
      <c r="D202" s="9" t="s">
        <v>37</v>
      </c>
      <c r="E202" s="9" t="s">
        <v>2545</v>
      </c>
      <c r="F202" s="9" t="s">
        <v>138</v>
      </c>
      <c r="G202" s="9" t="s">
        <v>2546</v>
      </c>
      <c r="H202" s="9" t="s">
        <v>2547</v>
      </c>
      <c r="I202" s="9" t="s">
        <v>2547</v>
      </c>
      <c r="J202" s="9" t="s">
        <v>2547</v>
      </c>
      <c r="K202" s="9" t="s">
        <v>2548</v>
      </c>
      <c r="L202" s="9">
        <v>1137500</v>
      </c>
      <c r="M202" s="9">
        <v>1750000</v>
      </c>
      <c r="N202" s="9" t="s">
        <v>2549</v>
      </c>
      <c r="O202" s="10">
        <v>45617</v>
      </c>
      <c r="P202" s="9" t="s">
        <v>2550</v>
      </c>
      <c r="Q202" s="9" t="s">
        <v>2551</v>
      </c>
      <c r="R202" s="9" t="s">
        <v>146</v>
      </c>
      <c r="S202" s="9" t="s">
        <v>2552</v>
      </c>
      <c r="T202" s="9" t="s">
        <v>2553</v>
      </c>
      <c r="U202" s="9" t="s">
        <v>335</v>
      </c>
      <c r="V202" s="9" t="s">
        <v>2196</v>
      </c>
      <c r="W202" s="9" t="s">
        <v>1053</v>
      </c>
      <c r="X202" s="9" t="s">
        <v>388</v>
      </c>
      <c r="Y202" s="9" t="s">
        <v>2554</v>
      </c>
      <c r="Z202" s="9">
        <v>5</v>
      </c>
      <c r="AA202" s="9" t="s">
        <v>323</v>
      </c>
      <c r="AB202" s="9" t="s">
        <v>2555</v>
      </c>
      <c r="AC202" s="9" t="s">
        <v>1627</v>
      </c>
      <c r="AD202" s="9" t="s">
        <v>299</v>
      </c>
      <c r="AE202" s="9">
        <v>1400000</v>
      </c>
      <c r="AF202" s="11">
        <v>21000</v>
      </c>
      <c r="AG202" s="9"/>
      <c r="AH202" s="9"/>
      <c r="AI202" s="9"/>
      <c r="AJ202" s="12" t="s">
        <v>11581</v>
      </c>
      <c r="AK202" s="13">
        <v>21000</v>
      </c>
      <c r="AL202" s="13"/>
      <c r="AM202" s="14">
        <f t="shared" si="3"/>
        <v>0</v>
      </c>
      <c r="AN202" s="12" t="s">
        <v>12004</v>
      </c>
    </row>
    <row r="203" spans="1:40" x14ac:dyDescent="0.25">
      <c r="A203" s="15">
        <v>202</v>
      </c>
      <c r="B203" s="12" t="s">
        <v>35</v>
      </c>
      <c r="C203" s="12" t="s">
        <v>2556</v>
      </c>
      <c r="D203" s="12" t="s">
        <v>37</v>
      </c>
      <c r="E203" s="12" t="s">
        <v>2557</v>
      </c>
      <c r="F203" s="12" t="s">
        <v>138</v>
      </c>
      <c r="G203" s="12" t="s">
        <v>2558</v>
      </c>
      <c r="H203" s="12" t="s">
        <v>2559</v>
      </c>
      <c r="I203" s="12" t="s">
        <v>2559</v>
      </c>
      <c r="J203" s="12" t="s">
        <v>2559</v>
      </c>
      <c r="K203" s="12" t="s">
        <v>2560</v>
      </c>
      <c r="L203" s="12">
        <v>1120000</v>
      </c>
      <c r="M203" s="12">
        <v>1600000</v>
      </c>
      <c r="N203" s="12" t="s">
        <v>2561</v>
      </c>
      <c r="O203" s="16">
        <v>45617</v>
      </c>
      <c r="P203" s="12" t="s">
        <v>2562</v>
      </c>
      <c r="Q203" s="12" t="s">
        <v>2563</v>
      </c>
      <c r="R203" s="12" t="s">
        <v>146</v>
      </c>
      <c r="S203" s="12" t="s">
        <v>2564</v>
      </c>
      <c r="T203" s="12" t="s">
        <v>67</v>
      </c>
      <c r="U203" s="12" t="s">
        <v>335</v>
      </c>
      <c r="V203" s="12" t="s">
        <v>2196</v>
      </c>
      <c r="W203" s="12" t="s">
        <v>1053</v>
      </c>
      <c r="X203" s="12" t="s">
        <v>2210</v>
      </c>
      <c r="Y203" s="12" t="s">
        <v>2565</v>
      </c>
      <c r="Z203" s="12">
        <v>6</v>
      </c>
      <c r="AA203" s="12" t="s">
        <v>323</v>
      </c>
      <c r="AB203" s="12" t="s">
        <v>2566</v>
      </c>
      <c r="AC203" s="12" t="s">
        <v>1627</v>
      </c>
      <c r="AD203" s="12" t="s">
        <v>299</v>
      </c>
      <c r="AE203" s="12">
        <v>1280000</v>
      </c>
      <c r="AF203" s="13">
        <v>19200</v>
      </c>
      <c r="AG203" s="12"/>
      <c r="AH203" s="12"/>
      <c r="AI203" s="12"/>
      <c r="AJ203" s="12" t="s">
        <v>11582</v>
      </c>
      <c r="AK203" s="13">
        <v>19200</v>
      </c>
      <c r="AL203" s="13"/>
      <c r="AM203" s="14">
        <f t="shared" si="3"/>
        <v>0</v>
      </c>
      <c r="AN203" s="12" t="s">
        <v>12004</v>
      </c>
    </row>
    <row r="204" spans="1:40" x14ac:dyDescent="0.25">
      <c r="A204" s="8">
        <v>203</v>
      </c>
      <c r="B204" s="9" t="s">
        <v>35</v>
      </c>
      <c r="C204" s="9" t="s">
        <v>2567</v>
      </c>
      <c r="D204" s="9" t="s">
        <v>37</v>
      </c>
      <c r="E204" s="9" t="s">
        <v>2568</v>
      </c>
      <c r="F204" s="9" t="s">
        <v>245</v>
      </c>
      <c r="G204" s="9" t="s">
        <v>2569</v>
      </c>
      <c r="H204" s="9" t="s">
        <v>1505</v>
      </c>
      <c r="I204" s="9" t="s">
        <v>1505</v>
      </c>
      <c r="J204" s="9" t="s">
        <v>2570</v>
      </c>
      <c r="K204" s="9" t="s">
        <v>2571</v>
      </c>
      <c r="L204" s="9">
        <v>1654800</v>
      </c>
      <c r="M204" s="9">
        <v>4137000</v>
      </c>
      <c r="N204" s="9" t="s">
        <v>2572</v>
      </c>
      <c r="O204" s="10">
        <v>45617</v>
      </c>
      <c r="P204" s="9" t="s">
        <v>2573</v>
      </c>
      <c r="Q204" s="9" t="s">
        <v>2574</v>
      </c>
      <c r="R204" s="9" t="s">
        <v>47</v>
      </c>
      <c r="S204" s="9" t="s">
        <v>48</v>
      </c>
      <c r="T204" s="9" t="s">
        <v>97</v>
      </c>
      <c r="U204" s="9" t="s">
        <v>50</v>
      </c>
      <c r="V204" s="9" t="s">
        <v>211</v>
      </c>
      <c r="W204" s="9" t="s">
        <v>132</v>
      </c>
      <c r="X204" s="9" t="s">
        <v>533</v>
      </c>
      <c r="Y204" s="9" t="s">
        <v>2575</v>
      </c>
      <c r="Z204" s="9">
        <v>4</v>
      </c>
      <c r="AA204" s="9" t="s">
        <v>118</v>
      </c>
      <c r="AB204" s="9" t="s">
        <v>2576</v>
      </c>
      <c r="AC204" s="9" t="s">
        <v>1627</v>
      </c>
      <c r="AD204" s="9" t="s">
        <v>86</v>
      </c>
      <c r="AE204" s="9">
        <v>3309600</v>
      </c>
      <c r="AF204" s="11">
        <v>57918</v>
      </c>
      <c r="AG204" s="9"/>
      <c r="AH204" s="9"/>
      <c r="AI204" s="9"/>
      <c r="AJ204" s="12" t="s">
        <v>11583</v>
      </c>
      <c r="AK204" s="13">
        <v>57918</v>
      </c>
      <c r="AL204" s="13"/>
      <c r="AM204" s="14">
        <f t="shared" si="3"/>
        <v>0</v>
      </c>
      <c r="AN204" s="12" t="s">
        <v>12004</v>
      </c>
    </row>
    <row r="205" spans="1:40" x14ac:dyDescent="0.25">
      <c r="A205" s="15">
        <v>204</v>
      </c>
      <c r="B205" s="12" t="s">
        <v>35</v>
      </c>
      <c r="C205" s="12" t="s">
        <v>2577</v>
      </c>
      <c r="D205" s="12" t="s">
        <v>37</v>
      </c>
      <c r="E205" s="12" t="s">
        <v>2578</v>
      </c>
      <c r="F205" s="12" t="s">
        <v>39</v>
      </c>
      <c r="G205" s="12" t="s">
        <v>2579</v>
      </c>
      <c r="H205" s="12" t="s">
        <v>2580</v>
      </c>
      <c r="I205" s="12" t="s">
        <v>2581</v>
      </c>
      <c r="J205" s="12" t="s">
        <v>2582</v>
      </c>
      <c r="K205" s="12" t="s">
        <v>2583</v>
      </c>
      <c r="L205" s="12">
        <v>1941750</v>
      </c>
      <c r="M205" s="12">
        <v>2589000</v>
      </c>
      <c r="N205" s="12" t="s">
        <v>2584</v>
      </c>
      <c r="O205" s="16">
        <v>45617</v>
      </c>
      <c r="P205" s="12" t="s">
        <v>2585</v>
      </c>
      <c r="Q205" s="12" t="s">
        <v>2586</v>
      </c>
      <c r="R205" s="12" t="s">
        <v>47</v>
      </c>
      <c r="S205" s="12" t="s">
        <v>48</v>
      </c>
      <c r="T205" s="12" t="s">
        <v>2587</v>
      </c>
      <c r="U205" s="12" t="s">
        <v>50</v>
      </c>
      <c r="V205" s="12" t="s">
        <v>240</v>
      </c>
      <c r="W205" s="12" t="s">
        <v>132</v>
      </c>
      <c r="X205" s="12" t="s">
        <v>533</v>
      </c>
      <c r="Y205" s="12" t="s">
        <v>2588</v>
      </c>
      <c r="Z205" s="12">
        <v>4</v>
      </c>
      <c r="AA205" s="12" t="s">
        <v>55</v>
      </c>
      <c r="AB205" s="12" t="s">
        <v>2589</v>
      </c>
      <c r="AC205" s="12" t="s">
        <v>1627</v>
      </c>
      <c r="AD205" s="12" t="s">
        <v>58</v>
      </c>
      <c r="AE205" s="12">
        <v>2071200</v>
      </c>
      <c r="AF205" s="13">
        <v>41424</v>
      </c>
      <c r="AG205" s="12"/>
      <c r="AH205" s="12"/>
      <c r="AI205" s="12"/>
      <c r="AJ205" s="12" t="s">
        <v>11584</v>
      </c>
      <c r="AK205" s="13">
        <v>41424</v>
      </c>
      <c r="AL205" s="13"/>
      <c r="AM205" s="14">
        <f t="shared" si="3"/>
        <v>0</v>
      </c>
      <c r="AN205" s="12" t="s">
        <v>12004</v>
      </c>
    </row>
    <row r="206" spans="1:40" x14ac:dyDescent="0.25">
      <c r="A206" s="8">
        <v>205</v>
      </c>
      <c r="B206" s="9" t="s">
        <v>35</v>
      </c>
      <c r="C206" s="9" t="s">
        <v>2590</v>
      </c>
      <c r="D206" s="9" t="s">
        <v>37</v>
      </c>
      <c r="E206" s="9" t="s">
        <v>2591</v>
      </c>
      <c r="F206" s="9" t="s">
        <v>138</v>
      </c>
      <c r="G206" s="9" t="s">
        <v>2592</v>
      </c>
      <c r="H206" s="9" t="s">
        <v>48</v>
      </c>
      <c r="I206" s="9" t="s">
        <v>2593</v>
      </c>
      <c r="J206" s="9" t="s">
        <v>48</v>
      </c>
      <c r="K206" s="9" t="s">
        <v>2594</v>
      </c>
      <c r="L206" s="9">
        <v>1917500</v>
      </c>
      <c r="M206" s="9">
        <v>2950000</v>
      </c>
      <c r="N206" s="9" t="s">
        <v>2595</v>
      </c>
      <c r="O206" s="10">
        <v>45617</v>
      </c>
      <c r="P206" s="9" t="s">
        <v>2596</v>
      </c>
      <c r="Q206" s="9" t="s">
        <v>2597</v>
      </c>
      <c r="R206" s="9" t="s">
        <v>146</v>
      </c>
      <c r="S206" s="9" t="s">
        <v>2598</v>
      </c>
      <c r="T206" s="9" t="s">
        <v>2599</v>
      </c>
      <c r="U206" s="9" t="s">
        <v>496</v>
      </c>
      <c r="V206" s="9" t="s">
        <v>2529</v>
      </c>
      <c r="W206" s="9" t="s">
        <v>1053</v>
      </c>
      <c r="X206" s="9" t="s">
        <v>388</v>
      </c>
      <c r="Y206" s="9" t="s">
        <v>2600</v>
      </c>
      <c r="Z206" s="9">
        <v>5</v>
      </c>
      <c r="AA206" s="9" t="s">
        <v>323</v>
      </c>
      <c r="AB206" s="9" t="s">
        <v>2601</v>
      </c>
      <c r="AC206" s="9" t="s">
        <v>1627</v>
      </c>
      <c r="AD206" s="9" t="s">
        <v>299</v>
      </c>
      <c r="AE206" s="9">
        <v>2360000</v>
      </c>
      <c r="AF206" s="11">
        <v>35400</v>
      </c>
      <c r="AG206" s="9"/>
      <c r="AH206" s="9"/>
      <c r="AI206" s="9"/>
      <c r="AJ206" s="12" t="s">
        <v>11585</v>
      </c>
      <c r="AK206" s="13">
        <v>35400</v>
      </c>
      <c r="AL206" s="13"/>
      <c r="AM206" s="14">
        <f t="shared" si="3"/>
        <v>0</v>
      </c>
      <c r="AN206" s="12" t="s">
        <v>12004</v>
      </c>
    </row>
    <row r="207" spans="1:40" x14ac:dyDescent="0.25">
      <c r="A207" s="15">
        <v>206</v>
      </c>
      <c r="B207" s="12" t="s">
        <v>35</v>
      </c>
      <c r="C207" s="12" t="s">
        <v>2602</v>
      </c>
      <c r="D207" s="12" t="s">
        <v>37</v>
      </c>
      <c r="E207" s="12" t="s">
        <v>2603</v>
      </c>
      <c r="F207" s="12" t="s">
        <v>39</v>
      </c>
      <c r="G207" s="12" t="s">
        <v>2604</v>
      </c>
      <c r="H207" s="12" t="s">
        <v>2605</v>
      </c>
      <c r="I207" s="12" t="s">
        <v>2606</v>
      </c>
      <c r="J207" s="12" t="s">
        <v>2605</v>
      </c>
      <c r="K207" s="12" t="s">
        <v>2607</v>
      </c>
      <c r="L207" s="12">
        <v>2815400</v>
      </c>
      <c r="M207" s="12">
        <v>4022000</v>
      </c>
      <c r="N207" s="12" t="s">
        <v>2608</v>
      </c>
      <c r="O207" s="16">
        <v>45617</v>
      </c>
      <c r="P207" s="12" t="s">
        <v>2609</v>
      </c>
      <c r="Q207" s="12" t="s">
        <v>2610</v>
      </c>
      <c r="R207" s="12" t="s">
        <v>47</v>
      </c>
      <c r="S207" s="12" t="s">
        <v>48</v>
      </c>
      <c r="T207" s="12" t="s">
        <v>1065</v>
      </c>
      <c r="U207" s="12" t="s">
        <v>50</v>
      </c>
      <c r="V207" s="12" t="s">
        <v>2611</v>
      </c>
      <c r="W207" s="12" t="s">
        <v>132</v>
      </c>
      <c r="X207" s="12" t="s">
        <v>133</v>
      </c>
      <c r="Y207" s="12" t="s">
        <v>2612</v>
      </c>
      <c r="Z207" s="12">
        <v>5</v>
      </c>
      <c r="AA207" s="12" t="s">
        <v>55</v>
      </c>
      <c r="AB207" s="12" t="s">
        <v>2613</v>
      </c>
      <c r="AC207" s="12" t="s">
        <v>1627</v>
      </c>
      <c r="AD207" s="12" t="s">
        <v>58</v>
      </c>
      <c r="AE207" s="12">
        <v>3217600</v>
      </c>
      <c r="AF207" s="13">
        <v>64352</v>
      </c>
      <c r="AG207" s="12"/>
      <c r="AH207" s="12"/>
      <c r="AI207" s="12"/>
      <c r="AJ207" s="12" t="s">
        <v>11586</v>
      </c>
      <c r="AK207" s="13">
        <v>64352</v>
      </c>
      <c r="AL207" s="13"/>
      <c r="AM207" s="14">
        <f t="shared" si="3"/>
        <v>0</v>
      </c>
      <c r="AN207" s="12" t="s">
        <v>12004</v>
      </c>
    </row>
    <row r="208" spans="1:40" x14ac:dyDescent="0.25">
      <c r="A208" s="8">
        <v>207</v>
      </c>
      <c r="B208" s="9" t="s">
        <v>35</v>
      </c>
      <c r="C208" s="9" t="s">
        <v>2614</v>
      </c>
      <c r="D208" s="9" t="s">
        <v>37</v>
      </c>
      <c r="E208" s="9" t="s">
        <v>2615</v>
      </c>
      <c r="F208" s="9" t="s">
        <v>89</v>
      </c>
      <c r="G208" s="9" t="s">
        <v>2616</v>
      </c>
      <c r="H208" s="9" t="s">
        <v>2617</v>
      </c>
      <c r="I208" s="9" t="s">
        <v>48</v>
      </c>
      <c r="J208" s="9" t="s">
        <v>2618</v>
      </c>
      <c r="K208" s="9" t="s">
        <v>2619</v>
      </c>
      <c r="L208" s="9">
        <v>2860000</v>
      </c>
      <c r="M208" s="9">
        <v>5500000</v>
      </c>
      <c r="N208" s="9" t="s">
        <v>2620</v>
      </c>
      <c r="O208" s="10">
        <v>45617</v>
      </c>
      <c r="P208" s="9" t="s">
        <v>2621</v>
      </c>
      <c r="Q208" s="9" t="s">
        <v>2622</v>
      </c>
      <c r="R208" s="9" t="s">
        <v>146</v>
      </c>
      <c r="S208" s="9" t="s">
        <v>2623</v>
      </c>
      <c r="T208" s="9" t="s">
        <v>115</v>
      </c>
      <c r="U208" s="9" t="s">
        <v>98</v>
      </c>
      <c r="V208" s="9" t="s">
        <v>2196</v>
      </c>
      <c r="W208" s="9" t="s">
        <v>1053</v>
      </c>
      <c r="X208" s="9" t="s">
        <v>388</v>
      </c>
      <c r="Y208" s="9" t="s">
        <v>2624</v>
      </c>
      <c r="Z208" s="9">
        <v>5</v>
      </c>
      <c r="AA208" s="9" t="s">
        <v>118</v>
      </c>
      <c r="AB208" s="9" t="s">
        <v>2625</v>
      </c>
      <c r="AC208" s="9" t="s">
        <v>1627</v>
      </c>
      <c r="AD208" s="9" t="s">
        <v>299</v>
      </c>
      <c r="AE208" s="9">
        <v>4400000</v>
      </c>
      <c r="AF208" s="11">
        <v>66000</v>
      </c>
      <c r="AG208" s="9"/>
      <c r="AH208" s="9"/>
      <c r="AI208" s="9"/>
      <c r="AJ208" s="12" t="s">
        <v>11587</v>
      </c>
      <c r="AK208" s="13">
        <v>66000</v>
      </c>
      <c r="AL208" s="13"/>
      <c r="AM208" s="14">
        <f t="shared" si="3"/>
        <v>0</v>
      </c>
      <c r="AN208" s="12" t="s">
        <v>12004</v>
      </c>
    </row>
    <row r="209" spans="1:40" x14ac:dyDescent="0.25">
      <c r="A209" s="15">
        <v>208</v>
      </c>
      <c r="B209" s="12" t="s">
        <v>35</v>
      </c>
      <c r="C209" s="12" t="s">
        <v>2626</v>
      </c>
      <c r="D209" s="12" t="s">
        <v>37</v>
      </c>
      <c r="E209" s="12" t="s">
        <v>2627</v>
      </c>
      <c r="F209" s="12" t="s">
        <v>138</v>
      </c>
      <c r="G209" s="12" t="s">
        <v>2628</v>
      </c>
      <c r="H209" s="12" t="s">
        <v>2629</v>
      </c>
      <c r="I209" s="12" t="s">
        <v>2630</v>
      </c>
      <c r="J209" s="12" t="s">
        <v>2629</v>
      </c>
      <c r="K209" s="12" t="s">
        <v>2631</v>
      </c>
      <c r="L209" s="12">
        <v>1137500</v>
      </c>
      <c r="M209" s="12">
        <v>1750000</v>
      </c>
      <c r="N209" s="12" t="s">
        <v>2632</v>
      </c>
      <c r="O209" s="16">
        <v>45617</v>
      </c>
      <c r="P209" s="12" t="s">
        <v>2633</v>
      </c>
      <c r="Q209" s="12" t="s">
        <v>2634</v>
      </c>
      <c r="R209" s="12" t="s">
        <v>146</v>
      </c>
      <c r="S209" s="12" t="s">
        <v>2635</v>
      </c>
      <c r="T209" s="12" t="s">
        <v>1323</v>
      </c>
      <c r="U209" s="12" t="s">
        <v>614</v>
      </c>
      <c r="V209" s="12" t="s">
        <v>2462</v>
      </c>
      <c r="W209" s="12" t="s">
        <v>1922</v>
      </c>
      <c r="X209" s="12" t="s">
        <v>2210</v>
      </c>
      <c r="Y209" s="12" t="s">
        <v>2636</v>
      </c>
      <c r="Z209" s="12">
        <v>5</v>
      </c>
      <c r="AA209" s="12" t="s">
        <v>152</v>
      </c>
      <c r="AB209" s="12" t="s">
        <v>2637</v>
      </c>
      <c r="AC209" s="12" t="s">
        <v>2465</v>
      </c>
      <c r="AD209" s="12" t="s">
        <v>86</v>
      </c>
      <c r="AE209" s="12">
        <v>1487500</v>
      </c>
      <c r="AF209" s="13">
        <v>26031</v>
      </c>
      <c r="AG209" s="12"/>
      <c r="AH209" s="12"/>
      <c r="AI209" s="12"/>
      <c r="AJ209" s="12" t="s">
        <v>11588</v>
      </c>
      <c r="AK209" s="13">
        <v>26031</v>
      </c>
      <c r="AL209" s="13"/>
      <c r="AM209" s="14">
        <f t="shared" si="3"/>
        <v>0</v>
      </c>
      <c r="AN209" s="12" t="s">
        <v>12004</v>
      </c>
    </row>
    <row r="210" spans="1:40" x14ac:dyDescent="0.25">
      <c r="A210" s="8">
        <v>209</v>
      </c>
      <c r="B210" s="9" t="s">
        <v>35</v>
      </c>
      <c r="C210" s="9" t="s">
        <v>2638</v>
      </c>
      <c r="D210" s="9" t="s">
        <v>37</v>
      </c>
      <c r="E210" s="9" t="s">
        <v>2639</v>
      </c>
      <c r="F210" s="9" t="s">
        <v>138</v>
      </c>
      <c r="G210" s="9" t="s">
        <v>2640</v>
      </c>
      <c r="H210" s="9" t="s">
        <v>48</v>
      </c>
      <c r="I210" s="9" t="s">
        <v>2641</v>
      </c>
      <c r="J210" s="9" t="s">
        <v>48</v>
      </c>
      <c r="K210" s="9" t="s">
        <v>2642</v>
      </c>
      <c r="L210" s="9">
        <v>1172000</v>
      </c>
      <c r="M210" s="9">
        <v>2930000</v>
      </c>
      <c r="N210" s="9" t="s">
        <v>2643</v>
      </c>
      <c r="O210" s="10">
        <v>45617</v>
      </c>
      <c r="P210" s="9" t="s">
        <v>2644</v>
      </c>
      <c r="Q210" s="9" t="s">
        <v>2645</v>
      </c>
      <c r="R210" s="9" t="s">
        <v>146</v>
      </c>
      <c r="S210" s="9" t="s">
        <v>2646</v>
      </c>
      <c r="T210" s="9" t="s">
        <v>2647</v>
      </c>
      <c r="U210" s="9" t="s">
        <v>496</v>
      </c>
      <c r="V210" s="9" t="s">
        <v>2462</v>
      </c>
      <c r="W210" s="9" t="s">
        <v>1922</v>
      </c>
      <c r="X210" s="9" t="s">
        <v>457</v>
      </c>
      <c r="Y210" s="9" t="s">
        <v>2648</v>
      </c>
      <c r="Z210" s="9">
        <v>3</v>
      </c>
      <c r="AA210" s="9" t="s">
        <v>152</v>
      </c>
      <c r="AB210" s="9" t="s">
        <v>2649</v>
      </c>
      <c r="AC210" s="9" t="s">
        <v>2462</v>
      </c>
      <c r="AD210" s="9" t="s">
        <v>86</v>
      </c>
      <c r="AE210" s="9">
        <v>2490500</v>
      </c>
      <c r="AF210" s="11">
        <v>43584</v>
      </c>
      <c r="AG210" s="9"/>
      <c r="AH210" s="9"/>
      <c r="AI210" s="9"/>
      <c r="AJ210" s="12" t="s">
        <v>11589</v>
      </c>
      <c r="AK210" s="13">
        <v>43584</v>
      </c>
      <c r="AL210" s="13"/>
      <c r="AM210" s="14">
        <f t="shared" si="3"/>
        <v>0</v>
      </c>
      <c r="AN210" s="12" t="s">
        <v>12004</v>
      </c>
    </row>
    <row r="211" spans="1:40" x14ac:dyDescent="0.25">
      <c r="A211" s="15">
        <v>210</v>
      </c>
      <c r="B211" s="12" t="s">
        <v>35</v>
      </c>
      <c r="C211" s="12" t="s">
        <v>2650</v>
      </c>
      <c r="D211" s="12" t="s">
        <v>37</v>
      </c>
      <c r="E211" s="12" t="s">
        <v>2651</v>
      </c>
      <c r="F211" s="12" t="s">
        <v>138</v>
      </c>
      <c r="G211" s="12" t="s">
        <v>2652</v>
      </c>
      <c r="H211" s="12" t="s">
        <v>2653</v>
      </c>
      <c r="I211" s="12" t="s">
        <v>2653</v>
      </c>
      <c r="J211" s="12" t="s">
        <v>141</v>
      </c>
      <c r="K211" s="12" t="s">
        <v>2654</v>
      </c>
      <c r="L211" s="12">
        <v>986100</v>
      </c>
      <c r="M211" s="12">
        <v>1730000</v>
      </c>
      <c r="N211" s="12" t="s">
        <v>2655</v>
      </c>
      <c r="O211" s="16">
        <v>45617</v>
      </c>
      <c r="P211" s="12" t="s">
        <v>2656</v>
      </c>
      <c r="Q211" s="12" t="s">
        <v>2657</v>
      </c>
      <c r="R211" s="12" t="s">
        <v>146</v>
      </c>
      <c r="S211" s="12" t="s">
        <v>2658</v>
      </c>
      <c r="T211" s="12" t="s">
        <v>194</v>
      </c>
      <c r="U211" s="12" t="s">
        <v>614</v>
      </c>
      <c r="V211" s="12" t="s">
        <v>2462</v>
      </c>
      <c r="W211" s="12" t="s">
        <v>1922</v>
      </c>
      <c r="X211" s="12" t="s">
        <v>457</v>
      </c>
      <c r="Y211" s="12" t="s">
        <v>2659</v>
      </c>
      <c r="Z211" s="12">
        <v>3</v>
      </c>
      <c r="AA211" s="12" t="s">
        <v>227</v>
      </c>
      <c r="AB211" s="12" t="s">
        <v>2660</v>
      </c>
      <c r="AC211" s="12" t="s">
        <v>2465</v>
      </c>
      <c r="AD211" s="12" t="s">
        <v>86</v>
      </c>
      <c r="AE211" s="12">
        <v>1470500</v>
      </c>
      <c r="AF211" s="13">
        <v>25734</v>
      </c>
      <c r="AG211" s="12"/>
      <c r="AH211" s="12"/>
      <c r="AI211" s="12"/>
      <c r="AJ211" s="12" t="s">
        <v>11590</v>
      </c>
      <c r="AK211" s="13">
        <v>25734</v>
      </c>
      <c r="AL211" s="13"/>
      <c r="AM211" s="14">
        <f t="shared" si="3"/>
        <v>0</v>
      </c>
      <c r="AN211" s="12" t="s">
        <v>12004</v>
      </c>
    </row>
    <row r="212" spans="1:40" x14ac:dyDescent="0.25">
      <c r="A212" s="8">
        <v>211</v>
      </c>
      <c r="B212" s="9" t="s">
        <v>35</v>
      </c>
      <c r="C212" s="9" t="s">
        <v>2661</v>
      </c>
      <c r="D212" s="9" t="s">
        <v>37</v>
      </c>
      <c r="E212" s="9" t="s">
        <v>2662</v>
      </c>
      <c r="F212" s="9" t="s">
        <v>107</v>
      </c>
      <c r="G212" s="9" t="s">
        <v>2663</v>
      </c>
      <c r="H212" s="9" t="s">
        <v>48</v>
      </c>
      <c r="I212" s="9" t="s">
        <v>2664</v>
      </c>
      <c r="J212" s="9" t="s">
        <v>48</v>
      </c>
      <c r="K212" s="9" t="s">
        <v>2665</v>
      </c>
      <c r="L212" s="9">
        <v>826000</v>
      </c>
      <c r="M212" s="9">
        <v>1180000</v>
      </c>
      <c r="N212" s="9" t="s">
        <v>2666</v>
      </c>
      <c r="O212" s="10">
        <v>45617</v>
      </c>
      <c r="P212" s="9" t="s">
        <v>2667</v>
      </c>
      <c r="Q212" s="9" t="s">
        <v>2668</v>
      </c>
      <c r="R212" s="9" t="s">
        <v>146</v>
      </c>
      <c r="S212" s="9" t="s">
        <v>2669</v>
      </c>
      <c r="T212" s="9" t="s">
        <v>2670</v>
      </c>
      <c r="U212" s="9" t="s">
        <v>614</v>
      </c>
      <c r="V212" s="9" t="s">
        <v>2671</v>
      </c>
      <c r="W212" s="9" t="s">
        <v>1922</v>
      </c>
      <c r="X212" s="9" t="s">
        <v>2210</v>
      </c>
      <c r="Y212" s="9" t="s">
        <v>2672</v>
      </c>
      <c r="Z212" s="9">
        <v>5</v>
      </c>
      <c r="AA212" s="9" t="s">
        <v>227</v>
      </c>
      <c r="AB212" s="9" t="s">
        <v>2673</v>
      </c>
      <c r="AC212" s="9" t="s">
        <v>2462</v>
      </c>
      <c r="AD212" s="9" t="s">
        <v>86</v>
      </c>
      <c r="AE212" s="9">
        <v>1003000</v>
      </c>
      <c r="AF212" s="11">
        <v>17553</v>
      </c>
      <c r="AG212" s="9"/>
      <c r="AH212" s="9"/>
      <c r="AI212" s="9"/>
      <c r="AJ212" s="12" t="s">
        <v>11591</v>
      </c>
      <c r="AK212" s="13">
        <v>17553</v>
      </c>
      <c r="AL212" s="13"/>
      <c r="AM212" s="14">
        <f t="shared" si="3"/>
        <v>0</v>
      </c>
      <c r="AN212" s="12" t="s">
        <v>12004</v>
      </c>
    </row>
    <row r="213" spans="1:40" x14ac:dyDescent="0.25">
      <c r="A213" s="15">
        <v>212</v>
      </c>
      <c r="B213" s="12" t="s">
        <v>35</v>
      </c>
      <c r="C213" s="12" t="s">
        <v>2674</v>
      </c>
      <c r="D213" s="12" t="s">
        <v>37</v>
      </c>
      <c r="E213" s="12" t="s">
        <v>2675</v>
      </c>
      <c r="F213" s="12" t="s">
        <v>138</v>
      </c>
      <c r="G213" s="12" t="s">
        <v>2676</v>
      </c>
      <c r="H213" s="12" t="s">
        <v>2677</v>
      </c>
      <c r="I213" s="12" t="s">
        <v>2677</v>
      </c>
      <c r="J213" s="12" t="s">
        <v>2677</v>
      </c>
      <c r="K213" s="12" t="s">
        <v>2678</v>
      </c>
      <c r="L213" s="12">
        <v>2650000</v>
      </c>
      <c r="M213" s="12">
        <v>5300000</v>
      </c>
      <c r="N213" s="12" t="s">
        <v>2679</v>
      </c>
      <c r="O213" s="12" t="s">
        <v>2680</v>
      </c>
      <c r="P213" s="12" t="s">
        <v>2681</v>
      </c>
      <c r="Q213" s="12" t="s">
        <v>2682</v>
      </c>
      <c r="R213" s="12" t="s">
        <v>146</v>
      </c>
      <c r="S213" s="12" t="s">
        <v>2683</v>
      </c>
      <c r="T213" s="12" t="s">
        <v>348</v>
      </c>
      <c r="U213" s="12" t="s">
        <v>386</v>
      </c>
      <c r="V213" s="16">
        <v>45253</v>
      </c>
      <c r="W213" s="12" t="s">
        <v>387</v>
      </c>
      <c r="X213" s="12" t="s">
        <v>388</v>
      </c>
      <c r="Y213" s="12" t="s">
        <v>2684</v>
      </c>
      <c r="Z213" s="12">
        <v>3</v>
      </c>
      <c r="AA213" s="12" t="s">
        <v>55</v>
      </c>
      <c r="AB213" s="12" t="s">
        <v>2685</v>
      </c>
      <c r="AC213" s="12" t="s">
        <v>2686</v>
      </c>
      <c r="AD213" s="12" t="s">
        <v>86</v>
      </c>
      <c r="AE213" s="12">
        <v>4770000</v>
      </c>
      <c r="AF213" s="13">
        <v>83475</v>
      </c>
      <c r="AG213" s="12"/>
      <c r="AH213" s="12"/>
      <c r="AI213" s="12"/>
      <c r="AJ213" s="12" t="s">
        <v>11592</v>
      </c>
      <c r="AK213" s="13">
        <v>83475</v>
      </c>
      <c r="AL213" s="13"/>
      <c r="AM213" s="14">
        <f t="shared" si="3"/>
        <v>0</v>
      </c>
      <c r="AN213" s="12" t="s">
        <v>12004</v>
      </c>
    </row>
    <row r="214" spans="1:40" x14ac:dyDescent="0.25">
      <c r="A214" s="8">
        <v>213</v>
      </c>
      <c r="B214" s="9" t="s">
        <v>35</v>
      </c>
      <c r="C214" s="9" t="s">
        <v>2687</v>
      </c>
      <c r="D214" s="9" t="s">
        <v>37</v>
      </c>
      <c r="E214" s="9" t="s">
        <v>2688</v>
      </c>
      <c r="F214" s="9" t="s">
        <v>138</v>
      </c>
      <c r="G214" s="9" t="s">
        <v>2689</v>
      </c>
      <c r="H214" s="9" t="s">
        <v>48</v>
      </c>
      <c r="I214" s="9" t="s">
        <v>2690</v>
      </c>
      <c r="J214" s="9" t="s">
        <v>48</v>
      </c>
      <c r="K214" s="9" t="s">
        <v>2691</v>
      </c>
      <c r="L214" s="9">
        <v>2982000</v>
      </c>
      <c r="M214" s="9">
        <v>7100000</v>
      </c>
      <c r="N214" s="9" t="s">
        <v>2692</v>
      </c>
      <c r="O214" s="9" t="s">
        <v>2680</v>
      </c>
      <c r="P214" s="9" t="s">
        <v>2693</v>
      </c>
      <c r="Q214" s="9" t="s">
        <v>2694</v>
      </c>
      <c r="R214" s="9" t="s">
        <v>146</v>
      </c>
      <c r="S214" s="9" t="s">
        <v>2695</v>
      </c>
      <c r="T214" s="9" t="s">
        <v>115</v>
      </c>
      <c r="U214" s="9" t="s">
        <v>50</v>
      </c>
      <c r="V214" s="10">
        <v>45253</v>
      </c>
      <c r="W214" s="9" t="s">
        <v>387</v>
      </c>
      <c r="X214" s="9" t="s">
        <v>388</v>
      </c>
      <c r="Y214" s="9" t="s">
        <v>2696</v>
      </c>
      <c r="Z214" s="9">
        <v>3</v>
      </c>
      <c r="AA214" s="9" t="s">
        <v>55</v>
      </c>
      <c r="AB214" s="9" t="s">
        <v>2697</v>
      </c>
      <c r="AC214" s="9" t="s">
        <v>2494</v>
      </c>
      <c r="AD214" s="9" t="s">
        <v>86</v>
      </c>
      <c r="AE214" s="9">
        <v>6390000</v>
      </c>
      <c r="AF214" s="11">
        <v>111825</v>
      </c>
      <c r="AG214" s="9"/>
      <c r="AH214" s="9"/>
      <c r="AI214" s="9"/>
      <c r="AJ214" s="12" t="s">
        <v>11593</v>
      </c>
      <c r="AK214" s="13">
        <v>111825</v>
      </c>
      <c r="AL214" s="13"/>
      <c r="AM214" s="14">
        <f t="shared" si="3"/>
        <v>0</v>
      </c>
      <c r="AN214" s="12" t="s">
        <v>12004</v>
      </c>
    </row>
    <row r="215" spans="1:40" x14ac:dyDescent="0.25">
      <c r="A215" s="15">
        <v>214</v>
      </c>
      <c r="B215" s="12" t="s">
        <v>35</v>
      </c>
      <c r="C215" s="12" t="s">
        <v>2698</v>
      </c>
      <c r="D215" s="12" t="s">
        <v>37</v>
      </c>
      <c r="E215" s="12" t="s">
        <v>2699</v>
      </c>
      <c r="F215" s="12" t="s">
        <v>138</v>
      </c>
      <c r="G215" s="12" t="s">
        <v>2700</v>
      </c>
      <c r="H215" s="12" t="s">
        <v>2701</v>
      </c>
      <c r="I215" s="12" t="s">
        <v>2701</v>
      </c>
      <c r="J215" s="12" t="s">
        <v>2701</v>
      </c>
      <c r="K215" s="12" t="s">
        <v>2702</v>
      </c>
      <c r="L215" s="12">
        <v>2035000</v>
      </c>
      <c r="M215" s="12">
        <v>5500000</v>
      </c>
      <c r="N215" s="12" t="s">
        <v>2703</v>
      </c>
      <c r="O215" s="12" t="s">
        <v>2680</v>
      </c>
      <c r="P215" s="12" t="s">
        <v>2704</v>
      </c>
      <c r="Q215" s="12" t="s">
        <v>2705</v>
      </c>
      <c r="R215" s="12" t="s">
        <v>146</v>
      </c>
      <c r="S215" s="12" t="s">
        <v>2706</v>
      </c>
      <c r="T215" s="12" t="s">
        <v>1732</v>
      </c>
      <c r="U215" s="12" t="s">
        <v>148</v>
      </c>
      <c r="V215" s="16">
        <v>45253</v>
      </c>
      <c r="W215" s="12" t="s">
        <v>387</v>
      </c>
      <c r="X215" s="12" t="s">
        <v>388</v>
      </c>
      <c r="Y215" s="12" t="s">
        <v>2707</v>
      </c>
      <c r="Z215" s="12">
        <v>3</v>
      </c>
      <c r="AA215" s="12" t="s">
        <v>55</v>
      </c>
      <c r="AB215" s="12" t="s">
        <v>2708</v>
      </c>
      <c r="AC215" s="12" t="s">
        <v>2494</v>
      </c>
      <c r="AD215" s="12" t="s">
        <v>86</v>
      </c>
      <c r="AE215" s="12">
        <v>4950000</v>
      </c>
      <c r="AF215" s="13">
        <v>86625</v>
      </c>
      <c r="AG215" s="12"/>
      <c r="AH215" s="12"/>
      <c r="AI215" s="12"/>
      <c r="AJ215" s="12" t="s">
        <v>11594</v>
      </c>
      <c r="AK215" s="13">
        <v>86625</v>
      </c>
      <c r="AL215" s="13"/>
      <c r="AM215" s="14">
        <f t="shared" si="3"/>
        <v>0</v>
      </c>
      <c r="AN215" s="12" t="s">
        <v>12004</v>
      </c>
    </row>
    <row r="216" spans="1:40" x14ac:dyDescent="0.25">
      <c r="A216" s="8">
        <v>215</v>
      </c>
      <c r="B216" s="9" t="s">
        <v>35</v>
      </c>
      <c r="C216" s="9" t="s">
        <v>2709</v>
      </c>
      <c r="D216" s="9" t="s">
        <v>37</v>
      </c>
      <c r="E216" s="9" t="s">
        <v>2710</v>
      </c>
      <c r="F216" s="9" t="s">
        <v>73</v>
      </c>
      <c r="G216" s="9" t="s">
        <v>2711</v>
      </c>
      <c r="H216" s="9" t="s">
        <v>48</v>
      </c>
      <c r="I216" s="9" t="s">
        <v>2712</v>
      </c>
      <c r="J216" s="9" t="s">
        <v>48</v>
      </c>
      <c r="K216" s="9" t="s">
        <v>2713</v>
      </c>
      <c r="L216" s="9">
        <v>786750</v>
      </c>
      <c r="M216" s="9">
        <v>1049000</v>
      </c>
      <c r="N216" s="9" t="s">
        <v>2714</v>
      </c>
      <c r="O216" s="10">
        <v>45618</v>
      </c>
      <c r="P216" s="9" t="s">
        <v>2715</v>
      </c>
      <c r="Q216" s="9" t="s">
        <v>2716</v>
      </c>
      <c r="R216" s="9" t="s">
        <v>47</v>
      </c>
      <c r="S216" s="9" t="s">
        <v>48</v>
      </c>
      <c r="T216" s="9" t="s">
        <v>966</v>
      </c>
      <c r="U216" s="9" t="s">
        <v>50</v>
      </c>
      <c r="V216" s="9" t="s">
        <v>2717</v>
      </c>
      <c r="W216" s="9" t="s">
        <v>132</v>
      </c>
      <c r="X216" s="9" t="s">
        <v>133</v>
      </c>
      <c r="Y216" s="9" t="s">
        <v>2718</v>
      </c>
      <c r="Z216" s="9">
        <v>5</v>
      </c>
      <c r="AA216" s="9" t="s">
        <v>55</v>
      </c>
      <c r="AB216" s="9" t="s">
        <v>2719</v>
      </c>
      <c r="AC216" s="9" t="s">
        <v>2529</v>
      </c>
      <c r="AD216" s="9" t="s">
        <v>58</v>
      </c>
      <c r="AE216" s="9">
        <v>839200</v>
      </c>
      <c r="AF216" s="11">
        <v>16784</v>
      </c>
      <c r="AG216" s="9"/>
      <c r="AH216" s="9"/>
      <c r="AI216" s="9"/>
      <c r="AJ216" s="12" t="s">
        <v>11595</v>
      </c>
      <c r="AK216" s="13">
        <v>16784</v>
      </c>
      <c r="AL216" s="13"/>
      <c r="AM216" s="14">
        <f t="shared" si="3"/>
        <v>0</v>
      </c>
      <c r="AN216" s="12" t="s">
        <v>12004</v>
      </c>
    </row>
    <row r="217" spans="1:40" x14ac:dyDescent="0.25">
      <c r="A217" s="15">
        <v>216</v>
      </c>
      <c r="B217" s="12" t="s">
        <v>35</v>
      </c>
      <c r="C217" s="12" t="s">
        <v>2720</v>
      </c>
      <c r="D217" s="12" t="s">
        <v>37</v>
      </c>
      <c r="E217" s="12" t="s">
        <v>2721</v>
      </c>
      <c r="F217" s="12" t="s">
        <v>138</v>
      </c>
      <c r="G217" s="12" t="s">
        <v>2722</v>
      </c>
      <c r="H217" s="12" t="s">
        <v>2723</v>
      </c>
      <c r="I217" s="12" t="s">
        <v>2723</v>
      </c>
      <c r="J217" s="12" t="s">
        <v>2724</v>
      </c>
      <c r="K217" s="12" t="s">
        <v>2725</v>
      </c>
      <c r="L217" s="12">
        <v>1068000</v>
      </c>
      <c r="M217" s="12">
        <v>1780000</v>
      </c>
      <c r="N217" s="12" t="s">
        <v>2726</v>
      </c>
      <c r="O217" s="16">
        <v>45618</v>
      </c>
      <c r="P217" s="12" t="s">
        <v>2727</v>
      </c>
      <c r="Q217" s="12" t="s">
        <v>2728</v>
      </c>
      <c r="R217" s="12" t="s">
        <v>47</v>
      </c>
      <c r="S217" s="12" t="s">
        <v>48</v>
      </c>
      <c r="T217" s="12" t="s">
        <v>1651</v>
      </c>
      <c r="U217" s="12" t="s">
        <v>98</v>
      </c>
      <c r="V217" s="12" t="s">
        <v>1576</v>
      </c>
      <c r="W217" s="12" t="s">
        <v>456</v>
      </c>
      <c r="X217" s="12" t="s">
        <v>457</v>
      </c>
      <c r="Y217" s="12" t="s">
        <v>2729</v>
      </c>
      <c r="Z217" s="12">
        <v>5</v>
      </c>
      <c r="AA217" s="12" t="s">
        <v>118</v>
      </c>
      <c r="AB217" s="12" t="s">
        <v>2730</v>
      </c>
      <c r="AC217" s="12" t="s">
        <v>104</v>
      </c>
      <c r="AD217" s="12" t="s">
        <v>58</v>
      </c>
      <c r="AE217" s="12">
        <v>1335000</v>
      </c>
      <c r="AF217" s="13">
        <v>26700</v>
      </c>
      <c r="AG217" s="12"/>
      <c r="AH217" s="12"/>
      <c r="AI217" s="12"/>
      <c r="AJ217" s="12" t="s">
        <v>11596</v>
      </c>
      <c r="AK217" s="13">
        <v>26700</v>
      </c>
      <c r="AL217" s="13"/>
      <c r="AM217" s="14">
        <f t="shared" si="3"/>
        <v>0</v>
      </c>
      <c r="AN217" s="12" t="s">
        <v>12004</v>
      </c>
    </row>
    <row r="218" spans="1:40" x14ac:dyDescent="0.25">
      <c r="A218" s="8">
        <v>217</v>
      </c>
      <c r="B218" s="9" t="s">
        <v>35</v>
      </c>
      <c r="C218" s="9" t="s">
        <v>2731</v>
      </c>
      <c r="D218" s="9" t="s">
        <v>37</v>
      </c>
      <c r="E218" s="9" t="s">
        <v>2732</v>
      </c>
      <c r="F218" s="9" t="s">
        <v>138</v>
      </c>
      <c r="G218" s="9" t="s">
        <v>2733</v>
      </c>
      <c r="H218" s="9" t="s">
        <v>48</v>
      </c>
      <c r="I218" s="9" t="s">
        <v>2734</v>
      </c>
      <c r="J218" s="9" t="s">
        <v>48</v>
      </c>
      <c r="K218" s="9" t="s">
        <v>2735</v>
      </c>
      <c r="L218" s="9">
        <v>1068000</v>
      </c>
      <c r="M218" s="9">
        <v>1335000</v>
      </c>
      <c r="N218" s="9" t="s">
        <v>2736</v>
      </c>
      <c r="O218" s="10">
        <v>45618</v>
      </c>
      <c r="P218" s="9" t="s">
        <v>2737</v>
      </c>
      <c r="Q218" s="9" t="s">
        <v>2738</v>
      </c>
      <c r="R218" s="9" t="s">
        <v>47</v>
      </c>
      <c r="S218" s="9" t="s">
        <v>48</v>
      </c>
      <c r="T218" s="9" t="s">
        <v>673</v>
      </c>
      <c r="U218" s="9" t="s">
        <v>50</v>
      </c>
      <c r="V218" s="9" t="s">
        <v>2739</v>
      </c>
      <c r="W218" s="9" t="s">
        <v>1053</v>
      </c>
      <c r="X218" s="9" t="s">
        <v>388</v>
      </c>
      <c r="Y218" s="9" t="s">
        <v>2740</v>
      </c>
      <c r="Z218" s="9">
        <v>5</v>
      </c>
      <c r="AA218" s="9" t="s">
        <v>55</v>
      </c>
      <c r="AB218" s="9" t="s">
        <v>2741</v>
      </c>
      <c r="AC218" s="9" t="s">
        <v>1387</v>
      </c>
      <c r="AD218" s="9" t="s">
        <v>58</v>
      </c>
      <c r="AE218" s="9">
        <v>1068000</v>
      </c>
      <c r="AF218" s="11">
        <v>21360</v>
      </c>
      <c r="AG218" s="9"/>
      <c r="AH218" s="9"/>
      <c r="AI218" s="9"/>
      <c r="AJ218" s="12" t="s">
        <v>11597</v>
      </c>
      <c r="AK218" s="13">
        <v>21360</v>
      </c>
      <c r="AL218" s="13"/>
      <c r="AM218" s="14">
        <f t="shared" si="3"/>
        <v>0</v>
      </c>
      <c r="AN218" s="12" t="s">
        <v>12004</v>
      </c>
    </row>
    <row r="219" spans="1:40" x14ac:dyDescent="0.25">
      <c r="A219" s="15">
        <v>218</v>
      </c>
      <c r="B219" s="12" t="s">
        <v>35</v>
      </c>
      <c r="C219" s="12" t="s">
        <v>2742</v>
      </c>
      <c r="D219" s="12" t="s">
        <v>37</v>
      </c>
      <c r="E219" s="12" t="s">
        <v>2743</v>
      </c>
      <c r="F219" s="12" t="s">
        <v>245</v>
      </c>
      <c r="G219" s="12" t="s">
        <v>2744</v>
      </c>
      <c r="H219" s="12" t="s">
        <v>2745</v>
      </c>
      <c r="I219" s="12" t="s">
        <v>48</v>
      </c>
      <c r="J219" s="12" t="s">
        <v>141</v>
      </c>
      <c r="K219" s="12" t="s">
        <v>2746</v>
      </c>
      <c r="L219" s="12">
        <v>1292850</v>
      </c>
      <c r="M219" s="12">
        <v>1521000</v>
      </c>
      <c r="N219" s="12" t="s">
        <v>2747</v>
      </c>
      <c r="O219" s="16">
        <v>45618</v>
      </c>
      <c r="P219" s="12" t="s">
        <v>2748</v>
      </c>
      <c r="Q219" s="12" t="s">
        <v>2749</v>
      </c>
      <c r="R219" s="12" t="s">
        <v>47</v>
      </c>
      <c r="S219" s="12" t="s">
        <v>48</v>
      </c>
      <c r="T219" s="12" t="s">
        <v>613</v>
      </c>
      <c r="U219" s="12" t="s">
        <v>50</v>
      </c>
      <c r="V219" s="12" t="s">
        <v>2529</v>
      </c>
      <c r="W219" s="12" t="s">
        <v>1053</v>
      </c>
      <c r="X219" s="12" t="s">
        <v>2210</v>
      </c>
      <c r="Y219" s="12" t="s">
        <v>2750</v>
      </c>
      <c r="Z219" s="12">
        <v>6</v>
      </c>
      <c r="AA219" s="12" t="s">
        <v>118</v>
      </c>
      <c r="AB219" s="12" t="s">
        <v>2751</v>
      </c>
      <c r="AC219" s="12" t="s">
        <v>2196</v>
      </c>
      <c r="AD219" s="12" t="s">
        <v>58</v>
      </c>
      <c r="AE219" s="12">
        <v>1216800</v>
      </c>
      <c r="AF219" s="13">
        <v>24336</v>
      </c>
      <c r="AG219" s="12"/>
      <c r="AH219" s="12"/>
      <c r="AI219" s="12"/>
      <c r="AJ219" s="12" t="s">
        <v>11598</v>
      </c>
      <c r="AK219" s="13">
        <v>24336</v>
      </c>
      <c r="AL219" s="13"/>
      <c r="AM219" s="14">
        <f t="shared" si="3"/>
        <v>0</v>
      </c>
      <c r="AN219" s="12" t="s">
        <v>12004</v>
      </c>
    </row>
    <row r="220" spans="1:40" x14ac:dyDescent="0.25">
      <c r="A220" s="8">
        <v>219</v>
      </c>
      <c r="B220" s="9" t="s">
        <v>35</v>
      </c>
      <c r="C220" s="9" t="s">
        <v>2752</v>
      </c>
      <c r="D220" s="9" t="s">
        <v>37</v>
      </c>
      <c r="E220" s="9" t="s">
        <v>2753</v>
      </c>
      <c r="F220" s="9" t="s">
        <v>107</v>
      </c>
      <c r="G220" s="9" t="s">
        <v>2754</v>
      </c>
      <c r="H220" s="9" t="s">
        <v>48</v>
      </c>
      <c r="I220" s="9" t="s">
        <v>2755</v>
      </c>
      <c r="J220" s="9" t="s">
        <v>48</v>
      </c>
      <c r="K220" s="9" t="s">
        <v>2756</v>
      </c>
      <c r="L220" s="9">
        <v>1740700</v>
      </c>
      <c r="M220" s="9">
        <v>2678000</v>
      </c>
      <c r="N220" s="9" t="s">
        <v>2757</v>
      </c>
      <c r="O220" s="10">
        <v>45618</v>
      </c>
      <c r="P220" s="9" t="s">
        <v>2758</v>
      </c>
      <c r="Q220" s="9" t="s">
        <v>2759</v>
      </c>
      <c r="R220" s="9" t="s">
        <v>47</v>
      </c>
      <c r="S220" s="9" t="s">
        <v>48</v>
      </c>
      <c r="T220" s="9" t="s">
        <v>1781</v>
      </c>
      <c r="U220" s="9" t="s">
        <v>98</v>
      </c>
      <c r="V220" s="9" t="s">
        <v>521</v>
      </c>
      <c r="W220" s="9" t="s">
        <v>456</v>
      </c>
      <c r="X220" s="9" t="s">
        <v>388</v>
      </c>
      <c r="Y220" s="9" t="s">
        <v>2760</v>
      </c>
      <c r="Z220" s="9">
        <v>6</v>
      </c>
      <c r="AA220" s="9" t="s">
        <v>152</v>
      </c>
      <c r="AB220" s="9" t="s">
        <v>2761</v>
      </c>
      <c r="AC220" s="9" t="s">
        <v>2428</v>
      </c>
      <c r="AD220" s="9" t="s">
        <v>58</v>
      </c>
      <c r="AE220" s="9">
        <v>2008500</v>
      </c>
      <c r="AF220" s="11">
        <v>40170</v>
      </c>
      <c r="AG220" s="9"/>
      <c r="AH220" s="9"/>
      <c r="AI220" s="9"/>
      <c r="AJ220" s="12" t="s">
        <v>11599</v>
      </c>
      <c r="AK220" s="13">
        <v>42848</v>
      </c>
      <c r="AL220" s="13" t="s">
        <v>12226</v>
      </c>
      <c r="AM220" s="14">
        <f t="shared" si="3"/>
        <v>-2678</v>
      </c>
      <c r="AN220" s="12" t="s">
        <v>12004</v>
      </c>
    </row>
    <row r="221" spans="1:40" x14ac:dyDescent="0.25">
      <c r="A221" s="15">
        <v>220</v>
      </c>
      <c r="B221" s="12" t="s">
        <v>35</v>
      </c>
      <c r="C221" s="12" t="s">
        <v>2762</v>
      </c>
      <c r="D221" s="12" t="s">
        <v>37</v>
      </c>
      <c r="E221" s="12" t="s">
        <v>2763</v>
      </c>
      <c r="F221" s="12" t="s">
        <v>107</v>
      </c>
      <c r="G221" s="12" t="s">
        <v>2764</v>
      </c>
      <c r="H221" s="12" t="s">
        <v>2765</v>
      </c>
      <c r="I221" s="12" t="s">
        <v>2765</v>
      </c>
      <c r="J221" s="12" t="s">
        <v>2765</v>
      </c>
      <c r="K221" s="12" t="s">
        <v>2766</v>
      </c>
      <c r="L221" s="12">
        <v>1540000</v>
      </c>
      <c r="M221" s="12">
        <v>2200000</v>
      </c>
      <c r="N221" s="12" t="s">
        <v>2767</v>
      </c>
      <c r="O221" s="16">
        <v>45618</v>
      </c>
      <c r="P221" s="12" t="s">
        <v>2768</v>
      </c>
      <c r="Q221" s="12" t="s">
        <v>2769</v>
      </c>
      <c r="R221" s="12" t="s">
        <v>146</v>
      </c>
      <c r="S221" s="12" t="s">
        <v>2770</v>
      </c>
      <c r="T221" s="12" t="s">
        <v>2771</v>
      </c>
      <c r="U221" s="12" t="s">
        <v>651</v>
      </c>
      <c r="V221" s="12" t="s">
        <v>2529</v>
      </c>
      <c r="W221" s="12" t="s">
        <v>1053</v>
      </c>
      <c r="X221" s="12" t="s">
        <v>388</v>
      </c>
      <c r="Y221" s="12" t="s">
        <v>2772</v>
      </c>
      <c r="Z221" s="12">
        <v>5</v>
      </c>
      <c r="AA221" s="12" t="s">
        <v>323</v>
      </c>
      <c r="AB221" s="12" t="s">
        <v>2773</v>
      </c>
      <c r="AC221" s="12" t="s">
        <v>2196</v>
      </c>
      <c r="AD221" s="12" t="s">
        <v>299</v>
      </c>
      <c r="AE221" s="12">
        <v>1760000</v>
      </c>
      <c r="AF221" s="13">
        <v>26400</v>
      </c>
      <c r="AG221" s="12"/>
      <c r="AH221" s="12"/>
      <c r="AI221" s="12"/>
      <c r="AJ221" s="12" t="s">
        <v>11600</v>
      </c>
      <c r="AK221" s="13">
        <v>26400</v>
      </c>
      <c r="AL221" s="13"/>
      <c r="AM221" s="14">
        <f t="shared" si="3"/>
        <v>0</v>
      </c>
      <c r="AN221" s="12" t="s">
        <v>12004</v>
      </c>
    </row>
    <row r="222" spans="1:40" x14ac:dyDescent="0.25">
      <c r="A222" s="8">
        <v>221</v>
      </c>
      <c r="B222" s="9" t="s">
        <v>35</v>
      </c>
      <c r="C222" s="9" t="s">
        <v>2774</v>
      </c>
      <c r="D222" s="9" t="s">
        <v>37</v>
      </c>
      <c r="E222" s="9" t="s">
        <v>2775</v>
      </c>
      <c r="F222" s="9" t="s">
        <v>39</v>
      </c>
      <c r="G222" s="9" t="s">
        <v>2776</v>
      </c>
      <c r="H222" s="9" t="s">
        <v>2777</v>
      </c>
      <c r="I222" s="9" t="s">
        <v>2778</v>
      </c>
      <c r="J222" s="9" t="s">
        <v>2777</v>
      </c>
      <c r="K222" s="9" t="s">
        <v>2779</v>
      </c>
      <c r="L222" s="9">
        <v>1812300</v>
      </c>
      <c r="M222" s="9">
        <v>2589000</v>
      </c>
      <c r="N222" s="9" t="s">
        <v>2780</v>
      </c>
      <c r="O222" s="10">
        <v>45618</v>
      </c>
      <c r="P222" s="9" t="s">
        <v>2781</v>
      </c>
      <c r="Q222" s="9" t="s">
        <v>2782</v>
      </c>
      <c r="R222" s="9" t="s">
        <v>47</v>
      </c>
      <c r="S222" s="9" t="s">
        <v>48</v>
      </c>
      <c r="T222" s="9" t="s">
        <v>2783</v>
      </c>
      <c r="U222" s="9" t="s">
        <v>50</v>
      </c>
      <c r="V222" s="9" t="s">
        <v>508</v>
      </c>
      <c r="W222" s="9" t="s">
        <v>132</v>
      </c>
      <c r="X222" s="9" t="s">
        <v>533</v>
      </c>
      <c r="Y222" s="9" t="s">
        <v>2784</v>
      </c>
      <c r="Z222" s="9">
        <v>4</v>
      </c>
      <c r="AA222" s="9" t="s">
        <v>55</v>
      </c>
      <c r="AB222" s="9" t="s">
        <v>2785</v>
      </c>
      <c r="AC222" s="9" t="s">
        <v>2196</v>
      </c>
      <c r="AD222" s="9" t="s">
        <v>58</v>
      </c>
      <c r="AE222" s="9">
        <v>2071200</v>
      </c>
      <c r="AF222" s="11">
        <v>41424</v>
      </c>
      <c r="AG222" s="9"/>
      <c r="AH222" s="9"/>
      <c r="AI222" s="9"/>
      <c r="AJ222" s="12" t="s">
        <v>11601</v>
      </c>
      <c r="AK222" s="13">
        <v>41424</v>
      </c>
      <c r="AL222" s="13"/>
      <c r="AM222" s="14">
        <f t="shared" si="3"/>
        <v>0</v>
      </c>
      <c r="AN222" s="12" t="s">
        <v>12004</v>
      </c>
    </row>
    <row r="223" spans="1:40" x14ac:dyDescent="0.25">
      <c r="A223" s="15">
        <v>222</v>
      </c>
      <c r="B223" s="12" t="s">
        <v>35</v>
      </c>
      <c r="C223" s="12" t="s">
        <v>2786</v>
      </c>
      <c r="D223" s="12" t="s">
        <v>37</v>
      </c>
      <c r="E223" s="12" t="s">
        <v>2787</v>
      </c>
      <c r="F223" s="12" t="s">
        <v>107</v>
      </c>
      <c r="G223" s="12" t="s">
        <v>2788</v>
      </c>
      <c r="H223" s="12" t="s">
        <v>2789</v>
      </c>
      <c r="I223" s="12" t="s">
        <v>2789</v>
      </c>
      <c r="J223" s="12" t="s">
        <v>2789</v>
      </c>
      <c r="K223" s="12" t="s">
        <v>2790</v>
      </c>
      <c r="L223" s="12">
        <v>1787500</v>
      </c>
      <c r="M223" s="12">
        <v>2750000</v>
      </c>
      <c r="N223" s="12" t="s">
        <v>2791</v>
      </c>
      <c r="O223" s="16">
        <v>45618</v>
      </c>
      <c r="P223" s="12" t="s">
        <v>2792</v>
      </c>
      <c r="Q223" s="12" t="s">
        <v>2793</v>
      </c>
      <c r="R223" s="12" t="s">
        <v>146</v>
      </c>
      <c r="S223" s="12" t="s">
        <v>2794</v>
      </c>
      <c r="T223" s="12" t="s">
        <v>2795</v>
      </c>
      <c r="U223" s="12" t="s">
        <v>614</v>
      </c>
      <c r="V223" s="12" t="s">
        <v>2796</v>
      </c>
      <c r="W223" s="12" t="s">
        <v>1053</v>
      </c>
      <c r="X223" s="12" t="s">
        <v>388</v>
      </c>
      <c r="Y223" s="12" t="s">
        <v>2797</v>
      </c>
      <c r="Z223" s="12">
        <v>5</v>
      </c>
      <c r="AA223" s="12" t="s">
        <v>323</v>
      </c>
      <c r="AB223" s="12" t="s">
        <v>2798</v>
      </c>
      <c r="AC223" s="12" t="s">
        <v>2196</v>
      </c>
      <c r="AD223" s="12" t="s">
        <v>299</v>
      </c>
      <c r="AE223" s="12">
        <v>2200000</v>
      </c>
      <c r="AF223" s="13">
        <v>33000</v>
      </c>
      <c r="AG223" s="12"/>
      <c r="AH223" s="12"/>
      <c r="AI223" s="12"/>
      <c r="AJ223" s="12" t="s">
        <v>11602</v>
      </c>
      <c r="AK223" s="13">
        <v>33000</v>
      </c>
      <c r="AL223" s="13"/>
      <c r="AM223" s="14">
        <f t="shared" si="3"/>
        <v>0</v>
      </c>
      <c r="AN223" s="12" t="s">
        <v>12004</v>
      </c>
    </row>
    <row r="224" spans="1:40" x14ac:dyDescent="0.25">
      <c r="A224" s="8">
        <v>223</v>
      </c>
      <c r="B224" s="9" t="s">
        <v>35</v>
      </c>
      <c r="C224" s="9" t="s">
        <v>2799</v>
      </c>
      <c r="D224" s="9" t="s">
        <v>37</v>
      </c>
      <c r="E224" s="9" t="s">
        <v>2800</v>
      </c>
      <c r="F224" s="9" t="s">
        <v>138</v>
      </c>
      <c r="G224" s="9" t="s">
        <v>2801</v>
      </c>
      <c r="H224" s="9" t="s">
        <v>2802</v>
      </c>
      <c r="I224" s="9" t="s">
        <v>2803</v>
      </c>
      <c r="J224" s="9" t="s">
        <v>48</v>
      </c>
      <c r="K224" s="9" t="s">
        <v>2804</v>
      </c>
      <c r="L224" s="9">
        <v>1800000</v>
      </c>
      <c r="M224" s="9">
        <v>3000000</v>
      </c>
      <c r="N224" s="9" t="s">
        <v>2805</v>
      </c>
      <c r="O224" s="10">
        <v>45618</v>
      </c>
      <c r="P224" s="9" t="s">
        <v>2806</v>
      </c>
      <c r="Q224" s="9" t="s">
        <v>2807</v>
      </c>
      <c r="R224" s="9" t="s">
        <v>146</v>
      </c>
      <c r="S224" s="9" t="s">
        <v>2808</v>
      </c>
      <c r="T224" s="9" t="s">
        <v>2809</v>
      </c>
      <c r="U224" s="9" t="s">
        <v>496</v>
      </c>
      <c r="V224" s="9" t="s">
        <v>2796</v>
      </c>
      <c r="W224" s="9" t="s">
        <v>1053</v>
      </c>
      <c r="X224" s="9" t="s">
        <v>388</v>
      </c>
      <c r="Y224" s="9" t="s">
        <v>2810</v>
      </c>
      <c r="Z224" s="9">
        <v>5</v>
      </c>
      <c r="AA224" s="9" t="s">
        <v>323</v>
      </c>
      <c r="AB224" s="9" t="s">
        <v>2811</v>
      </c>
      <c r="AC224" s="9" t="s">
        <v>2529</v>
      </c>
      <c r="AD224" s="9" t="s">
        <v>299</v>
      </c>
      <c r="AE224" s="9">
        <v>2400000</v>
      </c>
      <c r="AF224" s="11">
        <v>36000</v>
      </c>
      <c r="AG224" s="9"/>
      <c r="AH224" s="9"/>
      <c r="AI224" s="9"/>
      <c r="AJ224" s="12" t="s">
        <v>11603</v>
      </c>
      <c r="AK224" s="13">
        <v>36000</v>
      </c>
      <c r="AL224" s="13"/>
      <c r="AM224" s="14">
        <f t="shared" si="3"/>
        <v>0</v>
      </c>
      <c r="AN224" s="12" t="s">
        <v>12004</v>
      </c>
    </row>
    <row r="225" spans="1:40" x14ac:dyDescent="0.25">
      <c r="A225" s="15">
        <v>224</v>
      </c>
      <c r="B225" s="12" t="s">
        <v>35</v>
      </c>
      <c r="C225" s="12" t="s">
        <v>2812</v>
      </c>
      <c r="D225" s="12" t="s">
        <v>37</v>
      </c>
      <c r="E225" s="12" t="s">
        <v>2813</v>
      </c>
      <c r="F225" s="12" t="s">
        <v>245</v>
      </c>
      <c r="G225" s="12" t="s">
        <v>2814</v>
      </c>
      <c r="H225" s="12" t="s">
        <v>2815</v>
      </c>
      <c r="I225" s="12" t="s">
        <v>48</v>
      </c>
      <c r="J225" s="12" t="s">
        <v>2816</v>
      </c>
      <c r="K225" s="12" t="s">
        <v>2817</v>
      </c>
      <c r="L225" s="12">
        <v>2034000</v>
      </c>
      <c r="M225" s="12">
        <v>3390000</v>
      </c>
      <c r="N225" s="12" t="s">
        <v>2818</v>
      </c>
      <c r="O225" s="16">
        <v>45618</v>
      </c>
      <c r="P225" s="12" t="s">
        <v>2819</v>
      </c>
      <c r="Q225" s="12" t="s">
        <v>2820</v>
      </c>
      <c r="R225" s="12" t="s">
        <v>47</v>
      </c>
      <c r="S225" s="12" t="s">
        <v>48</v>
      </c>
      <c r="T225" s="12" t="s">
        <v>2821</v>
      </c>
      <c r="U225" s="12" t="s">
        <v>50</v>
      </c>
      <c r="V225" s="12" t="s">
        <v>2822</v>
      </c>
      <c r="W225" s="12" t="s">
        <v>1053</v>
      </c>
      <c r="X225" s="12" t="s">
        <v>2210</v>
      </c>
      <c r="Y225" s="12" t="s">
        <v>2823</v>
      </c>
      <c r="Z225" s="12">
        <v>6</v>
      </c>
      <c r="AA225" s="12" t="s">
        <v>55</v>
      </c>
      <c r="AB225" s="12" t="s">
        <v>2824</v>
      </c>
      <c r="AC225" s="12" t="s">
        <v>2196</v>
      </c>
      <c r="AD225" s="12" t="s">
        <v>58</v>
      </c>
      <c r="AE225" s="12">
        <v>2712000</v>
      </c>
      <c r="AF225" s="13">
        <v>54240</v>
      </c>
      <c r="AG225" s="12"/>
      <c r="AH225" s="12"/>
      <c r="AI225" s="12"/>
      <c r="AJ225" s="12" t="s">
        <v>11604</v>
      </c>
      <c r="AK225" s="13">
        <v>54240</v>
      </c>
      <c r="AL225" s="13"/>
      <c r="AM225" s="14">
        <f t="shared" si="3"/>
        <v>0</v>
      </c>
      <c r="AN225" s="12" t="s">
        <v>12004</v>
      </c>
    </row>
    <row r="226" spans="1:40" x14ac:dyDescent="0.25">
      <c r="A226" s="8">
        <v>225</v>
      </c>
      <c r="B226" s="9" t="s">
        <v>35</v>
      </c>
      <c r="C226" s="9" t="s">
        <v>2825</v>
      </c>
      <c r="D226" s="9" t="s">
        <v>37</v>
      </c>
      <c r="E226" s="9" t="s">
        <v>2826</v>
      </c>
      <c r="F226" s="9" t="s">
        <v>138</v>
      </c>
      <c r="G226" s="9" t="s">
        <v>2827</v>
      </c>
      <c r="H226" s="9" t="s">
        <v>2828</v>
      </c>
      <c r="I226" s="9" t="s">
        <v>2829</v>
      </c>
      <c r="J226" s="9" t="s">
        <v>141</v>
      </c>
      <c r="K226" s="9" t="s">
        <v>2830</v>
      </c>
      <c r="L226" s="9">
        <v>2275000</v>
      </c>
      <c r="M226" s="9">
        <v>3500000</v>
      </c>
      <c r="N226" s="9" t="s">
        <v>2831</v>
      </c>
      <c r="O226" s="10">
        <v>45618</v>
      </c>
      <c r="P226" s="9" t="s">
        <v>2832</v>
      </c>
      <c r="Q226" s="9" t="s">
        <v>2833</v>
      </c>
      <c r="R226" s="9" t="s">
        <v>146</v>
      </c>
      <c r="S226" s="9" t="s">
        <v>2834</v>
      </c>
      <c r="T226" s="9" t="s">
        <v>2835</v>
      </c>
      <c r="U226" s="9" t="s">
        <v>335</v>
      </c>
      <c r="V226" s="9" t="s">
        <v>2836</v>
      </c>
      <c r="W226" s="9" t="s">
        <v>132</v>
      </c>
      <c r="X226" s="9" t="s">
        <v>133</v>
      </c>
      <c r="Y226" s="9" t="s">
        <v>2837</v>
      </c>
      <c r="Z226" s="9">
        <v>5</v>
      </c>
      <c r="AA226" s="9" t="s">
        <v>323</v>
      </c>
      <c r="AB226" s="9" t="s">
        <v>2838</v>
      </c>
      <c r="AC226" s="9" t="s">
        <v>2796</v>
      </c>
      <c r="AD226" s="9" t="s">
        <v>299</v>
      </c>
      <c r="AE226" s="9">
        <v>2800000</v>
      </c>
      <c r="AF226" s="11">
        <v>42000</v>
      </c>
      <c r="AG226" s="9"/>
      <c r="AH226" s="9"/>
      <c r="AI226" s="9"/>
      <c r="AJ226" s="12" t="s">
        <v>11605</v>
      </c>
      <c r="AK226" s="13">
        <v>42000</v>
      </c>
      <c r="AL226" s="13"/>
      <c r="AM226" s="14">
        <f t="shared" si="3"/>
        <v>0</v>
      </c>
      <c r="AN226" s="12" t="s">
        <v>12004</v>
      </c>
    </row>
    <row r="227" spans="1:40" x14ac:dyDescent="0.25">
      <c r="A227" s="15">
        <v>226</v>
      </c>
      <c r="B227" s="12" t="s">
        <v>35</v>
      </c>
      <c r="C227" s="12" t="s">
        <v>2839</v>
      </c>
      <c r="D227" s="12" t="s">
        <v>37</v>
      </c>
      <c r="E227" s="12" t="s">
        <v>2840</v>
      </c>
      <c r="F227" s="12" t="s">
        <v>245</v>
      </c>
      <c r="G227" s="12" t="s">
        <v>2841</v>
      </c>
      <c r="H227" s="12" t="s">
        <v>2842</v>
      </c>
      <c r="I227" s="12" t="s">
        <v>48</v>
      </c>
      <c r="J227" s="12" t="s">
        <v>2843</v>
      </c>
      <c r="K227" s="12" t="s">
        <v>2844</v>
      </c>
      <c r="L227" s="12">
        <v>2346400</v>
      </c>
      <c r="M227" s="12">
        <v>2933000</v>
      </c>
      <c r="N227" s="12" t="s">
        <v>2845</v>
      </c>
      <c r="O227" s="16">
        <v>45618</v>
      </c>
      <c r="P227" s="12" t="s">
        <v>2846</v>
      </c>
      <c r="Q227" s="12" t="s">
        <v>2847</v>
      </c>
      <c r="R227" s="12" t="s">
        <v>47</v>
      </c>
      <c r="S227" s="12" t="s">
        <v>48</v>
      </c>
      <c r="T227" s="12" t="s">
        <v>1826</v>
      </c>
      <c r="U227" s="12" t="s">
        <v>50</v>
      </c>
      <c r="V227" s="12" t="s">
        <v>2848</v>
      </c>
      <c r="W227" s="12" t="s">
        <v>132</v>
      </c>
      <c r="X227" s="12" t="s">
        <v>133</v>
      </c>
      <c r="Y227" s="12" t="s">
        <v>2849</v>
      </c>
      <c r="Z227" s="12">
        <v>5</v>
      </c>
      <c r="AA227" s="12" t="s">
        <v>55</v>
      </c>
      <c r="AB227" s="12" t="s">
        <v>2850</v>
      </c>
      <c r="AC227" s="12" t="s">
        <v>2529</v>
      </c>
      <c r="AD227" s="12" t="s">
        <v>58</v>
      </c>
      <c r="AE227" s="12">
        <v>2346400</v>
      </c>
      <c r="AF227" s="13">
        <v>46928</v>
      </c>
      <c r="AG227" s="12"/>
      <c r="AH227" s="12"/>
      <c r="AI227" s="12"/>
      <c r="AJ227" s="12" t="s">
        <v>11606</v>
      </c>
      <c r="AK227" s="13">
        <v>46928</v>
      </c>
      <c r="AL227" s="13"/>
      <c r="AM227" s="14">
        <f t="shared" si="3"/>
        <v>0</v>
      </c>
      <c r="AN227" s="12" t="s">
        <v>12004</v>
      </c>
    </row>
    <row r="228" spans="1:40" x14ac:dyDescent="0.25">
      <c r="A228" s="8">
        <v>227</v>
      </c>
      <c r="B228" s="9" t="s">
        <v>35</v>
      </c>
      <c r="C228" s="9" t="s">
        <v>2851</v>
      </c>
      <c r="D228" s="9" t="s">
        <v>37</v>
      </c>
      <c r="E228" s="9" t="s">
        <v>2852</v>
      </c>
      <c r="F228" s="9" t="s">
        <v>138</v>
      </c>
      <c r="G228" s="9" t="s">
        <v>2853</v>
      </c>
      <c r="H228" s="9" t="s">
        <v>2854</v>
      </c>
      <c r="I228" s="9" t="s">
        <v>2855</v>
      </c>
      <c r="J228" s="9" t="s">
        <v>141</v>
      </c>
      <c r="K228" s="9" t="s">
        <v>2856</v>
      </c>
      <c r="L228" s="9">
        <v>2729300</v>
      </c>
      <c r="M228" s="9">
        <v>3899000</v>
      </c>
      <c r="N228" s="9" t="s">
        <v>2857</v>
      </c>
      <c r="O228" s="10">
        <v>45618</v>
      </c>
      <c r="P228" s="9" t="s">
        <v>2858</v>
      </c>
      <c r="Q228" s="9" t="s">
        <v>2859</v>
      </c>
      <c r="R228" s="9" t="s">
        <v>47</v>
      </c>
      <c r="S228" s="9" t="s">
        <v>48</v>
      </c>
      <c r="T228" s="9" t="s">
        <v>2860</v>
      </c>
      <c r="U228" s="9" t="s">
        <v>50</v>
      </c>
      <c r="V228" s="9" t="s">
        <v>2739</v>
      </c>
      <c r="W228" s="9" t="s">
        <v>1053</v>
      </c>
      <c r="X228" s="9" t="s">
        <v>388</v>
      </c>
      <c r="Y228" s="9" t="s">
        <v>2861</v>
      </c>
      <c r="Z228" s="9">
        <v>5</v>
      </c>
      <c r="AA228" s="9" t="s">
        <v>55</v>
      </c>
      <c r="AB228" s="9" t="s">
        <v>2862</v>
      </c>
      <c r="AC228" s="9" t="s">
        <v>1627</v>
      </c>
      <c r="AD228" s="9" t="s">
        <v>58</v>
      </c>
      <c r="AE228" s="9">
        <v>3119200</v>
      </c>
      <c r="AF228" s="11">
        <v>62384</v>
      </c>
      <c r="AG228" s="9"/>
      <c r="AH228" s="9"/>
      <c r="AI228" s="9"/>
      <c r="AJ228" s="12" t="s">
        <v>11607</v>
      </c>
      <c r="AK228" s="13">
        <v>62384</v>
      </c>
      <c r="AL228" s="13"/>
      <c r="AM228" s="14">
        <f t="shared" si="3"/>
        <v>0</v>
      </c>
      <c r="AN228" s="12" t="s">
        <v>12004</v>
      </c>
    </row>
    <row r="229" spans="1:40" x14ac:dyDescent="0.25">
      <c r="A229" s="15">
        <v>228</v>
      </c>
      <c r="B229" s="12" t="s">
        <v>35</v>
      </c>
      <c r="C229" s="12" t="s">
        <v>2863</v>
      </c>
      <c r="D229" s="12" t="s">
        <v>37</v>
      </c>
      <c r="E229" s="12" t="s">
        <v>2864</v>
      </c>
      <c r="F229" s="12" t="s">
        <v>39</v>
      </c>
      <c r="G229" s="12" t="s">
        <v>2865</v>
      </c>
      <c r="H229" s="12" t="s">
        <v>48</v>
      </c>
      <c r="I229" s="12" t="s">
        <v>2866</v>
      </c>
      <c r="J229" s="12" t="s">
        <v>48</v>
      </c>
      <c r="K229" s="12" t="s">
        <v>2867</v>
      </c>
      <c r="L229" s="12">
        <v>3227000</v>
      </c>
      <c r="M229" s="12">
        <v>4610000</v>
      </c>
      <c r="N229" s="12" t="s">
        <v>2868</v>
      </c>
      <c r="O229" s="16">
        <v>45618</v>
      </c>
      <c r="P229" s="12" t="s">
        <v>2869</v>
      </c>
      <c r="Q229" s="12" t="s">
        <v>2870</v>
      </c>
      <c r="R229" s="12" t="s">
        <v>47</v>
      </c>
      <c r="S229" s="12" t="s">
        <v>48</v>
      </c>
      <c r="T229" s="12" t="s">
        <v>2871</v>
      </c>
      <c r="U229" s="12" t="s">
        <v>50</v>
      </c>
      <c r="V229" s="12" t="s">
        <v>211</v>
      </c>
      <c r="W229" s="12" t="s">
        <v>132</v>
      </c>
      <c r="X229" s="12" t="s">
        <v>133</v>
      </c>
      <c r="Y229" s="12" t="s">
        <v>2872</v>
      </c>
      <c r="Z229" s="12">
        <v>5</v>
      </c>
      <c r="AA229" s="12" t="s">
        <v>55</v>
      </c>
      <c r="AB229" s="12" t="s">
        <v>2873</v>
      </c>
      <c r="AC229" s="12" t="s">
        <v>2196</v>
      </c>
      <c r="AD229" s="12" t="s">
        <v>58</v>
      </c>
      <c r="AE229" s="12">
        <v>3918500</v>
      </c>
      <c r="AF229" s="13">
        <v>78370</v>
      </c>
      <c r="AG229" s="12"/>
      <c r="AH229" s="12"/>
      <c r="AI229" s="12"/>
      <c r="AJ229" s="12" t="s">
        <v>11608</v>
      </c>
      <c r="AK229" s="13">
        <v>78370</v>
      </c>
      <c r="AL229" s="13"/>
      <c r="AM229" s="14">
        <f t="shared" si="3"/>
        <v>0</v>
      </c>
      <c r="AN229" s="12" t="s">
        <v>12004</v>
      </c>
    </row>
    <row r="230" spans="1:40" x14ac:dyDescent="0.25">
      <c r="A230" s="8">
        <v>229</v>
      </c>
      <c r="B230" s="9" t="s">
        <v>35</v>
      </c>
      <c r="C230" s="9" t="s">
        <v>2874</v>
      </c>
      <c r="D230" s="9" t="s">
        <v>37</v>
      </c>
      <c r="E230" s="9" t="s">
        <v>2875</v>
      </c>
      <c r="F230" s="9" t="s">
        <v>138</v>
      </c>
      <c r="G230" s="9" t="s">
        <v>2876</v>
      </c>
      <c r="H230" s="9" t="s">
        <v>2877</v>
      </c>
      <c r="I230" s="9" t="s">
        <v>2877</v>
      </c>
      <c r="J230" s="9" t="s">
        <v>2878</v>
      </c>
      <c r="K230" s="9" t="s">
        <v>2879</v>
      </c>
      <c r="L230" s="9">
        <v>5952700</v>
      </c>
      <c r="M230" s="9">
        <v>9158000</v>
      </c>
      <c r="N230" s="9" t="s">
        <v>2880</v>
      </c>
      <c r="O230" s="10">
        <v>45618</v>
      </c>
      <c r="P230" s="9" t="s">
        <v>2881</v>
      </c>
      <c r="Q230" s="9" t="s">
        <v>2882</v>
      </c>
      <c r="R230" s="9" t="s">
        <v>47</v>
      </c>
      <c r="S230" s="9" t="s">
        <v>48</v>
      </c>
      <c r="T230" s="9" t="s">
        <v>1696</v>
      </c>
      <c r="U230" s="9" t="s">
        <v>98</v>
      </c>
      <c r="V230" s="9" t="s">
        <v>2883</v>
      </c>
      <c r="W230" s="9" t="s">
        <v>456</v>
      </c>
      <c r="X230" s="9" t="s">
        <v>457</v>
      </c>
      <c r="Y230" s="9" t="s">
        <v>2884</v>
      </c>
      <c r="Z230" s="9">
        <v>5</v>
      </c>
      <c r="AA230" s="9" t="s">
        <v>55</v>
      </c>
      <c r="AB230" s="9" t="s">
        <v>2885</v>
      </c>
      <c r="AC230" s="9" t="s">
        <v>431</v>
      </c>
      <c r="AD230" s="9" t="s">
        <v>299</v>
      </c>
      <c r="AE230" s="9">
        <v>6868500</v>
      </c>
      <c r="AF230" s="11">
        <v>103028</v>
      </c>
      <c r="AG230" s="9"/>
      <c r="AH230" s="9"/>
      <c r="AI230" s="9"/>
      <c r="AJ230" s="12" t="s">
        <v>11609</v>
      </c>
      <c r="AK230" s="13">
        <v>103028</v>
      </c>
      <c r="AL230" s="13"/>
      <c r="AM230" s="14">
        <f t="shared" si="3"/>
        <v>0</v>
      </c>
      <c r="AN230" s="12" t="s">
        <v>12004</v>
      </c>
    </row>
    <row r="231" spans="1:40" x14ac:dyDescent="0.25">
      <c r="A231" s="15">
        <v>230</v>
      </c>
      <c r="B231" s="12" t="s">
        <v>35</v>
      </c>
      <c r="C231" s="12" t="s">
        <v>2886</v>
      </c>
      <c r="D231" s="12" t="s">
        <v>37</v>
      </c>
      <c r="E231" s="12" t="s">
        <v>2887</v>
      </c>
      <c r="F231" s="12" t="s">
        <v>138</v>
      </c>
      <c r="G231" s="12" t="s">
        <v>2888</v>
      </c>
      <c r="H231" s="12" t="s">
        <v>2889</v>
      </c>
      <c r="I231" s="12" t="s">
        <v>2889</v>
      </c>
      <c r="J231" s="12" t="s">
        <v>141</v>
      </c>
      <c r="K231" s="12" t="s">
        <v>2890</v>
      </c>
      <c r="L231" s="12">
        <v>560000</v>
      </c>
      <c r="M231" s="12">
        <v>800000</v>
      </c>
      <c r="N231" s="12" t="s">
        <v>2891</v>
      </c>
      <c r="O231" s="16">
        <v>45618</v>
      </c>
      <c r="P231" s="12" t="s">
        <v>2892</v>
      </c>
      <c r="Q231" s="12" t="s">
        <v>2893</v>
      </c>
      <c r="R231" s="12" t="s">
        <v>146</v>
      </c>
      <c r="S231" s="12" t="s">
        <v>2894</v>
      </c>
      <c r="T231" s="12" t="s">
        <v>2895</v>
      </c>
      <c r="U231" s="12" t="s">
        <v>335</v>
      </c>
      <c r="V231" s="12" t="s">
        <v>2671</v>
      </c>
      <c r="W231" s="12" t="s">
        <v>1922</v>
      </c>
      <c r="X231" s="12" t="s">
        <v>2210</v>
      </c>
      <c r="Y231" s="12" t="s">
        <v>2896</v>
      </c>
      <c r="Z231" s="12">
        <v>5</v>
      </c>
      <c r="AA231" s="12" t="s">
        <v>227</v>
      </c>
      <c r="AB231" s="12" t="s">
        <v>2897</v>
      </c>
      <c r="AC231" s="12" t="s">
        <v>2462</v>
      </c>
      <c r="AD231" s="12" t="s">
        <v>86</v>
      </c>
      <c r="AE231" s="12">
        <v>680000</v>
      </c>
      <c r="AF231" s="13">
        <v>11900</v>
      </c>
      <c r="AG231" s="12"/>
      <c r="AH231" s="12"/>
      <c r="AI231" s="12"/>
      <c r="AJ231" s="12" t="s">
        <v>11610</v>
      </c>
      <c r="AK231" s="13">
        <v>11900</v>
      </c>
      <c r="AL231" s="13"/>
      <c r="AM231" s="14">
        <f t="shared" si="3"/>
        <v>0</v>
      </c>
      <c r="AN231" s="12" t="s">
        <v>12004</v>
      </c>
    </row>
    <row r="232" spans="1:40" x14ac:dyDescent="0.25">
      <c r="A232" s="8">
        <v>231</v>
      </c>
      <c r="B232" s="9" t="s">
        <v>35</v>
      </c>
      <c r="C232" s="9" t="s">
        <v>2898</v>
      </c>
      <c r="D232" s="9" t="s">
        <v>37</v>
      </c>
      <c r="E232" s="9" t="s">
        <v>2899</v>
      </c>
      <c r="F232" s="9" t="s">
        <v>138</v>
      </c>
      <c r="G232" s="9" t="s">
        <v>2900</v>
      </c>
      <c r="H232" s="9" t="s">
        <v>2901</v>
      </c>
      <c r="I232" s="9" t="s">
        <v>2902</v>
      </c>
      <c r="J232" s="9" t="s">
        <v>2901</v>
      </c>
      <c r="K232" s="9" t="s">
        <v>2903</v>
      </c>
      <c r="L232" s="9">
        <v>1365700</v>
      </c>
      <c r="M232" s="9">
        <v>1951000</v>
      </c>
      <c r="N232" s="9" t="s">
        <v>2904</v>
      </c>
      <c r="O232" s="10">
        <v>45618</v>
      </c>
      <c r="P232" s="9" t="s">
        <v>2905</v>
      </c>
      <c r="Q232" s="9" t="s">
        <v>2906</v>
      </c>
      <c r="R232" s="9" t="s">
        <v>47</v>
      </c>
      <c r="S232" s="9" t="s">
        <v>48</v>
      </c>
      <c r="T232" s="9" t="s">
        <v>194</v>
      </c>
      <c r="U232" s="9" t="s">
        <v>148</v>
      </c>
      <c r="V232" s="9" t="s">
        <v>2907</v>
      </c>
      <c r="W232" s="9" t="s">
        <v>940</v>
      </c>
      <c r="X232" s="9" t="s">
        <v>2517</v>
      </c>
      <c r="Y232" s="9" t="s">
        <v>2908</v>
      </c>
      <c r="Z232" s="9">
        <v>7</v>
      </c>
      <c r="AA232" s="9" t="s">
        <v>152</v>
      </c>
      <c r="AB232" s="9" t="s">
        <v>2909</v>
      </c>
      <c r="AC232" s="9" t="s">
        <v>2465</v>
      </c>
      <c r="AD232" s="9" t="s">
        <v>299</v>
      </c>
      <c r="AE232" s="9">
        <v>1658350</v>
      </c>
      <c r="AF232" s="11">
        <v>24875</v>
      </c>
      <c r="AG232" s="9"/>
      <c r="AH232" s="9"/>
      <c r="AI232" s="9"/>
      <c r="AJ232" s="12" t="s">
        <v>11611</v>
      </c>
      <c r="AK232" s="13">
        <v>24875</v>
      </c>
      <c r="AL232" s="13"/>
      <c r="AM232" s="14">
        <f t="shared" si="3"/>
        <v>0</v>
      </c>
      <c r="AN232" s="12" t="s">
        <v>12004</v>
      </c>
    </row>
    <row r="233" spans="1:40" x14ac:dyDescent="0.25">
      <c r="A233" s="15">
        <v>232</v>
      </c>
      <c r="B233" s="12" t="s">
        <v>35</v>
      </c>
      <c r="C233" s="12" t="s">
        <v>2910</v>
      </c>
      <c r="D233" s="12" t="s">
        <v>37</v>
      </c>
      <c r="E233" s="12" t="s">
        <v>2911</v>
      </c>
      <c r="F233" s="12" t="s">
        <v>107</v>
      </c>
      <c r="G233" s="12" t="s">
        <v>2912</v>
      </c>
      <c r="H233" s="12" t="s">
        <v>2913</v>
      </c>
      <c r="I233" s="12" t="s">
        <v>2913</v>
      </c>
      <c r="J233" s="12" t="s">
        <v>2913</v>
      </c>
      <c r="K233" s="12" t="s">
        <v>2914</v>
      </c>
      <c r="L233" s="12">
        <v>1621800</v>
      </c>
      <c r="M233" s="12">
        <v>2703000</v>
      </c>
      <c r="N233" s="12" t="s">
        <v>2915</v>
      </c>
      <c r="O233" s="16">
        <v>45618</v>
      </c>
      <c r="P233" s="12" t="s">
        <v>2916</v>
      </c>
      <c r="Q233" s="12" t="s">
        <v>2917</v>
      </c>
      <c r="R233" s="12" t="s">
        <v>47</v>
      </c>
      <c r="S233" s="12" t="s">
        <v>48</v>
      </c>
      <c r="T233" s="12" t="s">
        <v>2918</v>
      </c>
      <c r="U233" s="12" t="s">
        <v>50</v>
      </c>
      <c r="V233" s="12" t="s">
        <v>2031</v>
      </c>
      <c r="W233" s="12" t="s">
        <v>1053</v>
      </c>
      <c r="X233" s="12" t="s">
        <v>388</v>
      </c>
      <c r="Y233" s="12" t="s">
        <v>2919</v>
      </c>
      <c r="Z233" s="12">
        <v>5</v>
      </c>
      <c r="AA233" s="12" t="s">
        <v>55</v>
      </c>
      <c r="AB233" s="12" t="s">
        <v>2920</v>
      </c>
      <c r="AC233" s="12" t="s">
        <v>2529</v>
      </c>
      <c r="AD233" s="12" t="s">
        <v>58</v>
      </c>
      <c r="AE233" s="12">
        <v>2162400</v>
      </c>
      <c r="AF233" s="13">
        <v>43248</v>
      </c>
      <c r="AG233" s="12"/>
      <c r="AH233" s="12"/>
      <c r="AI233" s="12"/>
      <c r="AJ233" s="12" t="s">
        <v>11612</v>
      </c>
      <c r="AK233" s="13">
        <v>43248</v>
      </c>
      <c r="AL233" s="13"/>
      <c r="AM233" s="14">
        <f t="shared" si="3"/>
        <v>0</v>
      </c>
      <c r="AN233" s="12" t="s">
        <v>12004</v>
      </c>
    </row>
    <row r="234" spans="1:40" x14ac:dyDescent="0.25">
      <c r="A234" s="8">
        <v>233</v>
      </c>
      <c r="B234" s="9" t="s">
        <v>35</v>
      </c>
      <c r="C234" s="9" t="s">
        <v>2921</v>
      </c>
      <c r="D234" s="9" t="s">
        <v>37</v>
      </c>
      <c r="E234" s="9" t="s">
        <v>2922</v>
      </c>
      <c r="F234" s="9" t="s">
        <v>107</v>
      </c>
      <c r="G234" s="9" t="s">
        <v>2923</v>
      </c>
      <c r="H234" s="9" t="s">
        <v>2924</v>
      </c>
      <c r="I234" s="9" t="s">
        <v>2925</v>
      </c>
      <c r="J234" s="9" t="s">
        <v>2926</v>
      </c>
      <c r="K234" s="9" t="s">
        <v>2927</v>
      </c>
      <c r="L234" s="9">
        <v>2469500</v>
      </c>
      <c r="M234" s="9">
        <v>4939000</v>
      </c>
      <c r="N234" s="9" t="s">
        <v>2928</v>
      </c>
      <c r="O234" s="9" t="s">
        <v>2929</v>
      </c>
      <c r="P234" s="9" t="s">
        <v>2930</v>
      </c>
      <c r="Q234" s="9" t="s">
        <v>2931</v>
      </c>
      <c r="R234" s="9" t="s">
        <v>47</v>
      </c>
      <c r="S234" s="9" t="s">
        <v>48</v>
      </c>
      <c r="T234" s="9" t="s">
        <v>2932</v>
      </c>
      <c r="U234" s="9" t="s">
        <v>386</v>
      </c>
      <c r="V234" s="10">
        <v>45182</v>
      </c>
      <c r="W234" s="9" t="s">
        <v>387</v>
      </c>
      <c r="X234" s="9" t="s">
        <v>388</v>
      </c>
      <c r="Y234" s="9" t="s">
        <v>2933</v>
      </c>
      <c r="Z234" s="9">
        <v>3</v>
      </c>
      <c r="AA234" s="9" t="s">
        <v>55</v>
      </c>
      <c r="AB234" s="9" t="s">
        <v>2934</v>
      </c>
      <c r="AC234" s="9" t="s">
        <v>2935</v>
      </c>
      <c r="AD234" s="9" t="s">
        <v>58</v>
      </c>
      <c r="AE234" s="9">
        <v>4445100</v>
      </c>
      <c r="AF234" s="11">
        <v>88902</v>
      </c>
      <c r="AG234" s="9"/>
      <c r="AH234" s="9"/>
      <c r="AI234" s="9"/>
      <c r="AJ234" s="12" t="s">
        <v>11613</v>
      </c>
      <c r="AK234" s="13">
        <v>88902</v>
      </c>
      <c r="AL234" s="13"/>
      <c r="AM234" s="14">
        <f t="shared" si="3"/>
        <v>0</v>
      </c>
      <c r="AN234" s="12" t="s">
        <v>12004</v>
      </c>
    </row>
    <row r="235" spans="1:40" x14ac:dyDescent="0.25">
      <c r="A235" s="15">
        <v>234</v>
      </c>
      <c r="B235" s="12" t="s">
        <v>35</v>
      </c>
      <c r="C235" s="12" t="s">
        <v>2936</v>
      </c>
      <c r="D235" s="12" t="s">
        <v>37</v>
      </c>
      <c r="E235" s="12" t="s">
        <v>2937</v>
      </c>
      <c r="F235" s="12" t="s">
        <v>138</v>
      </c>
      <c r="G235" s="12" t="s">
        <v>2938</v>
      </c>
      <c r="H235" s="12" t="s">
        <v>2939</v>
      </c>
      <c r="I235" s="12" t="s">
        <v>2939</v>
      </c>
      <c r="J235" s="12" t="s">
        <v>2939</v>
      </c>
      <c r="K235" s="12" t="s">
        <v>2940</v>
      </c>
      <c r="L235" s="12">
        <v>1959300</v>
      </c>
      <c r="M235" s="12">
        <v>2799000</v>
      </c>
      <c r="N235" s="12" t="s">
        <v>2941</v>
      </c>
      <c r="O235" s="12" t="s">
        <v>2929</v>
      </c>
      <c r="P235" s="12" t="s">
        <v>2942</v>
      </c>
      <c r="Q235" s="12" t="s">
        <v>2943</v>
      </c>
      <c r="R235" s="12" t="s">
        <v>47</v>
      </c>
      <c r="S235" s="12" t="s">
        <v>48</v>
      </c>
      <c r="T235" s="12" t="s">
        <v>2180</v>
      </c>
      <c r="U235" s="12" t="s">
        <v>386</v>
      </c>
      <c r="V235" s="16">
        <v>45255</v>
      </c>
      <c r="W235" s="12" t="s">
        <v>387</v>
      </c>
      <c r="X235" s="12" t="s">
        <v>1628</v>
      </c>
      <c r="Y235" s="12" t="s">
        <v>2944</v>
      </c>
      <c r="Z235" s="12">
        <v>5</v>
      </c>
      <c r="AA235" s="12" t="s">
        <v>55</v>
      </c>
      <c r="AB235" s="12" t="s">
        <v>2945</v>
      </c>
      <c r="AC235" s="12" t="s">
        <v>2946</v>
      </c>
      <c r="AD235" s="12" t="s">
        <v>86</v>
      </c>
      <c r="AE235" s="12">
        <v>2519100</v>
      </c>
      <c r="AF235" s="13">
        <v>44084</v>
      </c>
      <c r="AG235" s="12"/>
      <c r="AH235" s="12"/>
      <c r="AI235" s="12"/>
      <c r="AJ235" s="12" t="s">
        <v>11614</v>
      </c>
      <c r="AK235" s="13">
        <v>44084</v>
      </c>
      <c r="AL235" s="13"/>
      <c r="AM235" s="14">
        <f t="shared" si="3"/>
        <v>0</v>
      </c>
      <c r="AN235" s="12" t="s">
        <v>12004</v>
      </c>
    </row>
    <row r="236" spans="1:40" x14ac:dyDescent="0.25">
      <c r="A236" s="8">
        <v>235</v>
      </c>
      <c r="B236" s="9" t="s">
        <v>35</v>
      </c>
      <c r="C236" s="9" t="s">
        <v>2947</v>
      </c>
      <c r="D236" s="9" t="s">
        <v>37</v>
      </c>
      <c r="E236" s="9" t="s">
        <v>2948</v>
      </c>
      <c r="F236" s="9" t="s">
        <v>107</v>
      </c>
      <c r="G236" s="9" t="s">
        <v>2949</v>
      </c>
      <c r="H236" s="9" t="s">
        <v>2950</v>
      </c>
      <c r="I236" s="9" t="s">
        <v>2950</v>
      </c>
      <c r="J236" s="9" t="s">
        <v>2951</v>
      </c>
      <c r="K236" s="9" t="s">
        <v>2952</v>
      </c>
      <c r="L236" s="9">
        <v>1500000</v>
      </c>
      <c r="M236" s="9">
        <v>2000000</v>
      </c>
      <c r="N236" s="9" t="s">
        <v>2953</v>
      </c>
      <c r="O236" s="10">
        <v>45619</v>
      </c>
      <c r="P236" s="9" t="s">
        <v>2954</v>
      </c>
      <c r="Q236" s="9" t="s">
        <v>2955</v>
      </c>
      <c r="R236" s="9" t="s">
        <v>146</v>
      </c>
      <c r="S236" s="9" t="s">
        <v>2956</v>
      </c>
      <c r="T236" s="9" t="s">
        <v>253</v>
      </c>
      <c r="U236" s="9" t="s">
        <v>651</v>
      </c>
      <c r="V236" s="9" t="s">
        <v>2335</v>
      </c>
      <c r="W236" s="9" t="s">
        <v>456</v>
      </c>
      <c r="X236" s="9" t="s">
        <v>457</v>
      </c>
      <c r="Y236" s="9" t="s">
        <v>2957</v>
      </c>
      <c r="Z236" s="9">
        <v>5</v>
      </c>
      <c r="AA236" s="9" t="s">
        <v>227</v>
      </c>
      <c r="AB236" s="9" t="s">
        <v>2958</v>
      </c>
      <c r="AC236" s="9" t="s">
        <v>2223</v>
      </c>
      <c r="AD236" s="9" t="s">
        <v>58</v>
      </c>
      <c r="AE236" s="9">
        <v>1500000</v>
      </c>
      <c r="AF236" s="11">
        <v>30000</v>
      </c>
      <c r="AG236" s="9"/>
      <c r="AH236" s="9"/>
      <c r="AI236" s="9"/>
      <c r="AJ236" s="12" t="s">
        <v>11615</v>
      </c>
      <c r="AK236" s="13">
        <v>30000</v>
      </c>
      <c r="AL236" s="13"/>
      <c r="AM236" s="14">
        <f t="shared" si="3"/>
        <v>0</v>
      </c>
      <c r="AN236" s="12" t="s">
        <v>12004</v>
      </c>
    </row>
    <row r="237" spans="1:40" x14ac:dyDescent="0.25">
      <c r="A237" s="15">
        <v>236</v>
      </c>
      <c r="B237" s="12" t="s">
        <v>35</v>
      </c>
      <c r="C237" s="12" t="s">
        <v>2959</v>
      </c>
      <c r="D237" s="12" t="s">
        <v>37</v>
      </c>
      <c r="E237" s="12" t="s">
        <v>2960</v>
      </c>
      <c r="F237" s="12" t="s">
        <v>138</v>
      </c>
      <c r="G237" s="12" t="s">
        <v>2961</v>
      </c>
      <c r="H237" s="12" t="s">
        <v>48</v>
      </c>
      <c r="I237" s="12" t="s">
        <v>2962</v>
      </c>
      <c r="J237" s="12" t="s">
        <v>48</v>
      </c>
      <c r="K237" s="12" t="s">
        <v>2963</v>
      </c>
      <c r="L237" s="12">
        <v>1260000</v>
      </c>
      <c r="M237" s="12">
        <v>1800000</v>
      </c>
      <c r="N237" s="12" t="s">
        <v>2805</v>
      </c>
      <c r="O237" s="16">
        <v>45619</v>
      </c>
      <c r="P237" s="12" t="s">
        <v>2964</v>
      </c>
      <c r="Q237" s="12" t="s">
        <v>2965</v>
      </c>
      <c r="R237" s="12" t="s">
        <v>146</v>
      </c>
      <c r="S237" s="12" t="s">
        <v>2966</v>
      </c>
      <c r="T237" s="12" t="s">
        <v>2967</v>
      </c>
      <c r="U237" s="12" t="s">
        <v>335</v>
      </c>
      <c r="V237" s="12" t="s">
        <v>2529</v>
      </c>
      <c r="W237" s="12" t="s">
        <v>1053</v>
      </c>
      <c r="X237" s="12" t="s">
        <v>388</v>
      </c>
      <c r="Y237" s="12" t="s">
        <v>2968</v>
      </c>
      <c r="Z237" s="12">
        <v>5</v>
      </c>
      <c r="AA237" s="12" t="s">
        <v>323</v>
      </c>
      <c r="AB237" s="12" t="s">
        <v>2969</v>
      </c>
      <c r="AC237" s="12" t="s">
        <v>2196</v>
      </c>
      <c r="AD237" s="12" t="s">
        <v>299</v>
      </c>
      <c r="AE237" s="12">
        <v>1440000</v>
      </c>
      <c r="AF237" s="13">
        <v>21600</v>
      </c>
      <c r="AG237" s="12"/>
      <c r="AH237" s="12"/>
      <c r="AI237" s="12"/>
      <c r="AJ237" s="12" t="s">
        <v>11616</v>
      </c>
      <c r="AK237" s="13">
        <v>21600</v>
      </c>
      <c r="AL237" s="13"/>
      <c r="AM237" s="14">
        <f t="shared" si="3"/>
        <v>0</v>
      </c>
      <c r="AN237" s="12" t="s">
        <v>12004</v>
      </c>
    </row>
    <row r="238" spans="1:40" x14ac:dyDescent="0.25">
      <c r="A238" s="8">
        <v>237</v>
      </c>
      <c r="B238" s="9" t="s">
        <v>35</v>
      </c>
      <c r="C238" s="9" t="s">
        <v>2970</v>
      </c>
      <c r="D238" s="9" t="s">
        <v>37</v>
      </c>
      <c r="E238" s="9" t="s">
        <v>2971</v>
      </c>
      <c r="F238" s="9" t="s">
        <v>138</v>
      </c>
      <c r="G238" s="9" t="s">
        <v>2972</v>
      </c>
      <c r="H238" s="9" t="s">
        <v>2973</v>
      </c>
      <c r="I238" s="9" t="s">
        <v>2974</v>
      </c>
      <c r="J238" s="9" t="s">
        <v>2975</v>
      </c>
      <c r="K238" s="9" t="s">
        <v>2976</v>
      </c>
      <c r="L238" s="9">
        <v>1323000</v>
      </c>
      <c r="M238" s="9">
        <v>1890000</v>
      </c>
      <c r="N238" s="9" t="s">
        <v>2977</v>
      </c>
      <c r="O238" s="10">
        <v>45619</v>
      </c>
      <c r="P238" s="9" t="s">
        <v>2978</v>
      </c>
      <c r="Q238" s="9" t="s">
        <v>2979</v>
      </c>
      <c r="R238" s="9" t="s">
        <v>47</v>
      </c>
      <c r="S238" s="9" t="s">
        <v>48</v>
      </c>
      <c r="T238" s="9" t="s">
        <v>2980</v>
      </c>
      <c r="U238" s="9" t="s">
        <v>50</v>
      </c>
      <c r="V238" s="9" t="s">
        <v>1884</v>
      </c>
      <c r="W238" s="9" t="s">
        <v>2981</v>
      </c>
      <c r="X238" s="9" t="s">
        <v>2982</v>
      </c>
      <c r="Y238" s="9" t="s">
        <v>2983</v>
      </c>
      <c r="Z238" s="9">
        <v>5</v>
      </c>
      <c r="AA238" s="9" t="s">
        <v>55</v>
      </c>
      <c r="AB238" s="9" t="s">
        <v>2984</v>
      </c>
      <c r="AC238" s="9" t="s">
        <v>1961</v>
      </c>
      <c r="AD238" s="9" t="s">
        <v>58</v>
      </c>
      <c r="AE238" s="9">
        <v>1606500</v>
      </c>
      <c r="AF238" s="11">
        <v>32130</v>
      </c>
      <c r="AG238" s="9"/>
      <c r="AH238" s="9"/>
      <c r="AI238" s="9"/>
      <c r="AJ238" s="12" t="s">
        <v>11617</v>
      </c>
      <c r="AK238" s="13">
        <v>32130</v>
      </c>
      <c r="AL238" s="13"/>
      <c r="AM238" s="14">
        <f t="shared" si="3"/>
        <v>0</v>
      </c>
      <c r="AN238" s="12" t="s">
        <v>12004</v>
      </c>
    </row>
    <row r="239" spans="1:40" x14ac:dyDescent="0.25">
      <c r="A239" s="15">
        <v>238</v>
      </c>
      <c r="B239" s="12" t="s">
        <v>35</v>
      </c>
      <c r="C239" s="12" t="s">
        <v>2985</v>
      </c>
      <c r="D239" s="12" t="s">
        <v>37</v>
      </c>
      <c r="E239" s="12" t="s">
        <v>2986</v>
      </c>
      <c r="F239" s="12" t="s">
        <v>138</v>
      </c>
      <c r="G239" s="12" t="s">
        <v>2987</v>
      </c>
      <c r="H239" s="12" t="s">
        <v>2988</v>
      </c>
      <c r="I239" s="12" t="s">
        <v>2988</v>
      </c>
      <c r="J239" s="12" t="s">
        <v>2988</v>
      </c>
      <c r="K239" s="12" t="s">
        <v>2989</v>
      </c>
      <c r="L239" s="12">
        <v>1414000</v>
      </c>
      <c r="M239" s="12">
        <v>2020000</v>
      </c>
      <c r="N239" s="12" t="s">
        <v>2990</v>
      </c>
      <c r="O239" s="16">
        <v>45619</v>
      </c>
      <c r="P239" s="12" t="s">
        <v>2991</v>
      </c>
      <c r="Q239" s="12" t="s">
        <v>2992</v>
      </c>
      <c r="R239" s="12" t="s">
        <v>146</v>
      </c>
      <c r="S239" s="12" t="s">
        <v>2993</v>
      </c>
      <c r="T239" s="12" t="s">
        <v>2994</v>
      </c>
      <c r="U239" s="12" t="s">
        <v>614</v>
      </c>
      <c r="V239" s="12" t="s">
        <v>2796</v>
      </c>
      <c r="W239" s="12" t="s">
        <v>1053</v>
      </c>
      <c r="X239" s="12" t="s">
        <v>388</v>
      </c>
      <c r="Y239" s="12" t="s">
        <v>2995</v>
      </c>
      <c r="Z239" s="12">
        <v>5</v>
      </c>
      <c r="AA239" s="12" t="s">
        <v>323</v>
      </c>
      <c r="AB239" s="12" t="s">
        <v>2996</v>
      </c>
      <c r="AC239" s="12" t="s">
        <v>2196</v>
      </c>
      <c r="AD239" s="12" t="s">
        <v>299</v>
      </c>
      <c r="AE239" s="12">
        <v>1616000</v>
      </c>
      <c r="AF239" s="13">
        <v>24240</v>
      </c>
      <c r="AG239" s="12"/>
      <c r="AH239" s="12"/>
      <c r="AI239" s="12"/>
      <c r="AJ239" s="12" t="s">
        <v>11618</v>
      </c>
      <c r="AK239" s="13">
        <v>24240</v>
      </c>
      <c r="AL239" s="13"/>
      <c r="AM239" s="14">
        <f t="shared" si="3"/>
        <v>0</v>
      </c>
      <c r="AN239" s="12" t="s">
        <v>12004</v>
      </c>
    </row>
    <row r="240" spans="1:40" x14ac:dyDescent="0.25">
      <c r="A240" s="8">
        <v>239</v>
      </c>
      <c r="B240" s="9" t="s">
        <v>35</v>
      </c>
      <c r="C240" s="9" t="s">
        <v>2997</v>
      </c>
      <c r="D240" s="9" t="s">
        <v>37</v>
      </c>
      <c r="E240" s="9" t="s">
        <v>2998</v>
      </c>
      <c r="F240" s="9" t="s">
        <v>39</v>
      </c>
      <c r="G240" s="9" t="s">
        <v>2999</v>
      </c>
      <c r="H240" s="9" t="s">
        <v>3000</v>
      </c>
      <c r="I240" s="9" t="s">
        <v>3001</v>
      </c>
      <c r="J240" s="9" t="s">
        <v>3002</v>
      </c>
      <c r="K240" s="9" t="s">
        <v>3003</v>
      </c>
      <c r="L240" s="9">
        <v>1465800</v>
      </c>
      <c r="M240" s="9">
        <v>2443000</v>
      </c>
      <c r="N240" s="9" t="s">
        <v>3004</v>
      </c>
      <c r="O240" s="10">
        <v>45619</v>
      </c>
      <c r="P240" s="9" t="s">
        <v>3005</v>
      </c>
      <c r="Q240" s="9" t="s">
        <v>3006</v>
      </c>
      <c r="R240" s="9" t="s">
        <v>47</v>
      </c>
      <c r="S240" s="9" t="s">
        <v>48</v>
      </c>
      <c r="T240" s="9" t="s">
        <v>3007</v>
      </c>
      <c r="U240" s="9" t="s">
        <v>50</v>
      </c>
      <c r="V240" s="9" t="s">
        <v>3008</v>
      </c>
      <c r="W240" s="9" t="s">
        <v>1053</v>
      </c>
      <c r="X240" s="9" t="s">
        <v>388</v>
      </c>
      <c r="Y240" s="9" t="s">
        <v>3009</v>
      </c>
      <c r="Z240" s="9">
        <v>5</v>
      </c>
      <c r="AA240" s="9" t="s">
        <v>55</v>
      </c>
      <c r="AB240" s="9" t="s">
        <v>3010</v>
      </c>
      <c r="AC240" s="9" t="s">
        <v>2529</v>
      </c>
      <c r="AD240" s="9" t="s">
        <v>58</v>
      </c>
      <c r="AE240" s="9">
        <v>1954400</v>
      </c>
      <c r="AF240" s="11">
        <v>39088</v>
      </c>
      <c r="AG240" s="9"/>
      <c r="AH240" s="9"/>
      <c r="AI240" s="9"/>
      <c r="AJ240" s="12" t="s">
        <v>11619</v>
      </c>
      <c r="AK240" s="13">
        <v>39088</v>
      </c>
      <c r="AL240" s="13"/>
      <c r="AM240" s="14">
        <f t="shared" si="3"/>
        <v>0</v>
      </c>
      <c r="AN240" s="12" t="s">
        <v>12004</v>
      </c>
    </row>
    <row r="241" spans="1:40" x14ac:dyDescent="0.25">
      <c r="A241" s="15">
        <v>240</v>
      </c>
      <c r="B241" s="12" t="s">
        <v>35</v>
      </c>
      <c r="C241" s="12" t="s">
        <v>3011</v>
      </c>
      <c r="D241" s="12" t="s">
        <v>37</v>
      </c>
      <c r="E241" s="12" t="s">
        <v>3012</v>
      </c>
      <c r="F241" s="12" t="s">
        <v>48</v>
      </c>
      <c r="G241" s="12" t="s">
        <v>3013</v>
      </c>
      <c r="H241" s="12" t="s">
        <v>3014</v>
      </c>
      <c r="I241" s="12" t="s">
        <v>3014</v>
      </c>
      <c r="J241" s="12" t="s">
        <v>3014</v>
      </c>
      <c r="K241" s="12" t="s">
        <v>3015</v>
      </c>
      <c r="L241" s="12">
        <v>1590000</v>
      </c>
      <c r="M241" s="12">
        <v>2650000</v>
      </c>
      <c r="N241" s="12" t="s">
        <v>48</v>
      </c>
      <c r="O241" s="16">
        <v>45619</v>
      </c>
      <c r="P241" s="12" t="s">
        <v>48</v>
      </c>
      <c r="Q241" s="12" t="s">
        <v>48</v>
      </c>
      <c r="R241" s="12" t="s">
        <v>47</v>
      </c>
      <c r="S241" s="12" t="s">
        <v>48</v>
      </c>
      <c r="T241" s="12" t="s">
        <v>48</v>
      </c>
      <c r="U241" s="12" t="s">
        <v>48</v>
      </c>
      <c r="V241" s="12" t="s">
        <v>508</v>
      </c>
      <c r="W241" s="12" t="s">
        <v>132</v>
      </c>
      <c r="X241" s="12" t="s">
        <v>133</v>
      </c>
      <c r="Y241" s="12" t="s">
        <v>48</v>
      </c>
      <c r="Z241" s="12">
        <v>5</v>
      </c>
      <c r="AA241" s="12" t="s">
        <v>48</v>
      </c>
      <c r="AB241" s="12" t="s">
        <v>48</v>
      </c>
      <c r="AC241" s="12" t="s">
        <v>48</v>
      </c>
      <c r="AD241" s="12" t="s">
        <v>58</v>
      </c>
      <c r="AE241" s="12">
        <v>2120000</v>
      </c>
      <c r="AF241" s="13">
        <v>42400</v>
      </c>
      <c r="AG241" s="12"/>
      <c r="AH241" s="12"/>
      <c r="AI241" s="12"/>
      <c r="AJ241" s="17" t="s">
        <v>12002</v>
      </c>
      <c r="AK241" s="13">
        <v>42400</v>
      </c>
      <c r="AL241" s="13"/>
      <c r="AM241" s="14">
        <f t="shared" si="3"/>
        <v>0</v>
      </c>
      <c r="AN241" s="12" t="s">
        <v>12004</v>
      </c>
    </row>
    <row r="242" spans="1:40" x14ac:dyDescent="0.25">
      <c r="A242" s="8">
        <v>241</v>
      </c>
      <c r="B242" s="9" t="s">
        <v>35</v>
      </c>
      <c r="C242" s="9" t="s">
        <v>3016</v>
      </c>
      <c r="D242" s="9" t="s">
        <v>37</v>
      </c>
      <c r="E242" s="9" t="s">
        <v>3017</v>
      </c>
      <c r="F242" s="9" t="s">
        <v>525</v>
      </c>
      <c r="G242" s="9" t="s">
        <v>3018</v>
      </c>
      <c r="H242" s="9" t="s">
        <v>48</v>
      </c>
      <c r="I242" s="9" t="s">
        <v>3019</v>
      </c>
      <c r="J242" s="9" t="s">
        <v>3020</v>
      </c>
      <c r="K242" s="9" t="s">
        <v>3021</v>
      </c>
      <c r="L242" s="9">
        <v>1991400</v>
      </c>
      <c r="M242" s="9">
        <v>3319000</v>
      </c>
      <c r="N242" s="9" t="s">
        <v>3022</v>
      </c>
      <c r="O242" s="10">
        <v>45619</v>
      </c>
      <c r="P242" s="9" t="s">
        <v>3023</v>
      </c>
      <c r="Q242" s="9" t="s">
        <v>3024</v>
      </c>
      <c r="R242" s="9" t="s">
        <v>47</v>
      </c>
      <c r="S242" s="9" t="s">
        <v>48</v>
      </c>
      <c r="T242" s="9" t="s">
        <v>650</v>
      </c>
      <c r="U242" s="9" t="s">
        <v>98</v>
      </c>
      <c r="V242" s="9" t="s">
        <v>1782</v>
      </c>
      <c r="W242" s="9" t="s">
        <v>532</v>
      </c>
      <c r="X242" s="9" t="s">
        <v>533</v>
      </c>
      <c r="Y242" s="9" t="s">
        <v>3025</v>
      </c>
      <c r="Z242" s="9">
        <v>5</v>
      </c>
      <c r="AA242" s="9" t="s">
        <v>227</v>
      </c>
      <c r="AB242" s="9" t="s">
        <v>3026</v>
      </c>
      <c r="AC242" s="9" t="s">
        <v>2428</v>
      </c>
      <c r="AD242" s="9" t="s">
        <v>58</v>
      </c>
      <c r="AE242" s="9">
        <v>2489250</v>
      </c>
      <c r="AF242" s="11">
        <v>49785</v>
      </c>
      <c r="AG242" s="9"/>
      <c r="AH242" s="9"/>
      <c r="AI242" s="9"/>
      <c r="AJ242" s="12" t="s">
        <v>11620</v>
      </c>
      <c r="AK242" s="13">
        <v>49785</v>
      </c>
      <c r="AL242" s="13"/>
      <c r="AM242" s="14">
        <f t="shared" si="3"/>
        <v>0</v>
      </c>
      <c r="AN242" s="12" t="s">
        <v>12004</v>
      </c>
    </row>
    <row r="243" spans="1:40" x14ac:dyDescent="0.25">
      <c r="A243" s="15">
        <v>242</v>
      </c>
      <c r="B243" s="12" t="s">
        <v>35</v>
      </c>
      <c r="C243" s="12" t="s">
        <v>3027</v>
      </c>
      <c r="D243" s="12" t="s">
        <v>37</v>
      </c>
      <c r="E243" s="12" t="s">
        <v>1902</v>
      </c>
      <c r="F243" s="12" t="s">
        <v>138</v>
      </c>
      <c r="G243" s="12" t="s">
        <v>3028</v>
      </c>
      <c r="H243" s="12" t="s">
        <v>3029</v>
      </c>
      <c r="I243" s="12" t="s">
        <v>3029</v>
      </c>
      <c r="J243" s="12" t="s">
        <v>141</v>
      </c>
      <c r="K243" s="12" t="s">
        <v>3030</v>
      </c>
      <c r="L243" s="12">
        <v>2047500</v>
      </c>
      <c r="M243" s="12">
        <v>3150000</v>
      </c>
      <c r="N243" s="12" t="s">
        <v>3031</v>
      </c>
      <c r="O243" s="16">
        <v>45619</v>
      </c>
      <c r="P243" s="12" t="s">
        <v>3032</v>
      </c>
      <c r="Q243" s="12" t="s">
        <v>3033</v>
      </c>
      <c r="R243" s="12" t="s">
        <v>1215</v>
      </c>
      <c r="S243" s="12" t="s">
        <v>3034</v>
      </c>
      <c r="T243" s="12" t="s">
        <v>1216</v>
      </c>
      <c r="U243" s="12" t="s">
        <v>903</v>
      </c>
      <c r="V243" s="12" t="s">
        <v>3035</v>
      </c>
      <c r="W243" s="12" t="s">
        <v>456</v>
      </c>
      <c r="X243" s="12" t="s">
        <v>457</v>
      </c>
      <c r="Y243" s="12" t="s">
        <v>3036</v>
      </c>
      <c r="Z243" s="12">
        <v>5</v>
      </c>
      <c r="AA243" s="12" t="s">
        <v>55</v>
      </c>
      <c r="AB243" s="12" t="s">
        <v>3037</v>
      </c>
      <c r="AC243" s="12" t="s">
        <v>3035</v>
      </c>
      <c r="AD243" s="12" t="s">
        <v>58</v>
      </c>
      <c r="AE243" s="12">
        <v>2362500</v>
      </c>
      <c r="AF243" s="13">
        <v>47250</v>
      </c>
      <c r="AG243" s="12"/>
      <c r="AH243" s="12"/>
      <c r="AI243" s="12"/>
      <c r="AJ243" s="12" t="s">
        <v>11621</v>
      </c>
      <c r="AK243" s="13">
        <v>47250</v>
      </c>
      <c r="AL243" s="13"/>
      <c r="AM243" s="14">
        <f t="shared" si="3"/>
        <v>0</v>
      </c>
      <c r="AN243" s="12" t="s">
        <v>12004</v>
      </c>
    </row>
    <row r="244" spans="1:40" x14ac:dyDescent="0.25">
      <c r="A244" s="8">
        <v>243</v>
      </c>
      <c r="B244" s="9" t="s">
        <v>35</v>
      </c>
      <c r="C244" s="9" t="s">
        <v>3038</v>
      </c>
      <c r="D244" s="9" t="s">
        <v>37</v>
      </c>
      <c r="E244" s="9" t="s">
        <v>2350</v>
      </c>
      <c r="F244" s="9" t="s">
        <v>89</v>
      </c>
      <c r="G244" s="9" t="s">
        <v>3039</v>
      </c>
      <c r="H244" s="9" t="s">
        <v>3040</v>
      </c>
      <c r="I244" s="9" t="s">
        <v>3041</v>
      </c>
      <c r="J244" s="9" t="s">
        <v>3042</v>
      </c>
      <c r="K244" s="9" t="s">
        <v>3043</v>
      </c>
      <c r="L244" s="9">
        <v>1878760</v>
      </c>
      <c r="M244" s="9">
        <v>3613000</v>
      </c>
      <c r="N244" s="9" t="s">
        <v>3044</v>
      </c>
      <c r="O244" s="10">
        <v>45619</v>
      </c>
      <c r="P244" s="9" t="s">
        <v>3045</v>
      </c>
      <c r="Q244" s="9" t="s">
        <v>3046</v>
      </c>
      <c r="R244" s="9" t="s">
        <v>47</v>
      </c>
      <c r="S244" s="9" t="s">
        <v>48</v>
      </c>
      <c r="T244" s="9" t="s">
        <v>3047</v>
      </c>
      <c r="U244" s="9" t="s">
        <v>50</v>
      </c>
      <c r="V244" s="9" t="s">
        <v>182</v>
      </c>
      <c r="W244" s="9" t="s">
        <v>1053</v>
      </c>
      <c r="X244" s="9" t="s">
        <v>457</v>
      </c>
      <c r="Y244" s="9" t="s">
        <v>3048</v>
      </c>
      <c r="Z244" s="9">
        <v>4</v>
      </c>
      <c r="AA244" s="9" t="s">
        <v>55</v>
      </c>
      <c r="AB244" s="9" t="s">
        <v>3049</v>
      </c>
      <c r="AC244" s="9" t="s">
        <v>2529</v>
      </c>
      <c r="AD244" s="9" t="s">
        <v>58</v>
      </c>
      <c r="AE244" s="9">
        <v>2890400</v>
      </c>
      <c r="AF244" s="11">
        <v>57808</v>
      </c>
      <c r="AG244" s="9"/>
      <c r="AH244" s="9"/>
      <c r="AI244" s="9"/>
      <c r="AJ244" s="12" t="s">
        <v>11622</v>
      </c>
      <c r="AK244" s="13">
        <v>57808</v>
      </c>
      <c r="AL244" s="13"/>
      <c r="AM244" s="14">
        <f t="shared" si="3"/>
        <v>0</v>
      </c>
      <c r="AN244" s="12" t="s">
        <v>12004</v>
      </c>
    </row>
    <row r="245" spans="1:40" x14ac:dyDescent="0.25">
      <c r="A245" s="15">
        <v>244</v>
      </c>
      <c r="B245" s="12" t="s">
        <v>35</v>
      </c>
      <c r="C245" s="12" t="s">
        <v>3050</v>
      </c>
      <c r="D245" s="12" t="s">
        <v>37</v>
      </c>
      <c r="E245" s="12" t="s">
        <v>3051</v>
      </c>
      <c r="F245" s="12" t="s">
        <v>39</v>
      </c>
      <c r="G245" s="12" t="s">
        <v>3052</v>
      </c>
      <c r="H245" s="12" t="s">
        <v>3053</v>
      </c>
      <c r="I245" s="12" t="s">
        <v>3054</v>
      </c>
      <c r="J245" s="12" t="s">
        <v>3055</v>
      </c>
      <c r="K245" s="12" t="s">
        <v>3056</v>
      </c>
      <c r="L245" s="12">
        <v>2766000</v>
      </c>
      <c r="M245" s="12">
        <v>4610000</v>
      </c>
      <c r="N245" s="12" t="s">
        <v>3057</v>
      </c>
      <c r="O245" s="16">
        <v>45619</v>
      </c>
      <c r="P245" s="12" t="s">
        <v>3058</v>
      </c>
      <c r="Q245" s="12" t="s">
        <v>3059</v>
      </c>
      <c r="R245" s="12" t="s">
        <v>47</v>
      </c>
      <c r="S245" s="12" t="s">
        <v>48</v>
      </c>
      <c r="T245" s="12" t="s">
        <v>3060</v>
      </c>
      <c r="U245" s="12" t="s">
        <v>50</v>
      </c>
      <c r="V245" s="12" t="s">
        <v>3061</v>
      </c>
      <c r="W245" s="12" t="s">
        <v>132</v>
      </c>
      <c r="X245" s="12" t="s">
        <v>133</v>
      </c>
      <c r="Y245" s="12" t="s">
        <v>3062</v>
      </c>
      <c r="Z245" s="12">
        <v>5</v>
      </c>
      <c r="AA245" s="12" t="s">
        <v>152</v>
      </c>
      <c r="AB245" s="12" t="s">
        <v>3063</v>
      </c>
      <c r="AC245" s="12" t="s">
        <v>2529</v>
      </c>
      <c r="AD245" s="12" t="s">
        <v>58</v>
      </c>
      <c r="AE245" s="12">
        <v>3688000</v>
      </c>
      <c r="AF245" s="13">
        <v>73760</v>
      </c>
      <c r="AG245" s="12"/>
      <c r="AH245" s="12"/>
      <c r="AI245" s="12"/>
      <c r="AJ245" s="12" t="s">
        <v>11623</v>
      </c>
      <c r="AK245" s="13">
        <v>73760</v>
      </c>
      <c r="AL245" s="13"/>
      <c r="AM245" s="14">
        <f t="shared" si="3"/>
        <v>0</v>
      </c>
      <c r="AN245" s="12" t="s">
        <v>12004</v>
      </c>
    </row>
    <row r="246" spans="1:40" x14ac:dyDescent="0.25">
      <c r="A246" s="8">
        <v>245</v>
      </c>
      <c r="B246" s="9" t="s">
        <v>35</v>
      </c>
      <c r="C246" s="9" t="s">
        <v>3064</v>
      </c>
      <c r="D246" s="9" t="s">
        <v>37</v>
      </c>
      <c r="E246" s="9" t="s">
        <v>3065</v>
      </c>
      <c r="F246" s="9" t="s">
        <v>89</v>
      </c>
      <c r="G246" s="9" t="s">
        <v>3066</v>
      </c>
      <c r="H246" s="9" t="s">
        <v>3067</v>
      </c>
      <c r="I246" s="9" t="s">
        <v>48</v>
      </c>
      <c r="J246" s="9" t="s">
        <v>141</v>
      </c>
      <c r="K246" s="9" t="s">
        <v>3068</v>
      </c>
      <c r="L246" s="9">
        <v>1375000</v>
      </c>
      <c r="M246" s="9">
        <v>2500000</v>
      </c>
      <c r="N246" s="9" t="s">
        <v>3069</v>
      </c>
      <c r="O246" s="10">
        <v>45619</v>
      </c>
      <c r="P246" s="9" t="s">
        <v>3070</v>
      </c>
      <c r="Q246" s="9" t="s">
        <v>3071</v>
      </c>
      <c r="R246" s="9" t="s">
        <v>146</v>
      </c>
      <c r="S246" s="9" t="s">
        <v>3072</v>
      </c>
      <c r="T246" s="9" t="s">
        <v>3073</v>
      </c>
      <c r="U246" s="9" t="s">
        <v>651</v>
      </c>
      <c r="V246" s="9" t="s">
        <v>3074</v>
      </c>
      <c r="W246" s="9" t="s">
        <v>1922</v>
      </c>
      <c r="X246" s="9" t="s">
        <v>457</v>
      </c>
      <c r="Y246" s="9" t="s">
        <v>3075</v>
      </c>
      <c r="Z246" s="9">
        <v>3</v>
      </c>
      <c r="AA246" s="9" t="s">
        <v>323</v>
      </c>
      <c r="AB246" s="9" t="s">
        <v>3076</v>
      </c>
      <c r="AC246" s="9" t="s">
        <v>2671</v>
      </c>
      <c r="AD246" s="9" t="s">
        <v>86</v>
      </c>
      <c r="AE246" s="9">
        <v>2125000</v>
      </c>
      <c r="AF246" s="11">
        <v>37188</v>
      </c>
      <c r="AG246" s="9"/>
      <c r="AH246" s="9"/>
      <c r="AI246" s="9"/>
      <c r="AJ246" s="12" t="s">
        <v>11624</v>
      </c>
      <c r="AK246" s="13">
        <v>37188</v>
      </c>
      <c r="AL246" s="13"/>
      <c r="AM246" s="14">
        <f t="shared" si="3"/>
        <v>0</v>
      </c>
      <c r="AN246" s="12" t="s">
        <v>12004</v>
      </c>
    </row>
    <row r="247" spans="1:40" x14ac:dyDescent="0.25">
      <c r="A247" s="15">
        <v>246</v>
      </c>
      <c r="B247" s="12" t="s">
        <v>35</v>
      </c>
      <c r="C247" s="12" t="s">
        <v>3077</v>
      </c>
      <c r="D247" s="12" t="s">
        <v>37</v>
      </c>
      <c r="E247" s="12" t="s">
        <v>3078</v>
      </c>
      <c r="F247" s="12" t="s">
        <v>245</v>
      </c>
      <c r="G247" s="12" t="s">
        <v>3079</v>
      </c>
      <c r="H247" s="12" t="s">
        <v>3080</v>
      </c>
      <c r="I247" s="12" t="s">
        <v>3080</v>
      </c>
      <c r="J247" s="12" t="s">
        <v>3081</v>
      </c>
      <c r="K247" s="12" t="s">
        <v>3082</v>
      </c>
      <c r="L247" s="12">
        <v>2479125</v>
      </c>
      <c r="M247" s="12">
        <v>4507500</v>
      </c>
      <c r="N247" s="12" t="s">
        <v>3083</v>
      </c>
      <c r="O247" s="16">
        <v>45619</v>
      </c>
      <c r="P247" s="12" t="s">
        <v>3084</v>
      </c>
      <c r="Q247" s="12" t="s">
        <v>3085</v>
      </c>
      <c r="R247" s="12" t="s">
        <v>47</v>
      </c>
      <c r="S247" s="12" t="s">
        <v>48</v>
      </c>
      <c r="T247" s="12" t="s">
        <v>283</v>
      </c>
      <c r="U247" s="12" t="s">
        <v>148</v>
      </c>
      <c r="V247" s="12" t="s">
        <v>3074</v>
      </c>
      <c r="W247" s="12" t="s">
        <v>1922</v>
      </c>
      <c r="X247" s="12" t="s">
        <v>457</v>
      </c>
      <c r="Y247" s="12" t="s">
        <v>3086</v>
      </c>
      <c r="Z247" s="12">
        <v>3</v>
      </c>
      <c r="AA247" s="12" t="s">
        <v>323</v>
      </c>
      <c r="AB247" s="12" t="s">
        <v>3087</v>
      </c>
      <c r="AC247" s="12" t="s">
        <v>2671</v>
      </c>
      <c r="AD247" s="12" t="s">
        <v>86</v>
      </c>
      <c r="AE247" s="12">
        <v>3831375</v>
      </c>
      <c r="AF247" s="13">
        <v>67049</v>
      </c>
      <c r="AG247" s="12"/>
      <c r="AH247" s="12"/>
      <c r="AI247" s="12"/>
      <c r="AJ247" s="12" t="s">
        <v>11625</v>
      </c>
      <c r="AK247" s="13">
        <v>67049</v>
      </c>
      <c r="AL247" s="13"/>
      <c r="AM247" s="14">
        <f t="shared" si="3"/>
        <v>0</v>
      </c>
      <c r="AN247" s="12" t="s">
        <v>12004</v>
      </c>
    </row>
    <row r="248" spans="1:40" x14ac:dyDescent="0.25">
      <c r="A248" s="8">
        <v>247</v>
      </c>
      <c r="B248" s="9" t="s">
        <v>35</v>
      </c>
      <c r="C248" s="9" t="s">
        <v>3088</v>
      </c>
      <c r="D248" s="9" t="s">
        <v>37</v>
      </c>
      <c r="E248" s="9" t="s">
        <v>3089</v>
      </c>
      <c r="F248" s="9" t="s">
        <v>138</v>
      </c>
      <c r="G248" s="9" t="s">
        <v>3090</v>
      </c>
      <c r="H248" s="9" t="s">
        <v>3091</v>
      </c>
      <c r="I248" s="9" t="s">
        <v>3092</v>
      </c>
      <c r="J248" s="9" t="s">
        <v>141</v>
      </c>
      <c r="K248" s="9" t="s">
        <v>3093</v>
      </c>
      <c r="L248" s="9">
        <v>1300000</v>
      </c>
      <c r="M248" s="9">
        <v>2000000</v>
      </c>
      <c r="N248" s="9" t="s">
        <v>3094</v>
      </c>
      <c r="O248" s="10">
        <v>45619</v>
      </c>
      <c r="P248" s="9" t="s">
        <v>3095</v>
      </c>
      <c r="Q248" s="9" t="s">
        <v>3096</v>
      </c>
      <c r="R248" s="9" t="s">
        <v>146</v>
      </c>
      <c r="S248" s="9" t="s">
        <v>3097</v>
      </c>
      <c r="T248" s="9" t="s">
        <v>2994</v>
      </c>
      <c r="U248" s="9" t="s">
        <v>98</v>
      </c>
      <c r="V248" s="9" t="s">
        <v>2181</v>
      </c>
      <c r="W248" s="9" t="s">
        <v>940</v>
      </c>
      <c r="X248" s="9" t="s">
        <v>1638</v>
      </c>
      <c r="Y248" s="9" t="s">
        <v>3098</v>
      </c>
      <c r="Z248" s="9">
        <v>5</v>
      </c>
      <c r="AA248" s="9" t="s">
        <v>152</v>
      </c>
      <c r="AB248" s="9" t="s">
        <v>3099</v>
      </c>
      <c r="AC248" s="9" t="s">
        <v>2671</v>
      </c>
      <c r="AD248" s="9" t="s">
        <v>86</v>
      </c>
      <c r="AE248" s="9">
        <v>1700000</v>
      </c>
      <c r="AF248" s="11">
        <v>29750</v>
      </c>
      <c r="AG248" s="9"/>
      <c r="AH248" s="9"/>
      <c r="AI248" s="9"/>
      <c r="AJ248" s="12" t="s">
        <v>11626</v>
      </c>
      <c r="AK248" s="13">
        <v>29750</v>
      </c>
      <c r="AL248" s="13"/>
      <c r="AM248" s="14">
        <f t="shared" si="3"/>
        <v>0</v>
      </c>
      <c r="AN248" s="12" t="s">
        <v>12004</v>
      </c>
    </row>
    <row r="249" spans="1:40" x14ac:dyDescent="0.25">
      <c r="A249" s="15">
        <v>248</v>
      </c>
      <c r="B249" s="12" t="s">
        <v>35</v>
      </c>
      <c r="C249" s="12" t="s">
        <v>3100</v>
      </c>
      <c r="D249" s="12" t="s">
        <v>37</v>
      </c>
      <c r="E249" s="12" t="s">
        <v>3101</v>
      </c>
      <c r="F249" s="12" t="s">
        <v>39</v>
      </c>
      <c r="G249" s="12" t="s">
        <v>3102</v>
      </c>
      <c r="H249" s="12" t="s">
        <v>3103</v>
      </c>
      <c r="I249" s="12" t="s">
        <v>3104</v>
      </c>
      <c r="J249" s="12" t="s">
        <v>3103</v>
      </c>
      <c r="K249" s="12" t="s">
        <v>3105</v>
      </c>
      <c r="L249" s="12">
        <v>2536950</v>
      </c>
      <c r="M249" s="12">
        <v>3903000</v>
      </c>
      <c r="N249" s="12" t="s">
        <v>3106</v>
      </c>
      <c r="O249" s="16">
        <v>45619</v>
      </c>
      <c r="P249" s="12" t="s">
        <v>3107</v>
      </c>
      <c r="Q249" s="12" t="s">
        <v>3108</v>
      </c>
      <c r="R249" s="12" t="s">
        <v>47</v>
      </c>
      <c r="S249" s="12" t="s">
        <v>48</v>
      </c>
      <c r="T249" s="12" t="s">
        <v>1128</v>
      </c>
      <c r="U249" s="12" t="s">
        <v>50</v>
      </c>
      <c r="V249" s="12" t="s">
        <v>508</v>
      </c>
      <c r="W249" s="12" t="s">
        <v>132</v>
      </c>
      <c r="X249" s="12" t="s">
        <v>133</v>
      </c>
      <c r="Y249" s="12" t="s">
        <v>3109</v>
      </c>
      <c r="Z249" s="12">
        <v>5</v>
      </c>
      <c r="AA249" s="12" t="s">
        <v>55</v>
      </c>
      <c r="AB249" s="12" t="s">
        <v>3110</v>
      </c>
      <c r="AC249" s="12" t="s">
        <v>2529</v>
      </c>
      <c r="AD249" s="12" t="s">
        <v>58</v>
      </c>
      <c r="AE249" s="12">
        <v>3122400</v>
      </c>
      <c r="AF249" s="13">
        <v>62448</v>
      </c>
      <c r="AG249" s="12"/>
      <c r="AH249" s="12"/>
      <c r="AI249" s="12"/>
      <c r="AJ249" s="12" t="s">
        <v>11627</v>
      </c>
      <c r="AK249" s="13">
        <v>62448</v>
      </c>
      <c r="AL249" s="13"/>
      <c r="AM249" s="14">
        <f t="shared" si="3"/>
        <v>0</v>
      </c>
      <c r="AN249" s="12" t="s">
        <v>12004</v>
      </c>
    </row>
    <row r="250" spans="1:40" x14ac:dyDescent="0.25">
      <c r="A250" s="8">
        <v>249</v>
      </c>
      <c r="B250" s="9" t="s">
        <v>35</v>
      </c>
      <c r="C250" s="9" t="s">
        <v>3111</v>
      </c>
      <c r="D250" s="9" t="s">
        <v>37</v>
      </c>
      <c r="E250" s="9" t="s">
        <v>1593</v>
      </c>
      <c r="F250" s="9" t="s">
        <v>3112</v>
      </c>
      <c r="G250" s="9" t="s">
        <v>3113</v>
      </c>
      <c r="H250" s="9" t="s">
        <v>48</v>
      </c>
      <c r="I250" s="9" t="s">
        <v>3114</v>
      </c>
      <c r="J250" s="9" t="s">
        <v>48</v>
      </c>
      <c r="K250" s="9" t="s">
        <v>3115</v>
      </c>
      <c r="L250" s="9">
        <v>3704250</v>
      </c>
      <c r="M250" s="9">
        <v>4939000</v>
      </c>
      <c r="N250" s="9" t="s">
        <v>3116</v>
      </c>
      <c r="O250" s="9" t="s">
        <v>2935</v>
      </c>
      <c r="P250" s="9" t="s">
        <v>3117</v>
      </c>
      <c r="Q250" s="9" t="s">
        <v>3118</v>
      </c>
      <c r="R250" s="9" t="s">
        <v>858</v>
      </c>
      <c r="S250" s="9" t="s">
        <v>48</v>
      </c>
      <c r="T250" s="9" t="s">
        <v>495</v>
      </c>
      <c r="U250" s="9" t="s">
        <v>386</v>
      </c>
      <c r="V250" s="10">
        <v>45162</v>
      </c>
      <c r="W250" s="9" t="s">
        <v>387</v>
      </c>
      <c r="X250" s="9" t="s">
        <v>3119</v>
      </c>
      <c r="Y250" s="9" t="s">
        <v>3120</v>
      </c>
      <c r="Z250" s="9">
        <v>7</v>
      </c>
      <c r="AA250" s="9" t="s">
        <v>55</v>
      </c>
      <c r="AB250" s="9" t="s">
        <v>3121</v>
      </c>
      <c r="AC250" s="9" t="s">
        <v>3122</v>
      </c>
      <c r="AD250" s="9" t="s">
        <v>943</v>
      </c>
      <c r="AE250" s="9">
        <v>4445100</v>
      </c>
      <c r="AF250" s="11">
        <v>62231</v>
      </c>
      <c r="AG250" s="9"/>
      <c r="AH250" s="9"/>
      <c r="AI250" s="9"/>
      <c r="AJ250" s="12" t="s">
        <v>11628</v>
      </c>
      <c r="AK250" s="13">
        <v>58774</v>
      </c>
      <c r="AL250" s="13" t="s">
        <v>12227</v>
      </c>
      <c r="AM250" s="14">
        <f t="shared" si="3"/>
        <v>3457</v>
      </c>
      <c r="AN250" s="12" t="s">
        <v>12004</v>
      </c>
    </row>
    <row r="251" spans="1:40" x14ac:dyDescent="0.25">
      <c r="A251" s="15">
        <v>250</v>
      </c>
      <c r="B251" s="12" t="s">
        <v>35</v>
      </c>
      <c r="C251" s="12" t="s">
        <v>3123</v>
      </c>
      <c r="D251" s="12" t="s">
        <v>37</v>
      </c>
      <c r="E251" s="12" t="s">
        <v>3124</v>
      </c>
      <c r="F251" s="12" t="s">
        <v>138</v>
      </c>
      <c r="G251" s="12" t="s">
        <v>3125</v>
      </c>
      <c r="H251" s="12" t="s">
        <v>48</v>
      </c>
      <c r="I251" s="12" t="s">
        <v>3126</v>
      </c>
      <c r="J251" s="12" t="s">
        <v>48</v>
      </c>
      <c r="K251" s="12" t="s">
        <v>3127</v>
      </c>
      <c r="L251" s="12">
        <v>980000</v>
      </c>
      <c r="M251" s="12">
        <v>1750000</v>
      </c>
      <c r="N251" s="12" t="s">
        <v>3128</v>
      </c>
      <c r="O251" s="12" t="s">
        <v>2935</v>
      </c>
      <c r="P251" s="12" t="s">
        <v>3129</v>
      </c>
      <c r="Q251" s="12" t="s">
        <v>3130</v>
      </c>
      <c r="R251" s="12" t="s">
        <v>146</v>
      </c>
      <c r="S251" s="12" t="s">
        <v>3131</v>
      </c>
      <c r="T251" s="12" t="s">
        <v>3132</v>
      </c>
      <c r="U251" s="12" t="s">
        <v>651</v>
      </c>
      <c r="V251" s="16">
        <v>45255</v>
      </c>
      <c r="W251" s="12" t="s">
        <v>387</v>
      </c>
      <c r="X251" s="12" t="s">
        <v>388</v>
      </c>
      <c r="Y251" s="12" t="s">
        <v>3133</v>
      </c>
      <c r="Z251" s="12">
        <v>3</v>
      </c>
      <c r="AA251" s="12" t="s">
        <v>55</v>
      </c>
      <c r="AB251" s="12" t="s">
        <v>3134</v>
      </c>
      <c r="AC251" s="12" t="s">
        <v>2946</v>
      </c>
      <c r="AD251" s="12" t="s">
        <v>86</v>
      </c>
      <c r="AE251" s="12">
        <v>1575000</v>
      </c>
      <c r="AF251" s="13">
        <v>27563</v>
      </c>
      <c r="AG251" s="12"/>
      <c r="AH251" s="12"/>
      <c r="AI251" s="12"/>
      <c r="AJ251" s="12" t="s">
        <v>11629</v>
      </c>
      <c r="AK251" s="13">
        <v>27563</v>
      </c>
      <c r="AL251" s="13"/>
      <c r="AM251" s="14">
        <f t="shared" si="3"/>
        <v>0</v>
      </c>
      <c r="AN251" s="12" t="s">
        <v>12004</v>
      </c>
    </row>
    <row r="252" spans="1:40" x14ac:dyDescent="0.25">
      <c r="A252" s="8">
        <v>251</v>
      </c>
      <c r="B252" s="9" t="s">
        <v>35</v>
      </c>
      <c r="C252" s="9" t="s">
        <v>3135</v>
      </c>
      <c r="D252" s="9" t="s">
        <v>37</v>
      </c>
      <c r="E252" s="9" t="s">
        <v>3136</v>
      </c>
      <c r="F252" s="9" t="s">
        <v>138</v>
      </c>
      <c r="G252" s="9" t="s">
        <v>3137</v>
      </c>
      <c r="H252" s="9" t="s">
        <v>3138</v>
      </c>
      <c r="I252" s="9" t="s">
        <v>3138</v>
      </c>
      <c r="J252" s="9" t="s">
        <v>3138</v>
      </c>
      <c r="K252" s="9" t="s">
        <v>3139</v>
      </c>
      <c r="L252" s="9">
        <v>1860000</v>
      </c>
      <c r="M252" s="9">
        <v>3000000</v>
      </c>
      <c r="N252" s="9" t="s">
        <v>3140</v>
      </c>
      <c r="O252" s="9" t="s">
        <v>2935</v>
      </c>
      <c r="P252" s="9" t="s">
        <v>3141</v>
      </c>
      <c r="Q252" s="9" t="s">
        <v>3142</v>
      </c>
      <c r="R252" s="9" t="s">
        <v>146</v>
      </c>
      <c r="S252" s="9" t="s">
        <v>3143</v>
      </c>
      <c r="T252" s="9" t="s">
        <v>2994</v>
      </c>
      <c r="U252" s="9" t="s">
        <v>148</v>
      </c>
      <c r="V252" s="10">
        <v>45257</v>
      </c>
      <c r="W252" s="9" t="s">
        <v>387</v>
      </c>
      <c r="X252" s="9" t="s">
        <v>1628</v>
      </c>
      <c r="Y252" s="9" t="s">
        <v>3144</v>
      </c>
      <c r="Z252" s="9">
        <v>5</v>
      </c>
      <c r="AA252" s="9" t="s">
        <v>55</v>
      </c>
      <c r="AB252" s="9" t="s">
        <v>3145</v>
      </c>
      <c r="AC252" s="9" t="s">
        <v>387</v>
      </c>
      <c r="AD252" s="9" t="s">
        <v>86</v>
      </c>
      <c r="AE252" s="9">
        <v>2700000</v>
      </c>
      <c r="AF252" s="11">
        <v>47250</v>
      </c>
      <c r="AG252" s="9"/>
      <c r="AH252" s="9"/>
      <c r="AI252" s="9"/>
      <c r="AJ252" s="12" t="s">
        <v>11630</v>
      </c>
      <c r="AK252" s="13">
        <v>47250</v>
      </c>
      <c r="AL252" s="13"/>
      <c r="AM252" s="14">
        <f t="shared" si="3"/>
        <v>0</v>
      </c>
      <c r="AN252" s="12" t="s">
        <v>12004</v>
      </c>
    </row>
    <row r="253" spans="1:40" x14ac:dyDescent="0.25">
      <c r="A253" s="15">
        <v>252</v>
      </c>
      <c r="B253" s="12" t="s">
        <v>35</v>
      </c>
      <c r="C253" s="12" t="s">
        <v>3146</v>
      </c>
      <c r="D253" s="12" t="s">
        <v>37</v>
      </c>
      <c r="E253" s="12" t="s">
        <v>1773</v>
      </c>
      <c r="F253" s="12" t="s">
        <v>107</v>
      </c>
      <c r="G253" s="12" t="s">
        <v>3147</v>
      </c>
      <c r="H253" s="12" t="s">
        <v>48</v>
      </c>
      <c r="I253" s="12" t="s">
        <v>3148</v>
      </c>
      <c r="J253" s="12" t="s">
        <v>3149</v>
      </c>
      <c r="K253" s="12" t="s">
        <v>3150</v>
      </c>
      <c r="L253" s="12">
        <v>1168000</v>
      </c>
      <c r="M253" s="12">
        <v>1460000</v>
      </c>
      <c r="N253" s="12" t="s">
        <v>3151</v>
      </c>
      <c r="O253" s="16">
        <v>45619</v>
      </c>
      <c r="P253" s="12" t="s">
        <v>3152</v>
      </c>
      <c r="Q253" s="12" t="s">
        <v>3153</v>
      </c>
      <c r="R253" s="12" t="s">
        <v>146</v>
      </c>
      <c r="S253" s="12" t="s">
        <v>3154</v>
      </c>
      <c r="T253" s="12" t="s">
        <v>194</v>
      </c>
      <c r="U253" s="12" t="s">
        <v>614</v>
      </c>
      <c r="V253" s="12" t="s">
        <v>3155</v>
      </c>
      <c r="W253" s="12" t="s">
        <v>1053</v>
      </c>
      <c r="X253" s="12" t="s">
        <v>388</v>
      </c>
      <c r="Y253" s="12" t="s">
        <v>3156</v>
      </c>
      <c r="Z253" s="12">
        <v>5</v>
      </c>
      <c r="AA253" s="12" t="s">
        <v>323</v>
      </c>
      <c r="AB253" s="12" t="s">
        <v>3157</v>
      </c>
      <c r="AC253" s="12" t="s">
        <v>2796</v>
      </c>
      <c r="AD253" s="12" t="s">
        <v>299</v>
      </c>
      <c r="AE253" s="12">
        <v>1168000</v>
      </c>
      <c r="AF253" s="13">
        <v>17520</v>
      </c>
      <c r="AG253" s="12"/>
      <c r="AH253" s="12"/>
      <c r="AI253" s="12"/>
      <c r="AJ253" s="12" t="s">
        <v>11631</v>
      </c>
      <c r="AK253" s="13">
        <v>17520</v>
      </c>
      <c r="AL253" s="13"/>
      <c r="AM253" s="14">
        <f t="shared" si="3"/>
        <v>0</v>
      </c>
      <c r="AN253" s="12" t="s">
        <v>12004</v>
      </c>
    </row>
    <row r="254" spans="1:40" x14ac:dyDescent="0.25">
      <c r="A254" s="8">
        <v>253</v>
      </c>
      <c r="B254" s="9" t="s">
        <v>35</v>
      </c>
      <c r="C254" s="9" t="s">
        <v>3158</v>
      </c>
      <c r="D254" s="9" t="s">
        <v>37</v>
      </c>
      <c r="E254" s="9" t="s">
        <v>3159</v>
      </c>
      <c r="F254" s="9" t="s">
        <v>138</v>
      </c>
      <c r="G254" s="9" t="s">
        <v>3160</v>
      </c>
      <c r="H254" s="9" t="s">
        <v>3161</v>
      </c>
      <c r="I254" s="9" t="s">
        <v>3162</v>
      </c>
      <c r="J254" s="9" t="s">
        <v>141</v>
      </c>
      <c r="K254" s="9" t="s">
        <v>3163</v>
      </c>
      <c r="L254" s="9">
        <v>531000</v>
      </c>
      <c r="M254" s="9">
        <v>885000</v>
      </c>
      <c r="N254" s="9" t="s">
        <v>3164</v>
      </c>
      <c r="O254" s="10">
        <v>45620</v>
      </c>
      <c r="P254" s="9" t="s">
        <v>3165</v>
      </c>
      <c r="Q254" s="9" t="s">
        <v>3166</v>
      </c>
      <c r="R254" s="9" t="s">
        <v>146</v>
      </c>
      <c r="S254" s="9" t="s">
        <v>3167</v>
      </c>
      <c r="T254" s="9" t="s">
        <v>3168</v>
      </c>
      <c r="U254" s="9" t="s">
        <v>651</v>
      </c>
      <c r="V254" s="9" t="s">
        <v>456</v>
      </c>
      <c r="W254" s="9" t="s">
        <v>456</v>
      </c>
      <c r="X254" s="9" t="s">
        <v>457</v>
      </c>
      <c r="Y254" s="9" t="s">
        <v>3169</v>
      </c>
      <c r="Z254" s="9">
        <v>5</v>
      </c>
      <c r="AA254" s="9" t="s">
        <v>55</v>
      </c>
      <c r="AB254" s="9" t="s">
        <v>3170</v>
      </c>
      <c r="AC254" s="9" t="s">
        <v>3035</v>
      </c>
      <c r="AD254" s="9" t="s">
        <v>58</v>
      </c>
      <c r="AE254" s="9">
        <v>663750</v>
      </c>
      <c r="AF254" s="11">
        <v>13275</v>
      </c>
      <c r="AG254" s="9"/>
      <c r="AH254" s="9"/>
      <c r="AI254" s="9"/>
      <c r="AJ254" s="12" t="s">
        <v>11632</v>
      </c>
      <c r="AK254" s="13">
        <v>13275</v>
      </c>
      <c r="AL254" s="13"/>
      <c r="AM254" s="14">
        <f t="shared" si="3"/>
        <v>0</v>
      </c>
      <c r="AN254" s="12" t="s">
        <v>12004</v>
      </c>
    </row>
    <row r="255" spans="1:40" x14ac:dyDescent="0.25">
      <c r="A255" s="15">
        <v>254</v>
      </c>
      <c r="B255" s="12" t="s">
        <v>35</v>
      </c>
      <c r="C255" s="12" t="s">
        <v>3171</v>
      </c>
      <c r="D255" s="12" t="s">
        <v>37</v>
      </c>
      <c r="E255" s="12" t="s">
        <v>3172</v>
      </c>
      <c r="F255" s="12" t="s">
        <v>107</v>
      </c>
      <c r="G255" s="12" t="s">
        <v>3173</v>
      </c>
      <c r="H255" s="12" t="s">
        <v>3174</v>
      </c>
      <c r="I255" s="12" t="s">
        <v>3174</v>
      </c>
      <c r="J255" s="12" t="s">
        <v>3174</v>
      </c>
      <c r="K255" s="12" t="s">
        <v>3175</v>
      </c>
      <c r="L255" s="12">
        <v>672000</v>
      </c>
      <c r="M255" s="12">
        <v>840000</v>
      </c>
      <c r="N255" s="12" t="s">
        <v>3176</v>
      </c>
      <c r="O255" s="16">
        <v>45620</v>
      </c>
      <c r="P255" s="12" t="s">
        <v>3177</v>
      </c>
      <c r="Q255" s="12" t="s">
        <v>3178</v>
      </c>
      <c r="R255" s="12" t="s">
        <v>146</v>
      </c>
      <c r="S255" s="12" t="s">
        <v>3179</v>
      </c>
      <c r="T255" s="12" t="s">
        <v>639</v>
      </c>
      <c r="U255" s="12" t="s">
        <v>335</v>
      </c>
      <c r="V255" s="12" t="s">
        <v>2836</v>
      </c>
      <c r="W255" s="12" t="s">
        <v>132</v>
      </c>
      <c r="X255" s="12" t="s">
        <v>133</v>
      </c>
      <c r="Y255" s="12" t="s">
        <v>3180</v>
      </c>
      <c r="Z255" s="12">
        <v>5</v>
      </c>
      <c r="AA255" s="12" t="s">
        <v>323</v>
      </c>
      <c r="AB255" s="12" t="s">
        <v>3181</v>
      </c>
      <c r="AC255" s="12" t="s">
        <v>2796</v>
      </c>
      <c r="AD255" s="12" t="s">
        <v>299</v>
      </c>
      <c r="AE255" s="12">
        <v>672000</v>
      </c>
      <c r="AF255" s="13">
        <v>10080</v>
      </c>
      <c r="AG255" s="12"/>
      <c r="AH255" s="12"/>
      <c r="AI255" s="12"/>
      <c r="AJ255" s="12" t="s">
        <v>11633</v>
      </c>
      <c r="AK255" s="13">
        <v>10080</v>
      </c>
      <c r="AL255" s="13"/>
      <c r="AM255" s="14">
        <f t="shared" si="3"/>
        <v>0</v>
      </c>
      <c r="AN255" s="12" t="s">
        <v>12004</v>
      </c>
    </row>
    <row r="256" spans="1:40" x14ac:dyDescent="0.25">
      <c r="A256" s="8">
        <v>255</v>
      </c>
      <c r="B256" s="9" t="s">
        <v>35</v>
      </c>
      <c r="C256" s="9" t="s">
        <v>3182</v>
      </c>
      <c r="D256" s="9" t="s">
        <v>37</v>
      </c>
      <c r="E256" s="9" t="s">
        <v>3183</v>
      </c>
      <c r="F256" s="9" t="s">
        <v>525</v>
      </c>
      <c r="G256" s="9" t="s">
        <v>3184</v>
      </c>
      <c r="H256" s="9" t="s">
        <v>48</v>
      </c>
      <c r="I256" s="9" t="s">
        <v>3185</v>
      </c>
      <c r="J256" s="9" t="s">
        <v>48</v>
      </c>
      <c r="K256" s="9" t="s">
        <v>3186</v>
      </c>
      <c r="L256" s="9">
        <v>999750</v>
      </c>
      <c r="M256" s="9">
        <v>1333000</v>
      </c>
      <c r="N256" s="9" t="s">
        <v>3187</v>
      </c>
      <c r="O256" s="10">
        <v>45620</v>
      </c>
      <c r="P256" s="9" t="s">
        <v>3188</v>
      </c>
      <c r="Q256" s="9" t="s">
        <v>3189</v>
      </c>
      <c r="R256" s="9" t="s">
        <v>47</v>
      </c>
      <c r="S256" s="9" t="s">
        <v>48</v>
      </c>
      <c r="T256" s="9" t="s">
        <v>210</v>
      </c>
      <c r="U256" s="9" t="s">
        <v>50</v>
      </c>
      <c r="V256" s="9" t="s">
        <v>211</v>
      </c>
      <c r="W256" s="9" t="s">
        <v>132</v>
      </c>
      <c r="X256" s="9" t="s">
        <v>133</v>
      </c>
      <c r="Y256" s="9" t="s">
        <v>3190</v>
      </c>
      <c r="Z256" s="9">
        <v>5</v>
      </c>
      <c r="AA256" s="9" t="s">
        <v>1055</v>
      </c>
      <c r="AB256" s="9" t="s">
        <v>3191</v>
      </c>
      <c r="AC256" s="9" t="s">
        <v>2034</v>
      </c>
      <c r="AD256" s="9" t="s">
        <v>58</v>
      </c>
      <c r="AE256" s="9">
        <v>1066400</v>
      </c>
      <c r="AF256" s="11">
        <v>21328</v>
      </c>
      <c r="AG256" s="9"/>
      <c r="AH256" s="9"/>
      <c r="AI256" s="9"/>
      <c r="AJ256" s="12" t="s">
        <v>11634</v>
      </c>
      <c r="AK256" s="13">
        <v>21328</v>
      </c>
      <c r="AL256" s="13"/>
      <c r="AM256" s="14">
        <f t="shared" si="3"/>
        <v>0</v>
      </c>
      <c r="AN256" s="12" t="s">
        <v>12004</v>
      </c>
    </row>
    <row r="257" spans="1:40" x14ac:dyDescent="0.25">
      <c r="A257" s="15">
        <v>256</v>
      </c>
      <c r="B257" s="12" t="s">
        <v>35</v>
      </c>
      <c r="C257" s="12" t="s">
        <v>3192</v>
      </c>
      <c r="D257" s="12" t="s">
        <v>37</v>
      </c>
      <c r="E257" s="12" t="s">
        <v>3193</v>
      </c>
      <c r="F257" s="12" t="s">
        <v>39</v>
      </c>
      <c r="G257" s="12" t="s">
        <v>3194</v>
      </c>
      <c r="H257" s="12" t="s">
        <v>48</v>
      </c>
      <c r="I257" s="12" t="s">
        <v>3195</v>
      </c>
      <c r="J257" s="12" t="s">
        <v>48</v>
      </c>
      <c r="K257" s="12" t="s">
        <v>3196</v>
      </c>
      <c r="L257" s="12">
        <v>1449840</v>
      </c>
      <c r="M257" s="12">
        <v>2589000</v>
      </c>
      <c r="N257" s="12" t="s">
        <v>3197</v>
      </c>
      <c r="O257" s="16">
        <v>45620</v>
      </c>
      <c r="P257" s="12" t="s">
        <v>3198</v>
      </c>
      <c r="Q257" s="12" t="s">
        <v>3199</v>
      </c>
      <c r="R257" s="12" t="s">
        <v>47</v>
      </c>
      <c r="S257" s="12" t="s">
        <v>48</v>
      </c>
      <c r="T257" s="12" t="s">
        <v>2587</v>
      </c>
      <c r="U257" s="12" t="s">
        <v>50</v>
      </c>
      <c r="V257" s="12" t="s">
        <v>211</v>
      </c>
      <c r="W257" s="12" t="s">
        <v>132</v>
      </c>
      <c r="X257" s="12" t="s">
        <v>533</v>
      </c>
      <c r="Y257" s="12" t="s">
        <v>3200</v>
      </c>
      <c r="Z257" s="12">
        <v>4</v>
      </c>
      <c r="AA257" s="12" t="s">
        <v>55</v>
      </c>
      <c r="AB257" s="12" t="s">
        <v>3201</v>
      </c>
      <c r="AC257" s="12" t="s">
        <v>2796</v>
      </c>
      <c r="AD257" s="12" t="s">
        <v>58</v>
      </c>
      <c r="AE257" s="12">
        <v>2071200</v>
      </c>
      <c r="AF257" s="13">
        <v>41424</v>
      </c>
      <c r="AG257" s="12"/>
      <c r="AH257" s="12"/>
      <c r="AI257" s="12"/>
      <c r="AJ257" s="12" t="s">
        <v>11635</v>
      </c>
      <c r="AK257" s="13">
        <v>41424</v>
      </c>
      <c r="AL257" s="13"/>
      <c r="AM257" s="14">
        <f t="shared" si="3"/>
        <v>0</v>
      </c>
      <c r="AN257" s="12" t="s">
        <v>12004</v>
      </c>
    </row>
    <row r="258" spans="1:40" x14ac:dyDescent="0.25">
      <c r="A258" s="8">
        <v>257</v>
      </c>
      <c r="B258" s="9" t="s">
        <v>35</v>
      </c>
      <c r="C258" s="9" t="s">
        <v>3202</v>
      </c>
      <c r="D258" s="9" t="s">
        <v>37</v>
      </c>
      <c r="E258" s="9" t="s">
        <v>3203</v>
      </c>
      <c r="F258" s="9" t="s">
        <v>138</v>
      </c>
      <c r="G258" s="9" t="s">
        <v>3204</v>
      </c>
      <c r="H258" s="9" t="s">
        <v>3205</v>
      </c>
      <c r="I258" s="9" t="s">
        <v>3206</v>
      </c>
      <c r="J258" s="9" t="s">
        <v>3205</v>
      </c>
      <c r="K258" s="9" t="s">
        <v>3207</v>
      </c>
      <c r="L258" s="9">
        <v>1470000</v>
      </c>
      <c r="M258" s="9">
        <v>2100000</v>
      </c>
      <c r="N258" s="9" t="s">
        <v>3208</v>
      </c>
      <c r="O258" s="10">
        <v>45620</v>
      </c>
      <c r="P258" s="9" t="s">
        <v>3209</v>
      </c>
      <c r="Q258" s="9" t="s">
        <v>3210</v>
      </c>
      <c r="R258" s="9" t="s">
        <v>146</v>
      </c>
      <c r="S258" s="9" t="s">
        <v>3211</v>
      </c>
      <c r="T258" s="9" t="s">
        <v>3212</v>
      </c>
      <c r="U258" s="9" t="s">
        <v>335</v>
      </c>
      <c r="V258" s="9" t="s">
        <v>2836</v>
      </c>
      <c r="W258" s="9" t="s">
        <v>132</v>
      </c>
      <c r="X258" s="9" t="s">
        <v>133</v>
      </c>
      <c r="Y258" s="9" t="s">
        <v>3213</v>
      </c>
      <c r="Z258" s="9">
        <v>5</v>
      </c>
      <c r="AA258" s="9" t="s">
        <v>323</v>
      </c>
      <c r="AB258" s="9" t="s">
        <v>3214</v>
      </c>
      <c r="AC258" s="9" t="s">
        <v>3155</v>
      </c>
      <c r="AD258" s="9" t="s">
        <v>299</v>
      </c>
      <c r="AE258" s="9">
        <v>1680000</v>
      </c>
      <c r="AF258" s="11">
        <v>25200</v>
      </c>
      <c r="AG258" s="9"/>
      <c r="AH258" s="9"/>
      <c r="AI258" s="9"/>
      <c r="AJ258" s="12" t="s">
        <v>11636</v>
      </c>
      <c r="AK258" s="13">
        <v>25200</v>
      </c>
      <c r="AL258" s="13"/>
      <c r="AM258" s="14">
        <f t="shared" si="3"/>
        <v>0</v>
      </c>
      <c r="AN258" s="12" t="s">
        <v>12004</v>
      </c>
    </row>
    <row r="259" spans="1:40" x14ac:dyDescent="0.25">
      <c r="A259" s="15">
        <v>258</v>
      </c>
      <c r="B259" s="12" t="s">
        <v>35</v>
      </c>
      <c r="C259" s="12" t="s">
        <v>3215</v>
      </c>
      <c r="D259" s="12" t="s">
        <v>37</v>
      </c>
      <c r="E259" s="12" t="s">
        <v>3216</v>
      </c>
      <c r="F259" s="12" t="s">
        <v>107</v>
      </c>
      <c r="G259" s="12" t="s">
        <v>3217</v>
      </c>
      <c r="H259" s="12" t="s">
        <v>3218</v>
      </c>
      <c r="I259" s="12" t="s">
        <v>3218</v>
      </c>
      <c r="J259" s="12" t="s">
        <v>3218</v>
      </c>
      <c r="K259" s="12" t="s">
        <v>3219</v>
      </c>
      <c r="L259" s="12">
        <v>1890000</v>
      </c>
      <c r="M259" s="12">
        <v>2700000</v>
      </c>
      <c r="N259" s="12" t="s">
        <v>3220</v>
      </c>
      <c r="O259" s="16">
        <v>45620</v>
      </c>
      <c r="P259" s="12" t="s">
        <v>3221</v>
      </c>
      <c r="Q259" s="12" t="s">
        <v>3222</v>
      </c>
      <c r="R259" s="12" t="s">
        <v>146</v>
      </c>
      <c r="S259" s="12" t="s">
        <v>3223</v>
      </c>
      <c r="T259" s="12" t="s">
        <v>3224</v>
      </c>
      <c r="U259" s="12" t="s">
        <v>335</v>
      </c>
      <c r="V259" s="12" t="s">
        <v>2335</v>
      </c>
      <c r="W259" s="12" t="s">
        <v>456</v>
      </c>
      <c r="X259" s="12" t="s">
        <v>457</v>
      </c>
      <c r="Y259" s="12" t="s">
        <v>3225</v>
      </c>
      <c r="Z259" s="12">
        <v>5</v>
      </c>
      <c r="AA259" s="12" t="s">
        <v>227</v>
      </c>
      <c r="AB259" s="12" t="s">
        <v>3226</v>
      </c>
      <c r="AC259" s="12" t="s">
        <v>2428</v>
      </c>
      <c r="AD259" s="12" t="s">
        <v>58</v>
      </c>
      <c r="AE259" s="12">
        <v>2025000</v>
      </c>
      <c r="AF259" s="13">
        <v>40500</v>
      </c>
      <c r="AG259" s="12"/>
      <c r="AH259" s="12"/>
      <c r="AI259" s="12"/>
      <c r="AJ259" s="12" t="s">
        <v>11637</v>
      </c>
      <c r="AK259" s="13">
        <v>40500</v>
      </c>
      <c r="AL259" s="13"/>
      <c r="AM259" s="14">
        <f t="shared" ref="AM259:AM322" si="4">AF259-AK259</f>
        <v>0</v>
      </c>
      <c r="AN259" s="12" t="s">
        <v>12004</v>
      </c>
    </row>
    <row r="260" spans="1:40" x14ac:dyDescent="0.25">
      <c r="A260" s="8">
        <v>259</v>
      </c>
      <c r="B260" s="9" t="s">
        <v>35</v>
      </c>
      <c r="C260" s="9" t="s">
        <v>3227</v>
      </c>
      <c r="D260" s="9" t="s">
        <v>37</v>
      </c>
      <c r="E260" s="9" t="s">
        <v>3228</v>
      </c>
      <c r="F260" s="9" t="s">
        <v>39</v>
      </c>
      <c r="G260" s="9" t="s">
        <v>3229</v>
      </c>
      <c r="H260" s="9" t="s">
        <v>3230</v>
      </c>
      <c r="I260" s="9" t="s">
        <v>3230</v>
      </c>
      <c r="J260" s="9" t="s">
        <v>3231</v>
      </c>
      <c r="K260" s="9" t="s">
        <v>3232</v>
      </c>
      <c r="L260" s="9">
        <v>1715000</v>
      </c>
      <c r="M260" s="9">
        <v>2450000</v>
      </c>
      <c r="N260" s="9" t="s">
        <v>3233</v>
      </c>
      <c r="O260" s="10">
        <v>45620</v>
      </c>
      <c r="P260" s="9" t="s">
        <v>3234</v>
      </c>
      <c r="Q260" s="9" t="s">
        <v>3235</v>
      </c>
      <c r="R260" s="9" t="s">
        <v>146</v>
      </c>
      <c r="S260" s="9" t="s">
        <v>3236</v>
      </c>
      <c r="T260" s="9" t="s">
        <v>3237</v>
      </c>
      <c r="U260" s="9" t="s">
        <v>496</v>
      </c>
      <c r="V260" s="9" t="s">
        <v>3155</v>
      </c>
      <c r="W260" s="9" t="s">
        <v>1053</v>
      </c>
      <c r="X260" s="9" t="s">
        <v>388</v>
      </c>
      <c r="Y260" s="9" t="s">
        <v>3238</v>
      </c>
      <c r="Z260" s="9">
        <v>5</v>
      </c>
      <c r="AA260" s="9" t="s">
        <v>118</v>
      </c>
      <c r="AB260" s="9" t="s">
        <v>3239</v>
      </c>
      <c r="AC260" s="9" t="s">
        <v>2796</v>
      </c>
      <c r="AD260" s="9" t="s">
        <v>299</v>
      </c>
      <c r="AE260" s="9">
        <v>1960000</v>
      </c>
      <c r="AF260" s="11">
        <v>29400</v>
      </c>
      <c r="AG260" s="9"/>
      <c r="AH260" s="9"/>
      <c r="AI260" s="9"/>
      <c r="AJ260" s="12" t="s">
        <v>11638</v>
      </c>
      <c r="AK260" s="13">
        <v>29400</v>
      </c>
      <c r="AL260" s="13"/>
      <c r="AM260" s="14">
        <f t="shared" si="4"/>
        <v>0</v>
      </c>
      <c r="AN260" s="12" t="s">
        <v>12004</v>
      </c>
    </row>
    <row r="261" spans="1:40" x14ac:dyDescent="0.25">
      <c r="A261" s="15">
        <v>260</v>
      </c>
      <c r="B261" s="12" t="s">
        <v>35</v>
      </c>
      <c r="C261" s="12" t="s">
        <v>3240</v>
      </c>
      <c r="D261" s="12" t="s">
        <v>37</v>
      </c>
      <c r="E261" s="12" t="s">
        <v>3241</v>
      </c>
      <c r="F261" s="12" t="s">
        <v>245</v>
      </c>
      <c r="G261" s="12" t="s">
        <v>3242</v>
      </c>
      <c r="H261" s="12" t="s">
        <v>48</v>
      </c>
      <c r="I261" s="12" t="s">
        <v>48</v>
      </c>
      <c r="J261" s="12" t="s">
        <v>48</v>
      </c>
      <c r="K261" s="12" t="s">
        <v>3243</v>
      </c>
      <c r="L261" s="12">
        <v>5063400</v>
      </c>
      <c r="M261" s="12">
        <v>8439000</v>
      </c>
      <c r="N261" s="12" t="s">
        <v>3244</v>
      </c>
      <c r="O261" s="16">
        <v>45620</v>
      </c>
      <c r="P261" s="12" t="s">
        <v>3245</v>
      </c>
      <c r="Q261" s="12" t="s">
        <v>3246</v>
      </c>
      <c r="R261" s="12" t="s">
        <v>47</v>
      </c>
      <c r="S261" s="12" t="s">
        <v>48</v>
      </c>
      <c r="T261" s="12" t="s">
        <v>130</v>
      </c>
      <c r="U261" s="12" t="s">
        <v>98</v>
      </c>
      <c r="V261" s="12" t="s">
        <v>99</v>
      </c>
      <c r="W261" s="12" t="s">
        <v>532</v>
      </c>
      <c r="X261" s="12" t="s">
        <v>533</v>
      </c>
      <c r="Y261" s="12" t="s">
        <v>3247</v>
      </c>
      <c r="Z261" s="12">
        <v>5</v>
      </c>
      <c r="AA261" s="12" t="s">
        <v>55</v>
      </c>
      <c r="AB261" s="12" t="s">
        <v>3248</v>
      </c>
      <c r="AC261" s="12" t="s">
        <v>3035</v>
      </c>
      <c r="AD261" s="12" t="s">
        <v>299</v>
      </c>
      <c r="AE261" s="12">
        <v>6329250</v>
      </c>
      <c r="AF261" s="13">
        <v>94939</v>
      </c>
      <c r="AG261" s="12"/>
      <c r="AH261" s="12"/>
      <c r="AI261" s="12"/>
      <c r="AJ261" s="12" t="s">
        <v>11639</v>
      </c>
      <c r="AK261" s="13">
        <v>94939</v>
      </c>
      <c r="AL261" s="13"/>
      <c r="AM261" s="14">
        <f t="shared" si="4"/>
        <v>0</v>
      </c>
      <c r="AN261" s="12" t="s">
        <v>12004</v>
      </c>
    </row>
    <row r="262" spans="1:40" x14ac:dyDescent="0.25">
      <c r="A262" s="8">
        <v>261</v>
      </c>
      <c r="B262" s="9" t="s">
        <v>35</v>
      </c>
      <c r="C262" s="9" t="s">
        <v>3249</v>
      </c>
      <c r="D262" s="9" t="s">
        <v>37</v>
      </c>
      <c r="E262" s="9" t="s">
        <v>3250</v>
      </c>
      <c r="F262" s="9" t="s">
        <v>138</v>
      </c>
      <c r="G262" s="9" t="s">
        <v>3251</v>
      </c>
      <c r="H262" s="9" t="s">
        <v>48</v>
      </c>
      <c r="I262" s="9" t="s">
        <v>3252</v>
      </c>
      <c r="J262" s="9" t="s">
        <v>48</v>
      </c>
      <c r="K262" s="9" t="s">
        <v>3253</v>
      </c>
      <c r="L262" s="9">
        <v>6410600</v>
      </c>
      <c r="M262" s="9">
        <v>9158000</v>
      </c>
      <c r="N262" s="9" t="s">
        <v>3254</v>
      </c>
      <c r="O262" s="10">
        <v>45620</v>
      </c>
      <c r="P262" s="9" t="s">
        <v>3255</v>
      </c>
      <c r="Q262" s="9" t="s">
        <v>3256</v>
      </c>
      <c r="R262" s="9" t="s">
        <v>47</v>
      </c>
      <c r="S262" s="9" t="s">
        <v>48</v>
      </c>
      <c r="T262" s="9" t="s">
        <v>3257</v>
      </c>
      <c r="U262" s="9" t="s">
        <v>50</v>
      </c>
      <c r="V262" s="9" t="s">
        <v>3258</v>
      </c>
      <c r="W262" s="9" t="s">
        <v>1053</v>
      </c>
      <c r="X262" s="9" t="s">
        <v>388</v>
      </c>
      <c r="Y262" s="9" t="s">
        <v>3259</v>
      </c>
      <c r="Z262" s="9">
        <v>5</v>
      </c>
      <c r="AA262" s="9" t="s">
        <v>323</v>
      </c>
      <c r="AB262" s="9" t="s">
        <v>3260</v>
      </c>
      <c r="AC262" s="9" t="s">
        <v>1627</v>
      </c>
      <c r="AD262" s="9" t="s">
        <v>86</v>
      </c>
      <c r="AE262" s="9">
        <v>7326400</v>
      </c>
      <c r="AF262" s="11">
        <v>128212</v>
      </c>
      <c r="AG262" s="9"/>
      <c r="AH262" s="9"/>
      <c r="AI262" s="9"/>
      <c r="AJ262" s="12" t="s">
        <v>11640</v>
      </c>
      <c r="AK262" s="13">
        <v>128212</v>
      </c>
      <c r="AL262" s="13"/>
      <c r="AM262" s="14">
        <f t="shared" si="4"/>
        <v>0</v>
      </c>
      <c r="AN262" s="12" t="s">
        <v>12004</v>
      </c>
    </row>
    <row r="263" spans="1:40" x14ac:dyDescent="0.25">
      <c r="A263" s="15">
        <v>262</v>
      </c>
      <c r="B263" s="12" t="s">
        <v>35</v>
      </c>
      <c r="C263" s="12" t="s">
        <v>3261</v>
      </c>
      <c r="D263" s="12" t="s">
        <v>37</v>
      </c>
      <c r="E263" s="12" t="s">
        <v>3262</v>
      </c>
      <c r="F263" s="12" t="s">
        <v>406</v>
      </c>
      <c r="G263" s="12" t="s">
        <v>3263</v>
      </c>
      <c r="H263" s="12" t="s">
        <v>3264</v>
      </c>
      <c r="I263" s="12" t="s">
        <v>3265</v>
      </c>
      <c r="J263" s="12" t="s">
        <v>48</v>
      </c>
      <c r="K263" s="12" t="s">
        <v>3266</v>
      </c>
      <c r="L263" s="12">
        <v>2377700</v>
      </c>
      <c r="M263" s="12">
        <v>3658000</v>
      </c>
      <c r="N263" s="12" t="s">
        <v>3267</v>
      </c>
      <c r="O263" s="16">
        <v>45620</v>
      </c>
      <c r="P263" s="12" t="s">
        <v>3268</v>
      </c>
      <c r="Q263" s="12" t="s">
        <v>3269</v>
      </c>
      <c r="R263" s="12" t="s">
        <v>47</v>
      </c>
      <c r="S263" s="12" t="s">
        <v>48</v>
      </c>
      <c r="T263" s="12" t="s">
        <v>1128</v>
      </c>
      <c r="U263" s="12" t="s">
        <v>98</v>
      </c>
      <c r="V263" s="12" t="s">
        <v>3270</v>
      </c>
      <c r="W263" s="12" t="s">
        <v>532</v>
      </c>
      <c r="X263" s="12" t="s">
        <v>533</v>
      </c>
      <c r="Y263" s="12" t="s">
        <v>3271</v>
      </c>
      <c r="Z263" s="12">
        <v>5</v>
      </c>
      <c r="AA263" s="12" t="s">
        <v>118</v>
      </c>
      <c r="AB263" s="12" t="s">
        <v>3272</v>
      </c>
      <c r="AC263" s="12" t="s">
        <v>2335</v>
      </c>
      <c r="AD263" s="12" t="s">
        <v>58</v>
      </c>
      <c r="AE263" s="12">
        <v>2743500</v>
      </c>
      <c r="AF263" s="13">
        <v>54870</v>
      </c>
      <c r="AG263" s="12"/>
      <c r="AH263" s="12"/>
      <c r="AI263" s="12"/>
      <c r="AJ263" s="12" t="s">
        <v>11641</v>
      </c>
      <c r="AK263" s="13">
        <v>54870</v>
      </c>
      <c r="AL263" s="13"/>
      <c r="AM263" s="14">
        <f t="shared" si="4"/>
        <v>0</v>
      </c>
      <c r="AN263" s="12" t="s">
        <v>12004</v>
      </c>
    </row>
    <row r="264" spans="1:40" x14ac:dyDescent="0.25">
      <c r="A264" s="8">
        <v>263</v>
      </c>
      <c r="B264" s="9" t="s">
        <v>35</v>
      </c>
      <c r="C264" s="9" t="s">
        <v>3273</v>
      </c>
      <c r="D264" s="9" t="s">
        <v>37</v>
      </c>
      <c r="E264" s="9" t="s">
        <v>3274</v>
      </c>
      <c r="F264" s="9" t="s">
        <v>138</v>
      </c>
      <c r="G264" s="9" t="s">
        <v>3275</v>
      </c>
      <c r="H264" s="9" t="s">
        <v>3276</v>
      </c>
      <c r="I264" s="9" t="s">
        <v>3276</v>
      </c>
      <c r="J264" s="9" t="s">
        <v>141</v>
      </c>
      <c r="K264" s="9" t="s">
        <v>3277</v>
      </c>
      <c r="L264" s="9">
        <v>1900000</v>
      </c>
      <c r="M264" s="9">
        <v>2375000</v>
      </c>
      <c r="N264" s="9" t="s">
        <v>3278</v>
      </c>
      <c r="O264" s="10">
        <v>45620</v>
      </c>
      <c r="P264" s="9" t="s">
        <v>3279</v>
      </c>
      <c r="Q264" s="9" t="s">
        <v>3280</v>
      </c>
      <c r="R264" s="9" t="s">
        <v>146</v>
      </c>
      <c r="S264" s="9" t="s">
        <v>3281</v>
      </c>
      <c r="T264" s="9" t="s">
        <v>3282</v>
      </c>
      <c r="U264" s="9" t="s">
        <v>50</v>
      </c>
      <c r="V264" s="9" t="s">
        <v>3155</v>
      </c>
      <c r="W264" s="9" t="s">
        <v>1053</v>
      </c>
      <c r="X264" s="9" t="s">
        <v>388</v>
      </c>
      <c r="Y264" s="9" t="s">
        <v>3283</v>
      </c>
      <c r="Z264" s="9">
        <v>5</v>
      </c>
      <c r="AA264" s="9" t="s">
        <v>323</v>
      </c>
      <c r="AB264" s="9" t="s">
        <v>3284</v>
      </c>
      <c r="AC264" s="9" t="s">
        <v>2796</v>
      </c>
      <c r="AD264" s="9" t="s">
        <v>299</v>
      </c>
      <c r="AE264" s="9">
        <v>1900000</v>
      </c>
      <c r="AF264" s="11">
        <v>28500</v>
      </c>
      <c r="AG264" s="9"/>
      <c r="AH264" s="9"/>
      <c r="AI264" s="9"/>
      <c r="AJ264" s="12" t="s">
        <v>11642</v>
      </c>
      <c r="AK264" s="13">
        <v>28500</v>
      </c>
      <c r="AL264" s="13"/>
      <c r="AM264" s="14">
        <f t="shared" si="4"/>
        <v>0</v>
      </c>
      <c r="AN264" s="12" t="s">
        <v>12004</v>
      </c>
    </row>
    <row r="265" spans="1:40" x14ac:dyDescent="0.25">
      <c r="A265" s="15">
        <v>264</v>
      </c>
      <c r="B265" s="12" t="s">
        <v>35</v>
      </c>
      <c r="C265" s="12" t="s">
        <v>3285</v>
      </c>
      <c r="D265" s="12" t="s">
        <v>37</v>
      </c>
      <c r="E265" s="12" t="s">
        <v>3286</v>
      </c>
      <c r="F265" s="12" t="s">
        <v>107</v>
      </c>
      <c r="G265" s="12" t="s">
        <v>3287</v>
      </c>
      <c r="H265" s="12" t="s">
        <v>3288</v>
      </c>
      <c r="I265" s="12" t="s">
        <v>3288</v>
      </c>
      <c r="J265" s="12" t="s">
        <v>3289</v>
      </c>
      <c r="K265" s="12" t="s">
        <v>3290</v>
      </c>
      <c r="L265" s="12">
        <v>927500</v>
      </c>
      <c r="M265" s="12">
        <v>1855000</v>
      </c>
      <c r="N265" s="12" t="s">
        <v>3291</v>
      </c>
      <c r="O265" s="16">
        <v>45621</v>
      </c>
      <c r="P265" s="12" t="s">
        <v>3292</v>
      </c>
      <c r="Q265" s="12" t="s">
        <v>3293</v>
      </c>
      <c r="R265" s="12" t="s">
        <v>47</v>
      </c>
      <c r="S265" s="12" t="s">
        <v>3294</v>
      </c>
      <c r="T265" s="12" t="s">
        <v>67</v>
      </c>
      <c r="U265" s="12" t="s">
        <v>614</v>
      </c>
      <c r="V265" s="12" t="s">
        <v>3295</v>
      </c>
      <c r="W265" s="12" t="s">
        <v>3296</v>
      </c>
      <c r="X265" s="12" t="s">
        <v>457</v>
      </c>
      <c r="Y265" s="12" t="s">
        <v>3297</v>
      </c>
      <c r="Z265" s="12">
        <v>6</v>
      </c>
      <c r="AA265" s="12" t="s">
        <v>227</v>
      </c>
      <c r="AB265" s="12" t="s">
        <v>3298</v>
      </c>
      <c r="AC265" s="12" t="s">
        <v>3296</v>
      </c>
      <c r="AD265" s="12" t="s">
        <v>171</v>
      </c>
      <c r="AE265" s="12">
        <v>1298500</v>
      </c>
      <c r="AF265" s="13">
        <v>32463</v>
      </c>
      <c r="AG265" s="12"/>
      <c r="AH265" s="12"/>
      <c r="AI265" s="12"/>
      <c r="AJ265" s="12" t="s">
        <v>11643</v>
      </c>
      <c r="AK265" s="13">
        <v>32463</v>
      </c>
      <c r="AL265" s="13"/>
      <c r="AM265" s="14">
        <f t="shared" si="4"/>
        <v>0</v>
      </c>
      <c r="AN265" s="12" t="s">
        <v>12004</v>
      </c>
    </row>
    <row r="266" spans="1:40" x14ac:dyDescent="0.25">
      <c r="A266" s="8">
        <v>265</v>
      </c>
      <c r="B266" s="9" t="s">
        <v>35</v>
      </c>
      <c r="C266" s="9" t="s">
        <v>3299</v>
      </c>
      <c r="D266" s="9" t="s">
        <v>37</v>
      </c>
      <c r="E266" s="9" t="s">
        <v>3300</v>
      </c>
      <c r="F266" s="9" t="s">
        <v>245</v>
      </c>
      <c r="G266" s="9" t="s">
        <v>3301</v>
      </c>
      <c r="H266" s="9" t="s">
        <v>3302</v>
      </c>
      <c r="I266" s="9" t="s">
        <v>48</v>
      </c>
      <c r="J266" s="9" t="s">
        <v>141</v>
      </c>
      <c r="K266" s="9" t="s">
        <v>3303</v>
      </c>
      <c r="L266" s="9">
        <v>720000</v>
      </c>
      <c r="M266" s="9">
        <v>900000</v>
      </c>
      <c r="N266" s="9" t="s">
        <v>3304</v>
      </c>
      <c r="O266" s="10">
        <v>45621</v>
      </c>
      <c r="P266" s="9" t="s">
        <v>3305</v>
      </c>
      <c r="Q266" s="9" t="s">
        <v>3306</v>
      </c>
      <c r="R266" s="9" t="s">
        <v>146</v>
      </c>
      <c r="S266" s="9" t="s">
        <v>3307</v>
      </c>
      <c r="T266" s="9" t="s">
        <v>3308</v>
      </c>
      <c r="U266" s="9" t="s">
        <v>496</v>
      </c>
      <c r="V266" s="9" t="s">
        <v>2836</v>
      </c>
      <c r="W266" s="9" t="s">
        <v>132</v>
      </c>
      <c r="X266" s="9" t="s">
        <v>133</v>
      </c>
      <c r="Y266" s="9" t="s">
        <v>3309</v>
      </c>
      <c r="Z266" s="9">
        <v>5</v>
      </c>
      <c r="AA266" s="9" t="s">
        <v>323</v>
      </c>
      <c r="AB266" s="9" t="s">
        <v>3310</v>
      </c>
      <c r="AC266" s="9" t="s">
        <v>1053</v>
      </c>
      <c r="AD266" s="9" t="s">
        <v>299</v>
      </c>
      <c r="AE266" s="9">
        <v>720000</v>
      </c>
      <c r="AF266" s="11">
        <v>10800</v>
      </c>
      <c r="AG266" s="9"/>
      <c r="AH266" s="9"/>
      <c r="AI266" s="9"/>
      <c r="AJ266" s="12" t="s">
        <v>11644</v>
      </c>
      <c r="AK266" s="13">
        <v>10800</v>
      </c>
      <c r="AL266" s="13"/>
      <c r="AM266" s="14">
        <f t="shared" si="4"/>
        <v>0</v>
      </c>
      <c r="AN266" s="12" t="s">
        <v>12004</v>
      </c>
    </row>
    <row r="267" spans="1:40" x14ac:dyDescent="0.25">
      <c r="A267" s="15">
        <v>266</v>
      </c>
      <c r="B267" s="12" t="s">
        <v>35</v>
      </c>
      <c r="C267" s="12" t="s">
        <v>3311</v>
      </c>
      <c r="D267" s="12" t="s">
        <v>37</v>
      </c>
      <c r="E267" s="12" t="s">
        <v>3312</v>
      </c>
      <c r="F267" s="12" t="s">
        <v>525</v>
      </c>
      <c r="G267" s="12" t="s">
        <v>3313</v>
      </c>
      <c r="H267" s="12" t="s">
        <v>631</v>
      </c>
      <c r="I267" s="12" t="s">
        <v>3314</v>
      </c>
      <c r="J267" s="12" t="s">
        <v>3315</v>
      </c>
      <c r="K267" s="12" t="s">
        <v>3316</v>
      </c>
      <c r="L267" s="12">
        <v>1265000</v>
      </c>
      <c r="M267" s="12">
        <v>2300000</v>
      </c>
      <c r="N267" s="12" t="s">
        <v>3317</v>
      </c>
      <c r="O267" s="16">
        <v>45621</v>
      </c>
      <c r="P267" s="12" t="s">
        <v>3318</v>
      </c>
      <c r="Q267" s="12" t="s">
        <v>3319</v>
      </c>
      <c r="R267" s="12" t="s">
        <v>146</v>
      </c>
      <c r="S267" s="12" t="s">
        <v>3320</v>
      </c>
      <c r="T267" s="12" t="s">
        <v>1189</v>
      </c>
      <c r="U267" s="12" t="s">
        <v>903</v>
      </c>
      <c r="V267" s="12" t="s">
        <v>3321</v>
      </c>
      <c r="W267" s="12" t="s">
        <v>532</v>
      </c>
      <c r="X267" s="12" t="s">
        <v>533</v>
      </c>
      <c r="Y267" s="12" t="s">
        <v>3322</v>
      </c>
      <c r="Z267" s="12">
        <v>5</v>
      </c>
      <c r="AA267" s="12" t="s">
        <v>55</v>
      </c>
      <c r="AB267" s="12" t="s">
        <v>3323</v>
      </c>
      <c r="AC267" s="12" t="s">
        <v>456</v>
      </c>
      <c r="AD267" s="12" t="s">
        <v>58</v>
      </c>
      <c r="AE267" s="12">
        <v>1725000</v>
      </c>
      <c r="AF267" s="13">
        <v>34500</v>
      </c>
      <c r="AG267" s="12"/>
      <c r="AH267" s="12"/>
      <c r="AI267" s="12"/>
      <c r="AJ267" s="12" t="s">
        <v>11645</v>
      </c>
      <c r="AK267" s="13">
        <v>34500</v>
      </c>
      <c r="AL267" s="13"/>
      <c r="AM267" s="14">
        <f t="shared" si="4"/>
        <v>0</v>
      </c>
      <c r="AN267" s="12" t="s">
        <v>12004</v>
      </c>
    </row>
    <row r="268" spans="1:40" x14ac:dyDescent="0.25">
      <c r="A268" s="8">
        <v>267</v>
      </c>
      <c r="B268" s="9" t="s">
        <v>35</v>
      </c>
      <c r="C268" s="9" t="s">
        <v>3324</v>
      </c>
      <c r="D268" s="9" t="s">
        <v>37</v>
      </c>
      <c r="E268" s="9" t="s">
        <v>3325</v>
      </c>
      <c r="F268" s="9" t="s">
        <v>245</v>
      </c>
      <c r="G268" s="9" t="s">
        <v>3326</v>
      </c>
      <c r="H268" s="9" t="s">
        <v>3327</v>
      </c>
      <c r="I268" s="9" t="s">
        <v>48</v>
      </c>
      <c r="J268" s="9" t="s">
        <v>3328</v>
      </c>
      <c r="K268" s="9" t="s">
        <v>3329</v>
      </c>
      <c r="L268" s="9">
        <v>1100000</v>
      </c>
      <c r="M268" s="9">
        <v>2000000</v>
      </c>
      <c r="N268" s="9" t="s">
        <v>3330</v>
      </c>
      <c r="O268" s="10">
        <v>45621</v>
      </c>
      <c r="P268" s="9" t="s">
        <v>3331</v>
      </c>
      <c r="Q268" s="9" t="s">
        <v>3332</v>
      </c>
      <c r="R268" s="9" t="s">
        <v>146</v>
      </c>
      <c r="S268" s="9" t="s">
        <v>3333</v>
      </c>
      <c r="T268" s="9" t="s">
        <v>495</v>
      </c>
      <c r="U268" s="9" t="s">
        <v>335</v>
      </c>
      <c r="V268" s="9" t="s">
        <v>3155</v>
      </c>
      <c r="W268" s="9" t="s">
        <v>1053</v>
      </c>
      <c r="X268" s="9" t="s">
        <v>388</v>
      </c>
      <c r="Y268" s="9" t="s">
        <v>3334</v>
      </c>
      <c r="Z268" s="9">
        <v>5</v>
      </c>
      <c r="AA268" s="9" t="s">
        <v>323</v>
      </c>
      <c r="AB268" s="9" t="s">
        <v>3335</v>
      </c>
      <c r="AC268" s="9" t="s">
        <v>2796</v>
      </c>
      <c r="AD268" s="9" t="s">
        <v>299</v>
      </c>
      <c r="AE268" s="9">
        <v>1600000</v>
      </c>
      <c r="AF268" s="11">
        <v>24000</v>
      </c>
      <c r="AG268" s="9"/>
      <c r="AH268" s="9"/>
      <c r="AI268" s="9"/>
      <c r="AJ268" s="12" t="s">
        <v>11646</v>
      </c>
      <c r="AK268" s="13">
        <v>24000</v>
      </c>
      <c r="AL268" s="13"/>
      <c r="AM268" s="14">
        <f t="shared" si="4"/>
        <v>0</v>
      </c>
      <c r="AN268" s="12" t="s">
        <v>12004</v>
      </c>
    </row>
    <row r="269" spans="1:40" x14ac:dyDescent="0.25">
      <c r="A269" s="15">
        <v>268</v>
      </c>
      <c r="B269" s="12" t="s">
        <v>35</v>
      </c>
      <c r="C269" s="12" t="s">
        <v>3336</v>
      </c>
      <c r="D269" s="12" t="s">
        <v>37</v>
      </c>
      <c r="E269" s="12" t="s">
        <v>3337</v>
      </c>
      <c r="F269" s="12" t="s">
        <v>138</v>
      </c>
      <c r="G269" s="12" t="s">
        <v>3338</v>
      </c>
      <c r="H269" s="12" t="s">
        <v>3339</v>
      </c>
      <c r="I269" s="12" t="s">
        <v>3340</v>
      </c>
      <c r="J269" s="12" t="s">
        <v>3339</v>
      </c>
      <c r="K269" s="12" t="s">
        <v>3341</v>
      </c>
      <c r="L269" s="12">
        <v>1190000</v>
      </c>
      <c r="M269" s="12">
        <v>1700000</v>
      </c>
      <c r="N269" s="12" t="s">
        <v>3342</v>
      </c>
      <c r="O269" s="16">
        <v>45621</v>
      </c>
      <c r="P269" s="12" t="s">
        <v>3343</v>
      </c>
      <c r="Q269" s="12" t="s">
        <v>3344</v>
      </c>
      <c r="R269" s="12" t="s">
        <v>146</v>
      </c>
      <c r="S269" s="12" t="s">
        <v>3345</v>
      </c>
      <c r="T269" s="12" t="s">
        <v>2195</v>
      </c>
      <c r="U269" s="12" t="s">
        <v>496</v>
      </c>
      <c r="V269" s="12" t="s">
        <v>2836</v>
      </c>
      <c r="W269" s="12" t="s">
        <v>132</v>
      </c>
      <c r="X269" s="12" t="s">
        <v>133</v>
      </c>
      <c r="Y269" s="12" t="s">
        <v>3346</v>
      </c>
      <c r="Z269" s="12">
        <v>5</v>
      </c>
      <c r="AA269" s="12" t="s">
        <v>323</v>
      </c>
      <c r="AB269" s="12" t="s">
        <v>3347</v>
      </c>
      <c r="AC269" s="12" t="s">
        <v>1053</v>
      </c>
      <c r="AD269" s="12" t="s">
        <v>299</v>
      </c>
      <c r="AE269" s="12">
        <v>1360000</v>
      </c>
      <c r="AF269" s="13">
        <v>20400</v>
      </c>
      <c r="AG269" s="12"/>
      <c r="AH269" s="12"/>
      <c r="AI269" s="12"/>
      <c r="AJ269" s="12" t="s">
        <v>11647</v>
      </c>
      <c r="AK269" s="13">
        <v>20400</v>
      </c>
      <c r="AL269" s="13"/>
      <c r="AM269" s="14">
        <f t="shared" si="4"/>
        <v>0</v>
      </c>
      <c r="AN269" s="12" t="s">
        <v>12004</v>
      </c>
    </row>
    <row r="270" spans="1:40" x14ac:dyDescent="0.25">
      <c r="A270" s="8">
        <v>269</v>
      </c>
      <c r="B270" s="9" t="s">
        <v>35</v>
      </c>
      <c r="C270" s="9" t="s">
        <v>3348</v>
      </c>
      <c r="D270" s="9" t="s">
        <v>37</v>
      </c>
      <c r="E270" s="9" t="s">
        <v>1364</v>
      </c>
      <c r="F270" s="9" t="s">
        <v>39</v>
      </c>
      <c r="G270" s="9" t="s">
        <v>3349</v>
      </c>
      <c r="H270" s="9" t="s">
        <v>3350</v>
      </c>
      <c r="I270" s="9" t="s">
        <v>3351</v>
      </c>
      <c r="J270" s="9" t="s">
        <v>3350</v>
      </c>
      <c r="K270" s="9" t="s">
        <v>3352</v>
      </c>
      <c r="L270" s="9">
        <v>1296400</v>
      </c>
      <c r="M270" s="9">
        <v>1852000</v>
      </c>
      <c r="N270" s="9" t="s">
        <v>3353</v>
      </c>
      <c r="O270" s="10">
        <v>45621</v>
      </c>
      <c r="P270" s="9" t="s">
        <v>3354</v>
      </c>
      <c r="Q270" s="9" t="s">
        <v>3355</v>
      </c>
      <c r="R270" s="9" t="s">
        <v>47</v>
      </c>
      <c r="S270" s="9" t="s">
        <v>48</v>
      </c>
      <c r="T270" s="9" t="s">
        <v>3356</v>
      </c>
      <c r="U270" s="9" t="s">
        <v>50</v>
      </c>
      <c r="V270" s="9" t="s">
        <v>2836</v>
      </c>
      <c r="W270" s="9" t="s">
        <v>132</v>
      </c>
      <c r="X270" s="9" t="s">
        <v>533</v>
      </c>
      <c r="Y270" s="9" t="s">
        <v>3357</v>
      </c>
      <c r="Z270" s="9">
        <v>4</v>
      </c>
      <c r="AA270" s="9" t="s">
        <v>118</v>
      </c>
      <c r="AB270" s="9" t="s">
        <v>3358</v>
      </c>
      <c r="AC270" s="9" t="s">
        <v>1053</v>
      </c>
      <c r="AD270" s="9" t="s">
        <v>58</v>
      </c>
      <c r="AE270" s="9">
        <v>1481600</v>
      </c>
      <c r="AF270" s="11">
        <v>29632</v>
      </c>
      <c r="AG270" s="9"/>
      <c r="AH270" s="9"/>
      <c r="AI270" s="9"/>
      <c r="AJ270" s="12" t="s">
        <v>11648</v>
      </c>
      <c r="AK270" s="13">
        <v>29632</v>
      </c>
      <c r="AL270" s="13"/>
      <c r="AM270" s="14">
        <f t="shared" si="4"/>
        <v>0</v>
      </c>
      <c r="AN270" s="12" t="s">
        <v>12004</v>
      </c>
    </row>
    <row r="271" spans="1:40" x14ac:dyDescent="0.25">
      <c r="A271" s="15">
        <v>270</v>
      </c>
      <c r="B271" s="12" t="s">
        <v>35</v>
      </c>
      <c r="C271" s="12" t="s">
        <v>3359</v>
      </c>
      <c r="D271" s="12" t="s">
        <v>37</v>
      </c>
      <c r="E271" s="12" t="s">
        <v>3360</v>
      </c>
      <c r="F271" s="12" t="s">
        <v>138</v>
      </c>
      <c r="G271" s="12" t="s">
        <v>3361</v>
      </c>
      <c r="H271" s="12" t="s">
        <v>631</v>
      </c>
      <c r="I271" s="12" t="s">
        <v>3362</v>
      </c>
      <c r="J271" s="12" t="s">
        <v>631</v>
      </c>
      <c r="K271" s="12" t="s">
        <v>3363</v>
      </c>
      <c r="L271" s="12">
        <v>1350000</v>
      </c>
      <c r="M271" s="12">
        <v>1800000</v>
      </c>
      <c r="N271" s="12" t="s">
        <v>3364</v>
      </c>
      <c r="O271" s="16">
        <v>45621</v>
      </c>
      <c r="P271" s="12" t="s">
        <v>3365</v>
      </c>
      <c r="Q271" s="12" t="s">
        <v>3366</v>
      </c>
      <c r="R271" s="12" t="s">
        <v>146</v>
      </c>
      <c r="S271" s="12" t="s">
        <v>3367</v>
      </c>
      <c r="T271" s="12" t="s">
        <v>613</v>
      </c>
      <c r="U271" s="12" t="s">
        <v>50</v>
      </c>
      <c r="V271" s="12" t="s">
        <v>3368</v>
      </c>
      <c r="W271" s="12" t="s">
        <v>132</v>
      </c>
      <c r="X271" s="12" t="s">
        <v>133</v>
      </c>
      <c r="Y271" s="12" t="s">
        <v>3369</v>
      </c>
      <c r="Z271" s="12">
        <v>5</v>
      </c>
      <c r="AA271" s="12" t="s">
        <v>323</v>
      </c>
      <c r="AB271" s="12" t="s">
        <v>3370</v>
      </c>
      <c r="AC271" s="12" t="s">
        <v>3155</v>
      </c>
      <c r="AD271" s="12" t="s">
        <v>299</v>
      </c>
      <c r="AE271" s="12">
        <v>1440000</v>
      </c>
      <c r="AF271" s="13">
        <v>21600</v>
      </c>
      <c r="AG271" s="12"/>
      <c r="AH271" s="12"/>
      <c r="AI271" s="12"/>
      <c r="AJ271" s="12" t="s">
        <v>11649</v>
      </c>
      <c r="AK271" s="13">
        <v>21600</v>
      </c>
      <c r="AL271" s="13"/>
      <c r="AM271" s="14">
        <f t="shared" si="4"/>
        <v>0</v>
      </c>
      <c r="AN271" s="12" t="s">
        <v>12004</v>
      </c>
    </row>
    <row r="272" spans="1:40" x14ac:dyDescent="0.25">
      <c r="A272" s="8">
        <v>271</v>
      </c>
      <c r="B272" s="9" t="s">
        <v>35</v>
      </c>
      <c r="C272" s="9" t="s">
        <v>3371</v>
      </c>
      <c r="D272" s="9" t="s">
        <v>37</v>
      </c>
      <c r="E272" s="9" t="s">
        <v>3372</v>
      </c>
      <c r="F272" s="9" t="s">
        <v>138</v>
      </c>
      <c r="G272" s="9" t="s">
        <v>3373</v>
      </c>
      <c r="H272" s="9" t="s">
        <v>3374</v>
      </c>
      <c r="I272" s="9" t="s">
        <v>3374</v>
      </c>
      <c r="J272" s="9" t="s">
        <v>3375</v>
      </c>
      <c r="K272" s="9" t="s">
        <v>3376</v>
      </c>
      <c r="L272" s="9">
        <v>1435000</v>
      </c>
      <c r="M272" s="9">
        <v>2050000</v>
      </c>
      <c r="N272" s="9" t="s">
        <v>3377</v>
      </c>
      <c r="O272" s="10">
        <v>45621</v>
      </c>
      <c r="P272" s="9" t="s">
        <v>3378</v>
      </c>
      <c r="Q272" s="9" t="s">
        <v>3379</v>
      </c>
      <c r="R272" s="9" t="s">
        <v>146</v>
      </c>
      <c r="S272" s="9" t="s">
        <v>3380</v>
      </c>
      <c r="T272" s="9" t="s">
        <v>3381</v>
      </c>
      <c r="U272" s="9" t="s">
        <v>614</v>
      </c>
      <c r="V272" s="9" t="s">
        <v>2836</v>
      </c>
      <c r="W272" s="9" t="s">
        <v>132</v>
      </c>
      <c r="X272" s="9" t="s">
        <v>133</v>
      </c>
      <c r="Y272" s="9" t="s">
        <v>3382</v>
      </c>
      <c r="Z272" s="9">
        <v>5</v>
      </c>
      <c r="AA272" s="9" t="s">
        <v>323</v>
      </c>
      <c r="AB272" s="9" t="s">
        <v>3383</v>
      </c>
      <c r="AC272" s="9" t="s">
        <v>3155</v>
      </c>
      <c r="AD272" s="9" t="s">
        <v>299</v>
      </c>
      <c r="AE272" s="9">
        <v>1640000</v>
      </c>
      <c r="AF272" s="11">
        <v>24600</v>
      </c>
      <c r="AG272" s="9"/>
      <c r="AH272" s="9"/>
      <c r="AI272" s="9"/>
      <c r="AJ272" s="12" t="s">
        <v>11650</v>
      </c>
      <c r="AK272" s="13">
        <v>24600</v>
      </c>
      <c r="AL272" s="13"/>
      <c r="AM272" s="14">
        <f t="shared" si="4"/>
        <v>0</v>
      </c>
      <c r="AN272" s="12" t="s">
        <v>12004</v>
      </c>
    </row>
    <row r="273" spans="1:40" x14ac:dyDescent="0.25">
      <c r="A273" s="15">
        <v>272</v>
      </c>
      <c r="B273" s="12" t="s">
        <v>35</v>
      </c>
      <c r="C273" s="12" t="s">
        <v>3384</v>
      </c>
      <c r="D273" s="12" t="s">
        <v>37</v>
      </c>
      <c r="E273" s="12" t="s">
        <v>3385</v>
      </c>
      <c r="F273" s="12" t="s">
        <v>138</v>
      </c>
      <c r="G273" s="12" t="s">
        <v>3386</v>
      </c>
      <c r="H273" s="12" t="s">
        <v>3387</v>
      </c>
      <c r="I273" s="12" t="s">
        <v>3387</v>
      </c>
      <c r="J273" s="12" t="s">
        <v>141</v>
      </c>
      <c r="K273" s="12" t="s">
        <v>3388</v>
      </c>
      <c r="L273" s="12">
        <v>1960000</v>
      </c>
      <c r="M273" s="12">
        <v>2800000</v>
      </c>
      <c r="N273" s="12" t="s">
        <v>3389</v>
      </c>
      <c r="O273" s="16">
        <v>45621</v>
      </c>
      <c r="P273" s="12" t="s">
        <v>3390</v>
      </c>
      <c r="Q273" s="12" t="s">
        <v>3391</v>
      </c>
      <c r="R273" s="12" t="s">
        <v>146</v>
      </c>
      <c r="S273" s="12" t="s">
        <v>3392</v>
      </c>
      <c r="T273" s="12" t="s">
        <v>1166</v>
      </c>
      <c r="U273" s="12" t="s">
        <v>614</v>
      </c>
      <c r="V273" s="12" t="s">
        <v>3035</v>
      </c>
      <c r="W273" s="12" t="s">
        <v>456</v>
      </c>
      <c r="X273" s="12" t="s">
        <v>457</v>
      </c>
      <c r="Y273" s="12" t="s">
        <v>3393</v>
      </c>
      <c r="Z273" s="12">
        <v>5</v>
      </c>
      <c r="AA273" s="12" t="s">
        <v>55</v>
      </c>
      <c r="AB273" s="12" t="s">
        <v>3394</v>
      </c>
      <c r="AC273" s="12" t="s">
        <v>3035</v>
      </c>
      <c r="AD273" s="12" t="s">
        <v>58</v>
      </c>
      <c r="AE273" s="12">
        <v>2100000</v>
      </c>
      <c r="AF273" s="13">
        <v>42000</v>
      </c>
      <c r="AG273" s="12"/>
      <c r="AH273" s="12"/>
      <c r="AI273" s="12"/>
      <c r="AJ273" s="12" t="s">
        <v>11651</v>
      </c>
      <c r="AK273" s="13">
        <v>42000</v>
      </c>
      <c r="AL273" s="13"/>
      <c r="AM273" s="14">
        <f t="shared" si="4"/>
        <v>0</v>
      </c>
      <c r="AN273" s="12" t="s">
        <v>12004</v>
      </c>
    </row>
    <row r="274" spans="1:40" x14ac:dyDescent="0.25">
      <c r="A274" s="8">
        <v>273</v>
      </c>
      <c r="B274" s="9" t="s">
        <v>35</v>
      </c>
      <c r="C274" s="9" t="s">
        <v>3395</v>
      </c>
      <c r="D274" s="9" t="s">
        <v>37</v>
      </c>
      <c r="E274" s="9" t="s">
        <v>2350</v>
      </c>
      <c r="F274" s="9" t="s">
        <v>107</v>
      </c>
      <c r="G274" s="9" t="s">
        <v>3396</v>
      </c>
      <c r="H274" s="9" t="s">
        <v>3397</v>
      </c>
      <c r="I274" s="9" t="s">
        <v>3397</v>
      </c>
      <c r="J274" s="9" t="s">
        <v>3397</v>
      </c>
      <c r="K274" s="9" t="s">
        <v>3398</v>
      </c>
      <c r="L274" s="9">
        <v>2089500</v>
      </c>
      <c r="M274" s="9">
        <v>2985000</v>
      </c>
      <c r="N274" s="9" t="s">
        <v>3399</v>
      </c>
      <c r="O274" s="10">
        <v>45621</v>
      </c>
      <c r="P274" s="9" t="s">
        <v>3400</v>
      </c>
      <c r="Q274" s="9" t="s">
        <v>3401</v>
      </c>
      <c r="R274" s="9" t="s">
        <v>146</v>
      </c>
      <c r="S274" s="9" t="s">
        <v>3402</v>
      </c>
      <c r="T274" s="9" t="s">
        <v>1397</v>
      </c>
      <c r="U274" s="9" t="s">
        <v>98</v>
      </c>
      <c r="V274" s="9" t="s">
        <v>3321</v>
      </c>
      <c r="W274" s="9" t="s">
        <v>532</v>
      </c>
      <c r="X274" s="9" t="s">
        <v>533</v>
      </c>
      <c r="Y274" s="9" t="s">
        <v>3403</v>
      </c>
      <c r="Z274" s="9">
        <v>5</v>
      </c>
      <c r="AA274" s="9" t="s">
        <v>227</v>
      </c>
      <c r="AB274" s="9" t="s">
        <v>3404</v>
      </c>
      <c r="AC274" s="9" t="s">
        <v>3035</v>
      </c>
      <c r="AD274" s="9" t="s">
        <v>58</v>
      </c>
      <c r="AE274" s="9">
        <v>2238750</v>
      </c>
      <c r="AF274" s="11">
        <v>44775</v>
      </c>
      <c r="AG274" s="9"/>
      <c r="AH274" s="9"/>
      <c r="AI274" s="9"/>
      <c r="AJ274" s="12" t="s">
        <v>11652</v>
      </c>
      <c r="AK274" s="13">
        <v>44775</v>
      </c>
      <c r="AL274" s="13"/>
      <c r="AM274" s="14">
        <f t="shared" si="4"/>
        <v>0</v>
      </c>
      <c r="AN274" s="12" t="s">
        <v>12004</v>
      </c>
    </row>
    <row r="275" spans="1:40" x14ac:dyDescent="0.25">
      <c r="A275" s="15">
        <v>274</v>
      </c>
      <c r="B275" s="12" t="s">
        <v>35</v>
      </c>
      <c r="C275" s="12" t="s">
        <v>3405</v>
      </c>
      <c r="D275" s="12" t="s">
        <v>37</v>
      </c>
      <c r="E275" s="12" t="s">
        <v>3406</v>
      </c>
      <c r="F275" s="12" t="s">
        <v>138</v>
      </c>
      <c r="G275" s="12" t="s">
        <v>3407</v>
      </c>
      <c r="H275" s="12" t="s">
        <v>3408</v>
      </c>
      <c r="I275" s="12" t="s">
        <v>3408</v>
      </c>
      <c r="J275" s="12" t="s">
        <v>3408</v>
      </c>
      <c r="K275" s="12" t="s">
        <v>3409</v>
      </c>
      <c r="L275" s="12">
        <v>2343250</v>
      </c>
      <c r="M275" s="12">
        <v>3605000</v>
      </c>
      <c r="N275" s="12" t="s">
        <v>3410</v>
      </c>
      <c r="O275" s="16">
        <v>45621</v>
      </c>
      <c r="P275" s="12" t="s">
        <v>3411</v>
      </c>
      <c r="Q275" s="12" t="s">
        <v>3412</v>
      </c>
      <c r="R275" s="12" t="s">
        <v>47</v>
      </c>
      <c r="S275" s="12" t="s">
        <v>48</v>
      </c>
      <c r="T275" s="12" t="s">
        <v>1128</v>
      </c>
      <c r="U275" s="12" t="s">
        <v>50</v>
      </c>
      <c r="V275" s="12" t="s">
        <v>2836</v>
      </c>
      <c r="W275" s="12" t="s">
        <v>132</v>
      </c>
      <c r="X275" s="12" t="s">
        <v>533</v>
      </c>
      <c r="Y275" s="12" t="s">
        <v>3413</v>
      </c>
      <c r="Z275" s="12">
        <v>4</v>
      </c>
      <c r="AA275" s="12" t="s">
        <v>323</v>
      </c>
      <c r="AB275" s="12" t="s">
        <v>3414</v>
      </c>
      <c r="AC275" s="12" t="s">
        <v>3155</v>
      </c>
      <c r="AD275" s="12" t="s">
        <v>58</v>
      </c>
      <c r="AE275" s="12">
        <v>2884000</v>
      </c>
      <c r="AF275" s="13">
        <v>57680</v>
      </c>
      <c r="AG275" s="12"/>
      <c r="AH275" s="12"/>
      <c r="AI275" s="12"/>
      <c r="AJ275" s="12" t="s">
        <v>11653</v>
      </c>
      <c r="AK275" s="13">
        <v>57680</v>
      </c>
      <c r="AL275" s="13"/>
      <c r="AM275" s="14">
        <f t="shared" si="4"/>
        <v>0</v>
      </c>
      <c r="AN275" s="12" t="s">
        <v>12004</v>
      </c>
    </row>
    <row r="276" spans="1:40" x14ac:dyDescent="0.25">
      <c r="A276" s="8">
        <v>275</v>
      </c>
      <c r="B276" s="9" t="s">
        <v>35</v>
      </c>
      <c r="C276" s="9" t="s">
        <v>3415</v>
      </c>
      <c r="D276" s="9" t="s">
        <v>37</v>
      </c>
      <c r="E276" s="9" t="s">
        <v>3416</v>
      </c>
      <c r="F276" s="9" t="s">
        <v>245</v>
      </c>
      <c r="G276" s="9" t="s">
        <v>3417</v>
      </c>
      <c r="H276" s="9" t="s">
        <v>3418</v>
      </c>
      <c r="I276" s="9" t="s">
        <v>3419</v>
      </c>
      <c r="J276" s="9" t="s">
        <v>3420</v>
      </c>
      <c r="K276" s="9" t="s">
        <v>3421</v>
      </c>
      <c r="L276" s="9">
        <v>3258000</v>
      </c>
      <c r="M276" s="9">
        <v>5430000</v>
      </c>
      <c r="N276" s="9" t="s">
        <v>3422</v>
      </c>
      <c r="O276" s="10">
        <v>45621</v>
      </c>
      <c r="P276" s="9" t="s">
        <v>3423</v>
      </c>
      <c r="Q276" s="9" t="s">
        <v>3424</v>
      </c>
      <c r="R276" s="9" t="s">
        <v>47</v>
      </c>
      <c r="S276" s="9" t="s">
        <v>48</v>
      </c>
      <c r="T276" s="9" t="s">
        <v>115</v>
      </c>
      <c r="U276" s="9" t="s">
        <v>98</v>
      </c>
      <c r="V276" s="9" t="s">
        <v>415</v>
      </c>
      <c r="W276" s="9" t="s">
        <v>532</v>
      </c>
      <c r="X276" s="9" t="s">
        <v>533</v>
      </c>
      <c r="Y276" s="9" t="s">
        <v>3425</v>
      </c>
      <c r="Z276" s="9">
        <v>5</v>
      </c>
      <c r="AA276" s="9" t="s">
        <v>48</v>
      </c>
      <c r="AB276" s="9" t="s">
        <v>48</v>
      </c>
      <c r="AC276" s="9" t="s">
        <v>48</v>
      </c>
      <c r="AD276" s="9" t="s">
        <v>299</v>
      </c>
      <c r="AE276" s="9">
        <v>4072500</v>
      </c>
      <c r="AF276" s="11">
        <v>61088</v>
      </c>
      <c r="AG276" s="9"/>
      <c r="AH276" s="9"/>
      <c r="AI276" s="9"/>
      <c r="AJ276" s="12" t="s">
        <v>11654</v>
      </c>
      <c r="AK276" s="13">
        <v>61088</v>
      </c>
      <c r="AL276" s="13"/>
      <c r="AM276" s="14">
        <f t="shared" si="4"/>
        <v>0</v>
      </c>
      <c r="AN276" s="12" t="s">
        <v>12004</v>
      </c>
    </row>
    <row r="277" spans="1:40" x14ac:dyDescent="0.25">
      <c r="A277" s="15">
        <v>276</v>
      </c>
      <c r="B277" s="12" t="s">
        <v>35</v>
      </c>
      <c r="C277" s="12" t="s">
        <v>3426</v>
      </c>
      <c r="D277" s="12" t="s">
        <v>37</v>
      </c>
      <c r="E277" s="12" t="s">
        <v>3427</v>
      </c>
      <c r="F277" s="12" t="s">
        <v>525</v>
      </c>
      <c r="G277" s="12" t="s">
        <v>3428</v>
      </c>
      <c r="H277" s="12" t="s">
        <v>631</v>
      </c>
      <c r="I277" s="12" t="s">
        <v>3429</v>
      </c>
      <c r="J277" s="12" t="s">
        <v>3430</v>
      </c>
      <c r="K277" s="12" t="s">
        <v>3431</v>
      </c>
      <c r="L277" s="12">
        <v>1798000</v>
      </c>
      <c r="M277" s="12">
        <v>2900000</v>
      </c>
      <c r="N277" s="12" t="s">
        <v>3432</v>
      </c>
      <c r="O277" s="16">
        <v>45621</v>
      </c>
      <c r="P277" s="12" t="s">
        <v>3433</v>
      </c>
      <c r="Q277" s="12" t="s">
        <v>3434</v>
      </c>
      <c r="R277" s="12" t="s">
        <v>146</v>
      </c>
      <c r="S277" s="12" t="s">
        <v>3435</v>
      </c>
      <c r="T277" s="12" t="s">
        <v>2599</v>
      </c>
      <c r="U277" s="12" t="s">
        <v>496</v>
      </c>
      <c r="V277" s="12" t="s">
        <v>2836</v>
      </c>
      <c r="W277" s="12" t="s">
        <v>132</v>
      </c>
      <c r="X277" s="12" t="s">
        <v>133</v>
      </c>
      <c r="Y277" s="12" t="s">
        <v>3436</v>
      </c>
      <c r="Z277" s="12">
        <v>5</v>
      </c>
      <c r="AA277" s="12" t="s">
        <v>118</v>
      </c>
      <c r="AB277" s="12" t="s">
        <v>3437</v>
      </c>
      <c r="AC277" s="12" t="s">
        <v>2796</v>
      </c>
      <c r="AD277" s="12" t="s">
        <v>299</v>
      </c>
      <c r="AE277" s="12">
        <v>2320000</v>
      </c>
      <c r="AF277" s="13">
        <v>34800</v>
      </c>
      <c r="AG277" s="12"/>
      <c r="AH277" s="12"/>
      <c r="AI277" s="12"/>
      <c r="AJ277" s="12" t="s">
        <v>11655</v>
      </c>
      <c r="AK277" s="13">
        <v>34800</v>
      </c>
      <c r="AL277" s="13"/>
      <c r="AM277" s="14">
        <f t="shared" si="4"/>
        <v>0</v>
      </c>
      <c r="AN277" s="12" t="s">
        <v>12004</v>
      </c>
    </row>
    <row r="278" spans="1:40" x14ac:dyDescent="0.25">
      <c r="A278" s="8">
        <v>277</v>
      </c>
      <c r="B278" s="9" t="s">
        <v>35</v>
      </c>
      <c r="C278" s="9" t="s">
        <v>3438</v>
      </c>
      <c r="D278" s="9" t="s">
        <v>37</v>
      </c>
      <c r="E278" s="9" t="s">
        <v>3439</v>
      </c>
      <c r="F278" s="9" t="s">
        <v>39</v>
      </c>
      <c r="G278" s="9" t="s">
        <v>3440</v>
      </c>
      <c r="H278" s="9" t="s">
        <v>3441</v>
      </c>
      <c r="I278" s="9" t="s">
        <v>3442</v>
      </c>
      <c r="J278" s="9" t="s">
        <v>3443</v>
      </c>
      <c r="K278" s="9" t="s">
        <v>3444</v>
      </c>
      <c r="L278" s="9">
        <v>1396000</v>
      </c>
      <c r="M278" s="9">
        <v>1745000</v>
      </c>
      <c r="N278" s="9" t="s">
        <v>3445</v>
      </c>
      <c r="O278" s="10">
        <v>45622</v>
      </c>
      <c r="P278" s="9" t="s">
        <v>3446</v>
      </c>
      <c r="Q278" s="9" t="s">
        <v>3447</v>
      </c>
      <c r="R278" s="9" t="s">
        <v>47</v>
      </c>
      <c r="S278" s="9" t="s">
        <v>3448</v>
      </c>
      <c r="T278" s="9" t="s">
        <v>3449</v>
      </c>
      <c r="U278" s="9" t="s">
        <v>614</v>
      </c>
      <c r="V278" s="9" t="s">
        <v>3295</v>
      </c>
      <c r="W278" s="9" t="s">
        <v>3296</v>
      </c>
      <c r="X278" s="9" t="s">
        <v>457</v>
      </c>
      <c r="Y278" s="9" t="s">
        <v>3450</v>
      </c>
      <c r="Z278" s="9">
        <v>6</v>
      </c>
      <c r="AA278" s="9" t="s">
        <v>55</v>
      </c>
      <c r="AB278" s="9" t="s">
        <v>3451</v>
      </c>
      <c r="AC278" s="9" t="s">
        <v>3296</v>
      </c>
      <c r="AD278" s="9" t="s">
        <v>171</v>
      </c>
      <c r="AE278" s="9">
        <v>1221500</v>
      </c>
      <c r="AF278" s="11">
        <v>30538</v>
      </c>
      <c r="AG278" s="9"/>
      <c r="AH278" s="9"/>
      <c r="AI278" s="9"/>
      <c r="AJ278" s="12" t="s">
        <v>11656</v>
      </c>
      <c r="AK278" s="13">
        <v>30538</v>
      </c>
      <c r="AL278" s="13"/>
      <c r="AM278" s="14">
        <f t="shared" si="4"/>
        <v>0</v>
      </c>
      <c r="AN278" s="12" t="s">
        <v>12004</v>
      </c>
    </row>
    <row r="279" spans="1:40" x14ac:dyDescent="0.25">
      <c r="A279" s="15">
        <v>278</v>
      </c>
      <c r="B279" s="12" t="s">
        <v>35</v>
      </c>
      <c r="C279" s="12" t="s">
        <v>3452</v>
      </c>
      <c r="D279" s="12" t="s">
        <v>37</v>
      </c>
      <c r="E279" s="12" t="s">
        <v>3453</v>
      </c>
      <c r="F279" s="12" t="s">
        <v>138</v>
      </c>
      <c r="G279" s="12" t="s">
        <v>3454</v>
      </c>
      <c r="H279" s="12" t="s">
        <v>3455</v>
      </c>
      <c r="I279" s="12" t="s">
        <v>3456</v>
      </c>
      <c r="J279" s="12" t="s">
        <v>3456</v>
      </c>
      <c r="K279" s="12" t="s">
        <v>3457</v>
      </c>
      <c r="L279" s="12">
        <v>1064700</v>
      </c>
      <c r="M279" s="12">
        <v>1521000</v>
      </c>
      <c r="N279" s="12" t="s">
        <v>3458</v>
      </c>
      <c r="O279" s="16">
        <v>45622</v>
      </c>
      <c r="P279" s="12" t="s">
        <v>3459</v>
      </c>
      <c r="Q279" s="12" t="s">
        <v>3460</v>
      </c>
      <c r="R279" s="12" t="s">
        <v>47</v>
      </c>
      <c r="S279" s="12" t="s">
        <v>48</v>
      </c>
      <c r="T279" s="12" t="s">
        <v>613</v>
      </c>
      <c r="U279" s="12" t="s">
        <v>50</v>
      </c>
      <c r="V279" s="12" t="s">
        <v>3461</v>
      </c>
      <c r="W279" s="12" t="s">
        <v>132</v>
      </c>
      <c r="X279" s="12" t="s">
        <v>133</v>
      </c>
      <c r="Y279" s="12" t="s">
        <v>3462</v>
      </c>
      <c r="Z279" s="12">
        <v>5</v>
      </c>
      <c r="AA279" s="12" t="s">
        <v>55</v>
      </c>
      <c r="AB279" s="12" t="s">
        <v>3463</v>
      </c>
      <c r="AC279" s="12" t="s">
        <v>2034</v>
      </c>
      <c r="AD279" s="12" t="s">
        <v>58</v>
      </c>
      <c r="AE279" s="12">
        <v>1216800</v>
      </c>
      <c r="AF279" s="13">
        <v>24336</v>
      </c>
      <c r="AG279" s="12"/>
      <c r="AH279" s="12"/>
      <c r="AI279" s="12"/>
      <c r="AJ279" s="12" t="s">
        <v>11657</v>
      </c>
      <c r="AK279" s="13">
        <v>24336</v>
      </c>
      <c r="AL279" s="13"/>
      <c r="AM279" s="14">
        <f t="shared" si="4"/>
        <v>0</v>
      </c>
      <c r="AN279" s="12" t="s">
        <v>12004</v>
      </c>
    </row>
    <row r="280" spans="1:40" x14ac:dyDescent="0.25">
      <c r="A280" s="8">
        <v>279</v>
      </c>
      <c r="B280" s="9" t="s">
        <v>35</v>
      </c>
      <c r="C280" s="9" t="s">
        <v>3464</v>
      </c>
      <c r="D280" s="9" t="s">
        <v>37</v>
      </c>
      <c r="E280" s="9" t="s">
        <v>3465</v>
      </c>
      <c r="F280" s="9" t="s">
        <v>138</v>
      </c>
      <c r="G280" s="9" t="s">
        <v>3466</v>
      </c>
      <c r="H280" s="9" t="s">
        <v>3467</v>
      </c>
      <c r="I280" s="9" t="s">
        <v>3467</v>
      </c>
      <c r="J280" s="9" t="s">
        <v>141</v>
      </c>
      <c r="K280" s="9" t="s">
        <v>3468</v>
      </c>
      <c r="L280" s="9">
        <v>1350000</v>
      </c>
      <c r="M280" s="9">
        <v>1800000</v>
      </c>
      <c r="N280" s="9" t="s">
        <v>3469</v>
      </c>
      <c r="O280" s="10">
        <v>45622</v>
      </c>
      <c r="P280" s="9" t="s">
        <v>3470</v>
      </c>
      <c r="Q280" s="9" t="s">
        <v>3471</v>
      </c>
      <c r="R280" s="9" t="s">
        <v>146</v>
      </c>
      <c r="S280" s="9" t="s">
        <v>3472</v>
      </c>
      <c r="T280" s="9" t="s">
        <v>873</v>
      </c>
      <c r="U280" s="9" t="s">
        <v>903</v>
      </c>
      <c r="V280" s="9" t="s">
        <v>456</v>
      </c>
      <c r="W280" s="9" t="s">
        <v>456</v>
      </c>
      <c r="X280" s="9" t="s">
        <v>457</v>
      </c>
      <c r="Y280" s="9" t="s">
        <v>3473</v>
      </c>
      <c r="Z280" s="9">
        <v>5</v>
      </c>
      <c r="AA280" s="9" t="s">
        <v>55</v>
      </c>
      <c r="AB280" s="9" t="s">
        <v>3474</v>
      </c>
      <c r="AC280" s="9" t="s">
        <v>456</v>
      </c>
      <c r="AD280" s="9" t="s">
        <v>58</v>
      </c>
      <c r="AE280" s="9">
        <v>1350000</v>
      </c>
      <c r="AF280" s="11">
        <v>27000</v>
      </c>
      <c r="AG280" s="9"/>
      <c r="AH280" s="9"/>
      <c r="AI280" s="9"/>
      <c r="AJ280" s="12" t="s">
        <v>11658</v>
      </c>
      <c r="AK280" s="13">
        <v>27000</v>
      </c>
      <c r="AL280" s="13"/>
      <c r="AM280" s="14">
        <f t="shared" si="4"/>
        <v>0</v>
      </c>
      <c r="AN280" s="12" t="s">
        <v>12004</v>
      </c>
    </row>
    <row r="281" spans="1:40" x14ac:dyDescent="0.25">
      <c r="A281" s="15">
        <v>280</v>
      </c>
      <c r="B281" s="12" t="s">
        <v>35</v>
      </c>
      <c r="C281" s="12" t="s">
        <v>3475</v>
      </c>
      <c r="D281" s="12" t="s">
        <v>37</v>
      </c>
      <c r="E281" s="12" t="s">
        <v>1376</v>
      </c>
      <c r="F281" s="12" t="s">
        <v>138</v>
      </c>
      <c r="G281" s="12" t="s">
        <v>3476</v>
      </c>
      <c r="H281" s="12" t="s">
        <v>3477</v>
      </c>
      <c r="I281" s="12" t="s">
        <v>3477</v>
      </c>
      <c r="J281" s="12" t="s">
        <v>3478</v>
      </c>
      <c r="K281" s="12" t="s">
        <v>3479</v>
      </c>
      <c r="L281" s="12">
        <v>1425000</v>
      </c>
      <c r="M281" s="12">
        <v>1900000</v>
      </c>
      <c r="N281" s="12" t="s">
        <v>3480</v>
      </c>
      <c r="O281" s="16">
        <v>45622</v>
      </c>
      <c r="P281" s="12" t="s">
        <v>3481</v>
      </c>
      <c r="Q281" s="12" t="s">
        <v>3482</v>
      </c>
      <c r="R281" s="12" t="s">
        <v>146</v>
      </c>
      <c r="S281" s="12" t="s">
        <v>3483</v>
      </c>
      <c r="T281" s="12" t="s">
        <v>3484</v>
      </c>
      <c r="U281" s="12" t="s">
        <v>614</v>
      </c>
      <c r="V281" s="12" t="s">
        <v>3321</v>
      </c>
      <c r="W281" s="12" t="s">
        <v>532</v>
      </c>
      <c r="X281" s="12" t="s">
        <v>533</v>
      </c>
      <c r="Y281" s="12" t="s">
        <v>3485</v>
      </c>
      <c r="Z281" s="12">
        <v>5</v>
      </c>
      <c r="AA281" s="12" t="s">
        <v>227</v>
      </c>
      <c r="AB281" s="12" t="s">
        <v>3486</v>
      </c>
      <c r="AC281" s="12" t="s">
        <v>456</v>
      </c>
      <c r="AD281" s="12" t="s">
        <v>58</v>
      </c>
      <c r="AE281" s="12">
        <v>1425000</v>
      </c>
      <c r="AF281" s="13">
        <v>28500</v>
      </c>
      <c r="AG281" s="12"/>
      <c r="AH281" s="12"/>
      <c r="AI281" s="12"/>
      <c r="AJ281" s="12" t="s">
        <v>11659</v>
      </c>
      <c r="AK281" s="13">
        <v>28500</v>
      </c>
      <c r="AL281" s="13"/>
      <c r="AM281" s="14">
        <f t="shared" si="4"/>
        <v>0</v>
      </c>
      <c r="AN281" s="12" t="s">
        <v>12004</v>
      </c>
    </row>
    <row r="282" spans="1:40" x14ac:dyDescent="0.25">
      <c r="A282" s="8">
        <v>281</v>
      </c>
      <c r="B282" s="9" t="s">
        <v>35</v>
      </c>
      <c r="C282" s="9" t="s">
        <v>3487</v>
      </c>
      <c r="D282" s="9" t="s">
        <v>37</v>
      </c>
      <c r="E282" s="9" t="s">
        <v>3488</v>
      </c>
      <c r="F282" s="9" t="s">
        <v>39</v>
      </c>
      <c r="G282" s="9" t="s">
        <v>3489</v>
      </c>
      <c r="H282" s="9" t="s">
        <v>3490</v>
      </c>
      <c r="I282" s="9" t="s">
        <v>3491</v>
      </c>
      <c r="J282" s="9" t="s">
        <v>3490</v>
      </c>
      <c r="K282" s="9" t="s">
        <v>3492</v>
      </c>
      <c r="L282" s="9">
        <v>1470000</v>
      </c>
      <c r="M282" s="9">
        <v>2100000</v>
      </c>
      <c r="N282" s="9" t="s">
        <v>3493</v>
      </c>
      <c r="O282" s="10">
        <v>45622</v>
      </c>
      <c r="P282" s="9" t="s">
        <v>3494</v>
      </c>
      <c r="Q282" s="9" t="s">
        <v>3495</v>
      </c>
      <c r="R282" s="9" t="s">
        <v>146</v>
      </c>
      <c r="S282" s="9" t="s">
        <v>3496</v>
      </c>
      <c r="T282" s="9" t="s">
        <v>3497</v>
      </c>
      <c r="U282" s="9" t="s">
        <v>50</v>
      </c>
      <c r="V282" s="9" t="s">
        <v>2836</v>
      </c>
      <c r="W282" s="9" t="s">
        <v>132</v>
      </c>
      <c r="X282" s="9" t="s">
        <v>133</v>
      </c>
      <c r="Y282" s="9" t="s">
        <v>3498</v>
      </c>
      <c r="Z282" s="9">
        <v>5</v>
      </c>
      <c r="AA282" s="9" t="s">
        <v>118</v>
      </c>
      <c r="AB282" s="9" t="s">
        <v>3499</v>
      </c>
      <c r="AC282" s="9" t="s">
        <v>1053</v>
      </c>
      <c r="AD282" s="9" t="s">
        <v>299</v>
      </c>
      <c r="AE282" s="9">
        <v>1680000</v>
      </c>
      <c r="AF282" s="11">
        <v>25200</v>
      </c>
      <c r="AG282" s="9"/>
      <c r="AH282" s="9"/>
      <c r="AI282" s="9"/>
      <c r="AJ282" s="12" t="s">
        <v>11660</v>
      </c>
      <c r="AK282" s="13">
        <v>25200</v>
      </c>
      <c r="AL282" s="13"/>
      <c r="AM282" s="14">
        <f t="shared" si="4"/>
        <v>0</v>
      </c>
      <c r="AN282" s="12" t="s">
        <v>12004</v>
      </c>
    </row>
    <row r="283" spans="1:40" x14ac:dyDescent="0.25">
      <c r="A283" s="15">
        <v>282</v>
      </c>
      <c r="B283" s="12" t="s">
        <v>35</v>
      </c>
      <c r="C283" s="12" t="s">
        <v>3500</v>
      </c>
      <c r="D283" s="12" t="s">
        <v>37</v>
      </c>
      <c r="E283" s="12" t="s">
        <v>3501</v>
      </c>
      <c r="F283" s="12" t="s">
        <v>39</v>
      </c>
      <c r="G283" s="12" t="s">
        <v>3502</v>
      </c>
      <c r="H283" s="12" t="s">
        <v>3503</v>
      </c>
      <c r="I283" s="12" t="s">
        <v>3504</v>
      </c>
      <c r="J283" s="12" t="s">
        <v>3503</v>
      </c>
      <c r="K283" s="12" t="s">
        <v>3505</v>
      </c>
      <c r="L283" s="12">
        <v>1860000</v>
      </c>
      <c r="M283" s="12">
        <v>3100000</v>
      </c>
      <c r="N283" s="12" t="s">
        <v>3506</v>
      </c>
      <c r="O283" s="16">
        <v>45622</v>
      </c>
      <c r="P283" s="12" t="s">
        <v>3507</v>
      </c>
      <c r="Q283" s="12" t="s">
        <v>3508</v>
      </c>
      <c r="R283" s="12" t="s">
        <v>146</v>
      </c>
      <c r="S283" s="12" t="s">
        <v>3509</v>
      </c>
      <c r="T283" s="12" t="s">
        <v>1289</v>
      </c>
      <c r="U283" s="12" t="s">
        <v>614</v>
      </c>
      <c r="V283" s="12" t="s">
        <v>3368</v>
      </c>
      <c r="W283" s="12" t="s">
        <v>132</v>
      </c>
      <c r="X283" s="12" t="s">
        <v>133</v>
      </c>
      <c r="Y283" s="12" t="s">
        <v>3510</v>
      </c>
      <c r="Z283" s="12">
        <v>5</v>
      </c>
      <c r="AA283" s="12" t="s">
        <v>118</v>
      </c>
      <c r="AB283" s="12" t="s">
        <v>3511</v>
      </c>
      <c r="AC283" s="12" t="s">
        <v>1053</v>
      </c>
      <c r="AD283" s="12" t="s">
        <v>299</v>
      </c>
      <c r="AE283" s="12">
        <v>2480000</v>
      </c>
      <c r="AF283" s="13">
        <v>37200</v>
      </c>
      <c r="AG283" s="12"/>
      <c r="AH283" s="12"/>
      <c r="AI283" s="12"/>
      <c r="AJ283" s="12" t="s">
        <v>11661</v>
      </c>
      <c r="AK283" s="13">
        <v>37200</v>
      </c>
      <c r="AL283" s="13"/>
      <c r="AM283" s="14">
        <f t="shared" si="4"/>
        <v>0</v>
      </c>
      <c r="AN283" s="12" t="s">
        <v>12004</v>
      </c>
    </row>
    <row r="284" spans="1:40" x14ac:dyDescent="0.25">
      <c r="A284" s="8">
        <v>283</v>
      </c>
      <c r="B284" s="9" t="s">
        <v>35</v>
      </c>
      <c r="C284" s="9" t="s">
        <v>3512</v>
      </c>
      <c r="D284" s="9" t="s">
        <v>37</v>
      </c>
      <c r="E284" s="9" t="s">
        <v>3513</v>
      </c>
      <c r="F284" s="9" t="s">
        <v>3514</v>
      </c>
      <c r="G284" s="9" t="s">
        <v>3515</v>
      </c>
      <c r="H284" s="9" t="s">
        <v>3516</v>
      </c>
      <c r="I284" s="9" t="s">
        <v>3517</v>
      </c>
      <c r="J284" s="9" t="s">
        <v>3518</v>
      </c>
      <c r="K284" s="9" t="s">
        <v>3519</v>
      </c>
      <c r="L284" s="9">
        <v>2240000</v>
      </c>
      <c r="M284" s="9">
        <v>3200000</v>
      </c>
      <c r="N284" s="9" t="s">
        <v>3520</v>
      </c>
      <c r="O284" s="10">
        <v>45622</v>
      </c>
      <c r="P284" s="9" t="s">
        <v>3521</v>
      </c>
      <c r="Q284" s="9" t="s">
        <v>3522</v>
      </c>
      <c r="R284" s="9" t="s">
        <v>146</v>
      </c>
      <c r="S284" s="9" t="s">
        <v>3523</v>
      </c>
      <c r="T284" s="9" t="s">
        <v>714</v>
      </c>
      <c r="U284" s="9" t="s">
        <v>651</v>
      </c>
      <c r="V284" s="9" t="s">
        <v>2836</v>
      </c>
      <c r="W284" s="9" t="s">
        <v>132</v>
      </c>
      <c r="X284" s="9" t="s">
        <v>133</v>
      </c>
      <c r="Y284" s="9" t="s">
        <v>3524</v>
      </c>
      <c r="Z284" s="9">
        <v>5</v>
      </c>
      <c r="AA284" s="9" t="s">
        <v>323</v>
      </c>
      <c r="AB284" s="9" t="s">
        <v>3525</v>
      </c>
      <c r="AC284" s="9" t="s">
        <v>1053</v>
      </c>
      <c r="AD284" s="9" t="s">
        <v>299</v>
      </c>
      <c r="AE284" s="9">
        <v>2560000</v>
      </c>
      <c r="AF284" s="11">
        <v>38400</v>
      </c>
      <c r="AG284" s="9"/>
      <c r="AH284" s="9"/>
      <c r="AI284" s="9"/>
      <c r="AJ284" s="12" t="s">
        <v>11662</v>
      </c>
      <c r="AK284" s="13">
        <v>38400</v>
      </c>
      <c r="AL284" s="13"/>
      <c r="AM284" s="14">
        <f t="shared" si="4"/>
        <v>0</v>
      </c>
      <c r="AN284" s="12" t="s">
        <v>12004</v>
      </c>
    </row>
    <row r="285" spans="1:40" x14ac:dyDescent="0.25">
      <c r="A285" s="15">
        <v>284</v>
      </c>
      <c r="B285" s="12" t="s">
        <v>35</v>
      </c>
      <c r="C285" s="12" t="s">
        <v>3526</v>
      </c>
      <c r="D285" s="12" t="s">
        <v>37</v>
      </c>
      <c r="E285" s="12" t="s">
        <v>3527</v>
      </c>
      <c r="F285" s="12" t="s">
        <v>138</v>
      </c>
      <c r="G285" s="12" t="s">
        <v>3528</v>
      </c>
      <c r="H285" s="12" t="s">
        <v>1505</v>
      </c>
      <c r="I285" s="12" t="s">
        <v>3529</v>
      </c>
      <c r="J285" s="12" t="s">
        <v>3530</v>
      </c>
      <c r="K285" s="12" t="s">
        <v>3531</v>
      </c>
      <c r="L285" s="12">
        <v>2939480</v>
      </c>
      <c r="M285" s="12">
        <v>6836000</v>
      </c>
      <c r="N285" s="12" t="s">
        <v>3532</v>
      </c>
      <c r="O285" s="16">
        <v>45622</v>
      </c>
      <c r="P285" s="12" t="s">
        <v>3533</v>
      </c>
      <c r="Q285" s="12" t="s">
        <v>3534</v>
      </c>
      <c r="R285" s="12" t="s">
        <v>47</v>
      </c>
      <c r="S285" s="12" t="s">
        <v>48</v>
      </c>
      <c r="T285" s="12" t="s">
        <v>3535</v>
      </c>
      <c r="U285" s="12" t="s">
        <v>50</v>
      </c>
      <c r="V285" s="12" t="s">
        <v>716</v>
      </c>
      <c r="W285" s="12" t="s">
        <v>132</v>
      </c>
      <c r="X285" s="12" t="s">
        <v>133</v>
      </c>
      <c r="Y285" s="12" t="s">
        <v>3536</v>
      </c>
      <c r="Z285" s="12">
        <v>5</v>
      </c>
      <c r="AA285" s="12" t="s">
        <v>323</v>
      </c>
      <c r="AB285" s="12" t="s">
        <v>3537</v>
      </c>
      <c r="AC285" s="12" t="s">
        <v>2796</v>
      </c>
      <c r="AD285" s="12" t="s">
        <v>58</v>
      </c>
      <c r="AE285" s="12">
        <v>5468800</v>
      </c>
      <c r="AF285" s="13">
        <v>109376</v>
      </c>
      <c r="AG285" s="12"/>
      <c r="AH285" s="12"/>
      <c r="AI285" s="12"/>
      <c r="AJ285" s="12" t="s">
        <v>11663</v>
      </c>
      <c r="AK285" s="13">
        <v>109376</v>
      </c>
      <c r="AL285" s="13"/>
      <c r="AM285" s="14">
        <f t="shared" si="4"/>
        <v>0</v>
      </c>
      <c r="AN285" s="12" t="s">
        <v>12004</v>
      </c>
    </row>
    <row r="286" spans="1:40" x14ac:dyDescent="0.25">
      <c r="A286" s="8">
        <v>285</v>
      </c>
      <c r="B286" s="9" t="s">
        <v>35</v>
      </c>
      <c r="C286" s="9" t="s">
        <v>3538</v>
      </c>
      <c r="D286" s="9" t="s">
        <v>37</v>
      </c>
      <c r="E286" s="9" t="s">
        <v>3539</v>
      </c>
      <c r="F286" s="9" t="s">
        <v>107</v>
      </c>
      <c r="G286" s="9" t="s">
        <v>3540</v>
      </c>
      <c r="H286" s="9" t="s">
        <v>3541</v>
      </c>
      <c r="I286" s="9" t="s">
        <v>3541</v>
      </c>
      <c r="J286" s="9" t="s">
        <v>3541</v>
      </c>
      <c r="K286" s="9" t="s">
        <v>3542</v>
      </c>
      <c r="L286" s="9">
        <v>1139418</v>
      </c>
      <c r="M286" s="9">
        <v>2762000</v>
      </c>
      <c r="N286" s="9" t="s">
        <v>3543</v>
      </c>
      <c r="O286" s="10">
        <v>45584</v>
      </c>
      <c r="P286" s="9" t="s">
        <v>3544</v>
      </c>
      <c r="Q286" s="9" t="s">
        <v>3545</v>
      </c>
      <c r="R286" s="9" t="s">
        <v>47</v>
      </c>
      <c r="S286" s="9" t="s">
        <v>48</v>
      </c>
      <c r="T286" s="9" t="s">
        <v>3546</v>
      </c>
      <c r="U286" s="9" t="s">
        <v>148</v>
      </c>
      <c r="V286" s="9" t="s">
        <v>3547</v>
      </c>
      <c r="W286" s="9" t="s">
        <v>3548</v>
      </c>
      <c r="X286" s="9" t="s">
        <v>3549</v>
      </c>
      <c r="Y286" s="9" t="s">
        <v>3550</v>
      </c>
      <c r="Z286" s="9">
        <v>6</v>
      </c>
      <c r="AA286" s="9" t="s">
        <v>152</v>
      </c>
      <c r="AB286" s="9" t="s">
        <v>3551</v>
      </c>
      <c r="AC286" s="9" t="s">
        <v>3552</v>
      </c>
      <c r="AD286" s="9" t="s">
        <v>58</v>
      </c>
      <c r="AE286" s="9">
        <v>2347700</v>
      </c>
      <c r="AF286" s="11">
        <v>46954</v>
      </c>
      <c r="AG286" s="9"/>
      <c r="AH286" s="9"/>
      <c r="AI286" s="9"/>
      <c r="AJ286" s="12" t="s">
        <v>11664</v>
      </c>
      <c r="AK286" s="13">
        <v>44192</v>
      </c>
      <c r="AL286" s="13" t="s">
        <v>12228</v>
      </c>
      <c r="AM286" s="14">
        <f t="shared" si="4"/>
        <v>2762</v>
      </c>
      <c r="AN286" s="12" t="s">
        <v>12004</v>
      </c>
    </row>
    <row r="287" spans="1:40" x14ac:dyDescent="0.25">
      <c r="A287" s="15">
        <v>286</v>
      </c>
      <c r="B287" s="12" t="s">
        <v>35</v>
      </c>
      <c r="C287" s="12" t="s">
        <v>3553</v>
      </c>
      <c r="D287" s="12" t="s">
        <v>37</v>
      </c>
      <c r="E287" s="12" t="s">
        <v>3554</v>
      </c>
      <c r="F287" s="12" t="s">
        <v>138</v>
      </c>
      <c r="G287" s="12" t="s">
        <v>3555</v>
      </c>
      <c r="H287" s="12" t="s">
        <v>3556</v>
      </c>
      <c r="I287" s="12" t="s">
        <v>3556</v>
      </c>
      <c r="J287" s="12" t="s">
        <v>3556</v>
      </c>
      <c r="K287" s="12" t="s">
        <v>3557</v>
      </c>
      <c r="L287" s="12">
        <v>2937500</v>
      </c>
      <c r="M287" s="12">
        <v>6250000</v>
      </c>
      <c r="N287" s="12" t="s">
        <v>3558</v>
      </c>
      <c r="O287" s="12" t="s">
        <v>3559</v>
      </c>
      <c r="P287" s="12" t="s">
        <v>3560</v>
      </c>
      <c r="Q287" s="12" t="s">
        <v>3561</v>
      </c>
      <c r="R287" s="12" t="s">
        <v>146</v>
      </c>
      <c r="S287" s="12" t="s">
        <v>3562</v>
      </c>
      <c r="T287" s="12" t="s">
        <v>3563</v>
      </c>
      <c r="U287" s="12" t="s">
        <v>50</v>
      </c>
      <c r="V287" s="16">
        <v>45257</v>
      </c>
      <c r="W287" s="12" t="s">
        <v>387</v>
      </c>
      <c r="X287" s="12" t="s">
        <v>388</v>
      </c>
      <c r="Y287" s="12" t="s">
        <v>3564</v>
      </c>
      <c r="Z287" s="12">
        <v>3</v>
      </c>
      <c r="AA287" s="12" t="s">
        <v>55</v>
      </c>
      <c r="AB287" s="12" t="s">
        <v>3565</v>
      </c>
      <c r="AC287" s="12" t="s">
        <v>387</v>
      </c>
      <c r="AD287" s="12" t="s">
        <v>86</v>
      </c>
      <c r="AE287" s="12">
        <v>5625000</v>
      </c>
      <c r="AF287" s="13">
        <v>98438</v>
      </c>
      <c r="AG287" s="12"/>
      <c r="AH287" s="12"/>
      <c r="AI287" s="12"/>
      <c r="AJ287" s="12" t="s">
        <v>11665</v>
      </c>
      <c r="AK287" s="13">
        <v>98438</v>
      </c>
      <c r="AL287" s="13"/>
      <c r="AM287" s="14">
        <f t="shared" si="4"/>
        <v>0</v>
      </c>
      <c r="AN287" s="12" t="s">
        <v>12004</v>
      </c>
    </row>
    <row r="288" spans="1:40" x14ac:dyDescent="0.25">
      <c r="A288" s="8">
        <v>287</v>
      </c>
      <c r="B288" s="9" t="s">
        <v>35</v>
      </c>
      <c r="C288" s="9" t="s">
        <v>3566</v>
      </c>
      <c r="D288" s="9" t="s">
        <v>37</v>
      </c>
      <c r="E288" s="9" t="s">
        <v>3567</v>
      </c>
      <c r="F288" s="9" t="s">
        <v>138</v>
      </c>
      <c r="G288" s="9" t="s">
        <v>3568</v>
      </c>
      <c r="H288" s="9" t="s">
        <v>3569</v>
      </c>
      <c r="I288" s="9" t="s">
        <v>3569</v>
      </c>
      <c r="J288" s="9" t="s">
        <v>3569</v>
      </c>
      <c r="K288" s="9" t="s">
        <v>3570</v>
      </c>
      <c r="L288" s="9">
        <v>1113000</v>
      </c>
      <c r="M288" s="9">
        <v>1590000</v>
      </c>
      <c r="N288" s="9" t="s">
        <v>3571</v>
      </c>
      <c r="O288" s="9" t="s">
        <v>3559</v>
      </c>
      <c r="P288" s="9" t="s">
        <v>3572</v>
      </c>
      <c r="Q288" s="9" t="s">
        <v>3573</v>
      </c>
      <c r="R288" s="9" t="s">
        <v>146</v>
      </c>
      <c r="S288" s="9" t="s">
        <v>3574</v>
      </c>
      <c r="T288" s="9" t="s">
        <v>1909</v>
      </c>
      <c r="U288" s="9" t="s">
        <v>651</v>
      </c>
      <c r="V288" s="10">
        <v>45257</v>
      </c>
      <c r="W288" s="9" t="s">
        <v>387</v>
      </c>
      <c r="X288" s="9" t="s">
        <v>2210</v>
      </c>
      <c r="Y288" s="9" t="s">
        <v>3575</v>
      </c>
      <c r="Z288" s="9">
        <v>4</v>
      </c>
      <c r="AA288" s="9" t="s">
        <v>55</v>
      </c>
      <c r="AB288" s="9" t="s">
        <v>3576</v>
      </c>
      <c r="AC288" s="9" t="s">
        <v>387</v>
      </c>
      <c r="AD288" s="9" t="s">
        <v>86</v>
      </c>
      <c r="AE288" s="9">
        <v>1431000</v>
      </c>
      <c r="AF288" s="11">
        <v>25043</v>
      </c>
      <c r="AG288" s="9"/>
      <c r="AH288" s="9"/>
      <c r="AI288" s="9"/>
      <c r="AJ288" s="12" t="s">
        <v>11666</v>
      </c>
      <c r="AK288" s="13">
        <v>25043</v>
      </c>
      <c r="AL288" s="13"/>
      <c r="AM288" s="14">
        <f t="shared" si="4"/>
        <v>0</v>
      </c>
      <c r="AN288" s="12" t="s">
        <v>12004</v>
      </c>
    </row>
    <row r="289" spans="1:40" x14ac:dyDescent="0.25">
      <c r="A289" s="15">
        <v>288</v>
      </c>
      <c r="B289" s="12" t="s">
        <v>35</v>
      </c>
      <c r="C289" s="12" t="s">
        <v>3538</v>
      </c>
      <c r="D289" s="12" t="s">
        <v>37</v>
      </c>
      <c r="E289" s="12" t="s">
        <v>3539</v>
      </c>
      <c r="F289" s="12" t="s">
        <v>107</v>
      </c>
      <c r="G289" s="12" t="s">
        <v>3540</v>
      </c>
      <c r="H289" s="12" t="s">
        <v>3541</v>
      </c>
      <c r="I289" s="12" t="s">
        <v>3541</v>
      </c>
      <c r="J289" s="12" t="s">
        <v>3541</v>
      </c>
      <c r="K289" s="12" t="s">
        <v>3542</v>
      </c>
      <c r="L289" s="12">
        <v>1139418</v>
      </c>
      <c r="M289" s="12">
        <v>2762000</v>
      </c>
      <c r="N289" s="12" t="s">
        <v>3543</v>
      </c>
      <c r="O289" s="12">
        <v>45584</v>
      </c>
      <c r="P289" s="12" t="s">
        <v>3544</v>
      </c>
      <c r="Q289" s="12" t="s">
        <v>3545</v>
      </c>
      <c r="R289" s="12" t="s">
        <v>47</v>
      </c>
      <c r="S289" s="12" t="s">
        <v>48</v>
      </c>
      <c r="T289" s="12" t="s">
        <v>3546</v>
      </c>
      <c r="U289" s="12" t="s">
        <v>148</v>
      </c>
      <c r="V289" s="12" t="s">
        <v>3547</v>
      </c>
      <c r="W289" s="12" t="s">
        <v>3548</v>
      </c>
      <c r="X289" s="12" t="s">
        <v>3549</v>
      </c>
      <c r="Y289" s="12" t="s">
        <v>3550</v>
      </c>
      <c r="Z289" s="12">
        <v>6</v>
      </c>
      <c r="AA289" s="12" t="s">
        <v>152</v>
      </c>
      <c r="AB289" s="12" t="s">
        <v>3551</v>
      </c>
      <c r="AC289" s="12" t="s">
        <v>3552</v>
      </c>
      <c r="AD289" s="12" t="s">
        <v>58</v>
      </c>
      <c r="AE289" s="12">
        <v>2347700</v>
      </c>
      <c r="AF289" s="13">
        <v>46954</v>
      </c>
      <c r="AG289" s="12"/>
      <c r="AH289" s="12" t="s">
        <v>3577</v>
      </c>
      <c r="AI289" s="12"/>
      <c r="AJ289" s="12" t="s">
        <v>11664</v>
      </c>
      <c r="AK289" s="13">
        <v>44192</v>
      </c>
      <c r="AL289" s="13" t="s">
        <v>12228</v>
      </c>
      <c r="AM289" s="14">
        <f t="shared" si="4"/>
        <v>2762</v>
      </c>
      <c r="AN289" s="12" t="s">
        <v>12004</v>
      </c>
    </row>
    <row r="290" spans="1:40" x14ac:dyDescent="0.25">
      <c r="A290" s="8">
        <v>289</v>
      </c>
      <c r="B290" s="9" t="s">
        <v>35</v>
      </c>
      <c r="C290" s="9" t="s">
        <v>3578</v>
      </c>
      <c r="D290" s="9" t="s">
        <v>37</v>
      </c>
      <c r="E290" s="9" t="s">
        <v>3579</v>
      </c>
      <c r="F290" s="9" t="s">
        <v>107</v>
      </c>
      <c r="G290" s="9" t="s">
        <v>3580</v>
      </c>
      <c r="H290" s="9" t="s">
        <v>3581</v>
      </c>
      <c r="I290" s="9" t="s">
        <v>3582</v>
      </c>
      <c r="J290" s="9" t="s">
        <v>3583</v>
      </c>
      <c r="K290" s="9" t="s">
        <v>3584</v>
      </c>
      <c r="L290" s="9">
        <v>1123228</v>
      </c>
      <c r="M290" s="9">
        <v>1975000</v>
      </c>
      <c r="N290" s="9" t="s">
        <v>3585</v>
      </c>
      <c r="O290" s="9" t="s">
        <v>3586</v>
      </c>
      <c r="P290" s="9" t="s">
        <v>3587</v>
      </c>
      <c r="Q290" s="9" t="s">
        <v>3588</v>
      </c>
      <c r="R290" s="9" t="s">
        <v>47</v>
      </c>
      <c r="S290" s="9" t="s">
        <v>3589</v>
      </c>
      <c r="T290" s="9" t="s">
        <v>3590</v>
      </c>
      <c r="U290" s="9" t="s">
        <v>614</v>
      </c>
      <c r="V290" s="9" t="s">
        <v>3591</v>
      </c>
      <c r="W290" s="9" t="s">
        <v>3592</v>
      </c>
      <c r="X290" s="9" t="s">
        <v>3593</v>
      </c>
      <c r="Y290" s="9" t="s">
        <v>3594</v>
      </c>
      <c r="Z290" s="9">
        <v>7</v>
      </c>
      <c r="AA290" s="9" t="s">
        <v>55</v>
      </c>
      <c r="AB290" s="9" t="s">
        <v>3595</v>
      </c>
      <c r="AC290" s="9" t="s">
        <v>3596</v>
      </c>
      <c r="AD290" s="9" t="s">
        <v>171</v>
      </c>
      <c r="AE290" s="9">
        <v>1481250</v>
      </c>
      <c r="AF290" s="11">
        <v>37031</v>
      </c>
      <c r="AG290" s="9"/>
      <c r="AH290" s="9" t="s">
        <v>3577</v>
      </c>
      <c r="AI290" s="9"/>
      <c r="AJ290" s="12" t="s">
        <v>11667</v>
      </c>
      <c r="AK290" s="13">
        <v>39500</v>
      </c>
      <c r="AL290" s="13" t="s">
        <v>12229</v>
      </c>
      <c r="AM290" s="14">
        <f t="shared" si="4"/>
        <v>-2469</v>
      </c>
      <c r="AN290" s="12" t="s">
        <v>12004</v>
      </c>
    </row>
    <row r="291" spans="1:40" x14ac:dyDescent="0.25">
      <c r="A291" s="15">
        <v>290</v>
      </c>
      <c r="B291" s="12" t="s">
        <v>35</v>
      </c>
      <c r="C291" s="12" t="s">
        <v>3597</v>
      </c>
      <c r="D291" s="12" t="s">
        <v>37</v>
      </c>
      <c r="E291" s="12" t="s">
        <v>3598</v>
      </c>
      <c r="F291" s="12" t="s">
        <v>138</v>
      </c>
      <c r="G291" s="12" t="s">
        <v>3599</v>
      </c>
      <c r="H291" s="12" t="s">
        <v>1505</v>
      </c>
      <c r="I291" s="12" t="s">
        <v>3600</v>
      </c>
      <c r="J291" s="12" t="s">
        <v>3601</v>
      </c>
      <c r="K291" s="12" t="s">
        <v>3602</v>
      </c>
      <c r="L291" s="12">
        <v>737334</v>
      </c>
      <c r="M291" s="12">
        <v>1700000</v>
      </c>
      <c r="N291" s="12" t="s">
        <v>3603</v>
      </c>
      <c r="O291" s="16">
        <v>45592</v>
      </c>
      <c r="P291" s="12" t="s">
        <v>3604</v>
      </c>
      <c r="Q291" s="12" t="s">
        <v>3605</v>
      </c>
      <c r="R291" s="12" t="s">
        <v>1215</v>
      </c>
      <c r="S291" s="12" t="s">
        <v>3606</v>
      </c>
      <c r="T291" s="12" t="s">
        <v>3607</v>
      </c>
      <c r="U291" s="12" t="s">
        <v>335</v>
      </c>
      <c r="V291" s="12" t="s">
        <v>3608</v>
      </c>
      <c r="W291" s="12" t="s">
        <v>3609</v>
      </c>
      <c r="X291" s="12" t="s">
        <v>3610</v>
      </c>
      <c r="Y291" s="12" t="s">
        <v>3611</v>
      </c>
      <c r="Z291" s="12">
        <v>7</v>
      </c>
      <c r="AA291" s="12" t="s">
        <v>55</v>
      </c>
      <c r="AB291" s="12" t="s">
        <v>3612</v>
      </c>
      <c r="AC291" s="12" t="s">
        <v>3613</v>
      </c>
      <c r="AD291" s="12" t="s">
        <v>171</v>
      </c>
      <c r="AE291" s="12">
        <v>1275000</v>
      </c>
      <c r="AF291" s="13">
        <v>31875</v>
      </c>
      <c r="AG291" s="12"/>
      <c r="AH291" s="12" t="s">
        <v>3577</v>
      </c>
      <c r="AI291" s="12"/>
      <c r="AJ291" s="12" t="s">
        <v>11668</v>
      </c>
      <c r="AK291" s="13">
        <v>31875</v>
      </c>
      <c r="AL291" s="13"/>
      <c r="AM291" s="14">
        <f t="shared" si="4"/>
        <v>0</v>
      </c>
      <c r="AN291" s="12" t="s">
        <v>12004</v>
      </c>
    </row>
    <row r="292" spans="1:40" x14ac:dyDescent="0.25">
      <c r="A292" s="8">
        <v>291</v>
      </c>
      <c r="B292" s="9" t="s">
        <v>35</v>
      </c>
      <c r="C292" s="9" t="s">
        <v>3614</v>
      </c>
      <c r="D292" s="9" t="s">
        <v>37</v>
      </c>
      <c r="E292" s="9" t="s">
        <v>3615</v>
      </c>
      <c r="F292" s="9" t="s">
        <v>138</v>
      </c>
      <c r="G292" s="9" t="s">
        <v>3616</v>
      </c>
      <c r="H292" s="9" t="s">
        <v>3617</v>
      </c>
      <c r="I292" s="9" t="s">
        <v>3617</v>
      </c>
      <c r="J292" s="9" t="s">
        <v>3618</v>
      </c>
      <c r="K292" s="9" t="s">
        <v>3619</v>
      </c>
      <c r="L292" s="9">
        <v>511672</v>
      </c>
      <c r="M292" s="9">
        <v>1460000</v>
      </c>
      <c r="N292" s="9" t="s">
        <v>3620</v>
      </c>
      <c r="O292" s="10">
        <v>45595</v>
      </c>
      <c r="P292" s="9" t="s">
        <v>3621</v>
      </c>
      <c r="Q292" s="9" t="s">
        <v>3622</v>
      </c>
      <c r="R292" s="9" t="s">
        <v>146</v>
      </c>
      <c r="S292" s="9" t="e">
        <v>#N/A</v>
      </c>
      <c r="T292" s="9" t="s">
        <v>2553</v>
      </c>
      <c r="U292" s="9" t="s">
        <v>335</v>
      </c>
      <c r="V292" s="9" t="s">
        <v>3623</v>
      </c>
      <c r="W292" s="9" t="s">
        <v>3609</v>
      </c>
      <c r="X292" s="9" t="s">
        <v>3610</v>
      </c>
      <c r="Y292" s="9" t="s">
        <v>3624</v>
      </c>
      <c r="Z292" s="9">
        <v>7</v>
      </c>
      <c r="AA292" s="9" t="s">
        <v>55</v>
      </c>
      <c r="AB292" s="9" t="s">
        <v>3625</v>
      </c>
      <c r="AC292" s="9" t="s">
        <v>3623</v>
      </c>
      <c r="AD292" s="9" t="s">
        <v>171</v>
      </c>
      <c r="AE292" s="9">
        <v>1021999.9999999999</v>
      </c>
      <c r="AF292" s="11">
        <v>25550</v>
      </c>
      <c r="AG292" s="9"/>
      <c r="AH292" s="9"/>
      <c r="AI292" s="9"/>
      <c r="AJ292" s="12" t="s">
        <v>11669</v>
      </c>
      <c r="AK292" s="13">
        <v>27375</v>
      </c>
      <c r="AL292" s="13" t="s">
        <v>12230</v>
      </c>
      <c r="AM292" s="14">
        <f t="shared" si="4"/>
        <v>-1825</v>
      </c>
      <c r="AN292" s="12" t="s">
        <v>12004</v>
      </c>
    </row>
    <row r="293" spans="1:40" x14ac:dyDescent="0.25">
      <c r="A293" s="15">
        <v>292</v>
      </c>
      <c r="B293" s="12" t="s">
        <v>35</v>
      </c>
      <c r="C293" s="12" t="s">
        <v>3626</v>
      </c>
      <c r="D293" s="12" t="s">
        <v>37</v>
      </c>
      <c r="E293" s="12" t="s">
        <v>3627</v>
      </c>
      <c r="F293" s="12" t="s">
        <v>138</v>
      </c>
      <c r="G293" s="12" t="s">
        <v>3628</v>
      </c>
      <c r="H293" s="12" t="s">
        <v>3629</v>
      </c>
      <c r="I293" s="12" t="s">
        <v>3629</v>
      </c>
      <c r="J293" s="12" t="s">
        <v>3630</v>
      </c>
      <c r="K293" s="12" t="s">
        <v>3631</v>
      </c>
      <c r="L293" s="12">
        <v>475805</v>
      </c>
      <c r="M293" s="12">
        <v>1745000</v>
      </c>
      <c r="N293" s="12" t="s">
        <v>3632</v>
      </c>
      <c r="O293" s="16">
        <v>45595</v>
      </c>
      <c r="P293" s="12" t="s">
        <v>3633</v>
      </c>
      <c r="Q293" s="12" t="s">
        <v>3634</v>
      </c>
      <c r="R293" s="12" t="s">
        <v>47</v>
      </c>
      <c r="S293" s="12" t="s">
        <v>3635</v>
      </c>
      <c r="T293" s="12" t="s">
        <v>3449</v>
      </c>
      <c r="U293" s="12" t="s">
        <v>614</v>
      </c>
      <c r="V293" s="12" t="s">
        <v>3623</v>
      </c>
      <c r="W293" s="12" t="s">
        <v>3609</v>
      </c>
      <c r="X293" s="12" t="s">
        <v>3610</v>
      </c>
      <c r="Y293" s="12" t="s">
        <v>3636</v>
      </c>
      <c r="Z293" s="12">
        <v>7</v>
      </c>
      <c r="AA293" s="12" t="s">
        <v>55</v>
      </c>
      <c r="AB293" s="12" t="s">
        <v>3637</v>
      </c>
      <c r="AC293" s="12" t="s">
        <v>3623</v>
      </c>
      <c r="AD293" s="12" t="s">
        <v>171</v>
      </c>
      <c r="AE293" s="12">
        <v>1221500</v>
      </c>
      <c r="AF293" s="13">
        <v>30538</v>
      </c>
      <c r="AG293" s="12"/>
      <c r="AH293" s="12"/>
      <c r="AI293" s="12"/>
      <c r="AJ293" s="12" t="s">
        <v>11670</v>
      </c>
      <c r="AK293" s="13">
        <v>32719</v>
      </c>
      <c r="AL293" s="13" t="s">
        <v>12231</v>
      </c>
      <c r="AM293" s="14">
        <f t="shared" si="4"/>
        <v>-2181</v>
      </c>
      <c r="AN293" s="12" t="s">
        <v>12004</v>
      </c>
    </row>
    <row r="294" spans="1:40" x14ac:dyDescent="0.25">
      <c r="A294" s="8">
        <v>293</v>
      </c>
      <c r="B294" s="9" t="s">
        <v>35</v>
      </c>
      <c r="C294" s="9" t="s">
        <v>3638</v>
      </c>
      <c r="D294" s="9" t="s">
        <v>37</v>
      </c>
      <c r="E294" s="9" t="s">
        <v>3639</v>
      </c>
      <c r="F294" s="9" t="s">
        <v>107</v>
      </c>
      <c r="G294" s="9" t="s">
        <v>3640</v>
      </c>
      <c r="H294" s="9" t="s">
        <v>3641</v>
      </c>
      <c r="I294" s="9" t="s">
        <v>3641</v>
      </c>
      <c r="J294" s="9" t="s">
        <v>3642</v>
      </c>
      <c r="K294" s="9" t="s">
        <v>3643</v>
      </c>
      <c r="L294" s="9">
        <v>308420</v>
      </c>
      <c r="M294" s="9">
        <v>800000</v>
      </c>
      <c r="N294" s="9" t="s">
        <v>3644</v>
      </c>
      <c r="O294" s="10">
        <v>45595</v>
      </c>
      <c r="P294" s="9" t="s">
        <v>3645</v>
      </c>
      <c r="Q294" s="9" t="s">
        <v>3646</v>
      </c>
      <c r="R294" s="9" t="s">
        <v>146</v>
      </c>
      <c r="S294" s="9" t="s">
        <v>3647</v>
      </c>
      <c r="T294" s="9" t="s">
        <v>3648</v>
      </c>
      <c r="U294" s="9" t="s">
        <v>335</v>
      </c>
      <c r="V294" s="9" t="s">
        <v>99</v>
      </c>
      <c r="W294" s="9" t="s">
        <v>104</v>
      </c>
      <c r="X294" s="9" t="s">
        <v>3610</v>
      </c>
      <c r="Y294" s="9" t="s">
        <v>3649</v>
      </c>
      <c r="Z294" s="9">
        <v>6</v>
      </c>
      <c r="AA294" s="9" t="s">
        <v>227</v>
      </c>
      <c r="AB294" s="9" t="s">
        <v>3650</v>
      </c>
      <c r="AC294" s="9" t="s">
        <v>99</v>
      </c>
      <c r="AD294" s="9" t="s">
        <v>58</v>
      </c>
      <c r="AE294" s="9">
        <v>600000</v>
      </c>
      <c r="AF294" s="11">
        <v>12000</v>
      </c>
      <c r="AG294" s="9"/>
      <c r="AH294" s="9"/>
      <c r="AI294" s="9"/>
      <c r="AJ294" s="12" t="s">
        <v>11671</v>
      </c>
      <c r="AK294" s="13">
        <v>12800</v>
      </c>
      <c r="AL294" s="13" t="s">
        <v>12232</v>
      </c>
      <c r="AM294" s="14">
        <f t="shared" si="4"/>
        <v>-800</v>
      </c>
      <c r="AN294" s="12" t="s">
        <v>12004</v>
      </c>
    </row>
    <row r="295" spans="1:40" x14ac:dyDescent="0.25">
      <c r="A295" s="15">
        <v>294</v>
      </c>
      <c r="B295" s="12" t="s">
        <v>35</v>
      </c>
      <c r="C295" s="12" t="s">
        <v>3651</v>
      </c>
      <c r="D295" s="12" t="s">
        <v>37</v>
      </c>
      <c r="E295" s="12" t="s">
        <v>3652</v>
      </c>
      <c r="F295" s="12" t="s">
        <v>138</v>
      </c>
      <c r="G295" s="12" t="s">
        <v>3653</v>
      </c>
      <c r="H295" s="12" t="s">
        <v>3654</v>
      </c>
      <c r="I295" s="12" t="s">
        <v>3654</v>
      </c>
      <c r="J295" s="12" t="s">
        <v>141</v>
      </c>
      <c r="K295" s="12" t="s">
        <v>3655</v>
      </c>
      <c r="L295" s="12">
        <v>1218050</v>
      </c>
      <c r="M295" s="12">
        <v>1433000</v>
      </c>
      <c r="N295" s="12" t="s">
        <v>3656</v>
      </c>
      <c r="O295" s="16">
        <v>45622</v>
      </c>
      <c r="P295" s="12" t="s">
        <v>3657</v>
      </c>
      <c r="Q295" s="12" t="s">
        <v>3658</v>
      </c>
      <c r="R295" s="12" t="s">
        <v>47</v>
      </c>
      <c r="S295" s="12" t="s">
        <v>48</v>
      </c>
      <c r="T295" s="12" t="s">
        <v>673</v>
      </c>
      <c r="U295" s="12" t="s">
        <v>98</v>
      </c>
      <c r="V295" s="12" t="s">
        <v>456</v>
      </c>
      <c r="W295" s="12" t="s">
        <v>456</v>
      </c>
      <c r="X295" s="12" t="s">
        <v>457</v>
      </c>
      <c r="Y295" s="12" t="s">
        <v>3659</v>
      </c>
      <c r="Z295" s="12">
        <v>5</v>
      </c>
      <c r="AA295" s="12" t="s">
        <v>227</v>
      </c>
      <c r="AB295" s="12" t="s">
        <v>3660</v>
      </c>
      <c r="AC295" s="12" t="s">
        <v>456</v>
      </c>
      <c r="AD295" s="12" t="s">
        <v>58</v>
      </c>
      <c r="AE295" s="12">
        <v>1074750</v>
      </c>
      <c r="AF295" s="13">
        <v>21495</v>
      </c>
      <c r="AG295" s="12"/>
      <c r="AH295" s="12"/>
      <c r="AI295" s="12"/>
      <c r="AJ295" s="12" t="s">
        <v>11672</v>
      </c>
      <c r="AK295" s="13">
        <v>21495</v>
      </c>
      <c r="AL295" s="13"/>
      <c r="AM295" s="14">
        <f t="shared" si="4"/>
        <v>0</v>
      </c>
      <c r="AN295" s="12" t="s">
        <v>12004</v>
      </c>
    </row>
    <row r="296" spans="1:40" x14ac:dyDescent="0.25">
      <c r="A296" s="8">
        <v>295</v>
      </c>
      <c r="B296" s="9" t="s">
        <v>35</v>
      </c>
      <c r="C296" s="9" t="s">
        <v>3661</v>
      </c>
      <c r="D296" s="9" t="s">
        <v>37</v>
      </c>
      <c r="E296" s="9" t="s">
        <v>3662</v>
      </c>
      <c r="F296" s="9" t="s">
        <v>245</v>
      </c>
      <c r="G296" s="9" t="s">
        <v>3663</v>
      </c>
      <c r="H296" s="9" t="s">
        <v>3664</v>
      </c>
      <c r="I296" s="9" t="s">
        <v>48</v>
      </c>
      <c r="J296" s="9" t="s">
        <v>3665</v>
      </c>
      <c r="K296" s="9" t="s">
        <v>3666</v>
      </c>
      <c r="L296" s="9">
        <v>750372</v>
      </c>
      <c r="M296" s="9">
        <v>3115000</v>
      </c>
      <c r="N296" s="9" t="s">
        <v>3667</v>
      </c>
      <c r="O296" s="10">
        <v>45592</v>
      </c>
      <c r="P296" s="9" t="s">
        <v>3668</v>
      </c>
      <c r="Q296" s="9" t="s">
        <v>3669</v>
      </c>
      <c r="R296" s="9" t="s">
        <v>47</v>
      </c>
      <c r="S296" s="9" t="s">
        <v>3670</v>
      </c>
      <c r="T296" s="9" t="s">
        <v>3671</v>
      </c>
      <c r="U296" s="9" t="s">
        <v>614</v>
      </c>
      <c r="V296" s="9" t="s">
        <v>3672</v>
      </c>
      <c r="W296" s="9" t="s">
        <v>3609</v>
      </c>
      <c r="X296" s="9" t="s">
        <v>3610</v>
      </c>
      <c r="Y296" s="9" t="s">
        <v>3673</v>
      </c>
      <c r="Z296" s="9">
        <v>7</v>
      </c>
      <c r="AA296" s="9" t="s">
        <v>227</v>
      </c>
      <c r="AB296" s="9" t="s">
        <v>3674</v>
      </c>
      <c r="AC296" s="9" t="s">
        <v>3675</v>
      </c>
      <c r="AD296" s="9" t="s">
        <v>171</v>
      </c>
      <c r="AE296" s="9">
        <v>2180500</v>
      </c>
      <c r="AF296" s="11">
        <v>54513</v>
      </c>
      <c r="AG296" s="9"/>
      <c r="AH296" s="9"/>
      <c r="AI296" s="9"/>
      <c r="AJ296" s="12" t="s">
        <v>11673</v>
      </c>
      <c r="AK296" s="13">
        <v>58406</v>
      </c>
      <c r="AL296" s="13" t="s">
        <v>12233</v>
      </c>
      <c r="AM296" s="14">
        <f t="shared" si="4"/>
        <v>-3893</v>
      </c>
      <c r="AN296" s="12" t="s">
        <v>12004</v>
      </c>
    </row>
    <row r="297" spans="1:40" x14ac:dyDescent="0.25">
      <c r="A297" s="15">
        <v>296</v>
      </c>
      <c r="B297" s="12" t="s">
        <v>35</v>
      </c>
      <c r="C297" s="12" t="s">
        <v>3676</v>
      </c>
      <c r="D297" s="12" t="s">
        <v>37</v>
      </c>
      <c r="E297" s="12" t="s">
        <v>3677</v>
      </c>
      <c r="F297" s="12" t="s">
        <v>138</v>
      </c>
      <c r="G297" s="12" t="s">
        <v>3678</v>
      </c>
      <c r="H297" s="12" t="s">
        <v>48</v>
      </c>
      <c r="I297" s="12" t="s">
        <v>3679</v>
      </c>
      <c r="J297" s="12" t="s">
        <v>3680</v>
      </c>
      <c r="K297" s="12" t="s">
        <v>3681</v>
      </c>
      <c r="L297" s="12">
        <v>281313</v>
      </c>
      <c r="M297" s="12">
        <v>1450000</v>
      </c>
      <c r="N297" s="12" t="s">
        <v>3682</v>
      </c>
      <c r="O297" s="16">
        <v>45591</v>
      </c>
      <c r="P297" s="12" t="s">
        <v>3683</v>
      </c>
      <c r="Q297" s="12" t="s">
        <v>3684</v>
      </c>
      <c r="R297" s="12" t="s">
        <v>47</v>
      </c>
      <c r="S297" s="12" t="s">
        <v>3685</v>
      </c>
      <c r="T297" s="12" t="s">
        <v>3686</v>
      </c>
      <c r="U297" s="12" t="s">
        <v>651</v>
      </c>
      <c r="V297" s="12" t="s">
        <v>254</v>
      </c>
      <c r="W297" s="12" t="s">
        <v>1849</v>
      </c>
      <c r="X297" s="12" t="s">
        <v>3687</v>
      </c>
      <c r="Y297" s="12" t="s">
        <v>3688</v>
      </c>
      <c r="Z297" s="12">
        <v>6</v>
      </c>
      <c r="AA297" s="12" t="s">
        <v>55</v>
      </c>
      <c r="AB297" s="12" t="s">
        <v>3689</v>
      </c>
      <c r="AC297" s="12" t="s">
        <v>254</v>
      </c>
      <c r="AD297" s="12" t="s">
        <v>58</v>
      </c>
      <c r="AE297" s="12">
        <v>1087500</v>
      </c>
      <c r="AF297" s="13">
        <v>21750</v>
      </c>
      <c r="AG297" s="12"/>
      <c r="AH297" s="12"/>
      <c r="AI297" s="12"/>
      <c r="AJ297" s="12" t="s">
        <v>11674</v>
      </c>
      <c r="AK297" s="13">
        <v>23200</v>
      </c>
      <c r="AL297" s="13" t="s">
        <v>12234</v>
      </c>
      <c r="AM297" s="14">
        <f t="shared" si="4"/>
        <v>-1450</v>
      </c>
      <c r="AN297" s="12" t="s">
        <v>12004</v>
      </c>
    </row>
    <row r="298" spans="1:40" x14ac:dyDescent="0.25">
      <c r="A298" s="8">
        <v>297</v>
      </c>
      <c r="B298" s="9" t="s">
        <v>35</v>
      </c>
      <c r="C298" s="9" t="s">
        <v>3690</v>
      </c>
      <c r="D298" s="9" t="s">
        <v>37</v>
      </c>
      <c r="E298" s="9" t="s">
        <v>3691</v>
      </c>
      <c r="F298" s="9" t="s">
        <v>89</v>
      </c>
      <c r="G298" s="9" t="s">
        <v>3692</v>
      </c>
      <c r="H298" s="9" t="s">
        <v>1505</v>
      </c>
      <c r="I298" s="9" t="s">
        <v>3693</v>
      </c>
      <c r="J298" s="9" t="s">
        <v>3694</v>
      </c>
      <c r="K298" s="9" t="s">
        <v>3695</v>
      </c>
      <c r="L298" s="9">
        <v>2299510</v>
      </c>
      <c r="M298" s="9">
        <v>8439000</v>
      </c>
      <c r="N298" s="9" t="s">
        <v>3696</v>
      </c>
      <c r="O298" s="10">
        <v>45588</v>
      </c>
      <c r="P298" s="9" t="s">
        <v>3697</v>
      </c>
      <c r="Q298" s="9" t="s">
        <v>3698</v>
      </c>
      <c r="R298" s="9" t="s">
        <v>47</v>
      </c>
      <c r="S298" s="9" t="s">
        <v>48</v>
      </c>
      <c r="T298" s="9" t="s">
        <v>3699</v>
      </c>
      <c r="U298" s="9" t="s">
        <v>98</v>
      </c>
      <c r="V298" s="9" t="s">
        <v>3700</v>
      </c>
      <c r="W298" s="9" t="s">
        <v>104</v>
      </c>
      <c r="X298" s="9" t="s">
        <v>3610</v>
      </c>
      <c r="Y298" s="9" t="s">
        <v>3701</v>
      </c>
      <c r="Z298" s="9">
        <v>6</v>
      </c>
      <c r="AA298" s="9" t="s">
        <v>227</v>
      </c>
      <c r="AB298" s="9" t="s">
        <v>3702</v>
      </c>
      <c r="AC298" s="9" t="s">
        <v>3703</v>
      </c>
      <c r="AD298" s="9" t="s">
        <v>299</v>
      </c>
      <c r="AE298" s="9">
        <v>6329250</v>
      </c>
      <c r="AF298" s="11">
        <v>94939</v>
      </c>
      <c r="AG298" s="9"/>
      <c r="AH298" s="9"/>
      <c r="AI298" s="9"/>
      <c r="AJ298" s="12" t="s">
        <v>11675</v>
      </c>
      <c r="AK298" s="13">
        <v>101268</v>
      </c>
      <c r="AL298" s="13" t="s">
        <v>12235</v>
      </c>
      <c r="AM298" s="14">
        <f t="shared" si="4"/>
        <v>-6329</v>
      </c>
      <c r="AN298" s="12" t="s">
        <v>12004</v>
      </c>
    </row>
    <row r="299" spans="1:40" x14ac:dyDescent="0.25">
      <c r="A299" s="15">
        <v>298</v>
      </c>
      <c r="B299" s="12" t="s">
        <v>35</v>
      </c>
      <c r="C299" s="12" t="s">
        <v>3704</v>
      </c>
      <c r="D299" s="12" t="s">
        <v>37</v>
      </c>
      <c r="E299" s="12" t="s">
        <v>3705</v>
      </c>
      <c r="F299" s="12" t="s">
        <v>138</v>
      </c>
      <c r="G299" s="12" t="s">
        <v>3706</v>
      </c>
      <c r="H299" s="12" t="s">
        <v>48</v>
      </c>
      <c r="I299" s="12" t="s">
        <v>3707</v>
      </c>
      <c r="J299" s="12" t="s">
        <v>48</v>
      </c>
      <c r="K299" s="12" t="s">
        <v>3708</v>
      </c>
      <c r="L299" s="12">
        <v>451745</v>
      </c>
      <c r="M299" s="12">
        <v>1308000</v>
      </c>
      <c r="N299" s="12" t="s">
        <v>3709</v>
      </c>
      <c r="O299" s="16">
        <v>45588</v>
      </c>
      <c r="P299" s="12" t="s">
        <v>3710</v>
      </c>
      <c r="Q299" s="12" t="s">
        <v>3711</v>
      </c>
      <c r="R299" s="12" t="s">
        <v>47</v>
      </c>
      <c r="S299" s="12" t="s">
        <v>3712</v>
      </c>
      <c r="T299" s="12" t="s">
        <v>673</v>
      </c>
      <c r="U299" s="12" t="s">
        <v>614</v>
      </c>
      <c r="V299" s="12" t="s">
        <v>3675</v>
      </c>
      <c r="W299" s="12" t="s">
        <v>3713</v>
      </c>
      <c r="X299" s="12" t="s">
        <v>3687</v>
      </c>
      <c r="Y299" s="12" t="s">
        <v>3714</v>
      </c>
      <c r="Z299" s="12">
        <v>7</v>
      </c>
      <c r="AA299" s="12" t="s">
        <v>55</v>
      </c>
      <c r="AB299" s="12" t="s">
        <v>3715</v>
      </c>
      <c r="AC299" s="12" t="s">
        <v>3716</v>
      </c>
      <c r="AD299" s="12" t="s">
        <v>171</v>
      </c>
      <c r="AE299" s="12">
        <v>915600</v>
      </c>
      <c r="AF299" s="13">
        <v>22890</v>
      </c>
      <c r="AG299" s="12"/>
      <c r="AH299" s="12"/>
      <c r="AI299" s="12"/>
      <c r="AJ299" s="12" t="s">
        <v>11676</v>
      </c>
      <c r="AK299" s="13">
        <v>24525</v>
      </c>
      <c r="AL299" s="13" t="s">
        <v>12236</v>
      </c>
      <c r="AM299" s="14">
        <f t="shared" si="4"/>
        <v>-1635</v>
      </c>
      <c r="AN299" s="12" t="s">
        <v>12004</v>
      </c>
    </row>
    <row r="300" spans="1:40" x14ac:dyDescent="0.25">
      <c r="A300" s="8">
        <v>299</v>
      </c>
      <c r="B300" s="9" t="s">
        <v>35</v>
      </c>
      <c r="C300" s="9" t="s">
        <v>3717</v>
      </c>
      <c r="D300" s="9" t="s">
        <v>37</v>
      </c>
      <c r="E300" s="9" t="s">
        <v>3718</v>
      </c>
      <c r="F300" s="9" t="s">
        <v>107</v>
      </c>
      <c r="G300" s="9" t="s">
        <v>3719</v>
      </c>
      <c r="H300" s="9" t="s">
        <v>3720</v>
      </c>
      <c r="I300" s="9" t="s">
        <v>3721</v>
      </c>
      <c r="J300" s="9" t="s">
        <v>3722</v>
      </c>
      <c r="K300" s="9" t="s">
        <v>3723</v>
      </c>
      <c r="L300" s="9">
        <v>1306550</v>
      </c>
      <c r="M300" s="9">
        <v>3733000</v>
      </c>
      <c r="N300" s="9" t="s">
        <v>3724</v>
      </c>
      <c r="O300" s="10">
        <v>45623</v>
      </c>
      <c r="P300" s="9" t="s">
        <v>3725</v>
      </c>
      <c r="Q300" s="9" t="s">
        <v>3726</v>
      </c>
      <c r="R300" s="9" t="s">
        <v>47</v>
      </c>
      <c r="S300" s="9" t="s">
        <v>3727</v>
      </c>
      <c r="T300" s="9" t="s">
        <v>2835</v>
      </c>
      <c r="U300" s="9" t="s">
        <v>614</v>
      </c>
      <c r="V300" s="9" t="s">
        <v>3728</v>
      </c>
      <c r="W300" s="9" t="s">
        <v>3729</v>
      </c>
      <c r="X300" s="9" t="s">
        <v>533</v>
      </c>
      <c r="Y300" s="9" t="s">
        <v>3730</v>
      </c>
      <c r="Z300" s="9">
        <v>6</v>
      </c>
      <c r="AA300" s="9" t="s">
        <v>55</v>
      </c>
      <c r="AB300" s="9" t="s">
        <v>3731</v>
      </c>
      <c r="AC300" s="9" t="s">
        <v>3295</v>
      </c>
      <c r="AD300" s="9" t="s">
        <v>171</v>
      </c>
      <c r="AE300" s="9">
        <v>2613100</v>
      </c>
      <c r="AF300" s="11">
        <v>65328</v>
      </c>
      <c r="AG300" s="9"/>
      <c r="AH300" s="9"/>
      <c r="AI300" s="9"/>
      <c r="AJ300" s="12" t="s">
        <v>11677</v>
      </c>
      <c r="AK300" s="13">
        <v>65328</v>
      </c>
      <c r="AL300" s="13"/>
      <c r="AM300" s="14">
        <f t="shared" si="4"/>
        <v>0</v>
      </c>
      <c r="AN300" s="12" t="s">
        <v>12004</v>
      </c>
    </row>
    <row r="301" spans="1:40" x14ac:dyDescent="0.25">
      <c r="A301" s="15">
        <v>300</v>
      </c>
      <c r="B301" s="12" t="s">
        <v>35</v>
      </c>
      <c r="C301" s="12" t="s">
        <v>3732</v>
      </c>
      <c r="D301" s="12" t="s">
        <v>37</v>
      </c>
      <c r="E301" s="12" t="s">
        <v>3172</v>
      </c>
      <c r="F301" s="12" t="s">
        <v>107</v>
      </c>
      <c r="G301" s="12" t="s">
        <v>3173</v>
      </c>
      <c r="H301" s="12" t="s">
        <v>3174</v>
      </c>
      <c r="I301" s="12" t="s">
        <v>3174</v>
      </c>
      <c r="J301" s="12" t="s">
        <v>3174</v>
      </c>
      <c r="K301" s="12" t="s">
        <v>3175</v>
      </c>
      <c r="L301" s="12">
        <v>1186500</v>
      </c>
      <c r="M301" s="12">
        <v>1695000</v>
      </c>
      <c r="N301" s="12" t="s">
        <v>3733</v>
      </c>
      <c r="O301" s="16">
        <v>45623</v>
      </c>
      <c r="P301" s="12" t="s">
        <v>3734</v>
      </c>
      <c r="Q301" s="12" t="s">
        <v>3735</v>
      </c>
      <c r="R301" s="12" t="s">
        <v>47</v>
      </c>
      <c r="S301" s="12" t="s">
        <v>48</v>
      </c>
      <c r="T301" s="12" t="s">
        <v>224</v>
      </c>
      <c r="U301" s="12" t="s">
        <v>98</v>
      </c>
      <c r="V301" s="12" t="s">
        <v>1862</v>
      </c>
      <c r="W301" s="12" t="s">
        <v>532</v>
      </c>
      <c r="X301" s="12" t="s">
        <v>533</v>
      </c>
      <c r="Y301" s="12" t="s">
        <v>3736</v>
      </c>
      <c r="Z301" s="12">
        <v>5</v>
      </c>
      <c r="AA301" s="12" t="s">
        <v>55</v>
      </c>
      <c r="AB301" s="12" t="s">
        <v>3737</v>
      </c>
      <c r="AC301" s="12" t="s">
        <v>3321</v>
      </c>
      <c r="AD301" s="12" t="s">
        <v>58</v>
      </c>
      <c r="AE301" s="12">
        <v>1271250</v>
      </c>
      <c r="AF301" s="13">
        <v>25425</v>
      </c>
      <c r="AG301" s="12"/>
      <c r="AH301" s="12"/>
      <c r="AI301" s="12"/>
      <c r="AJ301" s="12" t="s">
        <v>11678</v>
      </c>
      <c r="AK301" s="13">
        <v>25425</v>
      </c>
      <c r="AL301" s="13"/>
      <c r="AM301" s="14">
        <f t="shared" si="4"/>
        <v>0</v>
      </c>
      <c r="AN301" s="12" t="s">
        <v>12004</v>
      </c>
    </row>
    <row r="302" spans="1:40" x14ac:dyDescent="0.25">
      <c r="A302" s="8">
        <v>301</v>
      </c>
      <c r="B302" s="9" t="s">
        <v>35</v>
      </c>
      <c r="C302" s="9" t="s">
        <v>3738</v>
      </c>
      <c r="D302" s="9" t="s">
        <v>37</v>
      </c>
      <c r="E302" s="9" t="s">
        <v>3739</v>
      </c>
      <c r="F302" s="9" t="s">
        <v>138</v>
      </c>
      <c r="G302" s="9" t="s">
        <v>3740</v>
      </c>
      <c r="H302" s="9" t="s">
        <v>3741</v>
      </c>
      <c r="I302" s="9" t="s">
        <v>3741</v>
      </c>
      <c r="J302" s="9" t="s">
        <v>3742</v>
      </c>
      <c r="K302" s="9" t="s">
        <v>3743</v>
      </c>
      <c r="L302" s="9">
        <v>904300</v>
      </c>
      <c r="M302" s="9">
        <v>2574000</v>
      </c>
      <c r="N302" s="9" t="s">
        <v>3744</v>
      </c>
      <c r="O302" s="10">
        <v>45586</v>
      </c>
      <c r="P302" s="9" t="s">
        <v>3745</v>
      </c>
      <c r="Q302" s="9" t="s">
        <v>3746</v>
      </c>
      <c r="R302" s="9" t="s">
        <v>47</v>
      </c>
      <c r="S302" s="9" t="s">
        <v>48</v>
      </c>
      <c r="T302" s="9" t="s">
        <v>480</v>
      </c>
      <c r="U302" s="9" t="s">
        <v>98</v>
      </c>
      <c r="V302" s="9" t="s">
        <v>3703</v>
      </c>
      <c r="W302" s="9" t="s">
        <v>1849</v>
      </c>
      <c r="X302" s="9" t="s">
        <v>3687</v>
      </c>
      <c r="Y302" s="9" t="s">
        <v>3747</v>
      </c>
      <c r="Z302" s="9">
        <v>6</v>
      </c>
      <c r="AA302" s="9" t="s">
        <v>227</v>
      </c>
      <c r="AB302" s="9" t="s">
        <v>3748</v>
      </c>
      <c r="AC302" s="9" t="s">
        <v>810</v>
      </c>
      <c r="AD302" s="9" t="s">
        <v>58</v>
      </c>
      <c r="AE302" s="9">
        <v>1930500</v>
      </c>
      <c r="AF302" s="11">
        <v>38610</v>
      </c>
      <c r="AG302" s="9"/>
      <c r="AH302" s="9"/>
      <c r="AI302" s="9"/>
      <c r="AJ302" s="12" t="s">
        <v>11679</v>
      </c>
      <c r="AK302" s="13">
        <v>41184</v>
      </c>
      <c r="AL302" s="13" t="s">
        <v>12237</v>
      </c>
      <c r="AM302" s="14">
        <f t="shared" si="4"/>
        <v>-2574</v>
      </c>
      <c r="AN302" s="12" t="s">
        <v>12004</v>
      </c>
    </row>
    <row r="303" spans="1:40" x14ac:dyDescent="0.25">
      <c r="A303" s="15">
        <v>302</v>
      </c>
      <c r="B303" s="12" t="s">
        <v>35</v>
      </c>
      <c r="C303" s="12" t="s">
        <v>3749</v>
      </c>
      <c r="D303" s="12" t="s">
        <v>37</v>
      </c>
      <c r="E303" s="12" t="s">
        <v>3750</v>
      </c>
      <c r="F303" s="12" t="s">
        <v>245</v>
      </c>
      <c r="G303" s="12" t="s">
        <v>3751</v>
      </c>
      <c r="H303" s="12" t="s">
        <v>3752</v>
      </c>
      <c r="I303" s="12" t="s">
        <v>48</v>
      </c>
      <c r="J303" s="12" t="s">
        <v>3753</v>
      </c>
      <c r="K303" s="12" t="s">
        <v>3754</v>
      </c>
      <c r="L303" s="12">
        <v>556912</v>
      </c>
      <c r="M303" s="12">
        <v>1695000</v>
      </c>
      <c r="N303" s="12" t="s">
        <v>3755</v>
      </c>
      <c r="O303" s="16">
        <v>45586</v>
      </c>
      <c r="P303" s="12" t="s">
        <v>3756</v>
      </c>
      <c r="Q303" s="12" t="s">
        <v>3757</v>
      </c>
      <c r="R303" s="12" t="s">
        <v>47</v>
      </c>
      <c r="S303" s="12" t="s">
        <v>48</v>
      </c>
      <c r="T303" s="12" t="s">
        <v>224</v>
      </c>
      <c r="U303" s="12" t="s">
        <v>98</v>
      </c>
      <c r="V303" s="12" t="s">
        <v>2293</v>
      </c>
      <c r="W303" s="12" t="s">
        <v>1849</v>
      </c>
      <c r="X303" s="12" t="s">
        <v>3687</v>
      </c>
      <c r="Y303" s="12" t="s">
        <v>3758</v>
      </c>
      <c r="Z303" s="12">
        <v>6</v>
      </c>
      <c r="AA303" s="12" t="s">
        <v>55</v>
      </c>
      <c r="AB303" s="12" t="s">
        <v>3759</v>
      </c>
      <c r="AC303" s="12" t="s">
        <v>3760</v>
      </c>
      <c r="AD303" s="12" t="s">
        <v>58</v>
      </c>
      <c r="AE303" s="12">
        <v>1271250</v>
      </c>
      <c r="AF303" s="13">
        <v>25425</v>
      </c>
      <c r="AG303" s="12"/>
      <c r="AH303" s="12"/>
      <c r="AI303" s="12"/>
      <c r="AJ303" s="12" t="s">
        <v>11680</v>
      </c>
      <c r="AK303" s="13">
        <v>27120</v>
      </c>
      <c r="AL303" s="13" t="s">
        <v>12238</v>
      </c>
      <c r="AM303" s="14">
        <f t="shared" si="4"/>
        <v>-1695</v>
      </c>
      <c r="AN303" s="12" t="s">
        <v>12004</v>
      </c>
    </row>
    <row r="304" spans="1:40" x14ac:dyDescent="0.25">
      <c r="A304" s="8">
        <v>303</v>
      </c>
      <c r="B304" s="9" t="s">
        <v>35</v>
      </c>
      <c r="C304" s="9" t="s">
        <v>3761</v>
      </c>
      <c r="D304" s="9" t="s">
        <v>37</v>
      </c>
      <c r="E304" s="9" t="s">
        <v>3762</v>
      </c>
      <c r="F304" s="9" t="s">
        <v>290</v>
      </c>
      <c r="G304" s="9" t="s">
        <v>3763</v>
      </c>
      <c r="H304" s="9" t="s">
        <v>3764</v>
      </c>
      <c r="I304" s="9" t="s">
        <v>3764</v>
      </c>
      <c r="J304" s="9" t="s">
        <v>3764</v>
      </c>
      <c r="K304" s="9" t="s">
        <v>3765</v>
      </c>
      <c r="L304" s="9">
        <v>1650321</v>
      </c>
      <c r="M304" s="9">
        <v>5430000</v>
      </c>
      <c r="N304" s="9" t="s">
        <v>3766</v>
      </c>
      <c r="O304" s="10">
        <v>45584</v>
      </c>
      <c r="P304" s="9" t="s">
        <v>3767</v>
      </c>
      <c r="Q304" s="9" t="s">
        <v>3768</v>
      </c>
      <c r="R304" s="9" t="s">
        <v>47</v>
      </c>
      <c r="S304" s="9" t="s">
        <v>48</v>
      </c>
      <c r="T304" s="9" t="s">
        <v>115</v>
      </c>
      <c r="U304" s="9" t="s">
        <v>98</v>
      </c>
      <c r="V304" s="9" t="s">
        <v>2019</v>
      </c>
      <c r="W304" s="9" t="s">
        <v>3769</v>
      </c>
      <c r="X304" s="9" t="s">
        <v>3770</v>
      </c>
      <c r="Y304" s="9" t="s">
        <v>3771</v>
      </c>
      <c r="Z304" s="9">
        <v>6</v>
      </c>
      <c r="AA304" s="9" t="s">
        <v>48</v>
      </c>
      <c r="AB304" s="9" t="s">
        <v>48</v>
      </c>
      <c r="AC304" s="9" t="s">
        <v>48</v>
      </c>
      <c r="AD304" s="9" t="s">
        <v>299</v>
      </c>
      <c r="AE304" s="9">
        <v>4072500</v>
      </c>
      <c r="AF304" s="11">
        <v>61088</v>
      </c>
      <c r="AG304" s="9"/>
      <c r="AH304" s="9"/>
      <c r="AI304" s="9"/>
      <c r="AJ304" s="12" t="s">
        <v>11681</v>
      </c>
      <c r="AK304" s="13">
        <v>65160</v>
      </c>
      <c r="AL304" s="13" t="s">
        <v>12239</v>
      </c>
      <c r="AM304" s="14">
        <f t="shared" si="4"/>
        <v>-4072</v>
      </c>
      <c r="AN304" s="12" t="s">
        <v>12004</v>
      </c>
    </row>
    <row r="305" spans="1:40" x14ac:dyDescent="0.25">
      <c r="A305" s="15">
        <v>304</v>
      </c>
      <c r="B305" s="12" t="s">
        <v>35</v>
      </c>
      <c r="C305" s="12" t="s">
        <v>3772</v>
      </c>
      <c r="D305" s="12" t="s">
        <v>37</v>
      </c>
      <c r="E305" s="12" t="s">
        <v>3773</v>
      </c>
      <c r="F305" s="12" t="s">
        <v>89</v>
      </c>
      <c r="G305" s="12" t="s">
        <v>3774</v>
      </c>
      <c r="H305" s="12" t="s">
        <v>3775</v>
      </c>
      <c r="I305" s="12" t="s">
        <v>48</v>
      </c>
      <c r="J305" s="12" t="s">
        <v>3776</v>
      </c>
      <c r="K305" s="12" t="s">
        <v>3777</v>
      </c>
      <c r="L305" s="12">
        <v>580255</v>
      </c>
      <c r="M305" s="12">
        <v>1695000</v>
      </c>
      <c r="N305" s="12" t="s">
        <v>3778</v>
      </c>
      <c r="O305" s="16">
        <v>45584</v>
      </c>
      <c r="P305" s="12" t="s">
        <v>3779</v>
      </c>
      <c r="Q305" s="12" t="s">
        <v>3780</v>
      </c>
      <c r="R305" s="12" t="s">
        <v>47</v>
      </c>
      <c r="S305" s="12" t="s">
        <v>48</v>
      </c>
      <c r="T305" s="12" t="s">
        <v>3781</v>
      </c>
      <c r="U305" s="12" t="s">
        <v>98</v>
      </c>
      <c r="V305" s="12" t="s">
        <v>3782</v>
      </c>
      <c r="W305" s="12" t="s">
        <v>104</v>
      </c>
      <c r="X305" s="12" t="s">
        <v>3610</v>
      </c>
      <c r="Y305" s="12" t="s">
        <v>3783</v>
      </c>
      <c r="Z305" s="12">
        <v>6</v>
      </c>
      <c r="AA305" s="12" t="s">
        <v>227</v>
      </c>
      <c r="AB305" s="12" t="s">
        <v>3784</v>
      </c>
      <c r="AC305" s="12" t="s">
        <v>2019</v>
      </c>
      <c r="AD305" s="12" t="s">
        <v>58</v>
      </c>
      <c r="AE305" s="12">
        <v>1271250</v>
      </c>
      <c r="AF305" s="13">
        <v>25425</v>
      </c>
      <c r="AG305" s="12"/>
      <c r="AH305" s="12"/>
      <c r="AI305" s="12"/>
      <c r="AJ305" s="12" t="s">
        <v>11682</v>
      </c>
      <c r="AK305" s="13">
        <v>27120</v>
      </c>
      <c r="AL305" s="13" t="s">
        <v>12240</v>
      </c>
      <c r="AM305" s="14">
        <f t="shared" si="4"/>
        <v>-1695</v>
      </c>
      <c r="AN305" s="12" t="s">
        <v>12004</v>
      </c>
    </row>
    <row r="306" spans="1:40" x14ac:dyDescent="0.25">
      <c r="A306" s="8">
        <v>305</v>
      </c>
      <c r="B306" s="9" t="s">
        <v>35</v>
      </c>
      <c r="C306" s="9" t="s">
        <v>3785</v>
      </c>
      <c r="D306" s="9" t="s">
        <v>37</v>
      </c>
      <c r="E306" s="9" t="s">
        <v>3786</v>
      </c>
      <c r="F306" s="9" t="s">
        <v>245</v>
      </c>
      <c r="G306" s="9" t="s">
        <v>3787</v>
      </c>
      <c r="H306" s="9" t="s">
        <v>3788</v>
      </c>
      <c r="I306" s="9" t="s">
        <v>48</v>
      </c>
      <c r="J306" s="9" t="s">
        <v>3789</v>
      </c>
      <c r="K306" s="9" t="s">
        <v>3790</v>
      </c>
      <c r="L306" s="9">
        <v>1228656</v>
      </c>
      <c r="M306" s="9">
        <v>3981500</v>
      </c>
      <c r="N306" s="9" t="s">
        <v>3791</v>
      </c>
      <c r="O306" s="10">
        <v>45578</v>
      </c>
      <c r="P306" s="9" t="s">
        <v>3792</v>
      </c>
      <c r="Q306" s="9" t="s">
        <v>3793</v>
      </c>
      <c r="R306" s="9" t="s">
        <v>47</v>
      </c>
      <c r="S306" s="9" t="s">
        <v>48</v>
      </c>
      <c r="T306" s="9" t="s">
        <v>97</v>
      </c>
      <c r="U306" s="9" t="s">
        <v>98</v>
      </c>
      <c r="V306" s="9" t="s">
        <v>415</v>
      </c>
      <c r="W306" s="9" t="s">
        <v>3769</v>
      </c>
      <c r="X306" s="9" t="s">
        <v>3770</v>
      </c>
      <c r="Y306" s="9" t="s">
        <v>3794</v>
      </c>
      <c r="Z306" s="9">
        <v>6</v>
      </c>
      <c r="AA306" s="9" t="s">
        <v>55</v>
      </c>
      <c r="AB306" s="9" t="s">
        <v>3795</v>
      </c>
      <c r="AC306" s="9" t="s">
        <v>1862</v>
      </c>
      <c r="AD306" s="9" t="s">
        <v>58</v>
      </c>
      <c r="AE306" s="9">
        <v>2986125</v>
      </c>
      <c r="AF306" s="11">
        <v>59723</v>
      </c>
      <c r="AG306" s="9"/>
      <c r="AH306" s="9"/>
      <c r="AI306" s="9"/>
      <c r="AJ306" s="12" t="s">
        <v>11683</v>
      </c>
      <c r="AK306" s="13">
        <v>63704</v>
      </c>
      <c r="AL306" s="13" t="s">
        <v>12241</v>
      </c>
      <c r="AM306" s="14">
        <f t="shared" si="4"/>
        <v>-3981</v>
      </c>
      <c r="AN306" s="12" t="s">
        <v>12004</v>
      </c>
    </row>
    <row r="307" spans="1:40" x14ac:dyDescent="0.25">
      <c r="A307" s="15">
        <v>306</v>
      </c>
      <c r="B307" s="12" t="s">
        <v>35</v>
      </c>
      <c r="C307" s="12" t="s">
        <v>3796</v>
      </c>
      <c r="D307" s="12" t="s">
        <v>37</v>
      </c>
      <c r="E307" s="12" t="s">
        <v>3797</v>
      </c>
      <c r="F307" s="12" t="s">
        <v>107</v>
      </c>
      <c r="G307" s="12" t="s">
        <v>3798</v>
      </c>
      <c r="H307" s="12" t="s">
        <v>3799</v>
      </c>
      <c r="I307" s="12" t="s">
        <v>3799</v>
      </c>
      <c r="J307" s="12" t="s">
        <v>3799</v>
      </c>
      <c r="K307" s="12" t="s">
        <v>3800</v>
      </c>
      <c r="L307" s="12">
        <v>2072250</v>
      </c>
      <c r="M307" s="12">
        <v>2763000</v>
      </c>
      <c r="N307" s="12" t="s">
        <v>3801</v>
      </c>
      <c r="O307" s="16">
        <v>45623</v>
      </c>
      <c r="P307" s="12" t="s">
        <v>3802</v>
      </c>
      <c r="Q307" s="12" t="s">
        <v>3803</v>
      </c>
      <c r="R307" s="12" t="s">
        <v>47</v>
      </c>
      <c r="S307" s="12" t="s">
        <v>48</v>
      </c>
      <c r="T307" s="12" t="s">
        <v>3804</v>
      </c>
      <c r="U307" s="12" t="s">
        <v>98</v>
      </c>
      <c r="V307" s="12" t="s">
        <v>3321</v>
      </c>
      <c r="W307" s="12" t="s">
        <v>532</v>
      </c>
      <c r="X307" s="12" t="s">
        <v>533</v>
      </c>
      <c r="Y307" s="12" t="s">
        <v>3805</v>
      </c>
      <c r="Z307" s="12">
        <v>5</v>
      </c>
      <c r="AA307" s="12" t="s">
        <v>227</v>
      </c>
      <c r="AB307" s="12" t="s">
        <v>3806</v>
      </c>
      <c r="AC307" s="12" t="s">
        <v>3807</v>
      </c>
      <c r="AD307" s="12" t="s">
        <v>58</v>
      </c>
      <c r="AE307" s="12">
        <v>2072250</v>
      </c>
      <c r="AF307" s="13">
        <v>41445</v>
      </c>
      <c r="AG307" s="12"/>
      <c r="AH307" s="12"/>
      <c r="AI307" s="12"/>
      <c r="AJ307" s="12" t="s">
        <v>11684</v>
      </c>
      <c r="AK307" s="13">
        <v>41445</v>
      </c>
      <c r="AL307" s="13"/>
      <c r="AM307" s="14">
        <f t="shared" si="4"/>
        <v>0</v>
      </c>
      <c r="AN307" s="12" t="s">
        <v>12004</v>
      </c>
    </row>
    <row r="308" spans="1:40" x14ac:dyDescent="0.25">
      <c r="A308" s="8">
        <v>307</v>
      </c>
      <c r="B308" s="9" t="s">
        <v>35</v>
      </c>
      <c r="C308" s="9" t="s">
        <v>3808</v>
      </c>
      <c r="D308" s="9" t="s">
        <v>37</v>
      </c>
      <c r="E308" s="9" t="s">
        <v>3809</v>
      </c>
      <c r="F308" s="9" t="s">
        <v>107</v>
      </c>
      <c r="G308" s="9" t="s">
        <v>3810</v>
      </c>
      <c r="H308" s="9" t="s">
        <v>3811</v>
      </c>
      <c r="I308" s="9" t="s">
        <v>3811</v>
      </c>
      <c r="J308" s="9" t="s">
        <v>3812</v>
      </c>
      <c r="K308" s="9" t="s">
        <v>3813</v>
      </c>
      <c r="L308" s="9">
        <v>2116000</v>
      </c>
      <c r="M308" s="9">
        <v>2645000</v>
      </c>
      <c r="N308" s="9" t="s">
        <v>3814</v>
      </c>
      <c r="O308" s="10">
        <v>45623</v>
      </c>
      <c r="P308" s="9" t="s">
        <v>3815</v>
      </c>
      <c r="Q308" s="9" t="s">
        <v>3816</v>
      </c>
      <c r="R308" s="9" t="s">
        <v>47</v>
      </c>
      <c r="S308" s="9" t="s">
        <v>48</v>
      </c>
      <c r="T308" s="9" t="s">
        <v>3817</v>
      </c>
      <c r="U308" s="9" t="s">
        <v>98</v>
      </c>
      <c r="V308" s="9" t="s">
        <v>99</v>
      </c>
      <c r="W308" s="9" t="s">
        <v>532</v>
      </c>
      <c r="X308" s="9" t="s">
        <v>533</v>
      </c>
      <c r="Y308" s="9" t="s">
        <v>3818</v>
      </c>
      <c r="Z308" s="9">
        <v>5</v>
      </c>
      <c r="AA308" s="9" t="s">
        <v>55</v>
      </c>
      <c r="AB308" s="9" t="s">
        <v>3819</v>
      </c>
      <c r="AC308" s="9" t="s">
        <v>3807</v>
      </c>
      <c r="AD308" s="9" t="s">
        <v>58</v>
      </c>
      <c r="AE308" s="9">
        <v>1983750</v>
      </c>
      <c r="AF308" s="11">
        <v>39675</v>
      </c>
      <c r="AG308" s="9"/>
      <c r="AH308" s="9"/>
      <c r="AI308" s="9"/>
      <c r="AJ308" s="12" t="s">
        <v>11685</v>
      </c>
      <c r="AK308" s="13">
        <v>39675</v>
      </c>
      <c r="AL308" s="13"/>
      <c r="AM308" s="14">
        <f t="shared" si="4"/>
        <v>0</v>
      </c>
      <c r="AN308" s="12" t="s">
        <v>12004</v>
      </c>
    </row>
    <row r="309" spans="1:40" x14ac:dyDescent="0.25">
      <c r="A309" s="15">
        <v>308</v>
      </c>
      <c r="B309" s="12" t="s">
        <v>35</v>
      </c>
      <c r="C309" s="12" t="s">
        <v>3820</v>
      </c>
      <c r="D309" s="12" t="s">
        <v>37</v>
      </c>
      <c r="E309" s="12" t="s">
        <v>3821</v>
      </c>
      <c r="F309" s="12" t="s">
        <v>138</v>
      </c>
      <c r="G309" s="12" t="s">
        <v>3822</v>
      </c>
      <c r="H309" s="12" t="s">
        <v>3823</v>
      </c>
      <c r="I309" s="12" t="s">
        <v>3824</v>
      </c>
      <c r="J309" s="12" t="s">
        <v>3823</v>
      </c>
      <c r="K309" s="12" t="s">
        <v>3825</v>
      </c>
      <c r="L309" s="12">
        <v>2486250</v>
      </c>
      <c r="M309" s="12">
        <v>3315000</v>
      </c>
      <c r="N309" s="12" t="s">
        <v>3826</v>
      </c>
      <c r="O309" s="16">
        <v>45623</v>
      </c>
      <c r="P309" s="12" t="s">
        <v>3827</v>
      </c>
      <c r="Q309" s="12" t="s">
        <v>3828</v>
      </c>
      <c r="R309" s="12" t="s">
        <v>47</v>
      </c>
      <c r="S309" s="12" t="s">
        <v>48</v>
      </c>
      <c r="T309" s="12" t="s">
        <v>1189</v>
      </c>
      <c r="U309" s="12" t="s">
        <v>98</v>
      </c>
      <c r="V309" s="12" t="s">
        <v>3829</v>
      </c>
      <c r="W309" s="12" t="s">
        <v>3830</v>
      </c>
      <c r="X309" s="12" t="s">
        <v>3831</v>
      </c>
      <c r="Y309" s="12" t="s">
        <v>3832</v>
      </c>
      <c r="Z309" s="12">
        <v>5</v>
      </c>
      <c r="AA309" s="12" t="s">
        <v>227</v>
      </c>
      <c r="AB309" s="12" t="s">
        <v>3833</v>
      </c>
      <c r="AC309" s="12" t="s">
        <v>1589</v>
      </c>
      <c r="AD309" s="12" t="s">
        <v>58</v>
      </c>
      <c r="AE309" s="12">
        <v>2486250</v>
      </c>
      <c r="AF309" s="13">
        <v>49725</v>
      </c>
      <c r="AG309" s="12"/>
      <c r="AH309" s="12"/>
      <c r="AI309" s="12"/>
      <c r="AJ309" s="12" t="s">
        <v>11686</v>
      </c>
      <c r="AK309" s="13">
        <v>49725</v>
      </c>
      <c r="AL309" s="13"/>
      <c r="AM309" s="14">
        <f t="shared" si="4"/>
        <v>0</v>
      </c>
      <c r="AN309" s="12" t="s">
        <v>12004</v>
      </c>
    </row>
    <row r="310" spans="1:40" x14ac:dyDescent="0.25">
      <c r="A310" s="8">
        <v>309</v>
      </c>
      <c r="B310" s="9" t="s">
        <v>35</v>
      </c>
      <c r="C310" s="9" t="s">
        <v>3834</v>
      </c>
      <c r="D310" s="9" t="s">
        <v>37</v>
      </c>
      <c r="E310" s="9" t="s">
        <v>3835</v>
      </c>
      <c r="F310" s="9" t="s">
        <v>107</v>
      </c>
      <c r="G310" s="9" t="s">
        <v>3836</v>
      </c>
      <c r="H310" s="9" t="s">
        <v>3837</v>
      </c>
      <c r="I310" s="9" t="s">
        <v>3837</v>
      </c>
      <c r="J310" s="9" t="s">
        <v>3837</v>
      </c>
      <c r="K310" s="9" t="s">
        <v>3838</v>
      </c>
      <c r="L310" s="9">
        <v>922339</v>
      </c>
      <c r="M310" s="9">
        <v>2395000</v>
      </c>
      <c r="N310" s="9" t="s">
        <v>3839</v>
      </c>
      <c r="O310" s="10">
        <v>45576</v>
      </c>
      <c r="P310" s="9" t="s">
        <v>3840</v>
      </c>
      <c r="Q310" s="9" t="s">
        <v>3841</v>
      </c>
      <c r="R310" s="9" t="s">
        <v>146</v>
      </c>
      <c r="S310" s="9" t="s">
        <v>3842</v>
      </c>
      <c r="T310" s="9" t="s">
        <v>873</v>
      </c>
      <c r="U310" s="9" t="s">
        <v>614</v>
      </c>
      <c r="V310" s="9" t="s">
        <v>3843</v>
      </c>
      <c r="W310" s="9" t="s">
        <v>3769</v>
      </c>
      <c r="X310" s="9" t="s">
        <v>3770</v>
      </c>
      <c r="Y310" s="9" t="s">
        <v>3844</v>
      </c>
      <c r="Z310" s="9">
        <v>6</v>
      </c>
      <c r="AA310" s="9" t="s">
        <v>257</v>
      </c>
      <c r="AB310" s="9" t="s">
        <v>3845</v>
      </c>
      <c r="AC310" s="9" t="s">
        <v>3846</v>
      </c>
      <c r="AD310" s="9" t="s">
        <v>58</v>
      </c>
      <c r="AE310" s="9">
        <v>1796250</v>
      </c>
      <c r="AF310" s="11">
        <v>35925</v>
      </c>
      <c r="AG310" s="9"/>
      <c r="AH310" s="9"/>
      <c r="AI310" s="9"/>
      <c r="AJ310" s="12" t="s">
        <v>11687</v>
      </c>
      <c r="AK310" s="13">
        <v>38320</v>
      </c>
      <c r="AL310" s="13" t="s">
        <v>12242</v>
      </c>
      <c r="AM310" s="14">
        <f t="shared" si="4"/>
        <v>-2395</v>
      </c>
      <c r="AN310" s="12" t="s">
        <v>12004</v>
      </c>
    </row>
    <row r="311" spans="1:40" x14ac:dyDescent="0.25">
      <c r="A311" s="15">
        <v>310</v>
      </c>
      <c r="B311" s="12" t="s">
        <v>35</v>
      </c>
      <c r="C311" s="12" t="s">
        <v>3847</v>
      </c>
      <c r="D311" s="12" t="s">
        <v>37</v>
      </c>
      <c r="E311" s="12" t="s">
        <v>3848</v>
      </c>
      <c r="F311" s="12" t="s">
        <v>107</v>
      </c>
      <c r="G311" s="12" t="s">
        <v>3849</v>
      </c>
      <c r="H311" s="12" t="s">
        <v>3850</v>
      </c>
      <c r="I311" s="12" t="s">
        <v>3850</v>
      </c>
      <c r="J311" s="12" t="s">
        <v>3851</v>
      </c>
      <c r="K311" s="12" t="s">
        <v>3852</v>
      </c>
      <c r="L311" s="12">
        <v>1039631</v>
      </c>
      <c r="M311" s="12">
        <v>3981500</v>
      </c>
      <c r="N311" s="12" t="s">
        <v>3853</v>
      </c>
      <c r="O311" s="16">
        <v>45573</v>
      </c>
      <c r="P311" s="12" t="s">
        <v>3854</v>
      </c>
      <c r="Q311" s="12" t="s">
        <v>3855</v>
      </c>
      <c r="R311" s="12" t="s">
        <v>47</v>
      </c>
      <c r="S311" s="12" t="s">
        <v>48</v>
      </c>
      <c r="T311" s="12" t="s">
        <v>1861</v>
      </c>
      <c r="U311" s="12" t="s">
        <v>98</v>
      </c>
      <c r="V311" s="12" t="s">
        <v>1398</v>
      </c>
      <c r="W311" s="12" t="s">
        <v>3769</v>
      </c>
      <c r="X311" s="12" t="s">
        <v>3770</v>
      </c>
      <c r="Y311" s="12" t="s">
        <v>3856</v>
      </c>
      <c r="Z311" s="12">
        <v>6</v>
      </c>
      <c r="AA311" s="12" t="s">
        <v>55</v>
      </c>
      <c r="AB311" s="12" t="s">
        <v>3857</v>
      </c>
      <c r="AC311" s="12" t="s">
        <v>3858</v>
      </c>
      <c r="AD311" s="12" t="s">
        <v>58</v>
      </c>
      <c r="AE311" s="12">
        <v>2986125</v>
      </c>
      <c r="AF311" s="13">
        <v>59723</v>
      </c>
      <c r="AG311" s="12"/>
      <c r="AH311" s="12"/>
      <c r="AI311" s="12"/>
      <c r="AJ311" s="12" t="s">
        <v>11688</v>
      </c>
      <c r="AK311" s="13">
        <v>63704</v>
      </c>
      <c r="AL311" s="13" t="s">
        <v>12243</v>
      </c>
      <c r="AM311" s="14">
        <f t="shared" si="4"/>
        <v>-3981</v>
      </c>
      <c r="AN311" s="12" t="s">
        <v>12004</v>
      </c>
    </row>
    <row r="312" spans="1:40" x14ac:dyDescent="0.25">
      <c r="A312" s="8">
        <v>311</v>
      </c>
      <c r="B312" s="9" t="s">
        <v>35</v>
      </c>
      <c r="C312" s="9" t="s">
        <v>3859</v>
      </c>
      <c r="D312" s="9" t="s">
        <v>37</v>
      </c>
      <c r="E312" s="9" t="s">
        <v>3860</v>
      </c>
      <c r="F312" s="9" t="s">
        <v>245</v>
      </c>
      <c r="G312" s="9" t="s">
        <v>3861</v>
      </c>
      <c r="H312" s="9" t="s">
        <v>3862</v>
      </c>
      <c r="I312" s="9" t="s">
        <v>48</v>
      </c>
      <c r="J312" s="9" t="s">
        <v>3863</v>
      </c>
      <c r="K312" s="9" t="s">
        <v>3864</v>
      </c>
      <c r="L312" s="9">
        <v>300168</v>
      </c>
      <c r="M312" s="9">
        <v>800000</v>
      </c>
      <c r="N312" s="9" t="s">
        <v>3865</v>
      </c>
      <c r="O312" s="10">
        <v>45571</v>
      </c>
      <c r="P312" s="9" t="s">
        <v>3866</v>
      </c>
      <c r="Q312" s="9" t="s">
        <v>3867</v>
      </c>
      <c r="R312" s="9" t="s">
        <v>146</v>
      </c>
      <c r="S312" s="9" t="s">
        <v>3868</v>
      </c>
      <c r="T312" s="9" t="s">
        <v>3869</v>
      </c>
      <c r="U312" s="9" t="s">
        <v>496</v>
      </c>
      <c r="V312" s="9" t="s">
        <v>3870</v>
      </c>
      <c r="W312" s="9" t="s">
        <v>3871</v>
      </c>
      <c r="X312" s="9" t="s">
        <v>3872</v>
      </c>
      <c r="Y312" s="9" t="s">
        <v>3873</v>
      </c>
      <c r="Z312" s="9">
        <v>7</v>
      </c>
      <c r="AA312" s="9" t="s">
        <v>55</v>
      </c>
      <c r="AB312" s="9" t="s">
        <v>3874</v>
      </c>
      <c r="AC312" s="9" t="s">
        <v>3875</v>
      </c>
      <c r="AD312" s="9" t="s">
        <v>171</v>
      </c>
      <c r="AE312" s="9">
        <v>560000</v>
      </c>
      <c r="AF312" s="11">
        <v>14000</v>
      </c>
      <c r="AG312" s="9"/>
      <c r="AH312" s="9"/>
      <c r="AI312" s="9"/>
      <c r="AJ312" s="12" t="s">
        <v>11689</v>
      </c>
      <c r="AK312" s="13">
        <v>15000</v>
      </c>
      <c r="AL312" s="13" t="s">
        <v>12244</v>
      </c>
      <c r="AM312" s="14">
        <f t="shared" si="4"/>
        <v>-1000</v>
      </c>
      <c r="AN312" s="12" t="s">
        <v>12004</v>
      </c>
    </row>
    <row r="313" spans="1:40" x14ac:dyDescent="0.25">
      <c r="A313" s="15">
        <v>312</v>
      </c>
      <c r="B313" s="12" t="s">
        <v>35</v>
      </c>
      <c r="C313" s="12" t="s">
        <v>3876</v>
      </c>
      <c r="D313" s="12" t="s">
        <v>37</v>
      </c>
      <c r="E313" s="12" t="s">
        <v>3877</v>
      </c>
      <c r="F313" s="12" t="s">
        <v>245</v>
      </c>
      <c r="G313" s="12" t="s">
        <v>3878</v>
      </c>
      <c r="H313" s="12" t="s">
        <v>3879</v>
      </c>
      <c r="I313" s="12" t="s">
        <v>48</v>
      </c>
      <c r="J313" s="12" t="s">
        <v>141</v>
      </c>
      <c r="K313" s="12" t="s">
        <v>3880</v>
      </c>
      <c r="L313" s="12">
        <v>858600</v>
      </c>
      <c r="M313" s="12">
        <v>3180000</v>
      </c>
      <c r="N313" s="12" t="s">
        <v>3881</v>
      </c>
      <c r="O313" s="16">
        <v>45623</v>
      </c>
      <c r="P313" s="12" t="s">
        <v>3882</v>
      </c>
      <c r="Q313" s="12" t="s">
        <v>3883</v>
      </c>
      <c r="R313" s="12" t="s">
        <v>47</v>
      </c>
      <c r="S313" s="12" t="s">
        <v>48</v>
      </c>
      <c r="T313" s="12" t="s">
        <v>3884</v>
      </c>
      <c r="U313" s="12" t="s">
        <v>148</v>
      </c>
      <c r="V313" s="12" t="s">
        <v>2181</v>
      </c>
      <c r="W313" s="12" t="s">
        <v>940</v>
      </c>
      <c r="X313" s="12" t="s">
        <v>533</v>
      </c>
      <c r="Y313" s="12" t="s">
        <v>3885</v>
      </c>
      <c r="Z313" s="12">
        <v>3</v>
      </c>
      <c r="AA313" s="12" t="s">
        <v>323</v>
      </c>
      <c r="AB313" s="12" t="s">
        <v>3886</v>
      </c>
      <c r="AC313" s="12" t="s">
        <v>3887</v>
      </c>
      <c r="AD313" s="12" t="s">
        <v>86</v>
      </c>
      <c r="AE313" s="12">
        <v>2703000</v>
      </c>
      <c r="AF313" s="13">
        <v>47303</v>
      </c>
      <c r="AG313" s="12"/>
      <c r="AH313" s="12"/>
      <c r="AI313" s="12"/>
      <c r="AJ313" s="12" t="s">
        <v>11690</v>
      </c>
      <c r="AK313" s="13">
        <v>47303</v>
      </c>
      <c r="AL313" s="13"/>
      <c r="AM313" s="14">
        <f t="shared" si="4"/>
        <v>0</v>
      </c>
      <c r="AN313" s="12" t="s">
        <v>12004</v>
      </c>
    </row>
    <row r="314" spans="1:40" x14ac:dyDescent="0.25">
      <c r="A314" s="8">
        <v>313</v>
      </c>
      <c r="B314" s="9" t="s">
        <v>35</v>
      </c>
      <c r="C314" s="9" t="s">
        <v>3888</v>
      </c>
      <c r="D314" s="9" t="s">
        <v>37</v>
      </c>
      <c r="E314" s="9" t="s">
        <v>3889</v>
      </c>
      <c r="F314" s="9" t="s">
        <v>107</v>
      </c>
      <c r="G314" s="9" t="s">
        <v>3890</v>
      </c>
      <c r="H314" s="9" t="s">
        <v>48</v>
      </c>
      <c r="I314" s="9" t="s">
        <v>3891</v>
      </c>
      <c r="J314" s="9" t="s">
        <v>48</v>
      </c>
      <c r="K314" s="9" t="s">
        <v>3892</v>
      </c>
      <c r="L314" s="9">
        <v>1348430</v>
      </c>
      <c r="M314" s="9">
        <v>2703000</v>
      </c>
      <c r="N314" s="9" t="s">
        <v>3893</v>
      </c>
      <c r="O314" s="10">
        <v>45593</v>
      </c>
      <c r="P314" s="9" t="s">
        <v>3894</v>
      </c>
      <c r="Q314" s="9" t="s">
        <v>3895</v>
      </c>
      <c r="R314" s="9" t="s">
        <v>47</v>
      </c>
      <c r="S314" s="9" t="s">
        <v>48</v>
      </c>
      <c r="T314" s="9" t="s">
        <v>2918</v>
      </c>
      <c r="U314" s="9" t="s">
        <v>50</v>
      </c>
      <c r="V314" s="9" t="s">
        <v>3896</v>
      </c>
      <c r="W314" s="9" t="s">
        <v>287</v>
      </c>
      <c r="X314" s="9" t="s">
        <v>3897</v>
      </c>
      <c r="Y314" s="9" t="s">
        <v>3898</v>
      </c>
      <c r="Z314" s="9">
        <v>7</v>
      </c>
      <c r="AA314" s="9" t="s">
        <v>55</v>
      </c>
      <c r="AB314" s="9" t="s">
        <v>3899</v>
      </c>
      <c r="AC314" s="9" t="s">
        <v>214</v>
      </c>
      <c r="AD314" s="9" t="s">
        <v>58</v>
      </c>
      <c r="AE314" s="9">
        <v>2162400</v>
      </c>
      <c r="AF314" s="11">
        <v>43248</v>
      </c>
      <c r="AG314" s="9"/>
      <c r="AH314" s="9"/>
      <c r="AI314" s="9"/>
      <c r="AJ314" s="12" t="s">
        <v>11691</v>
      </c>
      <c r="AK314" s="13">
        <v>43248</v>
      </c>
      <c r="AL314" s="13"/>
      <c r="AM314" s="14">
        <f t="shared" si="4"/>
        <v>0</v>
      </c>
      <c r="AN314" s="12" t="s">
        <v>12004</v>
      </c>
    </row>
    <row r="315" spans="1:40" x14ac:dyDescent="0.25">
      <c r="A315" s="15">
        <v>314</v>
      </c>
      <c r="B315" s="12" t="s">
        <v>35</v>
      </c>
      <c r="C315" s="12" t="s">
        <v>3900</v>
      </c>
      <c r="D315" s="12" t="s">
        <v>37</v>
      </c>
      <c r="E315" s="12" t="s">
        <v>3901</v>
      </c>
      <c r="F315" s="12" t="s">
        <v>245</v>
      </c>
      <c r="G315" s="12" t="s">
        <v>3902</v>
      </c>
      <c r="H315" s="12" t="s">
        <v>3903</v>
      </c>
      <c r="I315" s="12" t="s">
        <v>48</v>
      </c>
      <c r="J315" s="12" t="s">
        <v>141</v>
      </c>
      <c r="K315" s="12" t="s">
        <v>3904</v>
      </c>
      <c r="L315" s="12">
        <v>2730000</v>
      </c>
      <c r="M315" s="12">
        <v>3900000</v>
      </c>
      <c r="N315" s="12" t="s">
        <v>3905</v>
      </c>
      <c r="O315" s="16">
        <v>45623</v>
      </c>
      <c r="P315" s="12" t="s">
        <v>3906</v>
      </c>
      <c r="Q315" s="12" t="s">
        <v>3907</v>
      </c>
      <c r="R315" s="12" t="s">
        <v>146</v>
      </c>
      <c r="S315" s="12" t="s">
        <v>3908</v>
      </c>
      <c r="T315" s="12" t="s">
        <v>1065</v>
      </c>
      <c r="U315" s="12" t="s">
        <v>496</v>
      </c>
      <c r="V315" s="12" t="s">
        <v>2181</v>
      </c>
      <c r="W315" s="12" t="s">
        <v>940</v>
      </c>
      <c r="X315" s="12" t="s">
        <v>533</v>
      </c>
      <c r="Y315" s="12" t="s">
        <v>3909</v>
      </c>
      <c r="Z315" s="12">
        <v>3</v>
      </c>
      <c r="AA315" s="12" t="s">
        <v>323</v>
      </c>
      <c r="AB315" s="12" t="s">
        <v>48</v>
      </c>
      <c r="AC315" s="12" t="s">
        <v>3887</v>
      </c>
      <c r="AD315" s="12" t="s">
        <v>86</v>
      </c>
      <c r="AE315" s="12">
        <v>3315000</v>
      </c>
      <c r="AF315" s="13">
        <v>58013</v>
      </c>
      <c r="AG315" s="12"/>
      <c r="AH315" s="12"/>
      <c r="AI315" s="12"/>
      <c r="AJ315" s="12" t="s">
        <v>11692</v>
      </c>
      <c r="AK315" s="13">
        <v>58013</v>
      </c>
      <c r="AL315" s="13"/>
      <c r="AM315" s="14">
        <f t="shared" si="4"/>
        <v>0</v>
      </c>
      <c r="AN315" s="12" t="s">
        <v>12004</v>
      </c>
    </row>
    <row r="316" spans="1:40" x14ac:dyDescent="0.25">
      <c r="A316" s="8">
        <v>315</v>
      </c>
      <c r="B316" s="9" t="s">
        <v>35</v>
      </c>
      <c r="C316" s="9" t="s">
        <v>3910</v>
      </c>
      <c r="D316" s="9" t="s">
        <v>37</v>
      </c>
      <c r="E316" s="9" t="s">
        <v>3911</v>
      </c>
      <c r="F316" s="9" t="s">
        <v>107</v>
      </c>
      <c r="G316" s="9" t="s">
        <v>3912</v>
      </c>
      <c r="H316" s="9" t="s">
        <v>3913</v>
      </c>
      <c r="I316" s="9" t="s">
        <v>3913</v>
      </c>
      <c r="J316" s="9" t="s">
        <v>3913</v>
      </c>
      <c r="K316" s="9" t="s">
        <v>3914</v>
      </c>
      <c r="L316" s="9">
        <v>538497</v>
      </c>
      <c r="M316" s="9">
        <v>900000</v>
      </c>
      <c r="N316" s="9" t="s">
        <v>3915</v>
      </c>
      <c r="O316" s="10">
        <v>45639</v>
      </c>
      <c r="P316" s="9" t="s">
        <v>3916</v>
      </c>
      <c r="Q316" s="9" t="s">
        <v>3917</v>
      </c>
      <c r="R316" s="9" t="s">
        <v>146</v>
      </c>
      <c r="S316" s="9" t="s">
        <v>3918</v>
      </c>
      <c r="T316" s="9" t="s">
        <v>3919</v>
      </c>
      <c r="U316" s="9" t="s">
        <v>903</v>
      </c>
      <c r="V316" s="10">
        <v>44011</v>
      </c>
      <c r="W316" s="9" t="s">
        <v>3920</v>
      </c>
      <c r="X316" s="9" t="s">
        <v>3921</v>
      </c>
      <c r="Y316" s="9" t="s">
        <v>3922</v>
      </c>
      <c r="Z316" s="9">
        <v>7</v>
      </c>
      <c r="AA316" s="9" t="s">
        <v>3923</v>
      </c>
      <c r="AB316" s="9" t="s">
        <v>3924</v>
      </c>
      <c r="AC316" s="9" t="s">
        <v>3925</v>
      </c>
      <c r="AD316" s="9" t="s">
        <v>880</v>
      </c>
      <c r="AE316" s="9">
        <v>585000</v>
      </c>
      <c r="AF316" s="11">
        <v>18135</v>
      </c>
      <c r="AG316" s="9" t="s">
        <v>3926</v>
      </c>
      <c r="AH316" s="9" t="s">
        <v>3577</v>
      </c>
      <c r="AI316" s="9"/>
      <c r="AJ316" s="12" t="s">
        <v>11693</v>
      </c>
      <c r="AK316" s="13">
        <v>18135</v>
      </c>
      <c r="AL316" s="13"/>
      <c r="AM316" s="14">
        <f t="shared" si="4"/>
        <v>0</v>
      </c>
      <c r="AN316" s="12" t="s">
        <v>12004</v>
      </c>
    </row>
    <row r="317" spans="1:40" x14ac:dyDescent="0.25">
      <c r="A317" s="15">
        <v>316</v>
      </c>
      <c r="B317" s="12" t="s">
        <v>35</v>
      </c>
      <c r="C317" s="12" t="s">
        <v>3927</v>
      </c>
      <c r="D317" s="12" t="s">
        <v>37</v>
      </c>
      <c r="E317" s="12" t="s">
        <v>3928</v>
      </c>
      <c r="F317" s="12" t="s">
        <v>107</v>
      </c>
      <c r="G317" s="12" t="s">
        <v>3929</v>
      </c>
      <c r="H317" s="12" t="s">
        <v>3930</v>
      </c>
      <c r="I317" s="12" t="s">
        <v>3930</v>
      </c>
      <c r="J317" s="12" t="s">
        <v>3931</v>
      </c>
      <c r="K317" s="12" t="s">
        <v>3932</v>
      </c>
      <c r="L317" s="12">
        <v>829189</v>
      </c>
      <c r="M317" s="12">
        <v>1135000</v>
      </c>
      <c r="N317" s="12" t="s">
        <v>3933</v>
      </c>
      <c r="O317" s="16">
        <v>45638</v>
      </c>
      <c r="P317" s="12" t="s">
        <v>3934</v>
      </c>
      <c r="Q317" s="12" t="s">
        <v>3935</v>
      </c>
      <c r="R317" s="12" t="s">
        <v>47</v>
      </c>
      <c r="S317" s="12" t="s">
        <v>3936</v>
      </c>
      <c r="T317" s="12" t="s">
        <v>3937</v>
      </c>
      <c r="U317" s="12" t="s">
        <v>614</v>
      </c>
      <c r="V317" s="16">
        <v>43964</v>
      </c>
      <c r="W317" s="12" t="s">
        <v>167</v>
      </c>
      <c r="X317" s="12" t="s">
        <v>3938</v>
      </c>
      <c r="Y317" s="12" t="s">
        <v>3939</v>
      </c>
      <c r="Z317" s="12">
        <v>7</v>
      </c>
      <c r="AA317" s="12" t="s">
        <v>55</v>
      </c>
      <c r="AB317" s="12" t="s">
        <v>3940</v>
      </c>
      <c r="AC317" s="12" t="s">
        <v>3941</v>
      </c>
      <c r="AD317" s="12" t="s">
        <v>171</v>
      </c>
      <c r="AE317" s="12">
        <v>851250</v>
      </c>
      <c r="AF317" s="13">
        <v>21281</v>
      </c>
      <c r="AG317" s="12" t="s">
        <v>3942</v>
      </c>
      <c r="AH317" s="12" t="s">
        <v>3577</v>
      </c>
      <c r="AI317" s="12"/>
      <c r="AJ317" s="12" t="s">
        <v>11694</v>
      </c>
      <c r="AK317" s="13">
        <v>21281</v>
      </c>
      <c r="AL317" s="13"/>
      <c r="AM317" s="14">
        <f t="shared" si="4"/>
        <v>0</v>
      </c>
      <c r="AN317" s="12" t="s">
        <v>12004</v>
      </c>
    </row>
    <row r="318" spans="1:40" x14ac:dyDescent="0.25">
      <c r="A318" s="8">
        <v>317</v>
      </c>
      <c r="B318" s="9" t="s">
        <v>35</v>
      </c>
      <c r="C318" s="9" t="s">
        <v>3943</v>
      </c>
      <c r="D318" s="9" t="s">
        <v>37</v>
      </c>
      <c r="E318" s="9" t="s">
        <v>3944</v>
      </c>
      <c r="F318" s="9" t="s">
        <v>245</v>
      </c>
      <c r="G318" s="9" t="s">
        <v>3945</v>
      </c>
      <c r="H318" s="9" t="s">
        <v>3946</v>
      </c>
      <c r="I318" s="9" t="s">
        <v>48</v>
      </c>
      <c r="J318" s="9" t="s">
        <v>141</v>
      </c>
      <c r="K318" s="9" t="s">
        <v>3947</v>
      </c>
      <c r="L318" s="9">
        <v>2029300</v>
      </c>
      <c r="M318" s="9">
        <v>2899000</v>
      </c>
      <c r="N318" s="9" t="s">
        <v>3948</v>
      </c>
      <c r="O318" s="10">
        <v>45623</v>
      </c>
      <c r="P318" s="9" t="s">
        <v>3949</v>
      </c>
      <c r="Q318" s="9" t="s">
        <v>3950</v>
      </c>
      <c r="R318" s="9" t="s">
        <v>47</v>
      </c>
      <c r="S318" s="9" t="s">
        <v>48</v>
      </c>
      <c r="T318" s="9" t="s">
        <v>889</v>
      </c>
      <c r="U318" s="9" t="s">
        <v>148</v>
      </c>
      <c r="V318" s="9" t="s">
        <v>3951</v>
      </c>
      <c r="W318" s="9" t="s">
        <v>940</v>
      </c>
      <c r="X318" s="9" t="s">
        <v>1638</v>
      </c>
      <c r="Y318" s="9" t="s">
        <v>3952</v>
      </c>
      <c r="Z318" s="9">
        <v>5</v>
      </c>
      <c r="AA318" s="9" t="s">
        <v>55</v>
      </c>
      <c r="AB318" s="9" t="s">
        <v>3953</v>
      </c>
      <c r="AC318" s="9" t="s">
        <v>2181</v>
      </c>
      <c r="AD318" s="9" t="s">
        <v>58</v>
      </c>
      <c r="AE318" s="9">
        <v>2464150</v>
      </c>
      <c r="AF318" s="11">
        <v>49283</v>
      </c>
      <c r="AG318" s="9"/>
      <c r="AH318" s="9"/>
      <c r="AI318" s="9"/>
      <c r="AJ318" s="12" t="s">
        <v>11695</v>
      </c>
      <c r="AK318" s="13">
        <v>49283</v>
      </c>
      <c r="AL318" s="13"/>
      <c r="AM318" s="14">
        <f t="shared" si="4"/>
        <v>0</v>
      </c>
      <c r="AN318" s="12" t="s">
        <v>12004</v>
      </c>
    </row>
    <row r="319" spans="1:40" x14ac:dyDescent="0.25">
      <c r="A319" s="15">
        <v>318</v>
      </c>
      <c r="B319" s="12" t="s">
        <v>35</v>
      </c>
      <c r="C319" s="12" t="s">
        <v>3954</v>
      </c>
      <c r="D319" s="12" t="s">
        <v>37</v>
      </c>
      <c r="E319" s="12" t="s">
        <v>3955</v>
      </c>
      <c r="F319" s="12" t="s">
        <v>138</v>
      </c>
      <c r="G319" s="12" t="s">
        <v>3956</v>
      </c>
      <c r="H319" s="12" t="s">
        <v>3957</v>
      </c>
      <c r="I319" s="12" t="s">
        <v>3957</v>
      </c>
      <c r="J319" s="12" t="s">
        <v>141</v>
      </c>
      <c r="K319" s="12" t="s">
        <v>3958</v>
      </c>
      <c r="L319" s="12">
        <v>1470000</v>
      </c>
      <c r="M319" s="12">
        <v>2100000</v>
      </c>
      <c r="N319" s="12" t="s">
        <v>3959</v>
      </c>
      <c r="O319" s="12" t="s">
        <v>3960</v>
      </c>
      <c r="P319" s="12" t="s">
        <v>3961</v>
      </c>
      <c r="Q319" s="12" t="s">
        <v>3962</v>
      </c>
      <c r="R319" s="12" t="s">
        <v>146</v>
      </c>
      <c r="S319" s="12" t="s">
        <v>3963</v>
      </c>
      <c r="T319" s="12" t="s">
        <v>194</v>
      </c>
      <c r="U319" s="12" t="s">
        <v>614</v>
      </c>
      <c r="V319" s="16">
        <v>45287</v>
      </c>
      <c r="W319" s="12" t="s">
        <v>3964</v>
      </c>
      <c r="X319" s="12" t="s">
        <v>3965</v>
      </c>
      <c r="Y319" s="12" t="s">
        <v>3966</v>
      </c>
      <c r="Z319" s="12">
        <v>5</v>
      </c>
      <c r="AA319" s="12" t="s">
        <v>55</v>
      </c>
      <c r="AB319" s="12" t="s">
        <v>3967</v>
      </c>
      <c r="AC319" s="12" t="s">
        <v>3964</v>
      </c>
      <c r="AD319" s="12" t="s">
        <v>86</v>
      </c>
      <c r="AE319" s="12">
        <v>1890000</v>
      </c>
      <c r="AF319" s="13">
        <v>33075</v>
      </c>
      <c r="AG319" s="12"/>
      <c r="AH319" s="12"/>
      <c r="AI319" s="12"/>
      <c r="AJ319" s="12" t="s">
        <v>11696</v>
      </c>
      <c r="AK319" s="13">
        <v>33075</v>
      </c>
      <c r="AL319" s="13"/>
      <c r="AM319" s="14">
        <f t="shared" si="4"/>
        <v>0</v>
      </c>
      <c r="AN319" s="12" t="s">
        <v>12004</v>
      </c>
    </row>
    <row r="320" spans="1:40" x14ac:dyDescent="0.25">
      <c r="A320" s="8">
        <v>319</v>
      </c>
      <c r="B320" s="9" t="s">
        <v>35</v>
      </c>
      <c r="C320" s="9" t="s">
        <v>3968</v>
      </c>
      <c r="D320" s="9" t="s">
        <v>37</v>
      </c>
      <c r="E320" s="9" t="s">
        <v>3969</v>
      </c>
      <c r="F320" s="9" t="s">
        <v>138</v>
      </c>
      <c r="G320" s="9" t="s">
        <v>3970</v>
      </c>
      <c r="H320" s="9" t="s">
        <v>3971</v>
      </c>
      <c r="I320" s="9" t="s">
        <v>3971</v>
      </c>
      <c r="J320" s="9" t="s">
        <v>3971</v>
      </c>
      <c r="K320" s="9" t="s">
        <v>3972</v>
      </c>
      <c r="L320" s="9">
        <v>1907750</v>
      </c>
      <c r="M320" s="9">
        <v>2935000</v>
      </c>
      <c r="N320" s="9" t="s">
        <v>3973</v>
      </c>
      <c r="O320" s="9" t="s">
        <v>3974</v>
      </c>
      <c r="P320" s="9" t="s">
        <v>3975</v>
      </c>
      <c r="Q320" s="9" t="s">
        <v>3976</v>
      </c>
      <c r="R320" s="9" t="s">
        <v>47</v>
      </c>
      <c r="S320" s="9" t="s">
        <v>48</v>
      </c>
      <c r="T320" s="9" t="s">
        <v>613</v>
      </c>
      <c r="U320" s="9" t="s">
        <v>386</v>
      </c>
      <c r="V320" s="10">
        <v>45287</v>
      </c>
      <c r="W320" s="9" t="s">
        <v>3964</v>
      </c>
      <c r="X320" s="9" t="s">
        <v>3977</v>
      </c>
      <c r="Y320" s="9" t="s">
        <v>3978</v>
      </c>
      <c r="Z320" s="9">
        <v>2</v>
      </c>
      <c r="AA320" s="9" t="s">
        <v>55</v>
      </c>
      <c r="AB320" s="9" t="s">
        <v>3979</v>
      </c>
      <c r="AC320" s="9" t="s">
        <v>3964</v>
      </c>
      <c r="AD320" s="9" t="s">
        <v>86</v>
      </c>
      <c r="AE320" s="9">
        <v>2641500</v>
      </c>
      <c r="AF320" s="11">
        <v>46226</v>
      </c>
      <c r="AG320" s="9"/>
      <c r="AH320" s="9"/>
      <c r="AI320" s="9"/>
      <c r="AJ320" s="12" t="s">
        <v>11697</v>
      </c>
      <c r="AK320" s="13">
        <v>46226</v>
      </c>
      <c r="AL320" s="13"/>
      <c r="AM320" s="14">
        <f t="shared" si="4"/>
        <v>0</v>
      </c>
      <c r="AN320" s="12" t="s">
        <v>12004</v>
      </c>
    </row>
    <row r="321" spans="1:40" x14ac:dyDescent="0.25">
      <c r="A321" s="15">
        <v>320</v>
      </c>
      <c r="B321" s="12" t="s">
        <v>35</v>
      </c>
      <c r="C321" s="12" t="s">
        <v>3980</v>
      </c>
      <c r="D321" s="12" t="s">
        <v>37</v>
      </c>
      <c r="E321" s="12" t="s">
        <v>3981</v>
      </c>
      <c r="F321" s="12" t="s">
        <v>138</v>
      </c>
      <c r="G321" s="12" t="s">
        <v>3982</v>
      </c>
      <c r="H321" s="12" t="s">
        <v>48</v>
      </c>
      <c r="I321" s="12" t="s">
        <v>3983</v>
      </c>
      <c r="J321" s="12" t="s">
        <v>48</v>
      </c>
      <c r="K321" s="12" t="s">
        <v>3984</v>
      </c>
      <c r="L321" s="12">
        <v>953150</v>
      </c>
      <c r="M321" s="12">
        <v>1733000</v>
      </c>
      <c r="N321" s="12" t="s">
        <v>3985</v>
      </c>
      <c r="O321" s="16">
        <v>45651</v>
      </c>
      <c r="P321" s="12" t="s">
        <v>3986</v>
      </c>
      <c r="Q321" s="12" t="s">
        <v>3987</v>
      </c>
      <c r="R321" s="12" t="s">
        <v>47</v>
      </c>
      <c r="S321" s="12" t="s">
        <v>48</v>
      </c>
      <c r="T321" s="12" t="s">
        <v>194</v>
      </c>
      <c r="U321" s="12" t="s">
        <v>148</v>
      </c>
      <c r="V321" s="16">
        <v>44740</v>
      </c>
      <c r="W321" s="12" t="s">
        <v>3988</v>
      </c>
      <c r="X321" s="12" t="s">
        <v>3989</v>
      </c>
      <c r="Y321" s="12" t="s">
        <v>3990</v>
      </c>
      <c r="Z321" s="12">
        <v>5</v>
      </c>
      <c r="AA321" s="12" t="s">
        <v>227</v>
      </c>
      <c r="AB321" s="12" t="s">
        <v>3991</v>
      </c>
      <c r="AC321" s="12" t="s">
        <v>3992</v>
      </c>
      <c r="AD321" s="12" t="s">
        <v>58</v>
      </c>
      <c r="AE321" s="12">
        <v>1473050</v>
      </c>
      <c r="AF321" s="13">
        <v>29461</v>
      </c>
      <c r="AG321" s="12"/>
      <c r="AH321" s="12"/>
      <c r="AI321" s="12"/>
      <c r="AJ321" s="12" t="s">
        <v>11698</v>
      </c>
      <c r="AK321" s="13">
        <v>29461</v>
      </c>
      <c r="AL321" s="13"/>
      <c r="AM321" s="14">
        <f t="shared" si="4"/>
        <v>0</v>
      </c>
      <c r="AN321" s="12" t="s">
        <v>12004</v>
      </c>
    </row>
    <row r="322" spans="1:40" x14ac:dyDescent="0.25">
      <c r="A322" s="8">
        <v>321</v>
      </c>
      <c r="B322" s="9" t="s">
        <v>35</v>
      </c>
      <c r="C322" s="9" t="s">
        <v>3993</v>
      </c>
      <c r="D322" s="9" t="s">
        <v>37</v>
      </c>
      <c r="E322" s="9" t="s">
        <v>2578</v>
      </c>
      <c r="F322" s="9" t="s">
        <v>39</v>
      </c>
      <c r="G322" s="9" t="s">
        <v>3994</v>
      </c>
      <c r="H322" s="9" t="s">
        <v>48</v>
      </c>
      <c r="I322" s="9" t="s">
        <v>3995</v>
      </c>
      <c r="J322" s="9" t="s">
        <v>48</v>
      </c>
      <c r="K322" s="9" t="s">
        <v>3996</v>
      </c>
      <c r="L322" s="9">
        <v>20500000</v>
      </c>
      <c r="M322" s="9">
        <v>41000000</v>
      </c>
      <c r="N322" s="9" t="s">
        <v>3997</v>
      </c>
      <c r="O322" s="10">
        <v>45649</v>
      </c>
      <c r="P322" s="9" t="s">
        <v>3998</v>
      </c>
      <c r="Q322" s="9" t="s">
        <v>3999</v>
      </c>
      <c r="R322" s="9" t="s">
        <v>1215</v>
      </c>
      <c r="S322" s="9" t="s">
        <v>48</v>
      </c>
      <c r="T322" s="9" t="s">
        <v>4000</v>
      </c>
      <c r="U322" s="9" t="s">
        <v>335</v>
      </c>
      <c r="V322" s="10">
        <v>44193</v>
      </c>
      <c r="W322" s="9" t="s">
        <v>4001</v>
      </c>
      <c r="X322" s="9" t="s">
        <v>3977</v>
      </c>
      <c r="Y322" s="9" t="s">
        <v>4002</v>
      </c>
      <c r="Z322" s="9">
        <v>5</v>
      </c>
      <c r="AA322" s="9" t="s">
        <v>55</v>
      </c>
      <c r="AB322" s="9" t="s">
        <v>4003</v>
      </c>
      <c r="AC322" s="9" t="s">
        <v>4004</v>
      </c>
      <c r="AD322" s="9" t="s">
        <v>299</v>
      </c>
      <c r="AE322" s="9">
        <v>30750000</v>
      </c>
      <c r="AF322" s="11">
        <v>461250</v>
      </c>
      <c r="AG322" s="9"/>
      <c r="AH322" s="9"/>
      <c r="AI322" s="9"/>
      <c r="AJ322" s="12" t="s">
        <v>11699</v>
      </c>
      <c r="AK322" s="13">
        <v>461250</v>
      </c>
      <c r="AL322" s="13"/>
      <c r="AM322" s="14">
        <f t="shared" si="4"/>
        <v>0</v>
      </c>
      <c r="AN322" s="12" t="s">
        <v>12004</v>
      </c>
    </row>
    <row r="323" spans="1:40" x14ac:dyDescent="0.25">
      <c r="A323" s="15">
        <v>322</v>
      </c>
      <c r="B323" s="12" t="s">
        <v>35</v>
      </c>
      <c r="C323" s="12" t="s">
        <v>4005</v>
      </c>
      <c r="D323" s="12" t="s">
        <v>37</v>
      </c>
      <c r="E323" s="12" t="s">
        <v>4006</v>
      </c>
      <c r="F323" s="12" t="s">
        <v>138</v>
      </c>
      <c r="G323" s="12" t="s">
        <v>4007</v>
      </c>
      <c r="H323" s="12" t="s">
        <v>4008</v>
      </c>
      <c r="I323" s="12" t="s">
        <v>4008</v>
      </c>
      <c r="J323" s="12" t="s">
        <v>141</v>
      </c>
      <c r="K323" s="12" t="s">
        <v>4009</v>
      </c>
      <c r="L323" s="12">
        <v>1202500</v>
      </c>
      <c r="M323" s="12">
        <v>1850000</v>
      </c>
      <c r="N323" s="12" t="s">
        <v>4010</v>
      </c>
      <c r="O323" s="16">
        <v>45649</v>
      </c>
      <c r="P323" s="12" t="s">
        <v>4011</v>
      </c>
      <c r="Q323" s="12" t="s">
        <v>4012</v>
      </c>
      <c r="R323" s="12" t="s">
        <v>146</v>
      </c>
      <c r="S323" s="12" t="s">
        <v>4013</v>
      </c>
      <c r="T323" s="12" t="s">
        <v>4014</v>
      </c>
      <c r="U323" s="12" t="s">
        <v>651</v>
      </c>
      <c r="V323" s="16">
        <v>44557</v>
      </c>
      <c r="W323" s="12" t="s">
        <v>4015</v>
      </c>
      <c r="X323" s="12" t="s">
        <v>4016</v>
      </c>
      <c r="Y323" s="12" t="s">
        <v>4017</v>
      </c>
      <c r="Z323" s="12">
        <v>5</v>
      </c>
      <c r="AA323" s="12" t="s">
        <v>118</v>
      </c>
      <c r="AB323" s="12" t="s">
        <v>4018</v>
      </c>
      <c r="AC323" s="12" t="s">
        <v>4019</v>
      </c>
      <c r="AD323" s="12" t="s">
        <v>299</v>
      </c>
      <c r="AE323" s="12">
        <v>1480000</v>
      </c>
      <c r="AF323" s="13">
        <v>22200</v>
      </c>
      <c r="AG323" s="12"/>
      <c r="AH323" s="12"/>
      <c r="AI323" s="12"/>
      <c r="AJ323" s="12" t="s">
        <v>11700</v>
      </c>
      <c r="AK323" s="13">
        <v>22200</v>
      </c>
      <c r="AL323" s="13"/>
      <c r="AM323" s="14">
        <f t="shared" ref="AM323:AM386" si="5">AF323-AK323</f>
        <v>0</v>
      </c>
      <c r="AN323" s="12" t="s">
        <v>12004</v>
      </c>
    </row>
    <row r="324" spans="1:40" x14ac:dyDescent="0.25">
      <c r="A324" s="8">
        <v>323</v>
      </c>
      <c r="B324" s="9" t="s">
        <v>35</v>
      </c>
      <c r="C324" s="9" t="s">
        <v>4020</v>
      </c>
      <c r="D324" s="9" t="s">
        <v>37</v>
      </c>
      <c r="E324" s="9" t="s">
        <v>4021</v>
      </c>
      <c r="F324" s="9" t="s">
        <v>4022</v>
      </c>
      <c r="G324" s="9" t="s">
        <v>4023</v>
      </c>
      <c r="H324" s="9" t="s">
        <v>4024</v>
      </c>
      <c r="I324" s="9" t="s">
        <v>4025</v>
      </c>
      <c r="J324" s="9" t="s">
        <v>4024</v>
      </c>
      <c r="K324" s="9" t="s">
        <v>4026</v>
      </c>
      <c r="L324" s="9">
        <v>1300000</v>
      </c>
      <c r="M324" s="9">
        <v>1625000</v>
      </c>
      <c r="N324" s="9" t="s">
        <v>4027</v>
      </c>
      <c r="O324" s="10">
        <v>45648</v>
      </c>
      <c r="P324" s="9" t="s">
        <v>4028</v>
      </c>
      <c r="Q324" s="9" t="s">
        <v>4029</v>
      </c>
      <c r="R324" s="9" t="s">
        <v>47</v>
      </c>
      <c r="S324" s="9" t="s">
        <v>4030</v>
      </c>
      <c r="T324" s="9" t="s">
        <v>321</v>
      </c>
      <c r="U324" s="9" t="s">
        <v>614</v>
      </c>
      <c r="V324" s="10">
        <v>43825</v>
      </c>
      <c r="W324" s="9" t="s">
        <v>4031</v>
      </c>
      <c r="X324" s="9" t="s">
        <v>3977</v>
      </c>
      <c r="Y324" s="9" t="s">
        <v>4032</v>
      </c>
      <c r="Z324" s="9">
        <v>6</v>
      </c>
      <c r="AA324" s="9" t="s">
        <v>227</v>
      </c>
      <c r="AB324" s="9" t="s">
        <v>4033</v>
      </c>
      <c r="AC324" s="9" t="s">
        <v>4034</v>
      </c>
      <c r="AD324" s="9" t="s">
        <v>171</v>
      </c>
      <c r="AE324" s="9">
        <v>1137500</v>
      </c>
      <c r="AF324" s="11">
        <v>28438</v>
      </c>
      <c r="AG324" s="9"/>
      <c r="AH324" s="9"/>
      <c r="AI324" s="9"/>
      <c r="AJ324" s="12" t="s">
        <v>11701</v>
      </c>
      <c r="AK324" s="13">
        <v>28438</v>
      </c>
      <c r="AL324" s="13"/>
      <c r="AM324" s="14">
        <f t="shared" si="5"/>
        <v>0</v>
      </c>
      <c r="AN324" s="12" t="s">
        <v>12004</v>
      </c>
    </row>
    <row r="325" spans="1:40" x14ac:dyDescent="0.25">
      <c r="A325" s="15">
        <v>324</v>
      </c>
      <c r="B325" s="12" t="s">
        <v>35</v>
      </c>
      <c r="C325" s="12" t="s">
        <v>4035</v>
      </c>
      <c r="D325" s="12" t="s">
        <v>37</v>
      </c>
      <c r="E325" s="12" t="s">
        <v>1096</v>
      </c>
      <c r="F325" s="12" t="s">
        <v>89</v>
      </c>
      <c r="G325" s="12" t="s">
        <v>4036</v>
      </c>
      <c r="H325" s="12" t="s">
        <v>48</v>
      </c>
      <c r="I325" s="12" t="s">
        <v>4037</v>
      </c>
      <c r="J325" s="12" t="s">
        <v>48</v>
      </c>
      <c r="K325" s="12" t="s">
        <v>4038</v>
      </c>
      <c r="L325" s="12">
        <v>1456000</v>
      </c>
      <c r="M325" s="12">
        <v>2800000</v>
      </c>
      <c r="N325" s="12" t="s">
        <v>4039</v>
      </c>
      <c r="O325" s="16">
        <v>45623</v>
      </c>
      <c r="P325" s="12" t="s">
        <v>4040</v>
      </c>
      <c r="Q325" s="12" t="s">
        <v>4041</v>
      </c>
      <c r="R325" s="12" t="s">
        <v>146</v>
      </c>
      <c r="S325" s="12" t="s">
        <v>4042</v>
      </c>
      <c r="T325" s="12" t="s">
        <v>1732</v>
      </c>
      <c r="U325" s="12" t="s">
        <v>496</v>
      </c>
      <c r="V325" s="12" t="s">
        <v>4043</v>
      </c>
      <c r="W325" s="12" t="s">
        <v>940</v>
      </c>
      <c r="X325" s="12" t="s">
        <v>533</v>
      </c>
      <c r="Y325" s="12" t="s">
        <v>4044</v>
      </c>
      <c r="Z325" s="12">
        <v>3</v>
      </c>
      <c r="AA325" s="12" t="s">
        <v>323</v>
      </c>
      <c r="AB325" s="12" t="s">
        <v>4045</v>
      </c>
      <c r="AC325" s="12" t="s">
        <v>3887</v>
      </c>
      <c r="AD325" s="12" t="s">
        <v>86</v>
      </c>
      <c r="AE325" s="12">
        <v>2380000</v>
      </c>
      <c r="AF325" s="13">
        <v>41650</v>
      </c>
      <c r="AG325" s="12"/>
      <c r="AH325" s="12"/>
      <c r="AI325" s="12"/>
      <c r="AJ325" s="12" t="s">
        <v>11702</v>
      </c>
      <c r="AK325" s="13">
        <v>41650</v>
      </c>
      <c r="AL325" s="13"/>
      <c r="AM325" s="14">
        <f t="shared" si="5"/>
        <v>0</v>
      </c>
      <c r="AN325" s="12" t="s">
        <v>12004</v>
      </c>
    </row>
    <row r="326" spans="1:40" x14ac:dyDescent="0.25">
      <c r="A326" s="8">
        <v>325</v>
      </c>
      <c r="B326" s="9" t="s">
        <v>35</v>
      </c>
      <c r="C326" s="9" t="s">
        <v>4046</v>
      </c>
      <c r="D326" s="9" t="s">
        <v>37</v>
      </c>
      <c r="E326" s="9" t="s">
        <v>4047</v>
      </c>
      <c r="F326" s="9" t="s">
        <v>525</v>
      </c>
      <c r="G326" s="9" t="s">
        <v>4048</v>
      </c>
      <c r="H326" s="9" t="s">
        <v>48</v>
      </c>
      <c r="I326" s="9" t="s">
        <v>4049</v>
      </c>
      <c r="J326" s="9" t="s">
        <v>48</v>
      </c>
      <c r="K326" s="9" t="s">
        <v>4050</v>
      </c>
      <c r="L326" s="9">
        <v>1275000</v>
      </c>
      <c r="M326" s="9">
        <v>1500000</v>
      </c>
      <c r="N326" s="9" t="s">
        <v>4051</v>
      </c>
      <c r="O326" s="10">
        <v>45648</v>
      </c>
      <c r="P326" s="9" t="s">
        <v>4052</v>
      </c>
      <c r="Q326" s="9" t="s">
        <v>4053</v>
      </c>
      <c r="R326" s="9" t="s">
        <v>858</v>
      </c>
      <c r="S326" s="9" t="s">
        <v>48</v>
      </c>
      <c r="T326" s="9" t="s">
        <v>4054</v>
      </c>
      <c r="U326" s="9" t="s">
        <v>148</v>
      </c>
      <c r="V326" s="10">
        <v>44922</v>
      </c>
      <c r="W326" s="9" t="s">
        <v>3988</v>
      </c>
      <c r="X326" s="9" t="s">
        <v>3989</v>
      </c>
      <c r="Y326" s="9" t="s">
        <v>4055</v>
      </c>
      <c r="Z326" s="9">
        <v>5</v>
      </c>
      <c r="AA326" s="9" t="s">
        <v>55</v>
      </c>
      <c r="AB326" s="9" t="s">
        <v>4056</v>
      </c>
      <c r="AC326" s="9" t="s">
        <v>4057</v>
      </c>
      <c r="AD326" s="9" t="s">
        <v>943</v>
      </c>
      <c r="AE326" s="9">
        <v>1275000</v>
      </c>
      <c r="AF326" s="11">
        <v>17850</v>
      </c>
      <c r="AG326" s="9"/>
      <c r="AH326" s="9"/>
      <c r="AI326" s="9"/>
      <c r="AJ326" s="12" t="s">
        <v>11703</v>
      </c>
      <c r="AK326" s="13">
        <v>17850</v>
      </c>
      <c r="AL326" s="13"/>
      <c r="AM326" s="14">
        <f t="shared" si="5"/>
        <v>0</v>
      </c>
      <c r="AN326" s="12" t="s">
        <v>12004</v>
      </c>
    </row>
    <row r="327" spans="1:40" x14ac:dyDescent="0.25">
      <c r="A327" s="15">
        <v>326</v>
      </c>
      <c r="B327" s="12" t="s">
        <v>35</v>
      </c>
      <c r="C327" s="12" t="s">
        <v>4058</v>
      </c>
      <c r="D327" s="12" t="s">
        <v>37</v>
      </c>
      <c r="E327" s="12" t="s">
        <v>4059</v>
      </c>
      <c r="F327" s="12" t="s">
        <v>138</v>
      </c>
      <c r="G327" s="12" t="s">
        <v>4060</v>
      </c>
      <c r="H327" s="12" t="s">
        <v>4061</v>
      </c>
      <c r="I327" s="12" t="s">
        <v>4061</v>
      </c>
      <c r="J327" s="12" t="s">
        <v>141</v>
      </c>
      <c r="K327" s="12" t="s">
        <v>4062</v>
      </c>
      <c r="L327" s="12">
        <v>1440000</v>
      </c>
      <c r="M327" s="12">
        <v>2250000</v>
      </c>
      <c r="N327" s="12" t="s">
        <v>4063</v>
      </c>
      <c r="O327" s="16">
        <v>45623</v>
      </c>
      <c r="P327" s="12" t="s">
        <v>4064</v>
      </c>
      <c r="Q327" s="12" t="s">
        <v>4065</v>
      </c>
      <c r="R327" s="12" t="s">
        <v>146</v>
      </c>
      <c r="S327" s="12" t="s">
        <v>4066</v>
      </c>
      <c r="T327" s="12" t="s">
        <v>2449</v>
      </c>
      <c r="U327" s="12" t="s">
        <v>50</v>
      </c>
      <c r="V327" s="12" t="s">
        <v>4043</v>
      </c>
      <c r="W327" s="12" t="s">
        <v>940</v>
      </c>
      <c r="X327" s="12" t="s">
        <v>1638</v>
      </c>
      <c r="Y327" s="12" t="s">
        <v>4067</v>
      </c>
      <c r="Z327" s="12">
        <v>5</v>
      </c>
      <c r="AA327" s="12" t="s">
        <v>227</v>
      </c>
      <c r="AB327" s="12" t="s">
        <v>4068</v>
      </c>
      <c r="AC327" s="12" t="s">
        <v>2181</v>
      </c>
      <c r="AD327" s="12" t="s">
        <v>86</v>
      </c>
      <c r="AE327" s="12">
        <v>1912500</v>
      </c>
      <c r="AF327" s="13">
        <v>33469</v>
      </c>
      <c r="AG327" s="12"/>
      <c r="AH327" s="12"/>
      <c r="AI327" s="12"/>
      <c r="AJ327" s="12" t="s">
        <v>11704</v>
      </c>
      <c r="AK327" s="13">
        <v>33469</v>
      </c>
      <c r="AL327" s="13"/>
      <c r="AM327" s="14">
        <f t="shared" si="5"/>
        <v>0</v>
      </c>
      <c r="AN327" s="12" t="s">
        <v>12004</v>
      </c>
    </row>
    <row r="328" spans="1:40" x14ac:dyDescent="0.25">
      <c r="A328" s="8">
        <v>327</v>
      </c>
      <c r="B328" s="9" t="s">
        <v>35</v>
      </c>
      <c r="C328" s="9" t="s">
        <v>4069</v>
      </c>
      <c r="D328" s="9" t="s">
        <v>37</v>
      </c>
      <c r="E328" s="9" t="s">
        <v>4070</v>
      </c>
      <c r="F328" s="9" t="s">
        <v>245</v>
      </c>
      <c r="G328" s="9" t="s">
        <v>4071</v>
      </c>
      <c r="H328" s="9" t="s">
        <v>4072</v>
      </c>
      <c r="I328" s="9" t="s">
        <v>48</v>
      </c>
      <c r="J328" s="9" t="s">
        <v>4072</v>
      </c>
      <c r="K328" s="9" t="s">
        <v>4073</v>
      </c>
      <c r="L328" s="9">
        <v>1706250</v>
      </c>
      <c r="M328" s="9">
        <v>2275000</v>
      </c>
      <c r="N328" s="9" t="s">
        <v>4074</v>
      </c>
      <c r="O328" s="10">
        <v>45648</v>
      </c>
      <c r="P328" s="9" t="s">
        <v>4075</v>
      </c>
      <c r="Q328" s="9" t="s">
        <v>4076</v>
      </c>
      <c r="R328" s="9" t="s">
        <v>1215</v>
      </c>
      <c r="S328" s="9" t="s">
        <v>48</v>
      </c>
      <c r="T328" s="9" t="s">
        <v>4077</v>
      </c>
      <c r="U328" s="9" t="s">
        <v>496</v>
      </c>
      <c r="V328" s="10">
        <v>44189</v>
      </c>
      <c r="W328" s="9" t="s">
        <v>4001</v>
      </c>
      <c r="X328" s="9" t="s">
        <v>3977</v>
      </c>
      <c r="Y328" s="9" t="s">
        <v>4078</v>
      </c>
      <c r="Z328" s="9">
        <v>5</v>
      </c>
      <c r="AA328" s="9" t="s">
        <v>227</v>
      </c>
      <c r="AB328" s="9" t="s">
        <v>4079</v>
      </c>
      <c r="AC328" s="9" t="s">
        <v>4080</v>
      </c>
      <c r="AD328" s="9" t="s">
        <v>58</v>
      </c>
      <c r="AE328" s="9">
        <v>1706250</v>
      </c>
      <c r="AF328" s="11">
        <v>34125</v>
      </c>
      <c r="AG328" s="9"/>
      <c r="AH328" s="9"/>
      <c r="AI328" s="9"/>
      <c r="AJ328" s="12" t="s">
        <v>11705</v>
      </c>
      <c r="AK328" s="13">
        <v>34125</v>
      </c>
      <c r="AL328" s="13"/>
      <c r="AM328" s="14">
        <f t="shared" si="5"/>
        <v>0</v>
      </c>
      <c r="AN328" s="12" t="s">
        <v>12004</v>
      </c>
    </row>
    <row r="329" spans="1:40" x14ac:dyDescent="0.25">
      <c r="A329" s="15">
        <v>328</v>
      </c>
      <c r="B329" s="12" t="s">
        <v>35</v>
      </c>
      <c r="C329" s="12" t="s">
        <v>4081</v>
      </c>
      <c r="D329" s="12" t="s">
        <v>37</v>
      </c>
      <c r="E329" s="12" t="s">
        <v>4082</v>
      </c>
      <c r="F329" s="12" t="s">
        <v>525</v>
      </c>
      <c r="G329" s="12" t="s">
        <v>4083</v>
      </c>
      <c r="H329" s="12" t="s">
        <v>4084</v>
      </c>
      <c r="I329" s="12" t="s">
        <v>4084</v>
      </c>
      <c r="J329" s="12" t="s">
        <v>141</v>
      </c>
      <c r="K329" s="12" t="s">
        <v>4085</v>
      </c>
      <c r="L329" s="12">
        <v>1488750</v>
      </c>
      <c r="M329" s="12">
        <v>1985000</v>
      </c>
      <c r="N329" s="12" t="s">
        <v>4086</v>
      </c>
      <c r="O329" s="16">
        <v>45648</v>
      </c>
      <c r="P329" s="12" t="s">
        <v>4087</v>
      </c>
      <c r="Q329" s="12" t="s">
        <v>4088</v>
      </c>
      <c r="R329" s="12" t="s">
        <v>47</v>
      </c>
      <c r="S329" s="12" t="s">
        <v>48</v>
      </c>
      <c r="T329" s="12" t="s">
        <v>2208</v>
      </c>
      <c r="U329" s="12" t="s">
        <v>98</v>
      </c>
      <c r="V329" s="16">
        <v>44069</v>
      </c>
      <c r="W329" s="12" t="s">
        <v>4001</v>
      </c>
      <c r="X329" s="12" t="s">
        <v>3989</v>
      </c>
      <c r="Y329" s="12" t="s">
        <v>4089</v>
      </c>
      <c r="Z329" s="12">
        <v>7</v>
      </c>
      <c r="AA329" s="12" t="s">
        <v>55</v>
      </c>
      <c r="AB329" s="12" t="s">
        <v>4090</v>
      </c>
      <c r="AC329" s="12" t="s">
        <v>4091</v>
      </c>
      <c r="AD329" s="12" t="s">
        <v>58</v>
      </c>
      <c r="AE329" s="12">
        <v>1488750</v>
      </c>
      <c r="AF329" s="13">
        <v>29775</v>
      </c>
      <c r="AG329" s="12"/>
      <c r="AH329" s="12"/>
      <c r="AI329" s="12"/>
      <c r="AJ329" s="12" t="s">
        <v>11706</v>
      </c>
      <c r="AK329" s="13">
        <v>29775</v>
      </c>
      <c r="AL329" s="13"/>
      <c r="AM329" s="14">
        <f t="shared" si="5"/>
        <v>0</v>
      </c>
      <c r="AN329" s="12" t="s">
        <v>12004</v>
      </c>
    </row>
    <row r="330" spans="1:40" x14ac:dyDescent="0.25">
      <c r="A330" s="8">
        <v>329</v>
      </c>
      <c r="B330" s="9" t="s">
        <v>35</v>
      </c>
      <c r="C330" s="9" t="s">
        <v>4092</v>
      </c>
      <c r="D330" s="9" t="s">
        <v>37</v>
      </c>
      <c r="E330" s="9" t="s">
        <v>231</v>
      </c>
      <c r="F330" s="9" t="s">
        <v>107</v>
      </c>
      <c r="G330" s="9" t="s">
        <v>4093</v>
      </c>
      <c r="H330" s="9" t="s">
        <v>4094</v>
      </c>
      <c r="I330" s="9" t="s">
        <v>4094</v>
      </c>
      <c r="J330" s="9" t="s">
        <v>4095</v>
      </c>
      <c r="K330" s="9" t="s">
        <v>4096</v>
      </c>
      <c r="L330" s="9">
        <v>1001250</v>
      </c>
      <c r="M330" s="9">
        <v>1335000</v>
      </c>
      <c r="N330" s="9" t="s">
        <v>4097</v>
      </c>
      <c r="O330" s="10">
        <v>45648</v>
      </c>
      <c r="P330" s="9" t="s">
        <v>4098</v>
      </c>
      <c r="Q330" s="9" t="s">
        <v>4099</v>
      </c>
      <c r="R330" s="9" t="s">
        <v>47</v>
      </c>
      <c r="S330" s="9" t="s">
        <v>48</v>
      </c>
      <c r="T330" s="9" t="s">
        <v>194</v>
      </c>
      <c r="U330" s="9" t="s">
        <v>50</v>
      </c>
      <c r="V330" s="10">
        <v>44470</v>
      </c>
      <c r="W330" s="9" t="s">
        <v>4100</v>
      </c>
      <c r="X330" s="9" t="s">
        <v>4101</v>
      </c>
      <c r="Y330" s="9" t="s">
        <v>4102</v>
      </c>
      <c r="Z330" s="9">
        <v>5</v>
      </c>
      <c r="AA330" s="9" t="s">
        <v>55</v>
      </c>
      <c r="AB330" s="9" t="s">
        <v>4103</v>
      </c>
      <c r="AC330" s="9" t="s">
        <v>4019</v>
      </c>
      <c r="AD330" s="9" t="s">
        <v>58</v>
      </c>
      <c r="AE330" s="9">
        <v>1134750</v>
      </c>
      <c r="AF330" s="11">
        <v>22695</v>
      </c>
      <c r="AG330" s="9"/>
      <c r="AH330" s="9"/>
      <c r="AI330" s="9"/>
      <c r="AJ330" s="12" t="s">
        <v>11707</v>
      </c>
      <c r="AK330" s="13">
        <v>22695</v>
      </c>
      <c r="AL330" s="13"/>
      <c r="AM330" s="14">
        <f t="shared" si="5"/>
        <v>0</v>
      </c>
      <c r="AN330" s="12" t="s">
        <v>12004</v>
      </c>
    </row>
    <row r="331" spans="1:40" x14ac:dyDescent="0.25">
      <c r="A331" s="15">
        <v>330</v>
      </c>
      <c r="B331" s="12" t="s">
        <v>35</v>
      </c>
      <c r="C331" s="12" t="s">
        <v>4104</v>
      </c>
      <c r="D331" s="12" t="s">
        <v>37</v>
      </c>
      <c r="E331" s="12" t="s">
        <v>4105</v>
      </c>
      <c r="F331" s="12" t="s">
        <v>39</v>
      </c>
      <c r="G331" s="12" t="s">
        <v>4106</v>
      </c>
      <c r="H331" s="12" t="s">
        <v>48</v>
      </c>
      <c r="I331" s="12" t="s">
        <v>4107</v>
      </c>
      <c r="J331" s="12" t="s">
        <v>48</v>
      </c>
      <c r="K331" s="12" t="s">
        <v>4108</v>
      </c>
      <c r="L331" s="12">
        <v>1627500</v>
      </c>
      <c r="M331" s="12">
        <v>2325000</v>
      </c>
      <c r="N331" s="12" t="s">
        <v>4109</v>
      </c>
      <c r="O331" s="12" t="s">
        <v>4110</v>
      </c>
      <c r="P331" s="12" t="s">
        <v>4111</v>
      </c>
      <c r="Q331" s="12" t="s">
        <v>4112</v>
      </c>
      <c r="R331" s="12" t="s">
        <v>146</v>
      </c>
      <c r="S331" s="12" t="s">
        <v>4113</v>
      </c>
      <c r="T331" s="12" t="s">
        <v>321</v>
      </c>
      <c r="U331" s="12" t="s">
        <v>50</v>
      </c>
      <c r="V331" s="16">
        <v>45260</v>
      </c>
      <c r="W331" s="12" t="s">
        <v>4114</v>
      </c>
      <c r="X331" s="12" t="s">
        <v>133</v>
      </c>
      <c r="Y331" s="12" t="s">
        <v>4115</v>
      </c>
      <c r="Z331" s="12">
        <v>3</v>
      </c>
      <c r="AA331" s="12" t="s">
        <v>55</v>
      </c>
      <c r="AB331" s="12" t="s">
        <v>4116</v>
      </c>
      <c r="AC331" s="12" t="s">
        <v>4117</v>
      </c>
      <c r="AD331" s="12" t="s">
        <v>86</v>
      </c>
      <c r="AE331" s="12">
        <v>2092500</v>
      </c>
      <c r="AF331" s="13">
        <v>36619</v>
      </c>
      <c r="AG331" s="12"/>
      <c r="AH331" s="12"/>
      <c r="AI331" s="12"/>
      <c r="AJ331" s="12" t="s">
        <v>11708</v>
      </c>
      <c r="AK331" s="13">
        <v>36619</v>
      </c>
      <c r="AL331" s="13"/>
      <c r="AM331" s="14">
        <f t="shared" si="5"/>
        <v>0</v>
      </c>
      <c r="AN331" s="12" t="s">
        <v>12004</v>
      </c>
    </row>
    <row r="332" spans="1:40" x14ac:dyDescent="0.25">
      <c r="A332" s="8">
        <v>331</v>
      </c>
      <c r="B332" s="9" t="s">
        <v>35</v>
      </c>
      <c r="C332" s="9" t="s">
        <v>4118</v>
      </c>
      <c r="D332" s="9" t="s">
        <v>37</v>
      </c>
      <c r="E332" s="9" t="s">
        <v>4119</v>
      </c>
      <c r="F332" s="9" t="s">
        <v>138</v>
      </c>
      <c r="G332" s="9" t="s">
        <v>4120</v>
      </c>
      <c r="H332" s="9" t="s">
        <v>4121</v>
      </c>
      <c r="I332" s="9" t="s">
        <v>4122</v>
      </c>
      <c r="J332" s="9" t="s">
        <v>4123</v>
      </c>
      <c r="K332" s="9" t="s">
        <v>4124</v>
      </c>
      <c r="L332" s="9">
        <v>1984500</v>
      </c>
      <c r="M332" s="9">
        <v>4050000</v>
      </c>
      <c r="N332" s="9" t="s">
        <v>4125</v>
      </c>
      <c r="O332" s="9" t="s">
        <v>4110</v>
      </c>
      <c r="P332" s="9" t="s">
        <v>4126</v>
      </c>
      <c r="Q332" s="9" t="s">
        <v>4127</v>
      </c>
      <c r="R332" s="9" t="s">
        <v>146</v>
      </c>
      <c r="S332" s="9" t="s">
        <v>4128</v>
      </c>
      <c r="T332" s="9" t="s">
        <v>1826</v>
      </c>
      <c r="U332" s="9" t="s">
        <v>50</v>
      </c>
      <c r="V332" s="10">
        <v>45260</v>
      </c>
      <c r="W332" s="9" t="s">
        <v>4114</v>
      </c>
      <c r="X332" s="9" t="s">
        <v>133</v>
      </c>
      <c r="Y332" s="9" t="s">
        <v>4129</v>
      </c>
      <c r="Z332" s="9">
        <v>3</v>
      </c>
      <c r="AA332" s="9" t="s">
        <v>55</v>
      </c>
      <c r="AB332" s="9" t="s">
        <v>4130</v>
      </c>
      <c r="AC332" s="9" t="s">
        <v>4131</v>
      </c>
      <c r="AD332" s="9" t="s">
        <v>86</v>
      </c>
      <c r="AE332" s="9">
        <v>3645000</v>
      </c>
      <c r="AF332" s="11">
        <v>63788</v>
      </c>
      <c r="AG332" s="9"/>
      <c r="AH332" s="9"/>
      <c r="AI332" s="9"/>
      <c r="AJ332" s="12" t="s">
        <v>11709</v>
      </c>
      <c r="AK332" s="13">
        <v>63788</v>
      </c>
      <c r="AL332" s="13"/>
      <c r="AM332" s="14">
        <f t="shared" si="5"/>
        <v>0</v>
      </c>
      <c r="AN332" s="12" t="s">
        <v>12004</v>
      </c>
    </row>
    <row r="333" spans="1:40" x14ac:dyDescent="0.25">
      <c r="A333" s="15">
        <v>332</v>
      </c>
      <c r="B333" s="12" t="s">
        <v>35</v>
      </c>
      <c r="C333" s="12" t="s">
        <v>4132</v>
      </c>
      <c r="D333" s="12" t="s">
        <v>37</v>
      </c>
      <c r="E333" s="12" t="s">
        <v>4133</v>
      </c>
      <c r="F333" s="12" t="s">
        <v>138</v>
      </c>
      <c r="G333" s="12" t="s">
        <v>4134</v>
      </c>
      <c r="H333" s="12" t="s">
        <v>4135</v>
      </c>
      <c r="I333" s="12" t="s">
        <v>4135</v>
      </c>
      <c r="J333" s="12" t="s">
        <v>141</v>
      </c>
      <c r="K333" s="12" t="s">
        <v>4136</v>
      </c>
      <c r="L333" s="12">
        <v>1332500</v>
      </c>
      <c r="M333" s="12">
        <v>2050000</v>
      </c>
      <c r="N333" s="12" t="s">
        <v>4137</v>
      </c>
      <c r="O333" s="12" t="s">
        <v>4110</v>
      </c>
      <c r="P333" s="12" t="s">
        <v>4138</v>
      </c>
      <c r="Q333" s="12" t="s">
        <v>4139</v>
      </c>
      <c r="R333" s="12" t="s">
        <v>146</v>
      </c>
      <c r="S333" s="12" t="s">
        <v>4140</v>
      </c>
      <c r="T333" s="12" t="s">
        <v>194</v>
      </c>
      <c r="U333" s="12" t="s">
        <v>50</v>
      </c>
      <c r="V333" s="16">
        <v>45260</v>
      </c>
      <c r="W333" s="12" t="s">
        <v>4114</v>
      </c>
      <c r="X333" s="12" t="s">
        <v>133</v>
      </c>
      <c r="Y333" s="12" t="s">
        <v>4141</v>
      </c>
      <c r="Z333" s="12">
        <v>3</v>
      </c>
      <c r="AA333" s="12" t="s">
        <v>55</v>
      </c>
      <c r="AB333" s="12" t="s">
        <v>4142</v>
      </c>
      <c r="AC333" s="12" t="s">
        <v>4131</v>
      </c>
      <c r="AD333" s="12" t="s">
        <v>86</v>
      </c>
      <c r="AE333" s="12">
        <v>1845000</v>
      </c>
      <c r="AF333" s="13">
        <v>32288</v>
      </c>
      <c r="AG333" s="12"/>
      <c r="AH333" s="12"/>
      <c r="AI333" s="12"/>
      <c r="AJ333" s="12" t="s">
        <v>11710</v>
      </c>
      <c r="AK333" s="13">
        <v>32288</v>
      </c>
      <c r="AL333" s="13"/>
      <c r="AM333" s="14">
        <f t="shared" si="5"/>
        <v>0</v>
      </c>
      <c r="AN333" s="12" t="s">
        <v>12004</v>
      </c>
    </row>
    <row r="334" spans="1:40" x14ac:dyDescent="0.25">
      <c r="A334" s="8">
        <v>333</v>
      </c>
      <c r="B334" s="9" t="s">
        <v>35</v>
      </c>
      <c r="C334" s="9" t="s">
        <v>4143</v>
      </c>
      <c r="D334" s="9" t="s">
        <v>37</v>
      </c>
      <c r="E334" s="9" t="s">
        <v>4144</v>
      </c>
      <c r="F334" s="9" t="s">
        <v>138</v>
      </c>
      <c r="G334" s="9" t="s">
        <v>4145</v>
      </c>
      <c r="H334" s="9" t="s">
        <v>4146</v>
      </c>
      <c r="I334" s="9" t="s">
        <v>4146</v>
      </c>
      <c r="J334" s="9" t="s">
        <v>141</v>
      </c>
      <c r="K334" s="9" t="s">
        <v>4147</v>
      </c>
      <c r="L334" s="9">
        <v>1625000</v>
      </c>
      <c r="M334" s="9">
        <v>2500000</v>
      </c>
      <c r="N334" s="9" t="s">
        <v>4148</v>
      </c>
      <c r="O334" s="9" t="s">
        <v>4110</v>
      </c>
      <c r="P334" s="9" t="s">
        <v>4149</v>
      </c>
      <c r="Q334" s="9" t="s">
        <v>4150</v>
      </c>
      <c r="R334" s="9" t="s">
        <v>146</v>
      </c>
      <c r="S334" s="9" t="s">
        <v>4151</v>
      </c>
      <c r="T334" s="9" t="s">
        <v>4152</v>
      </c>
      <c r="U334" s="9" t="s">
        <v>98</v>
      </c>
      <c r="V334" s="10">
        <v>45260</v>
      </c>
      <c r="W334" s="9" t="s">
        <v>4114</v>
      </c>
      <c r="X334" s="9" t="s">
        <v>133</v>
      </c>
      <c r="Y334" s="9" t="s">
        <v>4153</v>
      </c>
      <c r="Z334" s="9">
        <v>3</v>
      </c>
      <c r="AA334" s="9" t="s">
        <v>55</v>
      </c>
      <c r="AB334" s="9" t="s">
        <v>4154</v>
      </c>
      <c r="AC334" s="9" t="s">
        <v>4155</v>
      </c>
      <c r="AD334" s="9" t="s">
        <v>86</v>
      </c>
      <c r="AE334" s="9">
        <v>2250000</v>
      </c>
      <c r="AF334" s="11">
        <v>39375</v>
      </c>
      <c r="AG334" s="9"/>
      <c r="AH334" s="9"/>
      <c r="AI334" s="9"/>
      <c r="AJ334" s="12" t="s">
        <v>11711</v>
      </c>
      <c r="AK334" s="13">
        <v>39375</v>
      </c>
      <c r="AL334" s="13"/>
      <c r="AM334" s="14">
        <f t="shared" si="5"/>
        <v>0</v>
      </c>
      <c r="AN334" s="12" t="s">
        <v>12004</v>
      </c>
    </row>
    <row r="335" spans="1:40" x14ac:dyDescent="0.25">
      <c r="A335" s="15">
        <v>334</v>
      </c>
      <c r="B335" s="12" t="s">
        <v>35</v>
      </c>
      <c r="C335" s="12" t="s">
        <v>4156</v>
      </c>
      <c r="D335" s="12" t="s">
        <v>37</v>
      </c>
      <c r="E335" s="12" t="s">
        <v>4157</v>
      </c>
      <c r="F335" s="12" t="s">
        <v>406</v>
      </c>
      <c r="G335" s="12" t="s">
        <v>4158</v>
      </c>
      <c r="H335" s="12" t="s">
        <v>48</v>
      </c>
      <c r="I335" s="12" t="s">
        <v>4159</v>
      </c>
      <c r="J335" s="12" t="s">
        <v>48</v>
      </c>
      <c r="K335" s="12" t="s">
        <v>4160</v>
      </c>
      <c r="L335" s="12">
        <v>1306400</v>
      </c>
      <c r="M335" s="12">
        <v>1633000</v>
      </c>
      <c r="N335" s="12" t="s">
        <v>4161</v>
      </c>
      <c r="O335" s="16">
        <v>45623</v>
      </c>
      <c r="P335" s="12" t="s">
        <v>4162</v>
      </c>
      <c r="Q335" s="12" t="s">
        <v>4163</v>
      </c>
      <c r="R335" s="12" t="s">
        <v>47</v>
      </c>
      <c r="S335" s="12" t="s">
        <v>48</v>
      </c>
      <c r="T335" s="12" t="s">
        <v>835</v>
      </c>
      <c r="U335" s="12" t="s">
        <v>98</v>
      </c>
      <c r="V335" s="12" t="s">
        <v>99</v>
      </c>
      <c r="W335" s="12" t="s">
        <v>532</v>
      </c>
      <c r="X335" s="12" t="s">
        <v>533</v>
      </c>
      <c r="Y335" s="12" t="s">
        <v>4164</v>
      </c>
      <c r="Z335" s="12">
        <v>5</v>
      </c>
      <c r="AA335" s="12" t="s">
        <v>55</v>
      </c>
      <c r="AB335" s="12" t="s">
        <v>4165</v>
      </c>
      <c r="AC335" s="12" t="s">
        <v>2335</v>
      </c>
      <c r="AD335" s="12" t="s">
        <v>58</v>
      </c>
      <c r="AE335" s="12">
        <v>1224750</v>
      </c>
      <c r="AF335" s="13">
        <v>24495</v>
      </c>
      <c r="AG335" s="12"/>
      <c r="AH335" s="12"/>
      <c r="AI335" s="12"/>
      <c r="AJ335" s="12" t="s">
        <v>11712</v>
      </c>
      <c r="AK335" s="13">
        <v>24495</v>
      </c>
      <c r="AL335" s="13"/>
      <c r="AM335" s="14">
        <f t="shared" si="5"/>
        <v>0</v>
      </c>
      <c r="AN335" s="12" t="s">
        <v>12004</v>
      </c>
    </row>
    <row r="336" spans="1:40" x14ac:dyDescent="0.25">
      <c r="A336" s="8">
        <v>335</v>
      </c>
      <c r="B336" s="9" t="s">
        <v>35</v>
      </c>
      <c r="C336" s="9" t="s">
        <v>4166</v>
      </c>
      <c r="D336" s="9" t="s">
        <v>37</v>
      </c>
      <c r="E336" s="9" t="s">
        <v>4167</v>
      </c>
      <c r="F336" s="9" t="s">
        <v>138</v>
      </c>
      <c r="G336" s="9" t="s">
        <v>4168</v>
      </c>
      <c r="H336" s="9" t="s">
        <v>4169</v>
      </c>
      <c r="I336" s="9" t="s">
        <v>4169</v>
      </c>
      <c r="J336" s="9" t="s">
        <v>4169</v>
      </c>
      <c r="K336" s="9" t="s">
        <v>4170</v>
      </c>
      <c r="L336" s="9">
        <v>1001250</v>
      </c>
      <c r="M336" s="9">
        <v>1335000</v>
      </c>
      <c r="N336" s="9" t="s">
        <v>4171</v>
      </c>
      <c r="O336" s="10">
        <v>45647</v>
      </c>
      <c r="P336" s="9" t="s">
        <v>4172</v>
      </c>
      <c r="Q336" s="9" t="s">
        <v>4173</v>
      </c>
      <c r="R336" s="9" t="s">
        <v>47</v>
      </c>
      <c r="S336" s="9" t="s">
        <v>48</v>
      </c>
      <c r="T336" s="9" t="s">
        <v>194</v>
      </c>
      <c r="U336" s="9" t="s">
        <v>50</v>
      </c>
      <c r="V336" s="10">
        <v>44434</v>
      </c>
      <c r="W336" s="9" t="s">
        <v>4015</v>
      </c>
      <c r="X336" s="9" t="s">
        <v>4016</v>
      </c>
      <c r="Y336" s="9" t="s">
        <v>4174</v>
      </c>
      <c r="Z336" s="9">
        <v>5</v>
      </c>
      <c r="AA336" s="9" t="s">
        <v>55</v>
      </c>
      <c r="AB336" s="9" t="s">
        <v>4175</v>
      </c>
      <c r="AC336" s="9" t="s">
        <v>4176</v>
      </c>
      <c r="AD336" s="9" t="s">
        <v>58</v>
      </c>
      <c r="AE336" s="9">
        <v>1068000</v>
      </c>
      <c r="AF336" s="11">
        <v>21360</v>
      </c>
      <c r="AG336" s="9"/>
      <c r="AH336" s="9"/>
      <c r="AI336" s="9"/>
      <c r="AJ336" s="12" t="s">
        <v>11713</v>
      </c>
      <c r="AK336" s="13">
        <v>21360</v>
      </c>
      <c r="AL336" s="13"/>
      <c r="AM336" s="14">
        <f t="shared" si="5"/>
        <v>0</v>
      </c>
      <c r="AN336" s="12" t="s">
        <v>12004</v>
      </c>
    </row>
    <row r="337" spans="1:40" x14ac:dyDescent="0.25">
      <c r="A337" s="15">
        <v>336</v>
      </c>
      <c r="B337" s="12" t="s">
        <v>35</v>
      </c>
      <c r="C337" s="12" t="s">
        <v>4177</v>
      </c>
      <c r="D337" s="12" t="s">
        <v>37</v>
      </c>
      <c r="E337" s="12" t="s">
        <v>4178</v>
      </c>
      <c r="F337" s="12" t="s">
        <v>107</v>
      </c>
      <c r="G337" s="12" t="s">
        <v>4179</v>
      </c>
      <c r="H337" s="12" t="s">
        <v>4180</v>
      </c>
      <c r="I337" s="12" t="s">
        <v>4180</v>
      </c>
      <c r="J337" s="12" t="s">
        <v>4180</v>
      </c>
      <c r="K337" s="12" t="s">
        <v>4181</v>
      </c>
      <c r="L337" s="12">
        <v>686000</v>
      </c>
      <c r="M337" s="12">
        <v>980000</v>
      </c>
      <c r="N337" s="12" t="s">
        <v>4182</v>
      </c>
      <c r="O337" s="16">
        <v>45624</v>
      </c>
      <c r="P337" s="12" t="s">
        <v>4183</v>
      </c>
      <c r="Q337" s="12" t="s">
        <v>4184</v>
      </c>
      <c r="R337" s="12" t="s">
        <v>146</v>
      </c>
      <c r="S337" s="12" t="s">
        <v>4185</v>
      </c>
      <c r="T337" s="12" t="s">
        <v>4186</v>
      </c>
      <c r="U337" s="12" t="s">
        <v>496</v>
      </c>
      <c r="V337" s="12" t="s">
        <v>3368</v>
      </c>
      <c r="W337" s="12" t="s">
        <v>132</v>
      </c>
      <c r="X337" s="12" t="s">
        <v>1191</v>
      </c>
      <c r="Y337" s="12" t="s">
        <v>4187</v>
      </c>
      <c r="Z337" s="12">
        <v>7</v>
      </c>
      <c r="AA337" s="12" t="s">
        <v>118</v>
      </c>
      <c r="AB337" s="12" t="s">
        <v>4188</v>
      </c>
      <c r="AC337" s="12" t="s">
        <v>2836</v>
      </c>
      <c r="AD337" s="12" t="s">
        <v>299</v>
      </c>
      <c r="AE337" s="12">
        <v>784000</v>
      </c>
      <c r="AF337" s="13">
        <v>11760</v>
      </c>
      <c r="AG337" s="12"/>
      <c r="AH337" s="12"/>
      <c r="AI337" s="12"/>
      <c r="AJ337" s="12" t="s">
        <v>11714</v>
      </c>
      <c r="AK337" s="13">
        <v>11760</v>
      </c>
      <c r="AL337" s="13"/>
      <c r="AM337" s="14">
        <f t="shared" si="5"/>
        <v>0</v>
      </c>
      <c r="AN337" s="12" t="s">
        <v>12004</v>
      </c>
    </row>
    <row r="338" spans="1:40" x14ac:dyDescent="0.25">
      <c r="A338" s="8">
        <v>337</v>
      </c>
      <c r="B338" s="9" t="s">
        <v>35</v>
      </c>
      <c r="C338" s="9" t="s">
        <v>4189</v>
      </c>
      <c r="D338" s="9" t="s">
        <v>37</v>
      </c>
      <c r="E338" s="9" t="s">
        <v>4190</v>
      </c>
      <c r="F338" s="9" t="s">
        <v>4191</v>
      </c>
      <c r="G338" s="9" t="s">
        <v>4192</v>
      </c>
      <c r="H338" s="9" t="s">
        <v>4193</v>
      </c>
      <c r="I338" s="9" t="s">
        <v>4193</v>
      </c>
      <c r="J338" s="9" t="s">
        <v>4193</v>
      </c>
      <c r="K338" s="9" t="s">
        <v>4194</v>
      </c>
      <c r="L338" s="9">
        <v>1015000</v>
      </c>
      <c r="M338" s="9">
        <v>1450000</v>
      </c>
      <c r="N338" s="9" t="s">
        <v>4195</v>
      </c>
      <c r="O338" s="10">
        <v>45624</v>
      </c>
      <c r="P338" s="9" t="s">
        <v>4196</v>
      </c>
      <c r="Q338" s="9" t="s">
        <v>4197</v>
      </c>
      <c r="R338" s="9" t="s">
        <v>146</v>
      </c>
      <c r="S338" s="9" t="s">
        <v>4198</v>
      </c>
      <c r="T338" s="9" t="s">
        <v>4199</v>
      </c>
      <c r="U338" s="9" t="s">
        <v>335</v>
      </c>
      <c r="V338" s="9" t="s">
        <v>3368</v>
      </c>
      <c r="W338" s="9" t="s">
        <v>132</v>
      </c>
      <c r="X338" s="9" t="s">
        <v>133</v>
      </c>
      <c r="Y338" s="9" t="s">
        <v>4200</v>
      </c>
      <c r="Z338" s="9">
        <v>5</v>
      </c>
      <c r="AA338" s="9" t="s">
        <v>323</v>
      </c>
      <c r="AB338" s="9" t="s">
        <v>4201</v>
      </c>
      <c r="AC338" s="9" t="s">
        <v>3155</v>
      </c>
      <c r="AD338" s="9" t="s">
        <v>299</v>
      </c>
      <c r="AE338" s="9">
        <v>1160000</v>
      </c>
      <c r="AF338" s="11">
        <v>17400</v>
      </c>
      <c r="AG338" s="9"/>
      <c r="AH338" s="9"/>
      <c r="AI338" s="9"/>
      <c r="AJ338" s="12" t="s">
        <v>11715</v>
      </c>
      <c r="AK338" s="13">
        <v>17400</v>
      </c>
      <c r="AL338" s="13"/>
      <c r="AM338" s="14">
        <f t="shared" si="5"/>
        <v>0</v>
      </c>
      <c r="AN338" s="12" t="s">
        <v>12004</v>
      </c>
    </row>
    <row r="339" spans="1:40" x14ac:dyDescent="0.25">
      <c r="A339" s="15">
        <v>338</v>
      </c>
      <c r="B339" s="12" t="s">
        <v>35</v>
      </c>
      <c r="C339" s="12" t="s">
        <v>4202</v>
      </c>
      <c r="D339" s="12" t="s">
        <v>37</v>
      </c>
      <c r="E339" s="12" t="s">
        <v>4203</v>
      </c>
      <c r="F339" s="12" t="s">
        <v>107</v>
      </c>
      <c r="G339" s="12" t="s">
        <v>4204</v>
      </c>
      <c r="H339" s="12" t="s">
        <v>4205</v>
      </c>
      <c r="I339" s="12" t="s">
        <v>4205</v>
      </c>
      <c r="J339" s="12" t="s">
        <v>4205</v>
      </c>
      <c r="K339" s="12" t="s">
        <v>4206</v>
      </c>
      <c r="L339" s="12">
        <v>988650</v>
      </c>
      <c r="M339" s="12">
        <v>1521000</v>
      </c>
      <c r="N339" s="12" t="s">
        <v>4207</v>
      </c>
      <c r="O339" s="16">
        <v>45624</v>
      </c>
      <c r="P339" s="12" t="s">
        <v>4208</v>
      </c>
      <c r="Q339" s="12" t="s">
        <v>4209</v>
      </c>
      <c r="R339" s="12" t="s">
        <v>47</v>
      </c>
      <c r="S339" s="12" t="s">
        <v>48</v>
      </c>
      <c r="T339" s="12" t="s">
        <v>783</v>
      </c>
      <c r="U339" s="12" t="s">
        <v>50</v>
      </c>
      <c r="V339" s="12" t="s">
        <v>3368</v>
      </c>
      <c r="W339" s="12" t="s">
        <v>132</v>
      </c>
      <c r="X339" s="12" t="s">
        <v>1191</v>
      </c>
      <c r="Y339" s="12" t="s">
        <v>4210</v>
      </c>
      <c r="Z339" s="12">
        <v>7</v>
      </c>
      <c r="AA339" s="12" t="s">
        <v>118</v>
      </c>
      <c r="AB339" s="12" t="s">
        <v>4211</v>
      </c>
      <c r="AC339" s="12" t="s">
        <v>2836</v>
      </c>
      <c r="AD339" s="12" t="s">
        <v>58</v>
      </c>
      <c r="AE339" s="12">
        <v>1216800</v>
      </c>
      <c r="AF339" s="13">
        <v>24336</v>
      </c>
      <c r="AG339" s="12"/>
      <c r="AH339" s="12"/>
      <c r="AI339" s="12"/>
      <c r="AJ339" s="12" t="s">
        <v>11716</v>
      </c>
      <c r="AK339" s="13">
        <v>24336</v>
      </c>
      <c r="AL339" s="13"/>
      <c r="AM339" s="14">
        <f t="shared" si="5"/>
        <v>0</v>
      </c>
      <c r="AN339" s="12" t="s">
        <v>12004</v>
      </c>
    </row>
    <row r="340" spans="1:40" x14ac:dyDescent="0.25">
      <c r="A340" s="8">
        <v>339</v>
      </c>
      <c r="B340" s="9" t="s">
        <v>35</v>
      </c>
      <c r="C340" s="9" t="s">
        <v>4212</v>
      </c>
      <c r="D340" s="9" t="s">
        <v>37</v>
      </c>
      <c r="E340" s="9" t="s">
        <v>4213</v>
      </c>
      <c r="F340" s="9" t="s">
        <v>39</v>
      </c>
      <c r="G340" s="9" t="s">
        <v>4214</v>
      </c>
      <c r="H340" s="9" t="s">
        <v>4215</v>
      </c>
      <c r="I340" s="9" t="s">
        <v>4216</v>
      </c>
      <c r="J340" s="9" t="s">
        <v>4215</v>
      </c>
      <c r="K340" s="9" t="s">
        <v>4217</v>
      </c>
      <c r="L340" s="9">
        <v>1190000</v>
      </c>
      <c r="M340" s="9">
        <v>1700000</v>
      </c>
      <c r="N340" s="9" t="s">
        <v>4218</v>
      </c>
      <c r="O340" s="10">
        <v>45624</v>
      </c>
      <c r="P340" s="9" t="s">
        <v>4219</v>
      </c>
      <c r="Q340" s="9" t="s">
        <v>4220</v>
      </c>
      <c r="R340" s="9" t="s">
        <v>146</v>
      </c>
      <c r="S340" s="9" t="s">
        <v>4221</v>
      </c>
      <c r="T340" s="9" t="s">
        <v>495</v>
      </c>
      <c r="U340" s="9" t="s">
        <v>715</v>
      </c>
      <c r="V340" s="9" t="s">
        <v>3368</v>
      </c>
      <c r="W340" s="9" t="s">
        <v>132</v>
      </c>
      <c r="X340" s="9" t="s">
        <v>533</v>
      </c>
      <c r="Y340" s="9" t="s">
        <v>4222</v>
      </c>
      <c r="Z340" s="9">
        <v>4</v>
      </c>
      <c r="AA340" s="9" t="s">
        <v>118</v>
      </c>
      <c r="AB340" s="9" t="s">
        <v>4223</v>
      </c>
      <c r="AC340" s="9" t="s">
        <v>2836</v>
      </c>
      <c r="AD340" s="9" t="s">
        <v>58</v>
      </c>
      <c r="AE340" s="9">
        <v>1360000</v>
      </c>
      <c r="AF340" s="11">
        <v>27200</v>
      </c>
      <c r="AG340" s="9"/>
      <c r="AH340" s="9"/>
      <c r="AI340" s="9"/>
      <c r="AJ340" s="12" t="s">
        <v>11717</v>
      </c>
      <c r="AK340" s="13">
        <v>27200</v>
      </c>
      <c r="AL340" s="13"/>
      <c r="AM340" s="14">
        <f t="shared" si="5"/>
        <v>0</v>
      </c>
      <c r="AN340" s="12" t="s">
        <v>12004</v>
      </c>
    </row>
    <row r="341" spans="1:40" x14ac:dyDescent="0.25">
      <c r="A341" s="15">
        <v>340</v>
      </c>
      <c r="B341" s="12" t="s">
        <v>35</v>
      </c>
      <c r="C341" s="12" t="s">
        <v>4224</v>
      </c>
      <c r="D341" s="12" t="s">
        <v>37</v>
      </c>
      <c r="E341" s="12" t="s">
        <v>4225</v>
      </c>
      <c r="F341" s="12" t="s">
        <v>107</v>
      </c>
      <c r="G341" s="12" t="s">
        <v>4226</v>
      </c>
      <c r="H341" s="12" t="s">
        <v>4227</v>
      </c>
      <c r="I341" s="12" t="s">
        <v>4227</v>
      </c>
      <c r="J341" s="12" t="s">
        <v>4227</v>
      </c>
      <c r="K341" s="12" t="s">
        <v>4228</v>
      </c>
      <c r="L341" s="12">
        <v>1216800</v>
      </c>
      <c r="M341" s="12">
        <v>1521000</v>
      </c>
      <c r="N341" s="12" t="s">
        <v>4229</v>
      </c>
      <c r="O341" s="16">
        <v>45624</v>
      </c>
      <c r="P341" s="12" t="s">
        <v>4230</v>
      </c>
      <c r="Q341" s="12" t="s">
        <v>4231</v>
      </c>
      <c r="R341" s="12" t="s">
        <v>47</v>
      </c>
      <c r="S341" s="12" t="s">
        <v>48</v>
      </c>
      <c r="T341" s="12" t="s">
        <v>2449</v>
      </c>
      <c r="U341" s="12" t="s">
        <v>50</v>
      </c>
      <c r="V341" s="12" t="s">
        <v>3368</v>
      </c>
      <c r="W341" s="12" t="s">
        <v>132</v>
      </c>
      <c r="X341" s="12" t="s">
        <v>133</v>
      </c>
      <c r="Y341" s="12" t="s">
        <v>4232</v>
      </c>
      <c r="Z341" s="12">
        <v>5</v>
      </c>
      <c r="AA341" s="12" t="s">
        <v>118</v>
      </c>
      <c r="AB341" s="12" t="s">
        <v>4233</v>
      </c>
      <c r="AC341" s="12" t="s">
        <v>2836</v>
      </c>
      <c r="AD341" s="12" t="s">
        <v>58</v>
      </c>
      <c r="AE341" s="12">
        <v>1216800</v>
      </c>
      <c r="AF341" s="13">
        <v>24336</v>
      </c>
      <c r="AG341" s="12"/>
      <c r="AH341" s="12"/>
      <c r="AI341" s="12"/>
      <c r="AJ341" s="12" t="s">
        <v>11718</v>
      </c>
      <c r="AK341" s="13">
        <v>24336</v>
      </c>
      <c r="AL341" s="13"/>
      <c r="AM341" s="14">
        <f t="shared" si="5"/>
        <v>0</v>
      </c>
      <c r="AN341" s="12" t="s">
        <v>12004</v>
      </c>
    </row>
    <row r="342" spans="1:40" x14ac:dyDescent="0.25">
      <c r="A342" s="8">
        <v>341</v>
      </c>
      <c r="B342" s="9" t="s">
        <v>35</v>
      </c>
      <c r="C342" s="9" t="s">
        <v>4234</v>
      </c>
      <c r="D342" s="9" t="s">
        <v>37</v>
      </c>
      <c r="E342" s="9" t="s">
        <v>4235</v>
      </c>
      <c r="F342" s="9" t="s">
        <v>107</v>
      </c>
      <c r="G342" s="9" t="s">
        <v>4236</v>
      </c>
      <c r="H342" s="9" t="s">
        <v>4237</v>
      </c>
      <c r="I342" s="9" t="s">
        <v>4237</v>
      </c>
      <c r="J342" s="9" t="s">
        <v>4237</v>
      </c>
      <c r="K342" s="9" t="s">
        <v>4238</v>
      </c>
      <c r="L342" s="9">
        <v>1302500</v>
      </c>
      <c r="M342" s="9">
        <v>2605000</v>
      </c>
      <c r="N342" s="9" t="s">
        <v>4239</v>
      </c>
      <c r="O342" s="10">
        <v>45624</v>
      </c>
      <c r="P342" s="9" t="s">
        <v>4240</v>
      </c>
      <c r="Q342" s="9" t="s">
        <v>4241</v>
      </c>
      <c r="R342" s="9" t="s">
        <v>47</v>
      </c>
      <c r="S342" s="9" t="s">
        <v>48</v>
      </c>
      <c r="T342" s="9" t="s">
        <v>2113</v>
      </c>
      <c r="U342" s="9" t="s">
        <v>50</v>
      </c>
      <c r="V342" s="9" t="s">
        <v>3368</v>
      </c>
      <c r="W342" s="9" t="s">
        <v>132</v>
      </c>
      <c r="X342" s="9" t="s">
        <v>133</v>
      </c>
      <c r="Y342" s="9" t="s">
        <v>4242</v>
      </c>
      <c r="Z342" s="9">
        <v>5</v>
      </c>
      <c r="AA342" s="9" t="s">
        <v>118</v>
      </c>
      <c r="AB342" s="9" t="s">
        <v>4243</v>
      </c>
      <c r="AC342" s="9" t="s">
        <v>3368</v>
      </c>
      <c r="AD342" s="9" t="s">
        <v>58</v>
      </c>
      <c r="AE342" s="9">
        <v>2084000</v>
      </c>
      <c r="AF342" s="11">
        <v>41680</v>
      </c>
      <c r="AG342" s="9"/>
      <c r="AH342" s="9"/>
      <c r="AI342" s="9"/>
      <c r="AJ342" s="12" t="s">
        <v>11719</v>
      </c>
      <c r="AK342" s="13">
        <v>41680</v>
      </c>
      <c r="AL342" s="13"/>
      <c r="AM342" s="14">
        <f t="shared" si="5"/>
        <v>0</v>
      </c>
      <c r="AN342" s="12" t="s">
        <v>12004</v>
      </c>
    </row>
    <row r="343" spans="1:40" x14ac:dyDescent="0.25">
      <c r="A343" s="15">
        <v>342</v>
      </c>
      <c r="B343" s="12" t="s">
        <v>35</v>
      </c>
      <c r="C343" s="12" t="s">
        <v>4244</v>
      </c>
      <c r="D343" s="12" t="s">
        <v>37</v>
      </c>
      <c r="E343" s="12" t="s">
        <v>4245</v>
      </c>
      <c r="F343" s="12" t="s">
        <v>138</v>
      </c>
      <c r="G343" s="12" t="s">
        <v>4246</v>
      </c>
      <c r="H343" s="12" t="s">
        <v>4247</v>
      </c>
      <c r="I343" s="12" t="s">
        <v>4248</v>
      </c>
      <c r="J343" s="12" t="s">
        <v>141</v>
      </c>
      <c r="K343" s="12" t="s">
        <v>4249</v>
      </c>
      <c r="L343" s="12">
        <v>1387500</v>
      </c>
      <c r="M343" s="12">
        <v>1850000</v>
      </c>
      <c r="N343" s="12" t="s">
        <v>4250</v>
      </c>
      <c r="O343" s="16">
        <v>45624</v>
      </c>
      <c r="P343" s="12" t="s">
        <v>4251</v>
      </c>
      <c r="Q343" s="12" t="s">
        <v>4252</v>
      </c>
      <c r="R343" s="12" t="s">
        <v>146</v>
      </c>
      <c r="S343" s="12" t="s">
        <v>4253</v>
      </c>
      <c r="T343" s="12" t="s">
        <v>4254</v>
      </c>
      <c r="U343" s="12" t="s">
        <v>496</v>
      </c>
      <c r="V343" s="12" t="s">
        <v>3368</v>
      </c>
      <c r="W343" s="12" t="s">
        <v>132</v>
      </c>
      <c r="X343" s="12" t="s">
        <v>133</v>
      </c>
      <c r="Y343" s="12" t="s">
        <v>4255</v>
      </c>
      <c r="Z343" s="12">
        <v>5</v>
      </c>
      <c r="AA343" s="12" t="s">
        <v>118</v>
      </c>
      <c r="AB343" s="12" t="s">
        <v>4256</v>
      </c>
      <c r="AC343" s="12" t="s">
        <v>3368</v>
      </c>
      <c r="AD343" s="12" t="s">
        <v>299</v>
      </c>
      <c r="AE343" s="12">
        <v>1480000</v>
      </c>
      <c r="AF343" s="13">
        <v>22200</v>
      </c>
      <c r="AG343" s="12"/>
      <c r="AH343" s="12"/>
      <c r="AI343" s="12"/>
      <c r="AJ343" s="12" t="s">
        <v>11720</v>
      </c>
      <c r="AK343" s="13">
        <v>22200</v>
      </c>
      <c r="AL343" s="13"/>
      <c r="AM343" s="14">
        <f t="shared" si="5"/>
        <v>0</v>
      </c>
      <c r="AN343" s="12" t="s">
        <v>12004</v>
      </c>
    </row>
    <row r="344" spans="1:40" x14ac:dyDescent="0.25">
      <c r="A344" s="8">
        <v>343</v>
      </c>
      <c r="B344" s="9" t="s">
        <v>35</v>
      </c>
      <c r="C344" s="9" t="s">
        <v>4257</v>
      </c>
      <c r="D344" s="9" t="s">
        <v>37</v>
      </c>
      <c r="E344" s="9" t="s">
        <v>4258</v>
      </c>
      <c r="F344" s="9" t="s">
        <v>138</v>
      </c>
      <c r="G344" s="9" t="s">
        <v>4259</v>
      </c>
      <c r="H344" s="9" t="s">
        <v>48</v>
      </c>
      <c r="I344" s="9" t="s">
        <v>4260</v>
      </c>
      <c r="J344" s="9" t="s">
        <v>48</v>
      </c>
      <c r="K344" s="9" t="s">
        <v>4261</v>
      </c>
      <c r="L344" s="9">
        <v>1425000</v>
      </c>
      <c r="M344" s="9">
        <v>1900000</v>
      </c>
      <c r="N344" s="9" t="s">
        <v>4262</v>
      </c>
      <c r="O344" s="10">
        <v>45624</v>
      </c>
      <c r="P344" s="9" t="s">
        <v>4263</v>
      </c>
      <c r="Q344" s="9" t="s">
        <v>4264</v>
      </c>
      <c r="R344" s="9" t="s">
        <v>146</v>
      </c>
      <c r="S344" s="9" t="s">
        <v>4265</v>
      </c>
      <c r="T344" s="9" t="s">
        <v>67</v>
      </c>
      <c r="U344" s="9" t="s">
        <v>614</v>
      </c>
      <c r="V344" s="9" t="s">
        <v>3368</v>
      </c>
      <c r="W344" s="9" t="s">
        <v>132</v>
      </c>
      <c r="X344" s="9" t="s">
        <v>133</v>
      </c>
      <c r="Y344" s="9" t="s">
        <v>4266</v>
      </c>
      <c r="Z344" s="9">
        <v>5</v>
      </c>
      <c r="AA344" s="9" t="s">
        <v>118</v>
      </c>
      <c r="AB344" s="9" t="s">
        <v>4267</v>
      </c>
      <c r="AC344" s="9" t="s">
        <v>2836</v>
      </c>
      <c r="AD344" s="9" t="s">
        <v>299</v>
      </c>
      <c r="AE344" s="9">
        <v>1520000</v>
      </c>
      <c r="AF344" s="11">
        <v>22800</v>
      </c>
      <c r="AG344" s="9"/>
      <c r="AH344" s="9"/>
      <c r="AI344" s="9"/>
      <c r="AJ344" s="12" t="s">
        <v>11721</v>
      </c>
      <c r="AK344" s="13">
        <v>22800</v>
      </c>
      <c r="AL344" s="13"/>
      <c r="AM344" s="14">
        <f t="shared" si="5"/>
        <v>0</v>
      </c>
      <c r="AN344" s="12" t="s">
        <v>12004</v>
      </c>
    </row>
    <row r="345" spans="1:40" x14ac:dyDescent="0.25">
      <c r="A345" s="15">
        <v>344</v>
      </c>
      <c r="B345" s="12" t="s">
        <v>35</v>
      </c>
      <c r="C345" s="12" t="s">
        <v>4268</v>
      </c>
      <c r="D345" s="12" t="s">
        <v>37</v>
      </c>
      <c r="E345" s="12" t="s">
        <v>4269</v>
      </c>
      <c r="F345" s="12" t="s">
        <v>245</v>
      </c>
      <c r="G345" s="12" t="s">
        <v>4270</v>
      </c>
      <c r="H345" s="12" t="s">
        <v>4271</v>
      </c>
      <c r="I345" s="12" t="s">
        <v>48</v>
      </c>
      <c r="J345" s="12" t="s">
        <v>141</v>
      </c>
      <c r="K345" s="12" t="s">
        <v>4272</v>
      </c>
      <c r="L345" s="12">
        <v>1480000</v>
      </c>
      <c r="M345" s="12">
        <v>1850000</v>
      </c>
      <c r="N345" s="12" t="s">
        <v>4273</v>
      </c>
      <c r="O345" s="16">
        <v>45624</v>
      </c>
      <c r="P345" s="12" t="s">
        <v>4274</v>
      </c>
      <c r="Q345" s="12" t="s">
        <v>4275</v>
      </c>
      <c r="R345" s="12" t="s">
        <v>146</v>
      </c>
      <c r="S345" s="12" t="s">
        <v>4276</v>
      </c>
      <c r="T345" s="12" t="s">
        <v>181</v>
      </c>
      <c r="U345" s="12" t="s">
        <v>496</v>
      </c>
      <c r="V345" s="12" t="s">
        <v>3368</v>
      </c>
      <c r="W345" s="12" t="s">
        <v>132</v>
      </c>
      <c r="X345" s="12" t="s">
        <v>133</v>
      </c>
      <c r="Y345" s="12" t="s">
        <v>4277</v>
      </c>
      <c r="Z345" s="12">
        <v>5</v>
      </c>
      <c r="AA345" s="12" t="s">
        <v>323</v>
      </c>
      <c r="AB345" s="12" t="s">
        <v>4278</v>
      </c>
      <c r="AC345" s="12" t="s">
        <v>2836</v>
      </c>
      <c r="AD345" s="12" t="s">
        <v>299</v>
      </c>
      <c r="AE345" s="12">
        <v>1480000</v>
      </c>
      <c r="AF345" s="13">
        <v>22200</v>
      </c>
      <c r="AG345" s="12"/>
      <c r="AH345" s="12"/>
      <c r="AI345" s="12"/>
      <c r="AJ345" s="12" t="s">
        <v>11722</v>
      </c>
      <c r="AK345" s="13">
        <v>22200</v>
      </c>
      <c r="AL345" s="13"/>
      <c r="AM345" s="14">
        <f t="shared" si="5"/>
        <v>0</v>
      </c>
      <c r="AN345" s="12" t="s">
        <v>12004</v>
      </c>
    </row>
    <row r="346" spans="1:40" x14ac:dyDescent="0.25">
      <c r="A346" s="8">
        <v>345</v>
      </c>
      <c r="B346" s="9" t="s">
        <v>35</v>
      </c>
      <c r="C346" s="9" t="s">
        <v>4279</v>
      </c>
      <c r="D346" s="9" t="s">
        <v>37</v>
      </c>
      <c r="E346" s="9" t="s">
        <v>4280</v>
      </c>
      <c r="F346" s="9" t="s">
        <v>138</v>
      </c>
      <c r="G346" s="9" t="s">
        <v>4281</v>
      </c>
      <c r="H346" s="9" t="s">
        <v>48</v>
      </c>
      <c r="I346" s="9" t="s">
        <v>4282</v>
      </c>
      <c r="J346" s="9" t="s">
        <v>48</v>
      </c>
      <c r="K346" s="9" t="s">
        <v>4283</v>
      </c>
      <c r="L346" s="9">
        <v>1505100</v>
      </c>
      <c r="M346" s="9">
        <v>2595000</v>
      </c>
      <c r="N346" s="9" t="s">
        <v>4284</v>
      </c>
      <c r="O346" s="10">
        <v>45624</v>
      </c>
      <c r="P346" s="9" t="s">
        <v>4285</v>
      </c>
      <c r="Q346" s="9" t="s">
        <v>4286</v>
      </c>
      <c r="R346" s="9" t="s">
        <v>47</v>
      </c>
      <c r="S346" s="9" t="s">
        <v>48</v>
      </c>
      <c r="T346" s="9" t="s">
        <v>699</v>
      </c>
      <c r="U346" s="9" t="s">
        <v>50</v>
      </c>
      <c r="V346" s="9" t="s">
        <v>3368</v>
      </c>
      <c r="W346" s="9" t="s">
        <v>132</v>
      </c>
      <c r="X346" s="9" t="s">
        <v>133</v>
      </c>
      <c r="Y346" s="9" t="s">
        <v>4287</v>
      </c>
      <c r="Z346" s="9">
        <v>5</v>
      </c>
      <c r="AA346" s="9" t="s">
        <v>118</v>
      </c>
      <c r="AB346" s="9" t="s">
        <v>4288</v>
      </c>
      <c r="AC346" s="9" t="s">
        <v>2836</v>
      </c>
      <c r="AD346" s="9" t="s">
        <v>58</v>
      </c>
      <c r="AE346" s="9">
        <v>2076000</v>
      </c>
      <c r="AF346" s="11">
        <v>41520</v>
      </c>
      <c r="AG346" s="9"/>
      <c r="AH346" s="9"/>
      <c r="AI346" s="9"/>
      <c r="AJ346" s="12" t="s">
        <v>11723</v>
      </c>
      <c r="AK346" s="13">
        <v>41520</v>
      </c>
      <c r="AL346" s="13"/>
      <c r="AM346" s="14">
        <f t="shared" si="5"/>
        <v>0</v>
      </c>
      <c r="AN346" s="12" t="s">
        <v>12004</v>
      </c>
    </row>
    <row r="347" spans="1:40" x14ac:dyDescent="0.25">
      <c r="A347" s="15">
        <v>346</v>
      </c>
      <c r="B347" s="12" t="s">
        <v>35</v>
      </c>
      <c r="C347" s="12" t="s">
        <v>4289</v>
      </c>
      <c r="D347" s="12" t="s">
        <v>37</v>
      </c>
      <c r="E347" s="12" t="s">
        <v>4290</v>
      </c>
      <c r="F347" s="12" t="s">
        <v>138</v>
      </c>
      <c r="G347" s="12" t="s">
        <v>4291</v>
      </c>
      <c r="H347" s="12" t="s">
        <v>4292</v>
      </c>
      <c r="I347" s="12" t="s">
        <v>4292</v>
      </c>
      <c r="J347" s="12" t="s">
        <v>141</v>
      </c>
      <c r="K347" s="12" t="s">
        <v>4293</v>
      </c>
      <c r="L347" s="12">
        <v>1481600</v>
      </c>
      <c r="M347" s="12">
        <v>1852000</v>
      </c>
      <c r="N347" s="12" t="s">
        <v>4294</v>
      </c>
      <c r="O347" s="16">
        <v>45624</v>
      </c>
      <c r="P347" s="12" t="s">
        <v>4295</v>
      </c>
      <c r="Q347" s="12" t="s">
        <v>4296</v>
      </c>
      <c r="R347" s="12" t="s">
        <v>47</v>
      </c>
      <c r="S347" s="12" t="s">
        <v>48</v>
      </c>
      <c r="T347" s="12" t="s">
        <v>3356</v>
      </c>
      <c r="U347" s="12" t="s">
        <v>50</v>
      </c>
      <c r="V347" s="12" t="s">
        <v>3368</v>
      </c>
      <c r="W347" s="12" t="s">
        <v>132</v>
      </c>
      <c r="X347" s="12" t="s">
        <v>1191</v>
      </c>
      <c r="Y347" s="12" t="s">
        <v>4297</v>
      </c>
      <c r="Z347" s="12">
        <v>7</v>
      </c>
      <c r="AA347" s="12" t="s">
        <v>118</v>
      </c>
      <c r="AB347" s="12" t="s">
        <v>4298</v>
      </c>
      <c r="AC347" s="12" t="s">
        <v>2836</v>
      </c>
      <c r="AD347" s="12" t="s">
        <v>58</v>
      </c>
      <c r="AE347" s="12">
        <v>1481600</v>
      </c>
      <c r="AF347" s="13">
        <v>29632</v>
      </c>
      <c r="AG347" s="12"/>
      <c r="AH347" s="12"/>
      <c r="AI347" s="12"/>
      <c r="AJ347" s="12" t="s">
        <v>11724</v>
      </c>
      <c r="AK347" s="13">
        <v>29632</v>
      </c>
      <c r="AL347" s="13"/>
      <c r="AM347" s="14">
        <f t="shared" si="5"/>
        <v>0</v>
      </c>
      <c r="AN347" s="12" t="s">
        <v>12004</v>
      </c>
    </row>
    <row r="348" spans="1:40" x14ac:dyDescent="0.25">
      <c r="A348" s="8">
        <v>347</v>
      </c>
      <c r="B348" s="9" t="s">
        <v>35</v>
      </c>
      <c r="C348" s="9" t="s">
        <v>4299</v>
      </c>
      <c r="D348" s="9" t="s">
        <v>37</v>
      </c>
      <c r="E348" s="9" t="s">
        <v>4300</v>
      </c>
      <c r="F348" s="9" t="s">
        <v>107</v>
      </c>
      <c r="G348" s="9" t="s">
        <v>4301</v>
      </c>
      <c r="H348" s="9" t="s">
        <v>4302</v>
      </c>
      <c r="I348" s="9" t="s">
        <v>4302</v>
      </c>
      <c r="J348" s="9" t="s">
        <v>4302</v>
      </c>
      <c r="K348" s="9" t="s">
        <v>4303</v>
      </c>
      <c r="L348" s="9">
        <v>1621800</v>
      </c>
      <c r="M348" s="9">
        <v>2703000</v>
      </c>
      <c r="N348" s="9" t="s">
        <v>4304</v>
      </c>
      <c r="O348" s="10">
        <v>45624</v>
      </c>
      <c r="P348" s="9" t="s">
        <v>4305</v>
      </c>
      <c r="Q348" s="9" t="s">
        <v>4306</v>
      </c>
      <c r="R348" s="9" t="s">
        <v>47</v>
      </c>
      <c r="S348" s="9" t="s">
        <v>48</v>
      </c>
      <c r="T348" s="9" t="s">
        <v>1826</v>
      </c>
      <c r="U348" s="9" t="s">
        <v>50</v>
      </c>
      <c r="V348" s="9" t="s">
        <v>3008</v>
      </c>
      <c r="W348" s="9" t="s">
        <v>132</v>
      </c>
      <c r="X348" s="9" t="s">
        <v>133</v>
      </c>
      <c r="Y348" s="9" t="s">
        <v>4307</v>
      </c>
      <c r="Z348" s="9">
        <v>5</v>
      </c>
      <c r="AA348" s="9" t="s">
        <v>55</v>
      </c>
      <c r="AB348" s="9" t="s">
        <v>4308</v>
      </c>
      <c r="AC348" s="9" t="s">
        <v>3368</v>
      </c>
      <c r="AD348" s="9" t="s">
        <v>58</v>
      </c>
      <c r="AE348" s="9">
        <v>2162400</v>
      </c>
      <c r="AF348" s="11">
        <v>43248</v>
      </c>
      <c r="AG348" s="9"/>
      <c r="AH348" s="9"/>
      <c r="AI348" s="9"/>
      <c r="AJ348" s="12" t="s">
        <v>11725</v>
      </c>
      <c r="AK348" s="13">
        <v>43248</v>
      </c>
      <c r="AL348" s="13"/>
      <c r="AM348" s="14">
        <f t="shared" si="5"/>
        <v>0</v>
      </c>
      <c r="AN348" s="12" t="s">
        <v>12004</v>
      </c>
    </row>
    <row r="349" spans="1:40" x14ac:dyDescent="0.25">
      <c r="A349" s="15">
        <v>348</v>
      </c>
      <c r="B349" s="12" t="s">
        <v>35</v>
      </c>
      <c r="C349" s="12" t="s">
        <v>4309</v>
      </c>
      <c r="D349" s="12" t="s">
        <v>37</v>
      </c>
      <c r="E349" s="12" t="s">
        <v>4310</v>
      </c>
      <c r="F349" s="12" t="s">
        <v>138</v>
      </c>
      <c r="G349" s="12" t="s">
        <v>4311</v>
      </c>
      <c r="H349" s="12" t="s">
        <v>4312</v>
      </c>
      <c r="I349" s="12" t="s">
        <v>4313</v>
      </c>
      <c r="J349" s="12" t="s">
        <v>4312</v>
      </c>
      <c r="K349" s="12" t="s">
        <v>4314</v>
      </c>
      <c r="L349" s="12">
        <v>1664000</v>
      </c>
      <c r="M349" s="12">
        <v>2080000</v>
      </c>
      <c r="N349" s="12" t="s">
        <v>4315</v>
      </c>
      <c r="O349" s="16">
        <v>45624</v>
      </c>
      <c r="P349" s="12" t="s">
        <v>4316</v>
      </c>
      <c r="Q349" s="12" t="s">
        <v>4317</v>
      </c>
      <c r="R349" s="12" t="s">
        <v>146</v>
      </c>
      <c r="S349" s="12" t="s">
        <v>4318</v>
      </c>
      <c r="T349" s="12" t="s">
        <v>3282</v>
      </c>
      <c r="U349" s="12" t="s">
        <v>614</v>
      </c>
      <c r="V349" s="12" t="s">
        <v>3368</v>
      </c>
      <c r="W349" s="12" t="s">
        <v>132</v>
      </c>
      <c r="X349" s="12" t="s">
        <v>133</v>
      </c>
      <c r="Y349" s="12" t="s">
        <v>4319</v>
      </c>
      <c r="Z349" s="12">
        <v>5</v>
      </c>
      <c r="AA349" s="12" t="s">
        <v>118</v>
      </c>
      <c r="AB349" s="12" t="s">
        <v>4320</v>
      </c>
      <c r="AC349" s="12" t="s">
        <v>2836</v>
      </c>
      <c r="AD349" s="12" t="s">
        <v>299</v>
      </c>
      <c r="AE349" s="12">
        <v>1664000</v>
      </c>
      <c r="AF349" s="13">
        <v>24960</v>
      </c>
      <c r="AG349" s="12"/>
      <c r="AH349" s="12"/>
      <c r="AI349" s="12"/>
      <c r="AJ349" s="12" t="s">
        <v>11726</v>
      </c>
      <c r="AK349" s="13">
        <v>24960</v>
      </c>
      <c r="AL349" s="13"/>
      <c r="AM349" s="14">
        <f t="shared" si="5"/>
        <v>0</v>
      </c>
      <c r="AN349" s="12" t="s">
        <v>12004</v>
      </c>
    </row>
    <row r="350" spans="1:40" x14ac:dyDescent="0.25">
      <c r="A350" s="8">
        <v>349</v>
      </c>
      <c r="B350" s="9" t="s">
        <v>35</v>
      </c>
      <c r="C350" s="9" t="s">
        <v>4321</v>
      </c>
      <c r="D350" s="9" t="s">
        <v>37</v>
      </c>
      <c r="E350" s="9" t="s">
        <v>4322</v>
      </c>
      <c r="F350" s="9" t="s">
        <v>138</v>
      </c>
      <c r="G350" s="9" t="s">
        <v>4323</v>
      </c>
      <c r="H350" s="9" t="s">
        <v>48</v>
      </c>
      <c r="I350" s="9" t="s">
        <v>4324</v>
      </c>
      <c r="J350" s="9" t="s">
        <v>4325</v>
      </c>
      <c r="K350" s="9" t="s">
        <v>4326</v>
      </c>
      <c r="L350" s="9">
        <v>2162000</v>
      </c>
      <c r="M350" s="9">
        <v>4324000</v>
      </c>
      <c r="N350" s="9" t="s">
        <v>4327</v>
      </c>
      <c r="O350" s="9" t="s">
        <v>4328</v>
      </c>
      <c r="P350" s="9" t="s">
        <v>4329</v>
      </c>
      <c r="Q350" s="9" t="s">
        <v>4330</v>
      </c>
      <c r="R350" s="9" t="s">
        <v>47</v>
      </c>
      <c r="S350" s="9" t="s">
        <v>48</v>
      </c>
      <c r="T350" s="9" t="s">
        <v>4331</v>
      </c>
      <c r="U350" s="9" t="s">
        <v>386</v>
      </c>
      <c r="V350" s="10">
        <v>45286</v>
      </c>
      <c r="W350" s="9" t="s">
        <v>3964</v>
      </c>
      <c r="X350" s="9" t="s">
        <v>3977</v>
      </c>
      <c r="Y350" s="9" t="s">
        <v>4332</v>
      </c>
      <c r="Z350" s="9">
        <v>2</v>
      </c>
      <c r="AA350" s="9" t="s">
        <v>55</v>
      </c>
      <c r="AB350" s="9" t="s">
        <v>4333</v>
      </c>
      <c r="AC350" s="9" t="s">
        <v>4334</v>
      </c>
      <c r="AD350" s="9" t="s">
        <v>86</v>
      </c>
      <c r="AE350" s="9">
        <v>3891600</v>
      </c>
      <c r="AF350" s="11">
        <v>68103</v>
      </c>
      <c r="AG350" s="9"/>
      <c r="AH350" s="9"/>
      <c r="AI350" s="9"/>
      <c r="AJ350" s="12" t="s">
        <v>11727</v>
      </c>
      <c r="AK350" s="13">
        <v>68103</v>
      </c>
      <c r="AL350" s="13"/>
      <c r="AM350" s="14">
        <f t="shared" si="5"/>
        <v>0</v>
      </c>
      <c r="AN350" s="12" t="s">
        <v>12004</v>
      </c>
    </row>
    <row r="351" spans="1:40" x14ac:dyDescent="0.25">
      <c r="A351" s="15">
        <v>350</v>
      </c>
      <c r="B351" s="12" t="s">
        <v>35</v>
      </c>
      <c r="C351" s="12" t="s">
        <v>4335</v>
      </c>
      <c r="D351" s="12" t="s">
        <v>37</v>
      </c>
      <c r="E351" s="12" t="s">
        <v>4336</v>
      </c>
      <c r="F351" s="12" t="s">
        <v>138</v>
      </c>
      <c r="G351" s="12" t="s">
        <v>4337</v>
      </c>
      <c r="H351" s="12" t="s">
        <v>48</v>
      </c>
      <c r="I351" s="12" t="s">
        <v>4338</v>
      </c>
      <c r="J351" s="12" t="s">
        <v>48</v>
      </c>
      <c r="K351" s="12" t="s">
        <v>4339</v>
      </c>
      <c r="L351" s="12">
        <v>1872563</v>
      </c>
      <c r="M351" s="12">
        <v>2905000</v>
      </c>
      <c r="N351" s="12" t="s">
        <v>4340</v>
      </c>
      <c r="O351" s="16">
        <v>45624</v>
      </c>
      <c r="P351" s="12" t="s">
        <v>4341</v>
      </c>
      <c r="Q351" s="12" t="s">
        <v>4342</v>
      </c>
      <c r="R351" s="12" t="s">
        <v>47</v>
      </c>
      <c r="S351" s="12" t="s">
        <v>48</v>
      </c>
      <c r="T351" s="12" t="s">
        <v>2918</v>
      </c>
      <c r="U351" s="12" t="s">
        <v>50</v>
      </c>
      <c r="V351" s="12" t="s">
        <v>68</v>
      </c>
      <c r="W351" s="12" t="s">
        <v>132</v>
      </c>
      <c r="X351" s="12" t="s">
        <v>133</v>
      </c>
      <c r="Y351" s="12" t="s">
        <v>4343</v>
      </c>
      <c r="Z351" s="12">
        <v>5</v>
      </c>
      <c r="AA351" s="12" t="s">
        <v>118</v>
      </c>
      <c r="AB351" s="12" t="s">
        <v>4344</v>
      </c>
      <c r="AC351" s="12" t="s">
        <v>2836</v>
      </c>
      <c r="AD351" s="12" t="s">
        <v>58</v>
      </c>
      <c r="AE351" s="12">
        <v>2324000</v>
      </c>
      <c r="AF351" s="13">
        <v>46480</v>
      </c>
      <c r="AG351" s="12"/>
      <c r="AH351" s="12"/>
      <c r="AI351" s="12"/>
      <c r="AJ351" s="12" t="s">
        <v>11728</v>
      </c>
      <c r="AK351" s="13">
        <v>46480</v>
      </c>
      <c r="AL351" s="13"/>
      <c r="AM351" s="14">
        <f t="shared" si="5"/>
        <v>0</v>
      </c>
      <c r="AN351" s="12" t="s">
        <v>12004</v>
      </c>
    </row>
    <row r="352" spans="1:40" x14ac:dyDescent="0.25">
      <c r="A352" s="8">
        <v>351</v>
      </c>
      <c r="B352" s="9" t="s">
        <v>35</v>
      </c>
      <c r="C352" s="9" t="s">
        <v>4345</v>
      </c>
      <c r="D352" s="9" t="s">
        <v>37</v>
      </c>
      <c r="E352" s="9" t="s">
        <v>4346</v>
      </c>
      <c r="F352" s="9" t="s">
        <v>138</v>
      </c>
      <c r="G352" s="9" t="s">
        <v>4347</v>
      </c>
      <c r="H352" s="9" t="s">
        <v>48</v>
      </c>
      <c r="I352" s="9" t="s">
        <v>4348</v>
      </c>
      <c r="J352" s="9" t="s">
        <v>48</v>
      </c>
      <c r="K352" s="9" t="s">
        <v>4349</v>
      </c>
      <c r="L352" s="9">
        <v>1750000</v>
      </c>
      <c r="M352" s="9">
        <v>2500000</v>
      </c>
      <c r="N352" s="9" t="s">
        <v>4350</v>
      </c>
      <c r="O352" s="9" t="s">
        <v>4328</v>
      </c>
      <c r="P352" s="9" t="s">
        <v>4351</v>
      </c>
      <c r="Q352" s="9" t="s">
        <v>4352</v>
      </c>
      <c r="R352" s="9" t="s">
        <v>146</v>
      </c>
      <c r="S352" s="9" t="s">
        <v>4353</v>
      </c>
      <c r="T352" s="9" t="s">
        <v>4354</v>
      </c>
      <c r="U352" s="9" t="s">
        <v>496</v>
      </c>
      <c r="V352" s="10">
        <v>45286</v>
      </c>
      <c r="W352" s="9" t="s">
        <v>3964</v>
      </c>
      <c r="X352" s="9" t="s">
        <v>4016</v>
      </c>
      <c r="Y352" s="9" t="s">
        <v>4355</v>
      </c>
      <c r="Z352" s="9">
        <v>3</v>
      </c>
      <c r="AA352" s="9" t="s">
        <v>55</v>
      </c>
      <c r="AB352" s="9" t="s">
        <v>4356</v>
      </c>
      <c r="AC352" s="9" t="s">
        <v>4357</v>
      </c>
      <c r="AD352" s="9" t="s">
        <v>86</v>
      </c>
      <c r="AE352" s="9">
        <v>2250000</v>
      </c>
      <c r="AF352" s="11">
        <v>39375</v>
      </c>
      <c r="AG352" s="9"/>
      <c r="AH352" s="9"/>
      <c r="AI352" s="9"/>
      <c r="AJ352" s="12" t="s">
        <v>11729</v>
      </c>
      <c r="AK352" s="13">
        <v>39375</v>
      </c>
      <c r="AL352" s="13"/>
      <c r="AM352" s="14">
        <f t="shared" si="5"/>
        <v>0</v>
      </c>
      <c r="AN352" s="12" t="s">
        <v>12004</v>
      </c>
    </row>
    <row r="353" spans="1:40" x14ac:dyDescent="0.25">
      <c r="A353" s="15">
        <v>352</v>
      </c>
      <c r="B353" s="12" t="s">
        <v>35</v>
      </c>
      <c r="C353" s="12" t="s">
        <v>4358</v>
      </c>
      <c r="D353" s="12" t="s">
        <v>37</v>
      </c>
      <c r="E353" s="12" t="s">
        <v>4359</v>
      </c>
      <c r="F353" s="12" t="s">
        <v>107</v>
      </c>
      <c r="G353" s="12" t="s">
        <v>4360</v>
      </c>
      <c r="H353" s="12" t="s">
        <v>4361</v>
      </c>
      <c r="I353" s="12" t="s">
        <v>4361</v>
      </c>
      <c r="J353" s="12" t="s">
        <v>4361</v>
      </c>
      <c r="K353" s="12" t="s">
        <v>4362</v>
      </c>
      <c r="L353" s="12">
        <v>2116000</v>
      </c>
      <c r="M353" s="12">
        <v>2645000</v>
      </c>
      <c r="N353" s="12" t="s">
        <v>4363</v>
      </c>
      <c r="O353" s="16">
        <v>45624</v>
      </c>
      <c r="P353" s="12" t="s">
        <v>4364</v>
      </c>
      <c r="Q353" s="12" t="s">
        <v>4365</v>
      </c>
      <c r="R353" s="12" t="s">
        <v>47</v>
      </c>
      <c r="S353" s="12" t="s">
        <v>48</v>
      </c>
      <c r="T353" s="12" t="s">
        <v>4366</v>
      </c>
      <c r="U353" s="12" t="s">
        <v>50</v>
      </c>
      <c r="V353" s="12" t="s">
        <v>4367</v>
      </c>
      <c r="W353" s="12" t="s">
        <v>132</v>
      </c>
      <c r="X353" s="12" t="s">
        <v>133</v>
      </c>
      <c r="Y353" s="12" t="s">
        <v>4368</v>
      </c>
      <c r="Z353" s="12">
        <v>5</v>
      </c>
      <c r="AA353" s="12" t="s">
        <v>55</v>
      </c>
      <c r="AB353" s="12" t="s">
        <v>4369</v>
      </c>
      <c r="AC353" s="12" t="s">
        <v>3368</v>
      </c>
      <c r="AD353" s="12" t="s">
        <v>58</v>
      </c>
      <c r="AE353" s="12">
        <v>2116000</v>
      </c>
      <c r="AF353" s="13">
        <v>42320</v>
      </c>
      <c r="AG353" s="12"/>
      <c r="AH353" s="12"/>
      <c r="AI353" s="12"/>
      <c r="AJ353" s="12" t="s">
        <v>11730</v>
      </c>
      <c r="AK353" s="13">
        <v>42320</v>
      </c>
      <c r="AL353" s="13"/>
      <c r="AM353" s="14">
        <f t="shared" si="5"/>
        <v>0</v>
      </c>
      <c r="AN353" s="12" t="s">
        <v>12004</v>
      </c>
    </row>
    <row r="354" spans="1:40" x14ac:dyDescent="0.25">
      <c r="A354" s="8">
        <v>353</v>
      </c>
      <c r="B354" s="9" t="s">
        <v>35</v>
      </c>
      <c r="C354" s="9" t="s">
        <v>4370</v>
      </c>
      <c r="D354" s="9" t="s">
        <v>37</v>
      </c>
      <c r="E354" s="9" t="s">
        <v>4371</v>
      </c>
      <c r="F354" s="9" t="s">
        <v>290</v>
      </c>
      <c r="G354" s="9" t="s">
        <v>4372</v>
      </c>
      <c r="H354" s="9" t="s">
        <v>48</v>
      </c>
      <c r="I354" s="9" t="s">
        <v>4373</v>
      </c>
      <c r="J354" s="9" t="s">
        <v>48</v>
      </c>
      <c r="K354" s="9" t="s">
        <v>4374</v>
      </c>
      <c r="L354" s="9">
        <v>2162400</v>
      </c>
      <c r="M354" s="9">
        <v>2703000</v>
      </c>
      <c r="N354" s="9" t="s">
        <v>4375</v>
      </c>
      <c r="O354" s="10">
        <v>45624</v>
      </c>
      <c r="P354" s="9" t="s">
        <v>4376</v>
      </c>
      <c r="Q354" s="9" t="s">
        <v>4377</v>
      </c>
      <c r="R354" s="9" t="s">
        <v>47</v>
      </c>
      <c r="S354" s="9" t="s">
        <v>48</v>
      </c>
      <c r="T354" s="9" t="s">
        <v>2918</v>
      </c>
      <c r="U354" s="9" t="s">
        <v>50</v>
      </c>
      <c r="V354" s="9" t="s">
        <v>4378</v>
      </c>
      <c r="W354" s="9" t="s">
        <v>132</v>
      </c>
      <c r="X354" s="9" t="s">
        <v>133</v>
      </c>
      <c r="Y354" s="9" t="s">
        <v>4379</v>
      </c>
      <c r="Z354" s="9">
        <v>5</v>
      </c>
      <c r="AA354" s="9" t="s">
        <v>55</v>
      </c>
      <c r="AB354" s="9" t="s">
        <v>4380</v>
      </c>
      <c r="AC354" s="9" t="s">
        <v>2836</v>
      </c>
      <c r="AD354" s="9" t="s">
        <v>58</v>
      </c>
      <c r="AE354" s="9">
        <v>2162400</v>
      </c>
      <c r="AF354" s="11">
        <v>43248</v>
      </c>
      <c r="AG354" s="9"/>
      <c r="AH354" s="9"/>
      <c r="AI354" s="9"/>
      <c r="AJ354" s="12" t="s">
        <v>11731</v>
      </c>
      <c r="AK354" s="13">
        <v>43248</v>
      </c>
      <c r="AL354" s="13"/>
      <c r="AM354" s="14">
        <f t="shared" si="5"/>
        <v>0</v>
      </c>
      <c r="AN354" s="12" t="s">
        <v>12004</v>
      </c>
    </row>
    <row r="355" spans="1:40" x14ac:dyDescent="0.25">
      <c r="A355" s="15">
        <v>354</v>
      </c>
      <c r="B355" s="12" t="s">
        <v>35</v>
      </c>
      <c r="C355" s="12" t="s">
        <v>4381</v>
      </c>
      <c r="D355" s="12" t="s">
        <v>37</v>
      </c>
      <c r="E355" s="12" t="s">
        <v>2260</v>
      </c>
      <c r="F355" s="12" t="s">
        <v>39</v>
      </c>
      <c r="G355" s="12" t="s">
        <v>4382</v>
      </c>
      <c r="H355" s="12" t="s">
        <v>4383</v>
      </c>
      <c r="I355" s="12" t="s">
        <v>4384</v>
      </c>
      <c r="J355" s="12" t="s">
        <v>4383</v>
      </c>
      <c r="K355" s="12" t="s">
        <v>4385</v>
      </c>
      <c r="L355" s="12">
        <v>2732100</v>
      </c>
      <c r="M355" s="12">
        <v>3903000</v>
      </c>
      <c r="N355" s="12" t="s">
        <v>4386</v>
      </c>
      <c r="O355" s="16">
        <v>45624</v>
      </c>
      <c r="P355" s="12" t="s">
        <v>4387</v>
      </c>
      <c r="Q355" s="12" t="s">
        <v>4388</v>
      </c>
      <c r="R355" s="12" t="s">
        <v>47</v>
      </c>
      <c r="S355" s="12" t="s">
        <v>48</v>
      </c>
      <c r="T355" s="12" t="s">
        <v>4389</v>
      </c>
      <c r="U355" s="12" t="s">
        <v>50</v>
      </c>
      <c r="V355" s="12" t="s">
        <v>3368</v>
      </c>
      <c r="W355" s="12" t="s">
        <v>132</v>
      </c>
      <c r="X355" s="12" t="s">
        <v>133</v>
      </c>
      <c r="Y355" s="12" t="s">
        <v>4390</v>
      </c>
      <c r="Z355" s="12">
        <v>5</v>
      </c>
      <c r="AA355" s="12" t="s">
        <v>118</v>
      </c>
      <c r="AB355" s="12" t="s">
        <v>4391</v>
      </c>
      <c r="AC355" s="12" t="s">
        <v>2836</v>
      </c>
      <c r="AD355" s="12" t="s">
        <v>58</v>
      </c>
      <c r="AE355" s="12">
        <v>3122400</v>
      </c>
      <c r="AF355" s="13">
        <v>62448</v>
      </c>
      <c r="AG355" s="12"/>
      <c r="AH355" s="12"/>
      <c r="AI355" s="12"/>
      <c r="AJ355" s="12" t="s">
        <v>11732</v>
      </c>
      <c r="AK355" s="13">
        <v>62448</v>
      </c>
      <c r="AL355" s="13"/>
      <c r="AM355" s="14">
        <f t="shared" si="5"/>
        <v>0</v>
      </c>
      <c r="AN355" s="12" t="s">
        <v>12004</v>
      </c>
    </row>
    <row r="356" spans="1:40" x14ac:dyDescent="0.25">
      <c r="A356" s="8">
        <v>355</v>
      </c>
      <c r="B356" s="9" t="s">
        <v>35</v>
      </c>
      <c r="C356" s="9" t="s">
        <v>4392</v>
      </c>
      <c r="D356" s="9" t="s">
        <v>37</v>
      </c>
      <c r="E356" s="9" t="s">
        <v>4393</v>
      </c>
      <c r="F356" s="9" t="s">
        <v>138</v>
      </c>
      <c r="G356" s="9" t="s">
        <v>4394</v>
      </c>
      <c r="H356" s="9" t="s">
        <v>48</v>
      </c>
      <c r="I356" s="9" t="s">
        <v>4395</v>
      </c>
      <c r="J356" s="9" t="s">
        <v>48</v>
      </c>
      <c r="K356" s="9" t="s">
        <v>4396</v>
      </c>
      <c r="L356" s="9">
        <v>2816800</v>
      </c>
      <c r="M356" s="9">
        <v>4024000</v>
      </c>
      <c r="N356" s="9" t="s">
        <v>4397</v>
      </c>
      <c r="O356" s="10">
        <v>45624</v>
      </c>
      <c r="P356" s="9" t="s">
        <v>4398</v>
      </c>
      <c r="Q356" s="9" t="s">
        <v>4399</v>
      </c>
      <c r="R356" s="9" t="s">
        <v>47</v>
      </c>
      <c r="S356" s="9" t="s">
        <v>48</v>
      </c>
      <c r="T356" s="9" t="s">
        <v>97</v>
      </c>
      <c r="U356" s="9" t="s">
        <v>50</v>
      </c>
      <c r="V356" s="9" t="s">
        <v>4400</v>
      </c>
      <c r="W356" s="9" t="s">
        <v>132</v>
      </c>
      <c r="X356" s="9" t="s">
        <v>133</v>
      </c>
      <c r="Y356" s="9" t="s">
        <v>4401</v>
      </c>
      <c r="Z356" s="9">
        <v>5</v>
      </c>
      <c r="AA356" s="9" t="s">
        <v>55</v>
      </c>
      <c r="AB356" s="9" t="s">
        <v>4402</v>
      </c>
      <c r="AC356" s="9" t="s">
        <v>2034</v>
      </c>
      <c r="AD356" s="9" t="s">
        <v>58</v>
      </c>
      <c r="AE356" s="9">
        <v>3219200</v>
      </c>
      <c r="AF356" s="11">
        <v>64384</v>
      </c>
      <c r="AG356" s="9"/>
      <c r="AH356" s="9"/>
      <c r="AI356" s="9"/>
      <c r="AJ356" s="12" t="s">
        <v>11733</v>
      </c>
      <c r="AK356" s="13">
        <v>64384</v>
      </c>
      <c r="AL356" s="13"/>
      <c r="AM356" s="14">
        <f t="shared" si="5"/>
        <v>0</v>
      </c>
      <c r="AN356" s="12" t="s">
        <v>12004</v>
      </c>
    </row>
    <row r="357" spans="1:40" x14ac:dyDescent="0.25">
      <c r="A357" s="15">
        <v>356</v>
      </c>
      <c r="B357" s="12" t="s">
        <v>35</v>
      </c>
      <c r="C357" s="12" t="s">
        <v>4403</v>
      </c>
      <c r="D357" s="12" t="s">
        <v>37</v>
      </c>
      <c r="E357" s="12" t="s">
        <v>4404</v>
      </c>
      <c r="F357" s="12" t="s">
        <v>138</v>
      </c>
      <c r="G357" s="12" t="s">
        <v>4405</v>
      </c>
      <c r="H357" s="12" t="s">
        <v>48</v>
      </c>
      <c r="I357" s="12" t="s">
        <v>4406</v>
      </c>
      <c r="J357" s="12" t="s">
        <v>48</v>
      </c>
      <c r="K357" s="12" t="s">
        <v>4407</v>
      </c>
      <c r="L357" s="12">
        <v>2816800</v>
      </c>
      <c r="M357" s="12">
        <v>4024000</v>
      </c>
      <c r="N357" s="12" t="s">
        <v>4408</v>
      </c>
      <c r="O357" s="16">
        <v>45624</v>
      </c>
      <c r="P357" s="12" t="s">
        <v>4409</v>
      </c>
      <c r="Q357" s="12" t="s">
        <v>4410</v>
      </c>
      <c r="R357" s="12" t="s">
        <v>47</v>
      </c>
      <c r="S357" s="12" t="s">
        <v>48</v>
      </c>
      <c r="T357" s="12" t="s">
        <v>4411</v>
      </c>
      <c r="U357" s="12" t="s">
        <v>50</v>
      </c>
      <c r="V357" s="12" t="s">
        <v>1167</v>
      </c>
      <c r="W357" s="12" t="s">
        <v>132</v>
      </c>
      <c r="X357" s="12" t="s">
        <v>133</v>
      </c>
      <c r="Y357" s="12" t="s">
        <v>4412</v>
      </c>
      <c r="Z357" s="12">
        <v>5</v>
      </c>
      <c r="AA357" s="12" t="s">
        <v>55</v>
      </c>
      <c r="AB357" s="12" t="s">
        <v>4413</v>
      </c>
      <c r="AC357" s="12" t="s">
        <v>3155</v>
      </c>
      <c r="AD357" s="12" t="s">
        <v>58</v>
      </c>
      <c r="AE357" s="12">
        <v>3219200</v>
      </c>
      <c r="AF357" s="13">
        <v>64384</v>
      </c>
      <c r="AG357" s="12"/>
      <c r="AH357" s="12"/>
      <c r="AI357" s="12"/>
      <c r="AJ357" s="12" t="s">
        <v>11734</v>
      </c>
      <c r="AK357" s="13">
        <v>64384</v>
      </c>
      <c r="AL357" s="13"/>
      <c r="AM357" s="14">
        <f t="shared" si="5"/>
        <v>0</v>
      </c>
      <c r="AN357" s="12" t="s">
        <v>12004</v>
      </c>
    </row>
    <row r="358" spans="1:40" x14ac:dyDescent="0.25">
      <c r="A358" s="8">
        <v>357</v>
      </c>
      <c r="B358" s="9" t="s">
        <v>35</v>
      </c>
      <c r="C358" s="9" t="s">
        <v>4414</v>
      </c>
      <c r="D358" s="9" t="s">
        <v>37</v>
      </c>
      <c r="E358" s="9" t="s">
        <v>4415</v>
      </c>
      <c r="F358" s="9" t="s">
        <v>107</v>
      </c>
      <c r="G358" s="9" t="s">
        <v>4416</v>
      </c>
      <c r="H358" s="9" t="s">
        <v>4417</v>
      </c>
      <c r="I358" s="9" t="s">
        <v>4417</v>
      </c>
      <c r="J358" s="9" t="s">
        <v>4417</v>
      </c>
      <c r="K358" s="9" t="s">
        <v>4418</v>
      </c>
      <c r="L358" s="9">
        <v>771400</v>
      </c>
      <c r="M358" s="9">
        <v>1330000</v>
      </c>
      <c r="N358" s="9" t="s">
        <v>4419</v>
      </c>
      <c r="O358" s="10">
        <v>45624</v>
      </c>
      <c r="P358" s="9" t="s">
        <v>4420</v>
      </c>
      <c r="Q358" s="9" t="s">
        <v>4421</v>
      </c>
      <c r="R358" s="9" t="s">
        <v>146</v>
      </c>
      <c r="S358" s="9" t="s">
        <v>4422</v>
      </c>
      <c r="T358" s="9" t="s">
        <v>321</v>
      </c>
      <c r="U358" s="9" t="s">
        <v>335</v>
      </c>
      <c r="V358" s="9" t="s">
        <v>3368</v>
      </c>
      <c r="W358" s="9" t="s">
        <v>132</v>
      </c>
      <c r="X358" s="9" t="s">
        <v>1191</v>
      </c>
      <c r="Y358" s="9" t="s">
        <v>4423</v>
      </c>
      <c r="Z358" s="9">
        <v>7</v>
      </c>
      <c r="AA358" s="9" t="s">
        <v>118</v>
      </c>
      <c r="AB358" s="9" t="s">
        <v>4424</v>
      </c>
      <c r="AC358" s="9" t="s">
        <v>2836</v>
      </c>
      <c r="AD358" s="9" t="s">
        <v>299</v>
      </c>
      <c r="AE358" s="9">
        <v>1064000</v>
      </c>
      <c r="AF358" s="11">
        <v>15960</v>
      </c>
      <c r="AG358" s="9"/>
      <c r="AH358" s="9"/>
      <c r="AI358" s="9"/>
      <c r="AJ358" s="12" t="s">
        <v>11735</v>
      </c>
      <c r="AK358" s="13">
        <v>15960</v>
      </c>
      <c r="AL358" s="13"/>
      <c r="AM358" s="14">
        <f t="shared" si="5"/>
        <v>0</v>
      </c>
      <c r="AN358" s="12" t="s">
        <v>12004</v>
      </c>
    </row>
    <row r="359" spans="1:40" x14ac:dyDescent="0.25">
      <c r="A359" s="15">
        <v>358</v>
      </c>
      <c r="B359" s="12" t="s">
        <v>35</v>
      </c>
      <c r="C359" s="12" t="s">
        <v>4425</v>
      </c>
      <c r="D359" s="12" t="s">
        <v>37</v>
      </c>
      <c r="E359" s="12" t="s">
        <v>4426</v>
      </c>
      <c r="F359" s="12" t="s">
        <v>107</v>
      </c>
      <c r="G359" s="12" t="s">
        <v>4427</v>
      </c>
      <c r="H359" s="12" t="s">
        <v>4428</v>
      </c>
      <c r="I359" s="12" t="s">
        <v>4428</v>
      </c>
      <c r="J359" s="12" t="s">
        <v>4428</v>
      </c>
      <c r="K359" s="12" t="s">
        <v>4429</v>
      </c>
      <c r="L359" s="12">
        <v>1950000</v>
      </c>
      <c r="M359" s="12">
        <v>3000000</v>
      </c>
      <c r="N359" s="12" t="s">
        <v>4430</v>
      </c>
      <c r="O359" s="16">
        <v>45647</v>
      </c>
      <c r="P359" s="12" t="s">
        <v>4431</v>
      </c>
      <c r="Q359" s="12" t="s">
        <v>4432</v>
      </c>
      <c r="R359" s="12" t="s">
        <v>146</v>
      </c>
      <c r="S359" s="12" t="s">
        <v>4433</v>
      </c>
      <c r="T359" s="12" t="s">
        <v>4434</v>
      </c>
      <c r="U359" s="12" t="s">
        <v>651</v>
      </c>
      <c r="V359" s="16">
        <v>44553</v>
      </c>
      <c r="W359" s="12" t="s">
        <v>4015</v>
      </c>
      <c r="X359" s="12" t="s">
        <v>4016</v>
      </c>
      <c r="Y359" s="12" t="s">
        <v>4435</v>
      </c>
      <c r="Z359" s="12">
        <v>5</v>
      </c>
      <c r="AA359" s="12" t="s">
        <v>55</v>
      </c>
      <c r="AB359" s="12" t="s">
        <v>4436</v>
      </c>
      <c r="AC359" s="12" t="s">
        <v>4437</v>
      </c>
      <c r="AD359" s="12" t="s">
        <v>299</v>
      </c>
      <c r="AE359" s="12">
        <v>2400000</v>
      </c>
      <c r="AF359" s="13">
        <v>36000</v>
      </c>
      <c r="AG359" s="12"/>
      <c r="AH359" s="12"/>
      <c r="AI359" s="12"/>
      <c r="AJ359" s="12" t="s">
        <v>11736</v>
      </c>
      <c r="AK359" s="13">
        <v>36000</v>
      </c>
      <c r="AL359" s="13"/>
      <c r="AM359" s="14">
        <f t="shared" si="5"/>
        <v>0</v>
      </c>
      <c r="AN359" s="12" t="s">
        <v>12004</v>
      </c>
    </row>
    <row r="360" spans="1:40" x14ac:dyDescent="0.25">
      <c r="A360" s="8">
        <v>359</v>
      </c>
      <c r="B360" s="9" t="s">
        <v>35</v>
      </c>
      <c r="C360" s="9" t="s">
        <v>4438</v>
      </c>
      <c r="D360" s="9" t="s">
        <v>37</v>
      </c>
      <c r="E360" s="9" t="s">
        <v>1902</v>
      </c>
      <c r="F360" s="9" t="s">
        <v>107</v>
      </c>
      <c r="G360" s="9" t="s">
        <v>4439</v>
      </c>
      <c r="H360" s="9" t="s">
        <v>4440</v>
      </c>
      <c r="I360" s="9" t="s">
        <v>4440</v>
      </c>
      <c r="J360" s="9" t="s">
        <v>4440</v>
      </c>
      <c r="K360" s="9" t="s">
        <v>4441</v>
      </c>
      <c r="L360" s="9">
        <v>2736300</v>
      </c>
      <c r="M360" s="9">
        <v>3909000</v>
      </c>
      <c r="N360" s="9" t="s">
        <v>4442</v>
      </c>
      <c r="O360" s="10">
        <v>45647</v>
      </c>
      <c r="P360" s="9" t="s">
        <v>4443</v>
      </c>
      <c r="Q360" s="9" t="s">
        <v>4444</v>
      </c>
      <c r="R360" s="9" t="s">
        <v>47</v>
      </c>
      <c r="S360" s="9" t="s">
        <v>48</v>
      </c>
      <c r="T360" s="9" t="s">
        <v>4445</v>
      </c>
      <c r="U360" s="9" t="s">
        <v>50</v>
      </c>
      <c r="V360" s="10">
        <v>44554</v>
      </c>
      <c r="W360" s="9" t="s">
        <v>4015</v>
      </c>
      <c r="X360" s="9" t="s">
        <v>4016</v>
      </c>
      <c r="Y360" s="9" t="s">
        <v>4446</v>
      </c>
      <c r="Z360" s="9">
        <v>5</v>
      </c>
      <c r="AA360" s="9" t="s">
        <v>55</v>
      </c>
      <c r="AB360" s="9" t="s">
        <v>4447</v>
      </c>
      <c r="AC360" s="9" t="s">
        <v>4448</v>
      </c>
      <c r="AD360" s="9" t="s">
        <v>299</v>
      </c>
      <c r="AE360" s="9">
        <v>3127200</v>
      </c>
      <c r="AF360" s="11">
        <v>46908</v>
      </c>
      <c r="AG360" s="9"/>
      <c r="AH360" s="9"/>
      <c r="AI360" s="9"/>
      <c r="AJ360" s="12" t="s">
        <v>11737</v>
      </c>
      <c r="AK360" s="13">
        <v>46908</v>
      </c>
      <c r="AL360" s="13"/>
      <c r="AM360" s="14">
        <f t="shared" si="5"/>
        <v>0</v>
      </c>
      <c r="AN360" s="12" t="s">
        <v>12004</v>
      </c>
    </row>
    <row r="361" spans="1:40" x14ac:dyDescent="0.25">
      <c r="A361" s="15">
        <v>360</v>
      </c>
      <c r="B361" s="12" t="s">
        <v>35</v>
      </c>
      <c r="C361" s="12" t="s">
        <v>4449</v>
      </c>
      <c r="D361" s="12" t="s">
        <v>37</v>
      </c>
      <c r="E361" s="12" t="s">
        <v>4450</v>
      </c>
      <c r="F361" s="12" t="s">
        <v>245</v>
      </c>
      <c r="G361" s="12" t="s">
        <v>4451</v>
      </c>
      <c r="H361" s="12" t="s">
        <v>4452</v>
      </c>
      <c r="I361" s="12" t="s">
        <v>48</v>
      </c>
      <c r="J361" s="12" t="s">
        <v>4453</v>
      </c>
      <c r="K361" s="12" t="s">
        <v>4454</v>
      </c>
      <c r="L361" s="12">
        <v>1332500</v>
      </c>
      <c r="M361" s="12">
        <v>2050000</v>
      </c>
      <c r="N361" s="12" t="s">
        <v>4455</v>
      </c>
      <c r="O361" s="16">
        <v>45624</v>
      </c>
      <c r="P361" s="12" t="s">
        <v>4456</v>
      </c>
      <c r="Q361" s="12" t="s">
        <v>4457</v>
      </c>
      <c r="R361" s="12" t="s">
        <v>146</v>
      </c>
      <c r="S361" s="12" t="s">
        <v>4458</v>
      </c>
      <c r="T361" s="12" t="s">
        <v>4459</v>
      </c>
      <c r="U361" s="12" t="s">
        <v>335</v>
      </c>
      <c r="V361" s="12" t="s">
        <v>4043</v>
      </c>
      <c r="W361" s="12" t="s">
        <v>940</v>
      </c>
      <c r="X361" s="12" t="s">
        <v>1638</v>
      </c>
      <c r="Y361" s="12" t="s">
        <v>4460</v>
      </c>
      <c r="Z361" s="12">
        <v>5</v>
      </c>
      <c r="AA361" s="12" t="s">
        <v>323</v>
      </c>
      <c r="AB361" s="12" t="s">
        <v>4461</v>
      </c>
      <c r="AC361" s="12" t="s">
        <v>2181</v>
      </c>
      <c r="AD361" s="12" t="s">
        <v>86</v>
      </c>
      <c r="AE361" s="12">
        <v>1742500</v>
      </c>
      <c r="AF361" s="13">
        <v>30494</v>
      </c>
      <c r="AG361" s="12"/>
      <c r="AH361" s="12"/>
      <c r="AI361" s="12"/>
      <c r="AJ361" s="12" t="s">
        <v>11738</v>
      </c>
      <c r="AK361" s="13">
        <v>30494</v>
      </c>
      <c r="AL361" s="13"/>
      <c r="AM361" s="14">
        <f t="shared" si="5"/>
        <v>0</v>
      </c>
      <c r="AN361" s="12" t="s">
        <v>12004</v>
      </c>
    </row>
    <row r="362" spans="1:40" x14ac:dyDescent="0.25">
      <c r="A362" s="8">
        <v>361</v>
      </c>
      <c r="B362" s="9" t="s">
        <v>35</v>
      </c>
      <c r="C362" s="9" t="s">
        <v>4462</v>
      </c>
      <c r="D362" s="9" t="s">
        <v>37</v>
      </c>
      <c r="E362" s="9" t="s">
        <v>4463</v>
      </c>
      <c r="F362" s="9" t="s">
        <v>245</v>
      </c>
      <c r="G362" s="9" t="s">
        <v>4464</v>
      </c>
      <c r="H362" s="9" t="s">
        <v>4465</v>
      </c>
      <c r="I362" s="9" t="s">
        <v>48</v>
      </c>
      <c r="J362" s="9" t="s">
        <v>141</v>
      </c>
      <c r="K362" s="9" t="s">
        <v>4466</v>
      </c>
      <c r="L362" s="9">
        <v>1750000</v>
      </c>
      <c r="M362" s="9">
        <v>2500000</v>
      </c>
      <c r="N362" s="9" t="s">
        <v>4467</v>
      </c>
      <c r="O362" s="10">
        <v>45647</v>
      </c>
      <c r="P362" s="9" t="s">
        <v>4468</v>
      </c>
      <c r="Q362" s="9" t="s">
        <v>4469</v>
      </c>
      <c r="R362" s="9" t="s">
        <v>146</v>
      </c>
      <c r="S362" s="9" t="s">
        <v>4470</v>
      </c>
      <c r="T362" s="9" t="s">
        <v>902</v>
      </c>
      <c r="U362" s="9" t="s">
        <v>903</v>
      </c>
      <c r="V362" s="10">
        <v>44552</v>
      </c>
      <c r="W362" s="9" t="s">
        <v>4015</v>
      </c>
      <c r="X362" s="9" t="s">
        <v>4016</v>
      </c>
      <c r="Y362" s="9" t="s">
        <v>4471</v>
      </c>
      <c r="Z362" s="9">
        <v>5</v>
      </c>
      <c r="AA362" s="9" t="s">
        <v>118</v>
      </c>
      <c r="AB362" s="9" t="s">
        <v>4472</v>
      </c>
      <c r="AC362" s="9" t="s">
        <v>4473</v>
      </c>
      <c r="AD362" s="9" t="s">
        <v>299</v>
      </c>
      <c r="AE362" s="9">
        <v>2000000</v>
      </c>
      <c r="AF362" s="11">
        <v>30000</v>
      </c>
      <c r="AG362" s="9"/>
      <c r="AH362" s="9"/>
      <c r="AI362" s="9"/>
      <c r="AJ362" s="12" t="s">
        <v>11739</v>
      </c>
      <c r="AK362" s="13">
        <v>30000</v>
      </c>
      <c r="AL362" s="13"/>
      <c r="AM362" s="14">
        <f t="shared" si="5"/>
        <v>0</v>
      </c>
      <c r="AN362" s="12" t="s">
        <v>12004</v>
      </c>
    </row>
    <row r="363" spans="1:40" x14ac:dyDescent="0.25">
      <c r="A363" s="15">
        <v>362</v>
      </c>
      <c r="B363" s="12" t="s">
        <v>35</v>
      </c>
      <c r="C363" s="12" t="s">
        <v>4474</v>
      </c>
      <c r="D363" s="12" t="s">
        <v>37</v>
      </c>
      <c r="E363" s="12" t="s">
        <v>4475</v>
      </c>
      <c r="F363" s="12" t="s">
        <v>138</v>
      </c>
      <c r="G363" s="12" t="s">
        <v>4476</v>
      </c>
      <c r="H363" s="12" t="s">
        <v>48</v>
      </c>
      <c r="I363" s="12" t="s">
        <v>4477</v>
      </c>
      <c r="J363" s="12" t="s">
        <v>4478</v>
      </c>
      <c r="K363" s="12" t="s">
        <v>4479</v>
      </c>
      <c r="L363" s="12">
        <v>1599500</v>
      </c>
      <c r="M363" s="12">
        <v>2285000</v>
      </c>
      <c r="N363" s="12" t="s">
        <v>4480</v>
      </c>
      <c r="O363" s="16">
        <v>45647</v>
      </c>
      <c r="P363" s="12" t="s">
        <v>4481</v>
      </c>
      <c r="Q363" s="12" t="s">
        <v>4482</v>
      </c>
      <c r="R363" s="12" t="s">
        <v>146</v>
      </c>
      <c r="S363" s="12" t="s">
        <v>4483</v>
      </c>
      <c r="T363" s="12" t="s">
        <v>3282</v>
      </c>
      <c r="U363" s="12" t="s">
        <v>50</v>
      </c>
      <c r="V363" s="16">
        <v>44554</v>
      </c>
      <c r="W363" s="12" t="s">
        <v>4015</v>
      </c>
      <c r="X363" s="12" t="s">
        <v>3977</v>
      </c>
      <c r="Y363" s="12" t="s">
        <v>4484</v>
      </c>
      <c r="Z363" s="12">
        <v>4</v>
      </c>
      <c r="AA363" s="12" t="s">
        <v>55</v>
      </c>
      <c r="AB363" s="12" t="s">
        <v>4485</v>
      </c>
      <c r="AC363" s="12" t="s">
        <v>4437</v>
      </c>
      <c r="AD363" s="12" t="s">
        <v>299</v>
      </c>
      <c r="AE363" s="12">
        <v>1828000</v>
      </c>
      <c r="AF363" s="13">
        <v>27420</v>
      </c>
      <c r="AG363" s="12"/>
      <c r="AH363" s="12"/>
      <c r="AI363" s="12"/>
      <c r="AJ363" s="12" t="s">
        <v>11740</v>
      </c>
      <c r="AK363" s="13">
        <v>27420</v>
      </c>
      <c r="AL363" s="13"/>
      <c r="AM363" s="14">
        <f t="shared" si="5"/>
        <v>0</v>
      </c>
      <c r="AN363" s="12" t="s">
        <v>12004</v>
      </c>
    </row>
    <row r="364" spans="1:40" x14ac:dyDescent="0.25">
      <c r="A364" s="8">
        <v>363</v>
      </c>
      <c r="B364" s="9" t="s">
        <v>35</v>
      </c>
      <c r="C364" s="9" t="s">
        <v>4486</v>
      </c>
      <c r="D364" s="9" t="s">
        <v>37</v>
      </c>
      <c r="E364" s="9" t="s">
        <v>2986</v>
      </c>
      <c r="F364" s="9" t="s">
        <v>138</v>
      </c>
      <c r="G364" s="9" t="s">
        <v>4487</v>
      </c>
      <c r="H364" s="9" t="s">
        <v>4488</v>
      </c>
      <c r="I364" s="9" t="s">
        <v>4488</v>
      </c>
      <c r="J364" s="9" t="s">
        <v>141</v>
      </c>
      <c r="K364" s="9" t="s">
        <v>4489</v>
      </c>
      <c r="L364" s="9">
        <v>1578750</v>
      </c>
      <c r="M364" s="9">
        <v>2105000</v>
      </c>
      <c r="N364" s="9" t="s">
        <v>4490</v>
      </c>
      <c r="O364" s="10">
        <v>45647</v>
      </c>
      <c r="P364" s="9" t="s">
        <v>4491</v>
      </c>
      <c r="Q364" s="9" t="s">
        <v>4492</v>
      </c>
      <c r="R364" s="9" t="s">
        <v>47</v>
      </c>
      <c r="S364" s="9" t="s">
        <v>48</v>
      </c>
      <c r="T364" s="9" t="s">
        <v>1323</v>
      </c>
      <c r="U364" s="9" t="s">
        <v>50</v>
      </c>
      <c r="V364" s="10">
        <v>44553</v>
      </c>
      <c r="W364" s="9" t="s">
        <v>4015</v>
      </c>
      <c r="X364" s="9" t="s">
        <v>4016</v>
      </c>
      <c r="Y364" s="9" t="s">
        <v>4493</v>
      </c>
      <c r="Z364" s="9">
        <v>5</v>
      </c>
      <c r="AA364" s="9" t="s">
        <v>55</v>
      </c>
      <c r="AB364" s="9" t="s">
        <v>4494</v>
      </c>
      <c r="AC364" s="9" t="s">
        <v>4437</v>
      </c>
      <c r="AD364" s="9" t="s">
        <v>58</v>
      </c>
      <c r="AE364" s="9">
        <v>1684000</v>
      </c>
      <c r="AF364" s="11">
        <v>33680</v>
      </c>
      <c r="AG364" s="9"/>
      <c r="AH364" s="9"/>
      <c r="AI364" s="9"/>
      <c r="AJ364" s="12" t="s">
        <v>11741</v>
      </c>
      <c r="AK364" s="13">
        <v>33680</v>
      </c>
      <c r="AL364" s="13"/>
      <c r="AM364" s="14">
        <f t="shared" si="5"/>
        <v>0</v>
      </c>
      <c r="AN364" s="12" t="s">
        <v>12004</v>
      </c>
    </row>
    <row r="365" spans="1:40" x14ac:dyDescent="0.25">
      <c r="A365" s="15">
        <v>364</v>
      </c>
      <c r="B365" s="12" t="s">
        <v>35</v>
      </c>
      <c r="C365" s="12" t="s">
        <v>4495</v>
      </c>
      <c r="D365" s="12" t="s">
        <v>37</v>
      </c>
      <c r="E365" s="12" t="s">
        <v>4496</v>
      </c>
      <c r="F365" s="12" t="s">
        <v>138</v>
      </c>
      <c r="G365" s="12" t="s">
        <v>4497</v>
      </c>
      <c r="H365" s="12" t="s">
        <v>4498</v>
      </c>
      <c r="I365" s="12" t="s">
        <v>4498</v>
      </c>
      <c r="J365" s="12" t="s">
        <v>141</v>
      </c>
      <c r="K365" s="12" t="s">
        <v>4499</v>
      </c>
      <c r="L365" s="12">
        <v>1137500</v>
      </c>
      <c r="M365" s="12">
        <v>1750000</v>
      </c>
      <c r="N365" s="12" t="s">
        <v>4500</v>
      </c>
      <c r="O365" s="16">
        <v>45624</v>
      </c>
      <c r="P365" s="12" t="s">
        <v>4501</v>
      </c>
      <c r="Q365" s="12" t="s">
        <v>4502</v>
      </c>
      <c r="R365" s="12" t="s">
        <v>146</v>
      </c>
      <c r="S365" s="12" t="s">
        <v>4503</v>
      </c>
      <c r="T365" s="12" t="s">
        <v>194</v>
      </c>
      <c r="U365" s="12" t="s">
        <v>98</v>
      </c>
      <c r="V365" s="12" t="s">
        <v>4043</v>
      </c>
      <c r="W365" s="12" t="s">
        <v>940</v>
      </c>
      <c r="X365" s="12" t="s">
        <v>533</v>
      </c>
      <c r="Y365" s="12" t="s">
        <v>4504</v>
      </c>
      <c r="Z365" s="12">
        <v>3</v>
      </c>
      <c r="AA365" s="12" t="s">
        <v>152</v>
      </c>
      <c r="AB365" s="12" t="s">
        <v>4505</v>
      </c>
      <c r="AC365" s="12" t="s">
        <v>4043</v>
      </c>
      <c r="AD365" s="12" t="s">
        <v>86</v>
      </c>
      <c r="AE365" s="12">
        <v>1487500</v>
      </c>
      <c r="AF365" s="13">
        <v>26031</v>
      </c>
      <c r="AG365" s="12"/>
      <c r="AH365" s="12"/>
      <c r="AI365" s="12"/>
      <c r="AJ365" s="12" t="s">
        <v>11742</v>
      </c>
      <c r="AK365" s="13">
        <v>26031</v>
      </c>
      <c r="AL365" s="13"/>
      <c r="AM365" s="14">
        <f t="shared" si="5"/>
        <v>0</v>
      </c>
      <c r="AN365" s="12" t="s">
        <v>12004</v>
      </c>
    </row>
    <row r="366" spans="1:40" x14ac:dyDescent="0.25">
      <c r="A366" s="8">
        <v>365</v>
      </c>
      <c r="B366" s="9" t="s">
        <v>35</v>
      </c>
      <c r="C366" s="9" t="s">
        <v>4506</v>
      </c>
      <c r="D366" s="9" t="s">
        <v>37</v>
      </c>
      <c r="E366" s="9" t="s">
        <v>4507</v>
      </c>
      <c r="F366" s="9" t="s">
        <v>138</v>
      </c>
      <c r="G366" s="9" t="s">
        <v>4508</v>
      </c>
      <c r="H366" s="9" t="s">
        <v>48</v>
      </c>
      <c r="I366" s="9" t="s">
        <v>4509</v>
      </c>
      <c r="J366" s="9" t="s">
        <v>48</v>
      </c>
      <c r="K366" s="9" t="s">
        <v>4510</v>
      </c>
      <c r="L366" s="9">
        <v>1365000</v>
      </c>
      <c r="M366" s="9">
        <v>2100000</v>
      </c>
      <c r="N366" s="9" t="s">
        <v>4511</v>
      </c>
      <c r="O366" s="10">
        <v>45647</v>
      </c>
      <c r="P366" s="9" t="s">
        <v>4512</v>
      </c>
      <c r="Q366" s="9" t="s">
        <v>4513</v>
      </c>
      <c r="R366" s="9" t="s">
        <v>146</v>
      </c>
      <c r="S366" s="9" t="s">
        <v>4514</v>
      </c>
      <c r="T366" s="9" t="s">
        <v>1732</v>
      </c>
      <c r="U366" s="9" t="s">
        <v>651</v>
      </c>
      <c r="V366" s="10">
        <v>44557</v>
      </c>
      <c r="W366" s="9" t="s">
        <v>4015</v>
      </c>
      <c r="X366" s="9" t="s">
        <v>4016</v>
      </c>
      <c r="Y366" s="9" t="s">
        <v>4515</v>
      </c>
      <c r="Z366" s="9">
        <v>5</v>
      </c>
      <c r="AA366" s="9" t="s">
        <v>55</v>
      </c>
      <c r="AB366" s="9" t="s">
        <v>4516</v>
      </c>
      <c r="AC366" s="9" t="s">
        <v>4015</v>
      </c>
      <c r="AD366" s="9" t="s">
        <v>299</v>
      </c>
      <c r="AE366" s="9">
        <v>1680000</v>
      </c>
      <c r="AF366" s="11">
        <v>25200</v>
      </c>
      <c r="AG366" s="9"/>
      <c r="AH366" s="9"/>
      <c r="AI366" s="9"/>
      <c r="AJ366" s="12" t="s">
        <v>11743</v>
      </c>
      <c r="AK366" s="13">
        <v>25200</v>
      </c>
      <c r="AL366" s="13"/>
      <c r="AM366" s="14">
        <f t="shared" si="5"/>
        <v>0</v>
      </c>
      <c r="AN366" s="12" t="s">
        <v>12004</v>
      </c>
    </row>
    <row r="367" spans="1:40" x14ac:dyDescent="0.25">
      <c r="A367" s="15">
        <v>366</v>
      </c>
      <c r="B367" s="12" t="s">
        <v>35</v>
      </c>
      <c r="C367" s="12" t="s">
        <v>4517</v>
      </c>
      <c r="D367" s="12" t="s">
        <v>37</v>
      </c>
      <c r="E367" s="12" t="s">
        <v>4518</v>
      </c>
      <c r="F367" s="12" t="s">
        <v>107</v>
      </c>
      <c r="G367" s="12" t="s">
        <v>4519</v>
      </c>
      <c r="H367" s="12" t="s">
        <v>4520</v>
      </c>
      <c r="I367" s="12" t="s">
        <v>4520</v>
      </c>
      <c r="J367" s="12" t="s">
        <v>4521</v>
      </c>
      <c r="K367" s="12" t="s">
        <v>4522</v>
      </c>
      <c r="L367" s="12">
        <v>1190000</v>
      </c>
      <c r="M367" s="12">
        <v>1700000</v>
      </c>
      <c r="N367" s="12" t="s">
        <v>4523</v>
      </c>
      <c r="O367" s="16">
        <v>45647</v>
      </c>
      <c r="P367" s="12" t="s">
        <v>4524</v>
      </c>
      <c r="Q367" s="12" t="s">
        <v>4525</v>
      </c>
      <c r="R367" s="12" t="s">
        <v>146</v>
      </c>
      <c r="S367" s="12" t="s">
        <v>4526</v>
      </c>
      <c r="T367" s="12" t="s">
        <v>181</v>
      </c>
      <c r="U367" s="12" t="s">
        <v>335</v>
      </c>
      <c r="V367" s="16">
        <v>44553</v>
      </c>
      <c r="W367" s="12" t="s">
        <v>4015</v>
      </c>
      <c r="X367" s="12" t="s">
        <v>3965</v>
      </c>
      <c r="Y367" s="12" t="s">
        <v>4527</v>
      </c>
      <c r="Z367" s="12">
        <v>7</v>
      </c>
      <c r="AA367" s="12" t="s">
        <v>55</v>
      </c>
      <c r="AB367" s="12" t="s">
        <v>4528</v>
      </c>
      <c r="AC367" s="12" t="s">
        <v>4448</v>
      </c>
      <c r="AD367" s="12" t="s">
        <v>299</v>
      </c>
      <c r="AE367" s="12">
        <v>1360000</v>
      </c>
      <c r="AF367" s="13">
        <v>20400</v>
      </c>
      <c r="AG367" s="12"/>
      <c r="AH367" s="12"/>
      <c r="AI367" s="12"/>
      <c r="AJ367" s="12" t="s">
        <v>11744</v>
      </c>
      <c r="AK367" s="13">
        <v>20400</v>
      </c>
      <c r="AL367" s="13"/>
      <c r="AM367" s="14">
        <f t="shared" si="5"/>
        <v>0</v>
      </c>
      <c r="AN367" s="12" t="s">
        <v>12004</v>
      </c>
    </row>
    <row r="368" spans="1:40" x14ac:dyDescent="0.25">
      <c r="A368" s="8">
        <v>367</v>
      </c>
      <c r="B368" s="9" t="s">
        <v>35</v>
      </c>
      <c r="C368" s="9" t="s">
        <v>4529</v>
      </c>
      <c r="D368" s="9" t="s">
        <v>37</v>
      </c>
      <c r="E368" s="9" t="s">
        <v>4530</v>
      </c>
      <c r="F368" s="9" t="s">
        <v>245</v>
      </c>
      <c r="G368" s="9" t="s">
        <v>4531</v>
      </c>
      <c r="H368" s="9" t="s">
        <v>4532</v>
      </c>
      <c r="I368" s="9" t="s">
        <v>48</v>
      </c>
      <c r="J368" s="9" t="s">
        <v>4533</v>
      </c>
      <c r="K368" s="9" t="s">
        <v>4534</v>
      </c>
      <c r="L368" s="9">
        <v>1169000</v>
      </c>
      <c r="M368" s="9">
        <v>1670000</v>
      </c>
      <c r="N368" s="9" t="s">
        <v>4535</v>
      </c>
      <c r="O368" s="10">
        <v>45647</v>
      </c>
      <c r="P368" s="9" t="s">
        <v>4536</v>
      </c>
      <c r="Q368" s="9" t="s">
        <v>4537</v>
      </c>
      <c r="R368" s="9" t="s">
        <v>146</v>
      </c>
      <c r="S368" s="9" t="s">
        <v>4538</v>
      </c>
      <c r="T368" s="9" t="s">
        <v>613</v>
      </c>
      <c r="U368" s="9" t="s">
        <v>614</v>
      </c>
      <c r="V368" s="10">
        <v>44552</v>
      </c>
      <c r="W368" s="9" t="s">
        <v>4015</v>
      </c>
      <c r="X368" s="9" t="s">
        <v>3965</v>
      </c>
      <c r="Y368" s="9" t="s">
        <v>4539</v>
      </c>
      <c r="Z368" s="9">
        <v>7</v>
      </c>
      <c r="AA368" s="9" t="s">
        <v>55</v>
      </c>
      <c r="AB368" s="9" t="s">
        <v>4540</v>
      </c>
      <c r="AC368" s="9" t="s">
        <v>4448</v>
      </c>
      <c r="AD368" s="9" t="s">
        <v>299</v>
      </c>
      <c r="AE368" s="9">
        <v>1336000</v>
      </c>
      <c r="AF368" s="11">
        <v>20040</v>
      </c>
      <c r="AG368" s="9"/>
      <c r="AH368" s="9"/>
      <c r="AI368" s="9"/>
      <c r="AJ368" s="12" t="s">
        <v>11745</v>
      </c>
      <c r="AK368" s="13">
        <v>20040</v>
      </c>
      <c r="AL368" s="13"/>
      <c r="AM368" s="14">
        <f t="shared" si="5"/>
        <v>0</v>
      </c>
      <c r="AN368" s="12" t="s">
        <v>12004</v>
      </c>
    </row>
    <row r="369" spans="1:40" x14ac:dyDescent="0.25">
      <c r="A369" s="15">
        <v>368</v>
      </c>
      <c r="B369" s="12" t="s">
        <v>35</v>
      </c>
      <c r="C369" s="12" t="s">
        <v>4541</v>
      </c>
      <c r="D369" s="12" t="s">
        <v>37</v>
      </c>
      <c r="E369" s="12" t="s">
        <v>4542</v>
      </c>
      <c r="F369" s="12" t="s">
        <v>138</v>
      </c>
      <c r="G369" s="12" t="s">
        <v>4543</v>
      </c>
      <c r="H369" s="12" t="s">
        <v>48</v>
      </c>
      <c r="I369" s="12" t="s">
        <v>4544</v>
      </c>
      <c r="J369" s="12" t="s">
        <v>4545</v>
      </c>
      <c r="K369" s="12" t="s">
        <v>4546</v>
      </c>
      <c r="L369" s="12">
        <v>1200000</v>
      </c>
      <c r="M369" s="12">
        <v>1500000</v>
      </c>
      <c r="N369" s="12" t="s">
        <v>4547</v>
      </c>
      <c r="O369" s="16">
        <v>45647</v>
      </c>
      <c r="P369" s="12" t="s">
        <v>4548</v>
      </c>
      <c r="Q369" s="12" t="s">
        <v>4549</v>
      </c>
      <c r="R369" s="12" t="s">
        <v>47</v>
      </c>
      <c r="S369" s="12" t="s">
        <v>4550</v>
      </c>
      <c r="T369" s="12" t="s">
        <v>1946</v>
      </c>
      <c r="U369" s="12" t="s">
        <v>903</v>
      </c>
      <c r="V369" s="16">
        <v>44189</v>
      </c>
      <c r="W369" s="12" t="s">
        <v>4001</v>
      </c>
      <c r="X369" s="12" t="s">
        <v>3977</v>
      </c>
      <c r="Y369" s="12" t="s">
        <v>4551</v>
      </c>
      <c r="Z369" s="12">
        <v>5</v>
      </c>
      <c r="AA369" s="12" t="s">
        <v>227</v>
      </c>
      <c r="AB369" s="12" t="s">
        <v>4552</v>
      </c>
      <c r="AC369" s="12" t="s">
        <v>4080</v>
      </c>
      <c r="AD369" s="12" t="s">
        <v>58</v>
      </c>
      <c r="AE369" s="12">
        <v>1125000</v>
      </c>
      <c r="AF369" s="13">
        <v>22500</v>
      </c>
      <c r="AG369" s="12"/>
      <c r="AH369" s="12"/>
      <c r="AI369" s="12"/>
      <c r="AJ369" s="12" t="s">
        <v>11746</v>
      </c>
      <c r="AK369" s="13">
        <v>22500</v>
      </c>
      <c r="AL369" s="13"/>
      <c r="AM369" s="14">
        <f t="shared" si="5"/>
        <v>0</v>
      </c>
      <c r="AN369" s="12" t="s">
        <v>12004</v>
      </c>
    </row>
    <row r="370" spans="1:40" x14ac:dyDescent="0.25">
      <c r="A370" s="8">
        <v>369</v>
      </c>
      <c r="B370" s="9" t="s">
        <v>35</v>
      </c>
      <c r="C370" s="9" t="s">
        <v>4553</v>
      </c>
      <c r="D370" s="9" t="s">
        <v>37</v>
      </c>
      <c r="E370" s="9" t="s">
        <v>4554</v>
      </c>
      <c r="F370" s="9" t="s">
        <v>138</v>
      </c>
      <c r="G370" s="9" t="s">
        <v>4555</v>
      </c>
      <c r="H370" s="9" t="s">
        <v>4556</v>
      </c>
      <c r="I370" s="9" t="s">
        <v>4556</v>
      </c>
      <c r="J370" s="9" t="s">
        <v>141</v>
      </c>
      <c r="K370" s="9" t="s">
        <v>4557</v>
      </c>
      <c r="L370" s="9">
        <v>2976000</v>
      </c>
      <c r="M370" s="9">
        <v>4960000</v>
      </c>
      <c r="N370" s="9" t="s">
        <v>4558</v>
      </c>
      <c r="O370" s="9" t="s">
        <v>4559</v>
      </c>
      <c r="P370" s="9" t="s">
        <v>4560</v>
      </c>
      <c r="Q370" s="9" t="s">
        <v>4561</v>
      </c>
      <c r="R370" s="9" t="s">
        <v>47</v>
      </c>
      <c r="S370" s="9" t="s">
        <v>48</v>
      </c>
      <c r="T370" s="9" t="s">
        <v>889</v>
      </c>
      <c r="U370" s="9" t="s">
        <v>386</v>
      </c>
      <c r="V370" s="10">
        <v>45286</v>
      </c>
      <c r="W370" s="9" t="s">
        <v>3964</v>
      </c>
      <c r="X370" s="9" t="s">
        <v>4016</v>
      </c>
      <c r="Y370" s="9" t="s">
        <v>4562</v>
      </c>
      <c r="Z370" s="9">
        <v>3</v>
      </c>
      <c r="AA370" s="9" t="s">
        <v>55</v>
      </c>
      <c r="AB370" s="9" t="s">
        <v>4563</v>
      </c>
      <c r="AC370" s="9" t="s">
        <v>4564</v>
      </c>
      <c r="AD370" s="9" t="s">
        <v>86</v>
      </c>
      <c r="AE370" s="9">
        <v>4464000</v>
      </c>
      <c r="AF370" s="11">
        <v>78120</v>
      </c>
      <c r="AG370" s="9"/>
      <c r="AH370" s="9"/>
      <c r="AI370" s="9"/>
      <c r="AJ370" s="12" t="s">
        <v>11747</v>
      </c>
      <c r="AK370" s="13">
        <v>78120</v>
      </c>
      <c r="AL370" s="13"/>
      <c r="AM370" s="14">
        <f t="shared" si="5"/>
        <v>0</v>
      </c>
      <c r="AN370" s="12" t="s">
        <v>12004</v>
      </c>
    </row>
    <row r="371" spans="1:40" x14ac:dyDescent="0.25">
      <c r="A371" s="15">
        <v>370</v>
      </c>
      <c r="B371" s="12" t="s">
        <v>35</v>
      </c>
      <c r="C371" s="12" t="s">
        <v>4565</v>
      </c>
      <c r="D371" s="12" t="s">
        <v>37</v>
      </c>
      <c r="E371" s="12" t="s">
        <v>4566</v>
      </c>
      <c r="F371" s="12" t="s">
        <v>138</v>
      </c>
      <c r="G371" s="12" t="s">
        <v>4567</v>
      </c>
      <c r="H371" s="12" t="s">
        <v>4568</v>
      </c>
      <c r="I371" s="12" t="s">
        <v>4568</v>
      </c>
      <c r="J371" s="12" t="s">
        <v>141</v>
      </c>
      <c r="K371" s="12" t="s">
        <v>4569</v>
      </c>
      <c r="L371" s="12">
        <v>2170000</v>
      </c>
      <c r="M371" s="12">
        <v>3100000</v>
      </c>
      <c r="N371" s="12" t="s">
        <v>4570</v>
      </c>
      <c r="O371" s="12" t="s">
        <v>4559</v>
      </c>
      <c r="P371" s="12" t="s">
        <v>4571</v>
      </c>
      <c r="Q371" s="12" t="s">
        <v>4572</v>
      </c>
      <c r="R371" s="12" t="s">
        <v>146</v>
      </c>
      <c r="S371" s="12" t="s">
        <v>4573</v>
      </c>
      <c r="T371" s="12" t="s">
        <v>4574</v>
      </c>
      <c r="U371" s="12" t="s">
        <v>335</v>
      </c>
      <c r="V371" s="16">
        <v>45282</v>
      </c>
      <c r="W371" s="12" t="s">
        <v>3964</v>
      </c>
      <c r="X371" s="12" t="s">
        <v>4016</v>
      </c>
      <c r="Y371" s="12" t="s">
        <v>4575</v>
      </c>
      <c r="Z371" s="12">
        <v>3</v>
      </c>
      <c r="AA371" s="12" t="s">
        <v>55</v>
      </c>
      <c r="AB371" s="12" t="s">
        <v>4576</v>
      </c>
      <c r="AC371" s="12" t="s">
        <v>4564</v>
      </c>
      <c r="AD371" s="12" t="s">
        <v>86</v>
      </c>
      <c r="AE371" s="12">
        <v>2790000</v>
      </c>
      <c r="AF371" s="13">
        <v>48825</v>
      </c>
      <c r="AG371" s="12"/>
      <c r="AH371" s="12"/>
      <c r="AI371" s="12"/>
      <c r="AJ371" s="12" t="s">
        <v>11748</v>
      </c>
      <c r="AK371" s="13">
        <v>48825</v>
      </c>
      <c r="AL371" s="13"/>
      <c r="AM371" s="14">
        <f t="shared" si="5"/>
        <v>0</v>
      </c>
      <c r="AN371" s="12" t="s">
        <v>12004</v>
      </c>
    </row>
    <row r="372" spans="1:40" x14ac:dyDescent="0.25">
      <c r="A372" s="8">
        <v>371</v>
      </c>
      <c r="B372" s="9" t="s">
        <v>35</v>
      </c>
      <c r="C372" s="9" t="s">
        <v>4577</v>
      </c>
      <c r="D372" s="9" t="s">
        <v>37</v>
      </c>
      <c r="E372" s="9" t="s">
        <v>4578</v>
      </c>
      <c r="F372" s="9" t="s">
        <v>138</v>
      </c>
      <c r="G372" s="9" t="s">
        <v>4579</v>
      </c>
      <c r="H372" s="9" t="s">
        <v>4580</v>
      </c>
      <c r="I372" s="9" t="s">
        <v>4581</v>
      </c>
      <c r="J372" s="9" t="s">
        <v>4580</v>
      </c>
      <c r="K372" s="9" t="s">
        <v>4582</v>
      </c>
      <c r="L372" s="9">
        <v>2662200</v>
      </c>
      <c r="M372" s="9">
        <v>4930000</v>
      </c>
      <c r="N372" s="9" t="s">
        <v>4583</v>
      </c>
      <c r="O372" s="9" t="s">
        <v>4559</v>
      </c>
      <c r="P372" s="9" t="s">
        <v>4584</v>
      </c>
      <c r="Q372" s="9" t="s">
        <v>4585</v>
      </c>
      <c r="R372" s="9" t="s">
        <v>146</v>
      </c>
      <c r="S372" s="9" t="s">
        <v>4586</v>
      </c>
      <c r="T372" s="9" t="s">
        <v>601</v>
      </c>
      <c r="U372" s="9" t="s">
        <v>496</v>
      </c>
      <c r="V372" s="10">
        <v>45281</v>
      </c>
      <c r="W372" s="9" t="s">
        <v>4587</v>
      </c>
      <c r="X372" s="9" t="s">
        <v>4588</v>
      </c>
      <c r="Y372" s="9" t="s">
        <v>4589</v>
      </c>
      <c r="Z372" s="9">
        <v>3</v>
      </c>
      <c r="AA372" s="9" t="s">
        <v>55</v>
      </c>
      <c r="AB372" s="9" t="s">
        <v>4590</v>
      </c>
      <c r="AC372" s="9" t="s">
        <v>4587</v>
      </c>
      <c r="AD372" s="9" t="s">
        <v>86</v>
      </c>
      <c r="AE372" s="9">
        <v>4437000</v>
      </c>
      <c r="AF372" s="11">
        <v>77648</v>
      </c>
      <c r="AG372" s="9"/>
      <c r="AH372" s="9"/>
      <c r="AI372" s="9"/>
      <c r="AJ372" s="12" t="s">
        <v>11749</v>
      </c>
      <c r="AK372" s="13">
        <v>77648</v>
      </c>
      <c r="AL372" s="13"/>
      <c r="AM372" s="14">
        <f t="shared" si="5"/>
        <v>0</v>
      </c>
      <c r="AN372" s="12" t="s">
        <v>12004</v>
      </c>
    </row>
    <row r="373" spans="1:40" x14ac:dyDescent="0.25">
      <c r="A373" s="15">
        <v>372</v>
      </c>
      <c r="B373" s="12" t="s">
        <v>35</v>
      </c>
      <c r="C373" s="12" t="s">
        <v>4591</v>
      </c>
      <c r="D373" s="12" t="s">
        <v>37</v>
      </c>
      <c r="E373" s="12" t="s">
        <v>4592</v>
      </c>
      <c r="F373" s="12" t="s">
        <v>138</v>
      </c>
      <c r="G373" s="12" t="s">
        <v>4593</v>
      </c>
      <c r="H373" s="12" t="s">
        <v>4594</v>
      </c>
      <c r="I373" s="12" t="s">
        <v>4595</v>
      </c>
      <c r="J373" s="12" t="s">
        <v>4594</v>
      </c>
      <c r="K373" s="12" t="s">
        <v>4596</v>
      </c>
      <c r="L373" s="12">
        <v>2520000</v>
      </c>
      <c r="M373" s="12">
        <v>3600000</v>
      </c>
      <c r="N373" s="12" t="s">
        <v>4597</v>
      </c>
      <c r="O373" s="16">
        <v>45646</v>
      </c>
      <c r="P373" s="12" t="s">
        <v>4598</v>
      </c>
      <c r="Q373" s="12" t="s">
        <v>4599</v>
      </c>
      <c r="R373" s="12" t="s">
        <v>146</v>
      </c>
      <c r="S373" s="12" t="s">
        <v>4600</v>
      </c>
      <c r="T373" s="12" t="s">
        <v>601</v>
      </c>
      <c r="U373" s="12" t="s">
        <v>496</v>
      </c>
      <c r="V373" s="16">
        <v>44552</v>
      </c>
      <c r="W373" s="12" t="s">
        <v>4015</v>
      </c>
      <c r="X373" s="12" t="s">
        <v>4016</v>
      </c>
      <c r="Y373" s="12" t="s">
        <v>4601</v>
      </c>
      <c r="Z373" s="12">
        <v>5</v>
      </c>
      <c r="AA373" s="12" t="s">
        <v>55</v>
      </c>
      <c r="AB373" s="12" t="s">
        <v>4602</v>
      </c>
      <c r="AC373" s="12" t="s">
        <v>4473</v>
      </c>
      <c r="AD373" s="12" t="s">
        <v>299</v>
      </c>
      <c r="AE373" s="12">
        <v>2880000</v>
      </c>
      <c r="AF373" s="13">
        <v>43200</v>
      </c>
      <c r="AG373" s="12"/>
      <c r="AH373" s="12"/>
      <c r="AI373" s="12"/>
      <c r="AJ373" s="12" t="s">
        <v>11750</v>
      </c>
      <c r="AK373" s="13">
        <v>43200</v>
      </c>
      <c r="AL373" s="13"/>
      <c r="AM373" s="14">
        <f t="shared" si="5"/>
        <v>0</v>
      </c>
      <c r="AN373" s="12" t="s">
        <v>12004</v>
      </c>
    </row>
    <row r="374" spans="1:40" x14ac:dyDescent="0.25">
      <c r="A374" s="8">
        <v>373</v>
      </c>
      <c r="B374" s="9" t="s">
        <v>35</v>
      </c>
      <c r="C374" s="9" t="s">
        <v>4603</v>
      </c>
      <c r="D374" s="9" t="s">
        <v>37</v>
      </c>
      <c r="E374" s="9" t="s">
        <v>4604</v>
      </c>
      <c r="F374" s="9" t="s">
        <v>138</v>
      </c>
      <c r="G374" s="9" t="s">
        <v>4605</v>
      </c>
      <c r="H374" s="9" t="s">
        <v>4606</v>
      </c>
      <c r="I374" s="9" t="s">
        <v>4606</v>
      </c>
      <c r="J374" s="9" t="s">
        <v>4606</v>
      </c>
      <c r="K374" s="9" t="s">
        <v>4607</v>
      </c>
      <c r="L374" s="9">
        <v>2380000</v>
      </c>
      <c r="M374" s="9">
        <v>3400000</v>
      </c>
      <c r="N374" s="9" t="s">
        <v>4608</v>
      </c>
      <c r="O374" s="10">
        <v>45646</v>
      </c>
      <c r="P374" s="9" t="s">
        <v>4609</v>
      </c>
      <c r="Q374" s="9" t="s">
        <v>4610</v>
      </c>
      <c r="R374" s="9" t="s">
        <v>146</v>
      </c>
      <c r="S374" s="9" t="s">
        <v>4611</v>
      </c>
      <c r="T374" s="9" t="s">
        <v>1128</v>
      </c>
      <c r="U374" s="9" t="s">
        <v>614</v>
      </c>
      <c r="V374" s="10">
        <v>44552</v>
      </c>
      <c r="W374" s="9" t="s">
        <v>4015</v>
      </c>
      <c r="X374" s="9" t="s">
        <v>4016</v>
      </c>
      <c r="Y374" s="9" t="s">
        <v>4612</v>
      </c>
      <c r="Z374" s="9">
        <v>5</v>
      </c>
      <c r="AA374" s="9" t="s">
        <v>55</v>
      </c>
      <c r="AB374" s="9" t="s">
        <v>4613</v>
      </c>
      <c r="AC374" s="9" t="s">
        <v>4448</v>
      </c>
      <c r="AD374" s="9" t="s">
        <v>299</v>
      </c>
      <c r="AE374" s="9">
        <v>2720000</v>
      </c>
      <c r="AF374" s="11">
        <v>40800</v>
      </c>
      <c r="AG374" s="9"/>
      <c r="AH374" s="9"/>
      <c r="AI374" s="9"/>
      <c r="AJ374" s="12" t="s">
        <v>11751</v>
      </c>
      <c r="AK374" s="13">
        <v>40800</v>
      </c>
      <c r="AL374" s="13"/>
      <c r="AM374" s="14">
        <f t="shared" si="5"/>
        <v>0</v>
      </c>
      <c r="AN374" s="12" t="s">
        <v>12004</v>
      </c>
    </row>
    <row r="375" spans="1:40" x14ac:dyDescent="0.25">
      <c r="A375" s="15">
        <v>374</v>
      </c>
      <c r="B375" s="12" t="s">
        <v>35</v>
      </c>
      <c r="C375" s="12" t="s">
        <v>4614</v>
      </c>
      <c r="D375" s="12" t="s">
        <v>37</v>
      </c>
      <c r="E375" s="12" t="s">
        <v>4615</v>
      </c>
      <c r="F375" s="12" t="s">
        <v>89</v>
      </c>
      <c r="G375" s="12" t="s">
        <v>4616</v>
      </c>
      <c r="H375" s="12" t="s">
        <v>4617</v>
      </c>
      <c r="I375" s="12" t="s">
        <v>48</v>
      </c>
      <c r="J375" s="12" t="s">
        <v>4618</v>
      </c>
      <c r="K375" s="12" t="s">
        <v>4619</v>
      </c>
      <c r="L375" s="12">
        <v>1645000</v>
      </c>
      <c r="M375" s="12">
        <v>2350000</v>
      </c>
      <c r="N375" s="12" t="s">
        <v>4620</v>
      </c>
      <c r="O375" s="16">
        <v>45646</v>
      </c>
      <c r="P375" s="12" t="s">
        <v>4621</v>
      </c>
      <c r="Q375" s="12" t="s">
        <v>4622</v>
      </c>
      <c r="R375" s="12" t="s">
        <v>146</v>
      </c>
      <c r="S375" s="12" t="s">
        <v>4623</v>
      </c>
      <c r="T375" s="12" t="s">
        <v>348</v>
      </c>
      <c r="U375" s="12" t="s">
        <v>335</v>
      </c>
      <c r="V375" s="16">
        <v>44551</v>
      </c>
      <c r="W375" s="12" t="s">
        <v>4473</v>
      </c>
      <c r="X375" s="12" t="s">
        <v>4588</v>
      </c>
      <c r="Y375" s="12" t="s">
        <v>4624</v>
      </c>
      <c r="Z375" s="12">
        <v>5</v>
      </c>
      <c r="AA375" s="12" t="s">
        <v>118</v>
      </c>
      <c r="AB375" s="12" t="s">
        <v>4625</v>
      </c>
      <c r="AC375" s="12" t="s">
        <v>4176</v>
      </c>
      <c r="AD375" s="12" t="s">
        <v>299</v>
      </c>
      <c r="AE375" s="12">
        <v>1880000</v>
      </c>
      <c r="AF375" s="13">
        <v>28200</v>
      </c>
      <c r="AG375" s="12"/>
      <c r="AH375" s="12"/>
      <c r="AI375" s="12"/>
      <c r="AJ375" s="12" t="s">
        <v>11752</v>
      </c>
      <c r="AK375" s="13">
        <v>28200</v>
      </c>
      <c r="AL375" s="13"/>
      <c r="AM375" s="14">
        <f t="shared" si="5"/>
        <v>0</v>
      </c>
      <c r="AN375" s="12" t="s">
        <v>12004</v>
      </c>
    </row>
    <row r="376" spans="1:40" x14ac:dyDescent="0.25">
      <c r="A376" s="8">
        <v>375</v>
      </c>
      <c r="B376" s="9" t="s">
        <v>35</v>
      </c>
      <c r="C376" s="9" t="s">
        <v>4626</v>
      </c>
      <c r="D376" s="9" t="s">
        <v>37</v>
      </c>
      <c r="E376" s="9" t="s">
        <v>558</v>
      </c>
      <c r="F376" s="9" t="s">
        <v>138</v>
      </c>
      <c r="G376" s="9" t="s">
        <v>4627</v>
      </c>
      <c r="H376" s="9" t="s">
        <v>4628</v>
      </c>
      <c r="I376" s="9" t="s">
        <v>4628</v>
      </c>
      <c r="J376" s="9" t="s">
        <v>141</v>
      </c>
      <c r="K376" s="9" t="s">
        <v>4629</v>
      </c>
      <c r="L376" s="9">
        <v>1320000</v>
      </c>
      <c r="M376" s="9">
        <v>2200000</v>
      </c>
      <c r="N376" s="9" t="s">
        <v>4630</v>
      </c>
      <c r="O376" s="10">
        <v>45646</v>
      </c>
      <c r="P376" s="9" t="s">
        <v>4631</v>
      </c>
      <c r="Q376" s="9" t="s">
        <v>4632</v>
      </c>
      <c r="R376" s="9" t="s">
        <v>146</v>
      </c>
      <c r="S376" s="9" t="s">
        <v>4633</v>
      </c>
      <c r="T376" s="9" t="s">
        <v>1289</v>
      </c>
      <c r="U376" s="9" t="s">
        <v>335</v>
      </c>
      <c r="V376" s="10">
        <v>44553</v>
      </c>
      <c r="W376" s="9" t="s">
        <v>4015</v>
      </c>
      <c r="X376" s="9" t="s">
        <v>4016</v>
      </c>
      <c r="Y376" s="9" t="s">
        <v>4634</v>
      </c>
      <c r="Z376" s="9">
        <v>5</v>
      </c>
      <c r="AA376" s="9" t="s">
        <v>55</v>
      </c>
      <c r="AB376" s="9" t="s">
        <v>4635</v>
      </c>
      <c r="AC376" s="9" t="s">
        <v>4473</v>
      </c>
      <c r="AD376" s="9" t="s">
        <v>299</v>
      </c>
      <c r="AE376" s="9">
        <v>1760000</v>
      </c>
      <c r="AF376" s="11">
        <v>26400</v>
      </c>
      <c r="AG376" s="9"/>
      <c r="AH376" s="9"/>
      <c r="AI376" s="9"/>
      <c r="AJ376" s="12" t="s">
        <v>11753</v>
      </c>
      <c r="AK376" s="13">
        <v>26400</v>
      </c>
      <c r="AL376" s="13"/>
      <c r="AM376" s="14">
        <f t="shared" si="5"/>
        <v>0</v>
      </c>
      <c r="AN376" s="12" t="s">
        <v>12004</v>
      </c>
    </row>
    <row r="377" spans="1:40" x14ac:dyDescent="0.25">
      <c r="A377" s="15">
        <v>376</v>
      </c>
      <c r="B377" s="12" t="s">
        <v>35</v>
      </c>
      <c r="C377" s="12" t="s">
        <v>4636</v>
      </c>
      <c r="D377" s="12" t="s">
        <v>37</v>
      </c>
      <c r="E377" s="12" t="s">
        <v>4637</v>
      </c>
      <c r="F377" s="12" t="s">
        <v>245</v>
      </c>
      <c r="G377" s="12" t="s">
        <v>4638</v>
      </c>
      <c r="H377" s="12" t="s">
        <v>4639</v>
      </c>
      <c r="I377" s="12" t="s">
        <v>48</v>
      </c>
      <c r="J377" s="12" t="s">
        <v>4639</v>
      </c>
      <c r="K377" s="12" t="s">
        <v>4640</v>
      </c>
      <c r="L377" s="12">
        <v>1206400</v>
      </c>
      <c r="M377" s="12">
        <v>1508000</v>
      </c>
      <c r="N377" s="12" t="s">
        <v>4641</v>
      </c>
      <c r="O377" s="16">
        <v>45646</v>
      </c>
      <c r="P377" s="12" t="s">
        <v>4642</v>
      </c>
      <c r="Q377" s="12" t="s">
        <v>4643</v>
      </c>
      <c r="R377" s="12" t="s">
        <v>47</v>
      </c>
      <c r="S377" s="12" t="s">
        <v>48</v>
      </c>
      <c r="T377" s="12" t="s">
        <v>194</v>
      </c>
      <c r="U377" s="12" t="s">
        <v>50</v>
      </c>
      <c r="V377" s="16">
        <v>44552</v>
      </c>
      <c r="W377" s="12" t="s">
        <v>4015</v>
      </c>
      <c r="X377" s="12" t="s">
        <v>3965</v>
      </c>
      <c r="Y377" s="12" t="s">
        <v>4644</v>
      </c>
      <c r="Z377" s="12">
        <v>7</v>
      </c>
      <c r="AA377" s="12" t="s">
        <v>55</v>
      </c>
      <c r="AB377" s="12" t="s">
        <v>4645</v>
      </c>
      <c r="AC377" s="12" t="s">
        <v>4448</v>
      </c>
      <c r="AD377" s="12" t="s">
        <v>58</v>
      </c>
      <c r="AE377" s="12">
        <v>1206400</v>
      </c>
      <c r="AF377" s="13">
        <v>24128</v>
      </c>
      <c r="AG377" s="12"/>
      <c r="AH377" s="12"/>
      <c r="AI377" s="12"/>
      <c r="AJ377" s="12" t="s">
        <v>11754</v>
      </c>
      <c r="AK377" s="13">
        <v>24128</v>
      </c>
      <c r="AL377" s="13"/>
      <c r="AM377" s="14">
        <f t="shared" si="5"/>
        <v>0</v>
      </c>
      <c r="AN377" s="12" t="s">
        <v>12004</v>
      </c>
    </row>
    <row r="378" spans="1:40" x14ac:dyDescent="0.25">
      <c r="A378" s="8">
        <v>377</v>
      </c>
      <c r="B378" s="9" t="s">
        <v>35</v>
      </c>
      <c r="C378" s="9" t="s">
        <v>4646</v>
      </c>
      <c r="D378" s="9" t="s">
        <v>37</v>
      </c>
      <c r="E378" s="9" t="s">
        <v>4647</v>
      </c>
      <c r="F378" s="9" t="s">
        <v>138</v>
      </c>
      <c r="G378" s="9" t="s">
        <v>4648</v>
      </c>
      <c r="H378" s="9" t="s">
        <v>48</v>
      </c>
      <c r="I378" s="9" t="s">
        <v>4649</v>
      </c>
      <c r="J378" s="9" t="s">
        <v>48</v>
      </c>
      <c r="K378" s="9" t="s">
        <v>4650</v>
      </c>
      <c r="L378" s="9">
        <v>857500</v>
      </c>
      <c r="M378" s="9">
        <v>1225000</v>
      </c>
      <c r="N378" s="9" t="s">
        <v>4651</v>
      </c>
      <c r="O378" s="9" t="s">
        <v>4652</v>
      </c>
      <c r="P378" s="9" t="s">
        <v>4653</v>
      </c>
      <c r="Q378" s="9" t="s">
        <v>4654</v>
      </c>
      <c r="R378" s="9" t="s">
        <v>146</v>
      </c>
      <c r="S378" s="9" t="s">
        <v>4655</v>
      </c>
      <c r="T378" s="9" t="s">
        <v>4656</v>
      </c>
      <c r="U378" s="9" t="s">
        <v>50</v>
      </c>
      <c r="V378" s="10">
        <v>45260</v>
      </c>
      <c r="W378" s="9" t="s">
        <v>4114</v>
      </c>
      <c r="X378" s="9" t="s">
        <v>1191</v>
      </c>
      <c r="Y378" s="9" t="s">
        <v>4657</v>
      </c>
      <c r="Z378" s="9">
        <v>5</v>
      </c>
      <c r="AA378" s="9" t="s">
        <v>55</v>
      </c>
      <c r="AB378" s="9" t="s">
        <v>4658</v>
      </c>
      <c r="AC378" s="9" t="s">
        <v>4131</v>
      </c>
      <c r="AD378" s="9" t="s">
        <v>299</v>
      </c>
      <c r="AE378" s="9">
        <v>1102500</v>
      </c>
      <c r="AF378" s="11">
        <v>16538</v>
      </c>
      <c r="AG378" s="9"/>
      <c r="AH378" s="9"/>
      <c r="AI378" s="9"/>
      <c r="AJ378" s="12" t="s">
        <v>11755</v>
      </c>
      <c r="AK378" s="13">
        <v>16538</v>
      </c>
      <c r="AL378" s="13"/>
      <c r="AM378" s="14">
        <f t="shared" si="5"/>
        <v>0</v>
      </c>
      <c r="AN378" s="12" t="s">
        <v>12004</v>
      </c>
    </row>
    <row r="379" spans="1:40" x14ac:dyDescent="0.25">
      <c r="A379" s="15">
        <v>378</v>
      </c>
      <c r="B379" s="12" t="s">
        <v>35</v>
      </c>
      <c r="C379" s="12" t="s">
        <v>4659</v>
      </c>
      <c r="D379" s="12" t="s">
        <v>37</v>
      </c>
      <c r="E379" s="12" t="s">
        <v>4660</v>
      </c>
      <c r="F379" s="12" t="s">
        <v>138</v>
      </c>
      <c r="G379" s="12" t="s">
        <v>4661</v>
      </c>
      <c r="H379" s="12" t="s">
        <v>4662</v>
      </c>
      <c r="I379" s="12" t="s">
        <v>4662</v>
      </c>
      <c r="J379" s="12" t="s">
        <v>141</v>
      </c>
      <c r="K379" s="12" t="s">
        <v>4663</v>
      </c>
      <c r="L379" s="12">
        <v>1260000</v>
      </c>
      <c r="M379" s="12">
        <v>2100000</v>
      </c>
      <c r="N379" s="12" t="s">
        <v>4664</v>
      </c>
      <c r="O379" s="12" t="s">
        <v>4652</v>
      </c>
      <c r="P379" s="12" t="s">
        <v>4665</v>
      </c>
      <c r="Q379" s="12" t="s">
        <v>4666</v>
      </c>
      <c r="R379" s="12" t="s">
        <v>146</v>
      </c>
      <c r="S379" s="12" t="s">
        <v>4667</v>
      </c>
      <c r="T379" s="12" t="s">
        <v>194</v>
      </c>
      <c r="U379" s="12" t="s">
        <v>98</v>
      </c>
      <c r="V379" s="16">
        <v>45260</v>
      </c>
      <c r="W379" s="12" t="s">
        <v>4114</v>
      </c>
      <c r="X379" s="12" t="s">
        <v>1191</v>
      </c>
      <c r="Y379" s="12" t="s">
        <v>4668</v>
      </c>
      <c r="Z379" s="12">
        <v>5</v>
      </c>
      <c r="AA379" s="12" t="s">
        <v>55</v>
      </c>
      <c r="AB379" s="12" t="s">
        <v>4669</v>
      </c>
      <c r="AC379" s="12" t="s">
        <v>4131</v>
      </c>
      <c r="AD379" s="12" t="s">
        <v>86</v>
      </c>
      <c r="AE379" s="12">
        <v>1890000</v>
      </c>
      <c r="AF379" s="13">
        <v>33075</v>
      </c>
      <c r="AG379" s="12"/>
      <c r="AH379" s="12"/>
      <c r="AI379" s="12"/>
      <c r="AJ379" s="12" t="s">
        <v>11756</v>
      </c>
      <c r="AK379" s="13">
        <v>33075</v>
      </c>
      <c r="AL379" s="13"/>
      <c r="AM379" s="14">
        <f t="shared" si="5"/>
        <v>0</v>
      </c>
      <c r="AN379" s="12" t="s">
        <v>12004</v>
      </c>
    </row>
    <row r="380" spans="1:40" x14ac:dyDescent="0.25">
      <c r="A380" s="8">
        <v>379</v>
      </c>
      <c r="B380" s="9" t="s">
        <v>35</v>
      </c>
      <c r="C380" s="9" t="s">
        <v>4670</v>
      </c>
      <c r="D380" s="9" t="s">
        <v>37</v>
      </c>
      <c r="E380" s="9" t="s">
        <v>4671</v>
      </c>
      <c r="F380" s="9" t="s">
        <v>39</v>
      </c>
      <c r="G380" s="9" t="s">
        <v>4672</v>
      </c>
      <c r="H380" s="9" t="s">
        <v>4673</v>
      </c>
      <c r="I380" s="9" t="s">
        <v>4674</v>
      </c>
      <c r="J380" s="9" t="s">
        <v>4673</v>
      </c>
      <c r="K380" s="9" t="s">
        <v>4675</v>
      </c>
      <c r="L380" s="9">
        <v>1007500</v>
      </c>
      <c r="M380" s="9">
        <v>1550000</v>
      </c>
      <c r="N380" s="9" t="s">
        <v>4676</v>
      </c>
      <c r="O380" s="10">
        <v>45646</v>
      </c>
      <c r="P380" s="9" t="s">
        <v>4677</v>
      </c>
      <c r="Q380" s="9" t="s">
        <v>4678</v>
      </c>
      <c r="R380" s="9" t="s">
        <v>146</v>
      </c>
      <c r="S380" s="9" t="s">
        <v>4679</v>
      </c>
      <c r="T380" s="9" t="s">
        <v>321</v>
      </c>
      <c r="U380" s="9" t="s">
        <v>614</v>
      </c>
      <c r="V380" s="10">
        <v>44552</v>
      </c>
      <c r="W380" s="9" t="s">
        <v>4015</v>
      </c>
      <c r="X380" s="9" t="s">
        <v>3965</v>
      </c>
      <c r="Y380" s="9" t="s">
        <v>4680</v>
      </c>
      <c r="Z380" s="9">
        <v>7</v>
      </c>
      <c r="AA380" s="9" t="s">
        <v>118</v>
      </c>
      <c r="AB380" s="9" t="s">
        <v>4681</v>
      </c>
      <c r="AC380" s="9" t="s">
        <v>4473</v>
      </c>
      <c r="AD380" s="9" t="s">
        <v>299</v>
      </c>
      <c r="AE380" s="9">
        <v>1240000</v>
      </c>
      <c r="AF380" s="11">
        <v>18600</v>
      </c>
      <c r="AG380" s="9"/>
      <c r="AH380" s="9"/>
      <c r="AI380" s="9"/>
      <c r="AJ380" s="12" t="s">
        <v>11757</v>
      </c>
      <c r="AK380" s="13">
        <v>18600</v>
      </c>
      <c r="AL380" s="13"/>
      <c r="AM380" s="14">
        <f t="shared" si="5"/>
        <v>0</v>
      </c>
      <c r="AN380" s="12" t="s">
        <v>12004</v>
      </c>
    </row>
    <row r="381" spans="1:40" x14ac:dyDescent="0.25">
      <c r="A381" s="15">
        <v>380</v>
      </c>
      <c r="B381" s="12" t="s">
        <v>35</v>
      </c>
      <c r="C381" s="12" t="s">
        <v>4682</v>
      </c>
      <c r="D381" s="12" t="s">
        <v>37</v>
      </c>
      <c r="E381" s="12" t="s">
        <v>3101</v>
      </c>
      <c r="F381" s="12" t="s">
        <v>89</v>
      </c>
      <c r="G381" s="12" t="s">
        <v>4683</v>
      </c>
      <c r="H381" s="12" t="s">
        <v>631</v>
      </c>
      <c r="I381" s="12" t="s">
        <v>4684</v>
      </c>
      <c r="J381" s="12" t="s">
        <v>4685</v>
      </c>
      <c r="K381" s="12" t="s">
        <v>4686</v>
      </c>
      <c r="L381" s="12">
        <v>976650</v>
      </c>
      <c r="M381" s="12">
        <v>1149000</v>
      </c>
      <c r="N381" s="12" t="s">
        <v>4687</v>
      </c>
      <c r="O381" s="16">
        <v>45646</v>
      </c>
      <c r="P381" s="12" t="s">
        <v>4688</v>
      </c>
      <c r="Q381" s="12" t="s">
        <v>4689</v>
      </c>
      <c r="R381" s="12" t="s">
        <v>47</v>
      </c>
      <c r="S381" s="12" t="s">
        <v>48</v>
      </c>
      <c r="T381" s="12" t="s">
        <v>966</v>
      </c>
      <c r="U381" s="12" t="s">
        <v>50</v>
      </c>
      <c r="V381" s="16">
        <v>44552</v>
      </c>
      <c r="W381" s="12" t="s">
        <v>4015</v>
      </c>
      <c r="X381" s="12" t="s">
        <v>4016</v>
      </c>
      <c r="Y381" s="12" t="s">
        <v>4690</v>
      </c>
      <c r="Z381" s="12">
        <v>5</v>
      </c>
      <c r="AA381" s="12" t="s">
        <v>118</v>
      </c>
      <c r="AB381" s="12" t="s">
        <v>4691</v>
      </c>
      <c r="AC381" s="12" t="s">
        <v>4473</v>
      </c>
      <c r="AD381" s="12" t="s">
        <v>58</v>
      </c>
      <c r="AE381" s="12">
        <v>919200</v>
      </c>
      <c r="AF381" s="13">
        <v>18384</v>
      </c>
      <c r="AG381" s="12"/>
      <c r="AH381" s="12"/>
      <c r="AI381" s="12"/>
      <c r="AJ381" s="12" t="s">
        <v>11758</v>
      </c>
      <c r="AK381" s="13">
        <v>18384</v>
      </c>
      <c r="AL381" s="13"/>
      <c r="AM381" s="14">
        <f t="shared" si="5"/>
        <v>0</v>
      </c>
      <c r="AN381" s="12" t="s">
        <v>12004</v>
      </c>
    </row>
    <row r="382" spans="1:40" x14ac:dyDescent="0.25">
      <c r="A382" s="8">
        <v>381</v>
      </c>
      <c r="B382" s="9" t="s">
        <v>35</v>
      </c>
      <c r="C382" s="9" t="s">
        <v>4692</v>
      </c>
      <c r="D382" s="9" t="s">
        <v>37</v>
      </c>
      <c r="E382" s="9" t="s">
        <v>4693</v>
      </c>
      <c r="F382" s="9" t="s">
        <v>692</v>
      </c>
      <c r="G382" s="9" t="s">
        <v>4694</v>
      </c>
      <c r="H382" s="9" t="s">
        <v>4695</v>
      </c>
      <c r="I382" s="9" t="s">
        <v>4695</v>
      </c>
      <c r="J382" s="9" t="s">
        <v>4695</v>
      </c>
      <c r="K382" s="9" t="s">
        <v>4696</v>
      </c>
      <c r="L382" s="9">
        <v>1682850</v>
      </c>
      <c r="M382" s="9">
        <v>2589000</v>
      </c>
      <c r="N382" s="9" t="s">
        <v>4697</v>
      </c>
      <c r="O382" s="10">
        <v>45624</v>
      </c>
      <c r="P382" s="9" t="s">
        <v>4698</v>
      </c>
      <c r="Q382" s="9" t="s">
        <v>4699</v>
      </c>
      <c r="R382" s="9" t="s">
        <v>47</v>
      </c>
      <c r="S382" s="9" t="s">
        <v>48</v>
      </c>
      <c r="T382" s="9" t="s">
        <v>1301</v>
      </c>
      <c r="U382" s="9" t="s">
        <v>50</v>
      </c>
      <c r="V382" s="9" t="s">
        <v>4700</v>
      </c>
      <c r="W382" s="9" t="s">
        <v>132</v>
      </c>
      <c r="X382" s="9" t="s">
        <v>133</v>
      </c>
      <c r="Y382" s="9" t="s">
        <v>4701</v>
      </c>
      <c r="Z382" s="9">
        <v>5</v>
      </c>
      <c r="AA382" s="9" t="s">
        <v>323</v>
      </c>
      <c r="AB382" s="9" t="s">
        <v>4702</v>
      </c>
      <c r="AC382" s="9" t="s">
        <v>2836</v>
      </c>
      <c r="AD382" s="9" t="s">
        <v>58</v>
      </c>
      <c r="AE382" s="9">
        <v>2071200</v>
      </c>
      <c r="AF382" s="11">
        <v>41424</v>
      </c>
      <c r="AG382" s="9"/>
      <c r="AH382" s="9"/>
      <c r="AI382" s="9"/>
      <c r="AJ382" s="12" t="s">
        <v>11759</v>
      </c>
      <c r="AK382" s="13">
        <v>41424</v>
      </c>
      <c r="AL382" s="13"/>
      <c r="AM382" s="14">
        <f t="shared" si="5"/>
        <v>0</v>
      </c>
      <c r="AN382" s="12" t="s">
        <v>12004</v>
      </c>
    </row>
    <row r="383" spans="1:40" x14ac:dyDescent="0.25">
      <c r="A383" s="15">
        <v>382</v>
      </c>
      <c r="B383" s="12" t="s">
        <v>35</v>
      </c>
      <c r="C383" s="12" t="s">
        <v>4703</v>
      </c>
      <c r="D383" s="12" t="s">
        <v>37</v>
      </c>
      <c r="E383" s="12" t="s">
        <v>4704</v>
      </c>
      <c r="F383" s="12" t="s">
        <v>525</v>
      </c>
      <c r="G383" s="12" t="s">
        <v>4705</v>
      </c>
      <c r="H383" s="12" t="s">
        <v>4706</v>
      </c>
      <c r="I383" s="12" t="s">
        <v>4707</v>
      </c>
      <c r="J383" s="12" t="s">
        <v>4706</v>
      </c>
      <c r="K383" s="12" t="s">
        <v>4708</v>
      </c>
      <c r="L383" s="12">
        <v>2880000</v>
      </c>
      <c r="M383" s="12">
        <v>4500000</v>
      </c>
      <c r="N383" s="12" t="s">
        <v>4709</v>
      </c>
      <c r="O383" s="12" t="s">
        <v>4710</v>
      </c>
      <c r="P383" s="12" t="s">
        <v>4711</v>
      </c>
      <c r="Q383" s="12" t="s">
        <v>4712</v>
      </c>
      <c r="R383" s="12" t="s">
        <v>146</v>
      </c>
      <c r="S383" s="12" t="s">
        <v>48</v>
      </c>
      <c r="T383" s="12" t="s">
        <v>4713</v>
      </c>
      <c r="U383" s="12" t="s">
        <v>148</v>
      </c>
      <c r="V383" s="16">
        <v>45281</v>
      </c>
      <c r="W383" s="12" t="s">
        <v>4587</v>
      </c>
      <c r="X383" s="12" t="s">
        <v>4588</v>
      </c>
      <c r="Y383" s="12" t="s">
        <v>4714</v>
      </c>
      <c r="Z383" s="12">
        <v>3</v>
      </c>
      <c r="AA383" s="12" t="s">
        <v>152</v>
      </c>
      <c r="AB383" s="12" t="s">
        <v>4715</v>
      </c>
      <c r="AC383" s="12" t="s">
        <v>4587</v>
      </c>
      <c r="AD383" s="12" t="s">
        <v>86</v>
      </c>
      <c r="AE383" s="12">
        <v>4050000</v>
      </c>
      <c r="AF383" s="13">
        <v>70875</v>
      </c>
      <c r="AG383" s="12"/>
      <c r="AH383" s="12"/>
      <c r="AI383" s="12"/>
      <c r="AJ383" s="12" t="s">
        <v>11760</v>
      </c>
      <c r="AK383" s="13">
        <v>70875</v>
      </c>
      <c r="AL383" s="13"/>
      <c r="AM383" s="14">
        <f t="shared" si="5"/>
        <v>0</v>
      </c>
      <c r="AN383" s="12" t="s">
        <v>12004</v>
      </c>
    </row>
    <row r="384" spans="1:40" x14ac:dyDescent="0.25">
      <c r="A384" s="8">
        <v>383</v>
      </c>
      <c r="B384" s="9" t="s">
        <v>35</v>
      </c>
      <c r="C384" s="9" t="s">
        <v>4716</v>
      </c>
      <c r="D384" s="9" t="s">
        <v>37</v>
      </c>
      <c r="E384" s="9" t="s">
        <v>4717</v>
      </c>
      <c r="F384" s="9" t="s">
        <v>138</v>
      </c>
      <c r="G384" s="9" t="s">
        <v>4718</v>
      </c>
      <c r="H384" s="9" t="s">
        <v>4719</v>
      </c>
      <c r="I384" s="9" t="s">
        <v>4719</v>
      </c>
      <c r="J384" s="9" t="s">
        <v>4719</v>
      </c>
      <c r="K384" s="9" t="s">
        <v>4720</v>
      </c>
      <c r="L384" s="9">
        <v>2054500</v>
      </c>
      <c r="M384" s="9">
        <v>2935000</v>
      </c>
      <c r="N384" s="9" t="s">
        <v>4721</v>
      </c>
      <c r="O384" s="9" t="s">
        <v>4710</v>
      </c>
      <c r="P384" s="9" t="s">
        <v>4722</v>
      </c>
      <c r="Q384" s="9" t="s">
        <v>4723</v>
      </c>
      <c r="R384" s="9" t="s">
        <v>47</v>
      </c>
      <c r="S384" s="9" t="s">
        <v>48</v>
      </c>
      <c r="T384" s="9" t="s">
        <v>613</v>
      </c>
      <c r="U384" s="9" t="s">
        <v>386</v>
      </c>
      <c r="V384" s="10">
        <v>45281</v>
      </c>
      <c r="W384" s="9" t="s">
        <v>4587</v>
      </c>
      <c r="X384" s="9" t="s">
        <v>4724</v>
      </c>
      <c r="Y384" s="9" t="s">
        <v>4725</v>
      </c>
      <c r="Z384" s="9">
        <v>5</v>
      </c>
      <c r="AA384" s="9" t="s">
        <v>55</v>
      </c>
      <c r="AB384" s="9" t="s">
        <v>4726</v>
      </c>
      <c r="AC384" s="9" t="s">
        <v>4727</v>
      </c>
      <c r="AD384" s="9" t="s">
        <v>86</v>
      </c>
      <c r="AE384" s="9">
        <v>2641500</v>
      </c>
      <c r="AF384" s="11">
        <v>46226</v>
      </c>
      <c r="AG384" s="9"/>
      <c r="AH384" s="9"/>
      <c r="AI384" s="9"/>
      <c r="AJ384" s="12" t="s">
        <v>11761</v>
      </c>
      <c r="AK384" s="13">
        <v>46226</v>
      </c>
      <c r="AL384" s="13"/>
      <c r="AM384" s="14">
        <f t="shared" si="5"/>
        <v>0</v>
      </c>
      <c r="AN384" s="12" t="s">
        <v>12004</v>
      </c>
    </row>
    <row r="385" spans="1:40" x14ac:dyDescent="0.25">
      <c r="A385" s="15">
        <v>384</v>
      </c>
      <c r="B385" s="12" t="s">
        <v>35</v>
      </c>
      <c r="C385" s="12" t="s">
        <v>4728</v>
      </c>
      <c r="D385" s="12" t="s">
        <v>37</v>
      </c>
      <c r="E385" s="12" t="s">
        <v>4729</v>
      </c>
      <c r="F385" s="12" t="s">
        <v>138</v>
      </c>
      <c r="G385" s="12" t="s">
        <v>4730</v>
      </c>
      <c r="H385" s="12" t="s">
        <v>48</v>
      </c>
      <c r="I385" s="12" t="s">
        <v>4731</v>
      </c>
      <c r="J385" s="12" t="s">
        <v>48</v>
      </c>
      <c r="K385" s="12" t="s">
        <v>4732</v>
      </c>
      <c r="L385" s="12">
        <v>2260500</v>
      </c>
      <c r="M385" s="12">
        <v>3425000</v>
      </c>
      <c r="N385" s="12" t="s">
        <v>4733</v>
      </c>
      <c r="O385" s="12" t="s">
        <v>4710</v>
      </c>
      <c r="P385" s="12" t="s">
        <v>4734</v>
      </c>
      <c r="Q385" s="12" t="s">
        <v>4735</v>
      </c>
      <c r="R385" s="12" t="s">
        <v>146</v>
      </c>
      <c r="S385" s="12" t="s">
        <v>4736</v>
      </c>
      <c r="T385" s="12" t="s">
        <v>2783</v>
      </c>
      <c r="U385" s="12" t="s">
        <v>50</v>
      </c>
      <c r="V385" s="16">
        <v>45281</v>
      </c>
      <c r="W385" s="12" t="s">
        <v>4587</v>
      </c>
      <c r="X385" s="12" t="s">
        <v>4588</v>
      </c>
      <c r="Y385" s="12" t="s">
        <v>4737</v>
      </c>
      <c r="Z385" s="12">
        <v>3</v>
      </c>
      <c r="AA385" s="12" t="s">
        <v>55</v>
      </c>
      <c r="AB385" s="12" t="s">
        <v>4738</v>
      </c>
      <c r="AC385" s="12" t="s">
        <v>4587</v>
      </c>
      <c r="AD385" s="12" t="s">
        <v>86</v>
      </c>
      <c r="AE385" s="12">
        <v>3082500</v>
      </c>
      <c r="AF385" s="13">
        <v>53944</v>
      </c>
      <c r="AG385" s="12"/>
      <c r="AH385" s="12"/>
      <c r="AI385" s="12"/>
      <c r="AJ385" s="12" t="s">
        <v>11762</v>
      </c>
      <c r="AK385" s="13">
        <v>53944</v>
      </c>
      <c r="AL385" s="13"/>
      <c r="AM385" s="14">
        <f t="shared" si="5"/>
        <v>0</v>
      </c>
      <c r="AN385" s="12" t="s">
        <v>12004</v>
      </c>
    </row>
    <row r="386" spans="1:40" x14ac:dyDescent="0.25">
      <c r="A386" s="8">
        <v>385</v>
      </c>
      <c r="B386" s="9" t="s">
        <v>35</v>
      </c>
      <c r="C386" s="9" t="s">
        <v>4739</v>
      </c>
      <c r="D386" s="9" t="s">
        <v>37</v>
      </c>
      <c r="E386" s="9" t="s">
        <v>4740</v>
      </c>
      <c r="F386" s="9" t="s">
        <v>107</v>
      </c>
      <c r="G386" s="9" t="s">
        <v>4741</v>
      </c>
      <c r="H386" s="9" t="s">
        <v>4742</v>
      </c>
      <c r="I386" s="9" t="s">
        <v>4743</v>
      </c>
      <c r="J386" s="9" t="s">
        <v>4744</v>
      </c>
      <c r="K386" s="9" t="s">
        <v>4745</v>
      </c>
      <c r="L386" s="9">
        <v>958750</v>
      </c>
      <c r="M386" s="9">
        <v>1475000</v>
      </c>
      <c r="N386" s="9" t="s">
        <v>4746</v>
      </c>
      <c r="O386" s="10">
        <v>45645</v>
      </c>
      <c r="P386" s="9" t="s">
        <v>4747</v>
      </c>
      <c r="Q386" s="9" t="s">
        <v>4748</v>
      </c>
      <c r="R386" s="9" t="s">
        <v>47</v>
      </c>
      <c r="S386" s="9" t="s">
        <v>48</v>
      </c>
      <c r="T386" s="9" t="s">
        <v>2516</v>
      </c>
      <c r="U386" s="9" t="s">
        <v>148</v>
      </c>
      <c r="V386" s="10">
        <v>44712</v>
      </c>
      <c r="W386" s="9" t="s">
        <v>3988</v>
      </c>
      <c r="X386" s="9" t="s">
        <v>3989</v>
      </c>
      <c r="Y386" s="9" t="s">
        <v>4749</v>
      </c>
      <c r="Z386" s="9">
        <v>5</v>
      </c>
      <c r="AA386" s="9" t="s">
        <v>152</v>
      </c>
      <c r="AB386" s="9" t="s">
        <v>4750</v>
      </c>
      <c r="AC386" s="9" t="s">
        <v>4751</v>
      </c>
      <c r="AD386" s="9" t="s">
        <v>299</v>
      </c>
      <c r="AE386" s="9">
        <v>1253750</v>
      </c>
      <c r="AF386" s="11">
        <v>18806</v>
      </c>
      <c r="AG386" s="9"/>
      <c r="AH386" s="9"/>
      <c r="AI386" s="9"/>
      <c r="AJ386" s="12" t="s">
        <v>11763</v>
      </c>
      <c r="AK386" s="13">
        <v>18806</v>
      </c>
      <c r="AL386" s="13"/>
      <c r="AM386" s="14">
        <f t="shared" si="5"/>
        <v>0</v>
      </c>
      <c r="AN386" s="12" t="s">
        <v>12004</v>
      </c>
    </row>
    <row r="387" spans="1:40" x14ac:dyDescent="0.25">
      <c r="A387" s="15">
        <v>386</v>
      </c>
      <c r="B387" s="12" t="s">
        <v>35</v>
      </c>
      <c r="C387" s="12" t="s">
        <v>4752</v>
      </c>
      <c r="D387" s="12" t="s">
        <v>37</v>
      </c>
      <c r="E387" s="12" t="s">
        <v>4753</v>
      </c>
      <c r="F387" s="12" t="s">
        <v>107</v>
      </c>
      <c r="G387" s="12" t="s">
        <v>4754</v>
      </c>
      <c r="H387" s="12" t="s">
        <v>4755</v>
      </c>
      <c r="I387" s="12" t="s">
        <v>4755</v>
      </c>
      <c r="J387" s="12" t="s">
        <v>4755</v>
      </c>
      <c r="K387" s="12" t="s">
        <v>4756</v>
      </c>
      <c r="L387" s="12">
        <v>750000</v>
      </c>
      <c r="M387" s="12">
        <v>1250000</v>
      </c>
      <c r="N387" s="12" t="s">
        <v>4757</v>
      </c>
      <c r="O387" s="16">
        <v>45625</v>
      </c>
      <c r="P387" s="12" t="s">
        <v>4758</v>
      </c>
      <c r="Q387" s="12" t="s">
        <v>4759</v>
      </c>
      <c r="R387" s="12" t="s">
        <v>1215</v>
      </c>
      <c r="S387" s="12" t="s">
        <v>4760</v>
      </c>
      <c r="T387" s="12" t="s">
        <v>4761</v>
      </c>
      <c r="U387" s="12" t="s">
        <v>903</v>
      </c>
      <c r="V387" s="12" t="s">
        <v>3728</v>
      </c>
      <c r="W387" s="12" t="s">
        <v>3729</v>
      </c>
      <c r="X387" s="12" t="s">
        <v>133</v>
      </c>
      <c r="Y387" s="12" t="s">
        <v>4762</v>
      </c>
      <c r="Z387" s="12">
        <v>7</v>
      </c>
      <c r="AA387" s="12" t="s">
        <v>55</v>
      </c>
      <c r="AB387" s="12" t="s">
        <v>4763</v>
      </c>
      <c r="AC387" s="12" t="s">
        <v>3728</v>
      </c>
      <c r="AD387" s="12" t="s">
        <v>171</v>
      </c>
      <c r="AE387" s="12">
        <v>875000</v>
      </c>
      <c r="AF387" s="13">
        <v>21875</v>
      </c>
      <c r="AG387" s="12"/>
      <c r="AH387" s="12"/>
      <c r="AI387" s="12"/>
      <c r="AJ387" s="12" t="s">
        <v>11764</v>
      </c>
      <c r="AK387" s="13">
        <v>23438</v>
      </c>
      <c r="AL387" s="13" t="s">
        <v>12245</v>
      </c>
      <c r="AM387" s="14">
        <f t="shared" ref="AM387:AM450" si="6">AF387-AK387</f>
        <v>-1563</v>
      </c>
      <c r="AN387" s="12" t="s">
        <v>12004</v>
      </c>
    </row>
    <row r="388" spans="1:40" x14ac:dyDescent="0.25">
      <c r="A388" s="8">
        <v>387</v>
      </c>
      <c r="B388" s="9" t="s">
        <v>35</v>
      </c>
      <c r="C388" s="9" t="s">
        <v>4764</v>
      </c>
      <c r="D388" s="9" t="s">
        <v>37</v>
      </c>
      <c r="E388" s="9" t="s">
        <v>4765</v>
      </c>
      <c r="F388" s="9" t="s">
        <v>39</v>
      </c>
      <c r="G388" s="9" t="s">
        <v>4766</v>
      </c>
      <c r="H388" s="9" t="s">
        <v>4767</v>
      </c>
      <c r="I388" s="9" t="s">
        <v>4768</v>
      </c>
      <c r="J388" s="9" t="s">
        <v>4767</v>
      </c>
      <c r="K388" s="9" t="s">
        <v>4769</v>
      </c>
      <c r="L388" s="9">
        <v>680000</v>
      </c>
      <c r="M388" s="9">
        <v>850000</v>
      </c>
      <c r="N388" s="9" t="s">
        <v>4770</v>
      </c>
      <c r="O388" s="10">
        <v>45625</v>
      </c>
      <c r="P388" s="9" t="s">
        <v>4771</v>
      </c>
      <c r="Q388" s="9" t="s">
        <v>4772</v>
      </c>
      <c r="R388" s="9" t="s">
        <v>146</v>
      </c>
      <c r="S388" s="9" t="s">
        <v>4773</v>
      </c>
      <c r="T388" s="9" t="s">
        <v>639</v>
      </c>
      <c r="U388" s="9" t="s">
        <v>335</v>
      </c>
      <c r="V388" s="9" t="s">
        <v>3368</v>
      </c>
      <c r="W388" s="9" t="s">
        <v>132</v>
      </c>
      <c r="X388" s="9" t="s">
        <v>133</v>
      </c>
      <c r="Y388" s="9" t="s">
        <v>4774</v>
      </c>
      <c r="Z388" s="9">
        <v>5</v>
      </c>
      <c r="AA388" s="9" t="s">
        <v>118</v>
      </c>
      <c r="AB388" s="9" t="s">
        <v>4775</v>
      </c>
      <c r="AC388" s="9" t="s">
        <v>3368</v>
      </c>
      <c r="AD388" s="9" t="s">
        <v>299</v>
      </c>
      <c r="AE388" s="9">
        <v>680000</v>
      </c>
      <c r="AF388" s="11">
        <v>10200</v>
      </c>
      <c r="AG388" s="9"/>
      <c r="AH388" s="9"/>
      <c r="AI388" s="9"/>
      <c r="AJ388" s="12" t="s">
        <v>11765</v>
      </c>
      <c r="AK388" s="13">
        <v>10200</v>
      </c>
      <c r="AL388" s="13"/>
      <c r="AM388" s="14">
        <f t="shared" si="6"/>
        <v>0</v>
      </c>
      <c r="AN388" s="12" t="s">
        <v>12004</v>
      </c>
    </row>
    <row r="389" spans="1:40" x14ac:dyDescent="0.25">
      <c r="A389" s="15">
        <v>388</v>
      </c>
      <c r="B389" s="12" t="s">
        <v>35</v>
      </c>
      <c r="C389" s="12" t="s">
        <v>4776</v>
      </c>
      <c r="D389" s="12" t="s">
        <v>37</v>
      </c>
      <c r="E389" s="12" t="s">
        <v>4777</v>
      </c>
      <c r="F389" s="12" t="s">
        <v>138</v>
      </c>
      <c r="G389" s="12" t="s">
        <v>4778</v>
      </c>
      <c r="H389" s="12" t="s">
        <v>4779</v>
      </c>
      <c r="I389" s="12" t="s">
        <v>4779</v>
      </c>
      <c r="J389" s="12" t="s">
        <v>4780</v>
      </c>
      <c r="K389" s="12" t="s">
        <v>4781</v>
      </c>
      <c r="L389" s="12">
        <v>1020000</v>
      </c>
      <c r="M389" s="12">
        <v>1700000</v>
      </c>
      <c r="N389" s="12" t="s">
        <v>4782</v>
      </c>
      <c r="O389" s="16">
        <v>45625</v>
      </c>
      <c r="P389" s="12" t="s">
        <v>4783</v>
      </c>
      <c r="Q389" s="12" t="s">
        <v>4784</v>
      </c>
      <c r="R389" s="12" t="s">
        <v>146</v>
      </c>
      <c r="S389" s="12" t="s">
        <v>4785</v>
      </c>
      <c r="T389" s="12" t="s">
        <v>1141</v>
      </c>
      <c r="U389" s="12" t="s">
        <v>651</v>
      </c>
      <c r="V389" s="12" t="s">
        <v>4786</v>
      </c>
      <c r="W389" s="12" t="s">
        <v>2306</v>
      </c>
      <c r="X389" s="12" t="s">
        <v>533</v>
      </c>
      <c r="Y389" s="12" t="s">
        <v>4787</v>
      </c>
      <c r="Z389" s="12">
        <v>7</v>
      </c>
      <c r="AA389" s="12" t="s">
        <v>55</v>
      </c>
      <c r="AB389" s="12" t="s">
        <v>4788</v>
      </c>
      <c r="AC389" s="12" t="s">
        <v>4786</v>
      </c>
      <c r="AD389" s="12" t="s">
        <v>880</v>
      </c>
      <c r="AE389" s="12">
        <v>1105000</v>
      </c>
      <c r="AF389" s="13">
        <v>34255</v>
      </c>
      <c r="AG389" s="12"/>
      <c r="AH389" s="12"/>
      <c r="AI389" s="12"/>
      <c r="AJ389" s="12" t="s">
        <v>11766</v>
      </c>
      <c r="AK389" s="13">
        <v>34255</v>
      </c>
      <c r="AL389" s="13"/>
      <c r="AM389" s="14">
        <f t="shared" si="6"/>
        <v>0</v>
      </c>
      <c r="AN389" s="12" t="s">
        <v>12004</v>
      </c>
    </row>
    <row r="390" spans="1:40" x14ac:dyDescent="0.25">
      <c r="A390" s="8">
        <v>389</v>
      </c>
      <c r="B390" s="9" t="s">
        <v>35</v>
      </c>
      <c r="C390" s="9" t="s">
        <v>4789</v>
      </c>
      <c r="D390" s="9" t="s">
        <v>37</v>
      </c>
      <c r="E390" s="9" t="s">
        <v>4790</v>
      </c>
      <c r="F390" s="9" t="s">
        <v>138</v>
      </c>
      <c r="G390" s="9" t="s">
        <v>4791</v>
      </c>
      <c r="H390" s="9" t="s">
        <v>4792</v>
      </c>
      <c r="I390" s="9" t="s">
        <v>4793</v>
      </c>
      <c r="J390" s="9" t="s">
        <v>4792</v>
      </c>
      <c r="K390" s="9" t="s">
        <v>4794</v>
      </c>
      <c r="L390" s="9">
        <v>1690000</v>
      </c>
      <c r="M390" s="9">
        <v>2600000</v>
      </c>
      <c r="N390" s="9" t="s">
        <v>4795</v>
      </c>
      <c r="O390" s="10">
        <v>45645</v>
      </c>
      <c r="P390" s="9" t="s">
        <v>4796</v>
      </c>
      <c r="Q390" s="9" t="s">
        <v>4797</v>
      </c>
      <c r="R390" s="9" t="s">
        <v>146</v>
      </c>
      <c r="S390" s="9" t="s">
        <v>4798</v>
      </c>
      <c r="T390" s="9" t="s">
        <v>601</v>
      </c>
      <c r="U390" s="9" t="s">
        <v>903</v>
      </c>
      <c r="V390" s="10">
        <v>44552</v>
      </c>
      <c r="W390" s="9" t="s">
        <v>4015</v>
      </c>
      <c r="X390" s="9" t="s">
        <v>4016</v>
      </c>
      <c r="Y390" s="9" t="s">
        <v>4799</v>
      </c>
      <c r="Z390" s="9">
        <v>5</v>
      </c>
      <c r="AA390" s="9" t="s">
        <v>55</v>
      </c>
      <c r="AB390" s="9" t="s">
        <v>4800</v>
      </c>
      <c r="AC390" s="9" t="s">
        <v>4176</v>
      </c>
      <c r="AD390" s="9" t="s">
        <v>299</v>
      </c>
      <c r="AE390" s="9">
        <v>2080000</v>
      </c>
      <c r="AF390" s="11">
        <v>31200</v>
      </c>
      <c r="AG390" s="9"/>
      <c r="AH390" s="9"/>
      <c r="AI390" s="9"/>
      <c r="AJ390" s="12" t="s">
        <v>11767</v>
      </c>
      <c r="AK390" s="13">
        <v>31200</v>
      </c>
      <c r="AL390" s="13"/>
      <c r="AM390" s="14">
        <f t="shared" si="6"/>
        <v>0</v>
      </c>
      <c r="AN390" s="12" t="s">
        <v>12004</v>
      </c>
    </row>
    <row r="391" spans="1:40" x14ac:dyDescent="0.25">
      <c r="A391" s="15">
        <v>390</v>
      </c>
      <c r="B391" s="12" t="s">
        <v>35</v>
      </c>
      <c r="C391" s="12" t="s">
        <v>4801</v>
      </c>
      <c r="D391" s="12" t="s">
        <v>37</v>
      </c>
      <c r="E391" s="12" t="s">
        <v>4802</v>
      </c>
      <c r="F391" s="12" t="s">
        <v>138</v>
      </c>
      <c r="G391" s="12" t="s">
        <v>4803</v>
      </c>
      <c r="H391" s="12" t="s">
        <v>4804</v>
      </c>
      <c r="I391" s="12" t="s">
        <v>4805</v>
      </c>
      <c r="J391" s="12" t="s">
        <v>4804</v>
      </c>
      <c r="K391" s="12" t="s">
        <v>4806</v>
      </c>
      <c r="L391" s="12">
        <v>1252550</v>
      </c>
      <c r="M391" s="12">
        <v>1927000</v>
      </c>
      <c r="N391" s="12" t="s">
        <v>4807</v>
      </c>
      <c r="O391" s="16">
        <v>45645</v>
      </c>
      <c r="P391" s="12" t="s">
        <v>4808</v>
      </c>
      <c r="Q391" s="12" t="s">
        <v>4809</v>
      </c>
      <c r="R391" s="12" t="s">
        <v>47</v>
      </c>
      <c r="S391" s="12" t="s">
        <v>48</v>
      </c>
      <c r="T391" s="12" t="s">
        <v>360</v>
      </c>
      <c r="U391" s="12" t="s">
        <v>50</v>
      </c>
      <c r="V391" s="16">
        <v>44551</v>
      </c>
      <c r="W391" s="12" t="s">
        <v>4473</v>
      </c>
      <c r="X391" s="12" t="s">
        <v>4588</v>
      </c>
      <c r="Y391" s="12" t="s">
        <v>4810</v>
      </c>
      <c r="Z391" s="12">
        <v>5</v>
      </c>
      <c r="AA391" s="12" t="s">
        <v>55</v>
      </c>
      <c r="AB391" s="12" t="s">
        <v>4811</v>
      </c>
      <c r="AC391" s="12" t="s">
        <v>4176</v>
      </c>
      <c r="AD391" s="12" t="s">
        <v>58</v>
      </c>
      <c r="AE391" s="12">
        <v>1541600</v>
      </c>
      <c r="AF391" s="13">
        <v>30832</v>
      </c>
      <c r="AG391" s="12"/>
      <c r="AH391" s="12"/>
      <c r="AI391" s="12"/>
      <c r="AJ391" s="12" t="s">
        <v>11768</v>
      </c>
      <c r="AK391" s="13">
        <v>30832</v>
      </c>
      <c r="AL391" s="13"/>
      <c r="AM391" s="14">
        <f t="shared" si="6"/>
        <v>0</v>
      </c>
      <c r="AN391" s="12" t="s">
        <v>12004</v>
      </c>
    </row>
    <row r="392" spans="1:40" x14ac:dyDescent="0.25">
      <c r="A392" s="8">
        <v>391</v>
      </c>
      <c r="B392" s="9" t="s">
        <v>35</v>
      </c>
      <c r="C392" s="9" t="s">
        <v>4812</v>
      </c>
      <c r="D392" s="9" t="s">
        <v>37</v>
      </c>
      <c r="E392" s="9" t="s">
        <v>4813</v>
      </c>
      <c r="F392" s="9" t="s">
        <v>107</v>
      </c>
      <c r="G392" s="9" t="s">
        <v>4814</v>
      </c>
      <c r="H392" s="9" t="s">
        <v>4815</v>
      </c>
      <c r="I392" s="9" t="s">
        <v>4815</v>
      </c>
      <c r="J392" s="9" t="s">
        <v>4815</v>
      </c>
      <c r="K392" s="9" t="s">
        <v>4816</v>
      </c>
      <c r="L392" s="9">
        <v>1246000</v>
      </c>
      <c r="M392" s="9">
        <v>1780000</v>
      </c>
      <c r="N392" s="9" t="s">
        <v>4817</v>
      </c>
      <c r="O392" s="10">
        <v>45645</v>
      </c>
      <c r="P392" s="9" t="s">
        <v>4818</v>
      </c>
      <c r="Q392" s="9" t="s">
        <v>4819</v>
      </c>
      <c r="R392" s="9" t="s">
        <v>146</v>
      </c>
      <c r="S392" s="9" t="s">
        <v>4820</v>
      </c>
      <c r="T392" s="9" t="s">
        <v>4821</v>
      </c>
      <c r="U392" s="9" t="s">
        <v>614</v>
      </c>
      <c r="V392" s="10">
        <v>44553</v>
      </c>
      <c r="W392" s="9" t="s">
        <v>4015</v>
      </c>
      <c r="X392" s="9" t="s">
        <v>4016</v>
      </c>
      <c r="Y392" s="9" t="s">
        <v>4822</v>
      </c>
      <c r="Z392" s="9">
        <v>5</v>
      </c>
      <c r="AA392" s="9" t="s">
        <v>55</v>
      </c>
      <c r="AB392" s="9" t="s">
        <v>4823</v>
      </c>
      <c r="AC392" s="9" t="s">
        <v>4176</v>
      </c>
      <c r="AD392" s="9" t="s">
        <v>299</v>
      </c>
      <c r="AE392" s="9">
        <v>1424000</v>
      </c>
      <c r="AF392" s="11">
        <v>21360</v>
      </c>
      <c r="AG392" s="9"/>
      <c r="AH392" s="9"/>
      <c r="AI392" s="9"/>
      <c r="AJ392" s="12" t="s">
        <v>11769</v>
      </c>
      <c r="AK392" s="13">
        <v>21360</v>
      </c>
      <c r="AL392" s="13"/>
      <c r="AM392" s="14">
        <f t="shared" si="6"/>
        <v>0</v>
      </c>
      <c r="AN392" s="12" t="s">
        <v>12004</v>
      </c>
    </row>
    <row r="393" spans="1:40" x14ac:dyDescent="0.25">
      <c r="A393" s="15">
        <v>392</v>
      </c>
      <c r="B393" s="12" t="s">
        <v>35</v>
      </c>
      <c r="C393" s="12" t="s">
        <v>4824</v>
      </c>
      <c r="D393" s="12" t="s">
        <v>37</v>
      </c>
      <c r="E393" s="12" t="s">
        <v>4825</v>
      </c>
      <c r="F393" s="12" t="s">
        <v>39</v>
      </c>
      <c r="G393" s="12" t="s">
        <v>4826</v>
      </c>
      <c r="H393" s="12" t="s">
        <v>4827</v>
      </c>
      <c r="I393" s="12" t="s">
        <v>4828</v>
      </c>
      <c r="J393" s="12" t="s">
        <v>4827</v>
      </c>
      <c r="K393" s="12" t="s">
        <v>4829</v>
      </c>
      <c r="L393" s="12">
        <v>926000</v>
      </c>
      <c r="M393" s="12">
        <v>1852000</v>
      </c>
      <c r="N393" s="12" t="s">
        <v>4830</v>
      </c>
      <c r="O393" s="16">
        <v>45625</v>
      </c>
      <c r="P393" s="12" t="s">
        <v>4831</v>
      </c>
      <c r="Q393" s="12" t="s">
        <v>4832</v>
      </c>
      <c r="R393" s="12" t="s">
        <v>47</v>
      </c>
      <c r="S393" s="12" t="s">
        <v>48</v>
      </c>
      <c r="T393" s="12" t="s">
        <v>4833</v>
      </c>
      <c r="U393" s="12" t="s">
        <v>50</v>
      </c>
      <c r="V393" s="12" t="s">
        <v>3368</v>
      </c>
      <c r="W393" s="12" t="s">
        <v>132</v>
      </c>
      <c r="X393" s="12" t="s">
        <v>133</v>
      </c>
      <c r="Y393" s="12" t="s">
        <v>4834</v>
      </c>
      <c r="Z393" s="12">
        <v>5</v>
      </c>
      <c r="AA393" s="12" t="s">
        <v>118</v>
      </c>
      <c r="AB393" s="12" t="s">
        <v>4835</v>
      </c>
      <c r="AC393" s="12" t="s">
        <v>3368</v>
      </c>
      <c r="AD393" s="12" t="s">
        <v>58</v>
      </c>
      <c r="AE393" s="12">
        <v>1481600</v>
      </c>
      <c r="AF393" s="13">
        <v>29632</v>
      </c>
      <c r="AG393" s="12"/>
      <c r="AH393" s="12"/>
      <c r="AI393" s="12"/>
      <c r="AJ393" s="12" t="s">
        <v>11770</v>
      </c>
      <c r="AK393" s="13">
        <v>29632</v>
      </c>
      <c r="AL393" s="13"/>
      <c r="AM393" s="14">
        <f t="shared" si="6"/>
        <v>0</v>
      </c>
      <c r="AN393" s="12" t="s">
        <v>12004</v>
      </c>
    </row>
    <row r="394" spans="1:40" x14ac:dyDescent="0.25">
      <c r="A394" s="8">
        <v>393</v>
      </c>
      <c r="B394" s="9" t="s">
        <v>35</v>
      </c>
      <c r="C394" s="9" t="s">
        <v>4836</v>
      </c>
      <c r="D394" s="9" t="s">
        <v>37</v>
      </c>
      <c r="E394" s="9" t="s">
        <v>4837</v>
      </c>
      <c r="F394" s="9" t="s">
        <v>107</v>
      </c>
      <c r="G394" s="9" t="s">
        <v>4838</v>
      </c>
      <c r="H394" s="9" t="s">
        <v>4839</v>
      </c>
      <c r="I394" s="9" t="s">
        <v>4839</v>
      </c>
      <c r="J394" s="9" t="s">
        <v>4839</v>
      </c>
      <c r="K394" s="9" t="s">
        <v>4840</v>
      </c>
      <c r="L394" s="9">
        <v>919200</v>
      </c>
      <c r="M394" s="9">
        <v>1149000</v>
      </c>
      <c r="N394" s="9" t="s">
        <v>4841</v>
      </c>
      <c r="O394" s="10">
        <v>45645</v>
      </c>
      <c r="P394" s="9" t="s">
        <v>4842</v>
      </c>
      <c r="Q394" s="9" t="s">
        <v>4843</v>
      </c>
      <c r="R394" s="9" t="s">
        <v>47</v>
      </c>
      <c r="S394" s="9" t="s">
        <v>47</v>
      </c>
      <c r="T394" s="9" t="s">
        <v>4844</v>
      </c>
      <c r="U394" s="9" t="s">
        <v>50</v>
      </c>
      <c r="V394" s="10">
        <v>44554</v>
      </c>
      <c r="W394" s="9" t="s">
        <v>4015</v>
      </c>
      <c r="X394" s="9" t="s">
        <v>4016</v>
      </c>
      <c r="Y394" s="9" t="s">
        <v>4845</v>
      </c>
      <c r="Z394" s="9">
        <v>5</v>
      </c>
      <c r="AA394" s="9" t="s">
        <v>55</v>
      </c>
      <c r="AB394" s="9" t="s">
        <v>4846</v>
      </c>
      <c r="AC394" s="9" t="s">
        <v>4176</v>
      </c>
      <c r="AD394" s="9" t="s">
        <v>58</v>
      </c>
      <c r="AE394" s="9">
        <v>919200</v>
      </c>
      <c r="AF394" s="11">
        <v>18384</v>
      </c>
      <c r="AG394" s="9"/>
      <c r="AH394" s="9"/>
      <c r="AI394" s="9"/>
      <c r="AJ394" s="12" t="s">
        <v>11771</v>
      </c>
      <c r="AK394" s="13">
        <v>18384</v>
      </c>
      <c r="AL394" s="13"/>
      <c r="AM394" s="14">
        <f t="shared" si="6"/>
        <v>0</v>
      </c>
      <c r="AN394" s="12" t="s">
        <v>12004</v>
      </c>
    </row>
    <row r="395" spans="1:40" x14ac:dyDescent="0.25">
      <c r="A395" s="15">
        <v>394</v>
      </c>
      <c r="B395" s="12" t="s">
        <v>35</v>
      </c>
      <c r="C395" s="12" t="s">
        <v>4847</v>
      </c>
      <c r="D395" s="12" t="s">
        <v>37</v>
      </c>
      <c r="E395" s="12" t="s">
        <v>4848</v>
      </c>
      <c r="F395" s="12" t="s">
        <v>138</v>
      </c>
      <c r="G395" s="12" t="s">
        <v>4849</v>
      </c>
      <c r="H395" s="12" t="s">
        <v>48</v>
      </c>
      <c r="I395" s="12" t="s">
        <v>4850</v>
      </c>
      <c r="J395" s="12" t="s">
        <v>48</v>
      </c>
      <c r="K395" s="12" t="s">
        <v>4851</v>
      </c>
      <c r="L395" s="12">
        <v>1890000</v>
      </c>
      <c r="M395" s="12">
        <v>2700000</v>
      </c>
      <c r="N395" s="12" t="s">
        <v>4852</v>
      </c>
      <c r="O395" s="12" t="s">
        <v>4853</v>
      </c>
      <c r="P395" s="12" t="s">
        <v>4854</v>
      </c>
      <c r="Q395" s="12" t="s">
        <v>4855</v>
      </c>
      <c r="R395" s="12" t="s">
        <v>146</v>
      </c>
      <c r="S395" s="12" t="s">
        <v>4856</v>
      </c>
      <c r="T395" s="12" t="s">
        <v>613</v>
      </c>
      <c r="U395" s="12" t="s">
        <v>148</v>
      </c>
      <c r="V395" s="16">
        <v>45282</v>
      </c>
      <c r="W395" s="12" t="s">
        <v>3964</v>
      </c>
      <c r="X395" s="12" t="s">
        <v>3965</v>
      </c>
      <c r="Y395" s="12" t="s">
        <v>4857</v>
      </c>
      <c r="Z395" s="12">
        <v>5</v>
      </c>
      <c r="AA395" s="12" t="s">
        <v>55</v>
      </c>
      <c r="AB395" s="12" t="s">
        <v>4858</v>
      </c>
      <c r="AC395" s="12" t="s">
        <v>4727</v>
      </c>
      <c r="AD395" s="12" t="s">
        <v>86</v>
      </c>
      <c r="AE395" s="12">
        <v>2430000</v>
      </c>
      <c r="AF395" s="13">
        <v>42525</v>
      </c>
      <c r="AG395" s="12"/>
      <c r="AH395" s="12"/>
      <c r="AI395" s="12"/>
      <c r="AJ395" s="12" t="s">
        <v>11772</v>
      </c>
      <c r="AK395" s="13">
        <v>42525</v>
      </c>
      <c r="AL395" s="13"/>
      <c r="AM395" s="14">
        <f t="shared" si="6"/>
        <v>0</v>
      </c>
      <c r="AN395" s="12" t="s">
        <v>12004</v>
      </c>
    </row>
    <row r="396" spans="1:40" x14ac:dyDescent="0.25">
      <c r="A396" s="8">
        <v>395</v>
      </c>
      <c r="B396" s="9" t="s">
        <v>35</v>
      </c>
      <c r="C396" s="9" t="s">
        <v>4859</v>
      </c>
      <c r="D396" s="9" t="s">
        <v>37</v>
      </c>
      <c r="E396" s="9" t="s">
        <v>4860</v>
      </c>
      <c r="F396" s="9" t="s">
        <v>138</v>
      </c>
      <c r="G396" s="9" t="s">
        <v>4861</v>
      </c>
      <c r="H396" s="9" t="s">
        <v>4862</v>
      </c>
      <c r="I396" s="9" t="s">
        <v>4862</v>
      </c>
      <c r="J396" s="9" t="s">
        <v>141</v>
      </c>
      <c r="K396" s="9" t="s">
        <v>4863</v>
      </c>
      <c r="L396" s="9">
        <v>980000</v>
      </c>
      <c r="M396" s="9">
        <v>1400000</v>
      </c>
      <c r="N396" s="9" t="s">
        <v>4864</v>
      </c>
      <c r="O396" s="10">
        <v>45625</v>
      </c>
      <c r="P396" s="9" t="s">
        <v>4865</v>
      </c>
      <c r="Q396" s="9" t="s">
        <v>4866</v>
      </c>
      <c r="R396" s="9" t="s">
        <v>146</v>
      </c>
      <c r="S396" s="9" t="s">
        <v>4867</v>
      </c>
      <c r="T396" s="9" t="s">
        <v>4868</v>
      </c>
      <c r="U396" s="9" t="s">
        <v>903</v>
      </c>
      <c r="V396" s="9" t="s">
        <v>3368</v>
      </c>
      <c r="W396" s="9" t="s">
        <v>132</v>
      </c>
      <c r="X396" s="9" t="s">
        <v>133</v>
      </c>
      <c r="Y396" s="9" t="s">
        <v>4869</v>
      </c>
      <c r="Z396" s="9">
        <v>5</v>
      </c>
      <c r="AA396" s="9" t="s">
        <v>118</v>
      </c>
      <c r="AB396" s="9" t="s">
        <v>4870</v>
      </c>
      <c r="AC396" s="9" t="s">
        <v>3368</v>
      </c>
      <c r="AD396" s="9" t="s">
        <v>299</v>
      </c>
      <c r="AE396" s="9">
        <v>1120000</v>
      </c>
      <c r="AF396" s="11">
        <v>16800</v>
      </c>
      <c r="AG396" s="9"/>
      <c r="AH396" s="9"/>
      <c r="AI396" s="9"/>
      <c r="AJ396" s="12" t="s">
        <v>11773</v>
      </c>
      <c r="AK396" s="13">
        <v>16800</v>
      </c>
      <c r="AL396" s="13"/>
      <c r="AM396" s="14">
        <f t="shared" si="6"/>
        <v>0</v>
      </c>
      <c r="AN396" s="12" t="s">
        <v>12004</v>
      </c>
    </row>
    <row r="397" spans="1:40" x14ac:dyDescent="0.25">
      <c r="A397" s="15">
        <v>396</v>
      </c>
      <c r="B397" s="12" t="s">
        <v>35</v>
      </c>
      <c r="C397" s="12" t="s">
        <v>4871</v>
      </c>
      <c r="D397" s="12" t="s">
        <v>37</v>
      </c>
      <c r="E397" s="12" t="s">
        <v>4872</v>
      </c>
      <c r="F397" s="12" t="s">
        <v>138</v>
      </c>
      <c r="G397" s="12" t="s">
        <v>4873</v>
      </c>
      <c r="H397" s="12" t="s">
        <v>4874</v>
      </c>
      <c r="I397" s="12" t="s">
        <v>4874</v>
      </c>
      <c r="J397" s="12" t="s">
        <v>141</v>
      </c>
      <c r="K397" s="12" t="s">
        <v>4875</v>
      </c>
      <c r="L397" s="12">
        <v>2928000</v>
      </c>
      <c r="M397" s="12">
        <v>6100000</v>
      </c>
      <c r="N397" s="12" t="s">
        <v>4876</v>
      </c>
      <c r="O397" s="12" t="s">
        <v>4853</v>
      </c>
      <c r="P397" s="12" t="s">
        <v>4877</v>
      </c>
      <c r="Q397" s="12" t="s">
        <v>4878</v>
      </c>
      <c r="R397" s="12" t="s">
        <v>146</v>
      </c>
      <c r="S397" s="12" t="s">
        <v>4879</v>
      </c>
      <c r="T397" s="12" t="s">
        <v>4389</v>
      </c>
      <c r="U397" s="12" t="s">
        <v>50</v>
      </c>
      <c r="V397" s="16">
        <v>45279</v>
      </c>
      <c r="W397" s="12" t="s">
        <v>4587</v>
      </c>
      <c r="X397" s="12" t="s">
        <v>4588</v>
      </c>
      <c r="Y397" s="12" t="s">
        <v>4880</v>
      </c>
      <c r="Z397" s="12">
        <v>3</v>
      </c>
      <c r="AA397" s="12" t="s">
        <v>55</v>
      </c>
      <c r="AB397" s="12" t="s">
        <v>4881</v>
      </c>
      <c r="AC397" s="12" t="s">
        <v>4882</v>
      </c>
      <c r="AD397" s="12" t="s">
        <v>86</v>
      </c>
      <c r="AE397" s="12">
        <v>5490000</v>
      </c>
      <c r="AF397" s="13">
        <v>96075</v>
      </c>
      <c r="AG397" s="12"/>
      <c r="AH397" s="12"/>
      <c r="AI397" s="12"/>
      <c r="AJ397" s="12" t="s">
        <v>11774</v>
      </c>
      <c r="AK397" s="13">
        <v>96075</v>
      </c>
      <c r="AL397" s="13"/>
      <c r="AM397" s="14">
        <f t="shared" si="6"/>
        <v>0</v>
      </c>
      <c r="AN397" s="12" t="s">
        <v>12004</v>
      </c>
    </row>
    <row r="398" spans="1:40" x14ac:dyDescent="0.25">
      <c r="A398" s="8">
        <v>397</v>
      </c>
      <c r="B398" s="9" t="s">
        <v>35</v>
      </c>
      <c r="C398" s="9" t="s">
        <v>4883</v>
      </c>
      <c r="D398" s="9" t="s">
        <v>37</v>
      </c>
      <c r="E398" s="9" t="s">
        <v>4884</v>
      </c>
      <c r="F398" s="9" t="s">
        <v>138</v>
      </c>
      <c r="G398" s="9" t="s">
        <v>4885</v>
      </c>
      <c r="H398" s="9" t="s">
        <v>4886</v>
      </c>
      <c r="I398" s="9" t="s">
        <v>4886</v>
      </c>
      <c r="J398" s="9" t="s">
        <v>141</v>
      </c>
      <c r="K398" s="9" t="s">
        <v>4887</v>
      </c>
      <c r="L398" s="9">
        <v>1500000</v>
      </c>
      <c r="M398" s="9">
        <v>3000000</v>
      </c>
      <c r="N398" s="9" t="s">
        <v>4888</v>
      </c>
      <c r="O398" s="9" t="s">
        <v>4853</v>
      </c>
      <c r="P398" s="9" t="s">
        <v>4889</v>
      </c>
      <c r="Q398" s="9" t="s">
        <v>4890</v>
      </c>
      <c r="R398" s="9" t="s">
        <v>146</v>
      </c>
      <c r="S398" s="9" t="s">
        <v>4891</v>
      </c>
      <c r="T398" s="9" t="s">
        <v>1289</v>
      </c>
      <c r="U398" s="9" t="s">
        <v>651</v>
      </c>
      <c r="V398" s="10">
        <v>45281</v>
      </c>
      <c r="W398" s="9" t="s">
        <v>4587</v>
      </c>
      <c r="X398" s="9" t="s">
        <v>4588</v>
      </c>
      <c r="Y398" s="9" t="s">
        <v>4892</v>
      </c>
      <c r="Z398" s="9">
        <v>3</v>
      </c>
      <c r="AA398" s="9" t="s">
        <v>55</v>
      </c>
      <c r="AB398" s="9" t="s">
        <v>4893</v>
      </c>
      <c r="AC398" s="9" t="s">
        <v>4587</v>
      </c>
      <c r="AD398" s="9" t="s">
        <v>86</v>
      </c>
      <c r="AE398" s="9">
        <v>2700000</v>
      </c>
      <c r="AF398" s="11">
        <v>47250</v>
      </c>
      <c r="AG398" s="9"/>
      <c r="AH398" s="9"/>
      <c r="AI398" s="9"/>
      <c r="AJ398" s="12" t="s">
        <v>11775</v>
      </c>
      <c r="AK398" s="13">
        <v>47250</v>
      </c>
      <c r="AL398" s="13"/>
      <c r="AM398" s="14">
        <f t="shared" si="6"/>
        <v>0</v>
      </c>
      <c r="AN398" s="12" t="s">
        <v>12004</v>
      </c>
    </row>
    <row r="399" spans="1:40" x14ac:dyDescent="0.25">
      <c r="A399" s="15">
        <v>398</v>
      </c>
      <c r="B399" s="12" t="s">
        <v>35</v>
      </c>
      <c r="C399" s="12" t="s">
        <v>4894</v>
      </c>
      <c r="D399" s="12" t="s">
        <v>37</v>
      </c>
      <c r="E399" s="12" t="s">
        <v>4895</v>
      </c>
      <c r="F399" s="12" t="s">
        <v>107</v>
      </c>
      <c r="G399" s="12" t="s">
        <v>4896</v>
      </c>
      <c r="H399" s="12" t="s">
        <v>4897</v>
      </c>
      <c r="I399" s="12" t="s">
        <v>4897</v>
      </c>
      <c r="J399" s="12" t="s">
        <v>4897</v>
      </c>
      <c r="K399" s="12" t="s">
        <v>4898</v>
      </c>
      <c r="L399" s="12">
        <v>1007500</v>
      </c>
      <c r="M399" s="12">
        <v>1550000</v>
      </c>
      <c r="N399" s="12" t="s">
        <v>4899</v>
      </c>
      <c r="O399" s="16">
        <v>45625</v>
      </c>
      <c r="P399" s="12" t="s">
        <v>4900</v>
      </c>
      <c r="Q399" s="12" t="s">
        <v>4901</v>
      </c>
      <c r="R399" s="12" t="s">
        <v>146</v>
      </c>
      <c r="S399" s="12" t="s">
        <v>4902</v>
      </c>
      <c r="T399" s="12" t="s">
        <v>321</v>
      </c>
      <c r="U399" s="12" t="s">
        <v>496</v>
      </c>
      <c r="V399" s="12" t="s">
        <v>4903</v>
      </c>
      <c r="W399" s="12" t="s">
        <v>132</v>
      </c>
      <c r="X399" s="12" t="s">
        <v>133</v>
      </c>
      <c r="Y399" s="12" t="s">
        <v>4904</v>
      </c>
      <c r="Z399" s="12">
        <v>5</v>
      </c>
      <c r="AA399" s="12" t="s">
        <v>118</v>
      </c>
      <c r="AB399" s="12" t="s">
        <v>4905</v>
      </c>
      <c r="AC399" s="12" t="s">
        <v>3368</v>
      </c>
      <c r="AD399" s="12" t="s">
        <v>299</v>
      </c>
      <c r="AE399" s="12">
        <v>1240000</v>
      </c>
      <c r="AF399" s="13">
        <v>18600</v>
      </c>
      <c r="AG399" s="12"/>
      <c r="AH399" s="12"/>
      <c r="AI399" s="12"/>
      <c r="AJ399" s="12" t="s">
        <v>11776</v>
      </c>
      <c r="AK399" s="13">
        <v>18600</v>
      </c>
      <c r="AL399" s="13"/>
      <c r="AM399" s="14">
        <f t="shared" si="6"/>
        <v>0</v>
      </c>
      <c r="AN399" s="12" t="s">
        <v>12004</v>
      </c>
    </row>
    <row r="400" spans="1:40" x14ac:dyDescent="0.25">
      <c r="A400" s="8">
        <v>399</v>
      </c>
      <c r="B400" s="9" t="s">
        <v>35</v>
      </c>
      <c r="C400" s="9" t="s">
        <v>4906</v>
      </c>
      <c r="D400" s="9" t="s">
        <v>37</v>
      </c>
      <c r="E400" s="9" t="s">
        <v>4907</v>
      </c>
      <c r="F400" s="9" t="s">
        <v>138</v>
      </c>
      <c r="G400" s="9" t="s">
        <v>4908</v>
      </c>
      <c r="H400" s="9" t="s">
        <v>48</v>
      </c>
      <c r="I400" s="9" t="s">
        <v>4909</v>
      </c>
      <c r="J400" s="9" t="s">
        <v>48</v>
      </c>
      <c r="K400" s="9" t="s">
        <v>4910</v>
      </c>
      <c r="L400" s="9">
        <v>1260000</v>
      </c>
      <c r="M400" s="9">
        <v>1800000</v>
      </c>
      <c r="N400" s="9" t="s">
        <v>4911</v>
      </c>
      <c r="O400" s="10">
        <v>45625</v>
      </c>
      <c r="P400" s="9" t="s">
        <v>4912</v>
      </c>
      <c r="Q400" s="9" t="s">
        <v>4913</v>
      </c>
      <c r="R400" s="9" t="s">
        <v>1215</v>
      </c>
      <c r="S400" s="9" t="s">
        <v>4914</v>
      </c>
      <c r="T400" s="9" t="s">
        <v>4915</v>
      </c>
      <c r="U400" s="9" t="s">
        <v>715</v>
      </c>
      <c r="V400" s="9" t="s">
        <v>3321</v>
      </c>
      <c r="W400" s="9" t="s">
        <v>532</v>
      </c>
      <c r="X400" s="9" t="s">
        <v>533</v>
      </c>
      <c r="Y400" s="9" t="s">
        <v>4916</v>
      </c>
      <c r="Z400" s="9">
        <v>5</v>
      </c>
      <c r="AA400" s="9" t="s">
        <v>55</v>
      </c>
      <c r="AB400" s="9" t="s">
        <v>4917</v>
      </c>
      <c r="AC400" s="9" t="s">
        <v>3321</v>
      </c>
      <c r="AD400" s="9" t="s">
        <v>58</v>
      </c>
      <c r="AE400" s="9">
        <v>1350000</v>
      </c>
      <c r="AF400" s="11">
        <v>27000</v>
      </c>
      <c r="AG400" s="9"/>
      <c r="AH400" s="9"/>
      <c r="AI400" s="9"/>
      <c r="AJ400" s="12" t="s">
        <v>11777</v>
      </c>
      <c r="AK400" s="13">
        <v>27000</v>
      </c>
      <c r="AL400" s="13"/>
      <c r="AM400" s="14">
        <f t="shared" si="6"/>
        <v>0</v>
      </c>
      <c r="AN400" s="12" t="s">
        <v>12004</v>
      </c>
    </row>
    <row r="401" spans="1:40" x14ac:dyDescent="0.25">
      <c r="A401" s="15">
        <v>400</v>
      </c>
      <c r="B401" s="12" t="s">
        <v>35</v>
      </c>
      <c r="C401" s="12" t="s">
        <v>4918</v>
      </c>
      <c r="D401" s="12" t="s">
        <v>37</v>
      </c>
      <c r="E401" s="12" t="s">
        <v>4919</v>
      </c>
      <c r="F401" s="12" t="s">
        <v>138</v>
      </c>
      <c r="G401" s="12" t="s">
        <v>4920</v>
      </c>
      <c r="H401" s="12" t="s">
        <v>4921</v>
      </c>
      <c r="I401" s="12" t="s">
        <v>4921</v>
      </c>
      <c r="J401" s="12" t="s">
        <v>141</v>
      </c>
      <c r="K401" s="12" t="s">
        <v>4922</v>
      </c>
      <c r="L401" s="12">
        <v>1400000</v>
      </c>
      <c r="M401" s="12">
        <v>2800000</v>
      </c>
      <c r="N401" s="12" t="s">
        <v>4923</v>
      </c>
      <c r="O401" s="12" t="s">
        <v>4853</v>
      </c>
      <c r="P401" s="12" t="s">
        <v>4924</v>
      </c>
      <c r="Q401" s="12" t="s">
        <v>4925</v>
      </c>
      <c r="R401" s="12" t="s">
        <v>146</v>
      </c>
      <c r="S401" s="12" t="s">
        <v>4926</v>
      </c>
      <c r="T401" s="12" t="s">
        <v>2994</v>
      </c>
      <c r="U401" s="12" t="s">
        <v>50</v>
      </c>
      <c r="V401" s="16">
        <v>45281</v>
      </c>
      <c r="W401" s="12" t="s">
        <v>4587</v>
      </c>
      <c r="X401" s="12" t="s">
        <v>4724</v>
      </c>
      <c r="Y401" s="12" t="s">
        <v>4927</v>
      </c>
      <c r="Z401" s="12">
        <v>5</v>
      </c>
      <c r="AA401" s="12" t="s">
        <v>55</v>
      </c>
      <c r="AB401" s="12" t="s">
        <v>4928</v>
      </c>
      <c r="AC401" s="12" t="s">
        <v>4587</v>
      </c>
      <c r="AD401" s="12" t="s">
        <v>86</v>
      </c>
      <c r="AE401" s="12">
        <v>2520000</v>
      </c>
      <c r="AF401" s="13">
        <v>44100</v>
      </c>
      <c r="AG401" s="12"/>
      <c r="AH401" s="12"/>
      <c r="AI401" s="12"/>
      <c r="AJ401" s="17" t="s">
        <v>11995</v>
      </c>
      <c r="AK401" s="13">
        <v>44100</v>
      </c>
      <c r="AL401" s="13"/>
      <c r="AM401" s="14">
        <f t="shared" si="6"/>
        <v>0</v>
      </c>
      <c r="AN401" s="12" t="s">
        <v>12004</v>
      </c>
    </row>
    <row r="402" spans="1:40" x14ac:dyDescent="0.25">
      <c r="A402" s="8">
        <v>401</v>
      </c>
      <c r="B402" s="9" t="s">
        <v>35</v>
      </c>
      <c r="C402" s="9" t="s">
        <v>4929</v>
      </c>
      <c r="D402" s="9" t="s">
        <v>37</v>
      </c>
      <c r="E402" s="9" t="s">
        <v>4930</v>
      </c>
      <c r="F402" s="9" t="s">
        <v>245</v>
      </c>
      <c r="G402" s="9" t="s">
        <v>4931</v>
      </c>
      <c r="H402" s="9" t="s">
        <v>48</v>
      </c>
      <c r="I402" s="9" t="s">
        <v>4932</v>
      </c>
      <c r="J402" s="9" t="s">
        <v>48</v>
      </c>
      <c r="K402" s="9" t="s">
        <v>4933</v>
      </c>
      <c r="L402" s="9">
        <v>1100000</v>
      </c>
      <c r="M402" s="9">
        <v>2000000</v>
      </c>
      <c r="N402" s="9" t="s">
        <v>4934</v>
      </c>
      <c r="O402" s="10">
        <v>45625</v>
      </c>
      <c r="P402" s="9" t="s">
        <v>4935</v>
      </c>
      <c r="Q402" s="9" t="s">
        <v>4936</v>
      </c>
      <c r="R402" s="9" t="s">
        <v>146</v>
      </c>
      <c r="S402" s="9" t="s">
        <v>4937</v>
      </c>
      <c r="T402" s="9" t="s">
        <v>2994</v>
      </c>
      <c r="U402" s="9" t="s">
        <v>98</v>
      </c>
      <c r="V402" s="9" t="s">
        <v>3368</v>
      </c>
      <c r="W402" s="9" t="s">
        <v>132</v>
      </c>
      <c r="X402" s="9" t="s">
        <v>533</v>
      </c>
      <c r="Y402" s="9" t="s">
        <v>4938</v>
      </c>
      <c r="Z402" s="9">
        <v>4</v>
      </c>
      <c r="AA402" s="9" t="s">
        <v>118</v>
      </c>
      <c r="AB402" s="9" t="s">
        <v>4939</v>
      </c>
      <c r="AC402" s="9" t="s">
        <v>3368</v>
      </c>
      <c r="AD402" s="9" t="s">
        <v>299</v>
      </c>
      <c r="AE402" s="9">
        <v>1600000</v>
      </c>
      <c r="AF402" s="11">
        <v>24000</v>
      </c>
      <c r="AG402" s="9"/>
      <c r="AH402" s="9"/>
      <c r="AI402" s="9"/>
      <c r="AJ402" s="12" t="s">
        <v>11778</v>
      </c>
      <c r="AK402" s="13">
        <v>24000</v>
      </c>
      <c r="AL402" s="13"/>
      <c r="AM402" s="14">
        <f t="shared" si="6"/>
        <v>0</v>
      </c>
      <c r="AN402" s="12" t="s">
        <v>12004</v>
      </c>
    </row>
    <row r="403" spans="1:40" x14ac:dyDescent="0.25">
      <c r="A403" s="15">
        <v>402</v>
      </c>
      <c r="B403" s="12" t="s">
        <v>35</v>
      </c>
      <c r="C403" s="12" t="s">
        <v>4940</v>
      </c>
      <c r="D403" s="12" t="s">
        <v>37</v>
      </c>
      <c r="E403" s="12" t="s">
        <v>4941</v>
      </c>
      <c r="F403" s="12" t="s">
        <v>138</v>
      </c>
      <c r="G403" s="12" t="s">
        <v>4942</v>
      </c>
      <c r="H403" s="12" t="s">
        <v>48</v>
      </c>
      <c r="I403" s="12" t="s">
        <v>4943</v>
      </c>
      <c r="J403" s="12" t="s">
        <v>4944</v>
      </c>
      <c r="K403" s="12" t="s">
        <v>4945</v>
      </c>
      <c r="L403" s="12">
        <v>2484000</v>
      </c>
      <c r="M403" s="12">
        <v>4600000</v>
      </c>
      <c r="N403" s="12" t="s">
        <v>4946</v>
      </c>
      <c r="O403" s="12" t="s">
        <v>4853</v>
      </c>
      <c r="P403" s="12" t="s">
        <v>4947</v>
      </c>
      <c r="Q403" s="12" t="s">
        <v>4948</v>
      </c>
      <c r="R403" s="12" t="s">
        <v>146</v>
      </c>
      <c r="S403" s="12" t="s">
        <v>4949</v>
      </c>
      <c r="T403" s="12" t="s">
        <v>1128</v>
      </c>
      <c r="U403" s="12" t="s">
        <v>614</v>
      </c>
      <c r="V403" s="16">
        <v>45280</v>
      </c>
      <c r="W403" s="12" t="s">
        <v>4587</v>
      </c>
      <c r="X403" s="12" t="s">
        <v>4588</v>
      </c>
      <c r="Y403" s="12" t="s">
        <v>4950</v>
      </c>
      <c r="Z403" s="12">
        <v>3</v>
      </c>
      <c r="AA403" s="12" t="s">
        <v>55</v>
      </c>
      <c r="AB403" s="12" t="s">
        <v>4951</v>
      </c>
      <c r="AC403" s="12" t="s">
        <v>4727</v>
      </c>
      <c r="AD403" s="12" t="s">
        <v>86</v>
      </c>
      <c r="AE403" s="12">
        <v>4140000</v>
      </c>
      <c r="AF403" s="13">
        <v>72450</v>
      </c>
      <c r="AG403" s="12"/>
      <c r="AH403" s="12"/>
      <c r="AI403" s="12"/>
      <c r="AJ403" s="12" t="s">
        <v>11779</v>
      </c>
      <c r="AK403" s="13">
        <v>72450</v>
      </c>
      <c r="AL403" s="13"/>
      <c r="AM403" s="14">
        <f t="shared" si="6"/>
        <v>0</v>
      </c>
      <c r="AN403" s="12" t="s">
        <v>12004</v>
      </c>
    </row>
    <row r="404" spans="1:40" x14ac:dyDescent="0.25">
      <c r="A404" s="8">
        <v>403</v>
      </c>
      <c r="B404" s="9" t="s">
        <v>35</v>
      </c>
      <c r="C404" s="9" t="s">
        <v>4952</v>
      </c>
      <c r="D404" s="9" t="s">
        <v>37</v>
      </c>
      <c r="E404" s="9" t="s">
        <v>4953</v>
      </c>
      <c r="F404" s="9" t="s">
        <v>138</v>
      </c>
      <c r="G404" s="9" t="s">
        <v>4954</v>
      </c>
      <c r="H404" s="9" t="s">
        <v>48</v>
      </c>
      <c r="I404" s="9" t="s">
        <v>4955</v>
      </c>
      <c r="J404" s="9" t="s">
        <v>48</v>
      </c>
      <c r="K404" s="9" t="s">
        <v>4956</v>
      </c>
      <c r="L404" s="9">
        <v>1380000</v>
      </c>
      <c r="M404" s="9">
        <v>2300000</v>
      </c>
      <c r="N404" s="9" t="s">
        <v>4957</v>
      </c>
      <c r="O404" s="10">
        <v>45625</v>
      </c>
      <c r="P404" s="9" t="s">
        <v>4958</v>
      </c>
      <c r="Q404" s="9" t="s">
        <v>4959</v>
      </c>
      <c r="R404" s="9" t="s">
        <v>146</v>
      </c>
      <c r="S404" s="9" t="s">
        <v>4960</v>
      </c>
      <c r="T404" s="9" t="s">
        <v>1141</v>
      </c>
      <c r="U404" s="9" t="s">
        <v>651</v>
      </c>
      <c r="V404" s="9" t="s">
        <v>3321</v>
      </c>
      <c r="W404" s="9" t="s">
        <v>532</v>
      </c>
      <c r="X404" s="9" t="s">
        <v>533</v>
      </c>
      <c r="Y404" s="9" t="s">
        <v>4961</v>
      </c>
      <c r="Z404" s="9">
        <v>5</v>
      </c>
      <c r="AA404" s="9" t="s">
        <v>55</v>
      </c>
      <c r="AB404" s="9" t="s">
        <v>4962</v>
      </c>
      <c r="AC404" s="9" t="s">
        <v>3321</v>
      </c>
      <c r="AD404" s="9" t="s">
        <v>58</v>
      </c>
      <c r="AE404" s="9">
        <v>1725000</v>
      </c>
      <c r="AF404" s="11">
        <v>34500</v>
      </c>
      <c r="AG404" s="9"/>
      <c r="AH404" s="9"/>
      <c r="AI404" s="9"/>
      <c r="AJ404" s="12" t="s">
        <v>11780</v>
      </c>
      <c r="AK404" s="13">
        <v>34500</v>
      </c>
      <c r="AL404" s="13"/>
      <c r="AM404" s="14">
        <f t="shared" si="6"/>
        <v>0</v>
      </c>
      <c r="AN404" s="12" t="s">
        <v>12004</v>
      </c>
    </row>
    <row r="405" spans="1:40" x14ac:dyDescent="0.25">
      <c r="A405" s="15">
        <v>404</v>
      </c>
      <c r="B405" s="12" t="s">
        <v>35</v>
      </c>
      <c r="C405" s="12" t="s">
        <v>4963</v>
      </c>
      <c r="D405" s="12" t="s">
        <v>37</v>
      </c>
      <c r="E405" s="12" t="s">
        <v>4964</v>
      </c>
      <c r="F405" s="12" t="s">
        <v>138</v>
      </c>
      <c r="G405" s="12" t="s">
        <v>4965</v>
      </c>
      <c r="H405" s="12" t="s">
        <v>141</v>
      </c>
      <c r="I405" s="12" t="s">
        <v>4966</v>
      </c>
      <c r="J405" s="12" t="s">
        <v>141</v>
      </c>
      <c r="K405" s="12" t="s">
        <v>4967</v>
      </c>
      <c r="L405" s="12">
        <v>1120000</v>
      </c>
      <c r="M405" s="12">
        <v>1750000</v>
      </c>
      <c r="N405" s="12" t="s">
        <v>4968</v>
      </c>
      <c r="O405" s="16">
        <v>45625</v>
      </c>
      <c r="P405" s="12" t="s">
        <v>4969</v>
      </c>
      <c r="Q405" s="12" t="s">
        <v>4970</v>
      </c>
      <c r="R405" s="12" t="s">
        <v>146</v>
      </c>
      <c r="S405" s="12" t="s">
        <v>4971</v>
      </c>
      <c r="T405" s="12" t="s">
        <v>613</v>
      </c>
      <c r="U405" s="12" t="s">
        <v>50</v>
      </c>
      <c r="V405" s="12" t="s">
        <v>4972</v>
      </c>
      <c r="W405" s="12" t="s">
        <v>132</v>
      </c>
      <c r="X405" s="12" t="s">
        <v>1638</v>
      </c>
      <c r="Y405" s="12" t="s">
        <v>4973</v>
      </c>
      <c r="Z405" s="12">
        <v>6</v>
      </c>
      <c r="AA405" s="12" t="s">
        <v>118</v>
      </c>
      <c r="AB405" s="12" t="s">
        <v>4974</v>
      </c>
      <c r="AC405" s="12" t="s">
        <v>3368</v>
      </c>
      <c r="AD405" s="12" t="s">
        <v>299</v>
      </c>
      <c r="AE405" s="12">
        <v>1400000</v>
      </c>
      <c r="AF405" s="13">
        <v>21000</v>
      </c>
      <c r="AG405" s="12"/>
      <c r="AH405" s="12"/>
      <c r="AI405" s="12"/>
      <c r="AJ405" s="12" t="s">
        <v>11781</v>
      </c>
      <c r="AK405" s="13">
        <v>21000</v>
      </c>
      <c r="AL405" s="13"/>
      <c r="AM405" s="14">
        <f t="shared" si="6"/>
        <v>0</v>
      </c>
      <c r="AN405" s="12" t="s">
        <v>12004</v>
      </c>
    </row>
    <row r="406" spans="1:40" x14ac:dyDescent="0.25">
      <c r="A406" s="8">
        <v>405</v>
      </c>
      <c r="B406" s="9" t="s">
        <v>35</v>
      </c>
      <c r="C406" s="9" t="s">
        <v>4975</v>
      </c>
      <c r="D406" s="9" t="s">
        <v>37</v>
      </c>
      <c r="E406" s="9" t="s">
        <v>4976</v>
      </c>
      <c r="F406" s="9" t="s">
        <v>107</v>
      </c>
      <c r="G406" s="9" t="s">
        <v>4977</v>
      </c>
      <c r="H406" s="9" t="s">
        <v>48</v>
      </c>
      <c r="I406" s="9" t="s">
        <v>4978</v>
      </c>
      <c r="J406" s="9" t="s">
        <v>48</v>
      </c>
      <c r="K406" s="9" t="s">
        <v>4979</v>
      </c>
      <c r="L406" s="9">
        <v>1172500</v>
      </c>
      <c r="M406" s="9">
        <v>1675000</v>
      </c>
      <c r="N406" s="9" t="s">
        <v>4980</v>
      </c>
      <c r="O406" s="10">
        <v>45625</v>
      </c>
      <c r="P406" s="9" t="s">
        <v>4981</v>
      </c>
      <c r="Q406" s="9" t="s">
        <v>4982</v>
      </c>
      <c r="R406" s="9" t="s">
        <v>146</v>
      </c>
      <c r="S406" s="9" t="s">
        <v>4983</v>
      </c>
      <c r="T406" s="9" t="s">
        <v>4984</v>
      </c>
      <c r="U406" s="9" t="s">
        <v>98</v>
      </c>
      <c r="V406" s="9" t="s">
        <v>3368</v>
      </c>
      <c r="W406" s="9" t="s">
        <v>132</v>
      </c>
      <c r="X406" s="9" t="s">
        <v>133</v>
      </c>
      <c r="Y406" s="9" t="s">
        <v>4985</v>
      </c>
      <c r="Z406" s="9">
        <v>5</v>
      </c>
      <c r="AA406" s="9" t="s">
        <v>118</v>
      </c>
      <c r="AB406" s="9" t="s">
        <v>4986</v>
      </c>
      <c r="AC406" s="9" t="s">
        <v>3368</v>
      </c>
      <c r="AD406" s="9" t="s">
        <v>299</v>
      </c>
      <c r="AE406" s="9">
        <v>1340000</v>
      </c>
      <c r="AF406" s="11">
        <v>20100</v>
      </c>
      <c r="AG406" s="9"/>
      <c r="AH406" s="9"/>
      <c r="AI406" s="9"/>
      <c r="AJ406" s="12" t="s">
        <v>11782</v>
      </c>
      <c r="AK406" s="13">
        <v>20100</v>
      </c>
      <c r="AL406" s="13"/>
      <c r="AM406" s="14">
        <f t="shared" si="6"/>
        <v>0</v>
      </c>
      <c r="AN406" s="12" t="s">
        <v>12004</v>
      </c>
    </row>
    <row r="407" spans="1:40" x14ac:dyDescent="0.25">
      <c r="A407" s="15">
        <v>406</v>
      </c>
      <c r="B407" s="12" t="s">
        <v>35</v>
      </c>
      <c r="C407" s="12" t="s">
        <v>4987</v>
      </c>
      <c r="D407" s="12" t="s">
        <v>37</v>
      </c>
      <c r="E407" s="12" t="s">
        <v>4988</v>
      </c>
      <c r="F407" s="12" t="s">
        <v>138</v>
      </c>
      <c r="G407" s="12" t="s">
        <v>4989</v>
      </c>
      <c r="H407" s="12" t="s">
        <v>631</v>
      </c>
      <c r="I407" s="12" t="s">
        <v>48</v>
      </c>
      <c r="J407" s="12" t="s">
        <v>48</v>
      </c>
      <c r="K407" s="12" t="s">
        <v>4990</v>
      </c>
      <c r="L407" s="12">
        <v>1190000</v>
      </c>
      <c r="M407" s="12">
        <v>1700000</v>
      </c>
      <c r="N407" s="12" t="s">
        <v>4991</v>
      </c>
      <c r="O407" s="16">
        <v>45625</v>
      </c>
      <c r="P407" s="12" t="s">
        <v>4992</v>
      </c>
      <c r="Q407" s="12" t="s">
        <v>4993</v>
      </c>
      <c r="R407" s="12" t="s">
        <v>146</v>
      </c>
      <c r="S407" s="12" t="s">
        <v>4994</v>
      </c>
      <c r="T407" s="12" t="s">
        <v>3132</v>
      </c>
      <c r="U407" s="12" t="s">
        <v>335</v>
      </c>
      <c r="V407" s="12" t="s">
        <v>3368</v>
      </c>
      <c r="W407" s="12" t="s">
        <v>132</v>
      </c>
      <c r="X407" s="12" t="s">
        <v>133</v>
      </c>
      <c r="Y407" s="12" t="s">
        <v>4995</v>
      </c>
      <c r="Z407" s="12">
        <v>5</v>
      </c>
      <c r="AA407" s="12" t="s">
        <v>118</v>
      </c>
      <c r="AB407" s="12" t="s">
        <v>4996</v>
      </c>
      <c r="AC407" s="12" t="s">
        <v>3368</v>
      </c>
      <c r="AD407" s="12" t="s">
        <v>299</v>
      </c>
      <c r="AE407" s="12">
        <v>1360000</v>
      </c>
      <c r="AF407" s="13">
        <v>20400</v>
      </c>
      <c r="AG407" s="12"/>
      <c r="AH407" s="12"/>
      <c r="AI407" s="12"/>
      <c r="AJ407" s="12" t="s">
        <v>11783</v>
      </c>
      <c r="AK407" s="13">
        <v>20400</v>
      </c>
      <c r="AL407" s="13"/>
      <c r="AM407" s="14">
        <f t="shared" si="6"/>
        <v>0</v>
      </c>
      <c r="AN407" s="12" t="s">
        <v>12004</v>
      </c>
    </row>
    <row r="408" spans="1:40" x14ac:dyDescent="0.25">
      <c r="A408" s="8">
        <v>407</v>
      </c>
      <c r="B408" s="9" t="s">
        <v>35</v>
      </c>
      <c r="C408" s="9" t="s">
        <v>4997</v>
      </c>
      <c r="D408" s="9" t="s">
        <v>37</v>
      </c>
      <c r="E408" s="9" t="s">
        <v>4998</v>
      </c>
      <c r="F408" s="9" t="s">
        <v>138</v>
      </c>
      <c r="G408" s="9" t="s">
        <v>4999</v>
      </c>
      <c r="H408" s="9" t="s">
        <v>5000</v>
      </c>
      <c r="I408" s="9" t="s">
        <v>5000</v>
      </c>
      <c r="J408" s="9" t="s">
        <v>5000</v>
      </c>
      <c r="K408" s="9" t="s">
        <v>5001</v>
      </c>
      <c r="L408" s="9">
        <v>1173000</v>
      </c>
      <c r="M408" s="9">
        <v>1700000</v>
      </c>
      <c r="N408" s="9" t="s">
        <v>5002</v>
      </c>
      <c r="O408" s="10">
        <v>45625</v>
      </c>
      <c r="P408" s="9" t="s">
        <v>5003</v>
      </c>
      <c r="Q408" s="9" t="s">
        <v>5004</v>
      </c>
      <c r="R408" s="9" t="s">
        <v>146</v>
      </c>
      <c r="S408" s="9" t="s">
        <v>48</v>
      </c>
      <c r="T408" s="9" t="s">
        <v>783</v>
      </c>
      <c r="U408" s="9" t="s">
        <v>98</v>
      </c>
      <c r="V408" s="9" t="s">
        <v>3368</v>
      </c>
      <c r="W408" s="9" t="s">
        <v>132</v>
      </c>
      <c r="X408" s="9" t="s">
        <v>1191</v>
      </c>
      <c r="Y408" s="9" t="s">
        <v>5005</v>
      </c>
      <c r="Z408" s="9">
        <v>7</v>
      </c>
      <c r="AA408" s="9" t="s">
        <v>118</v>
      </c>
      <c r="AB408" s="9" t="s">
        <v>5006</v>
      </c>
      <c r="AC408" s="9" t="s">
        <v>3368</v>
      </c>
      <c r="AD408" s="9" t="s">
        <v>299</v>
      </c>
      <c r="AE408" s="9">
        <v>1360000</v>
      </c>
      <c r="AF408" s="11">
        <v>20400</v>
      </c>
      <c r="AG408" s="9"/>
      <c r="AH408" s="9"/>
      <c r="AI408" s="9"/>
      <c r="AJ408" s="12" t="s">
        <v>11784</v>
      </c>
      <c r="AK408" s="13">
        <v>20400</v>
      </c>
      <c r="AL408" s="13"/>
      <c r="AM408" s="14">
        <f t="shared" si="6"/>
        <v>0</v>
      </c>
      <c r="AN408" s="12" t="s">
        <v>12004</v>
      </c>
    </row>
    <row r="409" spans="1:40" x14ac:dyDescent="0.25">
      <c r="A409" s="15">
        <v>408</v>
      </c>
      <c r="B409" s="12" t="s">
        <v>35</v>
      </c>
      <c r="C409" s="12" t="s">
        <v>5007</v>
      </c>
      <c r="D409" s="12" t="s">
        <v>37</v>
      </c>
      <c r="E409" s="12" t="s">
        <v>5008</v>
      </c>
      <c r="F409" s="12" t="s">
        <v>107</v>
      </c>
      <c r="G409" s="12" t="s">
        <v>5009</v>
      </c>
      <c r="H409" s="12" t="s">
        <v>48</v>
      </c>
      <c r="I409" s="12" t="s">
        <v>5010</v>
      </c>
      <c r="J409" s="12" t="s">
        <v>5011</v>
      </c>
      <c r="K409" s="12" t="s">
        <v>5012</v>
      </c>
      <c r="L409" s="12">
        <v>1225000</v>
      </c>
      <c r="M409" s="12">
        <v>1750000</v>
      </c>
      <c r="N409" s="12" t="s">
        <v>5013</v>
      </c>
      <c r="O409" s="16">
        <v>45625</v>
      </c>
      <c r="P409" s="12" t="s">
        <v>5014</v>
      </c>
      <c r="Q409" s="12" t="s">
        <v>5015</v>
      </c>
      <c r="R409" s="12" t="s">
        <v>146</v>
      </c>
      <c r="S409" s="12" t="s">
        <v>5016</v>
      </c>
      <c r="T409" s="12" t="s">
        <v>495</v>
      </c>
      <c r="U409" s="12" t="s">
        <v>651</v>
      </c>
      <c r="V409" s="12" t="s">
        <v>3368</v>
      </c>
      <c r="W409" s="12" t="s">
        <v>132</v>
      </c>
      <c r="X409" s="12" t="s">
        <v>133</v>
      </c>
      <c r="Y409" s="12" t="s">
        <v>5017</v>
      </c>
      <c r="Z409" s="12">
        <v>5</v>
      </c>
      <c r="AA409" s="12" t="s">
        <v>118</v>
      </c>
      <c r="AB409" s="12" t="s">
        <v>5018</v>
      </c>
      <c r="AC409" s="12" t="s">
        <v>3368</v>
      </c>
      <c r="AD409" s="12" t="s">
        <v>299</v>
      </c>
      <c r="AE409" s="12">
        <v>1400000</v>
      </c>
      <c r="AF409" s="13">
        <v>21000</v>
      </c>
      <c r="AG409" s="12"/>
      <c r="AH409" s="12"/>
      <c r="AI409" s="12"/>
      <c r="AJ409" s="12" t="s">
        <v>11785</v>
      </c>
      <c r="AK409" s="13">
        <v>21000</v>
      </c>
      <c r="AL409" s="13"/>
      <c r="AM409" s="14">
        <f t="shared" si="6"/>
        <v>0</v>
      </c>
      <c r="AN409" s="12" t="s">
        <v>12004</v>
      </c>
    </row>
    <row r="410" spans="1:40" x14ac:dyDescent="0.25">
      <c r="A410" s="8">
        <v>409</v>
      </c>
      <c r="B410" s="9" t="s">
        <v>35</v>
      </c>
      <c r="C410" s="9" t="s">
        <v>5019</v>
      </c>
      <c r="D410" s="9" t="s">
        <v>37</v>
      </c>
      <c r="E410" s="9" t="s">
        <v>5020</v>
      </c>
      <c r="F410" s="9" t="s">
        <v>107</v>
      </c>
      <c r="G410" s="9" t="s">
        <v>5021</v>
      </c>
      <c r="H410" s="9" t="s">
        <v>5022</v>
      </c>
      <c r="I410" s="9" t="s">
        <v>5023</v>
      </c>
      <c r="J410" s="9" t="s">
        <v>48</v>
      </c>
      <c r="K410" s="9" t="s">
        <v>5024</v>
      </c>
      <c r="L410" s="9">
        <v>1244400</v>
      </c>
      <c r="M410" s="9">
        <v>2074000</v>
      </c>
      <c r="N410" s="9" t="s">
        <v>5025</v>
      </c>
      <c r="O410" s="10">
        <v>45625</v>
      </c>
      <c r="P410" s="9" t="s">
        <v>5026</v>
      </c>
      <c r="Q410" s="9" t="s">
        <v>5027</v>
      </c>
      <c r="R410" s="9" t="s">
        <v>47</v>
      </c>
      <c r="S410" s="9" t="s">
        <v>48</v>
      </c>
      <c r="T410" s="9" t="s">
        <v>5028</v>
      </c>
      <c r="U410" s="9" t="s">
        <v>50</v>
      </c>
      <c r="V410" s="9" t="s">
        <v>5029</v>
      </c>
      <c r="W410" s="9" t="s">
        <v>132</v>
      </c>
      <c r="X410" s="9" t="s">
        <v>133</v>
      </c>
      <c r="Y410" s="9" t="s">
        <v>5030</v>
      </c>
      <c r="Z410" s="9">
        <v>5</v>
      </c>
      <c r="AA410" s="9" t="s">
        <v>55</v>
      </c>
      <c r="AB410" s="9" t="s">
        <v>5031</v>
      </c>
      <c r="AC410" s="9" t="s">
        <v>3368</v>
      </c>
      <c r="AD410" s="9" t="s">
        <v>58</v>
      </c>
      <c r="AE410" s="9">
        <v>1659200</v>
      </c>
      <c r="AF410" s="11">
        <v>33184</v>
      </c>
      <c r="AG410" s="9"/>
      <c r="AH410" s="9"/>
      <c r="AI410" s="9"/>
      <c r="AJ410" s="12" t="s">
        <v>11786</v>
      </c>
      <c r="AK410" s="13">
        <v>33184</v>
      </c>
      <c r="AL410" s="13"/>
      <c r="AM410" s="14">
        <f t="shared" si="6"/>
        <v>0</v>
      </c>
      <c r="AN410" s="12" t="s">
        <v>12004</v>
      </c>
    </row>
    <row r="411" spans="1:40" x14ac:dyDescent="0.25">
      <c r="A411" s="15">
        <v>410</v>
      </c>
      <c r="B411" s="12" t="s">
        <v>35</v>
      </c>
      <c r="C411" s="12" t="s">
        <v>5032</v>
      </c>
      <c r="D411" s="12" t="s">
        <v>37</v>
      </c>
      <c r="E411" s="12" t="s">
        <v>5033</v>
      </c>
      <c r="F411" s="12" t="s">
        <v>107</v>
      </c>
      <c r="G411" s="12" t="s">
        <v>5034</v>
      </c>
      <c r="H411" s="12" t="s">
        <v>5035</v>
      </c>
      <c r="I411" s="12" t="s">
        <v>5036</v>
      </c>
      <c r="J411" s="12" t="s">
        <v>48</v>
      </c>
      <c r="K411" s="12" t="s">
        <v>5037</v>
      </c>
      <c r="L411" s="12">
        <v>1251250</v>
      </c>
      <c r="M411" s="12">
        <v>1925000</v>
      </c>
      <c r="N411" s="12" t="s">
        <v>5038</v>
      </c>
      <c r="O411" s="16">
        <v>45625</v>
      </c>
      <c r="P411" s="12" t="s">
        <v>5039</v>
      </c>
      <c r="Q411" s="12" t="s">
        <v>5040</v>
      </c>
      <c r="R411" s="12" t="s">
        <v>146</v>
      </c>
      <c r="S411" s="12" t="s">
        <v>5041</v>
      </c>
      <c r="T411" s="12" t="s">
        <v>1651</v>
      </c>
      <c r="U411" s="12" t="s">
        <v>614</v>
      </c>
      <c r="V411" s="12" t="s">
        <v>3368</v>
      </c>
      <c r="W411" s="12" t="s">
        <v>132</v>
      </c>
      <c r="X411" s="12" t="s">
        <v>133</v>
      </c>
      <c r="Y411" s="12" t="s">
        <v>5042</v>
      </c>
      <c r="Z411" s="12">
        <v>5</v>
      </c>
      <c r="AA411" s="12" t="s">
        <v>118</v>
      </c>
      <c r="AB411" s="12" t="s">
        <v>5043</v>
      </c>
      <c r="AC411" s="12" t="s">
        <v>3368</v>
      </c>
      <c r="AD411" s="12" t="s">
        <v>299</v>
      </c>
      <c r="AE411" s="12">
        <v>1540000</v>
      </c>
      <c r="AF411" s="13">
        <v>23100</v>
      </c>
      <c r="AG411" s="12"/>
      <c r="AH411" s="12"/>
      <c r="AI411" s="12"/>
      <c r="AJ411" s="12" t="s">
        <v>11787</v>
      </c>
      <c r="AK411" s="13">
        <v>23100</v>
      </c>
      <c r="AL411" s="13"/>
      <c r="AM411" s="14">
        <f t="shared" si="6"/>
        <v>0</v>
      </c>
      <c r="AN411" s="12" t="s">
        <v>12004</v>
      </c>
    </row>
    <row r="412" spans="1:40" x14ac:dyDescent="0.25">
      <c r="A412" s="8">
        <v>411</v>
      </c>
      <c r="B412" s="9" t="s">
        <v>35</v>
      </c>
      <c r="C412" s="9" t="s">
        <v>5044</v>
      </c>
      <c r="D412" s="9" t="s">
        <v>37</v>
      </c>
      <c r="E412" s="9" t="s">
        <v>5045</v>
      </c>
      <c r="F412" s="9" t="s">
        <v>89</v>
      </c>
      <c r="G412" s="9" t="s">
        <v>5046</v>
      </c>
      <c r="H412" s="9" t="s">
        <v>5047</v>
      </c>
      <c r="I412" s="9" t="s">
        <v>48</v>
      </c>
      <c r="J412" s="9" t="s">
        <v>5048</v>
      </c>
      <c r="K412" s="9" t="s">
        <v>5049</v>
      </c>
      <c r="L412" s="9">
        <v>1277500</v>
      </c>
      <c r="M412" s="9">
        <v>1825000</v>
      </c>
      <c r="N412" s="9" t="s">
        <v>5050</v>
      </c>
      <c r="O412" s="10">
        <v>45625</v>
      </c>
      <c r="P412" s="9" t="s">
        <v>5051</v>
      </c>
      <c r="Q412" s="9" t="s">
        <v>5052</v>
      </c>
      <c r="R412" s="9" t="s">
        <v>146</v>
      </c>
      <c r="S412" s="9" t="s">
        <v>5053</v>
      </c>
      <c r="T412" s="9" t="s">
        <v>1323</v>
      </c>
      <c r="U412" s="9" t="s">
        <v>335</v>
      </c>
      <c r="V412" s="9" t="s">
        <v>3368</v>
      </c>
      <c r="W412" s="9" t="s">
        <v>132</v>
      </c>
      <c r="X412" s="9" t="s">
        <v>133</v>
      </c>
      <c r="Y412" s="9" t="s">
        <v>5054</v>
      </c>
      <c r="Z412" s="9">
        <v>5</v>
      </c>
      <c r="AA412" s="9" t="s">
        <v>118</v>
      </c>
      <c r="AB412" s="9" t="s">
        <v>5055</v>
      </c>
      <c r="AC412" s="9" t="s">
        <v>3368</v>
      </c>
      <c r="AD412" s="9" t="s">
        <v>299</v>
      </c>
      <c r="AE412" s="9">
        <v>1460000</v>
      </c>
      <c r="AF412" s="11">
        <v>21900</v>
      </c>
      <c r="AG412" s="9"/>
      <c r="AH412" s="9"/>
      <c r="AI412" s="9"/>
      <c r="AJ412" s="12" t="s">
        <v>11788</v>
      </c>
      <c r="AK412" s="13">
        <v>21900</v>
      </c>
      <c r="AL412" s="13"/>
      <c r="AM412" s="14">
        <f t="shared" si="6"/>
        <v>0</v>
      </c>
      <c r="AN412" s="12" t="s">
        <v>12004</v>
      </c>
    </row>
    <row r="413" spans="1:40" x14ac:dyDescent="0.25">
      <c r="A413" s="15">
        <v>412</v>
      </c>
      <c r="B413" s="12" t="s">
        <v>35</v>
      </c>
      <c r="C413" s="12" t="s">
        <v>5056</v>
      </c>
      <c r="D413" s="12" t="s">
        <v>37</v>
      </c>
      <c r="E413" s="12" t="s">
        <v>5057</v>
      </c>
      <c r="F413" s="12" t="s">
        <v>107</v>
      </c>
      <c r="G413" s="12" t="s">
        <v>5058</v>
      </c>
      <c r="H413" s="12" t="s">
        <v>5059</v>
      </c>
      <c r="I413" s="12" t="s">
        <v>5060</v>
      </c>
      <c r="J413" s="12" t="s">
        <v>48</v>
      </c>
      <c r="K413" s="12" t="s">
        <v>5061</v>
      </c>
      <c r="L413" s="12">
        <v>1296400</v>
      </c>
      <c r="M413" s="12">
        <v>1852000</v>
      </c>
      <c r="N413" s="12" t="s">
        <v>5062</v>
      </c>
      <c r="O413" s="16">
        <v>45625</v>
      </c>
      <c r="P413" s="12" t="s">
        <v>5063</v>
      </c>
      <c r="Q413" s="12" t="s">
        <v>5064</v>
      </c>
      <c r="R413" s="12" t="s">
        <v>47</v>
      </c>
      <c r="S413" s="12" t="s">
        <v>48</v>
      </c>
      <c r="T413" s="12" t="s">
        <v>3356</v>
      </c>
      <c r="U413" s="12" t="s">
        <v>50</v>
      </c>
      <c r="V413" s="12" t="s">
        <v>4972</v>
      </c>
      <c r="W413" s="12" t="s">
        <v>132</v>
      </c>
      <c r="X413" s="12" t="s">
        <v>133</v>
      </c>
      <c r="Y413" s="12" t="s">
        <v>5065</v>
      </c>
      <c r="Z413" s="12">
        <v>5</v>
      </c>
      <c r="AA413" s="12" t="s">
        <v>118</v>
      </c>
      <c r="AB413" s="12" t="s">
        <v>5066</v>
      </c>
      <c r="AC413" s="12" t="s">
        <v>3368</v>
      </c>
      <c r="AD413" s="12" t="s">
        <v>58</v>
      </c>
      <c r="AE413" s="12">
        <v>1481600</v>
      </c>
      <c r="AF413" s="13">
        <v>29632</v>
      </c>
      <c r="AG413" s="12"/>
      <c r="AH413" s="12"/>
      <c r="AI413" s="12"/>
      <c r="AJ413" s="12" t="s">
        <v>11789</v>
      </c>
      <c r="AK413" s="13">
        <v>29632</v>
      </c>
      <c r="AL413" s="13"/>
      <c r="AM413" s="14">
        <f t="shared" si="6"/>
        <v>0</v>
      </c>
      <c r="AN413" s="12" t="s">
        <v>12004</v>
      </c>
    </row>
    <row r="414" spans="1:40" x14ac:dyDescent="0.25">
      <c r="A414" s="8">
        <v>413</v>
      </c>
      <c r="B414" s="9" t="s">
        <v>35</v>
      </c>
      <c r="C414" s="9" t="s">
        <v>5067</v>
      </c>
      <c r="D414" s="9" t="s">
        <v>37</v>
      </c>
      <c r="E414" s="9" t="s">
        <v>5068</v>
      </c>
      <c r="F414" s="9" t="s">
        <v>5069</v>
      </c>
      <c r="G414" s="9" t="s">
        <v>5070</v>
      </c>
      <c r="H414" s="9" t="s">
        <v>5071</v>
      </c>
      <c r="I414" s="9" t="s">
        <v>5071</v>
      </c>
      <c r="J414" s="9" t="s">
        <v>5071</v>
      </c>
      <c r="K414" s="9" t="s">
        <v>5072</v>
      </c>
      <c r="L414" s="9">
        <v>1330000</v>
      </c>
      <c r="M414" s="9">
        <v>1900000</v>
      </c>
      <c r="N414" s="9" t="s">
        <v>5073</v>
      </c>
      <c r="O414" s="10">
        <v>45625</v>
      </c>
      <c r="P414" s="9" t="s">
        <v>5074</v>
      </c>
      <c r="Q414" s="9" t="s">
        <v>5075</v>
      </c>
      <c r="R414" s="9" t="s">
        <v>146</v>
      </c>
      <c r="S414" s="9" t="s">
        <v>5076</v>
      </c>
      <c r="T414" s="9" t="s">
        <v>1323</v>
      </c>
      <c r="U414" s="9" t="s">
        <v>98</v>
      </c>
      <c r="V414" s="9" t="s">
        <v>3368</v>
      </c>
      <c r="W414" s="9" t="s">
        <v>132</v>
      </c>
      <c r="X414" s="9" t="s">
        <v>1638</v>
      </c>
      <c r="Y414" s="9" t="s">
        <v>5077</v>
      </c>
      <c r="Z414" s="9">
        <v>6</v>
      </c>
      <c r="AA414" s="9" t="s">
        <v>118</v>
      </c>
      <c r="AB414" s="9" t="s">
        <v>5078</v>
      </c>
      <c r="AC414" s="9" t="s">
        <v>3368</v>
      </c>
      <c r="AD414" s="9" t="s">
        <v>299</v>
      </c>
      <c r="AE414" s="9">
        <v>1520000</v>
      </c>
      <c r="AF414" s="11">
        <v>22800</v>
      </c>
      <c r="AG414" s="9"/>
      <c r="AH414" s="9"/>
      <c r="AI414" s="9"/>
      <c r="AJ414" s="12" t="s">
        <v>11790</v>
      </c>
      <c r="AK414" s="13">
        <v>22800</v>
      </c>
      <c r="AL414" s="13"/>
      <c r="AM414" s="14">
        <f t="shared" si="6"/>
        <v>0</v>
      </c>
      <c r="AN414" s="12" t="s">
        <v>12004</v>
      </c>
    </row>
    <row r="415" spans="1:40" x14ac:dyDescent="0.25">
      <c r="A415" s="15">
        <v>414</v>
      </c>
      <c r="B415" s="12" t="s">
        <v>35</v>
      </c>
      <c r="C415" s="12" t="s">
        <v>5079</v>
      </c>
      <c r="D415" s="12" t="s">
        <v>37</v>
      </c>
      <c r="E415" s="12" t="s">
        <v>5080</v>
      </c>
      <c r="F415" s="12" t="s">
        <v>138</v>
      </c>
      <c r="G415" s="12" t="s">
        <v>5081</v>
      </c>
      <c r="H415" s="12" t="s">
        <v>48</v>
      </c>
      <c r="I415" s="12" t="s">
        <v>5082</v>
      </c>
      <c r="J415" s="12" t="s">
        <v>48</v>
      </c>
      <c r="K415" s="12" t="s">
        <v>5083</v>
      </c>
      <c r="L415" s="12">
        <v>1319500</v>
      </c>
      <c r="M415" s="12">
        <v>1885000</v>
      </c>
      <c r="N415" s="12" t="s">
        <v>5084</v>
      </c>
      <c r="O415" s="16">
        <v>45625</v>
      </c>
      <c r="P415" s="12" t="s">
        <v>5085</v>
      </c>
      <c r="Q415" s="12" t="s">
        <v>5086</v>
      </c>
      <c r="R415" s="12" t="s">
        <v>146</v>
      </c>
      <c r="S415" s="12" t="s">
        <v>5087</v>
      </c>
      <c r="T415" s="12" t="s">
        <v>1323</v>
      </c>
      <c r="U415" s="12" t="s">
        <v>496</v>
      </c>
      <c r="V415" s="12" t="s">
        <v>3368</v>
      </c>
      <c r="W415" s="12" t="s">
        <v>132</v>
      </c>
      <c r="X415" s="12" t="s">
        <v>1191</v>
      </c>
      <c r="Y415" s="12" t="s">
        <v>5088</v>
      </c>
      <c r="Z415" s="12">
        <v>7</v>
      </c>
      <c r="AA415" s="12" t="s">
        <v>118</v>
      </c>
      <c r="AB415" s="12" t="s">
        <v>5089</v>
      </c>
      <c r="AC415" s="12" t="s">
        <v>3368</v>
      </c>
      <c r="AD415" s="12" t="s">
        <v>299</v>
      </c>
      <c r="AE415" s="12">
        <v>1508000</v>
      </c>
      <c r="AF415" s="13">
        <v>22620</v>
      </c>
      <c r="AG415" s="12"/>
      <c r="AH415" s="12"/>
      <c r="AI415" s="12"/>
      <c r="AJ415" s="12" t="s">
        <v>11791</v>
      </c>
      <c r="AK415" s="13">
        <v>22620</v>
      </c>
      <c r="AL415" s="13"/>
      <c r="AM415" s="14">
        <f t="shared" si="6"/>
        <v>0</v>
      </c>
      <c r="AN415" s="12" t="s">
        <v>12004</v>
      </c>
    </row>
    <row r="416" spans="1:40" x14ac:dyDescent="0.25">
      <c r="A416" s="8">
        <v>415</v>
      </c>
      <c r="B416" s="9" t="s">
        <v>35</v>
      </c>
      <c r="C416" s="9" t="s">
        <v>5090</v>
      </c>
      <c r="D416" s="9" t="s">
        <v>37</v>
      </c>
      <c r="E416" s="9" t="s">
        <v>5091</v>
      </c>
      <c r="F416" s="9" t="s">
        <v>138</v>
      </c>
      <c r="G416" s="9" t="s">
        <v>5092</v>
      </c>
      <c r="H416" s="9" t="s">
        <v>5093</v>
      </c>
      <c r="I416" s="9" t="s">
        <v>48</v>
      </c>
      <c r="J416" s="9" t="s">
        <v>48</v>
      </c>
      <c r="K416" s="9" t="s">
        <v>5094</v>
      </c>
      <c r="L416" s="9">
        <v>1408500</v>
      </c>
      <c r="M416" s="9">
        <v>2817000</v>
      </c>
      <c r="N416" s="9" t="s">
        <v>5095</v>
      </c>
      <c r="O416" s="10">
        <v>45625</v>
      </c>
      <c r="P416" s="9" t="s">
        <v>5096</v>
      </c>
      <c r="Q416" s="9" t="s">
        <v>5097</v>
      </c>
      <c r="R416" s="9" t="s">
        <v>47</v>
      </c>
      <c r="S416" s="9" t="s">
        <v>48</v>
      </c>
      <c r="T416" s="9" t="s">
        <v>495</v>
      </c>
      <c r="U416" s="9" t="s">
        <v>50</v>
      </c>
      <c r="V416" s="9" t="s">
        <v>4972</v>
      </c>
      <c r="W416" s="9" t="s">
        <v>132</v>
      </c>
      <c r="X416" s="9" t="s">
        <v>533</v>
      </c>
      <c r="Y416" s="9" t="s">
        <v>5098</v>
      </c>
      <c r="Z416" s="9">
        <v>4</v>
      </c>
      <c r="AA416" s="9" t="s">
        <v>118</v>
      </c>
      <c r="AB416" s="9" t="s">
        <v>5099</v>
      </c>
      <c r="AC416" s="9" t="s">
        <v>3368</v>
      </c>
      <c r="AD416" s="9" t="s">
        <v>58</v>
      </c>
      <c r="AE416" s="9">
        <v>2253600</v>
      </c>
      <c r="AF416" s="11">
        <v>45072</v>
      </c>
      <c r="AG416" s="9"/>
      <c r="AH416" s="9"/>
      <c r="AI416" s="9"/>
      <c r="AJ416" s="12" t="s">
        <v>11792</v>
      </c>
      <c r="AK416" s="13">
        <v>45072</v>
      </c>
      <c r="AL416" s="13"/>
      <c r="AM416" s="14">
        <f t="shared" si="6"/>
        <v>0</v>
      </c>
      <c r="AN416" s="12" t="s">
        <v>12004</v>
      </c>
    </row>
    <row r="417" spans="1:40" x14ac:dyDescent="0.25">
      <c r="A417" s="15">
        <v>416</v>
      </c>
      <c r="B417" s="12" t="s">
        <v>35</v>
      </c>
      <c r="C417" s="12" t="s">
        <v>5100</v>
      </c>
      <c r="D417" s="12" t="s">
        <v>37</v>
      </c>
      <c r="E417" s="12" t="s">
        <v>5101</v>
      </c>
      <c r="F417" s="12" t="s">
        <v>138</v>
      </c>
      <c r="G417" s="12" t="s">
        <v>5102</v>
      </c>
      <c r="H417" s="12" t="s">
        <v>48</v>
      </c>
      <c r="I417" s="12" t="s">
        <v>5103</v>
      </c>
      <c r="J417" s="12" t="s">
        <v>48</v>
      </c>
      <c r="K417" s="12" t="s">
        <v>5104</v>
      </c>
      <c r="L417" s="12">
        <v>2030000</v>
      </c>
      <c r="M417" s="12">
        <v>2900000</v>
      </c>
      <c r="N417" s="12" t="s">
        <v>5105</v>
      </c>
      <c r="O417" s="12" t="s">
        <v>4853</v>
      </c>
      <c r="P417" s="12" t="s">
        <v>5106</v>
      </c>
      <c r="Q417" s="12" t="s">
        <v>5107</v>
      </c>
      <c r="R417" s="12" t="s">
        <v>146</v>
      </c>
      <c r="S417" s="12" t="s">
        <v>5108</v>
      </c>
      <c r="T417" s="12" t="s">
        <v>3282</v>
      </c>
      <c r="U417" s="12" t="s">
        <v>614</v>
      </c>
      <c r="V417" s="16">
        <v>45280</v>
      </c>
      <c r="W417" s="12" t="s">
        <v>4587</v>
      </c>
      <c r="X417" s="12" t="s">
        <v>4724</v>
      </c>
      <c r="Y417" s="12" t="s">
        <v>5109</v>
      </c>
      <c r="Z417" s="12">
        <v>5</v>
      </c>
      <c r="AA417" s="12" t="s">
        <v>55</v>
      </c>
      <c r="AB417" s="12" t="s">
        <v>5110</v>
      </c>
      <c r="AC417" s="12" t="s">
        <v>5111</v>
      </c>
      <c r="AD417" s="12" t="s">
        <v>86</v>
      </c>
      <c r="AE417" s="12">
        <v>2610000</v>
      </c>
      <c r="AF417" s="13">
        <v>45675</v>
      </c>
      <c r="AG417" s="12"/>
      <c r="AH417" s="12"/>
      <c r="AI417" s="12"/>
      <c r="AJ417" s="12" t="s">
        <v>11793</v>
      </c>
      <c r="AK417" s="13">
        <v>45675</v>
      </c>
      <c r="AL417" s="13"/>
      <c r="AM417" s="14">
        <f t="shared" si="6"/>
        <v>0</v>
      </c>
      <c r="AN417" s="12" t="s">
        <v>12004</v>
      </c>
    </row>
    <row r="418" spans="1:40" x14ac:dyDescent="0.25">
      <c r="A418" s="8">
        <v>417</v>
      </c>
      <c r="B418" s="9" t="s">
        <v>35</v>
      </c>
      <c r="C418" s="9" t="s">
        <v>5112</v>
      </c>
      <c r="D418" s="9" t="s">
        <v>37</v>
      </c>
      <c r="E418" s="9" t="s">
        <v>2350</v>
      </c>
      <c r="F418" s="9" t="s">
        <v>39</v>
      </c>
      <c r="G418" s="9" t="s">
        <v>5113</v>
      </c>
      <c r="H418" s="9" t="s">
        <v>5114</v>
      </c>
      <c r="I418" s="9" t="s">
        <v>5115</v>
      </c>
      <c r="J418" s="9" t="s">
        <v>5116</v>
      </c>
      <c r="K418" s="9" t="s">
        <v>5117</v>
      </c>
      <c r="L418" s="9">
        <v>1466500</v>
      </c>
      <c r="M418" s="9">
        <v>2933000</v>
      </c>
      <c r="N418" s="9" t="s">
        <v>5118</v>
      </c>
      <c r="O418" s="10">
        <v>45625</v>
      </c>
      <c r="P418" s="9" t="s">
        <v>5119</v>
      </c>
      <c r="Q418" s="9" t="s">
        <v>5120</v>
      </c>
      <c r="R418" s="9" t="s">
        <v>47</v>
      </c>
      <c r="S418" s="9" t="s">
        <v>48</v>
      </c>
      <c r="T418" s="9" t="s">
        <v>2357</v>
      </c>
      <c r="U418" s="9" t="s">
        <v>50</v>
      </c>
      <c r="V418" s="9" t="s">
        <v>2717</v>
      </c>
      <c r="W418" s="9" t="s">
        <v>132</v>
      </c>
      <c r="X418" s="9" t="s">
        <v>133</v>
      </c>
      <c r="Y418" s="9" t="s">
        <v>5121</v>
      </c>
      <c r="Z418" s="9">
        <v>5</v>
      </c>
      <c r="AA418" s="9" t="s">
        <v>55</v>
      </c>
      <c r="AB418" s="9" t="s">
        <v>5122</v>
      </c>
      <c r="AC418" s="9" t="s">
        <v>3368</v>
      </c>
      <c r="AD418" s="9" t="s">
        <v>58</v>
      </c>
      <c r="AE418" s="9">
        <v>2346400</v>
      </c>
      <c r="AF418" s="11">
        <v>46928</v>
      </c>
      <c r="AG418" s="9"/>
      <c r="AH418" s="9"/>
      <c r="AI418" s="9"/>
      <c r="AJ418" s="12" t="s">
        <v>11794</v>
      </c>
      <c r="AK418" s="13">
        <v>46928</v>
      </c>
      <c r="AL418" s="13"/>
      <c r="AM418" s="14">
        <f t="shared" si="6"/>
        <v>0</v>
      </c>
      <c r="AN418" s="12" t="s">
        <v>12004</v>
      </c>
    </row>
    <row r="419" spans="1:40" x14ac:dyDescent="0.25">
      <c r="A419" s="15">
        <v>418</v>
      </c>
      <c r="B419" s="12" t="s">
        <v>35</v>
      </c>
      <c r="C419" s="12" t="s">
        <v>5123</v>
      </c>
      <c r="D419" s="12" t="s">
        <v>37</v>
      </c>
      <c r="E419" s="12" t="s">
        <v>5124</v>
      </c>
      <c r="F419" s="12" t="s">
        <v>245</v>
      </c>
      <c r="G419" s="12" t="s">
        <v>5125</v>
      </c>
      <c r="H419" s="12" t="s">
        <v>48</v>
      </c>
      <c r="I419" s="12" t="s">
        <v>5126</v>
      </c>
      <c r="J419" s="12" t="s">
        <v>48</v>
      </c>
      <c r="K419" s="12" t="s">
        <v>5127</v>
      </c>
      <c r="L419" s="12">
        <v>3196000</v>
      </c>
      <c r="M419" s="12">
        <v>3760000</v>
      </c>
      <c r="N419" s="12" t="s">
        <v>5128</v>
      </c>
      <c r="O419" s="16">
        <v>45644</v>
      </c>
      <c r="P419" s="12" t="s">
        <v>5129</v>
      </c>
      <c r="Q419" s="12" t="s">
        <v>5130</v>
      </c>
      <c r="R419" s="12" t="s">
        <v>858</v>
      </c>
      <c r="S419" s="12" t="s">
        <v>48</v>
      </c>
      <c r="T419" s="12" t="s">
        <v>5131</v>
      </c>
      <c r="U419" s="12" t="s">
        <v>148</v>
      </c>
      <c r="V419" s="16">
        <v>44917</v>
      </c>
      <c r="W419" s="12" t="s">
        <v>3988</v>
      </c>
      <c r="X419" s="12" t="s">
        <v>5132</v>
      </c>
      <c r="Y419" s="12" t="s">
        <v>5133</v>
      </c>
      <c r="Z419" s="12">
        <v>7</v>
      </c>
      <c r="AA419" s="12" t="s">
        <v>323</v>
      </c>
      <c r="AB419" s="12" t="s">
        <v>5134</v>
      </c>
      <c r="AC419" s="12" t="s">
        <v>5135</v>
      </c>
      <c r="AD419" s="12" t="s">
        <v>943</v>
      </c>
      <c r="AE419" s="12">
        <v>3196000</v>
      </c>
      <c r="AF419" s="13">
        <v>44744</v>
      </c>
      <c r="AG419" s="12"/>
      <c r="AH419" s="12"/>
      <c r="AI419" s="12"/>
      <c r="AJ419" s="12" t="s">
        <v>11795</v>
      </c>
      <c r="AK419" s="13">
        <v>44744</v>
      </c>
      <c r="AL419" s="13"/>
      <c r="AM419" s="14">
        <f t="shared" si="6"/>
        <v>0</v>
      </c>
      <c r="AN419" s="12" t="s">
        <v>12004</v>
      </c>
    </row>
    <row r="420" spans="1:40" x14ac:dyDescent="0.25">
      <c r="A420" s="8">
        <v>419</v>
      </c>
      <c r="B420" s="9" t="s">
        <v>35</v>
      </c>
      <c r="C420" s="9" t="s">
        <v>5136</v>
      </c>
      <c r="D420" s="9" t="s">
        <v>37</v>
      </c>
      <c r="E420" s="9" t="s">
        <v>5137</v>
      </c>
      <c r="F420" s="9" t="s">
        <v>138</v>
      </c>
      <c r="G420" s="9" t="s">
        <v>5138</v>
      </c>
      <c r="H420" s="9" t="s">
        <v>5139</v>
      </c>
      <c r="I420" s="9" t="s">
        <v>5140</v>
      </c>
      <c r="J420" s="9" t="s">
        <v>5141</v>
      </c>
      <c r="K420" s="9" t="s">
        <v>5142</v>
      </c>
      <c r="L420" s="9">
        <v>3201950</v>
      </c>
      <c r="M420" s="9">
        <v>3767000</v>
      </c>
      <c r="N420" s="9" t="s">
        <v>5143</v>
      </c>
      <c r="O420" s="10">
        <v>45644</v>
      </c>
      <c r="P420" s="9" t="s">
        <v>5144</v>
      </c>
      <c r="Q420" s="9" t="s">
        <v>5145</v>
      </c>
      <c r="R420" s="9" t="s">
        <v>47</v>
      </c>
      <c r="S420" s="9" t="s">
        <v>48</v>
      </c>
      <c r="T420" s="9" t="s">
        <v>97</v>
      </c>
      <c r="U420" s="9" t="s">
        <v>614</v>
      </c>
      <c r="V420" s="10">
        <v>43822</v>
      </c>
      <c r="W420" s="9" t="s">
        <v>4031</v>
      </c>
      <c r="X420" s="9" t="s">
        <v>4016</v>
      </c>
      <c r="Y420" s="9" t="s">
        <v>5146</v>
      </c>
      <c r="Z420" s="9">
        <v>7</v>
      </c>
      <c r="AA420" s="9" t="s">
        <v>227</v>
      </c>
      <c r="AB420" s="9" t="s">
        <v>5147</v>
      </c>
      <c r="AC420" s="9" t="s">
        <v>5148</v>
      </c>
      <c r="AD420" s="9" t="s">
        <v>171</v>
      </c>
      <c r="AE420" s="9">
        <v>2636900</v>
      </c>
      <c r="AF420" s="11">
        <v>65923</v>
      </c>
      <c r="AG420" s="9"/>
      <c r="AH420" s="9"/>
      <c r="AI420" s="9"/>
      <c r="AJ420" s="12" t="s">
        <v>11796</v>
      </c>
      <c r="AK420" s="13">
        <v>65923</v>
      </c>
      <c r="AL420" s="13"/>
      <c r="AM420" s="14">
        <f t="shared" si="6"/>
        <v>0</v>
      </c>
      <c r="AN420" s="12" t="s">
        <v>12004</v>
      </c>
    </row>
    <row r="421" spans="1:40" x14ac:dyDescent="0.25">
      <c r="A421" s="15">
        <v>420</v>
      </c>
      <c r="B421" s="12" t="s">
        <v>35</v>
      </c>
      <c r="C421" s="12" t="s">
        <v>5149</v>
      </c>
      <c r="D421" s="12" t="s">
        <v>37</v>
      </c>
      <c r="E421" s="12" t="s">
        <v>5150</v>
      </c>
      <c r="F421" s="12" t="s">
        <v>290</v>
      </c>
      <c r="G421" s="12" t="s">
        <v>5151</v>
      </c>
      <c r="H421" s="12" t="s">
        <v>5152</v>
      </c>
      <c r="I421" s="12" t="s">
        <v>5152</v>
      </c>
      <c r="J421" s="12" t="s">
        <v>5152</v>
      </c>
      <c r="K421" s="12" t="s">
        <v>5153</v>
      </c>
      <c r="L421" s="12">
        <v>1394000</v>
      </c>
      <c r="M421" s="12">
        <v>1640000</v>
      </c>
      <c r="N421" s="12" t="s">
        <v>5154</v>
      </c>
      <c r="O421" s="16">
        <v>45644</v>
      </c>
      <c r="P421" s="12" t="s">
        <v>5155</v>
      </c>
      <c r="Q421" s="12" t="s">
        <v>5156</v>
      </c>
      <c r="R421" s="12" t="s">
        <v>47</v>
      </c>
      <c r="S421" s="12" t="s">
        <v>48</v>
      </c>
      <c r="T421" s="12" t="s">
        <v>321</v>
      </c>
      <c r="U421" s="12" t="s">
        <v>50</v>
      </c>
      <c r="V421" s="16">
        <v>44250</v>
      </c>
      <c r="W421" s="12" t="s">
        <v>1684</v>
      </c>
      <c r="X421" s="12" t="s">
        <v>5157</v>
      </c>
      <c r="Y421" s="12" t="s">
        <v>5158</v>
      </c>
      <c r="Z421" s="12">
        <v>7</v>
      </c>
      <c r="AA421" s="12" t="s">
        <v>227</v>
      </c>
      <c r="AB421" s="12" t="s">
        <v>5159</v>
      </c>
      <c r="AC421" s="12" t="s">
        <v>5160</v>
      </c>
      <c r="AD421" s="12" t="s">
        <v>58</v>
      </c>
      <c r="AE421" s="12">
        <v>1312000</v>
      </c>
      <c r="AF421" s="13">
        <v>26240</v>
      </c>
      <c r="AG421" s="12"/>
      <c r="AH421" s="12"/>
      <c r="AI421" s="12"/>
      <c r="AJ421" s="12" t="s">
        <v>11797</v>
      </c>
      <c r="AK421" s="13">
        <v>26240</v>
      </c>
      <c r="AL421" s="13"/>
      <c r="AM421" s="14">
        <f t="shared" si="6"/>
        <v>0</v>
      </c>
      <c r="AN421" s="12" t="s">
        <v>12004</v>
      </c>
    </row>
    <row r="422" spans="1:40" x14ac:dyDescent="0.25">
      <c r="A422" s="8">
        <v>421</v>
      </c>
      <c r="B422" s="9" t="s">
        <v>35</v>
      </c>
      <c r="C422" s="9" t="s">
        <v>5161</v>
      </c>
      <c r="D422" s="9" t="s">
        <v>37</v>
      </c>
      <c r="E422" s="9" t="s">
        <v>5162</v>
      </c>
      <c r="F422" s="9" t="s">
        <v>39</v>
      </c>
      <c r="G422" s="9" t="s">
        <v>5163</v>
      </c>
      <c r="H422" s="9" t="s">
        <v>5164</v>
      </c>
      <c r="I422" s="9" t="s">
        <v>5165</v>
      </c>
      <c r="J422" s="9" t="s">
        <v>5164</v>
      </c>
      <c r="K422" s="9" t="s">
        <v>5166</v>
      </c>
      <c r="L422" s="9">
        <v>1575000</v>
      </c>
      <c r="M422" s="9">
        <v>2250000</v>
      </c>
      <c r="N422" s="9" t="s">
        <v>5167</v>
      </c>
      <c r="O422" s="10">
        <v>45625</v>
      </c>
      <c r="P422" s="9" t="s">
        <v>5168</v>
      </c>
      <c r="Q422" s="9" t="s">
        <v>5169</v>
      </c>
      <c r="R422" s="9" t="s">
        <v>146</v>
      </c>
      <c r="S422" s="9" t="s">
        <v>5170</v>
      </c>
      <c r="T422" s="9" t="s">
        <v>5171</v>
      </c>
      <c r="U422" s="9" t="s">
        <v>496</v>
      </c>
      <c r="V422" s="9" t="s">
        <v>3368</v>
      </c>
      <c r="W422" s="9" t="s">
        <v>132</v>
      </c>
      <c r="X422" s="9" t="s">
        <v>133</v>
      </c>
      <c r="Y422" s="9" t="s">
        <v>5172</v>
      </c>
      <c r="Z422" s="9">
        <v>5</v>
      </c>
      <c r="AA422" s="9" t="s">
        <v>118</v>
      </c>
      <c r="AB422" s="9" t="s">
        <v>5173</v>
      </c>
      <c r="AC422" s="9" t="s">
        <v>3368</v>
      </c>
      <c r="AD422" s="9" t="s">
        <v>299</v>
      </c>
      <c r="AE422" s="9">
        <v>1800000</v>
      </c>
      <c r="AF422" s="11">
        <v>27000</v>
      </c>
      <c r="AG422" s="9"/>
      <c r="AH422" s="9"/>
      <c r="AI422" s="9"/>
      <c r="AJ422" s="12" t="s">
        <v>11798</v>
      </c>
      <c r="AK422" s="13">
        <v>27000</v>
      </c>
      <c r="AL422" s="13"/>
      <c r="AM422" s="14">
        <f t="shared" si="6"/>
        <v>0</v>
      </c>
      <c r="AN422" s="12" t="s">
        <v>12004</v>
      </c>
    </row>
    <row r="423" spans="1:40" x14ac:dyDescent="0.25">
      <c r="A423" s="15">
        <v>422</v>
      </c>
      <c r="B423" s="12" t="s">
        <v>35</v>
      </c>
      <c r="C423" s="12" t="s">
        <v>5174</v>
      </c>
      <c r="D423" s="12" t="s">
        <v>37</v>
      </c>
      <c r="E423" s="12" t="s">
        <v>5175</v>
      </c>
      <c r="F423" s="12" t="s">
        <v>138</v>
      </c>
      <c r="G423" s="12" t="s">
        <v>5176</v>
      </c>
      <c r="H423" s="12" t="s">
        <v>5177</v>
      </c>
      <c r="I423" s="12" t="s">
        <v>5177</v>
      </c>
      <c r="J423" s="12" t="s">
        <v>141</v>
      </c>
      <c r="K423" s="12" t="s">
        <v>5178</v>
      </c>
      <c r="L423" s="12">
        <v>1960000</v>
      </c>
      <c r="M423" s="12">
        <v>2450000</v>
      </c>
      <c r="N423" s="12" t="s">
        <v>5179</v>
      </c>
      <c r="O423" s="16">
        <v>45625</v>
      </c>
      <c r="P423" s="12" t="s">
        <v>5180</v>
      </c>
      <c r="Q423" s="12" t="s">
        <v>5181</v>
      </c>
      <c r="R423" s="12" t="s">
        <v>146</v>
      </c>
      <c r="S423" s="12" t="s">
        <v>5182</v>
      </c>
      <c r="T423" s="12" t="s">
        <v>5183</v>
      </c>
      <c r="U423" s="12" t="s">
        <v>651</v>
      </c>
      <c r="V423" s="12" t="s">
        <v>3321</v>
      </c>
      <c r="W423" s="12" t="s">
        <v>532</v>
      </c>
      <c r="X423" s="12" t="s">
        <v>533</v>
      </c>
      <c r="Y423" s="12" t="s">
        <v>5184</v>
      </c>
      <c r="Z423" s="12">
        <v>5</v>
      </c>
      <c r="AA423" s="12" t="s">
        <v>227</v>
      </c>
      <c r="AB423" s="12" t="s">
        <v>5185</v>
      </c>
      <c r="AC423" s="12" t="s">
        <v>3321</v>
      </c>
      <c r="AD423" s="12" t="s">
        <v>58</v>
      </c>
      <c r="AE423" s="12">
        <v>1837500</v>
      </c>
      <c r="AF423" s="13">
        <v>36750</v>
      </c>
      <c r="AG423" s="12"/>
      <c r="AH423" s="12"/>
      <c r="AI423" s="12"/>
      <c r="AJ423" s="12" t="s">
        <v>11799</v>
      </c>
      <c r="AK423" s="13">
        <v>36750</v>
      </c>
      <c r="AL423" s="13"/>
      <c r="AM423" s="14">
        <f t="shared" si="6"/>
        <v>0</v>
      </c>
      <c r="AN423" s="12" t="s">
        <v>12004</v>
      </c>
    </row>
    <row r="424" spans="1:40" x14ac:dyDescent="0.25">
      <c r="A424" s="8">
        <v>423</v>
      </c>
      <c r="B424" s="9" t="s">
        <v>35</v>
      </c>
      <c r="C424" s="9" t="s">
        <v>5186</v>
      </c>
      <c r="D424" s="9" t="s">
        <v>37</v>
      </c>
      <c r="E424" s="9" t="s">
        <v>5187</v>
      </c>
      <c r="F424" s="9" t="s">
        <v>138</v>
      </c>
      <c r="G424" s="9" t="s">
        <v>5188</v>
      </c>
      <c r="H424" s="9" t="s">
        <v>48</v>
      </c>
      <c r="I424" s="9" t="s">
        <v>5189</v>
      </c>
      <c r="J424" s="9" t="s">
        <v>5190</v>
      </c>
      <c r="K424" s="9" t="s">
        <v>5191</v>
      </c>
      <c r="L424" s="9">
        <v>1662500</v>
      </c>
      <c r="M424" s="9">
        <v>2375000</v>
      </c>
      <c r="N424" s="9" t="s">
        <v>5192</v>
      </c>
      <c r="O424" s="10">
        <v>45625</v>
      </c>
      <c r="P424" s="9" t="s">
        <v>5193</v>
      </c>
      <c r="Q424" s="9" t="s">
        <v>5194</v>
      </c>
      <c r="R424" s="9" t="s">
        <v>146</v>
      </c>
      <c r="S424" s="9" t="s">
        <v>5195</v>
      </c>
      <c r="T424" s="9" t="s">
        <v>2967</v>
      </c>
      <c r="U424" s="9" t="s">
        <v>50</v>
      </c>
      <c r="V424" s="9" t="s">
        <v>4972</v>
      </c>
      <c r="W424" s="9" t="s">
        <v>132</v>
      </c>
      <c r="X424" s="9" t="s">
        <v>133</v>
      </c>
      <c r="Y424" s="9" t="s">
        <v>5196</v>
      </c>
      <c r="Z424" s="9">
        <v>5</v>
      </c>
      <c r="AA424" s="9" t="s">
        <v>118</v>
      </c>
      <c r="AB424" s="9" t="s">
        <v>5197</v>
      </c>
      <c r="AC424" s="9" t="s">
        <v>3368</v>
      </c>
      <c r="AD424" s="9" t="s">
        <v>299</v>
      </c>
      <c r="AE424" s="9">
        <v>1900000</v>
      </c>
      <c r="AF424" s="11">
        <v>28500</v>
      </c>
      <c r="AG424" s="9"/>
      <c r="AH424" s="9"/>
      <c r="AI424" s="9"/>
      <c r="AJ424" s="12" t="s">
        <v>11800</v>
      </c>
      <c r="AK424" s="13">
        <v>28500</v>
      </c>
      <c r="AL424" s="13"/>
      <c r="AM424" s="14">
        <f t="shared" si="6"/>
        <v>0</v>
      </c>
      <c r="AN424" s="12" t="s">
        <v>12004</v>
      </c>
    </row>
    <row r="425" spans="1:40" x14ac:dyDescent="0.25">
      <c r="A425" s="15">
        <v>424</v>
      </c>
      <c r="B425" s="12" t="s">
        <v>35</v>
      </c>
      <c r="C425" s="12" t="s">
        <v>5198</v>
      </c>
      <c r="D425" s="12" t="s">
        <v>37</v>
      </c>
      <c r="E425" s="12" t="s">
        <v>5199</v>
      </c>
      <c r="F425" s="12" t="s">
        <v>245</v>
      </c>
      <c r="G425" s="12" t="s">
        <v>5200</v>
      </c>
      <c r="H425" s="12" t="s">
        <v>631</v>
      </c>
      <c r="I425" s="12" t="s">
        <v>5201</v>
      </c>
      <c r="J425" s="12" t="s">
        <v>5202</v>
      </c>
      <c r="K425" s="12" t="s">
        <v>5203</v>
      </c>
      <c r="L425" s="12">
        <v>2956850</v>
      </c>
      <c r="M425" s="12">
        <v>4549000</v>
      </c>
      <c r="N425" s="12" t="s">
        <v>5204</v>
      </c>
      <c r="O425" s="12" t="s">
        <v>5205</v>
      </c>
      <c r="P425" s="12" t="s">
        <v>5206</v>
      </c>
      <c r="Q425" s="12" t="s">
        <v>5207</v>
      </c>
      <c r="R425" s="12" t="s">
        <v>47</v>
      </c>
      <c r="S425" s="12" t="s">
        <v>48</v>
      </c>
      <c r="T425" s="12" t="s">
        <v>5208</v>
      </c>
      <c r="U425" s="12" t="s">
        <v>386</v>
      </c>
      <c r="V425" s="16">
        <v>45286</v>
      </c>
      <c r="W425" s="12" t="s">
        <v>3964</v>
      </c>
      <c r="X425" s="12" t="s">
        <v>4016</v>
      </c>
      <c r="Y425" s="12" t="s">
        <v>5209</v>
      </c>
      <c r="Z425" s="12">
        <v>3</v>
      </c>
      <c r="AA425" s="12" t="s">
        <v>152</v>
      </c>
      <c r="AB425" s="12" t="s">
        <v>5210</v>
      </c>
      <c r="AC425" s="12" t="s">
        <v>5111</v>
      </c>
      <c r="AD425" s="12" t="s">
        <v>299</v>
      </c>
      <c r="AE425" s="12">
        <v>4094100</v>
      </c>
      <c r="AF425" s="13">
        <v>61412</v>
      </c>
      <c r="AG425" s="12"/>
      <c r="AH425" s="12"/>
      <c r="AI425" s="12"/>
      <c r="AJ425" s="12" t="s">
        <v>11801</v>
      </c>
      <c r="AK425" s="13">
        <v>61412</v>
      </c>
      <c r="AL425" s="13"/>
      <c r="AM425" s="14">
        <f t="shared" si="6"/>
        <v>0</v>
      </c>
      <c r="AN425" s="12" t="s">
        <v>12004</v>
      </c>
    </row>
    <row r="426" spans="1:40" x14ac:dyDescent="0.25">
      <c r="A426" s="8">
        <v>425</v>
      </c>
      <c r="B426" s="9" t="s">
        <v>35</v>
      </c>
      <c r="C426" s="9" t="s">
        <v>5211</v>
      </c>
      <c r="D426" s="9" t="s">
        <v>37</v>
      </c>
      <c r="E426" s="9" t="s">
        <v>5212</v>
      </c>
      <c r="F426" s="9" t="s">
        <v>692</v>
      </c>
      <c r="G426" s="9" t="s">
        <v>5213</v>
      </c>
      <c r="H426" s="9" t="s">
        <v>5214</v>
      </c>
      <c r="I426" s="9" t="s">
        <v>5214</v>
      </c>
      <c r="J426" s="9" t="s">
        <v>5214</v>
      </c>
      <c r="K426" s="9" t="s">
        <v>5215</v>
      </c>
      <c r="L426" s="9">
        <v>1784300</v>
      </c>
      <c r="M426" s="9">
        <v>2549000</v>
      </c>
      <c r="N426" s="9" t="s">
        <v>5216</v>
      </c>
      <c r="O426" s="10">
        <v>45625</v>
      </c>
      <c r="P426" s="9" t="s">
        <v>5217</v>
      </c>
      <c r="Q426" s="9" t="s">
        <v>5218</v>
      </c>
      <c r="R426" s="9" t="s">
        <v>146</v>
      </c>
      <c r="S426" s="9" t="s">
        <v>48</v>
      </c>
      <c r="T426" s="9" t="s">
        <v>2783</v>
      </c>
      <c r="U426" s="9" t="s">
        <v>50</v>
      </c>
      <c r="V426" s="9" t="s">
        <v>3368</v>
      </c>
      <c r="W426" s="9" t="s">
        <v>132</v>
      </c>
      <c r="X426" s="9" t="s">
        <v>133</v>
      </c>
      <c r="Y426" s="9" t="s">
        <v>5219</v>
      </c>
      <c r="Z426" s="9">
        <v>5</v>
      </c>
      <c r="AA426" s="9" t="s">
        <v>55</v>
      </c>
      <c r="AB426" s="9" t="s">
        <v>5220</v>
      </c>
      <c r="AC426" s="9" t="s">
        <v>3368</v>
      </c>
      <c r="AD426" s="9" t="s">
        <v>299</v>
      </c>
      <c r="AE426" s="9">
        <v>2039200</v>
      </c>
      <c r="AF426" s="11">
        <v>30588</v>
      </c>
      <c r="AG426" s="9"/>
      <c r="AH426" s="9"/>
      <c r="AI426" s="9"/>
      <c r="AJ426" s="12" t="s">
        <v>11802</v>
      </c>
      <c r="AK426" s="13">
        <v>30588</v>
      </c>
      <c r="AL426" s="13"/>
      <c r="AM426" s="14">
        <f t="shared" si="6"/>
        <v>0</v>
      </c>
      <c r="AN426" s="12" t="s">
        <v>12004</v>
      </c>
    </row>
    <row r="427" spans="1:40" x14ac:dyDescent="0.25">
      <c r="A427" s="15">
        <v>426</v>
      </c>
      <c r="B427" s="12" t="s">
        <v>35</v>
      </c>
      <c r="C427" s="12" t="s">
        <v>5221</v>
      </c>
      <c r="D427" s="12" t="s">
        <v>37</v>
      </c>
      <c r="E427" s="12" t="s">
        <v>5222</v>
      </c>
      <c r="F427" s="12" t="s">
        <v>39</v>
      </c>
      <c r="G427" s="12" t="s">
        <v>5223</v>
      </c>
      <c r="H427" s="12" t="s">
        <v>5224</v>
      </c>
      <c r="I427" s="12" t="s">
        <v>5225</v>
      </c>
      <c r="J427" s="12" t="s">
        <v>5224</v>
      </c>
      <c r="K427" s="12" t="s">
        <v>5226</v>
      </c>
      <c r="L427" s="12">
        <v>1787100</v>
      </c>
      <c r="M427" s="12">
        <v>2553000</v>
      </c>
      <c r="N427" s="12" t="s">
        <v>5227</v>
      </c>
      <c r="O427" s="16">
        <v>45625</v>
      </c>
      <c r="P427" s="12" t="s">
        <v>5228</v>
      </c>
      <c r="Q427" s="12" t="s">
        <v>5229</v>
      </c>
      <c r="R427" s="12" t="s">
        <v>47</v>
      </c>
      <c r="S427" s="12" t="s">
        <v>48</v>
      </c>
      <c r="T427" s="12" t="s">
        <v>1826</v>
      </c>
      <c r="U427" s="12" t="s">
        <v>50</v>
      </c>
      <c r="V427" s="12" t="s">
        <v>5230</v>
      </c>
      <c r="W427" s="12" t="s">
        <v>132</v>
      </c>
      <c r="X427" s="12" t="s">
        <v>133</v>
      </c>
      <c r="Y427" s="12" t="s">
        <v>5231</v>
      </c>
      <c r="Z427" s="12">
        <v>5</v>
      </c>
      <c r="AA427" s="12" t="s">
        <v>55</v>
      </c>
      <c r="AB427" s="12" t="s">
        <v>5232</v>
      </c>
      <c r="AC427" s="12" t="s">
        <v>3368</v>
      </c>
      <c r="AD427" s="12" t="s">
        <v>58</v>
      </c>
      <c r="AE427" s="12">
        <v>2042400</v>
      </c>
      <c r="AF427" s="13">
        <v>40848</v>
      </c>
      <c r="AG427" s="12"/>
      <c r="AH427" s="12"/>
      <c r="AI427" s="12"/>
      <c r="AJ427" s="12" t="s">
        <v>11803</v>
      </c>
      <c r="AK427" s="13">
        <v>40848</v>
      </c>
      <c r="AL427" s="13"/>
      <c r="AM427" s="14">
        <f t="shared" si="6"/>
        <v>0</v>
      </c>
      <c r="AN427" s="12" t="s">
        <v>12004</v>
      </c>
    </row>
    <row r="428" spans="1:40" x14ac:dyDescent="0.25">
      <c r="A428" s="8">
        <v>427</v>
      </c>
      <c r="B428" s="9" t="s">
        <v>35</v>
      </c>
      <c r="C428" s="9" t="s">
        <v>5233</v>
      </c>
      <c r="D428" s="9" t="s">
        <v>37</v>
      </c>
      <c r="E428" s="9" t="s">
        <v>5234</v>
      </c>
      <c r="F428" s="9" t="s">
        <v>138</v>
      </c>
      <c r="G428" s="9" t="s">
        <v>5235</v>
      </c>
      <c r="H428" s="9" t="s">
        <v>48</v>
      </c>
      <c r="I428" s="9" t="s">
        <v>5236</v>
      </c>
      <c r="J428" s="9" t="s">
        <v>48</v>
      </c>
      <c r="K428" s="9" t="s">
        <v>5237</v>
      </c>
      <c r="L428" s="9">
        <v>1540000</v>
      </c>
      <c r="M428" s="9">
        <v>2200000</v>
      </c>
      <c r="N428" s="9" t="s">
        <v>5238</v>
      </c>
      <c r="O428" s="9" t="s">
        <v>5205</v>
      </c>
      <c r="P428" s="9" t="s">
        <v>5239</v>
      </c>
      <c r="Q428" s="9" t="s">
        <v>5240</v>
      </c>
      <c r="R428" s="9" t="s">
        <v>146</v>
      </c>
      <c r="S428" s="9" t="s">
        <v>5241</v>
      </c>
      <c r="T428" s="9" t="s">
        <v>321</v>
      </c>
      <c r="U428" s="9" t="s">
        <v>614</v>
      </c>
      <c r="V428" s="10">
        <v>45281</v>
      </c>
      <c r="W428" s="9" t="s">
        <v>4587</v>
      </c>
      <c r="X428" s="9" t="s">
        <v>4588</v>
      </c>
      <c r="Y428" s="9" t="s">
        <v>5242</v>
      </c>
      <c r="Z428" s="9">
        <v>3</v>
      </c>
      <c r="AA428" s="9" t="s">
        <v>55</v>
      </c>
      <c r="AB428" s="9" t="s">
        <v>5243</v>
      </c>
      <c r="AC428" s="9" t="s">
        <v>5111</v>
      </c>
      <c r="AD428" s="9" t="s">
        <v>86</v>
      </c>
      <c r="AE428" s="9">
        <v>1980000</v>
      </c>
      <c r="AF428" s="11">
        <v>34650</v>
      </c>
      <c r="AG428" s="9"/>
      <c r="AH428" s="9"/>
      <c r="AI428" s="9"/>
      <c r="AJ428" s="12" t="s">
        <v>11804</v>
      </c>
      <c r="AK428" s="13">
        <v>34650</v>
      </c>
      <c r="AL428" s="13"/>
      <c r="AM428" s="14">
        <f t="shared" si="6"/>
        <v>0</v>
      </c>
      <c r="AN428" s="12" t="s">
        <v>12004</v>
      </c>
    </row>
    <row r="429" spans="1:40" x14ac:dyDescent="0.25">
      <c r="A429" s="15">
        <v>428</v>
      </c>
      <c r="B429" s="12" t="s">
        <v>35</v>
      </c>
      <c r="C429" s="12" t="s">
        <v>5244</v>
      </c>
      <c r="D429" s="12" t="s">
        <v>37</v>
      </c>
      <c r="E429" s="12" t="s">
        <v>5245</v>
      </c>
      <c r="F429" s="12" t="s">
        <v>89</v>
      </c>
      <c r="G429" s="12" t="s">
        <v>5246</v>
      </c>
      <c r="H429" s="12" t="s">
        <v>1505</v>
      </c>
      <c r="I429" s="12" t="s">
        <v>5247</v>
      </c>
      <c r="J429" s="12" t="s">
        <v>5248</v>
      </c>
      <c r="K429" s="12" t="s">
        <v>5249</v>
      </c>
      <c r="L429" s="12">
        <v>1820000</v>
      </c>
      <c r="M429" s="12">
        <v>2600000</v>
      </c>
      <c r="N429" s="12" t="s">
        <v>5250</v>
      </c>
      <c r="O429" s="16">
        <v>45625</v>
      </c>
      <c r="P429" s="12" t="s">
        <v>5251</v>
      </c>
      <c r="Q429" s="12" t="s">
        <v>5252</v>
      </c>
      <c r="R429" s="12" t="s">
        <v>146</v>
      </c>
      <c r="S429" s="12" t="s">
        <v>5253</v>
      </c>
      <c r="T429" s="12" t="s">
        <v>1289</v>
      </c>
      <c r="U429" s="12" t="s">
        <v>496</v>
      </c>
      <c r="V429" s="12" t="s">
        <v>3368</v>
      </c>
      <c r="W429" s="12" t="s">
        <v>132</v>
      </c>
      <c r="X429" s="12" t="s">
        <v>133</v>
      </c>
      <c r="Y429" s="12" t="s">
        <v>5254</v>
      </c>
      <c r="Z429" s="12">
        <v>5</v>
      </c>
      <c r="AA429" s="12" t="s">
        <v>118</v>
      </c>
      <c r="AB429" s="12" t="s">
        <v>5255</v>
      </c>
      <c r="AC429" s="12" t="s">
        <v>3368</v>
      </c>
      <c r="AD429" s="12" t="s">
        <v>299</v>
      </c>
      <c r="AE429" s="12">
        <v>2080000</v>
      </c>
      <c r="AF429" s="13">
        <v>31200</v>
      </c>
      <c r="AG429" s="12"/>
      <c r="AH429" s="12"/>
      <c r="AI429" s="12"/>
      <c r="AJ429" s="12" t="s">
        <v>11805</v>
      </c>
      <c r="AK429" s="13">
        <v>31200</v>
      </c>
      <c r="AL429" s="13"/>
      <c r="AM429" s="14">
        <f t="shared" si="6"/>
        <v>0</v>
      </c>
      <c r="AN429" s="12" t="s">
        <v>12004</v>
      </c>
    </row>
    <row r="430" spans="1:40" x14ac:dyDescent="0.25">
      <c r="A430" s="8">
        <v>429</v>
      </c>
      <c r="B430" s="9" t="s">
        <v>35</v>
      </c>
      <c r="C430" s="9" t="s">
        <v>5256</v>
      </c>
      <c r="D430" s="9" t="s">
        <v>37</v>
      </c>
      <c r="E430" s="9" t="s">
        <v>5257</v>
      </c>
      <c r="F430" s="9" t="s">
        <v>138</v>
      </c>
      <c r="G430" s="9" t="s">
        <v>5258</v>
      </c>
      <c r="H430" s="9" t="s">
        <v>5259</v>
      </c>
      <c r="I430" s="9" t="s">
        <v>5259</v>
      </c>
      <c r="J430" s="9" t="s">
        <v>5260</v>
      </c>
      <c r="K430" s="9" t="s">
        <v>5261</v>
      </c>
      <c r="L430" s="9">
        <v>2652000</v>
      </c>
      <c r="M430" s="9">
        <v>3315000</v>
      </c>
      <c r="N430" s="9" t="s">
        <v>5262</v>
      </c>
      <c r="O430" s="10">
        <v>45643</v>
      </c>
      <c r="P430" s="9" t="s">
        <v>5263</v>
      </c>
      <c r="Q430" s="9" t="s">
        <v>5264</v>
      </c>
      <c r="R430" s="9" t="s">
        <v>47</v>
      </c>
      <c r="S430" s="9" t="s">
        <v>48</v>
      </c>
      <c r="T430" s="9" t="s">
        <v>5265</v>
      </c>
      <c r="U430" s="9" t="s">
        <v>98</v>
      </c>
      <c r="V430" s="10">
        <v>44186</v>
      </c>
      <c r="W430" s="9" t="s">
        <v>5266</v>
      </c>
      <c r="X430" s="9" t="s">
        <v>5267</v>
      </c>
      <c r="Y430" s="9" t="s">
        <v>5268</v>
      </c>
      <c r="Z430" s="9">
        <v>5</v>
      </c>
      <c r="AA430" s="9" t="s">
        <v>227</v>
      </c>
      <c r="AB430" s="9" t="s">
        <v>5269</v>
      </c>
      <c r="AC430" s="9" t="s">
        <v>5270</v>
      </c>
      <c r="AD430" s="9" t="s">
        <v>58</v>
      </c>
      <c r="AE430" s="9">
        <v>2486250</v>
      </c>
      <c r="AF430" s="11">
        <v>49725</v>
      </c>
      <c r="AG430" s="9"/>
      <c r="AH430" s="9"/>
      <c r="AI430" s="9"/>
      <c r="AJ430" s="12" t="s">
        <v>11806</v>
      </c>
      <c r="AK430" s="13">
        <v>49725</v>
      </c>
      <c r="AL430" s="13"/>
      <c r="AM430" s="14">
        <f t="shared" si="6"/>
        <v>0</v>
      </c>
      <c r="AN430" s="12" t="s">
        <v>12004</v>
      </c>
    </row>
    <row r="431" spans="1:40" x14ac:dyDescent="0.25">
      <c r="A431" s="15">
        <v>430</v>
      </c>
      <c r="B431" s="12" t="s">
        <v>35</v>
      </c>
      <c r="C431" s="12" t="s">
        <v>5271</v>
      </c>
      <c r="D431" s="12" t="s">
        <v>37</v>
      </c>
      <c r="E431" s="12" t="s">
        <v>5272</v>
      </c>
      <c r="F431" s="12" t="s">
        <v>107</v>
      </c>
      <c r="G431" s="12" t="s">
        <v>5273</v>
      </c>
      <c r="H431" s="12" t="s">
        <v>48</v>
      </c>
      <c r="I431" s="12" t="s">
        <v>48</v>
      </c>
      <c r="J431" s="12" t="s">
        <v>48</v>
      </c>
      <c r="K431" s="12" t="s">
        <v>5274</v>
      </c>
      <c r="L431" s="12">
        <v>1925000</v>
      </c>
      <c r="M431" s="12">
        <v>2750000</v>
      </c>
      <c r="N431" s="12" t="s">
        <v>5275</v>
      </c>
      <c r="O431" s="16">
        <v>45625</v>
      </c>
      <c r="P431" s="12" t="s">
        <v>5276</v>
      </c>
      <c r="Q431" s="12" t="s">
        <v>5277</v>
      </c>
      <c r="R431" s="12" t="s">
        <v>146</v>
      </c>
      <c r="S431" s="12" t="s">
        <v>5278</v>
      </c>
      <c r="T431" s="12" t="s">
        <v>1289</v>
      </c>
      <c r="U431" s="12" t="s">
        <v>496</v>
      </c>
      <c r="V431" s="12" t="s">
        <v>4972</v>
      </c>
      <c r="W431" s="12" t="s">
        <v>132</v>
      </c>
      <c r="X431" s="12" t="s">
        <v>133</v>
      </c>
      <c r="Y431" s="12" t="s">
        <v>5279</v>
      </c>
      <c r="Z431" s="12">
        <v>5</v>
      </c>
      <c r="AA431" s="12" t="s">
        <v>118</v>
      </c>
      <c r="AB431" s="12" t="s">
        <v>5280</v>
      </c>
      <c r="AC431" s="12" t="s">
        <v>3368</v>
      </c>
      <c r="AD431" s="12" t="s">
        <v>299</v>
      </c>
      <c r="AE431" s="12">
        <v>2200000</v>
      </c>
      <c r="AF431" s="13">
        <v>33000</v>
      </c>
      <c r="AG431" s="12"/>
      <c r="AH431" s="12"/>
      <c r="AI431" s="12"/>
      <c r="AJ431" s="12" t="s">
        <v>11807</v>
      </c>
      <c r="AK431" s="13">
        <v>33000</v>
      </c>
      <c r="AL431" s="13"/>
      <c r="AM431" s="14">
        <f t="shared" si="6"/>
        <v>0</v>
      </c>
      <c r="AN431" s="12" t="s">
        <v>12004</v>
      </c>
    </row>
    <row r="432" spans="1:40" x14ac:dyDescent="0.25">
      <c r="A432" s="8">
        <v>431</v>
      </c>
      <c r="B432" s="9" t="s">
        <v>35</v>
      </c>
      <c r="C432" s="9" t="s">
        <v>5281</v>
      </c>
      <c r="D432" s="9" t="s">
        <v>37</v>
      </c>
      <c r="E432" s="9" t="s">
        <v>5282</v>
      </c>
      <c r="F432" s="9" t="s">
        <v>138</v>
      </c>
      <c r="G432" s="9" t="s">
        <v>5283</v>
      </c>
      <c r="H432" s="9" t="s">
        <v>48</v>
      </c>
      <c r="I432" s="9" t="s">
        <v>5284</v>
      </c>
      <c r="J432" s="9" t="s">
        <v>48</v>
      </c>
      <c r="K432" s="9" t="s">
        <v>5285</v>
      </c>
      <c r="L432" s="9">
        <v>2436000</v>
      </c>
      <c r="M432" s="9">
        <v>3480000</v>
      </c>
      <c r="N432" s="9" t="s">
        <v>5286</v>
      </c>
      <c r="O432" s="10">
        <v>45625</v>
      </c>
      <c r="P432" s="9" t="s">
        <v>5287</v>
      </c>
      <c r="Q432" s="9" t="s">
        <v>5288</v>
      </c>
      <c r="R432" s="9" t="s">
        <v>1215</v>
      </c>
      <c r="S432" s="9" t="s">
        <v>5289</v>
      </c>
      <c r="T432" s="9" t="s">
        <v>1216</v>
      </c>
      <c r="U432" s="9" t="s">
        <v>903</v>
      </c>
      <c r="V432" s="9" t="s">
        <v>3321</v>
      </c>
      <c r="W432" s="9" t="s">
        <v>532</v>
      </c>
      <c r="X432" s="9" t="s">
        <v>533</v>
      </c>
      <c r="Y432" s="9" t="s">
        <v>5290</v>
      </c>
      <c r="Z432" s="9">
        <v>5</v>
      </c>
      <c r="AA432" s="9" t="s">
        <v>55</v>
      </c>
      <c r="AB432" s="9" t="s">
        <v>5291</v>
      </c>
      <c r="AC432" s="9" t="s">
        <v>3321</v>
      </c>
      <c r="AD432" s="9" t="s">
        <v>58</v>
      </c>
      <c r="AE432" s="9">
        <v>2610000</v>
      </c>
      <c r="AF432" s="11">
        <v>52200</v>
      </c>
      <c r="AG432" s="9"/>
      <c r="AH432" s="9"/>
      <c r="AI432" s="9"/>
      <c r="AJ432" s="12" t="s">
        <v>11808</v>
      </c>
      <c r="AK432" s="13">
        <v>52200</v>
      </c>
      <c r="AL432" s="13"/>
      <c r="AM432" s="14">
        <f t="shared" si="6"/>
        <v>0</v>
      </c>
      <c r="AN432" s="12" t="s">
        <v>12004</v>
      </c>
    </row>
    <row r="433" spans="1:40" x14ac:dyDescent="0.25">
      <c r="A433" s="15">
        <v>432</v>
      </c>
      <c r="B433" s="12" t="s">
        <v>35</v>
      </c>
      <c r="C433" s="12" t="s">
        <v>5292</v>
      </c>
      <c r="D433" s="12" t="s">
        <v>37</v>
      </c>
      <c r="E433" s="12" t="s">
        <v>5293</v>
      </c>
      <c r="F433" s="12" t="s">
        <v>39</v>
      </c>
      <c r="G433" s="12" t="s">
        <v>5294</v>
      </c>
      <c r="H433" s="12" t="s">
        <v>5295</v>
      </c>
      <c r="I433" s="12" t="s">
        <v>5296</v>
      </c>
      <c r="J433" s="12" t="s">
        <v>5297</v>
      </c>
      <c r="K433" s="12" t="s">
        <v>5298</v>
      </c>
      <c r="L433" s="12">
        <v>2015000</v>
      </c>
      <c r="M433" s="12">
        <v>3100000</v>
      </c>
      <c r="N433" s="12" t="s">
        <v>5299</v>
      </c>
      <c r="O433" s="16">
        <v>45625</v>
      </c>
      <c r="P433" s="12" t="s">
        <v>5300</v>
      </c>
      <c r="Q433" s="12" t="s">
        <v>5301</v>
      </c>
      <c r="R433" s="12" t="s">
        <v>146</v>
      </c>
      <c r="S433" s="12" t="s">
        <v>5302</v>
      </c>
      <c r="T433" s="12" t="s">
        <v>1189</v>
      </c>
      <c r="U433" s="12" t="s">
        <v>496</v>
      </c>
      <c r="V433" s="12" t="s">
        <v>4972</v>
      </c>
      <c r="W433" s="12" t="s">
        <v>132</v>
      </c>
      <c r="X433" s="12" t="s">
        <v>133</v>
      </c>
      <c r="Y433" s="12" t="s">
        <v>5303</v>
      </c>
      <c r="Z433" s="12">
        <v>5</v>
      </c>
      <c r="AA433" s="12" t="s">
        <v>118</v>
      </c>
      <c r="AB433" s="12" t="s">
        <v>5304</v>
      </c>
      <c r="AC433" s="12" t="s">
        <v>3368</v>
      </c>
      <c r="AD433" s="12" t="s">
        <v>299</v>
      </c>
      <c r="AE433" s="12">
        <v>2480000</v>
      </c>
      <c r="AF433" s="13">
        <v>37200</v>
      </c>
      <c r="AG433" s="12"/>
      <c r="AH433" s="12"/>
      <c r="AI433" s="12"/>
      <c r="AJ433" s="12" t="s">
        <v>11809</v>
      </c>
      <c r="AK433" s="13">
        <v>37200</v>
      </c>
      <c r="AL433" s="13"/>
      <c r="AM433" s="14">
        <f t="shared" si="6"/>
        <v>0</v>
      </c>
      <c r="AN433" s="12" t="s">
        <v>12004</v>
      </c>
    </row>
    <row r="434" spans="1:40" x14ac:dyDescent="0.25">
      <c r="A434" s="8">
        <v>433</v>
      </c>
      <c r="B434" s="9" t="s">
        <v>35</v>
      </c>
      <c r="C434" s="9" t="s">
        <v>5305</v>
      </c>
      <c r="D434" s="9" t="s">
        <v>37</v>
      </c>
      <c r="E434" s="9" t="s">
        <v>5306</v>
      </c>
      <c r="F434" s="9" t="s">
        <v>39</v>
      </c>
      <c r="G434" s="9" t="s">
        <v>5307</v>
      </c>
      <c r="H434" s="9" t="s">
        <v>5308</v>
      </c>
      <c r="I434" s="9" t="s">
        <v>5309</v>
      </c>
      <c r="J434" s="9" t="s">
        <v>5308</v>
      </c>
      <c r="K434" s="9" t="s">
        <v>5310</v>
      </c>
      <c r="L434" s="9">
        <v>2325000</v>
      </c>
      <c r="M434" s="9">
        <v>3100000</v>
      </c>
      <c r="N434" s="9" t="s">
        <v>5311</v>
      </c>
      <c r="O434" s="10">
        <v>45625</v>
      </c>
      <c r="P434" s="9" t="s">
        <v>5312</v>
      </c>
      <c r="Q434" s="9" t="s">
        <v>5313</v>
      </c>
      <c r="R434" s="9" t="s">
        <v>146</v>
      </c>
      <c r="S434" s="9" t="s">
        <v>5314</v>
      </c>
      <c r="T434" s="9" t="s">
        <v>5315</v>
      </c>
      <c r="U434" s="9" t="s">
        <v>651</v>
      </c>
      <c r="V434" s="9" t="s">
        <v>3321</v>
      </c>
      <c r="W434" s="9" t="s">
        <v>532</v>
      </c>
      <c r="X434" s="9" t="s">
        <v>133</v>
      </c>
      <c r="Y434" s="9" t="s">
        <v>5316</v>
      </c>
      <c r="Z434" s="9">
        <v>6</v>
      </c>
      <c r="AA434" s="9" t="s">
        <v>227</v>
      </c>
      <c r="AB434" s="9" t="s">
        <v>5317</v>
      </c>
      <c r="AC434" s="9" t="s">
        <v>3321</v>
      </c>
      <c r="AD434" s="9" t="s">
        <v>58</v>
      </c>
      <c r="AE434" s="9">
        <v>2325000</v>
      </c>
      <c r="AF434" s="11">
        <v>46500</v>
      </c>
      <c r="AG434" s="9"/>
      <c r="AH434" s="9"/>
      <c r="AI434" s="9"/>
      <c r="AJ434" s="12" t="s">
        <v>11810</v>
      </c>
      <c r="AK434" s="13">
        <v>49600</v>
      </c>
      <c r="AL434" s="13" t="s">
        <v>12246</v>
      </c>
      <c r="AM434" s="14">
        <f t="shared" si="6"/>
        <v>-3100</v>
      </c>
      <c r="AN434" s="12" t="s">
        <v>12004</v>
      </c>
    </row>
    <row r="435" spans="1:40" x14ac:dyDescent="0.25">
      <c r="A435" s="15">
        <v>434</v>
      </c>
      <c r="B435" s="12" t="s">
        <v>35</v>
      </c>
      <c r="C435" s="12" t="s">
        <v>5318</v>
      </c>
      <c r="D435" s="12" t="s">
        <v>37</v>
      </c>
      <c r="E435" s="12" t="s">
        <v>5319</v>
      </c>
      <c r="F435" s="12" t="s">
        <v>138</v>
      </c>
      <c r="G435" s="12" t="s">
        <v>5320</v>
      </c>
      <c r="H435" s="12" t="s">
        <v>5321</v>
      </c>
      <c r="I435" s="12" t="s">
        <v>5321</v>
      </c>
      <c r="J435" s="12" t="s">
        <v>141</v>
      </c>
      <c r="K435" s="12" t="s">
        <v>5322</v>
      </c>
      <c r="L435" s="12">
        <v>2050000</v>
      </c>
      <c r="M435" s="12">
        <v>4100000</v>
      </c>
      <c r="N435" s="12" t="s">
        <v>5323</v>
      </c>
      <c r="O435" s="16">
        <v>45625</v>
      </c>
      <c r="P435" s="12" t="s">
        <v>5324</v>
      </c>
      <c r="Q435" s="12" t="s">
        <v>5325</v>
      </c>
      <c r="R435" s="12" t="s">
        <v>146</v>
      </c>
      <c r="S435" s="12" t="s">
        <v>5326</v>
      </c>
      <c r="T435" s="12" t="s">
        <v>5327</v>
      </c>
      <c r="U435" s="12" t="s">
        <v>50</v>
      </c>
      <c r="V435" s="12" t="s">
        <v>4972</v>
      </c>
      <c r="W435" s="12" t="s">
        <v>132</v>
      </c>
      <c r="X435" s="12" t="s">
        <v>133</v>
      </c>
      <c r="Y435" s="12" t="s">
        <v>5328</v>
      </c>
      <c r="Z435" s="12">
        <v>5</v>
      </c>
      <c r="AA435" s="12" t="s">
        <v>118</v>
      </c>
      <c r="AB435" s="12" t="s">
        <v>5329</v>
      </c>
      <c r="AC435" s="12" t="s">
        <v>5330</v>
      </c>
      <c r="AD435" s="12" t="s">
        <v>299</v>
      </c>
      <c r="AE435" s="12">
        <v>3280000</v>
      </c>
      <c r="AF435" s="13">
        <v>49200</v>
      </c>
      <c r="AG435" s="12"/>
      <c r="AH435" s="12"/>
      <c r="AI435" s="12"/>
      <c r="AJ435" s="12" t="s">
        <v>11811</v>
      </c>
      <c r="AK435" s="13">
        <v>49200</v>
      </c>
      <c r="AL435" s="13"/>
      <c r="AM435" s="14">
        <f t="shared" si="6"/>
        <v>0</v>
      </c>
      <c r="AN435" s="12" t="s">
        <v>12004</v>
      </c>
    </row>
    <row r="436" spans="1:40" x14ac:dyDescent="0.25">
      <c r="A436" s="8">
        <v>435</v>
      </c>
      <c r="B436" s="9" t="s">
        <v>35</v>
      </c>
      <c r="C436" s="9" t="s">
        <v>5331</v>
      </c>
      <c r="D436" s="9" t="s">
        <v>37</v>
      </c>
      <c r="E436" s="9" t="s">
        <v>5332</v>
      </c>
      <c r="F436" s="9" t="s">
        <v>107</v>
      </c>
      <c r="G436" s="9" t="s">
        <v>5333</v>
      </c>
      <c r="H436" s="9" t="s">
        <v>5334</v>
      </c>
      <c r="I436" s="9" t="s">
        <v>5334</v>
      </c>
      <c r="J436" s="9" t="s">
        <v>5334</v>
      </c>
      <c r="K436" s="9" t="s">
        <v>5335</v>
      </c>
      <c r="L436" s="9">
        <v>2082500</v>
      </c>
      <c r="M436" s="9">
        <v>2975000</v>
      </c>
      <c r="N436" s="9" t="s">
        <v>5336</v>
      </c>
      <c r="O436" s="10">
        <v>45625</v>
      </c>
      <c r="P436" s="9" t="s">
        <v>5337</v>
      </c>
      <c r="Q436" s="9" t="s">
        <v>5338</v>
      </c>
      <c r="R436" s="9" t="s">
        <v>146</v>
      </c>
      <c r="S436" s="9" t="s">
        <v>5339</v>
      </c>
      <c r="T436" s="9" t="s">
        <v>2357</v>
      </c>
      <c r="U436" s="9" t="s">
        <v>98</v>
      </c>
      <c r="V436" s="9" t="s">
        <v>4972</v>
      </c>
      <c r="W436" s="9" t="s">
        <v>132</v>
      </c>
      <c r="X436" s="9" t="s">
        <v>133</v>
      </c>
      <c r="Y436" s="9" t="s">
        <v>5340</v>
      </c>
      <c r="Z436" s="9">
        <v>5</v>
      </c>
      <c r="AA436" s="9" t="s">
        <v>118</v>
      </c>
      <c r="AB436" s="9" t="s">
        <v>5341</v>
      </c>
      <c r="AC436" s="9" t="s">
        <v>3368</v>
      </c>
      <c r="AD436" s="9" t="s">
        <v>299</v>
      </c>
      <c r="AE436" s="9">
        <v>2380000</v>
      </c>
      <c r="AF436" s="11">
        <v>35700</v>
      </c>
      <c r="AG436" s="9"/>
      <c r="AH436" s="9"/>
      <c r="AI436" s="9"/>
      <c r="AJ436" s="12" t="s">
        <v>11812</v>
      </c>
      <c r="AK436" s="13">
        <v>35700</v>
      </c>
      <c r="AL436" s="13"/>
      <c r="AM436" s="14">
        <f t="shared" si="6"/>
        <v>0</v>
      </c>
      <c r="AN436" s="12" t="s">
        <v>12004</v>
      </c>
    </row>
    <row r="437" spans="1:40" x14ac:dyDescent="0.25">
      <c r="A437" s="15">
        <v>436</v>
      </c>
      <c r="B437" s="12" t="s">
        <v>35</v>
      </c>
      <c r="C437" s="12" t="s">
        <v>5342</v>
      </c>
      <c r="D437" s="12" t="s">
        <v>37</v>
      </c>
      <c r="E437" s="12" t="s">
        <v>5343</v>
      </c>
      <c r="F437" s="12" t="s">
        <v>39</v>
      </c>
      <c r="G437" s="12" t="s">
        <v>5344</v>
      </c>
      <c r="H437" s="12" t="s">
        <v>5345</v>
      </c>
      <c r="I437" s="12" t="s">
        <v>5346</v>
      </c>
      <c r="J437" s="12" t="s">
        <v>5347</v>
      </c>
      <c r="K437" s="12" t="s">
        <v>5348</v>
      </c>
      <c r="L437" s="12">
        <v>2554400</v>
      </c>
      <c r="M437" s="12">
        <v>3193000</v>
      </c>
      <c r="N437" s="12" t="s">
        <v>5349</v>
      </c>
      <c r="O437" s="16">
        <v>45625</v>
      </c>
      <c r="P437" s="12" t="s">
        <v>5350</v>
      </c>
      <c r="Q437" s="12" t="s">
        <v>5351</v>
      </c>
      <c r="R437" s="12" t="s">
        <v>47</v>
      </c>
      <c r="S437" s="12" t="s">
        <v>48</v>
      </c>
      <c r="T437" s="12" t="s">
        <v>5352</v>
      </c>
      <c r="U437" s="12" t="s">
        <v>98</v>
      </c>
      <c r="V437" s="12" t="s">
        <v>847</v>
      </c>
      <c r="W437" s="12" t="s">
        <v>532</v>
      </c>
      <c r="X437" s="12" t="s">
        <v>533</v>
      </c>
      <c r="Y437" s="12" t="s">
        <v>5353</v>
      </c>
      <c r="Z437" s="12">
        <v>5</v>
      </c>
      <c r="AA437" s="12" t="s">
        <v>55</v>
      </c>
      <c r="AB437" s="12" t="s">
        <v>5354</v>
      </c>
      <c r="AC437" s="12" t="s">
        <v>3321</v>
      </c>
      <c r="AD437" s="12" t="s">
        <v>58</v>
      </c>
      <c r="AE437" s="12">
        <v>2394750</v>
      </c>
      <c r="AF437" s="13">
        <v>47895</v>
      </c>
      <c r="AG437" s="12"/>
      <c r="AH437" s="12"/>
      <c r="AI437" s="12"/>
      <c r="AJ437" s="12" t="s">
        <v>11813</v>
      </c>
      <c r="AK437" s="13">
        <v>47895</v>
      </c>
      <c r="AL437" s="13"/>
      <c r="AM437" s="14">
        <f t="shared" si="6"/>
        <v>0</v>
      </c>
      <c r="AN437" s="12" t="s">
        <v>12004</v>
      </c>
    </row>
    <row r="438" spans="1:40" x14ac:dyDescent="0.25">
      <c r="A438" s="8">
        <v>437</v>
      </c>
      <c r="B438" s="9" t="s">
        <v>35</v>
      </c>
      <c r="C438" s="9" t="s">
        <v>5355</v>
      </c>
      <c r="D438" s="9" t="s">
        <v>37</v>
      </c>
      <c r="E438" s="9" t="s">
        <v>5356</v>
      </c>
      <c r="F438" s="9" t="s">
        <v>107</v>
      </c>
      <c r="G438" s="9" t="s">
        <v>5357</v>
      </c>
      <c r="H438" s="9" t="s">
        <v>5358</v>
      </c>
      <c r="I438" s="9" t="s">
        <v>5358</v>
      </c>
      <c r="J438" s="9" t="s">
        <v>5358</v>
      </c>
      <c r="K438" s="9" t="s">
        <v>5359</v>
      </c>
      <c r="L438" s="9">
        <v>2191000</v>
      </c>
      <c r="M438" s="9">
        <v>3130000</v>
      </c>
      <c r="N438" s="9" t="s">
        <v>5360</v>
      </c>
      <c r="O438" s="10">
        <v>45625</v>
      </c>
      <c r="P438" s="9" t="s">
        <v>5361</v>
      </c>
      <c r="Q438" s="9" t="s">
        <v>5362</v>
      </c>
      <c r="R438" s="9" t="s">
        <v>146</v>
      </c>
      <c r="S438" s="9" t="s">
        <v>5363</v>
      </c>
      <c r="T438" s="9" t="s">
        <v>3671</v>
      </c>
      <c r="U438" s="9" t="s">
        <v>496</v>
      </c>
      <c r="V438" s="9" t="s">
        <v>3368</v>
      </c>
      <c r="W438" s="9" t="s">
        <v>132</v>
      </c>
      <c r="X438" s="9" t="s">
        <v>533</v>
      </c>
      <c r="Y438" s="9" t="s">
        <v>5364</v>
      </c>
      <c r="Z438" s="9">
        <v>4</v>
      </c>
      <c r="AA438" s="9" t="s">
        <v>118</v>
      </c>
      <c r="AB438" s="9" t="s">
        <v>5365</v>
      </c>
      <c r="AC438" s="9" t="s">
        <v>3368</v>
      </c>
      <c r="AD438" s="9" t="s">
        <v>299</v>
      </c>
      <c r="AE438" s="9">
        <v>2504000</v>
      </c>
      <c r="AF438" s="11">
        <v>37560</v>
      </c>
      <c r="AG438" s="9"/>
      <c r="AH438" s="9"/>
      <c r="AI438" s="9"/>
      <c r="AJ438" s="12" t="s">
        <v>11814</v>
      </c>
      <c r="AK438" s="13">
        <v>37560</v>
      </c>
      <c r="AL438" s="13"/>
      <c r="AM438" s="14">
        <f t="shared" si="6"/>
        <v>0</v>
      </c>
      <c r="AN438" s="12" t="s">
        <v>12004</v>
      </c>
    </row>
    <row r="439" spans="1:40" x14ac:dyDescent="0.25">
      <c r="A439" s="15">
        <v>438</v>
      </c>
      <c r="B439" s="12" t="s">
        <v>35</v>
      </c>
      <c r="C439" s="12" t="s">
        <v>5366</v>
      </c>
      <c r="D439" s="12" t="s">
        <v>37</v>
      </c>
      <c r="E439" s="12" t="s">
        <v>5367</v>
      </c>
      <c r="F439" s="12" t="s">
        <v>107</v>
      </c>
      <c r="G439" s="12" t="s">
        <v>5368</v>
      </c>
      <c r="H439" s="12" t="s">
        <v>48</v>
      </c>
      <c r="I439" s="12" t="s">
        <v>5369</v>
      </c>
      <c r="J439" s="12" t="s">
        <v>48</v>
      </c>
      <c r="K439" s="12" t="s">
        <v>5370</v>
      </c>
      <c r="L439" s="12">
        <v>2152500</v>
      </c>
      <c r="M439" s="12">
        <v>3075000</v>
      </c>
      <c r="N439" s="12" t="s">
        <v>5371</v>
      </c>
      <c r="O439" s="16">
        <v>45625</v>
      </c>
      <c r="P439" s="12" t="s">
        <v>5372</v>
      </c>
      <c r="Q439" s="12" t="s">
        <v>5373</v>
      </c>
      <c r="R439" s="12" t="s">
        <v>146</v>
      </c>
      <c r="S439" s="12" t="s">
        <v>5374</v>
      </c>
      <c r="T439" s="12" t="s">
        <v>2357</v>
      </c>
      <c r="U439" s="12" t="s">
        <v>98</v>
      </c>
      <c r="V439" s="12" t="s">
        <v>3368</v>
      </c>
      <c r="W439" s="12" t="s">
        <v>132</v>
      </c>
      <c r="X439" s="12" t="s">
        <v>133</v>
      </c>
      <c r="Y439" s="12" t="s">
        <v>5375</v>
      </c>
      <c r="Z439" s="12">
        <v>5</v>
      </c>
      <c r="AA439" s="12" t="s">
        <v>118</v>
      </c>
      <c r="AB439" s="12" t="s">
        <v>5376</v>
      </c>
      <c r="AC439" s="12" t="s">
        <v>3368</v>
      </c>
      <c r="AD439" s="12" t="s">
        <v>299</v>
      </c>
      <c r="AE439" s="12">
        <v>2460000</v>
      </c>
      <c r="AF439" s="13">
        <v>36900</v>
      </c>
      <c r="AG439" s="12"/>
      <c r="AH439" s="12"/>
      <c r="AI439" s="12"/>
      <c r="AJ439" s="12" t="s">
        <v>11815</v>
      </c>
      <c r="AK439" s="13">
        <v>36900</v>
      </c>
      <c r="AL439" s="13"/>
      <c r="AM439" s="14">
        <f t="shared" si="6"/>
        <v>0</v>
      </c>
      <c r="AN439" s="12" t="s">
        <v>12004</v>
      </c>
    </row>
    <row r="440" spans="1:40" x14ac:dyDescent="0.25">
      <c r="A440" s="8">
        <v>439</v>
      </c>
      <c r="B440" s="9" t="s">
        <v>35</v>
      </c>
      <c r="C440" s="9" t="s">
        <v>5377</v>
      </c>
      <c r="D440" s="9" t="s">
        <v>37</v>
      </c>
      <c r="E440" s="9" t="s">
        <v>5378</v>
      </c>
      <c r="F440" s="9" t="s">
        <v>107</v>
      </c>
      <c r="G440" s="9" t="s">
        <v>5379</v>
      </c>
      <c r="H440" s="9" t="s">
        <v>5380</v>
      </c>
      <c r="I440" s="9" t="s">
        <v>5380</v>
      </c>
      <c r="J440" s="9" t="s">
        <v>5380</v>
      </c>
      <c r="K440" s="9" t="s">
        <v>5381</v>
      </c>
      <c r="L440" s="9">
        <v>2210000</v>
      </c>
      <c r="M440" s="9">
        <v>3400000</v>
      </c>
      <c r="N440" s="9" t="s">
        <v>5382</v>
      </c>
      <c r="O440" s="10">
        <v>45625</v>
      </c>
      <c r="P440" s="9" t="s">
        <v>5383</v>
      </c>
      <c r="Q440" s="9" t="s">
        <v>5384</v>
      </c>
      <c r="R440" s="9" t="s">
        <v>146</v>
      </c>
      <c r="S440" s="9" t="s">
        <v>5385</v>
      </c>
      <c r="T440" s="9" t="s">
        <v>714</v>
      </c>
      <c r="U440" s="9" t="s">
        <v>335</v>
      </c>
      <c r="V440" s="9" t="s">
        <v>4972</v>
      </c>
      <c r="W440" s="9" t="s">
        <v>132</v>
      </c>
      <c r="X440" s="9" t="s">
        <v>133</v>
      </c>
      <c r="Y440" s="9" t="s">
        <v>5386</v>
      </c>
      <c r="Z440" s="9">
        <v>5</v>
      </c>
      <c r="AA440" s="9" t="s">
        <v>118</v>
      </c>
      <c r="AB440" s="9" t="s">
        <v>5387</v>
      </c>
      <c r="AC440" s="9" t="s">
        <v>3368</v>
      </c>
      <c r="AD440" s="9" t="s">
        <v>299</v>
      </c>
      <c r="AE440" s="9">
        <v>2720000</v>
      </c>
      <c r="AF440" s="11">
        <v>40800</v>
      </c>
      <c r="AG440" s="9"/>
      <c r="AH440" s="9"/>
      <c r="AI440" s="9"/>
      <c r="AJ440" s="12" t="s">
        <v>11816</v>
      </c>
      <c r="AK440" s="13">
        <v>40800</v>
      </c>
      <c r="AL440" s="13"/>
      <c r="AM440" s="14">
        <f t="shared" si="6"/>
        <v>0</v>
      </c>
      <c r="AN440" s="12" t="s">
        <v>12004</v>
      </c>
    </row>
    <row r="441" spans="1:40" x14ac:dyDescent="0.25">
      <c r="A441" s="15">
        <v>440</v>
      </c>
      <c r="B441" s="12" t="s">
        <v>35</v>
      </c>
      <c r="C441" s="12" t="s">
        <v>5388</v>
      </c>
      <c r="D441" s="12" t="s">
        <v>37</v>
      </c>
      <c r="E441" s="12" t="s">
        <v>5389</v>
      </c>
      <c r="F441" s="12" t="s">
        <v>138</v>
      </c>
      <c r="G441" s="12" t="s">
        <v>5390</v>
      </c>
      <c r="H441" s="12" t="s">
        <v>5391</v>
      </c>
      <c r="I441" s="12" t="s">
        <v>5391</v>
      </c>
      <c r="J441" s="12" t="s">
        <v>141</v>
      </c>
      <c r="K441" s="12" t="s">
        <v>5392</v>
      </c>
      <c r="L441" s="12">
        <v>1020000</v>
      </c>
      <c r="M441" s="12">
        <v>1360000</v>
      </c>
      <c r="N441" s="12" t="s">
        <v>5393</v>
      </c>
      <c r="O441" s="16">
        <v>45643</v>
      </c>
      <c r="P441" s="12" t="s">
        <v>5394</v>
      </c>
      <c r="Q441" s="12" t="s">
        <v>5395</v>
      </c>
      <c r="R441" s="12" t="s">
        <v>146</v>
      </c>
      <c r="S441" s="12" t="s">
        <v>5396</v>
      </c>
      <c r="T441" s="12" t="s">
        <v>210</v>
      </c>
      <c r="U441" s="12" t="s">
        <v>614</v>
      </c>
      <c r="V441" s="16">
        <v>44187</v>
      </c>
      <c r="W441" s="12" t="s">
        <v>5266</v>
      </c>
      <c r="X441" s="12" t="s">
        <v>5267</v>
      </c>
      <c r="Y441" s="12" t="s">
        <v>5397</v>
      </c>
      <c r="Z441" s="12">
        <v>5</v>
      </c>
      <c r="AA441" s="12" t="s">
        <v>55</v>
      </c>
      <c r="AB441" s="12" t="s">
        <v>5398</v>
      </c>
      <c r="AC441" s="12" t="s">
        <v>5266</v>
      </c>
      <c r="AD441" s="12" t="s">
        <v>58</v>
      </c>
      <c r="AE441" s="12">
        <v>1020000</v>
      </c>
      <c r="AF441" s="13">
        <v>20400</v>
      </c>
      <c r="AG441" s="12"/>
      <c r="AH441" s="12"/>
      <c r="AI441" s="12"/>
      <c r="AJ441" s="12" t="s">
        <v>11817</v>
      </c>
      <c r="AK441" s="13">
        <v>20400</v>
      </c>
      <c r="AL441" s="13"/>
      <c r="AM441" s="14">
        <f t="shared" si="6"/>
        <v>0</v>
      </c>
      <c r="AN441" s="12" t="s">
        <v>12004</v>
      </c>
    </row>
    <row r="442" spans="1:40" x14ac:dyDescent="0.25">
      <c r="A442" s="8">
        <v>441</v>
      </c>
      <c r="B442" s="9" t="s">
        <v>35</v>
      </c>
      <c r="C442" s="9" t="s">
        <v>5399</v>
      </c>
      <c r="D442" s="9" t="s">
        <v>37</v>
      </c>
      <c r="E442" s="9" t="s">
        <v>5400</v>
      </c>
      <c r="F442" s="9" t="s">
        <v>245</v>
      </c>
      <c r="G442" s="9" t="s">
        <v>5401</v>
      </c>
      <c r="H442" s="9" t="s">
        <v>5402</v>
      </c>
      <c r="I442" s="9" t="s">
        <v>48</v>
      </c>
      <c r="J442" s="9" t="s">
        <v>5403</v>
      </c>
      <c r="K442" s="9" t="s">
        <v>5404</v>
      </c>
      <c r="L442" s="9">
        <v>2471000</v>
      </c>
      <c r="M442" s="9">
        <v>3530000</v>
      </c>
      <c r="N442" s="9" t="s">
        <v>5405</v>
      </c>
      <c r="O442" s="10">
        <v>45625</v>
      </c>
      <c r="P442" s="9" t="s">
        <v>5406</v>
      </c>
      <c r="Q442" s="9" t="s">
        <v>5407</v>
      </c>
      <c r="R442" s="9" t="s">
        <v>146</v>
      </c>
      <c r="S442" s="9" t="s">
        <v>5408</v>
      </c>
      <c r="T442" s="9" t="s">
        <v>1065</v>
      </c>
      <c r="U442" s="9" t="s">
        <v>496</v>
      </c>
      <c r="V442" s="9" t="s">
        <v>3368</v>
      </c>
      <c r="W442" s="9" t="s">
        <v>132</v>
      </c>
      <c r="X442" s="9" t="s">
        <v>133</v>
      </c>
      <c r="Y442" s="9" t="s">
        <v>5409</v>
      </c>
      <c r="Z442" s="9">
        <v>5</v>
      </c>
      <c r="AA442" s="9" t="s">
        <v>118</v>
      </c>
      <c r="AB442" s="9" t="s">
        <v>5410</v>
      </c>
      <c r="AC442" s="9" t="s">
        <v>3368</v>
      </c>
      <c r="AD442" s="9" t="s">
        <v>299</v>
      </c>
      <c r="AE442" s="9">
        <v>2824000</v>
      </c>
      <c r="AF442" s="11">
        <v>42360</v>
      </c>
      <c r="AG442" s="9"/>
      <c r="AH442" s="9"/>
      <c r="AI442" s="9"/>
      <c r="AJ442" s="12" t="s">
        <v>11818</v>
      </c>
      <c r="AK442" s="13">
        <v>42360</v>
      </c>
      <c r="AL442" s="13"/>
      <c r="AM442" s="14">
        <f t="shared" si="6"/>
        <v>0</v>
      </c>
      <c r="AN442" s="12" t="s">
        <v>12004</v>
      </c>
    </row>
    <row r="443" spans="1:40" x14ac:dyDescent="0.25">
      <c r="A443" s="15">
        <v>442</v>
      </c>
      <c r="B443" s="12" t="s">
        <v>35</v>
      </c>
      <c r="C443" s="12" t="s">
        <v>5411</v>
      </c>
      <c r="D443" s="12" t="s">
        <v>37</v>
      </c>
      <c r="E443" s="12" t="s">
        <v>5412</v>
      </c>
      <c r="F443" s="12" t="s">
        <v>138</v>
      </c>
      <c r="G443" s="12" t="s">
        <v>5413</v>
      </c>
      <c r="H443" s="12" t="s">
        <v>5414</v>
      </c>
      <c r="I443" s="12" t="s">
        <v>5414</v>
      </c>
      <c r="J443" s="12" t="s">
        <v>141</v>
      </c>
      <c r="K443" s="12" t="s">
        <v>5415</v>
      </c>
      <c r="L443" s="12">
        <v>2730000</v>
      </c>
      <c r="M443" s="12">
        <v>4200000</v>
      </c>
      <c r="N443" s="12" t="s">
        <v>5416</v>
      </c>
      <c r="O443" s="16">
        <v>45625</v>
      </c>
      <c r="P443" s="12" t="s">
        <v>5417</v>
      </c>
      <c r="Q443" s="12" t="s">
        <v>5418</v>
      </c>
      <c r="R443" s="12" t="s">
        <v>146</v>
      </c>
      <c r="S443" s="12" t="s">
        <v>5419</v>
      </c>
      <c r="T443" s="12" t="s">
        <v>1065</v>
      </c>
      <c r="U443" s="12" t="s">
        <v>50</v>
      </c>
      <c r="V443" s="12" t="s">
        <v>3368</v>
      </c>
      <c r="W443" s="12" t="s">
        <v>132</v>
      </c>
      <c r="X443" s="12" t="s">
        <v>133</v>
      </c>
      <c r="Y443" s="12" t="s">
        <v>5420</v>
      </c>
      <c r="Z443" s="12">
        <v>5</v>
      </c>
      <c r="AA443" s="12" t="s">
        <v>118</v>
      </c>
      <c r="AB443" s="12" t="s">
        <v>5421</v>
      </c>
      <c r="AC443" s="12" t="s">
        <v>3368</v>
      </c>
      <c r="AD443" s="12" t="s">
        <v>299</v>
      </c>
      <c r="AE443" s="12">
        <v>3360000</v>
      </c>
      <c r="AF443" s="13">
        <v>50400</v>
      </c>
      <c r="AG443" s="12"/>
      <c r="AH443" s="12"/>
      <c r="AI443" s="12"/>
      <c r="AJ443" s="12" t="s">
        <v>11819</v>
      </c>
      <c r="AK443" s="13">
        <v>50400</v>
      </c>
      <c r="AL443" s="13"/>
      <c r="AM443" s="14">
        <f t="shared" si="6"/>
        <v>0</v>
      </c>
      <c r="AN443" s="12" t="s">
        <v>12004</v>
      </c>
    </row>
    <row r="444" spans="1:40" x14ac:dyDescent="0.25">
      <c r="A444" s="8">
        <v>443</v>
      </c>
      <c r="B444" s="9" t="s">
        <v>35</v>
      </c>
      <c r="C444" s="9" t="s">
        <v>5422</v>
      </c>
      <c r="D444" s="9" t="s">
        <v>37</v>
      </c>
      <c r="E444" s="9" t="s">
        <v>5423</v>
      </c>
      <c r="F444" s="9" t="s">
        <v>89</v>
      </c>
      <c r="G444" s="9" t="s">
        <v>5424</v>
      </c>
      <c r="H444" s="9" t="s">
        <v>5425</v>
      </c>
      <c r="I444" s="9" t="s">
        <v>48</v>
      </c>
      <c r="J444" s="9" t="s">
        <v>141</v>
      </c>
      <c r="K444" s="9" t="s">
        <v>5426</v>
      </c>
      <c r="L444" s="9">
        <v>2543100</v>
      </c>
      <c r="M444" s="9">
        <v>3633000</v>
      </c>
      <c r="N444" s="9" t="s">
        <v>5427</v>
      </c>
      <c r="O444" s="10">
        <v>45642</v>
      </c>
      <c r="P444" s="9" t="s">
        <v>5428</v>
      </c>
      <c r="Q444" s="9" t="s">
        <v>5429</v>
      </c>
      <c r="R444" s="9" t="s">
        <v>47</v>
      </c>
      <c r="S444" s="9" t="s">
        <v>48</v>
      </c>
      <c r="T444" s="9" t="s">
        <v>5430</v>
      </c>
      <c r="U444" s="9" t="s">
        <v>50</v>
      </c>
      <c r="V444" s="10">
        <v>44552</v>
      </c>
      <c r="W444" s="9" t="s">
        <v>4015</v>
      </c>
      <c r="X444" s="9" t="s">
        <v>4016</v>
      </c>
      <c r="Y444" s="9" t="s">
        <v>5431</v>
      </c>
      <c r="Z444" s="9">
        <v>5</v>
      </c>
      <c r="AA444" s="9" t="s">
        <v>118</v>
      </c>
      <c r="AB444" s="9" t="s">
        <v>5432</v>
      </c>
      <c r="AC444" s="9" t="s">
        <v>5433</v>
      </c>
      <c r="AD444" s="9" t="s">
        <v>58</v>
      </c>
      <c r="AE444" s="9">
        <v>2906400</v>
      </c>
      <c r="AF444" s="11">
        <v>58128</v>
      </c>
      <c r="AG444" s="9"/>
      <c r="AH444" s="9"/>
      <c r="AI444" s="9"/>
      <c r="AJ444" s="12" t="s">
        <v>11820</v>
      </c>
      <c r="AK444" s="13">
        <v>58128</v>
      </c>
      <c r="AL444" s="13"/>
      <c r="AM444" s="14">
        <f t="shared" si="6"/>
        <v>0</v>
      </c>
      <c r="AN444" s="12" t="s">
        <v>12004</v>
      </c>
    </row>
    <row r="445" spans="1:40" x14ac:dyDescent="0.25">
      <c r="A445" s="15">
        <v>444</v>
      </c>
      <c r="B445" s="12" t="s">
        <v>35</v>
      </c>
      <c r="C445" s="12" t="s">
        <v>5434</v>
      </c>
      <c r="D445" s="12" t="s">
        <v>37</v>
      </c>
      <c r="E445" s="12" t="s">
        <v>731</v>
      </c>
      <c r="F445" s="12" t="s">
        <v>107</v>
      </c>
      <c r="G445" s="12" t="s">
        <v>732</v>
      </c>
      <c r="H445" s="12" t="s">
        <v>733</v>
      </c>
      <c r="I445" s="12" t="s">
        <v>734</v>
      </c>
      <c r="J445" s="12" t="s">
        <v>735</v>
      </c>
      <c r="K445" s="12" t="s">
        <v>736</v>
      </c>
      <c r="L445" s="12">
        <v>3869500</v>
      </c>
      <c r="M445" s="12">
        <v>7739000</v>
      </c>
      <c r="N445" s="12" t="s">
        <v>5435</v>
      </c>
      <c r="O445" s="16">
        <v>45625</v>
      </c>
      <c r="P445" s="12" t="s">
        <v>5436</v>
      </c>
      <c r="Q445" s="12" t="s">
        <v>5437</v>
      </c>
      <c r="R445" s="12" t="s">
        <v>47</v>
      </c>
      <c r="S445" s="12" t="s">
        <v>48</v>
      </c>
      <c r="T445" s="12" t="s">
        <v>1588</v>
      </c>
      <c r="U445" s="12" t="s">
        <v>98</v>
      </c>
      <c r="V445" s="12" t="s">
        <v>3270</v>
      </c>
      <c r="W445" s="12" t="s">
        <v>532</v>
      </c>
      <c r="X445" s="12" t="s">
        <v>533</v>
      </c>
      <c r="Y445" s="12" t="s">
        <v>5438</v>
      </c>
      <c r="Z445" s="12">
        <v>5</v>
      </c>
      <c r="AA445" s="12" t="s">
        <v>227</v>
      </c>
      <c r="AB445" s="12" t="s">
        <v>5439</v>
      </c>
      <c r="AC445" s="12" t="s">
        <v>3321</v>
      </c>
      <c r="AD445" s="12" t="s">
        <v>299</v>
      </c>
      <c r="AE445" s="12">
        <v>5804250</v>
      </c>
      <c r="AF445" s="13">
        <v>87064</v>
      </c>
      <c r="AG445" s="12"/>
      <c r="AH445" s="12"/>
      <c r="AI445" s="12"/>
      <c r="AJ445" s="12" t="s">
        <v>11821</v>
      </c>
      <c r="AK445" s="13">
        <v>87064</v>
      </c>
      <c r="AL445" s="13"/>
      <c r="AM445" s="14">
        <f t="shared" si="6"/>
        <v>0</v>
      </c>
      <c r="AN445" s="12" t="s">
        <v>12004</v>
      </c>
    </row>
    <row r="446" spans="1:40" x14ac:dyDescent="0.25">
      <c r="A446" s="8">
        <v>445</v>
      </c>
      <c r="B446" s="9" t="s">
        <v>35</v>
      </c>
      <c r="C446" s="9" t="s">
        <v>5440</v>
      </c>
      <c r="D446" s="9" t="s">
        <v>37</v>
      </c>
      <c r="E446" s="9" t="s">
        <v>5441</v>
      </c>
      <c r="F446" s="9" t="s">
        <v>138</v>
      </c>
      <c r="G446" s="9" t="s">
        <v>5442</v>
      </c>
      <c r="H446" s="9" t="s">
        <v>5443</v>
      </c>
      <c r="I446" s="9" t="s">
        <v>5444</v>
      </c>
      <c r="J446" s="9" t="s">
        <v>3478</v>
      </c>
      <c r="K446" s="9" t="s">
        <v>5445</v>
      </c>
      <c r="L446" s="9">
        <v>3953000</v>
      </c>
      <c r="M446" s="9">
        <v>5900000</v>
      </c>
      <c r="N446" s="9" t="s">
        <v>5446</v>
      </c>
      <c r="O446" s="10">
        <v>45625</v>
      </c>
      <c r="P446" s="9" t="s">
        <v>5447</v>
      </c>
      <c r="Q446" s="9" t="s">
        <v>5448</v>
      </c>
      <c r="R446" s="9" t="s">
        <v>146</v>
      </c>
      <c r="S446" s="9" t="s">
        <v>5449</v>
      </c>
      <c r="T446" s="9" t="s">
        <v>1346</v>
      </c>
      <c r="U446" s="9" t="s">
        <v>903</v>
      </c>
      <c r="V446" s="9" t="s">
        <v>3321</v>
      </c>
      <c r="W446" s="9" t="s">
        <v>532</v>
      </c>
      <c r="X446" s="9" t="s">
        <v>533</v>
      </c>
      <c r="Y446" s="9" t="s">
        <v>5450</v>
      </c>
      <c r="Z446" s="9">
        <v>5</v>
      </c>
      <c r="AA446" s="9" t="s">
        <v>55</v>
      </c>
      <c r="AB446" s="9" t="s">
        <v>5451</v>
      </c>
      <c r="AC446" s="9" t="s">
        <v>3321</v>
      </c>
      <c r="AD446" s="9" t="s">
        <v>299</v>
      </c>
      <c r="AE446" s="9">
        <v>4425000</v>
      </c>
      <c r="AF446" s="11">
        <v>66375</v>
      </c>
      <c r="AG446" s="9"/>
      <c r="AH446" s="9"/>
      <c r="AI446" s="9"/>
      <c r="AJ446" s="12" t="s">
        <v>11822</v>
      </c>
      <c r="AK446" s="13">
        <v>66375</v>
      </c>
      <c r="AL446" s="13"/>
      <c r="AM446" s="14">
        <f t="shared" si="6"/>
        <v>0</v>
      </c>
      <c r="AN446" s="12" t="s">
        <v>12004</v>
      </c>
    </row>
    <row r="447" spans="1:40" x14ac:dyDescent="0.25">
      <c r="A447" s="15">
        <v>446</v>
      </c>
      <c r="B447" s="12" t="s">
        <v>35</v>
      </c>
      <c r="C447" s="12" t="s">
        <v>5452</v>
      </c>
      <c r="D447" s="12" t="s">
        <v>37</v>
      </c>
      <c r="E447" s="12" t="s">
        <v>5453</v>
      </c>
      <c r="F447" s="12" t="s">
        <v>245</v>
      </c>
      <c r="G447" s="12" t="s">
        <v>5454</v>
      </c>
      <c r="H447" s="12" t="s">
        <v>48</v>
      </c>
      <c r="I447" s="12" t="s">
        <v>5455</v>
      </c>
      <c r="J447" s="12" t="s">
        <v>5456</v>
      </c>
      <c r="K447" s="12" t="s">
        <v>5457</v>
      </c>
      <c r="L447" s="12">
        <v>2985280</v>
      </c>
      <c r="M447" s="12">
        <v>3928000</v>
      </c>
      <c r="N447" s="12" t="s">
        <v>5458</v>
      </c>
      <c r="O447" s="16">
        <v>45642</v>
      </c>
      <c r="P447" s="12" t="s">
        <v>5459</v>
      </c>
      <c r="Q447" s="12" t="s">
        <v>5460</v>
      </c>
      <c r="R447" s="12" t="s">
        <v>47</v>
      </c>
      <c r="S447" s="12" t="s">
        <v>48</v>
      </c>
      <c r="T447" s="12" t="s">
        <v>2835</v>
      </c>
      <c r="U447" s="12" t="s">
        <v>98</v>
      </c>
      <c r="V447" s="16">
        <v>44069</v>
      </c>
      <c r="W447" s="12" t="s">
        <v>4001</v>
      </c>
      <c r="X447" s="12" t="s">
        <v>3977</v>
      </c>
      <c r="Y447" s="12" t="s">
        <v>5461</v>
      </c>
      <c r="Z447" s="12">
        <v>5</v>
      </c>
      <c r="AA447" s="12" t="s">
        <v>227</v>
      </c>
      <c r="AB447" s="12" t="s">
        <v>5462</v>
      </c>
      <c r="AC447" s="12" t="s">
        <v>5270</v>
      </c>
      <c r="AD447" s="12" t="s">
        <v>58</v>
      </c>
      <c r="AE447" s="12">
        <v>2946000</v>
      </c>
      <c r="AF447" s="13">
        <v>58920</v>
      </c>
      <c r="AG447" s="12"/>
      <c r="AH447" s="12"/>
      <c r="AI447" s="12"/>
      <c r="AJ447" s="12" t="s">
        <v>11823</v>
      </c>
      <c r="AK447" s="13">
        <v>58920</v>
      </c>
      <c r="AL447" s="13"/>
      <c r="AM447" s="14">
        <f t="shared" si="6"/>
        <v>0</v>
      </c>
      <c r="AN447" s="12" t="s">
        <v>12004</v>
      </c>
    </row>
    <row r="448" spans="1:40" x14ac:dyDescent="0.25">
      <c r="A448" s="8">
        <v>447</v>
      </c>
      <c r="B448" s="9" t="s">
        <v>35</v>
      </c>
      <c r="C448" s="9" t="s">
        <v>5463</v>
      </c>
      <c r="D448" s="9" t="s">
        <v>37</v>
      </c>
      <c r="E448" s="9" t="s">
        <v>5464</v>
      </c>
      <c r="F448" s="9" t="s">
        <v>138</v>
      </c>
      <c r="G448" s="9" t="s">
        <v>5465</v>
      </c>
      <c r="H448" s="9" t="s">
        <v>48</v>
      </c>
      <c r="I448" s="9" t="s">
        <v>5466</v>
      </c>
      <c r="J448" s="9" t="s">
        <v>48</v>
      </c>
      <c r="K448" s="9" t="s">
        <v>5467</v>
      </c>
      <c r="L448" s="9">
        <v>4049250</v>
      </c>
      <c r="M448" s="9">
        <v>5399000</v>
      </c>
      <c r="N448" s="9" t="s">
        <v>5468</v>
      </c>
      <c r="O448" s="10">
        <v>45625</v>
      </c>
      <c r="P448" s="9" t="s">
        <v>5469</v>
      </c>
      <c r="Q448" s="9" t="s">
        <v>5470</v>
      </c>
      <c r="R448" s="9" t="s">
        <v>47</v>
      </c>
      <c r="S448" s="9" t="s">
        <v>48</v>
      </c>
      <c r="T448" s="9" t="s">
        <v>115</v>
      </c>
      <c r="U448" s="9" t="s">
        <v>98</v>
      </c>
      <c r="V448" s="9" t="s">
        <v>3321</v>
      </c>
      <c r="W448" s="9" t="s">
        <v>532</v>
      </c>
      <c r="X448" s="9" t="s">
        <v>533</v>
      </c>
      <c r="Y448" s="9" t="s">
        <v>5471</v>
      </c>
      <c r="Z448" s="9">
        <v>5</v>
      </c>
      <c r="AA448" s="9" t="s">
        <v>48</v>
      </c>
      <c r="AB448" s="9" t="s">
        <v>48</v>
      </c>
      <c r="AC448" s="9" t="s">
        <v>48</v>
      </c>
      <c r="AD448" s="9" t="s">
        <v>299</v>
      </c>
      <c r="AE448" s="9">
        <v>4049250</v>
      </c>
      <c r="AF448" s="11">
        <v>60739</v>
      </c>
      <c r="AG448" s="9"/>
      <c r="AH448" s="9"/>
      <c r="AI448" s="9"/>
      <c r="AJ448" s="12" t="s">
        <v>11824</v>
      </c>
      <c r="AK448" s="13">
        <v>60739</v>
      </c>
      <c r="AL448" s="13"/>
      <c r="AM448" s="14">
        <f t="shared" si="6"/>
        <v>0</v>
      </c>
      <c r="AN448" s="12" t="s">
        <v>12004</v>
      </c>
    </row>
    <row r="449" spans="1:40" x14ac:dyDescent="0.25">
      <c r="A449" s="15">
        <v>448</v>
      </c>
      <c r="B449" s="12" t="s">
        <v>35</v>
      </c>
      <c r="C449" s="12" t="s">
        <v>5472</v>
      </c>
      <c r="D449" s="12" t="s">
        <v>37</v>
      </c>
      <c r="E449" s="12" t="s">
        <v>5473</v>
      </c>
      <c r="F449" s="12" t="s">
        <v>39</v>
      </c>
      <c r="G449" s="12" t="s">
        <v>5474</v>
      </c>
      <c r="H449" s="12" t="s">
        <v>48</v>
      </c>
      <c r="I449" s="12" t="s">
        <v>5475</v>
      </c>
      <c r="J449" s="12" t="s">
        <v>48</v>
      </c>
      <c r="K449" s="12" t="s">
        <v>5476</v>
      </c>
      <c r="L449" s="12">
        <v>5585400</v>
      </c>
      <c r="M449" s="12">
        <v>9309000</v>
      </c>
      <c r="N449" s="12" t="s">
        <v>5477</v>
      </c>
      <c r="O449" s="16">
        <v>45625</v>
      </c>
      <c r="P449" s="12" t="s">
        <v>5478</v>
      </c>
      <c r="Q449" s="12" t="s">
        <v>5479</v>
      </c>
      <c r="R449" s="12" t="s">
        <v>47</v>
      </c>
      <c r="S449" s="12" t="s">
        <v>48</v>
      </c>
      <c r="T449" s="12" t="s">
        <v>1346</v>
      </c>
      <c r="U449" s="12" t="s">
        <v>50</v>
      </c>
      <c r="V449" s="12" t="s">
        <v>5480</v>
      </c>
      <c r="W449" s="12" t="s">
        <v>132</v>
      </c>
      <c r="X449" s="12" t="s">
        <v>533</v>
      </c>
      <c r="Y449" s="12" t="s">
        <v>5481</v>
      </c>
      <c r="Z449" s="12">
        <v>4</v>
      </c>
      <c r="AA449" s="12" t="s">
        <v>118</v>
      </c>
      <c r="AB449" s="12" t="s">
        <v>5482</v>
      </c>
      <c r="AC449" s="12" t="s">
        <v>3368</v>
      </c>
      <c r="AD449" s="12" t="s">
        <v>86</v>
      </c>
      <c r="AE449" s="12">
        <v>7447200</v>
      </c>
      <c r="AF449" s="13">
        <v>130326</v>
      </c>
      <c r="AG449" s="12"/>
      <c r="AH449" s="12"/>
      <c r="AI449" s="12"/>
      <c r="AJ449" s="12" t="s">
        <v>11825</v>
      </c>
      <c r="AK449" s="13">
        <v>130326</v>
      </c>
      <c r="AL449" s="13"/>
      <c r="AM449" s="14">
        <f t="shared" si="6"/>
        <v>0</v>
      </c>
      <c r="AN449" s="12" t="s">
        <v>12004</v>
      </c>
    </row>
    <row r="450" spans="1:40" x14ac:dyDescent="0.25">
      <c r="A450" s="8">
        <v>449</v>
      </c>
      <c r="B450" s="9" t="s">
        <v>35</v>
      </c>
      <c r="C450" s="9" t="s">
        <v>5483</v>
      </c>
      <c r="D450" s="9" t="s">
        <v>37</v>
      </c>
      <c r="E450" s="9" t="s">
        <v>5484</v>
      </c>
      <c r="F450" s="9" t="s">
        <v>89</v>
      </c>
      <c r="G450" s="9" t="s">
        <v>5485</v>
      </c>
      <c r="H450" s="9" t="s">
        <v>48</v>
      </c>
      <c r="I450" s="9" t="s">
        <v>5486</v>
      </c>
      <c r="J450" s="9" t="s">
        <v>5487</v>
      </c>
      <c r="K450" s="9" t="s">
        <v>5488</v>
      </c>
      <c r="L450" s="9">
        <v>2553200</v>
      </c>
      <c r="M450" s="9">
        <v>3928000</v>
      </c>
      <c r="N450" s="9" t="s">
        <v>5489</v>
      </c>
      <c r="O450" s="10">
        <v>45642</v>
      </c>
      <c r="P450" s="9" t="s">
        <v>5490</v>
      </c>
      <c r="Q450" s="9" t="s">
        <v>5491</v>
      </c>
      <c r="R450" s="9" t="s">
        <v>47</v>
      </c>
      <c r="S450" s="9" t="s">
        <v>48</v>
      </c>
      <c r="T450" s="9" t="s">
        <v>5492</v>
      </c>
      <c r="U450" s="9" t="s">
        <v>98</v>
      </c>
      <c r="V450" s="10">
        <v>44074</v>
      </c>
      <c r="W450" s="9" t="s">
        <v>4001</v>
      </c>
      <c r="X450" s="9" t="s">
        <v>3977</v>
      </c>
      <c r="Y450" s="9" t="s">
        <v>5493</v>
      </c>
      <c r="Z450" s="9">
        <v>5</v>
      </c>
      <c r="AA450" s="9" t="s">
        <v>227</v>
      </c>
      <c r="AB450" s="9" t="s">
        <v>5494</v>
      </c>
      <c r="AC450" s="9" t="s">
        <v>5270</v>
      </c>
      <c r="AD450" s="9" t="s">
        <v>58</v>
      </c>
      <c r="AE450" s="9">
        <v>2946000</v>
      </c>
      <c r="AF450" s="11">
        <v>58920</v>
      </c>
      <c r="AG450" s="9"/>
      <c r="AH450" s="9"/>
      <c r="AI450" s="9"/>
      <c r="AJ450" s="12" t="s">
        <v>11826</v>
      </c>
      <c r="AK450" s="13">
        <v>58920</v>
      </c>
      <c r="AL450" s="13"/>
      <c r="AM450" s="14">
        <f t="shared" si="6"/>
        <v>0</v>
      </c>
      <c r="AN450" s="12" t="s">
        <v>12004</v>
      </c>
    </row>
    <row r="451" spans="1:40" x14ac:dyDescent="0.25">
      <c r="A451" s="15">
        <v>450</v>
      </c>
      <c r="B451" s="12" t="s">
        <v>35</v>
      </c>
      <c r="C451" s="12" t="s">
        <v>5495</v>
      </c>
      <c r="D451" s="12" t="s">
        <v>37</v>
      </c>
      <c r="E451" s="12" t="s">
        <v>231</v>
      </c>
      <c r="F451" s="12" t="s">
        <v>138</v>
      </c>
      <c r="G451" s="12" t="s">
        <v>5496</v>
      </c>
      <c r="H451" s="12" t="s">
        <v>1505</v>
      </c>
      <c r="I451" s="12" t="s">
        <v>5497</v>
      </c>
      <c r="J451" s="12" t="s">
        <v>5498</v>
      </c>
      <c r="K451" s="12" t="s">
        <v>5499</v>
      </c>
      <c r="L451" s="12">
        <v>2520250</v>
      </c>
      <c r="M451" s="12">
        <v>2965000</v>
      </c>
      <c r="N451" s="12" t="s">
        <v>5500</v>
      </c>
      <c r="O451" s="16">
        <v>45642</v>
      </c>
      <c r="P451" s="12" t="s">
        <v>5501</v>
      </c>
      <c r="Q451" s="12" t="s">
        <v>5502</v>
      </c>
      <c r="R451" s="12" t="s">
        <v>47</v>
      </c>
      <c r="S451" s="12" t="s">
        <v>48</v>
      </c>
      <c r="T451" s="12" t="s">
        <v>2357</v>
      </c>
      <c r="U451" s="12" t="s">
        <v>98</v>
      </c>
      <c r="V451" s="16">
        <v>44183</v>
      </c>
      <c r="W451" s="12" t="s">
        <v>5266</v>
      </c>
      <c r="X451" s="12" t="s">
        <v>5267</v>
      </c>
      <c r="Y451" s="12" t="s">
        <v>5503</v>
      </c>
      <c r="Z451" s="12">
        <v>5</v>
      </c>
      <c r="AA451" s="12" t="s">
        <v>227</v>
      </c>
      <c r="AB451" s="12" t="s">
        <v>5504</v>
      </c>
      <c r="AC451" s="12" t="s">
        <v>5505</v>
      </c>
      <c r="AD451" s="12" t="s">
        <v>58</v>
      </c>
      <c r="AE451" s="12">
        <v>2223750</v>
      </c>
      <c r="AF451" s="13">
        <v>44475</v>
      </c>
      <c r="AG451" s="12"/>
      <c r="AH451" s="12"/>
      <c r="AI451" s="12"/>
      <c r="AJ451" s="12" t="s">
        <v>11827</v>
      </c>
      <c r="AK451" s="13">
        <v>44475</v>
      </c>
      <c r="AL451" s="13"/>
      <c r="AM451" s="14">
        <f t="shared" ref="AM451:AM514" si="7">AF451-AK451</f>
        <v>0</v>
      </c>
      <c r="AN451" s="12" t="s">
        <v>12004</v>
      </c>
    </row>
    <row r="452" spans="1:40" x14ac:dyDescent="0.25">
      <c r="A452" s="8">
        <v>451</v>
      </c>
      <c r="B452" s="9" t="s">
        <v>35</v>
      </c>
      <c r="C452" s="9" t="s">
        <v>5506</v>
      </c>
      <c r="D452" s="9" t="s">
        <v>37</v>
      </c>
      <c r="E452" s="9" t="s">
        <v>5507</v>
      </c>
      <c r="F452" s="9" t="s">
        <v>138</v>
      </c>
      <c r="G452" s="9" t="s">
        <v>5508</v>
      </c>
      <c r="H452" s="9" t="s">
        <v>5509</v>
      </c>
      <c r="I452" s="9" t="s">
        <v>5510</v>
      </c>
      <c r="J452" s="9" t="s">
        <v>141</v>
      </c>
      <c r="K452" s="9" t="s">
        <v>5511</v>
      </c>
      <c r="L452" s="9">
        <v>2160000</v>
      </c>
      <c r="M452" s="9">
        <v>2700000</v>
      </c>
      <c r="N452" s="9" t="s">
        <v>5512</v>
      </c>
      <c r="O452" s="10">
        <v>45642</v>
      </c>
      <c r="P452" s="9" t="s">
        <v>5513</v>
      </c>
      <c r="Q452" s="9" t="s">
        <v>5514</v>
      </c>
      <c r="R452" s="9" t="s">
        <v>146</v>
      </c>
      <c r="S452" s="9" t="s">
        <v>5515</v>
      </c>
      <c r="T452" s="9" t="s">
        <v>1971</v>
      </c>
      <c r="U452" s="9" t="s">
        <v>98</v>
      </c>
      <c r="V452" s="10">
        <v>44183</v>
      </c>
      <c r="W452" s="9" t="s">
        <v>5266</v>
      </c>
      <c r="X452" s="9" t="s">
        <v>5267</v>
      </c>
      <c r="Y452" s="9" t="s">
        <v>5516</v>
      </c>
      <c r="Z452" s="9">
        <v>5</v>
      </c>
      <c r="AA452" s="9" t="s">
        <v>55</v>
      </c>
      <c r="AB452" s="9" t="s">
        <v>5517</v>
      </c>
      <c r="AC452" s="9" t="s">
        <v>5505</v>
      </c>
      <c r="AD452" s="9" t="s">
        <v>299</v>
      </c>
      <c r="AE452" s="9">
        <v>2025000</v>
      </c>
      <c r="AF452" s="11">
        <v>30375</v>
      </c>
      <c r="AG452" s="9"/>
      <c r="AH452" s="9"/>
      <c r="AI452" s="9"/>
      <c r="AJ452" s="12" t="s">
        <v>11828</v>
      </c>
      <c r="AK452" s="13">
        <v>30375</v>
      </c>
      <c r="AL452" s="13"/>
      <c r="AM452" s="14">
        <f t="shared" si="7"/>
        <v>0</v>
      </c>
      <c r="AN452" s="12" t="s">
        <v>12004</v>
      </c>
    </row>
    <row r="453" spans="1:40" x14ac:dyDescent="0.25">
      <c r="A453" s="15">
        <v>452</v>
      </c>
      <c r="B453" s="12" t="s">
        <v>35</v>
      </c>
      <c r="C453" s="12" t="s">
        <v>5518</v>
      </c>
      <c r="D453" s="12" t="s">
        <v>37</v>
      </c>
      <c r="E453" s="12" t="s">
        <v>5519</v>
      </c>
      <c r="F453" s="12" t="s">
        <v>39</v>
      </c>
      <c r="G453" s="12" t="s">
        <v>5520</v>
      </c>
      <c r="H453" s="12" t="s">
        <v>5521</v>
      </c>
      <c r="I453" s="12" t="s">
        <v>5521</v>
      </c>
      <c r="J453" s="12" t="s">
        <v>5521</v>
      </c>
      <c r="K453" s="12" t="s">
        <v>5522</v>
      </c>
      <c r="L453" s="12">
        <v>804300</v>
      </c>
      <c r="M453" s="12">
        <v>1149000</v>
      </c>
      <c r="N453" s="12" t="s">
        <v>5523</v>
      </c>
      <c r="O453" s="16">
        <v>45625</v>
      </c>
      <c r="P453" s="12" t="s">
        <v>5524</v>
      </c>
      <c r="Q453" s="12" t="s">
        <v>5525</v>
      </c>
      <c r="R453" s="12" t="s">
        <v>47</v>
      </c>
      <c r="S453" s="12" t="s">
        <v>48</v>
      </c>
      <c r="T453" s="12" t="s">
        <v>5526</v>
      </c>
      <c r="U453" s="12" t="s">
        <v>50</v>
      </c>
      <c r="V453" s="12" t="s">
        <v>3368</v>
      </c>
      <c r="W453" s="12" t="s">
        <v>132</v>
      </c>
      <c r="X453" s="12" t="s">
        <v>133</v>
      </c>
      <c r="Y453" s="12" t="s">
        <v>5527</v>
      </c>
      <c r="Z453" s="12">
        <v>5</v>
      </c>
      <c r="AA453" s="12" t="s">
        <v>118</v>
      </c>
      <c r="AB453" s="12" t="s">
        <v>5528</v>
      </c>
      <c r="AC453" s="12" t="s">
        <v>3368</v>
      </c>
      <c r="AD453" s="12" t="s">
        <v>58</v>
      </c>
      <c r="AE453" s="12">
        <v>919200</v>
      </c>
      <c r="AF453" s="13">
        <v>18384</v>
      </c>
      <c r="AG453" s="12"/>
      <c r="AH453" s="12"/>
      <c r="AI453" s="12"/>
      <c r="AJ453" s="12" t="s">
        <v>11829</v>
      </c>
      <c r="AK453" s="13">
        <v>18384</v>
      </c>
      <c r="AL453" s="13"/>
      <c r="AM453" s="14">
        <f t="shared" si="7"/>
        <v>0</v>
      </c>
      <c r="AN453" s="12" t="s">
        <v>12004</v>
      </c>
    </row>
    <row r="454" spans="1:40" x14ac:dyDescent="0.25">
      <c r="A454" s="8">
        <v>453</v>
      </c>
      <c r="B454" s="9" t="s">
        <v>35</v>
      </c>
      <c r="C454" s="9" t="s">
        <v>5529</v>
      </c>
      <c r="D454" s="9" t="s">
        <v>37</v>
      </c>
      <c r="E454" s="9" t="s">
        <v>5530</v>
      </c>
      <c r="F454" s="9" t="s">
        <v>138</v>
      </c>
      <c r="G454" s="9" t="s">
        <v>5531</v>
      </c>
      <c r="H454" s="9" t="s">
        <v>5532</v>
      </c>
      <c r="I454" s="9" t="s">
        <v>5532</v>
      </c>
      <c r="J454" s="9" t="s">
        <v>141</v>
      </c>
      <c r="K454" s="9" t="s">
        <v>5533</v>
      </c>
      <c r="L454" s="9">
        <v>1240000</v>
      </c>
      <c r="M454" s="9">
        <v>1550000</v>
      </c>
      <c r="N454" s="9" t="s">
        <v>5534</v>
      </c>
      <c r="O454" s="10">
        <v>45642</v>
      </c>
      <c r="P454" s="9" t="s">
        <v>5535</v>
      </c>
      <c r="Q454" s="9" t="s">
        <v>5536</v>
      </c>
      <c r="R454" s="9" t="s">
        <v>146</v>
      </c>
      <c r="S454" s="9" t="s">
        <v>5537</v>
      </c>
      <c r="T454" s="9" t="s">
        <v>1909</v>
      </c>
      <c r="U454" s="9" t="s">
        <v>335</v>
      </c>
      <c r="V454" s="10">
        <v>44550</v>
      </c>
      <c r="W454" s="9" t="s">
        <v>4473</v>
      </c>
      <c r="X454" s="9" t="s">
        <v>4724</v>
      </c>
      <c r="Y454" s="9" t="s">
        <v>5538</v>
      </c>
      <c r="Z454" s="9">
        <v>7</v>
      </c>
      <c r="AA454" s="9" t="s">
        <v>55</v>
      </c>
      <c r="AB454" s="9" t="s">
        <v>5539</v>
      </c>
      <c r="AC454" s="9" t="s">
        <v>5433</v>
      </c>
      <c r="AD454" s="9" t="s">
        <v>299</v>
      </c>
      <c r="AE454" s="9">
        <v>1240000</v>
      </c>
      <c r="AF454" s="11">
        <v>18600</v>
      </c>
      <c r="AG454" s="9"/>
      <c r="AH454" s="9"/>
      <c r="AI454" s="9"/>
      <c r="AJ454" s="12" t="s">
        <v>11830</v>
      </c>
      <c r="AK454" s="13">
        <v>18600</v>
      </c>
      <c r="AL454" s="13"/>
      <c r="AM454" s="14">
        <f t="shared" si="7"/>
        <v>0</v>
      </c>
      <c r="AN454" s="12" t="s">
        <v>12004</v>
      </c>
    </row>
    <row r="455" spans="1:40" x14ac:dyDescent="0.25">
      <c r="A455" s="15">
        <v>454</v>
      </c>
      <c r="B455" s="12" t="s">
        <v>35</v>
      </c>
      <c r="C455" s="12" t="s">
        <v>5540</v>
      </c>
      <c r="D455" s="12" t="s">
        <v>37</v>
      </c>
      <c r="E455" s="12" t="s">
        <v>5541</v>
      </c>
      <c r="F455" s="12" t="s">
        <v>107</v>
      </c>
      <c r="G455" s="12" t="s">
        <v>5542</v>
      </c>
      <c r="H455" s="12" t="s">
        <v>48</v>
      </c>
      <c r="I455" s="12" t="s">
        <v>5543</v>
      </c>
      <c r="J455" s="12" t="s">
        <v>5544</v>
      </c>
      <c r="K455" s="12" t="s">
        <v>5545</v>
      </c>
      <c r="L455" s="12">
        <v>1275000</v>
      </c>
      <c r="M455" s="12">
        <v>1700000</v>
      </c>
      <c r="N455" s="12" t="s">
        <v>5546</v>
      </c>
      <c r="O455" s="16">
        <v>45642</v>
      </c>
      <c r="P455" s="12" t="s">
        <v>5547</v>
      </c>
      <c r="Q455" s="12" t="s">
        <v>5548</v>
      </c>
      <c r="R455" s="12" t="s">
        <v>146</v>
      </c>
      <c r="S455" s="12" t="s">
        <v>5549</v>
      </c>
      <c r="T455" s="12" t="s">
        <v>2195</v>
      </c>
      <c r="U455" s="12" t="s">
        <v>496</v>
      </c>
      <c r="V455" s="16">
        <v>44553</v>
      </c>
      <c r="W455" s="12" t="s">
        <v>4015</v>
      </c>
      <c r="X455" s="12" t="s">
        <v>4016</v>
      </c>
      <c r="Y455" s="12" t="s">
        <v>5550</v>
      </c>
      <c r="Z455" s="12">
        <v>5</v>
      </c>
      <c r="AA455" s="12" t="s">
        <v>55</v>
      </c>
      <c r="AB455" s="12" t="s">
        <v>5551</v>
      </c>
      <c r="AC455" s="12" t="s">
        <v>4473</v>
      </c>
      <c r="AD455" s="12" t="s">
        <v>299</v>
      </c>
      <c r="AE455" s="12">
        <v>1360000</v>
      </c>
      <c r="AF455" s="13">
        <v>20400</v>
      </c>
      <c r="AG455" s="12"/>
      <c r="AH455" s="12"/>
      <c r="AI455" s="12"/>
      <c r="AJ455" s="12" t="s">
        <v>11831</v>
      </c>
      <c r="AK455" s="13">
        <v>20400</v>
      </c>
      <c r="AL455" s="13"/>
      <c r="AM455" s="14">
        <f t="shared" si="7"/>
        <v>0</v>
      </c>
      <c r="AN455" s="12" t="s">
        <v>12004</v>
      </c>
    </row>
    <row r="456" spans="1:40" x14ac:dyDescent="0.25">
      <c r="A456" s="8">
        <v>455</v>
      </c>
      <c r="B456" s="9" t="s">
        <v>35</v>
      </c>
      <c r="C456" s="9" t="s">
        <v>5552</v>
      </c>
      <c r="D456" s="9" t="s">
        <v>37</v>
      </c>
      <c r="E456" s="9" t="s">
        <v>5553</v>
      </c>
      <c r="F456" s="9" t="s">
        <v>107</v>
      </c>
      <c r="G456" s="9" t="s">
        <v>5554</v>
      </c>
      <c r="H456" s="9" t="s">
        <v>5555</v>
      </c>
      <c r="I456" s="9" t="s">
        <v>5555</v>
      </c>
      <c r="J456" s="9" t="s">
        <v>5555</v>
      </c>
      <c r="K456" s="9" t="s">
        <v>5556</v>
      </c>
      <c r="L456" s="9">
        <v>1120000</v>
      </c>
      <c r="M456" s="9">
        <v>1600000</v>
      </c>
      <c r="N456" s="9" t="s">
        <v>5557</v>
      </c>
      <c r="O456" s="10">
        <v>45642</v>
      </c>
      <c r="P456" s="9" t="s">
        <v>5558</v>
      </c>
      <c r="Q456" s="9" t="s">
        <v>5559</v>
      </c>
      <c r="R456" s="9" t="s">
        <v>146</v>
      </c>
      <c r="S456" s="9" t="s">
        <v>5560</v>
      </c>
      <c r="T456" s="9" t="s">
        <v>3356</v>
      </c>
      <c r="U456" s="9" t="s">
        <v>50</v>
      </c>
      <c r="V456" s="10">
        <v>44551</v>
      </c>
      <c r="W456" s="9" t="s">
        <v>4473</v>
      </c>
      <c r="X456" s="9" t="s">
        <v>5561</v>
      </c>
      <c r="Y456" s="9" t="s">
        <v>5562</v>
      </c>
      <c r="Z456" s="9">
        <v>6</v>
      </c>
      <c r="AA456" s="9" t="s">
        <v>55</v>
      </c>
      <c r="AB456" s="9" t="s">
        <v>5563</v>
      </c>
      <c r="AC456" s="9" t="s">
        <v>4176</v>
      </c>
      <c r="AD456" s="9" t="s">
        <v>299</v>
      </c>
      <c r="AE456" s="9">
        <v>1280000</v>
      </c>
      <c r="AF456" s="11">
        <v>19200</v>
      </c>
      <c r="AG456" s="9"/>
      <c r="AH456" s="9"/>
      <c r="AI456" s="9"/>
      <c r="AJ456" s="12" t="s">
        <v>11832</v>
      </c>
      <c r="AK456" s="13">
        <v>19200</v>
      </c>
      <c r="AL456" s="13"/>
      <c r="AM456" s="14">
        <f t="shared" si="7"/>
        <v>0</v>
      </c>
      <c r="AN456" s="12" t="s">
        <v>12004</v>
      </c>
    </row>
    <row r="457" spans="1:40" x14ac:dyDescent="0.25">
      <c r="A457" s="15">
        <v>456</v>
      </c>
      <c r="B457" s="12" t="s">
        <v>35</v>
      </c>
      <c r="C457" s="12" t="s">
        <v>5564</v>
      </c>
      <c r="D457" s="12" t="s">
        <v>37</v>
      </c>
      <c r="E457" s="12" t="s">
        <v>5565</v>
      </c>
      <c r="F457" s="12" t="s">
        <v>89</v>
      </c>
      <c r="G457" s="12" t="s">
        <v>5566</v>
      </c>
      <c r="H457" s="12" t="s">
        <v>5567</v>
      </c>
      <c r="I457" s="12" t="s">
        <v>48</v>
      </c>
      <c r="J457" s="12" t="s">
        <v>141</v>
      </c>
      <c r="K457" s="12" t="s">
        <v>5568</v>
      </c>
      <c r="L457" s="12">
        <v>992000</v>
      </c>
      <c r="M457" s="12">
        <v>1240000</v>
      </c>
      <c r="N457" s="12" t="s">
        <v>5569</v>
      </c>
      <c r="O457" s="16">
        <v>45642</v>
      </c>
      <c r="P457" s="12" t="s">
        <v>5570</v>
      </c>
      <c r="Q457" s="12" t="s">
        <v>5571</v>
      </c>
      <c r="R457" s="12" t="s">
        <v>146</v>
      </c>
      <c r="S457" s="12" t="s">
        <v>5572</v>
      </c>
      <c r="T457" s="12" t="s">
        <v>181</v>
      </c>
      <c r="U457" s="12" t="s">
        <v>903</v>
      </c>
      <c r="V457" s="16">
        <v>44547</v>
      </c>
      <c r="W457" s="12" t="s">
        <v>4473</v>
      </c>
      <c r="X457" s="12" t="s">
        <v>4588</v>
      </c>
      <c r="Y457" s="12" t="s">
        <v>5573</v>
      </c>
      <c r="Z457" s="12">
        <v>5</v>
      </c>
      <c r="AA457" s="12" t="s">
        <v>118</v>
      </c>
      <c r="AB457" s="12" t="s">
        <v>5574</v>
      </c>
      <c r="AC457" s="12" t="s">
        <v>5575</v>
      </c>
      <c r="AD457" s="12" t="s">
        <v>299</v>
      </c>
      <c r="AE457" s="12">
        <v>992000</v>
      </c>
      <c r="AF457" s="13">
        <v>14880</v>
      </c>
      <c r="AG457" s="12"/>
      <c r="AH457" s="12"/>
      <c r="AI457" s="12"/>
      <c r="AJ457" s="12" t="s">
        <v>11833</v>
      </c>
      <c r="AK457" s="13">
        <v>14880</v>
      </c>
      <c r="AL457" s="13"/>
      <c r="AM457" s="14">
        <f t="shared" si="7"/>
        <v>0</v>
      </c>
      <c r="AN457" s="12" t="s">
        <v>12004</v>
      </c>
    </row>
    <row r="458" spans="1:40" x14ac:dyDescent="0.25">
      <c r="A458" s="8">
        <v>457</v>
      </c>
      <c r="B458" s="9" t="s">
        <v>35</v>
      </c>
      <c r="C458" s="9" t="s">
        <v>5576</v>
      </c>
      <c r="D458" s="9" t="s">
        <v>37</v>
      </c>
      <c r="E458" s="9" t="s">
        <v>5577</v>
      </c>
      <c r="F458" s="9" t="s">
        <v>4022</v>
      </c>
      <c r="G458" s="9" t="s">
        <v>5578</v>
      </c>
      <c r="H458" s="9" t="s">
        <v>5579</v>
      </c>
      <c r="I458" s="9" t="s">
        <v>5580</v>
      </c>
      <c r="J458" s="9" t="s">
        <v>5581</v>
      </c>
      <c r="K458" s="9" t="s">
        <v>5582</v>
      </c>
      <c r="L458" s="9">
        <v>1035000</v>
      </c>
      <c r="M458" s="9">
        <v>1380000</v>
      </c>
      <c r="N458" s="9" t="s">
        <v>5583</v>
      </c>
      <c r="O458" s="10">
        <v>45642</v>
      </c>
      <c r="P458" s="9" t="s">
        <v>5584</v>
      </c>
      <c r="Q458" s="9" t="s">
        <v>5585</v>
      </c>
      <c r="R458" s="9" t="s">
        <v>47</v>
      </c>
      <c r="S458" s="9" t="s">
        <v>5586</v>
      </c>
      <c r="T458" s="9" t="s">
        <v>1909</v>
      </c>
      <c r="U458" s="9" t="s">
        <v>496</v>
      </c>
      <c r="V458" s="10">
        <v>43458</v>
      </c>
      <c r="W458" s="9" t="s">
        <v>5587</v>
      </c>
      <c r="X458" s="9" t="s">
        <v>5267</v>
      </c>
      <c r="Y458" s="9" t="s">
        <v>5588</v>
      </c>
      <c r="Z458" s="9">
        <v>7</v>
      </c>
      <c r="AA458" s="9" t="s">
        <v>323</v>
      </c>
      <c r="AB458" s="9" t="s">
        <v>5589</v>
      </c>
      <c r="AC458" s="9" t="s">
        <v>5590</v>
      </c>
      <c r="AD458" s="9" t="s">
        <v>171</v>
      </c>
      <c r="AE458" s="9">
        <v>897000</v>
      </c>
      <c r="AF458" s="11">
        <v>22425</v>
      </c>
      <c r="AG458" s="9"/>
      <c r="AH458" s="9"/>
      <c r="AI458" s="9"/>
      <c r="AJ458" s="12" t="s">
        <v>11834</v>
      </c>
      <c r="AK458" s="13">
        <v>22425</v>
      </c>
      <c r="AL458" s="13"/>
      <c r="AM458" s="14">
        <f t="shared" si="7"/>
        <v>0</v>
      </c>
      <c r="AN458" s="12" t="s">
        <v>12004</v>
      </c>
    </row>
    <row r="459" spans="1:40" x14ac:dyDescent="0.25">
      <c r="A459" s="15">
        <v>458</v>
      </c>
      <c r="B459" s="12" t="s">
        <v>35</v>
      </c>
      <c r="C459" s="12" t="s">
        <v>5591</v>
      </c>
      <c r="D459" s="12" t="s">
        <v>37</v>
      </c>
      <c r="E459" s="12" t="s">
        <v>5592</v>
      </c>
      <c r="F459" s="12" t="s">
        <v>39</v>
      </c>
      <c r="G459" s="12" t="s">
        <v>5593</v>
      </c>
      <c r="H459" s="12" t="s">
        <v>5594</v>
      </c>
      <c r="I459" s="12" t="s">
        <v>5595</v>
      </c>
      <c r="J459" s="12" t="s">
        <v>5594</v>
      </c>
      <c r="K459" s="12" t="s">
        <v>5596</v>
      </c>
      <c r="L459" s="12">
        <v>975000</v>
      </c>
      <c r="M459" s="12">
        <v>1500000</v>
      </c>
      <c r="N459" s="12" t="s">
        <v>5597</v>
      </c>
      <c r="O459" s="16">
        <v>45641</v>
      </c>
      <c r="P459" s="12" t="s">
        <v>5598</v>
      </c>
      <c r="Q459" s="12" t="s">
        <v>5599</v>
      </c>
      <c r="R459" s="12" t="s">
        <v>146</v>
      </c>
      <c r="S459" s="12" t="s">
        <v>5600</v>
      </c>
      <c r="T459" s="12" t="s">
        <v>321</v>
      </c>
      <c r="U459" s="12" t="s">
        <v>496</v>
      </c>
      <c r="V459" s="16">
        <v>44550</v>
      </c>
      <c r="W459" s="12" t="s">
        <v>4473</v>
      </c>
      <c r="X459" s="12" t="s">
        <v>5267</v>
      </c>
      <c r="Y459" s="12" t="s">
        <v>5601</v>
      </c>
      <c r="Z459" s="12">
        <v>4</v>
      </c>
      <c r="AA459" s="12" t="s">
        <v>118</v>
      </c>
      <c r="AB459" s="12" t="s">
        <v>5602</v>
      </c>
      <c r="AC459" s="12" t="s">
        <v>5433</v>
      </c>
      <c r="AD459" s="12" t="s">
        <v>299</v>
      </c>
      <c r="AE459" s="12">
        <v>1200000</v>
      </c>
      <c r="AF459" s="13">
        <v>18000</v>
      </c>
      <c r="AG459" s="12"/>
      <c r="AH459" s="12"/>
      <c r="AI459" s="12"/>
      <c r="AJ459" s="12" t="s">
        <v>11835</v>
      </c>
      <c r="AK459" s="13">
        <v>18000</v>
      </c>
      <c r="AL459" s="13"/>
      <c r="AM459" s="14">
        <f t="shared" si="7"/>
        <v>0</v>
      </c>
      <c r="AN459" s="12" t="s">
        <v>12004</v>
      </c>
    </row>
    <row r="460" spans="1:40" x14ac:dyDescent="0.25">
      <c r="A460" s="8">
        <v>459</v>
      </c>
      <c r="B460" s="9" t="s">
        <v>35</v>
      </c>
      <c r="C460" s="9" t="s">
        <v>5603</v>
      </c>
      <c r="D460" s="9" t="s">
        <v>37</v>
      </c>
      <c r="E460" s="9" t="s">
        <v>5604</v>
      </c>
      <c r="F460" s="9" t="s">
        <v>138</v>
      </c>
      <c r="G460" s="9" t="s">
        <v>5605</v>
      </c>
      <c r="H460" s="9" t="s">
        <v>5606</v>
      </c>
      <c r="I460" s="9" t="s">
        <v>5606</v>
      </c>
      <c r="J460" s="9" t="s">
        <v>5606</v>
      </c>
      <c r="K460" s="9" t="s">
        <v>5607</v>
      </c>
      <c r="L460" s="9">
        <v>1320200</v>
      </c>
      <c r="M460" s="9">
        <v>1886000</v>
      </c>
      <c r="N460" s="9" t="s">
        <v>5608</v>
      </c>
      <c r="O460" s="10">
        <v>45641</v>
      </c>
      <c r="P460" s="9" t="s">
        <v>5609</v>
      </c>
      <c r="Q460" s="9" t="s">
        <v>5610</v>
      </c>
      <c r="R460" s="9" t="s">
        <v>47</v>
      </c>
      <c r="S460" s="9" t="s">
        <v>48</v>
      </c>
      <c r="T460" s="9" t="s">
        <v>1276</v>
      </c>
      <c r="U460" s="9" t="s">
        <v>148</v>
      </c>
      <c r="V460" s="10">
        <v>44666</v>
      </c>
      <c r="W460" s="9" t="s">
        <v>3988</v>
      </c>
      <c r="X460" s="9" t="s">
        <v>3989</v>
      </c>
      <c r="Y460" s="9" t="s">
        <v>5611</v>
      </c>
      <c r="Z460" s="9">
        <v>5</v>
      </c>
      <c r="AA460" s="9" t="s">
        <v>55</v>
      </c>
      <c r="AB460" s="9" t="s">
        <v>5612</v>
      </c>
      <c r="AC460" s="9" t="s">
        <v>3992</v>
      </c>
      <c r="AD460" s="9" t="s">
        <v>58</v>
      </c>
      <c r="AE460" s="9">
        <v>1603100</v>
      </c>
      <c r="AF460" s="11">
        <v>32062</v>
      </c>
      <c r="AG460" s="9"/>
      <c r="AH460" s="9"/>
      <c r="AI460" s="9"/>
      <c r="AJ460" s="12" t="s">
        <v>11836</v>
      </c>
      <c r="AK460" s="13">
        <v>32062</v>
      </c>
      <c r="AL460" s="13"/>
      <c r="AM460" s="14">
        <f t="shared" si="7"/>
        <v>0</v>
      </c>
      <c r="AN460" s="12" t="s">
        <v>12004</v>
      </c>
    </row>
    <row r="461" spans="1:40" x14ac:dyDescent="0.25">
      <c r="A461" s="15">
        <v>460</v>
      </c>
      <c r="B461" s="12" t="s">
        <v>35</v>
      </c>
      <c r="C461" s="12" t="s">
        <v>5613</v>
      </c>
      <c r="D461" s="12" t="s">
        <v>37</v>
      </c>
      <c r="E461" s="12" t="s">
        <v>5614</v>
      </c>
      <c r="F461" s="12" t="s">
        <v>107</v>
      </c>
      <c r="G461" s="12" t="s">
        <v>5615</v>
      </c>
      <c r="H461" s="12" t="s">
        <v>5616</v>
      </c>
      <c r="I461" s="12" t="s">
        <v>5616</v>
      </c>
      <c r="J461" s="12" t="s">
        <v>5616</v>
      </c>
      <c r="K461" s="12" t="s">
        <v>5617</v>
      </c>
      <c r="L461" s="12">
        <v>1213100</v>
      </c>
      <c r="M461" s="12">
        <v>1733000</v>
      </c>
      <c r="N461" s="12" t="s">
        <v>5618</v>
      </c>
      <c r="O461" s="16">
        <v>45641</v>
      </c>
      <c r="P461" s="12" t="s">
        <v>5619</v>
      </c>
      <c r="Q461" s="12" t="s">
        <v>5620</v>
      </c>
      <c r="R461" s="12" t="s">
        <v>47</v>
      </c>
      <c r="S461" s="12" t="s">
        <v>48</v>
      </c>
      <c r="T461" s="12" t="s">
        <v>194</v>
      </c>
      <c r="U461" s="12" t="s">
        <v>148</v>
      </c>
      <c r="V461" s="16">
        <v>44735</v>
      </c>
      <c r="W461" s="12" t="s">
        <v>5621</v>
      </c>
      <c r="X461" s="12" t="s">
        <v>5561</v>
      </c>
      <c r="Y461" s="12" t="s">
        <v>5622</v>
      </c>
      <c r="Z461" s="12">
        <v>5</v>
      </c>
      <c r="AA461" s="12" t="s">
        <v>227</v>
      </c>
      <c r="AB461" s="12" t="s">
        <v>5623</v>
      </c>
      <c r="AC461" s="12" t="s">
        <v>3992</v>
      </c>
      <c r="AD461" s="12" t="s">
        <v>58</v>
      </c>
      <c r="AE461" s="12">
        <v>1473050</v>
      </c>
      <c r="AF461" s="13">
        <v>29461</v>
      </c>
      <c r="AG461" s="12"/>
      <c r="AH461" s="12"/>
      <c r="AI461" s="12"/>
      <c r="AJ461" s="12" t="s">
        <v>11837</v>
      </c>
      <c r="AK461" s="13">
        <v>29461</v>
      </c>
      <c r="AL461" s="13"/>
      <c r="AM461" s="14">
        <f t="shared" si="7"/>
        <v>0</v>
      </c>
      <c r="AN461" s="12" t="s">
        <v>12004</v>
      </c>
    </row>
    <row r="462" spans="1:40" x14ac:dyDescent="0.25">
      <c r="A462" s="8">
        <v>461</v>
      </c>
      <c r="B462" s="9" t="s">
        <v>35</v>
      </c>
      <c r="C462" s="9" t="s">
        <v>5624</v>
      </c>
      <c r="D462" s="9" t="s">
        <v>37</v>
      </c>
      <c r="E462" s="9" t="s">
        <v>5625</v>
      </c>
      <c r="F462" s="9" t="s">
        <v>138</v>
      </c>
      <c r="G462" s="9" t="s">
        <v>5626</v>
      </c>
      <c r="H462" s="9" t="s">
        <v>5627</v>
      </c>
      <c r="I462" s="9" t="s">
        <v>5628</v>
      </c>
      <c r="J462" s="9" t="s">
        <v>5629</v>
      </c>
      <c r="K462" s="9" t="s">
        <v>5630</v>
      </c>
      <c r="L462" s="9">
        <v>1920000</v>
      </c>
      <c r="M462" s="9">
        <v>3200000</v>
      </c>
      <c r="N462" s="9" t="s">
        <v>5631</v>
      </c>
      <c r="O462" s="10">
        <v>45641</v>
      </c>
      <c r="P462" s="9" t="s">
        <v>5632</v>
      </c>
      <c r="Q462" s="9" t="s">
        <v>5633</v>
      </c>
      <c r="R462" s="9" t="s">
        <v>146</v>
      </c>
      <c r="S462" s="9" t="s">
        <v>5634</v>
      </c>
      <c r="T462" s="9" t="s">
        <v>601</v>
      </c>
      <c r="U462" s="9" t="s">
        <v>335</v>
      </c>
      <c r="V462" s="10">
        <v>44914</v>
      </c>
      <c r="W462" s="9" t="s">
        <v>5621</v>
      </c>
      <c r="X462" s="9" t="s">
        <v>5267</v>
      </c>
      <c r="Y462" s="9" t="s">
        <v>5635</v>
      </c>
      <c r="Z462" s="9">
        <v>3</v>
      </c>
      <c r="AA462" s="9" t="s">
        <v>227</v>
      </c>
      <c r="AB462" s="9" t="s">
        <v>5636</v>
      </c>
      <c r="AC462" s="9" t="s">
        <v>3992</v>
      </c>
      <c r="AD462" s="9" t="s">
        <v>86</v>
      </c>
      <c r="AE462" s="9">
        <v>2720000</v>
      </c>
      <c r="AF462" s="11">
        <v>47600</v>
      </c>
      <c r="AG462" s="9"/>
      <c r="AH462" s="9"/>
      <c r="AI462" s="9"/>
      <c r="AJ462" s="12" t="s">
        <v>11838</v>
      </c>
      <c r="AK462" s="13">
        <v>47600</v>
      </c>
      <c r="AL462" s="13"/>
      <c r="AM462" s="14">
        <f t="shared" si="7"/>
        <v>0</v>
      </c>
      <c r="AN462" s="12" t="s">
        <v>12004</v>
      </c>
    </row>
    <row r="463" spans="1:40" x14ac:dyDescent="0.25">
      <c r="A463" s="15">
        <v>462</v>
      </c>
      <c r="B463" s="12" t="s">
        <v>35</v>
      </c>
      <c r="C463" s="12" t="s">
        <v>5637</v>
      </c>
      <c r="D463" s="12" t="s">
        <v>37</v>
      </c>
      <c r="E463" s="12" t="s">
        <v>5638</v>
      </c>
      <c r="F463" s="12" t="s">
        <v>245</v>
      </c>
      <c r="G463" s="12" t="s">
        <v>5639</v>
      </c>
      <c r="H463" s="12" t="s">
        <v>5640</v>
      </c>
      <c r="I463" s="12" t="s">
        <v>5641</v>
      </c>
      <c r="J463" s="12" t="s">
        <v>5642</v>
      </c>
      <c r="K463" s="12" t="s">
        <v>5643</v>
      </c>
      <c r="L463" s="12">
        <v>2826880</v>
      </c>
      <c r="M463" s="12">
        <v>4417000</v>
      </c>
      <c r="N463" s="12" t="s">
        <v>5644</v>
      </c>
      <c r="O463" s="16">
        <v>45641</v>
      </c>
      <c r="P463" s="12" t="s">
        <v>5645</v>
      </c>
      <c r="Q463" s="12" t="s">
        <v>5646</v>
      </c>
      <c r="R463" s="12" t="s">
        <v>47</v>
      </c>
      <c r="S463" s="12" t="s">
        <v>48</v>
      </c>
      <c r="T463" s="12" t="s">
        <v>5647</v>
      </c>
      <c r="U463" s="12" t="s">
        <v>50</v>
      </c>
      <c r="V463" s="16">
        <v>44550</v>
      </c>
      <c r="W463" s="12" t="s">
        <v>4473</v>
      </c>
      <c r="X463" s="12" t="s">
        <v>4588</v>
      </c>
      <c r="Y463" s="12" t="s">
        <v>5648</v>
      </c>
      <c r="Z463" s="12">
        <v>5</v>
      </c>
      <c r="AA463" s="12" t="s">
        <v>118</v>
      </c>
      <c r="AB463" s="12" t="s">
        <v>5649</v>
      </c>
      <c r="AC463" s="12" t="s">
        <v>5575</v>
      </c>
      <c r="AD463" s="12" t="s">
        <v>58</v>
      </c>
      <c r="AE463" s="12">
        <v>3533600</v>
      </c>
      <c r="AF463" s="13">
        <v>70672</v>
      </c>
      <c r="AG463" s="12"/>
      <c r="AH463" s="12"/>
      <c r="AI463" s="12"/>
      <c r="AJ463" s="12" t="s">
        <v>11839</v>
      </c>
      <c r="AK463" s="13">
        <v>70672</v>
      </c>
      <c r="AL463" s="13"/>
      <c r="AM463" s="14">
        <f t="shared" si="7"/>
        <v>0</v>
      </c>
      <c r="AN463" s="12" t="s">
        <v>12004</v>
      </c>
    </row>
    <row r="464" spans="1:40" x14ac:dyDescent="0.25">
      <c r="A464" s="8">
        <v>463</v>
      </c>
      <c r="B464" s="9" t="s">
        <v>35</v>
      </c>
      <c r="C464" s="9" t="s">
        <v>5650</v>
      </c>
      <c r="D464" s="9" t="s">
        <v>37</v>
      </c>
      <c r="E464" s="9" t="s">
        <v>5651</v>
      </c>
      <c r="F464" s="9" t="s">
        <v>138</v>
      </c>
      <c r="G464" s="9" t="s">
        <v>5652</v>
      </c>
      <c r="H464" s="9" t="s">
        <v>5653</v>
      </c>
      <c r="I464" s="9" t="s">
        <v>5653</v>
      </c>
      <c r="J464" s="9" t="s">
        <v>5653</v>
      </c>
      <c r="K464" s="9" t="s">
        <v>5654</v>
      </c>
      <c r="L464" s="9">
        <v>2345000</v>
      </c>
      <c r="M464" s="9">
        <v>3350000</v>
      </c>
      <c r="N464" s="9" t="s">
        <v>5655</v>
      </c>
      <c r="O464" s="10">
        <v>45641</v>
      </c>
      <c r="P464" s="9" t="s">
        <v>5656</v>
      </c>
      <c r="Q464" s="9" t="s">
        <v>5657</v>
      </c>
      <c r="R464" s="9" t="s">
        <v>146</v>
      </c>
      <c r="S464" s="9" t="s">
        <v>48</v>
      </c>
      <c r="T464" s="9" t="s">
        <v>4411</v>
      </c>
      <c r="U464" s="9" t="s">
        <v>651</v>
      </c>
      <c r="V464" s="10">
        <v>44547</v>
      </c>
      <c r="W464" s="9" t="s">
        <v>4473</v>
      </c>
      <c r="X464" s="9" t="s">
        <v>4588</v>
      </c>
      <c r="Y464" s="9" t="s">
        <v>5658</v>
      </c>
      <c r="Z464" s="9">
        <v>5</v>
      </c>
      <c r="AA464" s="9" t="s">
        <v>55</v>
      </c>
      <c r="AB464" s="9" t="s">
        <v>5659</v>
      </c>
      <c r="AC464" s="9" t="s">
        <v>5433</v>
      </c>
      <c r="AD464" s="9" t="s">
        <v>299</v>
      </c>
      <c r="AE464" s="9">
        <v>2680000</v>
      </c>
      <c r="AF464" s="11">
        <v>40200</v>
      </c>
      <c r="AG464" s="9"/>
      <c r="AH464" s="9"/>
      <c r="AI464" s="9"/>
      <c r="AJ464" s="12" t="s">
        <v>11840</v>
      </c>
      <c r="AK464" s="13">
        <v>40200</v>
      </c>
      <c r="AL464" s="13"/>
      <c r="AM464" s="14">
        <f t="shared" si="7"/>
        <v>0</v>
      </c>
      <c r="AN464" s="12" t="s">
        <v>12004</v>
      </c>
    </row>
    <row r="465" spans="1:40" x14ac:dyDescent="0.25">
      <c r="A465" s="15">
        <v>464</v>
      </c>
      <c r="B465" s="12" t="s">
        <v>35</v>
      </c>
      <c r="C465" s="12" t="s">
        <v>5660</v>
      </c>
      <c r="D465" s="12" t="s">
        <v>37</v>
      </c>
      <c r="E465" s="12" t="s">
        <v>5661</v>
      </c>
      <c r="F465" s="12" t="s">
        <v>138</v>
      </c>
      <c r="G465" s="12" t="s">
        <v>5662</v>
      </c>
      <c r="H465" s="12" t="s">
        <v>5663</v>
      </c>
      <c r="I465" s="12" t="s">
        <v>5663</v>
      </c>
      <c r="J465" s="12" t="s">
        <v>5663</v>
      </c>
      <c r="K465" s="12" t="s">
        <v>5664</v>
      </c>
      <c r="L465" s="12">
        <v>2285500</v>
      </c>
      <c r="M465" s="12">
        <v>3265000</v>
      </c>
      <c r="N465" s="12" t="s">
        <v>5665</v>
      </c>
      <c r="O465" s="16">
        <v>45641</v>
      </c>
      <c r="P465" s="12" t="s">
        <v>5666</v>
      </c>
      <c r="Q465" s="12" t="s">
        <v>5667</v>
      </c>
      <c r="R465" s="12" t="s">
        <v>146</v>
      </c>
      <c r="S465" s="12" t="s">
        <v>5668</v>
      </c>
      <c r="T465" s="12" t="s">
        <v>5669</v>
      </c>
      <c r="U465" s="12" t="s">
        <v>335</v>
      </c>
      <c r="V465" s="16">
        <v>44550</v>
      </c>
      <c r="W465" s="12" t="s">
        <v>4473</v>
      </c>
      <c r="X465" s="12" t="s">
        <v>4588</v>
      </c>
      <c r="Y465" s="12" t="s">
        <v>5670</v>
      </c>
      <c r="Z465" s="12">
        <v>5</v>
      </c>
      <c r="AA465" s="12" t="s">
        <v>55</v>
      </c>
      <c r="AB465" s="12" t="s">
        <v>5671</v>
      </c>
      <c r="AC465" s="12" t="s">
        <v>5433</v>
      </c>
      <c r="AD465" s="12" t="s">
        <v>299</v>
      </c>
      <c r="AE465" s="12">
        <v>2612000</v>
      </c>
      <c r="AF465" s="13">
        <v>39180</v>
      </c>
      <c r="AG465" s="12"/>
      <c r="AH465" s="12"/>
      <c r="AI465" s="12"/>
      <c r="AJ465" s="12" t="s">
        <v>11841</v>
      </c>
      <c r="AK465" s="13">
        <v>39180</v>
      </c>
      <c r="AL465" s="13"/>
      <c r="AM465" s="14">
        <f t="shared" si="7"/>
        <v>0</v>
      </c>
      <c r="AN465" s="12" t="s">
        <v>12004</v>
      </c>
    </row>
    <row r="466" spans="1:40" x14ac:dyDescent="0.25">
      <c r="A466" s="8">
        <v>465</v>
      </c>
      <c r="B466" s="9" t="s">
        <v>35</v>
      </c>
      <c r="C466" s="9" t="s">
        <v>5672</v>
      </c>
      <c r="D466" s="9" t="s">
        <v>37</v>
      </c>
      <c r="E466" s="9" t="s">
        <v>5673</v>
      </c>
      <c r="F466" s="9" t="s">
        <v>138</v>
      </c>
      <c r="G466" s="9" t="s">
        <v>5674</v>
      </c>
      <c r="H466" s="9" t="s">
        <v>5675</v>
      </c>
      <c r="I466" s="9" t="s">
        <v>5676</v>
      </c>
      <c r="J466" s="9" t="s">
        <v>5675</v>
      </c>
      <c r="K466" s="9" t="s">
        <v>5677</v>
      </c>
      <c r="L466" s="9">
        <v>1859900</v>
      </c>
      <c r="M466" s="9">
        <v>2657000</v>
      </c>
      <c r="N466" s="9" t="s">
        <v>5678</v>
      </c>
      <c r="O466" s="10">
        <v>45641</v>
      </c>
      <c r="P466" s="9" t="s">
        <v>5679</v>
      </c>
      <c r="Q466" s="9" t="s">
        <v>5680</v>
      </c>
      <c r="R466" s="9" t="s">
        <v>47</v>
      </c>
      <c r="S466" s="9" t="s">
        <v>48</v>
      </c>
      <c r="T466" s="9" t="s">
        <v>480</v>
      </c>
      <c r="U466" s="9" t="s">
        <v>98</v>
      </c>
      <c r="V466" s="10">
        <v>44155</v>
      </c>
      <c r="W466" s="9" t="s">
        <v>5266</v>
      </c>
      <c r="X466" s="9" t="s">
        <v>5561</v>
      </c>
      <c r="Y466" s="9" t="s">
        <v>5681</v>
      </c>
      <c r="Z466" s="9">
        <v>7</v>
      </c>
      <c r="AA466" s="9" t="s">
        <v>227</v>
      </c>
      <c r="AB466" s="9" t="s">
        <v>5682</v>
      </c>
      <c r="AC466" s="9" t="s">
        <v>5683</v>
      </c>
      <c r="AD466" s="9" t="s">
        <v>58</v>
      </c>
      <c r="AE466" s="9">
        <v>1992750</v>
      </c>
      <c r="AF466" s="11">
        <v>39855</v>
      </c>
      <c r="AG466" s="9"/>
      <c r="AH466" s="9"/>
      <c r="AI466" s="9"/>
      <c r="AJ466" s="12" t="s">
        <v>11842</v>
      </c>
      <c r="AK466" s="13">
        <v>39855</v>
      </c>
      <c r="AL466" s="13"/>
      <c r="AM466" s="14">
        <f t="shared" si="7"/>
        <v>0</v>
      </c>
      <c r="AN466" s="12" t="s">
        <v>12004</v>
      </c>
    </row>
    <row r="467" spans="1:40" x14ac:dyDescent="0.25">
      <c r="A467" s="15">
        <v>466</v>
      </c>
      <c r="B467" s="12" t="s">
        <v>35</v>
      </c>
      <c r="C467" s="12" t="s">
        <v>5684</v>
      </c>
      <c r="D467" s="12" t="s">
        <v>37</v>
      </c>
      <c r="E467" s="12" t="s">
        <v>5685</v>
      </c>
      <c r="F467" s="12" t="s">
        <v>290</v>
      </c>
      <c r="G467" s="12" t="s">
        <v>5686</v>
      </c>
      <c r="H467" s="12" t="s">
        <v>5687</v>
      </c>
      <c r="I467" s="12" t="s">
        <v>5688</v>
      </c>
      <c r="J467" s="12" t="s">
        <v>48</v>
      </c>
      <c r="K467" s="12" t="s">
        <v>5689</v>
      </c>
      <c r="L467" s="12">
        <v>1613150</v>
      </c>
      <c r="M467" s="12">
        <v>2933000</v>
      </c>
      <c r="N467" s="12" t="s">
        <v>5690</v>
      </c>
      <c r="O467" s="16">
        <v>45641</v>
      </c>
      <c r="P467" s="12" t="s">
        <v>5691</v>
      </c>
      <c r="Q467" s="12" t="s">
        <v>5692</v>
      </c>
      <c r="R467" s="12" t="s">
        <v>47</v>
      </c>
      <c r="S467" s="12" t="s">
        <v>48</v>
      </c>
      <c r="T467" s="12" t="s">
        <v>5693</v>
      </c>
      <c r="U467" s="12" t="s">
        <v>50</v>
      </c>
      <c r="V467" s="16">
        <v>44552</v>
      </c>
      <c r="W467" s="12" t="s">
        <v>4015</v>
      </c>
      <c r="X467" s="12" t="s">
        <v>4016</v>
      </c>
      <c r="Y467" s="12" t="s">
        <v>5694</v>
      </c>
      <c r="Z467" s="12">
        <v>5</v>
      </c>
      <c r="AA467" s="12" t="s">
        <v>55</v>
      </c>
      <c r="AB467" s="12" t="s">
        <v>5695</v>
      </c>
      <c r="AC467" s="12" t="s">
        <v>4176</v>
      </c>
      <c r="AD467" s="12" t="s">
        <v>58</v>
      </c>
      <c r="AE467" s="12">
        <v>2346400</v>
      </c>
      <c r="AF467" s="13">
        <v>46928</v>
      </c>
      <c r="AG467" s="12"/>
      <c r="AH467" s="12"/>
      <c r="AI467" s="12"/>
      <c r="AJ467" s="12" t="s">
        <v>11843</v>
      </c>
      <c r="AK467" s="13">
        <v>46928</v>
      </c>
      <c r="AL467" s="13"/>
      <c r="AM467" s="14">
        <f t="shared" si="7"/>
        <v>0</v>
      </c>
      <c r="AN467" s="12" t="s">
        <v>12004</v>
      </c>
    </row>
    <row r="468" spans="1:40" x14ac:dyDescent="0.25">
      <c r="A468" s="8">
        <v>467</v>
      </c>
      <c r="B468" s="9" t="s">
        <v>35</v>
      </c>
      <c r="C468" s="9" t="s">
        <v>5696</v>
      </c>
      <c r="D468" s="9" t="s">
        <v>37</v>
      </c>
      <c r="E468" s="9" t="s">
        <v>5697</v>
      </c>
      <c r="F468" s="9" t="s">
        <v>107</v>
      </c>
      <c r="G468" s="9" t="s">
        <v>5698</v>
      </c>
      <c r="H468" s="9" t="s">
        <v>48</v>
      </c>
      <c r="I468" s="9" t="s">
        <v>5699</v>
      </c>
      <c r="J468" s="9" t="s">
        <v>48</v>
      </c>
      <c r="K468" s="9" t="s">
        <v>5700</v>
      </c>
      <c r="L468" s="9">
        <v>1360000</v>
      </c>
      <c r="M468" s="9">
        <v>1700000</v>
      </c>
      <c r="N468" s="9" t="s">
        <v>5701</v>
      </c>
      <c r="O468" s="10">
        <v>45641</v>
      </c>
      <c r="P468" s="9" t="s">
        <v>5702</v>
      </c>
      <c r="Q468" s="9" t="s">
        <v>5703</v>
      </c>
      <c r="R468" s="9" t="s">
        <v>146</v>
      </c>
      <c r="S468" s="9" t="s">
        <v>5704</v>
      </c>
      <c r="T468" s="9" t="s">
        <v>3282</v>
      </c>
      <c r="U468" s="9" t="s">
        <v>98</v>
      </c>
      <c r="V468" s="10">
        <v>44551</v>
      </c>
      <c r="W468" s="9" t="s">
        <v>4473</v>
      </c>
      <c r="X468" s="9" t="s">
        <v>4588</v>
      </c>
      <c r="Y468" s="9" t="s">
        <v>5705</v>
      </c>
      <c r="Z468" s="9">
        <v>5</v>
      </c>
      <c r="AA468" s="9" t="s">
        <v>55</v>
      </c>
      <c r="AB468" s="9" t="s">
        <v>5706</v>
      </c>
      <c r="AC468" s="9" t="s">
        <v>4176</v>
      </c>
      <c r="AD468" s="9" t="s">
        <v>299</v>
      </c>
      <c r="AE468" s="9">
        <v>1360000</v>
      </c>
      <c r="AF468" s="11">
        <v>20400</v>
      </c>
      <c r="AG468" s="9"/>
      <c r="AH468" s="9"/>
      <c r="AI468" s="9"/>
      <c r="AJ468" s="12" t="s">
        <v>11844</v>
      </c>
      <c r="AK468" s="13">
        <v>20400</v>
      </c>
      <c r="AL468" s="13"/>
      <c r="AM468" s="14">
        <f t="shared" si="7"/>
        <v>0</v>
      </c>
      <c r="AN468" s="12" t="s">
        <v>12004</v>
      </c>
    </row>
    <row r="469" spans="1:40" x14ac:dyDescent="0.25">
      <c r="A469" s="15">
        <v>468</v>
      </c>
      <c r="B469" s="12" t="s">
        <v>35</v>
      </c>
      <c r="C469" s="12" t="s">
        <v>5707</v>
      </c>
      <c r="D469" s="12" t="s">
        <v>37</v>
      </c>
      <c r="E469" s="12" t="s">
        <v>5708</v>
      </c>
      <c r="F469" s="12" t="s">
        <v>138</v>
      </c>
      <c r="G469" s="12" t="s">
        <v>5709</v>
      </c>
      <c r="H469" s="12" t="s">
        <v>5710</v>
      </c>
      <c r="I469" s="12" t="s">
        <v>5710</v>
      </c>
      <c r="J469" s="12" t="s">
        <v>5710</v>
      </c>
      <c r="K469" s="12" t="s">
        <v>5711</v>
      </c>
      <c r="L469" s="12">
        <v>1295000</v>
      </c>
      <c r="M469" s="12">
        <v>1850000</v>
      </c>
      <c r="N469" s="12" t="s">
        <v>5712</v>
      </c>
      <c r="O469" s="16">
        <v>45641</v>
      </c>
      <c r="P469" s="12" t="s">
        <v>5713</v>
      </c>
      <c r="Q469" s="12" t="s">
        <v>5714</v>
      </c>
      <c r="R469" s="12" t="s">
        <v>146</v>
      </c>
      <c r="S469" s="12" t="s">
        <v>5715</v>
      </c>
      <c r="T469" s="12" t="s">
        <v>5716</v>
      </c>
      <c r="U469" s="12" t="s">
        <v>651</v>
      </c>
      <c r="V469" s="16">
        <v>44550</v>
      </c>
      <c r="W469" s="12" t="s">
        <v>4473</v>
      </c>
      <c r="X469" s="12" t="s">
        <v>4588</v>
      </c>
      <c r="Y469" s="12" t="s">
        <v>5717</v>
      </c>
      <c r="Z469" s="12">
        <v>5</v>
      </c>
      <c r="AA469" s="12" t="s">
        <v>55</v>
      </c>
      <c r="AB469" s="12" t="s">
        <v>5718</v>
      </c>
      <c r="AC469" s="12" t="s">
        <v>4176</v>
      </c>
      <c r="AD469" s="12" t="s">
        <v>299</v>
      </c>
      <c r="AE469" s="12">
        <v>1480000</v>
      </c>
      <c r="AF469" s="13">
        <v>22200</v>
      </c>
      <c r="AG469" s="12"/>
      <c r="AH469" s="12"/>
      <c r="AI469" s="12"/>
      <c r="AJ469" s="12" t="s">
        <v>11845</v>
      </c>
      <c r="AK469" s="13">
        <v>22200</v>
      </c>
      <c r="AL469" s="13"/>
      <c r="AM469" s="14">
        <f t="shared" si="7"/>
        <v>0</v>
      </c>
      <c r="AN469" s="12" t="s">
        <v>12004</v>
      </c>
    </row>
    <row r="470" spans="1:40" x14ac:dyDescent="0.25">
      <c r="A470" s="8">
        <v>469</v>
      </c>
      <c r="B470" s="9" t="s">
        <v>35</v>
      </c>
      <c r="C470" s="9" t="s">
        <v>5719</v>
      </c>
      <c r="D470" s="9" t="s">
        <v>37</v>
      </c>
      <c r="E470" s="9" t="s">
        <v>5720</v>
      </c>
      <c r="F470" s="9" t="s">
        <v>89</v>
      </c>
      <c r="G470" s="9" t="s">
        <v>5721</v>
      </c>
      <c r="H470" s="9" t="s">
        <v>5722</v>
      </c>
      <c r="I470" s="9" t="s">
        <v>5722</v>
      </c>
      <c r="J470" s="9" t="s">
        <v>5723</v>
      </c>
      <c r="K470" s="9" t="s">
        <v>5724</v>
      </c>
      <c r="L470" s="9">
        <v>1628250</v>
      </c>
      <c r="M470" s="9">
        <v>2505000</v>
      </c>
      <c r="N470" s="9" t="s">
        <v>5725</v>
      </c>
      <c r="O470" s="10">
        <v>45641</v>
      </c>
      <c r="P470" s="9" t="s">
        <v>5726</v>
      </c>
      <c r="Q470" s="9" t="s">
        <v>5727</v>
      </c>
      <c r="R470" s="9" t="s">
        <v>47</v>
      </c>
      <c r="S470" s="9" t="s">
        <v>5728</v>
      </c>
      <c r="T470" s="9" t="s">
        <v>480</v>
      </c>
      <c r="U470" s="9" t="s">
        <v>614</v>
      </c>
      <c r="V470" s="10">
        <v>43815</v>
      </c>
      <c r="W470" s="9" t="s">
        <v>5729</v>
      </c>
      <c r="X470" s="9" t="s">
        <v>5267</v>
      </c>
      <c r="Y470" s="9" t="s">
        <v>5730</v>
      </c>
      <c r="Z470" s="9">
        <v>6</v>
      </c>
      <c r="AA470" s="9" t="s">
        <v>55</v>
      </c>
      <c r="AB470" s="9" t="s">
        <v>5731</v>
      </c>
      <c r="AC470" s="9" t="s">
        <v>5732</v>
      </c>
      <c r="AD470" s="9" t="s">
        <v>171</v>
      </c>
      <c r="AE470" s="9">
        <v>1753500</v>
      </c>
      <c r="AF470" s="11">
        <v>43838</v>
      </c>
      <c r="AG470" s="9"/>
      <c r="AH470" s="9"/>
      <c r="AI470" s="9"/>
      <c r="AJ470" s="12" t="s">
        <v>11846</v>
      </c>
      <c r="AK470" s="13">
        <v>43838</v>
      </c>
      <c r="AL470" s="13"/>
      <c r="AM470" s="14">
        <f t="shared" si="7"/>
        <v>0</v>
      </c>
      <c r="AN470" s="12" t="s">
        <v>12004</v>
      </c>
    </row>
    <row r="471" spans="1:40" x14ac:dyDescent="0.25">
      <c r="A471" s="15">
        <v>470</v>
      </c>
      <c r="B471" s="12" t="s">
        <v>35</v>
      </c>
      <c r="C471" s="12" t="s">
        <v>5733</v>
      </c>
      <c r="D471" s="12" t="s">
        <v>37</v>
      </c>
      <c r="E471" s="12" t="s">
        <v>5734</v>
      </c>
      <c r="F471" s="12" t="s">
        <v>39</v>
      </c>
      <c r="G471" s="12" t="s">
        <v>5735</v>
      </c>
      <c r="H471" s="12" t="s">
        <v>5736</v>
      </c>
      <c r="I471" s="12" t="s">
        <v>5737</v>
      </c>
      <c r="J471" s="12" t="s">
        <v>5736</v>
      </c>
      <c r="K471" s="12" t="s">
        <v>5738</v>
      </c>
      <c r="L471" s="12">
        <v>1207500</v>
      </c>
      <c r="M471" s="12">
        <v>1610000</v>
      </c>
      <c r="N471" s="12" t="s">
        <v>5739</v>
      </c>
      <c r="O471" s="16">
        <v>45641</v>
      </c>
      <c r="P471" s="12" t="s">
        <v>5740</v>
      </c>
      <c r="Q471" s="12" t="s">
        <v>5741</v>
      </c>
      <c r="R471" s="12" t="s">
        <v>47</v>
      </c>
      <c r="S471" s="12" t="s">
        <v>48</v>
      </c>
      <c r="T471" s="12" t="s">
        <v>3356</v>
      </c>
      <c r="U471" s="12" t="s">
        <v>50</v>
      </c>
      <c r="V471" s="16">
        <v>44441</v>
      </c>
      <c r="W471" s="12" t="s">
        <v>4473</v>
      </c>
      <c r="X471" s="12" t="s">
        <v>4588</v>
      </c>
      <c r="Y471" s="12" t="s">
        <v>5742</v>
      </c>
      <c r="Z471" s="12">
        <v>5</v>
      </c>
      <c r="AA471" s="12" t="s">
        <v>55</v>
      </c>
      <c r="AB471" s="12" t="s">
        <v>5743</v>
      </c>
      <c r="AC471" s="12" t="s">
        <v>5575</v>
      </c>
      <c r="AD471" s="12" t="s">
        <v>58</v>
      </c>
      <c r="AE471" s="12">
        <v>1288000</v>
      </c>
      <c r="AF471" s="13">
        <v>25760</v>
      </c>
      <c r="AG471" s="12"/>
      <c r="AH471" s="12"/>
      <c r="AI471" s="12"/>
      <c r="AJ471" s="12" t="s">
        <v>11847</v>
      </c>
      <c r="AK471" s="13">
        <v>25760</v>
      </c>
      <c r="AL471" s="13"/>
      <c r="AM471" s="14">
        <f t="shared" si="7"/>
        <v>0</v>
      </c>
      <c r="AN471" s="12" t="s">
        <v>12004</v>
      </c>
    </row>
    <row r="472" spans="1:40" x14ac:dyDescent="0.25">
      <c r="A472" s="8">
        <v>471</v>
      </c>
      <c r="B472" s="9" t="s">
        <v>35</v>
      </c>
      <c r="C472" s="9" t="s">
        <v>5744</v>
      </c>
      <c r="D472" s="9" t="s">
        <v>37</v>
      </c>
      <c r="E472" s="9" t="s">
        <v>5745</v>
      </c>
      <c r="F472" s="9" t="s">
        <v>138</v>
      </c>
      <c r="G472" s="9" t="s">
        <v>5746</v>
      </c>
      <c r="H472" s="9" t="s">
        <v>5747</v>
      </c>
      <c r="I472" s="9" t="s">
        <v>5748</v>
      </c>
      <c r="J472" s="9" t="s">
        <v>5747</v>
      </c>
      <c r="K472" s="9" t="s">
        <v>5749</v>
      </c>
      <c r="L472" s="9">
        <v>1120000</v>
      </c>
      <c r="M472" s="9">
        <v>1400000</v>
      </c>
      <c r="N472" s="9" t="s">
        <v>5750</v>
      </c>
      <c r="O472" s="10">
        <v>45641</v>
      </c>
      <c r="P472" s="9" t="s">
        <v>5751</v>
      </c>
      <c r="Q472" s="9" t="s">
        <v>5752</v>
      </c>
      <c r="R472" s="9" t="s">
        <v>146</v>
      </c>
      <c r="S472" s="9" t="s">
        <v>5753</v>
      </c>
      <c r="T472" s="9" t="s">
        <v>5754</v>
      </c>
      <c r="U472" s="9" t="s">
        <v>496</v>
      </c>
      <c r="V472" s="10">
        <v>44550</v>
      </c>
      <c r="W472" s="9" t="s">
        <v>4473</v>
      </c>
      <c r="X472" s="9" t="s">
        <v>4588</v>
      </c>
      <c r="Y472" s="9" t="s">
        <v>5755</v>
      </c>
      <c r="Z472" s="9">
        <v>5</v>
      </c>
      <c r="AA472" s="9" t="s">
        <v>55</v>
      </c>
      <c r="AB472" s="9" t="s">
        <v>5756</v>
      </c>
      <c r="AC472" s="9" t="s">
        <v>5575</v>
      </c>
      <c r="AD472" s="9" t="s">
        <v>299</v>
      </c>
      <c r="AE472" s="9">
        <v>1120000</v>
      </c>
      <c r="AF472" s="11">
        <v>16800</v>
      </c>
      <c r="AG472" s="9"/>
      <c r="AH472" s="9"/>
      <c r="AI472" s="9"/>
      <c r="AJ472" s="12" t="s">
        <v>11848</v>
      </c>
      <c r="AK472" s="13">
        <v>16800</v>
      </c>
      <c r="AL472" s="13"/>
      <c r="AM472" s="14">
        <f t="shared" si="7"/>
        <v>0</v>
      </c>
      <c r="AN472" s="12" t="s">
        <v>12004</v>
      </c>
    </row>
    <row r="473" spans="1:40" x14ac:dyDescent="0.25">
      <c r="A473" s="15">
        <v>472</v>
      </c>
      <c r="B473" s="12" t="s">
        <v>35</v>
      </c>
      <c r="C473" s="12" t="s">
        <v>5757</v>
      </c>
      <c r="D473" s="12" t="s">
        <v>37</v>
      </c>
      <c r="E473" s="12" t="s">
        <v>5758</v>
      </c>
      <c r="F473" s="12" t="s">
        <v>525</v>
      </c>
      <c r="G473" s="12" t="s">
        <v>5759</v>
      </c>
      <c r="H473" s="12" t="s">
        <v>5760</v>
      </c>
      <c r="I473" s="12" t="s">
        <v>5760</v>
      </c>
      <c r="J473" s="12" t="s">
        <v>5760</v>
      </c>
      <c r="K473" s="12" t="s">
        <v>5761</v>
      </c>
      <c r="L473" s="12">
        <v>1131000</v>
      </c>
      <c r="M473" s="12">
        <v>1508000</v>
      </c>
      <c r="N473" s="12" t="s">
        <v>5762</v>
      </c>
      <c r="O473" s="16">
        <v>45641</v>
      </c>
      <c r="P473" s="12" t="s">
        <v>5763</v>
      </c>
      <c r="Q473" s="12" t="s">
        <v>5764</v>
      </c>
      <c r="R473" s="12" t="s">
        <v>146</v>
      </c>
      <c r="S473" s="12" t="s">
        <v>5765</v>
      </c>
      <c r="T473" s="12" t="s">
        <v>673</v>
      </c>
      <c r="U473" s="12" t="s">
        <v>98</v>
      </c>
      <c r="V473" s="16">
        <v>44553</v>
      </c>
      <c r="W473" s="12" t="s">
        <v>4015</v>
      </c>
      <c r="X473" s="12" t="s">
        <v>3977</v>
      </c>
      <c r="Y473" s="12" t="s">
        <v>5766</v>
      </c>
      <c r="Z473" s="12">
        <v>4</v>
      </c>
      <c r="AA473" s="12" t="s">
        <v>118</v>
      </c>
      <c r="AB473" s="12" t="s">
        <v>5767</v>
      </c>
      <c r="AC473" s="12" t="s">
        <v>4473</v>
      </c>
      <c r="AD473" s="12" t="s">
        <v>299</v>
      </c>
      <c r="AE473" s="12">
        <v>1206400</v>
      </c>
      <c r="AF473" s="13">
        <v>18096</v>
      </c>
      <c r="AG473" s="12"/>
      <c r="AH473" s="12"/>
      <c r="AI473" s="12"/>
      <c r="AJ473" s="12" t="s">
        <v>11849</v>
      </c>
      <c r="AK473" s="13">
        <v>18096</v>
      </c>
      <c r="AL473" s="13"/>
      <c r="AM473" s="14">
        <f t="shared" si="7"/>
        <v>0</v>
      </c>
      <c r="AN473" s="12" t="s">
        <v>12004</v>
      </c>
    </row>
    <row r="474" spans="1:40" x14ac:dyDescent="0.25">
      <c r="A474" s="8">
        <v>473</v>
      </c>
      <c r="B474" s="9" t="s">
        <v>35</v>
      </c>
      <c r="C474" s="9" t="s">
        <v>5768</v>
      </c>
      <c r="D474" s="9" t="s">
        <v>37</v>
      </c>
      <c r="E474" s="9" t="s">
        <v>5769</v>
      </c>
      <c r="F474" s="9" t="s">
        <v>525</v>
      </c>
      <c r="G474" s="9" t="s">
        <v>5770</v>
      </c>
      <c r="H474" s="9" t="s">
        <v>48</v>
      </c>
      <c r="I474" s="9" t="s">
        <v>5771</v>
      </c>
      <c r="J474" s="9" t="s">
        <v>48</v>
      </c>
      <c r="K474" s="9" t="s">
        <v>5772</v>
      </c>
      <c r="L474" s="9">
        <v>1050000</v>
      </c>
      <c r="M474" s="9">
        <v>1500000</v>
      </c>
      <c r="N474" s="9" t="s">
        <v>5773</v>
      </c>
      <c r="O474" s="10">
        <v>45641</v>
      </c>
      <c r="P474" s="9" t="s">
        <v>5774</v>
      </c>
      <c r="Q474" s="9" t="s">
        <v>5775</v>
      </c>
      <c r="R474" s="9" t="s">
        <v>146</v>
      </c>
      <c r="S474" s="9" t="s">
        <v>5776</v>
      </c>
      <c r="T474" s="9" t="s">
        <v>210</v>
      </c>
      <c r="U474" s="9" t="s">
        <v>98</v>
      </c>
      <c r="V474" s="10">
        <v>44550</v>
      </c>
      <c r="W474" s="9" t="s">
        <v>4473</v>
      </c>
      <c r="X474" s="9" t="s">
        <v>4588</v>
      </c>
      <c r="Y474" s="9" t="s">
        <v>5777</v>
      </c>
      <c r="Z474" s="9">
        <v>5</v>
      </c>
      <c r="AA474" s="9" t="s">
        <v>118</v>
      </c>
      <c r="AB474" s="9" t="s">
        <v>5778</v>
      </c>
      <c r="AC474" s="9" t="s">
        <v>5779</v>
      </c>
      <c r="AD474" s="9" t="s">
        <v>299</v>
      </c>
      <c r="AE474" s="9">
        <v>1200000</v>
      </c>
      <c r="AF474" s="11">
        <v>18000</v>
      </c>
      <c r="AG474" s="9"/>
      <c r="AH474" s="9"/>
      <c r="AI474" s="9"/>
      <c r="AJ474" s="12" t="s">
        <v>11850</v>
      </c>
      <c r="AK474" s="13">
        <v>18000</v>
      </c>
      <c r="AL474" s="13"/>
      <c r="AM474" s="14">
        <f t="shared" si="7"/>
        <v>0</v>
      </c>
      <c r="AN474" s="12" t="s">
        <v>12004</v>
      </c>
    </row>
    <row r="475" spans="1:40" x14ac:dyDescent="0.25">
      <c r="A475" s="15">
        <v>474</v>
      </c>
      <c r="B475" s="12" t="s">
        <v>35</v>
      </c>
      <c r="C475" s="12" t="s">
        <v>5780</v>
      </c>
      <c r="D475" s="12" t="s">
        <v>37</v>
      </c>
      <c r="E475" s="12" t="s">
        <v>5781</v>
      </c>
      <c r="F475" s="12" t="s">
        <v>138</v>
      </c>
      <c r="G475" s="12" t="s">
        <v>5782</v>
      </c>
      <c r="H475" s="12" t="s">
        <v>5783</v>
      </c>
      <c r="I475" s="12" t="s">
        <v>5783</v>
      </c>
      <c r="J475" s="12" t="s">
        <v>5783</v>
      </c>
      <c r="K475" s="12" t="s">
        <v>5784</v>
      </c>
      <c r="L475" s="12">
        <v>2054500</v>
      </c>
      <c r="M475" s="12">
        <v>2935000</v>
      </c>
      <c r="N475" s="12" t="s">
        <v>5785</v>
      </c>
      <c r="O475" s="12" t="s">
        <v>5786</v>
      </c>
      <c r="P475" s="12" t="s">
        <v>5787</v>
      </c>
      <c r="Q475" s="12" t="s">
        <v>5788</v>
      </c>
      <c r="R475" s="12" t="s">
        <v>47</v>
      </c>
      <c r="S475" s="12" t="s">
        <v>48</v>
      </c>
      <c r="T475" s="12" t="s">
        <v>613</v>
      </c>
      <c r="U475" s="12" t="s">
        <v>386</v>
      </c>
      <c r="V475" s="16">
        <v>45279</v>
      </c>
      <c r="W475" s="12" t="s">
        <v>4587</v>
      </c>
      <c r="X475" s="12" t="s">
        <v>5561</v>
      </c>
      <c r="Y475" s="12" t="s">
        <v>5789</v>
      </c>
      <c r="Z475" s="12">
        <v>4</v>
      </c>
      <c r="AA475" s="12" t="s">
        <v>55</v>
      </c>
      <c r="AB475" s="12" t="s">
        <v>5790</v>
      </c>
      <c r="AC475" s="12" t="s">
        <v>5111</v>
      </c>
      <c r="AD475" s="12" t="s">
        <v>86</v>
      </c>
      <c r="AE475" s="12">
        <v>2641500</v>
      </c>
      <c r="AF475" s="13">
        <v>46226</v>
      </c>
      <c r="AG475" s="12"/>
      <c r="AH475" s="12"/>
      <c r="AI475" s="12"/>
      <c r="AJ475" s="12" t="s">
        <v>11851</v>
      </c>
      <c r="AK475" s="13">
        <v>46226</v>
      </c>
      <c r="AL475" s="13"/>
      <c r="AM475" s="14">
        <f t="shared" si="7"/>
        <v>0</v>
      </c>
      <c r="AN475" s="12" t="s">
        <v>12004</v>
      </c>
    </row>
    <row r="476" spans="1:40" x14ac:dyDescent="0.25">
      <c r="A476" s="8">
        <v>475</v>
      </c>
      <c r="B476" s="9" t="s">
        <v>35</v>
      </c>
      <c r="C476" s="9" t="s">
        <v>5791</v>
      </c>
      <c r="D476" s="9" t="s">
        <v>37</v>
      </c>
      <c r="E476" s="9" t="s">
        <v>5792</v>
      </c>
      <c r="F476" s="9" t="s">
        <v>138</v>
      </c>
      <c r="G476" s="9" t="s">
        <v>5793</v>
      </c>
      <c r="H476" s="9" t="s">
        <v>5794</v>
      </c>
      <c r="I476" s="9" t="s">
        <v>5795</v>
      </c>
      <c r="J476" s="9" t="s">
        <v>141</v>
      </c>
      <c r="K476" s="9" t="s">
        <v>5796</v>
      </c>
      <c r="L476" s="9">
        <v>3000000</v>
      </c>
      <c r="M476" s="9">
        <v>5000000</v>
      </c>
      <c r="N476" s="9" t="s">
        <v>5797</v>
      </c>
      <c r="O476" s="9" t="s">
        <v>5786</v>
      </c>
      <c r="P476" s="9" t="s">
        <v>5798</v>
      </c>
      <c r="Q476" s="9" t="s">
        <v>5799</v>
      </c>
      <c r="R476" s="9" t="s">
        <v>146</v>
      </c>
      <c r="S476" s="9" t="s">
        <v>5800</v>
      </c>
      <c r="T476" s="9" t="s">
        <v>1128</v>
      </c>
      <c r="U476" s="9" t="s">
        <v>50</v>
      </c>
      <c r="V476" s="10">
        <v>45279</v>
      </c>
      <c r="W476" s="9" t="s">
        <v>4587</v>
      </c>
      <c r="X476" s="9" t="s">
        <v>4588</v>
      </c>
      <c r="Y476" s="9" t="s">
        <v>5801</v>
      </c>
      <c r="Z476" s="9">
        <v>3</v>
      </c>
      <c r="AA476" s="9" t="s">
        <v>152</v>
      </c>
      <c r="AB476" s="9" t="s">
        <v>5802</v>
      </c>
      <c r="AC476" s="9" t="s">
        <v>5803</v>
      </c>
      <c r="AD476" s="9" t="s">
        <v>86</v>
      </c>
      <c r="AE476" s="9">
        <v>4500000</v>
      </c>
      <c r="AF476" s="11">
        <v>78750</v>
      </c>
      <c r="AG476" s="9"/>
      <c r="AH476" s="9"/>
      <c r="AI476" s="9"/>
      <c r="AJ476" s="17" t="s">
        <v>11996</v>
      </c>
      <c r="AK476" s="13">
        <v>78750</v>
      </c>
      <c r="AL476" s="13"/>
      <c r="AM476" s="14">
        <f t="shared" si="7"/>
        <v>0</v>
      </c>
      <c r="AN476" s="12" t="s">
        <v>12004</v>
      </c>
    </row>
    <row r="477" spans="1:40" x14ac:dyDescent="0.25">
      <c r="A477" s="15">
        <v>476</v>
      </c>
      <c r="B477" s="12" t="s">
        <v>35</v>
      </c>
      <c r="C477" s="12" t="s">
        <v>5804</v>
      </c>
      <c r="D477" s="12" t="s">
        <v>37</v>
      </c>
      <c r="E477" s="12" t="s">
        <v>5805</v>
      </c>
      <c r="F477" s="12" t="s">
        <v>138</v>
      </c>
      <c r="G477" s="12" t="s">
        <v>5806</v>
      </c>
      <c r="H477" s="12" t="s">
        <v>48</v>
      </c>
      <c r="I477" s="12" t="s">
        <v>48</v>
      </c>
      <c r="J477" s="12" t="s">
        <v>48</v>
      </c>
      <c r="K477" s="12" t="s">
        <v>5807</v>
      </c>
      <c r="L477" s="12">
        <v>1654871</v>
      </c>
      <c r="M477" s="12">
        <v>2364102</v>
      </c>
      <c r="N477" s="12" t="s">
        <v>5808</v>
      </c>
      <c r="O477" s="16">
        <v>45625</v>
      </c>
      <c r="P477" s="12" t="s">
        <v>5809</v>
      </c>
      <c r="Q477" s="12" t="s">
        <v>5810</v>
      </c>
      <c r="R477" s="12" t="s">
        <v>47</v>
      </c>
      <c r="S477" s="12" t="s">
        <v>48</v>
      </c>
      <c r="T477" s="12" t="s">
        <v>2994</v>
      </c>
      <c r="U477" s="12" t="s">
        <v>148</v>
      </c>
      <c r="V477" s="12" t="s">
        <v>5811</v>
      </c>
      <c r="W477" s="12" t="s">
        <v>940</v>
      </c>
      <c r="X477" s="12" t="s">
        <v>1638</v>
      </c>
      <c r="Y477" s="12" t="s">
        <v>5812</v>
      </c>
      <c r="Z477" s="12">
        <v>5</v>
      </c>
      <c r="AA477" s="12" t="s">
        <v>152</v>
      </c>
      <c r="AB477" s="12" t="s">
        <v>5813</v>
      </c>
      <c r="AC477" s="12" t="s">
        <v>4043</v>
      </c>
      <c r="AD477" s="12" t="s">
        <v>86</v>
      </c>
      <c r="AE477" s="12">
        <v>2009486.7</v>
      </c>
      <c r="AF477" s="13">
        <v>35166</v>
      </c>
      <c r="AG477" s="12"/>
      <c r="AH477" s="12"/>
      <c r="AI477" s="12"/>
      <c r="AJ477" s="12" t="s">
        <v>11852</v>
      </c>
      <c r="AK477" s="13">
        <v>35166</v>
      </c>
      <c r="AL477" s="13"/>
      <c r="AM477" s="14">
        <f t="shared" si="7"/>
        <v>0</v>
      </c>
      <c r="AN477" s="12" t="s">
        <v>12004</v>
      </c>
    </row>
    <row r="478" spans="1:40" x14ac:dyDescent="0.25">
      <c r="A478" s="8">
        <v>477</v>
      </c>
      <c r="B478" s="9" t="s">
        <v>35</v>
      </c>
      <c r="C478" s="9" t="s">
        <v>5814</v>
      </c>
      <c r="D478" s="9" t="s">
        <v>37</v>
      </c>
      <c r="E478" s="9" t="s">
        <v>5815</v>
      </c>
      <c r="F478" s="9" t="s">
        <v>138</v>
      </c>
      <c r="G478" s="9" t="s">
        <v>5816</v>
      </c>
      <c r="H478" s="9" t="s">
        <v>5817</v>
      </c>
      <c r="I478" s="9" t="s">
        <v>5817</v>
      </c>
      <c r="J478" s="9" t="s">
        <v>141</v>
      </c>
      <c r="K478" s="9" t="s">
        <v>5818</v>
      </c>
      <c r="L478" s="9">
        <v>1155000</v>
      </c>
      <c r="M478" s="9">
        <v>5250000</v>
      </c>
      <c r="N478" s="9" t="s">
        <v>5819</v>
      </c>
      <c r="O478" s="9" t="s">
        <v>5786</v>
      </c>
      <c r="P478" s="9" t="s">
        <v>5820</v>
      </c>
      <c r="Q478" s="9" t="s">
        <v>5821</v>
      </c>
      <c r="R478" s="9" t="s">
        <v>146</v>
      </c>
      <c r="S478" s="9" t="s">
        <v>5822</v>
      </c>
      <c r="T478" s="9" t="s">
        <v>1128</v>
      </c>
      <c r="U478" s="9" t="s">
        <v>148</v>
      </c>
      <c r="V478" s="10">
        <v>45279</v>
      </c>
      <c r="W478" s="9" t="s">
        <v>4587</v>
      </c>
      <c r="X478" s="9" t="s">
        <v>4588</v>
      </c>
      <c r="Y478" s="9" t="s">
        <v>5823</v>
      </c>
      <c r="Z478" s="9">
        <v>3</v>
      </c>
      <c r="AA478" s="9" t="s">
        <v>118</v>
      </c>
      <c r="AB478" s="9" t="s">
        <v>5824</v>
      </c>
      <c r="AC478" s="9" t="s">
        <v>5111</v>
      </c>
      <c r="AD478" s="9" t="s">
        <v>299</v>
      </c>
      <c r="AE478" s="9">
        <v>4725000</v>
      </c>
      <c r="AF478" s="11">
        <v>70875</v>
      </c>
      <c r="AG478" s="9"/>
      <c r="AH478" s="9"/>
      <c r="AI478" s="9"/>
      <c r="AJ478" s="12" t="s">
        <v>11853</v>
      </c>
      <c r="AK478" s="13">
        <v>70875</v>
      </c>
      <c r="AL478" s="13"/>
      <c r="AM478" s="14">
        <f t="shared" si="7"/>
        <v>0</v>
      </c>
      <c r="AN478" s="12" t="s">
        <v>12004</v>
      </c>
    </row>
    <row r="479" spans="1:40" x14ac:dyDescent="0.25">
      <c r="A479" s="15">
        <v>478</v>
      </c>
      <c r="B479" s="12" t="s">
        <v>35</v>
      </c>
      <c r="C479" s="12" t="s">
        <v>5825</v>
      </c>
      <c r="D479" s="12" t="s">
        <v>37</v>
      </c>
      <c r="E479" s="12" t="s">
        <v>5826</v>
      </c>
      <c r="F479" s="12" t="s">
        <v>138</v>
      </c>
      <c r="G479" s="12" t="s">
        <v>5827</v>
      </c>
      <c r="H479" s="12" t="s">
        <v>48</v>
      </c>
      <c r="I479" s="12" t="s">
        <v>5828</v>
      </c>
      <c r="J479" s="12" t="s">
        <v>48</v>
      </c>
      <c r="K479" s="12" t="s">
        <v>5829</v>
      </c>
      <c r="L479" s="12">
        <v>1387500</v>
      </c>
      <c r="M479" s="12">
        <v>2775000</v>
      </c>
      <c r="N479" s="12" t="s">
        <v>5830</v>
      </c>
      <c r="O479" s="12" t="s">
        <v>5786</v>
      </c>
      <c r="P479" s="12" t="s">
        <v>5831</v>
      </c>
      <c r="Q479" s="12" t="s">
        <v>5832</v>
      </c>
      <c r="R479" s="12" t="s">
        <v>146</v>
      </c>
      <c r="S479" s="12" t="s">
        <v>5833</v>
      </c>
      <c r="T479" s="12" t="s">
        <v>2461</v>
      </c>
      <c r="U479" s="12" t="s">
        <v>148</v>
      </c>
      <c r="V479" s="16">
        <v>45278</v>
      </c>
      <c r="W479" s="12" t="s">
        <v>4587</v>
      </c>
      <c r="X479" s="12" t="s">
        <v>4588</v>
      </c>
      <c r="Y479" s="12" t="s">
        <v>5834</v>
      </c>
      <c r="Z479" s="12">
        <v>3</v>
      </c>
      <c r="AA479" s="12" t="s">
        <v>55</v>
      </c>
      <c r="AB479" s="12" t="s">
        <v>5111</v>
      </c>
      <c r="AC479" s="12" t="s">
        <v>5205</v>
      </c>
      <c r="AD479" s="12" t="s">
        <v>86</v>
      </c>
      <c r="AE479" s="12">
        <v>2497500</v>
      </c>
      <c r="AF479" s="13">
        <v>43706</v>
      </c>
      <c r="AG479" s="12"/>
      <c r="AH479" s="12"/>
      <c r="AI479" s="12"/>
      <c r="AJ479" s="12" t="s">
        <v>11854</v>
      </c>
      <c r="AK479" s="13">
        <v>43706</v>
      </c>
      <c r="AL479" s="13"/>
      <c r="AM479" s="14">
        <f t="shared" si="7"/>
        <v>0</v>
      </c>
      <c r="AN479" s="12" t="s">
        <v>12004</v>
      </c>
    </row>
    <row r="480" spans="1:40" x14ac:dyDescent="0.25">
      <c r="A480" s="8">
        <v>479</v>
      </c>
      <c r="B480" s="9" t="s">
        <v>35</v>
      </c>
      <c r="C480" s="9" t="s">
        <v>5835</v>
      </c>
      <c r="D480" s="9" t="s">
        <v>37</v>
      </c>
      <c r="E480" s="9" t="s">
        <v>5836</v>
      </c>
      <c r="F480" s="9" t="s">
        <v>138</v>
      </c>
      <c r="G480" s="9" t="s">
        <v>5837</v>
      </c>
      <c r="H480" s="9" t="s">
        <v>5838</v>
      </c>
      <c r="I480" s="9" t="s">
        <v>5839</v>
      </c>
      <c r="J480" s="9" t="s">
        <v>5838</v>
      </c>
      <c r="K480" s="9" t="s">
        <v>5840</v>
      </c>
      <c r="L480" s="9">
        <v>2996000</v>
      </c>
      <c r="M480" s="9">
        <v>4280000</v>
      </c>
      <c r="N480" s="9" t="s">
        <v>5841</v>
      </c>
      <c r="O480" s="9" t="s">
        <v>5786</v>
      </c>
      <c r="P480" s="9" t="s">
        <v>5842</v>
      </c>
      <c r="Q480" s="9" t="s">
        <v>5843</v>
      </c>
      <c r="R480" s="9" t="s">
        <v>146</v>
      </c>
      <c r="S480" s="9" t="s">
        <v>5844</v>
      </c>
      <c r="T480" s="9" t="s">
        <v>1128</v>
      </c>
      <c r="U480" s="9" t="s">
        <v>614</v>
      </c>
      <c r="V480" s="10">
        <v>45278</v>
      </c>
      <c r="W480" s="9" t="s">
        <v>4587</v>
      </c>
      <c r="X480" s="9" t="s">
        <v>4588</v>
      </c>
      <c r="Y480" s="9" t="s">
        <v>5845</v>
      </c>
      <c r="Z480" s="9">
        <v>3</v>
      </c>
      <c r="AA480" s="9" t="s">
        <v>55</v>
      </c>
      <c r="AB480" s="9" t="s">
        <v>5846</v>
      </c>
      <c r="AC480" s="9" t="s">
        <v>5111</v>
      </c>
      <c r="AD480" s="9" t="s">
        <v>86</v>
      </c>
      <c r="AE480" s="9">
        <v>3852000</v>
      </c>
      <c r="AF480" s="11">
        <v>67410</v>
      </c>
      <c r="AG480" s="9"/>
      <c r="AH480" s="9"/>
      <c r="AI480" s="9"/>
      <c r="AJ480" s="12" t="s">
        <v>11855</v>
      </c>
      <c r="AK480" s="13">
        <v>67410</v>
      </c>
      <c r="AL480" s="13"/>
      <c r="AM480" s="14">
        <f t="shared" si="7"/>
        <v>0</v>
      </c>
      <c r="AN480" s="12" t="s">
        <v>12004</v>
      </c>
    </row>
    <row r="481" spans="1:40" x14ac:dyDescent="0.25">
      <c r="A481" s="15">
        <v>480</v>
      </c>
      <c r="B481" s="12" t="s">
        <v>35</v>
      </c>
      <c r="C481" s="12" t="s">
        <v>5847</v>
      </c>
      <c r="D481" s="12" t="s">
        <v>37</v>
      </c>
      <c r="E481" s="12" t="s">
        <v>5848</v>
      </c>
      <c r="F481" s="12" t="s">
        <v>138</v>
      </c>
      <c r="G481" s="12" t="s">
        <v>5849</v>
      </c>
      <c r="H481" s="12" t="s">
        <v>141</v>
      </c>
      <c r="I481" s="12" t="s">
        <v>5850</v>
      </c>
      <c r="J481" s="12" t="s">
        <v>5851</v>
      </c>
      <c r="K481" s="12" t="s">
        <v>5852</v>
      </c>
      <c r="L481" s="12">
        <v>1828400</v>
      </c>
      <c r="M481" s="12">
        <v>2612000</v>
      </c>
      <c r="N481" s="12" t="s">
        <v>5853</v>
      </c>
      <c r="O481" s="12" t="s">
        <v>5786</v>
      </c>
      <c r="P481" s="12" t="s">
        <v>5854</v>
      </c>
      <c r="Q481" s="12" t="s">
        <v>5855</v>
      </c>
      <c r="R481" s="12" t="s">
        <v>47</v>
      </c>
      <c r="S481" s="12" t="s">
        <v>48</v>
      </c>
      <c r="T481" s="12" t="s">
        <v>194</v>
      </c>
      <c r="U481" s="12" t="s">
        <v>386</v>
      </c>
      <c r="V481" s="16">
        <v>45254</v>
      </c>
      <c r="W481" s="12" t="s">
        <v>4587</v>
      </c>
      <c r="X481" s="12" t="s">
        <v>4724</v>
      </c>
      <c r="Y481" s="12" t="s">
        <v>5856</v>
      </c>
      <c r="Z481" s="12">
        <v>5</v>
      </c>
      <c r="AA481" s="12" t="s">
        <v>55</v>
      </c>
      <c r="AB481" s="12" t="s">
        <v>5857</v>
      </c>
      <c r="AC481" s="12" t="s">
        <v>5111</v>
      </c>
      <c r="AD481" s="12" t="s">
        <v>86</v>
      </c>
      <c r="AE481" s="12">
        <v>2350800</v>
      </c>
      <c r="AF481" s="13">
        <v>41139</v>
      </c>
      <c r="AG481" s="12"/>
      <c r="AH481" s="12"/>
      <c r="AI481" s="12"/>
      <c r="AJ481" s="12" t="s">
        <v>11856</v>
      </c>
      <c r="AK481" s="13">
        <v>41139</v>
      </c>
      <c r="AL481" s="13"/>
      <c r="AM481" s="14">
        <f t="shared" si="7"/>
        <v>0</v>
      </c>
      <c r="AN481" s="12" t="s">
        <v>12004</v>
      </c>
    </row>
    <row r="482" spans="1:40" x14ac:dyDescent="0.25">
      <c r="A482" s="8">
        <v>481</v>
      </c>
      <c r="B482" s="9" t="s">
        <v>35</v>
      </c>
      <c r="C482" s="9" t="s">
        <v>5858</v>
      </c>
      <c r="D482" s="9" t="s">
        <v>37</v>
      </c>
      <c r="E482" s="9" t="s">
        <v>5859</v>
      </c>
      <c r="F482" s="9" t="s">
        <v>290</v>
      </c>
      <c r="G482" s="9" t="s">
        <v>5860</v>
      </c>
      <c r="H482" s="9" t="s">
        <v>5861</v>
      </c>
      <c r="I482" s="9" t="s">
        <v>5862</v>
      </c>
      <c r="J482" s="9" t="s">
        <v>5862</v>
      </c>
      <c r="K482" s="9" t="s">
        <v>5863</v>
      </c>
      <c r="L482" s="9">
        <v>2864550</v>
      </c>
      <c r="M482" s="9">
        <v>4407000</v>
      </c>
      <c r="N482" s="9" t="s">
        <v>5864</v>
      </c>
      <c r="O482" s="10">
        <v>45640</v>
      </c>
      <c r="P482" s="9" t="s">
        <v>5865</v>
      </c>
      <c r="Q482" s="9" t="s">
        <v>5866</v>
      </c>
      <c r="R482" s="9" t="s">
        <v>47</v>
      </c>
      <c r="S482" s="9" t="s">
        <v>48</v>
      </c>
      <c r="T482" s="9" t="s">
        <v>5867</v>
      </c>
      <c r="U482" s="9" t="s">
        <v>50</v>
      </c>
      <c r="V482" s="10">
        <v>44551</v>
      </c>
      <c r="W482" s="9" t="s">
        <v>4473</v>
      </c>
      <c r="X482" s="9" t="s">
        <v>5267</v>
      </c>
      <c r="Y482" s="9" t="s">
        <v>5868</v>
      </c>
      <c r="Z482" s="9">
        <v>4</v>
      </c>
      <c r="AA482" s="9" t="s">
        <v>55</v>
      </c>
      <c r="AB482" s="9" t="s">
        <v>5869</v>
      </c>
      <c r="AC482" s="9" t="s">
        <v>5433</v>
      </c>
      <c r="AD482" s="9" t="s">
        <v>58</v>
      </c>
      <c r="AE482" s="9">
        <v>3525600</v>
      </c>
      <c r="AF482" s="11">
        <v>70512</v>
      </c>
      <c r="AG482" s="9"/>
      <c r="AH482" s="9"/>
      <c r="AI482" s="9"/>
      <c r="AJ482" s="12" t="s">
        <v>11857</v>
      </c>
      <c r="AK482" s="13">
        <v>70512</v>
      </c>
      <c r="AL482" s="13"/>
      <c r="AM482" s="14">
        <f t="shared" si="7"/>
        <v>0</v>
      </c>
      <c r="AN482" s="12" t="s">
        <v>12004</v>
      </c>
    </row>
    <row r="483" spans="1:40" x14ac:dyDescent="0.25">
      <c r="A483" s="15">
        <v>482</v>
      </c>
      <c r="B483" s="12" t="s">
        <v>35</v>
      </c>
      <c r="C483" s="12" t="s">
        <v>5870</v>
      </c>
      <c r="D483" s="12" t="s">
        <v>37</v>
      </c>
      <c r="E483" s="12" t="s">
        <v>5871</v>
      </c>
      <c r="F483" s="12" t="s">
        <v>138</v>
      </c>
      <c r="G483" s="12" t="s">
        <v>5872</v>
      </c>
      <c r="H483" s="12" t="s">
        <v>48</v>
      </c>
      <c r="I483" s="12" t="s">
        <v>5873</v>
      </c>
      <c r="J483" s="12" t="s">
        <v>48</v>
      </c>
      <c r="K483" s="12" t="s">
        <v>5874</v>
      </c>
      <c r="L483" s="12">
        <v>1922900</v>
      </c>
      <c r="M483" s="12">
        <v>2747000</v>
      </c>
      <c r="N483" s="12" t="s">
        <v>5875</v>
      </c>
      <c r="O483" s="16">
        <v>45640</v>
      </c>
      <c r="P483" s="12" t="s">
        <v>5876</v>
      </c>
      <c r="Q483" s="12" t="s">
        <v>5877</v>
      </c>
      <c r="R483" s="12" t="s">
        <v>47</v>
      </c>
      <c r="S483" s="12" t="s">
        <v>48</v>
      </c>
      <c r="T483" s="12" t="s">
        <v>5878</v>
      </c>
      <c r="U483" s="12" t="s">
        <v>50</v>
      </c>
      <c r="V483" s="16">
        <v>44530</v>
      </c>
      <c r="W483" s="12" t="s">
        <v>4473</v>
      </c>
      <c r="X483" s="12" t="s">
        <v>4588</v>
      </c>
      <c r="Y483" s="12" t="s">
        <v>5879</v>
      </c>
      <c r="Z483" s="12">
        <v>5</v>
      </c>
      <c r="AA483" s="12" t="s">
        <v>118</v>
      </c>
      <c r="AB483" s="12" t="s">
        <v>5880</v>
      </c>
      <c r="AC483" s="12" t="s">
        <v>5881</v>
      </c>
      <c r="AD483" s="12" t="s">
        <v>58</v>
      </c>
      <c r="AE483" s="12">
        <v>2197600</v>
      </c>
      <c r="AF483" s="13">
        <v>43952</v>
      </c>
      <c r="AG483" s="12"/>
      <c r="AH483" s="12"/>
      <c r="AI483" s="12"/>
      <c r="AJ483" s="12" t="s">
        <v>11858</v>
      </c>
      <c r="AK483" s="13">
        <v>43952</v>
      </c>
      <c r="AL483" s="13"/>
      <c r="AM483" s="14">
        <f t="shared" si="7"/>
        <v>0</v>
      </c>
      <c r="AN483" s="12" t="s">
        <v>12004</v>
      </c>
    </row>
    <row r="484" spans="1:40" x14ac:dyDescent="0.25">
      <c r="A484" s="8">
        <v>483</v>
      </c>
      <c r="B484" s="9" t="s">
        <v>35</v>
      </c>
      <c r="C484" s="9" t="s">
        <v>5882</v>
      </c>
      <c r="D484" s="9" t="s">
        <v>37</v>
      </c>
      <c r="E484" s="9" t="s">
        <v>5883</v>
      </c>
      <c r="F484" s="9" t="s">
        <v>107</v>
      </c>
      <c r="G484" s="9" t="s">
        <v>5884</v>
      </c>
      <c r="H484" s="9" t="s">
        <v>5885</v>
      </c>
      <c r="I484" s="9" t="s">
        <v>5885</v>
      </c>
      <c r="J484" s="9" t="s">
        <v>5885</v>
      </c>
      <c r="K484" s="9" t="s">
        <v>5886</v>
      </c>
      <c r="L484" s="9">
        <v>1795800</v>
      </c>
      <c r="M484" s="9">
        <v>2993000</v>
      </c>
      <c r="N484" s="9" t="s">
        <v>5887</v>
      </c>
      <c r="O484" s="10">
        <v>45640</v>
      </c>
      <c r="P484" s="9" t="s">
        <v>5888</v>
      </c>
      <c r="Q484" s="9" t="s">
        <v>5889</v>
      </c>
      <c r="R484" s="9" t="s">
        <v>47</v>
      </c>
      <c r="S484" s="9" t="s">
        <v>48</v>
      </c>
      <c r="T484" s="9" t="s">
        <v>5890</v>
      </c>
      <c r="U484" s="9" t="s">
        <v>98</v>
      </c>
      <c r="V484" s="10">
        <v>44042</v>
      </c>
      <c r="W484" s="9" t="s">
        <v>4001</v>
      </c>
      <c r="X484" s="9" t="s">
        <v>3977</v>
      </c>
      <c r="Y484" s="9" t="s">
        <v>5891</v>
      </c>
      <c r="Z484" s="9">
        <v>5</v>
      </c>
      <c r="AA484" s="9" t="s">
        <v>227</v>
      </c>
      <c r="AB484" s="9" t="s">
        <v>5892</v>
      </c>
      <c r="AC484" s="9" t="s">
        <v>5893</v>
      </c>
      <c r="AD484" s="9" t="s">
        <v>58</v>
      </c>
      <c r="AE484" s="9">
        <v>2244750</v>
      </c>
      <c r="AF484" s="11">
        <v>44895</v>
      </c>
      <c r="AG484" s="9"/>
      <c r="AH484" s="9"/>
      <c r="AI484" s="9"/>
      <c r="AJ484" s="12" t="s">
        <v>11859</v>
      </c>
      <c r="AK484" s="13">
        <v>44895</v>
      </c>
      <c r="AL484" s="13"/>
      <c r="AM484" s="14">
        <f t="shared" si="7"/>
        <v>0</v>
      </c>
      <c r="AN484" s="12" t="s">
        <v>12004</v>
      </c>
    </row>
    <row r="485" spans="1:40" x14ac:dyDescent="0.25">
      <c r="A485" s="15">
        <v>484</v>
      </c>
      <c r="B485" s="12" t="s">
        <v>35</v>
      </c>
      <c r="C485" s="12" t="s">
        <v>5894</v>
      </c>
      <c r="D485" s="12" t="s">
        <v>37</v>
      </c>
      <c r="E485" s="12" t="s">
        <v>5895</v>
      </c>
      <c r="F485" s="12" t="s">
        <v>138</v>
      </c>
      <c r="G485" s="12" t="s">
        <v>5896</v>
      </c>
      <c r="H485" s="12" t="s">
        <v>48</v>
      </c>
      <c r="I485" s="12" t="s">
        <v>48</v>
      </c>
      <c r="J485" s="12" t="s">
        <v>48</v>
      </c>
      <c r="K485" s="12" t="s">
        <v>5897</v>
      </c>
      <c r="L485" s="12">
        <v>1320000</v>
      </c>
      <c r="M485" s="12">
        <v>2400000</v>
      </c>
      <c r="N485" s="12" t="s">
        <v>5898</v>
      </c>
      <c r="O485" s="16">
        <v>45640</v>
      </c>
      <c r="P485" s="12" t="s">
        <v>5899</v>
      </c>
      <c r="Q485" s="12" t="s">
        <v>5900</v>
      </c>
      <c r="R485" s="12" t="s">
        <v>146</v>
      </c>
      <c r="S485" s="12" t="s">
        <v>5901</v>
      </c>
      <c r="T485" s="12" t="s">
        <v>495</v>
      </c>
      <c r="U485" s="12" t="s">
        <v>496</v>
      </c>
      <c r="V485" s="16">
        <v>44546</v>
      </c>
      <c r="W485" s="12" t="s">
        <v>4473</v>
      </c>
      <c r="X485" s="12" t="s">
        <v>4588</v>
      </c>
      <c r="Y485" s="12" t="s">
        <v>5902</v>
      </c>
      <c r="Z485" s="12">
        <v>5</v>
      </c>
      <c r="AA485" s="12" t="s">
        <v>55</v>
      </c>
      <c r="AB485" s="12" t="s">
        <v>5903</v>
      </c>
      <c r="AC485" s="12" t="s">
        <v>5575</v>
      </c>
      <c r="AD485" s="12" t="s">
        <v>299</v>
      </c>
      <c r="AE485" s="12">
        <v>1920000</v>
      </c>
      <c r="AF485" s="13">
        <v>28800</v>
      </c>
      <c r="AG485" s="12"/>
      <c r="AH485" s="12"/>
      <c r="AI485" s="12"/>
      <c r="AJ485" s="12" t="s">
        <v>11860</v>
      </c>
      <c r="AK485" s="13">
        <v>28800</v>
      </c>
      <c r="AL485" s="13"/>
      <c r="AM485" s="14">
        <f t="shared" si="7"/>
        <v>0</v>
      </c>
      <c r="AN485" s="12" t="s">
        <v>12004</v>
      </c>
    </row>
    <row r="486" spans="1:40" x14ac:dyDescent="0.25">
      <c r="A486" s="8">
        <v>485</v>
      </c>
      <c r="B486" s="9" t="s">
        <v>35</v>
      </c>
      <c r="C486" s="9" t="s">
        <v>5904</v>
      </c>
      <c r="D486" s="9" t="s">
        <v>37</v>
      </c>
      <c r="E486" s="9" t="s">
        <v>5905</v>
      </c>
      <c r="F486" s="9" t="s">
        <v>107</v>
      </c>
      <c r="G486" s="9" t="s">
        <v>5906</v>
      </c>
      <c r="H486" s="9" t="s">
        <v>5907</v>
      </c>
      <c r="I486" s="9" t="s">
        <v>5907</v>
      </c>
      <c r="J486" s="9" t="s">
        <v>5907</v>
      </c>
      <c r="K486" s="9" t="s">
        <v>5908</v>
      </c>
      <c r="L486" s="9">
        <v>1241250</v>
      </c>
      <c r="M486" s="9">
        <v>1655000</v>
      </c>
      <c r="N486" s="9" t="s">
        <v>5909</v>
      </c>
      <c r="O486" s="10">
        <v>45640</v>
      </c>
      <c r="P486" s="9" t="s">
        <v>5910</v>
      </c>
      <c r="Q486" s="9" t="s">
        <v>5911</v>
      </c>
      <c r="R486" s="9" t="s">
        <v>47</v>
      </c>
      <c r="S486" s="9" t="s">
        <v>48</v>
      </c>
      <c r="T486" s="9" t="s">
        <v>181</v>
      </c>
      <c r="U486" s="9" t="s">
        <v>50</v>
      </c>
      <c r="V486" s="10">
        <v>44441</v>
      </c>
      <c r="W486" s="9" t="s">
        <v>4015</v>
      </c>
      <c r="X486" s="9" t="s">
        <v>3977</v>
      </c>
      <c r="Y486" s="9" t="s">
        <v>5912</v>
      </c>
      <c r="Z486" s="9">
        <v>4</v>
      </c>
      <c r="AA486" s="9" t="s">
        <v>55</v>
      </c>
      <c r="AB486" s="9" t="s">
        <v>5913</v>
      </c>
      <c r="AC486" s="9" t="s">
        <v>5914</v>
      </c>
      <c r="AD486" s="9" t="s">
        <v>58</v>
      </c>
      <c r="AE486" s="9">
        <v>1324000</v>
      </c>
      <c r="AF486" s="11">
        <v>26480</v>
      </c>
      <c r="AG486" s="9"/>
      <c r="AH486" s="9"/>
      <c r="AI486" s="9"/>
      <c r="AJ486" s="12" t="s">
        <v>11861</v>
      </c>
      <c r="AK486" s="13">
        <v>26480</v>
      </c>
      <c r="AL486" s="13"/>
      <c r="AM486" s="14">
        <f t="shared" si="7"/>
        <v>0</v>
      </c>
      <c r="AN486" s="12" t="s">
        <v>12004</v>
      </c>
    </row>
    <row r="487" spans="1:40" x14ac:dyDescent="0.25">
      <c r="A487" s="15">
        <v>486</v>
      </c>
      <c r="B487" s="12" t="s">
        <v>35</v>
      </c>
      <c r="C487" s="12" t="s">
        <v>5915</v>
      </c>
      <c r="D487" s="12" t="s">
        <v>37</v>
      </c>
      <c r="E487" s="12" t="s">
        <v>5916</v>
      </c>
      <c r="F487" s="12" t="s">
        <v>39</v>
      </c>
      <c r="G487" s="12" t="s">
        <v>5917</v>
      </c>
      <c r="H487" s="12" t="s">
        <v>5918</v>
      </c>
      <c r="I487" s="12" t="s">
        <v>5919</v>
      </c>
      <c r="J487" s="12" t="s">
        <v>5920</v>
      </c>
      <c r="K487" s="12" t="s">
        <v>5921</v>
      </c>
      <c r="L487" s="12">
        <v>1076250</v>
      </c>
      <c r="M487" s="12">
        <v>1435000</v>
      </c>
      <c r="N487" s="12" t="s">
        <v>5922</v>
      </c>
      <c r="O487" s="16">
        <v>45640</v>
      </c>
      <c r="P487" s="12" t="s">
        <v>5923</v>
      </c>
      <c r="Q487" s="12" t="s">
        <v>5924</v>
      </c>
      <c r="R487" s="12" t="s">
        <v>146</v>
      </c>
      <c r="S487" s="12" t="s">
        <v>5925</v>
      </c>
      <c r="T487" s="12" t="s">
        <v>321</v>
      </c>
      <c r="U487" s="12" t="s">
        <v>651</v>
      </c>
      <c r="V487" s="16">
        <v>44550</v>
      </c>
      <c r="W487" s="12" t="s">
        <v>4473</v>
      </c>
      <c r="X487" s="12" t="s">
        <v>4588</v>
      </c>
      <c r="Y487" s="12" t="s">
        <v>5926</v>
      </c>
      <c r="Z487" s="12">
        <v>5</v>
      </c>
      <c r="AA487" s="12" t="s">
        <v>118</v>
      </c>
      <c r="AB487" s="12" t="s">
        <v>5927</v>
      </c>
      <c r="AC487" s="12" t="s">
        <v>5914</v>
      </c>
      <c r="AD487" s="12" t="s">
        <v>299</v>
      </c>
      <c r="AE487" s="12">
        <v>1148000</v>
      </c>
      <c r="AF487" s="13">
        <v>17220</v>
      </c>
      <c r="AG487" s="12"/>
      <c r="AH487" s="12"/>
      <c r="AI487" s="12"/>
      <c r="AJ487" s="12" t="s">
        <v>11862</v>
      </c>
      <c r="AK487" s="13">
        <v>17220</v>
      </c>
      <c r="AL487" s="13"/>
      <c r="AM487" s="14">
        <f t="shared" si="7"/>
        <v>0</v>
      </c>
      <c r="AN487" s="12" t="s">
        <v>12004</v>
      </c>
    </row>
    <row r="488" spans="1:40" x14ac:dyDescent="0.25">
      <c r="A488" s="8">
        <v>487</v>
      </c>
      <c r="B488" s="9" t="s">
        <v>35</v>
      </c>
      <c r="C488" s="9" t="s">
        <v>5928</v>
      </c>
      <c r="D488" s="9" t="s">
        <v>37</v>
      </c>
      <c r="E488" s="9" t="s">
        <v>5929</v>
      </c>
      <c r="F488" s="9" t="s">
        <v>89</v>
      </c>
      <c r="G488" s="9" t="s">
        <v>5930</v>
      </c>
      <c r="H488" s="9" t="s">
        <v>5931</v>
      </c>
      <c r="I488" s="9" t="s">
        <v>48</v>
      </c>
      <c r="J488" s="9" t="s">
        <v>5932</v>
      </c>
      <c r="K488" s="9" t="s">
        <v>5933</v>
      </c>
      <c r="L488" s="9">
        <v>1146400</v>
      </c>
      <c r="M488" s="9">
        <v>1433000</v>
      </c>
      <c r="N488" s="9" t="s">
        <v>5934</v>
      </c>
      <c r="O488" s="10">
        <v>45640</v>
      </c>
      <c r="P488" s="9" t="s">
        <v>5935</v>
      </c>
      <c r="Q488" s="9" t="s">
        <v>5936</v>
      </c>
      <c r="R488" s="9" t="s">
        <v>47</v>
      </c>
      <c r="S488" s="9" t="s">
        <v>48</v>
      </c>
      <c r="T488" s="9" t="s">
        <v>210</v>
      </c>
      <c r="U488" s="9" t="s">
        <v>98</v>
      </c>
      <c r="V488" s="10">
        <v>44182</v>
      </c>
      <c r="W488" s="9" t="s">
        <v>5266</v>
      </c>
      <c r="X488" s="9" t="s">
        <v>5267</v>
      </c>
      <c r="Y488" s="9" t="s">
        <v>5937</v>
      </c>
      <c r="Z488" s="9">
        <v>5</v>
      </c>
      <c r="AA488" s="9" t="s">
        <v>227</v>
      </c>
      <c r="AB488" s="9" t="s">
        <v>5938</v>
      </c>
      <c r="AC488" s="9" t="s">
        <v>5939</v>
      </c>
      <c r="AD488" s="9" t="s">
        <v>58</v>
      </c>
      <c r="AE488" s="9">
        <v>1074750</v>
      </c>
      <c r="AF488" s="11">
        <v>21495</v>
      </c>
      <c r="AG488" s="9"/>
      <c r="AH488" s="9"/>
      <c r="AI488" s="9"/>
      <c r="AJ488" s="12" t="s">
        <v>11863</v>
      </c>
      <c r="AK488" s="13">
        <v>21495</v>
      </c>
      <c r="AL488" s="13"/>
      <c r="AM488" s="14">
        <f t="shared" si="7"/>
        <v>0</v>
      </c>
      <c r="AN488" s="12" t="s">
        <v>12004</v>
      </c>
    </row>
    <row r="489" spans="1:40" x14ac:dyDescent="0.25">
      <c r="A489" s="15">
        <v>488</v>
      </c>
      <c r="B489" s="12" t="s">
        <v>35</v>
      </c>
      <c r="C489" s="12" t="s">
        <v>5940</v>
      </c>
      <c r="D489" s="12" t="s">
        <v>37</v>
      </c>
      <c r="E489" s="12" t="s">
        <v>5941</v>
      </c>
      <c r="F489" s="12" t="s">
        <v>138</v>
      </c>
      <c r="G489" s="12" t="s">
        <v>5942</v>
      </c>
      <c r="H489" s="12" t="s">
        <v>5943</v>
      </c>
      <c r="I489" s="12" t="s">
        <v>5943</v>
      </c>
      <c r="J489" s="12" t="s">
        <v>141</v>
      </c>
      <c r="K489" s="12" t="s">
        <v>5944</v>
      </c>
      <c r="L489" s="12">
        <v>1012460</v>
      </c>
      <c r="M489" s="12">
        <v>1633000</v>
      </c>
      <c r="N489" s="12" t="s">
        <v>5945</v>
      </c>
      <c r="O489" s="16">
        <v>45640</v>
      </c>
      <c r="P489" s="12" t="s">
        <v>5946</v>
      </c>
      <c r="Q489" s="12" t="s">
        <v>5947</v>
      </c>
      <c r="R489" s="12" t="s">
        <v>47</v>
      </c>
      <c r="S489" s="12" t="s">
        <v>48</v>
      </c>
      <c r="T489" s="12" t="s">
        <v>783</v>
      </c>
      <c r="U489" s="12" t="s">
        <v>98</v>
      </c>
      <c r="V489" s="16">
        <v>44180</v>
      </c>
      <c r="W489" s="12" t="s">
        <v>5266</v>
      </c>
      <c r="X489" s="12" t="s">
        <v>5561</v>
      </c>
      <c r="Y489" s="12" t="s">
        <v>5948</v>
      </c>
      <c r="Z489" s="12">
        <v>7</v>
      </c>
      <c r="AA489" s="12" t="s">
        <v>227</v>
      </c>
      <c r="AB489" s="12" t="s">
        <v>5949</v>
      </c>
      <c r="AC489" s="12" t="s">
        <v>5939</v>
      </c>
      <c r="AD489" s="12" t="s">
        <v>58</v>
      </c>
      <c r="AE489" s="12">
        <v>1224750</v>
      </c>
      <c r="AF489" s="13">
        <v>24495</v>
      </c>
      <c r="AG489" s="12"/>
      <c r="AH489" s="12"/>
      <c r="AI489" s="12"/>
      <c r="AJ489" s="12" t="s">
        <v>11864</v>
      </c>
      <c r="AK489" s="13">
        <v>24495</v>
      </c>
      <c r="AL489" s="13"/>
      <c r="AM489" s="14">
        <f t="shared" si="7"/>
        <v>0</v>
      </c>
      <c r="AN489" s="12" t="s">
        <v>12004</v>
      </c>
    </row>
    <row r="490" spans="1:40" x14ac:dyDescent="0.25">
      <c r="A490" s="8">
        <v>489</v>
      </c>
      <c r="B490" s="9" t="s">
        <v>35</v>
      </c>
      <c r="C490" s="9" t="s">
        <v>5950</v>
      </c>
      <c r="D490" s="9" t="s">
        <v>37</v>
      </c>
      <c r="E490" s="9" t="s">
        <v>5951</v>
      </c>
      <c r="F490" s="9" t="s">
        <v>138</v>
      </c>
      <c r="G490" s="9" t="s">
        <v>5952</v>
      </c>
      <c r="H490" s="9" t="s">
        <v>48</v>
      </c>
      <c r="I490" s="9" t="s">
        <v>5953</v>
      </c>
      <c r="J490" s="9" t="s">
        <v>48</v>
      </c>
      <c r="K490" s="9" t="s">
        <v>5954</v>
      </c>
      <c r="L490" s="9">
        <v>1995000</v>
      </c>
      <c r="M490" s="9">
        <v>2850000</v>
      </c>
      <c r="N490" s="9" t="s">
        <v>5955</v>
      </c>
      <c r="O490" s="9" t="s">
        <v>5956</v>
      </c>
      <c r="P490" s="9" t="s">
        <v>5957</v>
      </c>
      <c r="Q490" s="9" t="s">
        <v>5958</v>
      </c>
      <c r="R490" s="9" t="s">
        <v>146</v>
      </c>
      <c r="S490" s="9" t="s">
        <v>5959</v>
      </c>
      <c r="T490" s="9" t="s">
        <v>613</v>
      </c>
      <c r="U490" s="9" t="s">
        <v>148</v>
      </c>
      <c r="V490" s="10">
        <v>45279</v>
      </c>
      <c r="W490" s="9" t="s">
        <v>4587</v>
      </c>
      <c r="X490" s="9" t="s">
        <v>4724</v>
      </c>
      <c r="Y490" s="9" t="s">
        <v>5960</v>
      </c>
      <c r="Z490" s="9">
        <v>5</v>
      </c>
      <c r="AA490" s="9" t="s">
        <v>55</v>
      </c>
      <c r="AB490" s="9" t="s">
        <v>5961</v>
      </c>
      <c r="AC490" s="9" t="s">
        <v>5803</v>
      </c>
      <c r="AD490" s="9" t="s">
        <v>86</v>
      </c>
      <c r="AE490" s="9">
        <v>2565000</v>
      </c>
      <c r="AF490" s="11">
        <v>44888</v>
      </c>
      <c r="AG490" s="9"/>
      <c r="AH490" s="9"/>
      <c r="AI490" s="9"/>
      <c r="AJ490" s="12" t="s">
        <v>11865</v>
      </c>
      <c r="AK490" s="13">
        <v>44888</v>
      </c>
      <c r="AL490" s="13"/>
      <c r="AM490" s="14">
        <f t="shared" si="7"/>
        <v>0</v>
      </c>
      <c r="AN490" s="12" t="s">
        <v>12004</v>
      </c>
    </row>
    <row r="491" spans="1:40" x14ac:dyDescent="0.25">
      <c r="A491" s="15">
        <v>490</v>
      </c>
      <c r="B491" s="12" t="s">
        <v>35</v>
      </c>
      <c r="C491" s="12" t="s">
        <v>5962</v>
      </c>
      <c r="D491" s="12" t="s">
        <v>37</v>
      </c>
      <c r="E491" s="12" t="s">
        <v>5963</v>
      </c>
      <c r="F491" s="12" t="s">
        <v>138</v>
      </c>
      <c r="G491" s="12" t="s">
        <v>5964</v>
      </c>
      <c r="H491" s="12" t="s">
        <v>48</v>
      </c>
      <c r="I491" s="12" t="s">
        <v>5965</v>
      </c>
      <c r="J491" s="12" t="s">
        <v>48</v>
      </c>
      <c r="K491" s="12" t="s">
        <v>5966</v>
      </c>
      <c r="L491" s="12">
        <v>1907750</v>
      </c>
      <c r="M491" s="12">
        <v>2935000</v>
      </c>
      <c r="N491" s="12" t="s">
        <v>5967</v>
      </c>
      <c r="O491" s="12" t="s">
        <v>5956</v>
      </c>
      <c r="P491" s="12" t="s">
        <v>5968</v>
      </c>
      <c r="Q491" s="12" t="s">
        <v>5969</v>
      </c>
      <c r="R491" s="12" t="s">
        <v>47</v>
      </c>
      <c r="S491" s="12" t="s">
        <v>48</v>
      </c>
      <c r="T491" s="12" t="s">
        <v>613</v>
      </c>
      <c r="U491" s="12" t="s">
        <v>386</v>
      </c>
      <c r="V491" s="16">
        <v>45275</v>
      </c>
      <c r="W491" s="12" t="s">
        <v>4587</v>
      </c>
      <c r="X491" s="12" t="s">
        <v>4588</v>
      </c>
      <c r="Y491" s="12" t="s">
        <v>5970</v>
      </c>
      <c r="Z491" s="12">
        <v>3</v>
      </c>
      <c r="AA491" s="12" t="s">
        <v>55</v>
      </c>
      <c r="AB491" s="12" t="s">
        <v>5971</v>
      </c>
      <c r="AC491" s="12" t="s">
        <v>5803</v>
      </c>
      <c r="AD491" s="12" t="s">
        <v>86</v>
      </c>
      <c r="AE491" s="12">
        <v>2641500</v>
      </c>
      <c r="AF491" s="13">
        <v>46226</v>
      </c>
      <c r="AG491" s="12"/>
      <c r="AH491" s="12"/>
      <c r="AI491" s="12"/>
      <c r="AJ491" s="12" t="s">
        <v>11866</v>
      </c>
      <c r="AK491" s="13">
        <v>46226</v>
      </c>
      <c r="AL491" s="13"/>
      <c r="AM491" s="14">
        <f t="shared" si="7"/>
        <v>0</v>
      </c>
      <c r="AN491" s="12" t="s">
        <v>12004</v>
      </c>
    </row>
    <row r="492" spans="1:40" x14ac:dyDescent="0.25">
      <c r="A492" s="8">
        <v>491</v>
      </c>
      <c r="B492" s="9" t="s">
        <v>35</v>
      </c>
      <c r="C492" s="9" t="s">
        <v>5972</v>
      </c>
      <c r="D492" s="9" t="s">
        <v>37</v>
      </c>
      <c r="E492" s="9" t="s">
        <v>5973</v>
      </c>
      <c r="F492" s="9" t="s">
        <v>138</v>
      </c>
      <c r="G492" s="9" t="s">
        <v>5974</v>
      </c>
      <c r="H492" s="9" t="s">
        <v>5975</v>
      </c>
      <c r="I492" s="9" t="s">
        <v>5975</v>
      </c>
      <c r="J492" s="9" t="s">
        <v>5975</v>
      </c>
      <c r="K492" s="9" t="s">
        <v>5976</v>
      </c>
      <c r="L492" s="9">
        <v>1527500</v>
      </c>
      <c r="M492" s="9">
        <v>3250000</v>
      </c>
      <c r="N492" s="9" t="s">
        <v>5977</v>
      </c>
      <c r="O492" s="10">
        <v>45639</v>
      </c>
      <c r="P492" s="9" t="s">
        <v>5978</v>
      </c>
      <c r="Q492" s="9" t="s">
        <v>5979</v>
      </c>
      <c r="R492" s="9" t="s">
        <v>146</v>
      </c>
      <c r="S492" s="9" t="s">
        <v>5980</v>
      </c>
      <c r="T492" s="9" t="s">
        <v>601</v>
      </c>
      <c r="U492" s="9" t="s">
        <v>651</v>
      </c>
      <c r="V492" s="10">
        <v>44910</v>
      </c>
      <c r="W492" s="9" t="s">
        <v>5621</v>
      </c>
      <c r="X492" s="9" t="s">
        <v>5267</v>
      </c>
      <c r="Y492" s="9" t="s">
        <v>5981</v>
      </c>
      <c r="Z492" s="9">
        <v>3</v>
      </c>
      <c r="AA492" s="9" t="s">
        <v>152</v>
      </c>
      <c r="AB492" s="9" t="s">
        <v>5982</v>
      </c>
      <c r="AC492" s="9" t="s">
        <v>5983</v>
      </c>
      <c r="AD492" s="9" t="s">
        <v>86</v>
      </c>
      <c r="AE492" s="9">
        <v>2762500</v>
      </c>
      <c r="AF492" s="11">
        <v>48344</v>
      </c>
      <c r="AG492" s="9"/>
      <c r="AH492" s="9"/>
      <c r="AI492" s="9"/>
      <c r="AJ492" s="12" t="s">
        <v>11867</v>
      </c>
      <c r="AK492" s="13">
        <v>48344</v>
      </c>
      <c r="AL492" s="13"/>
      <c r="AM492" s="14">
        <f t="shared" si="7"/>
        <v>0</v>
      </c>
      <c r="AN492" s="12" t="s">
        <v>12004</v>
      </c>
    </row>
    <row r="493" spans="1:40" x14ac:dyDescent="0.25">
      <c r="A493" s="15">
        <v>492</v>
      </c>
      <c r="B493" s="12" t="s">
        <v>35</v>
      </c>
      <c r="C493" s="12" t="s">
        <v>5984</v>
      </c>
      <c r="D493" s="12" t="s">
        <v>37</v>
      </c>
      <c r="E493" s="12" t="s">
        <v>5985</v>
      </c>
      <c r="F493" s="12" t="s">
        <v>107</v>
      </c>
      <c r="G493" s="12" t="s">
        <v>5986</v>
      </c>
      <c r="H493" s="12" t="s">
        <v>48</v>
      </c>
      <c r="I493" s="12" t="s">
        <v>5987</v>
      </c>
      <c r="J493" s="12" t="s">
        <v>48</v>
      </c>
      <c r="K493" s="12" t="s">
        <v>5988</v>
      </c>
      <c r="L493" s="12">
        <v>3410200</v>
      </c>
      <c r="M493" s="12">
        <v>4012000</v>
      </c>
      <c r="N493" s="12" t="s">
        <v>5989</v>
      </c>
      <c r="O493" s="16">
        <v>45639</v>
      </c>
      <c r="P493" s="12" t="s">
        <v>5990</v>
      </c>
      <c r="Q493" s="12" t="s">
        <v>5991</v>
      </c>
      <c r="R493" s="12" t="s">
        <v>858</v>
      </c>
      <c r="S493" s="12" t="s">
        <v>48</v>
      </c>
      <c r="T493" s="12" t="s">
        <v>5992</v>
      </c>
      <c r="U493" s="12" t="s">
        <v>50</v>
      </c>
      <c r="V493" s="16">
        <v>44550</v>
      </c>
      <c r="W493" s="12" t="s">
        <v>4473</v>
      </c>
      <c r="X493" s="12" t="s">
        <v>4588</v>
      </c>
      <c r="Y493" s="12" t="s">
        <v>5993</v>
      </c>
      <c r="Z493" s="12">
        <v>5</v>
      </c>
      <c r="AA493" s="12" t="s">
        <v>55</v>
      </c>
      <c r="AB493" s="12" t="s">
        <v>5994</v>
      </c>
      <c r="AC493" s="12" t="s">
        <v>5995</v>
      </c>
      <c r="AD493" s="12" t="s">
        <v>943</v>
      </c>
      <c r="AE493" s="12">
        <v>3209600</v>
      </c>
      <c r="AF493" s="13">
        <v>44934</v>
      </c>
      <c r="AG493" s="12"/>
      <c r="AH493" s="12"/>
      <c r="AI493" s="12"/>
      <c r="AJ493" s="12" t="s">
        <v>11868</v>
      </c>
      <c r="AK493" s="13">
        <v>44934</v>
      </c>
      <c r="AL493" s="13"/>
      <c r="AM493" s="14">
        <f t="shared" si="7"/>
        <v>0</v>
      </c>
      <c r="AN493" s="12" t="s">
        <v>12004</v>
      </c>
    </row>
    <row r="494" spans="1:40" x14ac:dyDescent="0.25">
      <c r="A494" s="8">
        <v>493</v>
      </c>
      <c r="B494" s="9" t="s">
        <v>35</v>
      </c>
      <c r="C494" s="9" t="s">
        <v>5996</v>
      </c>
      <c r="D494" s="9" t="s">
        <v>37</v>
      </c>
      <c r="E494" s="9" t="s">
        <v>5997</v>
      </c>
      <c r="F494" s="9" t="s">
        <v>245</v>
      </c>
      <c r="G494" s="9" t="s">
        <v>5998</v>
      </c>
      <c r="H494" s="9" t="s">
        <v>5999</v>
      </c>
      <c r="I494" s="9" t="s">
        <v>48</v>
      </c>
      <c r="J494" s="9" t="s">
        <v>141</v>
      </c>
      <c r="K494" s="9" t="s">
        <v>6000</v>
      </c>
      <c r="L494" s="9">
        <v>1725500</v>
      </c>
      <c r="M494" s="9">
        <v>2465000</v>
      </c>
      <c r="N494" s="9" t="s">
        <v>6001</v>
      </c>
      <c r="O494" s="10">
        <v>45639</v>
      </c>
      <c r="P494" s="9" t="s">
        <v>6002</v>
      </c>
      <c r="Q494" s="9" t="s">
        <v>6003</v>
      </c>
      <c r="R494" s="9" t="s">
        <v>47</v>
      </c>
      <c r="S494" s="9" t="s">
        <v>48</v>
      </c>
      <c r="T494" s="9" t="s">
        <v>873</v>
      </c>
      <c r="U494" s="9" t="s">
        <v>98</v>
      </c>
      <c r="V494" s="10">
        <v>44174</v>
      </c>
      <c r="W494" s="9" t="s">
        <v>5266</v>
      </c>
      <c r="X494" s="9" t="s">
        <v>5561</v>
      </c>
      <c r="Y494" s="9" t="s">
        <v>6004</v>
      </c>
      <c r="Z494" s="9">
        <v>7</v>
      </c>
      <c r="AA494" s="9" t="s">
        <v>55</v>
      </c>
      <c r="AB494" s="9" t="s">
        <v>6005</v>
      </c>
      <c r="AC494" s="9" t="s">
        <v>5939</v>
      </c>
      <c r="AD494" s="9" t="s">
        <v>58</v>
      </c>
      <c r="AE494" s="9">
        <v>1848750</v>
      </c>
      <c r="AF494" s="11">
        <v>36975</v>
      </c>
      <c r="AG494" s="9"/>
      <c r="AH494" s="9"/>
      <c r="AI494" s="9"/>
      <c r="AJ494" s="12" t="s">
        <v>11869</v>
      </c>
      <c r="AK494" s="13">
        <v>36975</v>
      </c>
      <c r="AL494" s="13"/>
      <c r="AM494" s="14">
        <f t="shared" si="7"/>
        <v>0</v>
      </c>
      <c r="AN494" s="12" t="s">
        <v>12004</v>
      </c>
    </row>
    <row r="495" spans="1:40" x14ac:dyDescent="0.25">
      <c r="A495" s="15">
        <v>494</v>
      </c>
      <c r="B495" s="12" t="s">
        <v>35</v>
      </c>
      <c r="C495" s="12" t="s">
        <v>6006</v>
      </c>
      <c r="D495" s="12" t="s">
        <v>37</v>
      </c>
      <c r="E495" s="12" t="s">
        <v>6007</v>
      </c>
      <c r="F495" s="12" t="s">
        <v>1774</v>
      </c>
      <c r="G495" s="12" t="s">
        <v>6008</v>
      </c>
      <c r="H495" s="12" t="s">
        <v>6009</v>
      </c>
      <c r="I495" s="12" t="s">
        <v>48</v>
      </c>
      <c r="J495" s="12" t="s">
        <v>6010</v>
      </c>
      <c r="K495" s="12" t="s">
        <v>6011</v>
      </c>
      <c r="L495" s="12">
        <v>1036000</v>
      </c>
      <c r="M495" s="12">
        <v>1480000</v>
      </c>
      <c r="N495" s="12" t="s">
        <v>6012</v>
      </c>
      <c r="O495" s="16">
        <v>45625</v>
      </c>
      <c r="P495" s="12" t="s">
        <v>6013</v>
      </c>
      <c r="Q495" s="12" t="s">
        <v>6014</v>
      </c>
      <c r="R495" s="12" t="s">
        <v>146</v>
      </c>
      <c r="S495" s="12" t="s">
        <v>6015</v>
      </c>
      <c r="T495" s="12" t="s">
        <v>194</v>
      </c>
      <c r="U495" s="12" t="s">
        <v>50</v>
      </c>
      <c r="V495" s="12" t="s">
        <v>3368</v>
      </c>
      <c r="W495" s="12" t="s">
        <v>132</v>
      </c>
      <c r="X495" s="12" t="s">
        <v>533</v>
      </c>
      <c r="Y495" s="12" t="s">
        <v>6016</v>
      </c>
      <c r="Z495" s="12">
        <v>4</v>
      </c>
      <c r="AA495" s="12" t="s">
        <v>118</v>
      </c>
      <c r="AB495" s="12" t="s">
        <v>6017</v>
      </c>
      <c r="AC495" s="12" t="s">
        <v>3368</v>
      </c>
      <c r="AD495" s="12" t="s">
        <v>299</v>
      </c>
      <c r="AE495" s="12">
        <v>1184000</v>
      </c>
      <c r="AF495" s="13">
        <v>17760</v>
      </c>
      <c r="AG495" s="12"/>
      <c r="AH495" s="12"/>
      <c r="AI495" s="12"/>
      <c r="AJ495" s="12" t="s">
        <v>11870</v>
      </c>
      <c r="AK495" s="13">
        <v>17760</v>
      </c>
      <c r="AL495" s="13"/>
      <c r="AM495" s="14">
        <f t="shared" si="7"/>
        <v>0</v>
      </c>
      <c r="AN495" s="12" t="s">
        <v>12004</v>
      </c>
    </row>
    <row r="496" spans="1:40" x14ac:dyDescent="0.25">
      <c r="A496" s="8">
        <v>495</v>
      </c>
      <c r="B496" s="9" t="s">
        <v>35</v>
      </c>
      <c r="C496" s="9" t="s">
        <v>6018</v>
      </c>
      <c r="D496" s="9" t="s">
        <v>37</v>
      </c>
      <c r="E496" s="9" t="s">
        <v>6019</v>
      </c>
      <c r="F496" s="9" t="s">
        <v>107</v>
      </c>
      <c r="G496" s="9" t="s">
        <v>6020</v>
      </c>
      <c r="H496" s="9" t="s">
        <v>6021</v>
      </c>
      <c r="I496" s="9" t="s">
        <v>6021</v>
      </c>
      <c r="J496" s="9" t="s">
        <v>6022</v>
      </c>
      <c r="K496" s="9" t="s">
        <v>6023</v>
      </c>
      <c r="L496" s="9">
        <v>1140000</v>
      </c>
      <c r="M496" s="9">
        <v>1425000</v>
      </c>
      <c r="N496" s="9" t="s">
        <v>6024</v>
      </c>
      <c r="O496" s="10">
        <v>45625</v>
      </c>
      <c r="P496" s="9" t="s">
        <v>6025</v>
      </c>
      <c r="Q496" s="9" t="s">
        <v>6026</v>
      </c>
      <c r="R496" s="9" t="s">
        <v>146</v>
      </c>
      <c r="S496" s="9" t="s">
        <v>6027</v>
      </c>
      <c r="T496" s="9" t="s">
        <v>194</v>
      </c>
      <c r="U496" s="9" t="s">
        <v>614</v>
      </c>
      <c r="V496" s="9" t="s">
        <v>3368</v>
      </c>
      <c r="W496" s="9" t="s">
        <v>132</v>
      </c>
      <c r="X496" s="9" t="s">
        <v>1638</v>
      </c>
      <c r="Y496" s="9" t="s">
        <v>6028</v>
      </c>
      <c r="Z496" s="9">
        <v>6</v>
      </c>
      <c r="AA496" s="9" t="s">
        <v>118</v>
      </c>
      <c r="AB496" s="9" t="s">
        <v>6029</v>
      </c>
      <c r="AC496" s="9" t="s">
        <v>3368</v>
      </c>
      <c r="AD496" s="9" t="s">
        <v>299</v>
      </c>
      <c r="AE496" s="9">
        <v>1140000</v>
      </c>
      <c r="AF496" s="11">
        <v>17100</v>
      </c>
      <c r="AG496" s="9"/>
      <c r="AH496" s="9"/>
      <c r="AI496" s="9"/>
      <c r="AJ496" s="12" t="s">
        <v>11871</v>
      </c>
      <c r="AK496" s="13">
        <v>17100</v>
      </c>
      <c r="AL496" s="13"/>
      <c r="AM496" s="14">
        <f t="shared" si="7"/>
        <v>0</v>
      </c>
      <c r="AN496" s="12" t="s">
        <v>12004</v>
      </c>
    </row>
    <row r="497" spans="1:40" x14ac:dyDescent="0.25">
      <c r="A497" s="15">
        <v>496</v>
      </c>
      <c r="B497" s="12" t="s">
        <v>35</v>
      </c>
      <c r="C497" s="12" t="s">
        <v>6030</v>
      </c>
      <c r="D497" s="12" t="s">
        <v>37</v>
      </c>
      <c r="E497" s="12" t="s">
        <v>6031</v>
      </c>
      <c r="F497" s="12" t="s">
        <v>138</v>
      </c>
      <c r="G497" s="12" t="s">
        <v>6032</v>
      </c>
      <c r="H497" s="12" t="s">
        <v>6033</v>
      </c>
      <c r="I497" s="12" t="s">
        <v>6033</v>
      </c>
      <c r="J497" s="12" t="s">
        <v>6034</v>
      </c>
      <c r="K497" s="12" t="s">
        <v>6035</v>
      </c>
      <c r="L497" s="12">
        <v>920000</v>
      </c>
      <c r="M497" s="12">
        <v>1150000</v>
      </c>
      <c r="N497" s="12" t="s">
        <v>6036</v>
      </c>
      <c r="O497" s="16">
        <v>45639</v>
      </c>
      <c r="P497" s="12" t="s">
        <v>6037</v>
      </c>
      <c r="Q497" s="12" t="s">
        <v>6038</v>
      </c>
      <c r="R497" s="12" t="s">
        <v>146</v>
      </c>
      <c r="S497" s="12" t="s">
        <v>6039</v>
      </c>
      <c r="T497" s="12" t="s">
        <v>321</v>
      </c>
      <c r="U497" s="12" t="s">
        <v>651</v>
      </c>
      <c r="V497" s="16">
        <v>44547</v>
      </c>
      <c r="W497" s="12" t="s">
        <v>4473</v>
      </c>
      <c r="X497" s="12" t="s">
        <v>4588</v>
      </c>
      <c r="Y497" s="12" t="s">
        <v>6040</v>
      </c>
      <c r="Z497" s="12">
        <v>5</v>
      </c>
      <c r="AA497" s="12" t="s">
        <v>55</v>
      </c>
      <c r="AB497" s="12" t="s">
        <v>6041</v>
      </c>
      <c r="AC497" s="12" t="s">
        <v>5433</v>
      </c>
      <c r="AD497" s="12" t="s">
        <v>299</v>
      </c>
      <c r="AE497" s="12">
        <v>920000</v>
      </c>
      <c r="AF497" s="13">
        <v>13800</v>
      </c>
      <c r="AG497" s="12"/>
      <c r="AH497" s="12"/>
      <c r="AI497" s="12"/>
      <c r="AJ497" s="12" t="s">
        <v>11872</v>
      </c>
      <c r="AK497" s="13">
        <v>13800</v>
      </c>
      <c r="AL497" s="13"/>
      <c r="AM497" s="14">
        <f t="shared" si="7"/>
        <v>0</v>
      </c>
      <c r="AN497" s="12" t="s">
        <v>12004</v>
      </c>
    </row>
    <row r="498" spans="1:40" x14ac:dyDescent="0.25">
      <c r="A498" s="8">
        <v>497</v>
      </c>
      <c r="B498" s="9" t="s">
        <v>35</v>
      </c>
      <c r="C498" s="9" t="s">
        <v>6042</v>
      </c>
      <c r="D498" s="9" t="s">
        <v>37</v>
      </c>
      <c r="E498" s="9" t="s">
        <v>6043</v>
      </c>
      <c r="F498" s="9" t="s">
        <v>107</v>
      </c>
      <c r="G498" s="9" t="s">
        <v>6044</v>
      </c>
      <c r="H498" s="9" t="s">
        <v>6045</v>
      </c>
      <c r="I498" s="9" t="s">
        <v>6046</v>
      </c>
      <c r="J498" s="9" t="s">
        <v>6047</v>
      </c>
      <c r="K498" s="9" t="s">
        <v>6048</v>
      </c>
      <c r="L498" s="9">
        <v>576000</v>
      </c>
      <c r="M498" s="9">
        <v>720000</v>
      </c>
      <c r="N498" s="9" t="s">
        <v>6049</v>
      </c>
      <c r="O498" s="10">
        <v>45639</v>
      </c>
      <c r="P498" s="9" t="s">
        <v>6050</v>
      </c>
      <c r="Q498" s="9" t="s">
        <v>6051</v>
      </c>
      <c r="R498" s="9" t="s">
        <v>146</v>
      </c>
      <c r="S498" s="9" t="s">
        <v>6052</v>
      </c>
      <c r="T498" s="9" t="s">
        <v>639</v>
      </c>
      <c r="U498" s="9" t="s">
        <v>651</v>
      </c>
      <c r="V498" s="10">
        <v>43451</v>
      </c>
      <c r="W498" s="9" t="s">
        <v>5587</v>
      </c>
      <c r="X498" s="9" t="s">
        <v>5267</v>
      </c>
      <c r="Y498" s="9" t="s">
        <v>6053</v>
      </c>
      <c r="Z498" s="9">
        <v>7</v>
      </c>
      <c r="AA498" s="9" t="s">
        <v>323</v>
      </c>
      <c r="AB498" s="9" t="s">
        <v>6054</v>
      </c>
      <c r="AC498" s="9" t="s">
        <v>3925</v>
      </c>
      <c r="AD498" s="9" t="s">
        <v>880</v>
      </c>
      <c r="AE498" s="9">
        <v>468000</v>
      </c>
      <c r="AF498" s="11">
        <v>14508</v>
      </c>
      <c r="AG498" s="9"/>
      <c r="AH498" s="9"/>
      <c r="AI498" s="9"/>
      <c r="AJ498" s="12" t="s">
        <v>11873</v>
      </c>
      <c r="AK498" s="13">
        <v>14508</v>
      </c>
      <c r="AL498" s="13"/>
      <c r="AM498" s="14">
        <f t="shared" si="7"/>
        <v>0</v>
      </c>
      <c r="AN498" s="12" t="s">
        <v>12004</v>
      </c>
    </row>
    <row r="499" spans="1:40" x14ac:dyDescent="0.25">
      <c r="A499" s="15">
        <v>498</v>
      </c>
      <c r="B499" s="12" t="s">
        <v>35</v>
      </c>
      <c r="C499" s="12" t="s">
        <v>6055</v>
      </c>
      <c r="D499" s="12" t="s">
        <v>37</v>
      </c>
      <c r="E499" s="12" t="s">
        <v>6056</v>
      </c>
      <c r="F499" s="12" t="s">
        <v>107</v>
      </c>
      <c r="G499" s="12" t="s">
        <v>6057</v>
      </c>
      <c r="H499" s="12" t="s">
        <v>6058</v>
      </c>
      <c r="I499" s="12" t="s">
        <v>6058</v>
      </c>
      <c r="J499" s="12" t="s">
        <v>6058</v>
      </c>
      <c r="K499" s="12" t="s">
        <v>6059</v>
      </c>
      <c r="L499" s="12">
        <v>1818000</v>
      </c>
      <c r="M499" s="12">
        <v>3030000</v>
      </c>
      <c r="N499" s="12" t="s">
        <v>6060</v>
      </c>
      <c r="O499" s="16">
        <v>45625</v>
      </c>
      <c r="P499" s="12" t="s">
        <v>6061</v>
      </c>
      <c r="Q499" s="12" t="s">
        <v>6062</v>
      </c>
      <c r="R499" s="12" t="s">
        <v>146</v>
      </c>
      <c r="S499" s="12" t="s">
        <v>48</v>
      </c>
      <c r="T499" s="12" t="s">
        <v>2357</v>
      </c>
      <c r="U499" s="12" t="s">
        <v>50</v>
      </c>
      <c r="V499" s="12" t="s">
        <v>3368</v>
      </c>
      <c r="W499" s="12" t="s">
        <v>132</v>
      </c>
      <c r="X499" s="12" t="s">
        <v>133</v>
      </c>
      <c r="Y499" s="12" t="s">
        <v>6063</v>
      </c>
      <c r="Z499" s="12">
        <v>5</v>
      </c>
      <c r="AA499" s="12" t="s">
        <v>118</v>
      </c>
      <c r="AB499" s="12" t="s">
        <v>6064</v>
      </c>
      <c r="AC499" s="12" t="s">
        <v>3368</v>
      </c>
      <c r="AD499" s="12" t="s">
        <v>299</v>
      </c>
      <c r="AE499" s="12">
        <v>2424000</v>
      </c>
      <c r="AF499" s="13">
        <v>36360</v>
      </c>
      <c r="AG499" s="12"/>
      <c r="AH499" s="12"/>
      <c r="AI499" s="12"/>
      <c r="AJ499" s="12" t="s">
        <v>11874</v>
      </c>
      <c r="AK499" s="13">
        <v>36360</v>
      </c>
      <c r="AL499" s="13"/>
      <c r="AM499" s="14">
        <f t="shared" si="7"/>
        <v>0</v>
      </c>
      <c r="AN499" s="12" t="s">
        <v>12004</v>
      </c>
    </row>
    <row r="500" spans="1:40" x14ac:dyDescent="0.25">
      <c r="A500" s="8">
        <v>499</v>
      </c>
      <c r="B500" s="9" t="s">
        <v>35</v>
      </c>
      <c r="C500" s="9" t="s">
        <v>6065</v>
      </c>
      <c r="D500" s="9" t="s">
        <v>37</v>
      </c>
      <c r="E500" s="9" t="s">
        <v>6066</v>
      </c>
      <c r="F500" s="9" t="s">
        <v>39</v>
      </c>
      <c r="G500" s="9" t="s">
        <v>6067</v>
      </c>
      <c r="H500" s="9" t="s">
        <v>6068</v>
      </c>
      <c r="I500" s="9" t="s">
        <v>6069</v>
      </c>
      <c r="J500" s="9" t="s">
        <v>6068</v>
      </c>
      <c r="K500" s="9" t="s">
        <v>6070</v>
      </c>
      <c r="L500" s="9">
        <v>1050000</v>
      </c>
      <c r="M500" s="9">
        <v>1400000</v>
      </c>
      <c r="N500" s="9" t="s">
        <v>6071</v>
      </c>
      <c r="O500" s="10">
        <v>45638</v>
      </c>
      <c r="P500" s="9" t="s">
        <v>6072</v>
      </c>
      <c r="Q500" s="9" t="s">
        <v>6073</v>
      </c>
      <c r="R500" s="9" t="s">
        <v>146</v>
      </c>
      <c r="S500" s="9" t="s">
        <v>6074</v>
      </c>
      <c r="T500" s="9" t="s">
        <v>6075</v>
      </c>
      <c r="U500" s="9" t="s">
        <v>496</v>
      </c>
      <c r="V500" s="10">
        <v>44545</v>
      </c>
      <c r="W500" s="9" t="s">
        <v>4473</v>
      </c>
      <c r="X500" s="9" t="s">
        <v>4588</v>
      </c>
      <c r="Y500" s="9" t="s">
        <v>6076</v>
      </c>
      <c r="Z500" s="9">
        <v>5</v>
      </c>
      <c r="AA500" s="9" t="s">
        <v>55</v>
      </c>
      <c r="AB500" s="9" t="s">
        <v>6077</v>
      </c>
      <c r="AC500" s="9" t="s">
        <v>6078</v>
      </c>
      <c r="AD500" s="9" t="s">
        <v>299</v>
      </c>
      <c r="AE500" s="9">
        <v>1120000</v>
      </c>
      <c r="AF500" s="11">
        <v>16800</v>
      </c>
      <c r="AG500" s="9"/>
      <c r="AH500" s="9"/>
      <c r="AI500" s="9"/>
      <c r="AJ500" s="12" t="s">
        <v>11875</v>
      </c>
      <c r="AK500" s="13">
        <v>16800</v>
      </c>
      <c r="AL500" s="13"/>
      <c r="AM500" s="14">
        <f t="shared" si="7"/>
        <v>0</v>
      </c>
      <c r="AN500" s="12" t="s">
        <v>12004</v>
      </c>
    </row>
    <row r="501" spans="1:40" x14ac:dyDescent="0.25">
      <c r="A501" s="15">
        <v>500</v>
      </c>
      <c r="B501" s="12" t="s">
        <v>35</v>
      </c>
      <c r="C501" s="12" t="s">
        <v>6079</v>
      </c>
      <c r="D501" s="12" t="s">
        <v>37</v>
      </c>
      <c r="E501" s="12" t="s">
        <v>6080</v>
      </c>
      <c r="F501" s="12" t="s">
        <v>138</v>
      </c>
      <c r="G501" s="12" t="s">
        <v>6081</v>
      </c>
      <c r="H501" s="12" t="s">
        <v>48</v>
      </c>
      <c r="I501" s="12" t="s">
        <v>6082</v>
      </c>
      <c r="J501" s="12" t="s">
        <v>6083</v>
      </c>
      <c r="K501" s="12" t="s">
        <v>6084</v>
      </c>
      <c r="L501" s="12">
        <v>1505000</v>
      </c>
      <c r="M501" s="12">
        <v>2150000</v>
      </c>
      <c r="N501" s="12" t="s">
        <v>6085</v>
      </c>
      <c r="O501" s="16">
        <v>45625</v>
      </c>
      <c r="P501" s="12" t="s">
        <v>6086</v>
      </c>
      <c r="Q501" s="12" t="s">
        <v>6087</v>
      </c>
      <c r="R501" s="12" t="s">
        <v>146</v>
      </c>
      <c r="S501" s="12" t="s">
        <v>6088</v>
      </c>
      <c r="T501" s="12" t="s">
        <v>6089</v>
      </c>
      <c r="U501" s="12" t="s">
        <v>50</v>
      </c>
      <c r="V501" s="12" t="s">
        <v>4043</v>
      </c>
      <c r="W501" s="12" t="s">
        <v>940</v>
      </c>
      <c r="X501" s="12" t="s">
        <v>533</v>
      </c>
      <c r="Y501" s="12" t="s">
        <v>6090</v>
      </c>
      <c r="Z501" s="12">
        <v>3</v>
      </c>
      <c r="AA501" s="12" t="s">
        <v>227</v>
      </c>
      <c r="AB501" s="12" t="s">
        <v>6091</v>
      </c>
      <c r="AC501" s="12" t="s">
        <v>4043</v>
      </c>
      <c r="AD501" s="12" t="s">
        <v>86</v>
      </c>
      <c r="AE501" s="12">
        <v>1827500</v>
      </c>
      <c r="AF501" s="13">
        <v>31981</v>
      </c>
      <c r="AG501" s="12"/>
      <c r="AH501" s="12"/>
      <c r="AI501" s="12"/>
      <c r="AJ501" s="12" t="s">
        <v>11876</v>
      </c>
      <c r="AK501" s="13">
        <v>31981</v>
      </c>
      <c r="AL501" s="13"/>
      <c r="AM501" s="14">
        <f t="shared" si="7"/>
        <v>0</v>
      </c>
      <c r="AN501" s="12" t="s">
        <v>12004</v>
      </c>
    </row>
    <row r="502" spans="1:40" x14ac:dyDescent="0.25">
      <c r="A502" s="8">
        <v>501</v>
      </c>
      <c r="B502" s="9" t="s">
        <v>35</v>
      </c>
      <c r="C502" s="9" t="s">
        <v>6092</v>
      </c>
      <c r="D502" s="9" t="s">
        <v>37</v>
      </c>
      <c r="E502" s="9" t="s">
        <v>6093</v>
      </c>
      <c r="F502" s="9" t="s">
        <v>39</v>
      </c>
      <c r="G502" s="9" t="s">
        <v>6094</v>
      </c>
      <c r="H502" s="9" t="s">
        <v>6095</v>
      </c>
      <c r="I502" s="9" t="s">
        <v>6096</v>
      </c>
      <c r="J502" s="9" t="s">
        <v>6097</v>
      </c>
      <c r="K502" s="9" t="s">
        <v>6098</v>
      </c>
      <c r="L502" s="9">
        <v>1464000</v>
      </c>
      <c r="M502" s="9">
        <v>1830000</v>
      </c>
      <c r="N502" s="9" t="s">
        <v>6099</v>
      </c>
      <c r="O502" s="10">
        <v>45625</v>
      </c>
      <c r="P502" s="9" t="s">
        <v>6100</v>
      </c>
      <c r="Q502" s="9" t="s">
        <v>6101</v>
      </c>
      <c r="R502" s="9" t="s">
        <v>146</v>
      </c>
      <c r="S502" s="9" t="s">
        <v>6102</v>
      </c>
      <c r="T502" s="9" t="s">
        <v>2304</v>
      </c>
      <c r="U502" s="9" t="s">
        <v>903</v>
      </c>
      <c r="V502" s="9" t="s">
        <v>3728</v>
      </c>
      <c r="W502" s="9" t="s">
        <v>3729</v>
      </c>
      <c r="X502" s="9" t="s">
        <v>133</v>
      </c>
      <c r="Y502" s="9" t="s">
        <v>6103</v>
      </c>
      <c r="Z502" s="9">
        <v>7</v>
      </c>
      <c r="AA502" s="9" t="s">
        <v>227</v>
      </c>
      <c r="AB502" s="9" t="s">
        <v>6104</v>
      </c>
      <c r="AC502" s="9" t="s">
        <v>3728</v>
      </c>
      <c r="AD502" s="9" t="s">
        <v>171</v>
      </c>
      <c r="AE502" s="9">
        <v>1281000</v>
      </c>
      <c r="AF502" s="11">
        <v>32025</v>
      </c>
      <c r="AG502" s="9"/>
      <c r="AH502" s="9"/>
      <c r="AI502" s="9"/>
      <c r="AJ502" s="12" t="s">
        <v>11877</v>
      </c>
      <c r="AK502" s="13">
        <v>34313</v>
      </c>
      <c r="AL502" s="13" t="s">
        <v>12247</v>
      </c>
      <c r="AM502" s="14">
        <f t="shared" si="7"/>
        <v>-2288</v>
      </c>
      <c r="AN502" s="12" t="s">
        <v>12004</v>
      </c>
    </row>
    <row r="503" spans="1:40" x14ac:dyDescent="0.25">
      <c r="A503" s="15">
        <v>502</v>
      </c>
      <c r="B503" s="12" t="s">
        <v>35</v>
      </c>
      <c r="C503" s="12" t="s">
        <v>6105</v>
      </c>
      <c r="D503" s="12" t="s">
        <v>37</v>
      </c>
      <c r="E503" s="12" t="s">
        <v>6106</v>
      </c>
      <c r="F503" s="12" t="s">
        <v>39</v>
      </c>
      <c r="G503" s="12" t="s">
        <v>6107</v>
      </c>
      <c r="H503" s="12" t="s">
        <v>6108</v>
      </c>
      <c r="I503" s="12" t="s">
        <v>6109</v>
      </c>
      <c r="J503" s="12" t="s">
        <v>6108</v>
      </c>
      <c r="K503" s="12" t="s">
        <v>6110</v>
      </c>
      <c r="L503" s="12">
        <v>1560000</v>
      </c>
      <c r="M503" s="12">
        <v>1950000</v>
      </c>
      <c r="N503" s="12" t="s">
        <v>6111</v>
      </c>
      <c r="O503" s="16">
        <v>45625</v>
      </c>
      <c r="P503" s="12" t="s">
        <v>6112</v>
      </c>
      <c r="Q503" s="12" t="s">
        <v>6113</v>
      </c>
      <c r="R503" s="12" t="s">
        <v>146</v>
      </c>
      <c r="S503" s="12" t="s">
        <v>6114</v>
      </c>
      <c r="T503" s="12" t="s">
        <v>1323</v>
      </c>
      <c r="U503" s="12" t="s">
        <v>614</v>
      </c>
      <c r="V503" s="12" t="s">
        <v>3368</v>
      </c>
      <c r="W503" s="12" t="s">
        <v>132</v>
      </c>
      <c r="X503" s="12" t="s">
        <v>133</v>
      </c>
      <c r="Y503" s="12" t="s">
        <v>6115</v>
      </c>
      <c r="Z503" s="12">
        <v>5</v>
      </c>
      <c r="AA503" s="12" t="s">
        <v>118</v>
      </c>
      <c r="AB503" s="12" t="s">
        <v>6116</v>
      </c>
      <c r="AC503" s="12" t="s">
        <v>3368</v>
      </c>
      <c r="AD503" s="12" t="s">
        <v>58</v>
      </c>
      <c r="AE503" s="12">
        <v>1560000</v>
      </c>
      <c r="AF503" s="13">
        <v>31200</v>
      </c>
      <c r="AG503" s="12"/>
      <c r="AH503" s="12"/>
      <c r="AI503" s="12"/>
      <c r="AJ503" s="12" t="s">
        <v>11878</v>
      </c>
      <c r="AK503" s="13">
        <v>31200</v>
      </c>
      <c r="AL503" s="13"/>
      <c r="AM503" s="14">
        <f t="shared" si="7"/>
        <v>0</v>
      </c>
      <c r="AN503" s="12" t="s">
        <v>12004</v>
      </c>
    </row>
    <row r="504" spans="1:40" x14ac:dyDescent="0.25">
      <c r="A504" s="8">
        <v>503</v>
      </c>
      <c r="B504" s="9" t="s">
        <v>35</v>
      </c>
      <c r="C504" s="9" t="s">
        <v>6117</v>
      </c>
      <c r="D504" s="9" t="s">
        <v>37</v>
      </c>
      <c r="E504" s="9" t="s">
        <v>6118</v>
      </c>
      <c r="F504" s="9" t="s">
        <v>138</v>
      </c>
      <c r="G504" s="9" t="s">
        <v>6119</v>
      </c>
      <c r="H504" s="9" t="s">
        <v>6120</v>
      </c>
      <c r="I504" s="9" t="s">
        <v>6120</v>
      </c>
      <c r="J504" s="9" t="s">
        <v>141</v>
      </c>
      <c r="K504" s="9" t="s">
        <v>6121</v>
      </c>
      <c r="L504" s="9">
        <v>2054500</v>
      </c>
      <c r="M504" s="9">
        <v>2935000</v>
      </c>
      <c r="N504" s="9" t="s">
        <v>6122</v>
      </c>
      <c r="O504" s="9" t="s">
        <v>6123</v>
      </c>
      <c r="P504" s="9" t="s">
        <v>6124</v>
      </c>
      <c r="Q504" s="9" t="s">
        <v>6125</v>
      </c>
      <c r="R504" s="9" t="s">
        <v>47</v>
      </c>
      <c r="S504" s="9" t="s">
        <v>48</v>
      </c>
      <c r="T504" s="9" t="s">
        <v>613</v>
      </c>
      <c r="U504" s="9" t="s">
        <v>386</v>
      </c>
      <c r="V504" s="10">
        <v>45274</v>
      </c>
      <c r="W504" s="9" t="s">
        <v>4587</v>
      </c>
      <c r="X504" s="9" t="s">
        <v>4724</v>
      </c>
      <c r="Y504" s="9" t="s">
        <v>6126</v>
      </c>
      <c r="Z504" s="9">
        <v>5</v>
      </c>
      <c r="AA504" s="9" t="s">
        <v>55</v>
      </c>
      <c r="AB504" s="9" t="s">
        <v>6127</v>
      </c>
      <c r="AC504" s="9" t="s">
        <v>6128</v>
      </c>
      <c r="AD504" s="9" t="s">
        <v>86</v>
      </c>
      <c r="AE504" s="9">
        <v>2641500</v>
      </c>
      <c r="AF504" s="11">
        <v>46226</v>
      </c>
      <c r="AG504" s="9"/>
      <c r="AH504" s="9"/>
      <c r="AI504" s="9"/>
      <c r="AJ504" s="12" t="s">
        <v>11879</v>
      </c>
      <c r="AK504" s="13">
        <v>46226</v>
      </c>
      <c r="AL504" s="13"/>
      <c r="AM504" s="14">
        <f t="shared" si="7"/>
        <v>0</v>
      </c>
      <c r="AN504" s="12" t="s">
        <v>12004</v>
      </c>
    </row>
    <row r="505" spans="1:40" x14ac:dyDescent="0.25">
      <c r="A505" s="15">
        <v>504</v>
      </c>
      <c r="B505" s="12" t="s">
        <v>35</v>
      </c>
      <c r="C505" s="12" t="s">
        <v>6129</v>
      </c>
      <c r="D505" s="12" t="s">
        <v>37</v>
      </c>
      <c r="E505" s="12" t="s">
        <v>6130</v>
      </c>
      <c r="F505" s="12" t="s">
        <v>107</v>
      </c>
      <c r="G505" s="12" t="s">
        <v>6131</v>
      </c>
      <c r="H505" s="12" t="s">
        <v>6132</v>
      </c>
      <c r="I505" s="12" t="s">
        <v>6132</v>
      </c>
      <c r="J505" s="12" t="s">
        <v>6133</v>
      </c>
      <c r="K505" s="12" t="s">
        <v>6134</v>
      </c>
      <c r="L505" s="12">
        <v>1180000</v>
      </c>
      <c r="M505" s="12">
        <v>1475000</v>
      </c>
      <c r="N505" s="12" t="s">
        <v>6135</v>
      </c>
      <c r="O505" s="16">
        <v>45638</v>
      </c>
      <c r="P505" s="12" t="s">
        <v>6136</v>
      </c>
      <c r="Q505" s="12" t="s">
        <v>6137</v>
      </c>
      <c r="R505" s="12" t="s">
        <v>47</v>
      </c>
      <c r="S505" s="12" t="s">
        <v>48</v>
      </c>
      <c r="T505" s="12" t="s">
        <v>1384</v>
      </c>
      <c r="U505" s="12" t="s">
        <v>148</v>
      </c>
      <c r="V505" s="16">
        <v>44711</v>
      </c>
      <c r="W505" s="12" t="s">
        <v>5621</v>
      </c>
      <c r="X505" s="12" t="s">
        <v>5267</v>
      </c>
      <c r="Y505" s="12" t="s">
        <v>6138</v>
      </c>
      <c r="Z505" s="12">
        <v>3</v>
      </c>
      <c r="AA505" s="12" t="s">
        <v>227</v>
      </c>
      <c r="AB505" s="12" t="s">
        <v>6139</v>
      </c>
      <c r="AC505" s="12" t="s">
        <v>6140</v>
      </c>
      <c r="AD505" s="12" t="s">
        <v>58</v>
      </c>
      <c r="AE505" s="12">
        <v>1253750</v>
      </c>
      <c r="AF505" s="13">
        <v>25075</v>
      </c>
      <c r="AG505" s="12"/>
      <c r="AH505" s="12"/>
      <c r="AI505" s="12"/>
      <c r="AJ505" s="12" t="s">
        <v>11880</v>
      </c>
      <c r="AK505" s="13">
        <v>25075</v>
      </c>
      <c r="AL505" s="13"/>
      <c r="AM505" s="14">
        <f t="shared" si="7"/>
        <v>0</v>
      </c>
      <c r="AN505" s="12" t="s">
        <v>12004</v>
      </c>
    </row>
    <row r="506" spans="1:40" x14ac:dyDescent="0.25">
      <c r="A506" s="8">
        <v>505</v>
      </c>
      <c r="B506" s="9" t="s">
        <v>35</v>
      </c>
      <c r="C506" s="9" t="s">
        <v>6141</v>
      </c>
      <c r="D506" s="9" t="s">
        <v>37</v>
      </c>
      <c r="E506" s="9" t="s">
        <v>6142</v>
      </c>
      <c r="F506" s="9" t="s">
        <v>39</v>
      </c>
      <c r="G506" s="9" t="s">
        <v>6143</v>
      </c>
      <c r="H506" s="9" t="s">
        <v>6144</v>
      </c>
      <c r="I506" s="9" t="s">
        <v>6144</v>
      </c>
      <c r="J506" s="9" t="s">
        <v>6144</v>
      </c>
      <c r="K506" s="9" t="s">
        <v>6145</v>
      </c>
      <c r="L506" s="9">
        <v>2053100</v>
      </c>
      <c r="M506" s="9">
        <v>2933000</v>
      </c>
      <c r="N506" s="9" t="s">
        <v>6146</v>
      </c>
      <c r="O506" s="10">
        <v>45638</v>
      </c>
      <c r="P506" s="9" t="s">
        <v>6147</v>
      </c>
      <c r="Q506" s="9" t="s">
        <v>6148</v>
      </c>
      <c r="R506" s="9" t="s">
        <v>47</v>
      </c>
      <c r="S506" s="9" t="s">
        <v>48</v>
      </c>
      <c r="T506" s="9" t="s">
        <v>1826</v>
      </c>
      <c r="U506" s="9" t="s">
        <v>50</v>
      </c>
      <c r="V506" s="10">
        <v>44476</v>
      </c>
      <c r="W506" s="9" t="s">
        <v>4473</v>
      </c>
      <c r="X506" s="9" t="s">
        <v>5267</v>
      </c>
      <c r="Y506" s="9" t="s">
        <v>6149</v>
      </c>
      <c r="Z506" s="9">
        <v>4</v>
      </c>
      <c r="AA506" s="9" t="s">
        <v>55</v>
      </c>
      <c r="AB506" s="9" t="s">
        <v>6150</v>
      </c>
      <c r="AC506" s="9" t="s">
        <v>6078</v>
      </c>
      <c r="AD506" s="9" t="s">
        <v>58</v>
      </c>
      <c r="AE506" s="9">
        <v>2346400</v>
      </c>
      <c r="AF506" s="11">
        <v>46928</v>
      </c>
      <c r="AG506" s="9"/>
      <c r="AH506" s="9"/>
      <c r="AI506" s="9"/>
      <c r="AJ506" s="12" t="s">
        <v>11881</v>
      </c>
      <c r="AK506" s="13">
        <v>46928</v>
      </c>
      <c r="AL506" s="13"/>
      <c r="AM506" s="14">
        <f t="shared" si="7"/>
        <v>0</v>
      </c>
      <c r="AN506" s="12" t="s">
        <v>12004</v>
      </c>
    </row>
    <row r="507" spans="1:40" x14ac:dyDescent="0.25">
      <c r="A507" s="15">
        <v>506</v>
      </c>
      <c r="B507" s="12" t="s">
        <v>35</v>
      </c>
      <c r="C507" s="12" t="s">
        <v>6151</v>
      </c>
      <c r="D507" s="12" t="s">
        <v>37</v>
      </c>
      <c r="E507" s="12" t="s">
        <v>6152</v>
      </c>
      <c r="F507" s="12" t="s">
        <v>4022</v>
      </c>
      <c r="G507" s="12" t="s">
        <v>6153</v>
      </c>
      <c r="H507" s="12" t="s">
        <v>6154</v>
      </c>
      <c r="I507" s="12" t="s">
        <v>6155</v>
      </c>
      <c r="J507" s="12" t="s">
        <v>6155</v>
      </c>
      <c r="K507" s="12" t="s">
        <v>6156</v>
      </c>
      <c r="L507" s="12">
        <v>1050000</v>
      </c>
      <c r="M507" s="12">
        <v>1500000</v>
      </c>
      <c r="N507" s="12" t="s">
        <v>6157</v>
      </c>
      <c r="O507" s="16">
        <v>45625</v>
      </c>
      <c r="P507" s="12" t="s">
        <v>6158</v>
      </c>
      <c r="Q507" s="12" t="s">
        <v>6159</v>
      </c>
      <c r="R507" s="12" t="s">
        <v>146</v>
      </c>
      <c r="S507" s="12" t="s">
        <v>6160</v>
      </c>
      <c r="T507" s="12" t="s">
        <v>1264</v>
      </c>
      <c r="U507" s="12" t="s">
        <v>98</v>
      </c>
      <c r="V507" s="12" t="s">
        <v>3368</v>
      </c>
      <c r="W507" s="12" t="s">
        <v>132</v>
      </c>
      <c r="X507" s="12" t="s">
        <v>133</v>
      </c>
      <c r="Y507" s="12" t="s">
        <v>6161</v>
      </c>
      <c r="Z507" s="12">
        <v>5</v>
      </c>
      <c r="AA507" s="12" t="s">
        <v>55</v>
      </c>
      <c r="AB507" s="12" t="s">
        <v>6162</v>
      </c>
      <c r="AC507" s="12" t="s">
        <v>3368</v>
      </c>
      <c r="AD507" s="12" t="s">
        <v>299</v>
      </c>
      <c r="AE507" s="12">
        <v>1200000</v>
      </c>
      <c r="AF507" s="13">
        <v>18000</v>
      </c>
      <c r="AG507" s="12"/>
      <c r="AH507" s="12"/>
      <c r="AI507" s="12"/>
      <c r="AJ507" s="12" t="s">
        <v>11882</v>
      </c>
      <c r="AK507" s="13">
        <v>18000</v>
      </c>
      <c r="AL507" s="13"/>
      <c r="AM507" s="14">
        <f t="shared" si="7"/>
        <v>0</v>
      </c>
      <c r="AN507" s="12" t="s">
        <v>12004</v>
      </c>
    </row>
    <row r="508" spans="1:40" x14ac:dyDescent="0.25">
      <c r="A508" s="8">
        <v>507</v>
      </c>
      <c r="B508" s="9" t="s">
        <v>35</v>
      </c>
      <c r="C508" s="9" t="s">
        <v>6163</v>
      </c>
      <c r="D508" s="9" t="s">
        <v>37</v>
      </c>
      <c r="E508" s="9" t="s">
        <v>6164</v>
      </c>
      <c r="F508" s="9" t="s">
        <v>290</v>
      </c>
      <c r="G508" s="9" t="s">
        <v>6165</v>
      </c>
      <c r="H508" s="9" t="s">
        <v>6166</v>
      </c>
      <c r="I508" s="9" t="s">
        <v>6166</v>
      </c>
      <c r="J508" s="9" t="s">
        <v>6166</v>
      </c>
      <c r="K508" s="9" t="s">
        <v>6167</v>
      </c>
      <c r="L508" s="9">
        <v>1914500</v>
      </c>
      <c r="M508" s="9">
        <v>2735000</v>
      </c>
      <c r="N508" s="9" t="s">
        <v>6168</v>
      </c>
      <c r="O508" s="10">
        <v>45638</v>
      </c>
      <c r="P508" s="9" t="s">
        <v>6169</v>
      </c>
      <c r="Q508" s="9" t="s">
        <v>6170</v>
      </c>
      <c r="R508" s="9" t="s">
        <v>47</v>
      </c>
      <c r="S508" s="9" t="s">
        <v>48</v>
      </c>
      <c r="T508" s="9" t="s">
        <v>6171</v>
      </c>
      <c r="U508" s="9" t="s">
        <v>50</v>
      </c>
      <c r="V508" s="10">
        <v>44546</v>
      </c>
      <c r="W508" s="9" t="s">
        <v>4473</v>
      </c>
      <c r="X508" s="9" t="s">
        <v>4588</v>
      </c>
      <c r="Y508" s="9" t="s">
        <v>6172</v>
      </c>
      <c r="Z508" s="9">
        <v>5</v>
      </c>
      <c r="AA508" s="9" t="s">
        <v>55</v>
      </c>
      <c r="AB508" s="9" t="s">
        <v>6173</v>
      </c>
      <c r="AC508" s="9" t="s">
        <v>6078</v>
      </c>
      <c r="AD508" s="9" t="s">
        <v>58</v>
      </c>
      <c r="AE508" s="9">
        <v>2188000</v>
      </c>
      <c r="AF508" s="11">
        <v>43760</v>
      </c>
      <c r="AG508" s="9"/>
      <c r="AH508" s="9"/>
      <c r="AI508" s="9"/>
      <c r="AJ508" s="12" t="s">
        <v>11883</v>
      </c>
      <c r="AK508" s="13">
        <v>43760</v>
      </c>
      <c r="AL508" s="13"/>
      <c r="AM508" s="14">
        <f t="shared" si="7"/>
        <v>0</v>
      </c>
      <c r="AN508" s="12" t="s">
        <v>12004</v>
      </c>
    </row>
    <row r="509" spans="1:40" x14ac:dyDescent="0.25">
      <c r="A509" s="15">
        <v>508</v>
      </c>
      <c r="B509" s="12" t="s">
        <v>35</v>
      </c>
      <c r="C509" s="12" t="s">
        <v>6174</v>
      </c>
      <c r="D509" s="12" t="s">
        <v>37</v>
      </c>
      <c r="E509" s="12" t="s">
        <v>6175</v>
      </c>
      <c r="F509" s="12" t="s">
        <v>107</v>
      </c>
      <c r="G509" s="12" t="s">
        <v>6176</v>
      </c>
      <c r="H509" s="12" t="s">
        <v>48</v>
      </c>
      <c r="I509" s="12" t="s">
        <v>6177</v>
      </c>
      <c r="J509" s="12" t="s">
        <v>6178</v>
      </c>
      <c r="K509" s="12" t="s">
        <v>6179</v>
      </c>
      <c r="L509" s="12">
        <v>1812300</v>
      </c>
      <c r="M509" s="12">
        <v>2589000</v>
      </c>
      <c r="N509" s="12" t="s">
        <v>6180</v>
      </c>
      <c r="O509" s="16">
        <v>45638</v>
      </c>
      <c r="P509" s="12" t="s">
        <v>6181</v>
      </c>
      <c r="Q509" s="12" t="s">
        <v>6182</v>
      </c>
      <c r="R509" s="12" t="s">
        <v>47</v>
      </c>
      <c r="S509" s="12" t="s">
        <v>48</v>
      </c>
      <c r="T509" s="12" t="s">
        <v>1015</v>
      </c>
      <c r="U509" s="12" t="s">
        <v>50</v>
      </c>
      <c r="V509" s="16">
        <v>44550</v>
      </c>
      <c r="W509" s="12" t="s">
        <v>4473</v>
      </c>
      <c r="X509" s="12" t="s">
        <v>4588</v>
      </c>
      <c r="Y509" s="12" t="s">
        <v>6183</v>
      </c>
      <c r="Z509" s="12">
        <v>5</v>
      </c>
      <c r="AA509" s="12" t="s">
        <v>55</v>
      </c>
      <c r="AB509" s="12" t="s">
        <v>6184</v>
      </c>
      <c r="AC509" s="12" t="s">
        <v>5995</v>
      </c>
      <c r="AD509" s="12" t="s">
        <v>58</v>
      </c>
      <c r="AE509" s="12">
        <v>2071200</v>
      </c>
      <c r="AF509" s="13">
        <v>41424</v>
      </c>
      <c r="AG509" s="12"/>
      <c r="AH509" s="12"/>
      <c r="AI509" s="12"/>
      <c r="AJ509" s="12" t="s">
        <v>11884</v>
      </c>
      <c r="AK509" s="13">
        <v>41424</v>
      </c>
      <c r="AL509" s="13"/>
      <c r="AM509" s="14">
        <f t="shared" si="7"/>
        <v>0</v>
      </c>
      <c r="AN509" s="12" t="s">
        <v>12004</v>
      </c>
    </row>
    <row r="510" spans="1:40" x14ac:dyDescent="0.25">
      <c r="A510" s="8">
        <v>509</v>
      </c>
      <c r="B510" s="9" t="s">
        <v>35</v>
      </c>
      <c r="C510" s="9" t="s">
        <v>6185</v>
      </c>
      <c r="D510" s="9" t="s">
        <v>37</v>
      </c>
      <c r="E510" s="9" t="s">
        <v>6186</v>
      </c>
      <c r="F510" s="9" t="s">
        <v>107</v>
      </c>
      <c r="G510" s="9" t="s">
        <v>6187</v>
      </c>
      <c r="H510" s="9" t="s">
        <v>6188</v>
      </c>
      <c r="I510" s="9" t="s">
        <v>6188</v>
      </c>
      <c r="J510" s="9" t="s">
        <v>6188</v>
      </c>
      <c r="K510" s="9" t="s">
        <v>6189</v>
      </c>
      <c r="L510" s="9">
        <v>1525000</v>
      </c>
      <c r="M510" s="9">
        <v>2500000</v>
      </c>
      <c r="N510" s="9" t="s">
        <v>6190</v>
      </c>
      <c r="O510" s="10">
        <v>45638</v>
      </c>
      <c r="P510" s="9" t="s">
        <v>6191</v>
      </c>
      <c r="Q510" s="9" t="s">
        <v>6192</v>
      </c>
      <c r="R510" s="9" t="s">
        <v>146</v>
      </c>
      <c r="S510" s="9" t="s">
        <v>6193</v>
      </c>
      <c r="T510" s="9" t="s">
        <v>1141</v>
      </c>
      <c r="U510" s="9" t="s">
        <v>98</v>
      </c>
      <c r="V510" s="10">
        <v>44547</v>
      </c>
      <c r="W510" s="9" t="s">
        <v>4473</v>
      </c>
      <c r="X510" s="9" t="s">
        <v>4588</v>
      </c>
      <c r="Y510" s="9" t="s">
        <v>6194</v>
      </c>
      <c r="Z510" s="9">
        <v>5</v>
      </c>
      <c r="AA510" s="9" t="s">
        <v>55</v>
      </c>
      <c r="AB510" s="9" t="s">
        <v>6195</v>
      </c>
      <c r="AC510" s="9" t="s">
        <v>5995</v>
      </c>
      <c r="AD510" s="9" t="s">
        <v>299</v>
      </c>
      <c r="AE510" s="9">
        <v>2000000</v>
      </c>
      <c r="AF510" s="11">
        <v>30000</v>
      </c>
      <c r="AG510" s="9"/>
      <c r="AH510" s="9"/>
      <c r="AI510" s="9"/>
      <c r="AJ510" s="12" t="s">
        <v>11885</v>
      </c>
      <c r="AK510" s="13">
        <v>30000</v>
      </c>
      <c r="AL510" s="13"/>
      <c r="AM510" s="14">
        <f t="shared" si="7"/>
        <v>0</v>
      </c>
      <c r="AN510" s="12" t="s">
        <v>12004</v>
      </c>
    </row>
    <row r="511" spans="1:40" x14ac:dyDescent="0.25">
      <c r="A511" s="15">
        <v>510</v>
      </c>
      <c r="B511" s="12" t="s">
        <v>35</v>
      </c>
      <c r="C511" s="12" t="s">
        <v>6196</v>
      </c>
      <c r="D511" s="12" t="s">
        <v>37</v>
      </c>
      <c r="E511" s="12" t="s">
        <v>6197</v>
      </c>
      <c r="F511" s="12" t="s">
        <v>4022</v>
      </c>
      <c r="G511" s="12" t="s">
        <v>6198</v>
      </c>
      <c r="H511" s="12" t="s">
        <v>6199</v>
      </c>
      <c r="I511" s="12" t="s">
        <v>6200</v>
      </c>
      <c r="J511" s="12" t="s">
        <v>6201</v>
      </c>
      <c r="K511" s="12" t="s">
        <v>6202</v>
      </c>
      <c r="L511" s="12">
        <v>976500</v>
      </c>
      <c r="M511" s="12">
        <v>1550000</v>
      </c>
      <c r="N511" s="12" t="s">
        <v>6203</v>
      </c>
      <c r="O511" s="16">
        <v>45638</v>
      </c>
      <c r="P511" s="12" t="s">
        <v>6204</v>
      </c>
      <c r="Q511" s="12" t="s">
        <v>6205</v>
      </c>
      <c r="R511" s="12" t="s">
        <v>146</v>
      </c>
      <c r="S511" s="12" t="s">
        <v>6206</v>
      </c>
      <c r="T511" s="12" t="s">
        <v>321</v>
      </c>
      <c r="U511" s="12" t="s">
        <v>496</v>
      </c>
      <c r="V511" s="16">
        <v>44546</v>
      </c>
      <c r="W511" s="12" t="s">
        <v>4473</v>
      </c>
      <c r="X511" s="12" t="s">
        <v>4588</v>
      </c>
      <c r="Y511" s="12" t="s">
        <v>6207</v>
      </c>
      <c r="Z511" s="12">
        <v>5</v>
      </c>
      <c r="AA511" s="12" t="s">
        <v>55</v>
      </c>
      <c r="AB511" s="12" t="s">
        <v>6208</v>
      </c>
      <c r="AC511" s="12" t="s">
        <v>5995</v>
      </c>
      <c r="AD511" s="12" t="s">
        <v>299</v>
      </c>
      <c r="AE511" s="12">
        <v>1240000</v>
      </c>
      <c r="AF511" s="13">
        <v>18600</v>
      </c>
      <c r="AG511" s="12"/>
      <c r="AH511" s="12"/>
      <c r="AI511" s="12"/>
      <c r="AJ511" s="12" t="s">
        <v>11886</v>
      </c>
      <c r="AK511" s="13">
        <v>18600</v>
      </c>
      <c r="AL511" s="13"/>
      <c r="AM511" s="14">
        <f t="shared" si="7"/>
        <v>0</v>
      </c>
      <c r="AN511" s="12" t="s">
        <v>12004</v>
      </c>
    </row>
    <row r="512" spans="1:40" x14ac:dyDescent="0.25">
      <c r="A512" s="8">
        <v>511</v>
      </c>
      <c r="B512" s="9" t="s">
        <v>35</v>
      </c>
      <c r="C512" s="9" t="s">
        <v>6209</v>
      </c>
      <c r="D512" s="9" t="s">
        <v>37</v>
      </c>
      <c r="E512" s="9" t="s">
        <v>6043</v>
      </c>
      <c r="F512" s="9" t="s">
        <v>138</v>
      </c>
      <c r="G512" s="9" t="s">
        <v>6210</v>
      </c>
      <c r="H512" s="9" t="s">
        <v>6211</v>
      </c>
      <c r="I512" s="9" t="s">
        <v>6211</v>
      </c>
      <c r="J512" s="9" t="s">
        <v>6211</v>
      </c>
      <c r="K512" s="9" t="s">
        <v>6212</v>
      </c>
      <c r="L512" s="9">
        <v>861750</v>
      </c>
      <c r="M512" s="9">
        <v>1149000</v>
      </c>
      <c r="N512" s="9" t="s">
        <v>6213</v>
      </c>
      <c r="O512" s="10">
        <v>45638</v>
      </c>
      <c r="P512" s="9" t="s">
        <v>6214</v>
      </c>
      <c r="Q512" s="9" t="s">
        <v>6215</v>
      </c>
      <c r="R512" s="9" t="s">
        <v>47</v>
      </c>
      <c r="S512" s="9" t="s">
        <v>48</v>
      </c>
      <c r="T512" s="9" t="s">
        <v>966</v>
      </c>
      <c r="U512" s="9" t="s">
        <v>50</v>
      </c>
      <c r="V512" s="10">
        <v>44544</v>
      </c>
      <c r="W512" s="9" t="s">
        <v>4473</v>
      </c>
      <c r="X512" s="9" t="s">
        <v>5267</v>
      </c>
      <c r="Y512" s="9" t="s">
        <v>6216</v>
      </c>
      <c r="Z512" s="9">
        <v>4</v>
      </c>
      <c r="AA512" s="9" t="s">
        <v>55</v>
      </c>
      <c r="AB512" s="9" t="s">
        <v>6217</v>
      </c>
      <c r="AC512" s="9" t="s">
        <v>6078</v>
      </c>
      <c r="AD512" s="9" t="s">
        <v>58</v>
      </c>
      <c r="AE512" s="9">
        <v>919200</v>
      </c>
      <c r="AF512" s="11">
        <v>18384</v>
      </c>
      <c r="AG512" s="9"/>
      <c r="AH512" s="9"/>
      <c r="AI512" s="9"/>
      <c r="AJ512" s="12" t="s">
        <v>11887</v>
      </c>
      <c r="AK512" s="13">
        <v>18384</v>
      </c>
      <c r="AL512" s="13"/>
      <c r="AM512" s="14">
        <f t="shared" si="7"/>
        <v>0</v>
      </c>
      <c r="AN512" s="12" t="s">
        <v>12004</v>
      </c>
    </row>
    <row r="513" spans="1:40" x14ac:dyDescent="0.25">
      <c r="A513" s="15">
        <v>512</v>
      </c>
      <c r="B513" s="12" t="s">
        <v>35</v>
      </c>
      <c r="C513" s="12" t="s">
        <v>6218</v>
      </c>
      <c r="D513" s="12" t="s">
        <v>37</v>
      </c>
      <c r="E513" s="12" t="s">
        <v>6219</v>
      </c>
      <c r="F513" s="12" t="s">
        <v>138</v>
      </c>
      <c r="G513" s="12" t="s">
        <v>6220</v>
      </c>
      <c r="H513" s="12" t="s">
        <v>6221</v>
      </c>
      <c r="I513" s="12" t="s">
        <v>6222</v>
      </c>
      <c r="J513" s="12" t="s">
        <v>6223</v>
      </c>
      <c r="K513" s="12" t="s">
        <v>6224</v>
      </c>
      <c r="L513" s="12">
        <v>2713750</v>
      </c>
      <c r="M513" s="12">
        <v>4175000</v>
      </c>
      <c r="N513" s="12" t="s">
        <v>6225</v>
      </c>
      <c r="O513" s="12" t="s">
        <v>6226</v>
      </c>
      <c r="P513" s="12" t="s">
        <v>6227</v>
      </c>
      <c r="Q513" s="12" t="s">
        <v>6228</v>
      </c>
      <c r="R513" s="12" t="s">
        <v>146</v>
      </c>
      <c r="S513" s="12" t="s">
        <v>6229</v>
      </c>
      <c r="T513" s="12" t="s">
        <v>6230</v>
      </c>
      <c r="U513" s="12" t="s">
        <v>496</v>
      </c>
      <c r="V513" s="16">
        <v>45273</v>
      </c>
      <c r="W513" s="12" t="s">
        <v>4587</v>
      </c>
      <c r="X513" s="12" t="s">
        <v>4588</v>
      </c>
      <c r="Y513" s="12" t="s">
        <v>6231</v>
      </c>
      <c r="Z513" s="12">
        <v>3</v>
      </c>
      <c r="AA513" s="12" t="s">
        <v>55</v>
      </c>
      <c r="AB513" s="12" t="s">
        <v>6232</v>
      </c>
      <c r="AC513" s="12" t="s">
        <v>6233</v>
      </c>
      <c r="AD513" s="12" t="s">
        <v>86</v>
      </c>
      <c r="AE513" s="12">
        <v>3757500</v>
      </c>
      <c r="AF513" s="13">
        <v>65756</v>
      </c>
      <c r="AG513" s="12"/>
      <c r="AH513" s="12"/>
      <c r="AI513" s="12"/>
      <c r="AJ513" s="17" t="s">
        <v>11997</v>
      </c>
      <c r="AK513" s="13">
        <v>65756</v>
      </c>
      <c r="AL513" s="13"/>
      <c r="AM513" s="14">
        <f t="shared" si="7"/>
        <v>0</v>
      </c>
      <c r="AN513" s="12" t="s">
        <v>12004</v>
      </c>
    </row>
    <row r="514" spans="1:40" x14ac:dyDescent="0.25">
      <c r="A514" s="8">
        <v>513</v>
      </c>
      <c r="B514" s="9" t="s">
        <v>35</v>
      </c>
      <c r="C514" s="9" t="s">
        <v>6234</v>
      </c>
      <c r="D514" s="9" t="s">
        <v>37</v>
      </c>
      <c r="E514" s="9" t="s">
        <v>6235</v>
      </c>
      <c r="F514" s="9" t="s">
        <v>138</v>
      </c>
      <c r="G514" s="9" t="s">
        <v>6236</v>
      </c>
      <c r="H514" s="9" t="s">
        <v>6237</v>
      </c>
      <c r="I514" s="9" t="s">
        <v>6238</v>
      </c>
      <c r="J514" s="9" t="s">
        <v>6237</v>
      </c>
      <c r="K514" s="9" t="s">
        <v>6239</v>
      </c>
      <c r="L514" s="9">
        <v>2948000</v>
      </c>
      <c r="M514" s="9">
        <v>6700000</v>
      </c>
      <c r="N514" s="9" t="s">
        <v>6240</v>
      </c>
      <c r="O514" s="9" t="s">
        <v>6241</v>
      </c>
      <c r="P514" s="9" t="s">
        <v>6242</v>
      </c>
      <c r="Q514" s="9" t="s">
        <v>6243</v>
      </c>
      <c r="R514" s="9" t="s">
        <v>146</v>
      </c>
      <c r="S514" s="9" t="s">
        <v>6244</v>
      </c>
      <c r="T514" s="9" t="s">
        <v>714</v>
      </c>
      <c r="U514" s="9" t="s">
        <v>50</v>
      </c>
      <c r="V514" s="10">
        <v>45260</v>
      </c>
      <c r="W514" s="9" t="s">
        <v>4114</v>
      </c>
      <c r="X514" s="9" t="s">
        <v>533</v>
      </c>
      <c r="Y514" s="9" t="s">
        <v>6245</v>
      </c>
      <c r="Z514" s="9">
        <v>2</v>
      </c>
      <c r="AA514" s="9" t="s">
        <v>55</v>
      </c>
      <c r="AB514" s="9" t="s">
        <v>6246</v>
      </c>
      <c r="AC514" s="9" t="s">
        <v>4131</v>
      </c>
      <c r="AD514" s="9" t="s">
        <v>86</v>
      </c>
      <c r="AE514" s="9">
        <v>6030000</v>
      </c>
      <c r="AF514" s="11">
        <v>105525</v>
      </c>
      <c r="AG514" s="9"/>
      <c r="AH514" s="9"/>
      <c r="AI514" s="9"/>
      <c r="AJ514" s="12" t="s">
        <v>11888</v>
      </c>
      <c r="AK514" s="13">
        <v>105525</v>
      </c>
      <c r="AL514" s="13"/>
      <c r="AM514" s="14">
        <f t="shared" si="7"/>
        <v>0</v>
      </c>
      <c r="AN514" s="12" t="s">
        <v>12004</v>
      </c>
    </row>
    <row r="515" spans="1:40" x14ac:dyDescent="0.25">
      <c r="A515" s="15">
        <v>514</v>
      </c>
      <c r="B515" s="12" t="s">
        <v>35</v>
      </c>
      <c r="C515" s="12" t="s">
        <v>6247</v>
      </c>
      <c r="D515" s="12" t="s">
        <v>37</v>
      </c>
      <c r="E515" s="12" t="s">
        <v>6248</v>
      </c>
      <c r="F515" s="12" t="s">
        <v>138</v>
      </c>
      <c r="G515" s="12" t="s">
        <v>6249</v>
      </c>
      <c r="H515" s="12" t="s">
        <v>48</v>
      </c>
      <c r="I515" s="12" t="s">
        <v>48</v>
      </c>
      <c r="J515" s="12" t="s">
        <v>48</v>
      </c>
      <c r="K515" s="12" t="s">
        <v>6250</v>
      </c>
      <c r="L515" s="12">
        <v>1332500</v>
      </c>
      <c r="M515" s="12">
        <v>2050000</v>
      </c>
      <c r="N515" s="12" t="s">
        <v>6251</v>
      </c>
      <c r="O515" s="12" t="s">
        <v>6241</v>
      </c>
      <c r="P515" s="12" t="s">
        <v>6252</v>
      </c>
      <c r="Q515" s="12" t="s">
        <v>6253</v>
      </c>
      <c r="R515" s="12" t="s">
        <v>146</v>
      </c>
      <c r="S515" s="12" t="s">
        <v>6254</v>
      </c>
      <c r="T515" s="12" t="s">
        <v>6255</v>
      </c>
      <c r="U515" s="12" t="s">
        <v>651</v>
      </c>
      <c r="V515" s="16">
        <v>45260</v>
      </c>
      <c r="W515" s="12" t="s">
        <v>4114</v>
      </c>
      <c r="X515" s="12" t="s">
        <v>133</v>
      </c>
      <c r="Y515" s="12" t="s">
        <v>6256</v>
      </c>
      <c r="Z515" s="12">
        <v>3</v>
      </c>
      <c r="AA515" s="12" t="s">
        <v>55</v>
      </c>
      <c r="AB515" s="12" t="s">
        <v>6257</v>
      </c>
      <c r="AC515" s="12" t="s">
        <v>4131</v>
      </c>
      <c r="AD515" s="12" t="s">
        <v>86</v>
      </c>
      <c r="AE515" s="12">
        <v>1845000</v>
      </c>
      <c r="AF515" s="13">
        <v>32288</v>
      </c>
      <c r="AG515" s="12"/>
      <c r="AH515" s="12"/>
      <c r="AI515" s="12"/>
      <c r="AJ515" s="12" t="s">
        <v>11889</v>
      </c>
      <c r="AK515" s="13">
        <v>32288</v>
      </c>
      <c r="AL515" s="13"/>
      <c r="AM515" s="14">
        <f t="shared" ref="AM515:AM578" si="8">AF515-AK515</f>
        <v>0</v>
      </c>
      <c r="AN515" s="12" t="s">
        <v>12004</v>
      </c>
    </row>
    <row r="516" spans="1:40" x14ac:dyDescent="0.25">
      <c r="A516" s="8">
        <v>515</v>
      </c>
      <c r="B516" s="9" t="s">
        <v>35</v>
      </c>
      <c r="C516" s="9" t="s">
        <v>6258</v>
      </c>
      <c r="D516" s="9" t="s">
        <v>37</v>
      </c>
      <c r="E516" s="9" t="s">
        <v>6259</v>
      </c>
      <c r="F516" s="9" t="s">
        <v>138</v>
      </c>
      <c r="G516" s="9" t="s">
        <v>6260</v>
      </c>
      <c r="H516" s="9" t="s">
        <v>6261</v>
      </c>
      <c r="I516" s="9" t="s">
        <v>6262</v>
      </c>
      <c r="J516" s="9" t="s">
        <v>6261</v>
      </c>
      <c r="K516" s="9" t="s">
        <v>6263</v>
      </c>
      <c r="L516" s="9">
        <v>1960000</v>
      </c>
      <c r="M516" s="9">
        <v>2800000</v>
      </c>
      <c r="N516" s="9" t="s">
        <v>6264</v>
      </c>
      <c r="O516" s="9" t="s">
        <v>6241</v>
      </c>
      <c r="P516" s="9" t="s">
        <v>6265</v>
      </c>
      <c r="Q516" s="9" t="s">
        <v>6266</v>
      </c>
      <c r="R516" s="9" t="s">
        <v>146</v>
      </c>
      <c r="S516" s="9" t="s">
        <v>6267</v>
      </c>
      <c r="T516" s="9" t="s">
        <v>613</v>
      </c>
      <c r="U516" s="9" t="s">
        <v>148</v>
      </c>
      <c r="V516" s="10">
        <v>45260</v>
      </c>
      <c r="W516" s="9" t="s">
        <v>4114</v>
      </c>
      <c r="X516" s="9" t="s">
        <v>133</v>
      </c>
      <c r="Y516" s="9" t="s">
        <v>6268</v>
      </c>
      <c r="Z516" s="9">
        <v>3</v>
      </c>
      <c r="AA516" s="9" t="s">
        <v>55</v>
      </c>
      <c r="AB516" s="9" t="s">
        <v>6269</v>
      </c>
      <c r="AC516" s="9" t="s">
        <v>4131</v>
      </c>
      <c r="AD516" s="9" t="s">
        <v>86</v>
      </c>
      <c r="AE516" s="9">
        <v>2520000</v>
      </c>
      <c r="AF516" s="11">
        <v>44100</v>
      </c>
      <c r="AG516" s="9"/>
      <c r="AH516" s="9"/>
      <c r="AI516" s="9"/>
      <c r="AJ516" s="12" t="s">
        <v>11890</v>
      </c>
      <c r="AK516" s="13">
        <v>44100</v>
      </c>
      <c r="AL516" s="13"/>
      <c r="AM516" s="14">
        <f t="shared" si="8"/>
        <v>0</v>
      </c>
      <c r="AN516" s="12" t="s">
        <v>12004</v>
      </c>
    </row>
    <row r="517" spans="1:40" x14ac:dyDescent="0.25">
      <c r="A517" s="15">
        <v>516</v>
      </c>
      <c r="B517" s="12" t="s">
        <v>35</v>
      </c>
      <c r="C517" s="12" t="s">
        <v>6270</v>
      </c>
      <c r="D517" s="12" t="s">
        <v>37</v>
      </c>
      <c r="E517" s="12" t="s">
        <v>6271</v>
      </c>
      <c r="F517" s="12" t="s">
        <v>138</v>
      </c>
      <c r="G517" s="12" t="s">
        <v>6272</v>
      </c>
      <c r="H517" s="12" t="s">
        <v>48</v>
      </c>
      <c r="I517" s="12" t="s">
        <v>6273</v>
      </c>
      <c r="J517" s="12" t="s">
        <v>48</v>
      </c>
      <c r="K517" s="12" t="s">
        <v>6274</v>
      </c>
      <c r="L517" s="12">
        <v>2054500</v>
      </c>
      <c r="M517" s="12">
        <v>2935000</v>
      </c>
      <c r="N517" s="12" t="s">
        <v>6275</v>
      </c>
      <c r="O517" s="12" t="s">
        <v>6241</v>
      </c>
      <c r="P517" s="12" t="s">
        <v>6276</v>
      </c>
      <c r="Q517" s="12" t="s">
        <v>6277</v>
      </c>
      <c r="R517" s="12" t="s">
        <v>47</v>
      </c>
      <c r="S517" s="12" t="s">
        <v>48</v>
      </c>
      <c r="T517" s="12" t="s">
        <v>6278</v>
      </c>
      <c r="U517" s="12" t="s">
        <v>386</v>
      </c>
      <c r="V517" s="16">
        <v>45260</v>
      </c>
      <c r="W517" s="12" t="s">
        <v>4114</v>
      </c>
      <c r="X517" s="12" t="s">
        <v>533</v>
      </c>
      <c r="Y517" s="12" t="s">
        <v>6279</v>
      </c>
      <c r="Z517" s="12">
        <v>2</v>
      </c>
      <c r="AA517" s="12" t="s">
        <v>55</v>
      </c>
      <c r="AB517" s="12" t="s">
        <v>6280</v>
      </c>
      <c r="AC517" s="12" t="s">
        <v>4131</v>
      </c>
      <c r="AD517" s="12" t="s">
        <v>86</v>
      </c>
      <c r="AE517" s="12">
        <v>2641500</v>
      </c>
      <c r="AF517" s="13">
        <v>46226</v>
      </c>
      <c r="AG517" s="12"/>
      <c r="AH517" s="12"/>
      <c r="AI517" s="12"/>
      <c r="AJ517" s="12" t="s">
        <v>11891</v>
      </c>
      <c r="AK517" s="13">
        <v>46226</v>
      </c>
      <c r="AL517" s="13"/>
      <c r="AM517" s="14">
        <f t="shared" si="8"/>
        <v>0</v>
      </c>
      <c r="AN517" s="12" t="s">
        <v>12004</v>
      </c>
    </row>
    <row r="518" spans="1:40" x14ac:dyDescent="0.25">
      <c r="A518" s="8">
        <v>517</v>
      </c>
      <c r="B518" s="9" t="s">
        <v>35</v>
      </c>
      <c r="C518" s="9" t="s">
        <v>6281</v>
      </c>
      <c r="D518" s="9" t="s">
        <v>37</v>
      </c>
      <c r="E518" s="9" t="s">
        <v>6282</v>
      </c>
      <c r="F518" s="9" t="s">
        <v>157</v>
      </c>
      <c r="G518" s="9" t="s">
        <v>6283</v>
      </c>
      <c r="H518" s="9" t="s">
        <v>48</v>
      </c>
      <c r="I518" s="9" t="s">
        <v>6284</v>
      </c>
      <c r="J518" s="9" t="s">
        <v>48</v>
      </c>
      <c r="K518" s="9" t="s">
        <v>6285</v>
      </c>
      <c r="L518" s="9">
        <v>3797760</v>
      </c>
      <c r="M518" s="9">
        <v>5934000</v>
      </c>
      <c r="N518" s="9" t="s">
        <v>6286</v>
      </c>
      <c r="O518" s="9" t="s">
        <v>6287</v>
      </c>
      <c r="P518" s="9" t="s">
        <v>6288</v>
      </c>
      <c r="Q518" s="9" t="s">
        <v>6289</v>
      </c>
      <c r="R518" s="9" t="s">
        <v>858</v>
      </c>
      <c r="S518" s="9" t="s">
        <v>48</v>
      </c>
      <c r="T518" s="9" t="s">
        <v>6290</v>
      </c>
      <c r="U518" s="9" t="s">
        <v>386</v>
      </c>
      <c r="V518" s="10">
        <v>45260</v>
      </c>
      <c r="W518" s="9" t="s">
        <v>4587</v>
      </c>
      <c r="X518" s="9" t="s">
        <v>4724</v>
      </c>
      <c r="Y518" s="9" t="s">
        <v>6291</v>
      </c>
      <c r="Z518" s="9">
        <v>5</v>
      </c>
      <c r="AA518" s="9" t="s">
        <v>55</v>
      </c>
      <c r="AB518" s="9" t="s">
        <v>6292</v>
      </c>
      <c r="AC518" s="9" t="s">
        <v>6293</v>
      </c>
      <c r="AD518" s="9" t="s">
        <v>943</v>
      </c>
      <c r="AE518" s="9">
        <v>5340600</v>
      </c>
      <c r="AF518" s="11">
        <v>74768</v>
      </c>
      <c r="AG518" s="9"/>
      <c r="AH518" s="9"/>
      <c r="AI518" s="9"/>
      <c r="AJ518" s="12" t="s">
        <v>11892</v>
      </c>
      <c r="AK518" s="13">
        <v>74768</v>
      </c>
      <c r="AL518" s="13"/>
      <c r="AM518" s="14">
        <f t="shared" si="8"/>
        <v>0</v>
      </c>
      <c r="AN518" s="12" t="s">
        <v>12004</v>
      </c>
    </row>
    <row r="519" spans="1:40" x14ac:dyDescent="0.25">
      <c r="A519" s="15">
        <v>518</v>
      </c>
      <c r="B519" s="12" t="s">
        <v>35</v>
      </c>
      <c r="C519" s="12" t="s">
        <v>6294</v>
      </c>
      <c r="D519" s="12" t="s">
        <v>37</v>
      </c>
      <c r="E519" s="12" t="s">
        <v>655</v>
      </c>
      <c r="F519" s="12" t="s">
        <v>138</v>
      </c>
      <c r="G519" s="12" t="s">
        <v>6295</v>
      </c>
      <c r="H519" s="12" t="s">
        <v>6296</v>
      </c>
      <c r="I519" s="12" t="s">
        <v>6296</v>
      </c>
      <c r="J519" s="12" t="s">
        <v>141</v>
      </c>
      <c r="K519" s="12" t="s">
        <v>6297</v>
      </c>
      <c r="L519" s="12">
        <v>1722500</v>
      </c>
      <c r="M519" s="12">
        <v>3250000</v>
      </c>
      <c r="N519" s="12" t="s">
        <v>6298</v>
      </c>
      <c r="O519" s="12" t="s">
        <v>6287</v>
      </c>
      <c r="P519" s="12" t="s">
        <v>6299</v>
      </c>
      <c r="Q519" s="12" t="s">
        <v>6300</v>
      </c>
      <c r="R519" s="12" t="s">
        <v>146</v>
      </c>
      <c r="S519" s="12" t="s">
        <v>6301</v>
      </c>
      <c r="T519" s="12" t="s">
        <v>6302</v>
      </c>
      <c r="U519" s="12" t="s">
        <v>651</v>
      </c>
      <c r="V519" s="16">
        <v>45272</v>
      </c>
      <c r="W519" s="12" t="s">
        <v>4587</v>
      </c>
      <c r="X519" s="12" t="s">
        <v>4588</v>
      </c>
      <c r="Y519" s="12" t="s">
        <v>6303</v>
      </c>
      <c r="Z519" s="12">
        <v>3</v>
      </c>
      <c r="AA519" s="12" t="s">
        <v>55</v>
      </c>
      <c r="AB519" s="12" t="s">
        <v>6304</v>
      </c>
      <c r="AC519" s="12" t="s">
        <v>6305</v>
      </c>
      <c r="AD519" s="12" t="s">
        <v>86</v>
      </c>
      <c r="AE519" s="12">
        <v>2925000</v>
      </c>
      <c r="AF519" s="13">
        <v>51188</v>
      </c>
      <c r="AG519" s="12"/>
      <c r="AH519" s="12"/>
      <c r="AI519" s="12"/>
      <c r="AJ519" s="12" t="s">
        <v>11893</v>
      </c>
      <c r="AK519" s="13">
        <v>51188</v>
      </c>
      <c r="AL519" s="13"/>
      <c r="AM519" s="14">
        <f t="shared" si="8"/>
        <v>0</v>
      </c>
      <c r="AN519" s="12" t="s">
        <v>12004</v>
      </c>
    </row>
    <row r="520" spans="1:40" x14ac:dyDescent="0.25">
      <c r="A520" s="8">
        <v>519</v>
      </c>
      <c r="B520" s="9" t="s">
        <v>35</v>
      </c>
      <c r="C520" s="9" t="s">
        <v>6306</v>
      </c>
      <c r="D520" s="9" t="s">
        <v>37</v>
      </c>
      <c r="E520" s="9" t="s">
        <v>6307</v>
      </c>
      <c r="F520" s="9" t="s">
        <v>107</v>
      </c>
      <c r="G520" s="9" t="s">
        <v>6308</v>
      </c>
      <c r="H520" s="9" t="s">
        <v>6309</v>
      </c>
      <c r="I520" s="9" t="s">
        <v>6309</v>
      </c>
      <c r="J520" s="9" t="s">
        <v>6310</v>
      </c>
      <c r="K520" s="9" t="s">
        <v>6311</v>
      </c>
      <c r="L520" s="9">
        <v>2613750</v>
      </c>
      <c r="M520" s="9">
        <v>3485000</v>
      </c>
      <c r="N520" s="9" t="s">
        <v>6312</v>
      </c>
      <c r="O520" s="10">
        <v>45636</v>
      </c>
      <c r="P520" s="9" t="s">
        <v>6313</v>
      </c>
      <c r="Q520" s="9" t="s">
        <v>6314</v>
      </c>
      <c r="R520" s="9" t="s">
        <v>47</v>
      </c>
      <c r="S520" s="9" t="s">
        <v>48</v>
      </c>
      <c r="T520" s="9" t="s">
        <v>6315</v>
      </c>
      <c r="U520" s="9" t="s">
        <v>98</v>
      </c>
      <c r="V520" s="10">
        <v>44135</v>
      </c>
      <c r="W520" s="9" t="s">
        <v>5266</v>
      </c>
      <c r="X520" s="9" t="s">
        <v>5561</v>
      </c>
      <c r="Y520" s="9" t="s">
        <v>6316</v>
      </c>
      <c r="Z520" s="9">
        <v>7</v>
      </c>
      <c r="AA520" s="9" t="s">
        <v>55</v>
      </c>
      <c r="AB520" s="9" t="s">
        <v>6317</v>
      </c>
      <c r="AC520" s="9" t="s">
        <v>3830</v>
      </c>
      <c r="AD520" s="9" t="s">
        <v>58</v>
      </c>
      <c r="AE520" s="9">
        <v>2613750</v>
      </c>
      <c r="AF520" s="11">
        <v>52275</v>
      </c>
      <c r="AG520" s="9"/>
      <c r="AH520" s="9"/>
      <c r="AI520" s="9"/>
      <c r="AJ520" s="12" t="s">
        <v>11894</v>
      </c>
      <c r="AK520" s="13">
        <v>52275</v>
      </c>
      <c r="AL520" s="13"/>
      <c r="AM520" s="14">
        <f t="shared" si="8"/>
        <v>0</v>
      </c>
      <c r="AN520" s="12" t="s">
        <v>12004</v>
      </c>
    </row>
    <row r="521" spans="1:40" x14ac:dyDescent="0.25">
      <c r="A521" s="15">
        <v>520</v>
      </c>
      <c r="B521" s="12" t="s">
        <v>35</v>
      </c>
      <c r="C521" s="12" t="s">
        <v>6318</v>
      </c>
      <c r="D521" s="12" t="s">
        <v>37</v>
      </c>
      <c r="E521" s="12" t="s">
        <v>6319</v>
      </c>
      <c r="F521" s="12" t="s">
        <v>39</v>
      </c>
      <c r="G521" s="12" t="s">
        <v>6320</v>
      </c>
      <c r="H521" s="12" t="s">
        <v>6321</v>
      </c>
      <c r="I521" s="12" t="s">
        <v>6322</v>
      </c>
      <c r="J521" s="12" t="s">
        <v>6321</v>
      </c>
      <c r="K521" s="12" t="s">
        <v>6323</v>
      </c>
      <c r="L521" s="12">
        <v>764400</v>
      </c>
      <c r="M521" s="12">
        <v>1274000</v>
      </c>
      <c r="N521" s="12" t="s">
        <v>6324</v>
      </c>
      <c r="O521" s="16">
        <v>45636</v>
      </c>
      <c r="P521" s="12" t="s">
        <v>6325</v>
      </c>
      <c r="Q521" s="12" t="s">
        <v>6326</v>
      </c>
      <c r="R521" s="12" t="s">
        <v>47</v>
      </c>
      <c r="S521" s="12" t="s">
        <v>6327</v>
      </c>
      <c r="T521" s="12" t="s">
        <v>3781</v>
      </c>
      <c r="U521" s="12" t="s">
        <v>496</v>
      </c>
      <c r="V521" s="16">
        <v>43447</v>
      </c>
      <c r="W521" s="12" t="s">
        <v>6328</v>
      </c>
      <c r="X521" s="12" t="s">
        <v>3831</v>
      </c>
      <c r="Y521" s="12" t="s">
        <v>6329</v>
      </c>
      <c r="Z521" s="12">
        <v>7</v>
      </c>
      <c r="AA521" s="12" t="s">
        <v>323</v>
      </c>
      <c r="AB521" s="12" t="s">
        <v>6330</v>
      </c>
      <c r="AC521" s="12" t="s">
        <v>6328</v>
      </c>
      <c r="AD521" s="12" t="s">
        <v>880</v>
      </c>
      <c r="AE521" s="12">
        <v>828100</v>
      </c>
      <c r="AF521" s="13">
        <v>25671</v>
      </c>
      <c r="AG521" s="12"/>
      <c r="AH521" s="12"/>
      <c r="AI521" s="12"/>
      <c r="AJ521" s="12" t="s">
        <v>11895</v>
      </c>
      <c r="AK521" s="13">
        <v>25671</v>
      </c>
      <c r="AL521" s="13"/>
      <c r="AM521" s="14">
        <f t="shared" si="8"/>
        <v>0</v>
      </c>
      <c r="AN521" s="12" t="s">
        <v>12004</v>
      </c>
    </row>
    <row r="522" spans="1:40" x14ac:dyDescent="0.25">
      <c r="A522" s="8">
        <v>521</v>
      </c>
      <c r="B522" s="9" t="s">
        <v>35</v>
      </c>
      <c r="C522" s="9" t="s">
        <v>6331</v>
      </c>
      <c r="D522" s="9" t="s">
        <v>37</v>
      </c>
      <c r="E522" s="9" t="s">
        <v>6332</v>
      </c>
      <c r="F522" s="9" t="s">
        <v>406</v>
      </c>
      <c r="G522" s="9" t="s">
        <v>6333</v>
      </c>
      <c r="H522" s="9" t="s">
        <v>6334</v>
      </c>
      <c r="I522" s="9" t="s">
        <v>6334</v>
      </c>
      <c r="J522" s="9" t="s">
        <v>6335</v>
      </c>
      <c r="K522" s="9" t="s">
        <v>6336</v>
      </c>
      <c r="L522" s="9">
        <v>3509350</v>
      </c>
      <c r="M522" s="9">
        <v>5399000</v>
      </c>
      <c r="N522" s="9" t="s">
        <v>6337</v>
      </c>
      <c r="O522" s="10">
        <v>45635</v>
      </c>
      <c r="P522" s="9" t="s">
        <v>6338</v>
      </c>
      <c r="Q522" s="9" t="s">
        <v>6339</v>
      </c>
      <c r="R522" s="9" t="s">
        <v>47</v>
      </c>
      <c r="S522" s="9" t="s">
        <v>48</v>
      </c>
      <c r="T522" s="9" t="s">
        <v>520</v>
      </c>
      <c r="U522" s="9" t="s">
        <v>98</v>
      </c>
      <c r="V522" s="10">
        <v>44074</v>
      </c>
      <c r="W522" s="9" t="s">
        <v>4001</v>
      </c>
      <c r="X522" s="9" t="s">
        <v>3977</v>
      </c>
      <c r="Y522" s="9" t="s">
        <v>6340</v>
      </c>
      <c r="Z522" s="9">
        <v>5</v>
      </c>
      <c r="AA522" s="9" t="s">
        <v>48</v>
      </c>
      <c r="AB522" s="9" t="s">
        <v>48</v>
      </c>
      <c r="AC522" s="9" t="s">
        <v>48</v>
      </c>
      <c r="AD522" s="9" t="s">
        <v>299</v>
      </c>
      <c r="AE522" s="9">
        <v>4049250</v>
      </c>
      <c r="AF522" s="11">
        <v>60739</v>
      </c>
      <c r="AG522" s="9"/>
      <c r="AH522" s="9"/>
      <c r="AI522" s="9"/>
      <c r="AJ522" s="12" t="s">
        <v>11896</v>
      </c>
      <c r="AK522" s="13">
        <v>60739</v>
      </c>
      <c r="AL522" s="13"/>
      <c r="AM522" s="14">
        <f t="shared" si="8"/>
        <v>0</v>
      </c>
      <c r="AN522" s="12" t="s">
        <v>12004</v>
      </c>
    </row>
    <row r="523" spans="1:40" x14ac:dyDescent="0.25">
      <c r="A523" s="15">
        <v>522</v>
      </c>
      <c r="B523" s="12" t="s">
        <v>35</v>
      </c>
      <c r="C523" s="12" t="s">
        <v>6341</v>
      </c>
      <c r="D523" s="12" t="s">
        <v>37</v>
      </c>
      <c r="E523" s="12" t="s">
        <v>6342</v>
      </c>
      <c r="F523" s="12" t="s">
        <v>39</v>
      </c>
      <c r="G523" s="12" t="s">
        <v>6343</v>
      </c>
      <c r="H523" s="12" t="s">
        <v>48</v>
      </c>
      <c r="I523" s="12" t="s">
        <v>6344</v>
      </c>
      <c r="J523" s="12" t="s">
        <v>6345</v>
      </c>
      <c r="K523" s="12" t="s">
        <v>6346</v>
      </c>
      <c r="L523" s="12">
        <v>2732100</v>
      </c>
      <c r="M523" s="12">
        <v>3903000</v>
      </c>
      <c r="N523" s="12" t="s">
        <v>6347</v>
      </c>
      <c r="O523" s="16">
        <v>45635</v>
      </c>
      <c r="P523" s="12" t="s">
        <v>6348</v>
      </c>
      <c r="Q523" s="12" t="s">
        <v>6349</v>
      </c>
      <c r="R523" s="12" t="s">
        <v>47</v>
      </c>
      <c r="S523" s="12" t="s">
        <v>48</v>
      </c>
      <c r="T523" s="12" t="s">
        <v>1240</v>
      </c>
      <c r="U523" s="12" t="s">
        <v>50</v>
      </c>
      <c r="V523" s="16">
        <v>44499</v>
      </c>
      <c r="W523" s="12" t="s">
        <v>4473</v>
      </c>
      <c r="X523" s="12" t="s">
        <v>4588</v>
      </c>
      <c r="Y523" s="12" t="s">
        <v>6350</v>
      </c>
      <c r="Z523" s="12">
        <v>5</v>
      </c>
      <c r="AA523" s="12" t="s">
        <v>55</v>
      </c>
      <c r="AB523" s="12" t="s">
        <v>4447</v>
      </c>
      <c r="AC523" s="12" t="s">
        <v>6351</v>
      </c>
      <c r="AD523" s="12" t="s">
        <v>58</v>
      </c>
      <c r="AE523" s="12">
        <v>3122400</v>
      </c>
      <c r="AF523" s="13">
        <v>62448</v>
      </c>
      <c r="AG523" s="12"/>
      <c r="AH523" s="12"/>
      <c r="AI523" s="12"/>
      <c r="AJ523" s="12" t="s">
        <v>11897</v>
      </c>
      <c r="AK523" s="13">
        <v>62448</v>
      </c>
      <c r="AL523" s="13"/>
      <c r="AM523" s="14">
        <f t="shared" si="8"/>
        <v>0</v>
      </c>
      <c r="AN523" s="12" t="s">
        <v>12004</v>
      </c>
    </row>
    <row r="524" spans="1:40" x14ac:dyDescent="0.25">
      <c r="A524" s="8">
        <v>523</v>
      </c>
      <c r="B524" s="9" t="s">
        <v>35</v>
      </c>
      <c r="C524" s="9" t="s">
        <v>6352</v>
      </c>
      <c r="D524" s="9" t="s">
        <v>37</v>
      </c>
      <c r="E524" s="9" t="s">
        <v>6353</v>
      </c>
      <c r="F524" s="9" t="s">
        <v>107</v>
      </c>
      <c r="G524" s="9" t="s">
        <v>6354</v>
      </c>
      <c r="H524" s="9" t="s">
        <v>6355</v>
      </c>
      <c r="I524" s="9" t="s">
        <v>6355</v>
      </c>
      <c r="J524" s="9" t="s">
        <v>6355</v>
      </c>
      <c r="K524" s="9" t="s">
        <v>6356</v>
      </c>
      <c r="L524" s="9">
        <v>2391000</v>
      </c>
      <c r="M524" s="9">
        <v>4782000</v>
      </c>
      <c r="N524" s="9" t="s">
        <v>6357</v>
      </c>
      <c r="O524" s="10">
        <v>45635</v>
      </c>
      <c r="P524" s="9" t="s">
        <v>6358</v>
      </c>
      <c r="Q524" s="9" t="s">
        <v>6359</v>
      </c>
      <c r="R524" s="9" t="s">
        <v>47</v>
      </c>
      <c r="S524" s="9" t="s">
        <v>48</v>
      </c>
      <c r="T524" s="9" t="s">
        <v>6360</v>
      </c>
      <c r="U524" s="9" t="s">
        <v>50</v>
      </c>
      <c r="V524" s="10">
        <v>44421</v>
      </c>
      <c r="W524" s="9" t="s">
        <v>4015</v>
      </c>
      <c r="X524" s="9" t="s">
        <v>3965</v>
      </c>
      <c r="Y524" s="9" t="s">
        <v>6361</v>
      </c>
      <c r="Z524" s="9">
        <v>7</v>
      </c>
      <c r="AA524" s="9" t="s">
        <v>48</v>
      </c>
      <c r="AB524" s="9" t="s">
        <v>48</v>
      </c>
      <c r="AC524" s="9" t="s">
        <v>48</v>
      </c>
      <c r="AD524" s="9" t="s">
        <v>86</v>
      </c>
      <c r="AE524" s="9">
        <v>3825600</v>
      </c>
      <c r="AF524" s="11">
        <v>66948</v>
      </c>
      <c r="AG524" s="9"/>
      <c r="AH524" s="9"/>
      <c r="AI524" s="9"/>
      <c r="AJ524" s="12" t="s">
        <v>11898</v>
      </c>
      <c r="AK524" s="13">
        <v>66948</v>
      </c>
      <c r="AL524" s="13"/>
      <c r="AM524" s="14">
        <f t="shared" si="8"/>
        <v>0</v>
      </c>
      <c r="AN524" s="12" t="s">
        <v>12004</v>
      </c>
    </row>
    <row r="525" spans="1:40" x14ac:dyDescent="0.25">
      <c r="A525" s="15">
        <v>524</v>
      </c>
      <c r="B525" s="12" t="s">
        <v>35</v>
      </c>
      <c r="C525" s="12" t="s">
        <v>6362</v>
      </c>
      <c r="D525" s="12" t="s">
        <v>37</v>
      </c>
      <c r="E525" s="12" t="s">
        <v>6363</v>
      </c>
      <c r="F525" s="12" t="s">
        <v>107</v>
      </c>
      <c r="G525" s="12" t="s">
        <v>6364</v>
      </c>
      <c r="H525" s="12" t="s">
        <v>6365</v>
      </c>
      <c r="I525" s="12" t="s">
        <v>6365</v>
      </c>
      <c r="J525" s="12" t="s">
        <v>6365</v>
      </c>
      <c r="K525" s="12" t="s">
        <v>6366</v>
      </c>
      <c r="L525" s="12">
        <v>1610000</v>
      </c>
      <c r="M525" s="12">
        <v>2300000</v>
      </c>
      <c r="N525" s="12" t="s">
        <v>6367</v>
      </c>
      <c r="O525" s="16">
        <v>45635</v>
      </c>
      <c r="P525" s="12" t="s">
        <v>6368</v>
      </c>
      <c r="Q525" s="12" t="s">
        <v>6369</v>
      </c>
      <c r="R525" s="12" t="s">
        <v>146</v>
      </c>
      <c r="S525" s="12" t="s">
        <v>6370</v>
      </c>
      <c r="T525" s="12" t="s">
        <v>495</v>
      </c>
      <c r="U525" s="12" t="s">
        <v>651</v>
      </c>
      <c r="V525" s="16">
        <v>44546</v>
      </c>
      <c r="W525" s="12" t="s">
        <v>4473</v>
      </c>
      <c r="X525" s="12" t="s">
        <v>4588</v>
      </c>
      <c r="Y525" s="12" t="s">
        <v>6371</v>
      </c>
      <c r="Z525" s="12">
        <v>5</v>
      </c>
      <c r="AA525" s="12" t="s">
        <v>55</v>
      </c>
      <c r="AB525" s="12" t="s">
        <v>6372</v>
      </c>
      <c r="AC525" s="12" t="s">
        <v>6078</v>
      </c>
      <c r="AD525" s="12" t="s">
        <v>299</v>
      </c>
      <c r="AE525" s="12">
        <v>1840000</v>
      </c>
      <c r="AF525" s="13">
        <v>27600</v>
      </c>
      <c r="AG525" s="12"/>
      <c r="AH525" s="12"/>
      <c r="AI525" s="12"/>
      <c r="AJ525" s="12" t="s">
        <v>11899</v>
      </c>
      <c r="AK525" s="13">
        <v>27600</v>
      </c>
      <c r="AL525" s="13"/>
      <c r="AM525" s="14">
        <f t="shared" si="8"/>
        <v>0</v>
      </c>
      <c r="AN525" s="12" t="s">
        <v>12004</v>
      </c>
    </row>
    <row r="526" spans="1:40" x14ac:dyDescent="0.25">
      <c r="A526" s="8">
        <v>525</v>
      </c>
      <c r="B526" s="9" t="s">
        <v>35</v>
      </c>
      <c r="C526" s="9" t="s">
        <v>6373</v>
      </c>
      <c r="D526" s="9" t="s">
        <v>37</v>
      </c>
      <c r="E526" s="9" t="s">
        <v>6374</v>
      </c>
      <c r="F526" s="9" t="s">
        <v>138</v>
      </c>
      <c r="G526" s="9" t="s">
        <v>6375</v>
      </c>
      <c r="H526" s="9" t="s">
        <v>6376</v>
      </c>
      <c r="I526" s="9" t="s">
        <v>6376</v>
      </c>
      <c r="J526" s="9" t="s">
        <v>141</v>
      </c>
      <c r="K526" s="9" t="s">
        <v>6377</v>
      </c>
      <c r="L526" s="9">
        <v>1960000</v>
      </c>
      <c r="M526" s="9">
        <v>2800000</v>
      </c>
      <c r="N526" s="9" t="s">
        <v>6378</v>
      </c>
      <c r="O526" s="10">
        <v>45635</v>
      </c>
      <c r="P526" s="9" t="s">
        <v>6379</v>
      </c>
      <c r="Q526" s="9" t="s">
        <v>6380</v>
      </c>
      <c r="R526" s="9" t="s">
        <v>146</v>
      </c>
      <c r="S526" s="9" t="s">
        <v>6381</v>
      </c>
      <c r="T526" s="9" t="s">
        <v>6382</v>
      </c>
      <c r="U526" s="9" t="s">
        <v>614</v>
      </c>
      <c r="V526" s="10">
        <v>44180</v>
      </c>
      <c r="W526" s="9" t="s">
        <v>5266</v>
      </c>
      <c r="X526" s="9" t="s">
        <v>5267</v>
      </c>
      <c r="Y526" s="9" t="s">
        <v>6383</v>
      </c>
      <c r="Z526" s="9">
        <v>5</v>
      </c>
      <c r="AA526" s="9" t="s">
        <v>227</v>
      </c>
      <c r="AB526" s="9" t="s">
        <v>6384</v>
      </c>
      <c r="AC526" s="9" t="s">
        <v>6385</v>
      </c>
      <c r="AD526" s="9" t="s">
        <v>58</v>
      </c>
      <c r="AE526" s="9">
        <v>2100000</v>
      </c>
      <c r="AF526" s="11">
        <v>42000</v>
      </c>
      <c r="AG526" s="9"/>
      <c r="AH526" s="9"/>
      <c r="AI526" s="9"/>
      <c r="AJ526" s="12" t="s">
        <v>11900</v>
      </c>
      <c r="AK526" s="13">
        <v>42000</v>
      </c>
      <c r="AL526" s="13"/>
      <c r="AM526" s="14">
        <f t="shared" si="8"/>
        <v>0</v>
      </c>
      <c r="AN526" s="12" t="s">
        <v>12004</v>
      </c>
    </row>
    <row r="527" spans="1:40" x14ac:dyDescent="0.25">
      <c r="A527" s="15">
        <v>526</v>
      </c>
      <c r="B527" s="12" t="s">
        <v>35</v>
      </c>
      <c r="C527" s="12" t="s">
        <v>6386</v>
      </c>
      <c r="D527" s="12" t="s">
        <v>37</v>
      </c>
      <c r="E527" s="12" t="s">
        <v>6387</v>
      </c>
      <c r="F527" s="12" t="s">
        <v>138</v>
      </c>
      <c r="G527" s="12" t="s">
        <v>6388</v>
      </c>
      <c r="H527" s="12" t="s">
        <v>6389</v>
      </c>
      <c r="I527" s="12" t="s">
        <v>6389</v>
      </c>
      <c r="J527" s="12" t="s">
        <v>141</v>
      </c>
      <c r="K527" s="12" t="s">
        <v>6390</v>
      </c>
      <c r="L527" s="12">
        <v>2990000</v>
      </c>
      <c r="M527" s="12">
        <v>4600000</v>
      </c>
      <c r="N527" s="12" t="s">
        <v>6391</v>
      </c>
      <c r="O527" s="12" t="s">
        <v>6241</v>
      </c>
      <c r="P527" s="12" t="s">
        <v>6392</v>
      </c>
      <c r="Q527" s="12" t="s">
        <v>6393</v>
      </c>
      <c r="R527" s="12" t="s">
        <v>146</v>
      </c>
      <c r="S527" s="12" t="s">
        <v>6394</v>
      </c>
      <c r="T527" s="12" t="s">
        <v>6395</v>
      </c>
      <c r="U527" s="12" t="s">
        <v>50</v>
      </c>
      <c r="V527" s="16">
        <v>45260</v>
      </c>
      <c r="W527" s="12" t="s">
        <v>4114</v>
      </c>
      <c r="X527" s="12" t="s">
        <v>133</v>
      </c>
      <c r="Y527" s="12" t="s">
        <v>6396</v>
      </c>
      <c r="Z527" s="12">
        <v>3</v>
      </c>
      <c r="AA527" s="12" t="s">
        <v>55</v>
      </c>
      <c r="AB527" s="12" t="s">
        <v>6397</v>
      </c>
      <c r="AC527" s="12" t="s">
        <v>4131</v>
      </c>
      <c r="AD527" s="12" t="s">
        <v>299</v>
      </c>
      <c r="AE527" s="12">
        <v>4140000</v>
      </c>
      <c r="AF527" s="13">
        <v>62100</v>
      </c>
      <c r="AG527" s="12"/>
      <c r="AH527" s="12"/>
      <c r="AI527" s="12"/>
      <c r="AJ527" s="12" t="s">
        <v>11901</v>
      </c>
      <c r="AK527" s="13">
        <v>62100</v>
      </c>
      <c r="AL527" s="13"/>
      <c r="AM527" s="14">
        <f t="shared" si="8"/>
        <v>0</v>
      </c>
      <c r="AN527" s="12" t="s">
        <v>12004</v>
      </c>
    </row>
    <row r="528" spans="1:40" x14ac:dyDescent="0.25">
      <c r="A528" s="8">
        <v>527</v>
      </c>
      <c r="B528" s="9" t="s">
        <v>35</v>
      </c>
      <c r="C528" s="9" t="s">
        <v>6398</v>
      </c>
      <c r="D528" s="9" t="s">
        <v>37</v>
      </c>
      <c r="E528" s="9" t="s">
        <v>6399</v>
      </c>
      <c r="F528" s="9" t="s">
        <v>107</v>
      </c>
      <c r="G528" s="9" t="s">
        <v>6400</v>
      </c>
      <c r="H528" s="9" t="s">
        <v>6401</v>
      </c>
      <c r="I528" s="9" t="s">
        <v>6401</v>
      </c>
      <c r="J528" s="9" t="s">
        <v>6402</v>
      </c>
      <c r="K528" s="9" t="s">
        <v>6403</v>
      </c>
      <c r="L528" s="9">
        <v>1610000</v>
      </c>
      <c r="M528" s="9">
        <v>2300000</v>
      </c>
      <c r="N528" s="9" t="s">
        <v>6404</v>
      </c>
      <c r="O528" s="10">
        <v>45635</v>
      </c>
      <c r="P528" s="9" t="s">
        <v>6405</v>
      </c>
      <c r="Q528" s="9" t="s">
        <v>6406</v>
      </c>
      <c r="R528" s="9" t="s">
        <v>146</v>
      </c>
      <c r="S528" s="9" t="s">
        <v>6407</v>
      </c>
      <c r="T528" s="9" t="s">
        <v>1289</v>
      </c>
      <c r="U528" s="9" t="s">
        <v>903</v>
      </c>
      <c r="V528" s="10">
        <v>44550</v>
      </c>
      <c r="W528" s="9" t="s">
        <v>4473</v>
      </c>
      <c r="X528" s="9" t="s">
        <v>4588</v>
      </c>
      <c r="Y528" s="9" t="s">
        <v>6408</v>
      </c>
      <c r="Z528" s="9">
        <v>5</v>
      </c>
      <c r="AA528" s="9" t="s">
        <v>55</v>
      </c>
      <c r="AB528" s="9" t="s">
        <v>6409</v>
      </c>
      <c r="AC528" s="9" t="s">
        <v>6078</v>
      </c>
      <c r="AD528" s="9" t="s">
        <v>299</v>
      </c>
      <c r="AE528" s="9">
        <v>1840000</v>
      </c>
      <c r="AF528" s="11">
        <v>27600</v>
      </c>
      <c r="AG528" s="9"/>
      <c r="AH528" s="9"/>
      <c r="AI528" s="9"/>
      <c r="AJ528" s="12" t="s">
        <v>11902</v>
      </c>
      <c r="AK528" s="13">
        <v>27600</v>
      </c>
      <c r="AL528" s="13"/>
      <c r="AM528" s="14">
        <f t="shared" si="8"/>
        <v>0</v>
      </c>
      <c r="AN528" s="12" t="s">
        <v>12004</v>
      </c>
    </row>
    <row r="529" spans="1:40" x14ac:dyDescent="0.25">
      <c r="A529" s="15">
        <v>528</v>
      </c>
      <c r="B529" s="12" t="s">
        <v>35</v>
      </c>
      <c r="C529" s="12" t="s">
        <v>6410</v>
      </c>
      <c r="D529" s="12" t="s">
        <v>37</v>
      </c>
      <c r="E529" s="12" t="s">
        <v>6411</v>
      </c>
      <c r="F529" s="12" t="s">
        <v>107</v>
      </c>
      <c r="G529" s="12" t="s">
        <v>6412</v>
      </c>
      <c r="H529" s="12" t="s">
        <v>6413</v>
      </c>
      <c r="I529" s="12" t="s">
        <v>6413</v>
      </c>
      <c r="J529" s="12" t="s">
        <v>6414</v>
      </c>
      <c r="K529" s="12" t="s">
        <v>6415</v>
      </c>
      <c r="L529" s="12">
        <v>1560000</v>
      </c>
      <c r="M529" s="12">
        <v>2400000</v>
      </c>
      <c r="N529" s="12" t="s">
        <v>6416</v>
      </c>
      <c r="O529" s="16">
        <v>45635</v>
      </c>
      <c r="P529" s="12" t="s">
        <v>6417</v>
      </c>
      <c r="Q529" s="12" t="s">
        <v>6418</v>
      </c>
      <c r="R529" s="12" t="s">
        <v>146</v>
      </c>
      <c r="S529" s="12" t="s">
        <v>6419</v>
      </c>
      <c r="T529" s="12" t="s">
        <v>495</v>
      </c>
      <c r="U529" s="12" t="s">
        <v>496</v>
      </c>
      <c r="V529" s="16">
        <v>44546</v>
      </c>
      <c r="W529" s="12" t="s">
        <v>4473</v>
      </c>
      <c r="X529" s="12" t="s">
        <v>4588</v>
      </c>
      <c r="Y529" s="12" t="s">
        <v>6420</v>
      </c>
      <c r="Z529" s="12">
        <v>5</v>
      </c>
      <c r="AA529" s="12" t="s">
        <v>55</v>
      </c>
      <c r="AB529" s="12" t="s">
        <v>6421</v>
      </c>
      <c r="AC529" s="12" t="s">
        <v>6078</v>
      </c>
      <c r="AD529" s="12" t="s">
        <v>299</v>
      </c>
      <c r="AE529" s="12">
        <v>1920000</v>
      </c>
      <c r="AF529" s="13">
        <v>28800</v>
      </c>
      <c r="AG529" s="12"/>
      <c r="AH529" s="12"/>
      <c r="AI529" s="12"/>
      <c r="AJ529" s="12" t="s">
        <v>11903</v>
      </c>
      <c r="AK529" s="13">
        <v>28800</v>
      </c>
      <c r="AL529" s="13"/>
      <c r="AM529" s="14">
        <f t="shared" si="8"/>
        <v>0</v>
      </c>
      <c r="AN529" s="12" t="s">
        <v>12004</v>
      </c>
    </row>
    <row r="530" spans="1:40" x14ac:dyDescent="0.25">
      <c r="A530" s="8">
        <v>529</v>
      </c>
      <c r="B530" s="9" t="s">
        <v>35</v>
      </c>
      <c r="C530" s="9" t="s">
        <v>6422</v>
      </c>
      <c r="D530" s="9" t="s">
        <v>37</v>
      </c>
      <c r="E530" s="9" t="s">
        <v>6423</v>
      </c>
      <c r="F530" s="9" t="s">
        <v>107</v>
      </c>
      <c r="G530" s="9" t="s">
        <v>6424</v>
      </c>
      <c r="H530" s="9" t="s">
        <v>6425</v>
      </c>
      <c r="I530" s="9" t="s">
        <v>6425</v>
      </c>
      <c r="J530" s="9" t="s">
        <v>6425</v>
      </c>
      <c r="K530" s="9" t="s">
        <v>6426</v>
      </c>
      <c r="L530" s="9">
        <v>1540000</v>
      </c>
      <c r="M530" s="9">
        <v>1925000</v>
      </c>
      <c r="N530" s="9" t="s">
        <v>6427</v>
      </c>
      <c r="O530" s="10">
        <v>45635</v>
      </c>
      <c r="P530" s="9" t="s">
        <v>6428</v>
      </c>
      <c r="Q530" s="9" t="s">
        <v>6429</v>
      </c>
      <c r="R530" s="9" t="s">
        <v>146</v>
      </c>
      <c r="S530" s="9" t="s">
        <v>6430</v>
      </c>
      <c r="T530" s="9" t="s">
        <v>2113</v>
      </c>
      <c r="U530" s="9" t="s">
        <v>903</v>
      </c>
      <c r="V530" s="10">
        <v>44179</v>
      </c>
      <c r="W530" s="9" t="s">
        <v>3830</v>
      </c>
      <c r="X530" s="9" t="s">
        <v>6431</v>
      </c>
      <c r="Y530" s="9" t="s">
        <v>6432</v>
      </c>
      <c r="Z530" s="9">
        <v>6</v>
      </c>
      <c r="AA530" s="9" t="s">
        <v>227</v>
      </c>
      <c r="AB530" s="9" t="s">
        <v>6433</v>
      </c>
      <c r="AC530" s="9" t="s">
        <v>6434</v>
      </c>
      <c r="AD530" s="9" t="s">
        <v>58</v>
      </c>
      <c r="AE530" s="9">
        <v>1443750</v>
      </c>
      <c r="AF530" s="11">
        <v>28875</v>
      </c>
      <c r="AG530" s="9"/>
      <c r="AH530" s="9"/>
      <c r="AI530" s="9"/>
      <c r="AJ530" s="12" t="s">
        <v>11904</v>
      </c>
      <c r="AK530" s="13">
        <v>28875</v>
      </c>
      <c r="AL530" s="13"/>
      <c r="AM530" s="14">
        <f t="shared" si="8"/>
        <v>0</v>
      </c>
      <c r="AN530" s="12" t="s">
        <v>12004</v>
      </c>
    </row>
    <row r="531" spans="1:40" x14ac:dyDescent="0.25">
      <c r="A531" s="15">
        <v>530</v>
      </c>
      <c r="B531" s="12" t="s">
        <v>35</v>
      </c>
      <c r="C531" s="12" t="s">
        <v>6435</v>
      </c>
      <c r="D531" s="12" t="s">
        <v>37</v>
      </c>
      <c r="E531" s="12" t="s">
        <v>6436</v>
      </c>
      <c r="F531" s="12" t="s">
        <v>138</v>
      </c>
      <c r="G531" s="12" t="s">
        <v>6437</v>
      </c>
      <c r="H531" s="12" t="s">
        <v>6438</v>
      </c>
      <c r="I531" s="12" t="s">
        <v>6438</v>
      </c>
      <c r="J531" s="12" t="s">
        <v>141</v>
      </c>
      <c r="K531" s="12" t="s">
        <v>6439</v>
      </c>
      <c r="L531" s="12">
        <v>2054500</v>
      </c>
      <c r="M531" s="12">
        <v>2935000</v>
      </c>
      <c r="N531" s="12" t="s">
        <v>6440</v>
      </c>
      <c r="O531" s="12" t="s">
        <v>6241</v>
      </c>
      <c r="P531" s="12" t="s">
        <v>6441</v>
      </c>
      <c r="Q531" s="12" t="s">
        <v>6442</v>
      </c>
      <c r="R531" s="12" t="s">
        <v>47</v>
      </c>
      <c r="S531" s="12" t="s">
        <v>48</v>
      </c>
      <c r="T531" s="12" t="s">
        <v>1276</v>
      </c>
      <c r="U531" s="12" t="s">
        <v>386</v>
      </c>
      <c r="V531" s="12" t="s">
        <v>6443</v>
      </c>
      <c r="W531" s="12" t="s">
        <v>6293</v>
      </c>
      <c r="X531" s="12" t="s">
        <v>6444</v>
      </c>
      <c r="Y531" s="12" t="s">
        <v>6445</v>
      </c>
      <c r="Z531" s="12">
        <v>4</v>
      </c>
      <c r="AA531" s="12" t="s">
        <v>152</v>
      </c>
      <c r="AB531" s="12" t="s">
        <v>6446</v>
      </c>
      <c r="AC531" s="12" t="s">
        <v>6447</v>
      </c>
      <c r="AD531" s="12" t="s">
        <v>86</v>
      </c>
      <c r="AE531" s="12">
        <v>2641500</v>
      </c>
      <c r="AF531" s="13">
        <v>46226</v>
      </c>
      <c r="AG531" s="12"/>
      <c r="AH531" s="12"/>
      <c r="AI531" s="12"/>
      <c r="AJ531" s="12" t="s">
        <v>11905</v>
      </c>
      <c r="AK531" s="13">
        <v>46226</v>
      </c>
      <c r="AL531" s="13"/>
      <c r="AM531" s="14">
        <f t="shared" si="8"/>
        <v>0</v>
      </c>
      <c r="AN531" s="12" t="s">
        <v>12004</v>
      </c>
    </row>
    <row r="532" spans="1:40" x14ac:dyDescent="0.25">
      <c r="A532" s="8">
        <v>531</v>
      </c>
      <c r="B532" s="9" t="s">
        <v>35</v>
      </c>
      <c r="C532" s="9" t="s">
        <v>6448</v>
      </c>
      <c r="D532" s="9" t="s">
        <v>37</v>
      </c>
      <c r="E532" s="9" t="s">
        <v>6449</v>
      </c>
      <c r="F532" s="9" t="s">
        <v>138</v>
      </c>
      <c r="G532" s="9" t="s">
        <v>6450</v>
      </c>
      <c r="H532" s="9" t="s">
        <v>6451</v>
      </c>
      <c r="I532" s="9" t="s">
        <v>6451</v>
      </c>
      <c r="J532" s="9" t="s">
        <v>141</v>
      </c>
      <c r="K532" s="9" t="s">
        <v>6452</v>
      </c>
      <c r="L532" s="9">
        <v>1250000</v>
      </c>
      <c r="M532" s="9">
        <v>2500000</v>
      </c>
      <c r="N532" s="9" t="s">
        <v>6453</v>
      </c>
      <c r="O532" s="10">
        <v>45635</v>
      </c>
      <c r="P532" s="9" t="s">
        <v>6454</v>
      </c>
      <c r="Q532" s="9" t="s">
        <v>6455</v>
      </c>
      <c r="R532" s="9" t="s">
        <v>146</v>
      </c>
      <c r="S532" s="9" t="s">
        <v>6456</v>
      </c>
      <c r="T532" s="9" t="s">
        <v>1128</v>
      </c>
      <c r="U532" s="9" t="s">
        <v>903</v>
      </c>
      <c r="V532" s="10">
        <v>44543</v>
      </c>
      <c r="W532" s="9" t="s">
        <v>4473</v>
      </c>
      <c r="X532" s="9" t="s">
        <v>5267</v>
      </c>
      <c r="Y532" s="9" t="s">
        <v>6457</v>
      </c>
      <c r="Z532" s="9">
        <v>4</v>
      </c>
      <c r="AA532" s="9" t="s">
        <v>55</v>
      </c>
      <c r="AB532" s="9" t="s">
        <v>6458</v>
      </c>
      <c r="AC532" s="9" t="s">
        <v>6078</v>
      </c>
      <c r="AD532" s="9" t="s">
        <v>299</v>
      </c>
      <c r="AE532" s="9">
        <v>2000000</v>
      </c>
      <c r="AF532" s="11">
        <v>30000</v>
      </c>
      <c r="AG532" s="9"/>
      <c r="AH532" s="9"/>
      <c r="AI532" s="9"/>
      <c r="AJ532" s="12" t="s">
        <v>11906</v>
      </c>
      <c r="AK532" s="13">
        <v>30000</v>
      </c>
      <c r="AL532" s="13"/>
      <c r="AM532" s="14">
        <f t="shared" si="8"/>
        <v>0</v>
      </c>
      <c r="AN532" s="12" t="s">
        <v>12004</v>
      </c>
    </row>
    <row r="533" spans="1:40" x14ac:dyDescent="0.25">
      <c r="A533" s="15">
        <v>532</v>
      </c>
      <c r="B533" s="12" t="s">
        <v>35</v>
      </c>
      <c r="C533" s="12" t="s">
        <v>6459</v>
      </c>
      <c r="D533" s="12" t="s">
        <v>37</v>
      </c>
      <c r="E533" s="12" t="s">
        <v>6460</v>
      </c>
      <c r="F533" s="12" t="s">
        <v>138</v>
      </c>
      <c r="G533" s="12" t="s">
        <v>6461</v>
      </c>
      <c r="H533" s="12" t="s">
        <v>6462</v>
      </c>
      <c r="I533" s="12" t="s">
        <v>6462</v>
      </c>
      <c r="J533" s="12" t="s">
        <v>141</v>
      </c>
      <c r="K533" s="12" t="s">
        <v>6463</v>
      </c>
      <c r="L533" s="12">
        <v>880000</v>
      </c>
      <c r="M533" s="12">
        <v>1100000</v>
      </c>
      <c r="N533" s="12" t="s">
        <v>6464</v>
      </c>
      <c r="O533" s="16">
        <v>45625</v>
      </c>
      <c r="P533" s="12" t="s">
        <v>6465</v>
      </c>
      <c r="Q533" s="12" t="s">
        <v>6466</v>
      </c>
      <c r="R533" s="12" t="s">
        <v>146</v>
      </c>
      <c r="S533" s="12" t="s">
        <v>6467</v>
      </c>
      <c r="T533" s="12" t="s">
        <v>1909</v>
      </c>
      <c r="U533" s="12" t="s">
        <v>651</v>
      </c>
      <c r="V533" s="12" t="s">
        <v>3321</v>
      </c>
      <c r="W533" s="12" t="s">
        <v>532</v>
      </c>
      <c r="X533" s="12" t="s">
        <v>1638</v>
      </c>
      <c r="Y533" s="12" t="s">
        <v>6468</v>
      </c>
      <c r="Z533" s="12">
        <v>7</v>
      </c>
      <c r="AA533" s="12" t="s">
        <v>55</v>
      </c>
      <c r="AB533" s="12" t="s">
        <v>6469</v>
      </c>
      <c r="AC533" s="12" t="s">
        <v>3321</v>
      </c>
      <c r="AD533" s="12" t="s">
        <v>58</v>
      </c>
      <c r="AE533" s="12">
        <v>825000</v>
      </c>
      <c r="AF533" s="13">
        <v>16500</v>
      </c>
      <c r="AG533" s="12"/>
      <c r="AH533" s="12"/>
      <c r="AI533" s="12"/>
      <c r="AJ533" s="12" t="s">
        <v>11907</v>
      </c>
      <c r="AK533" s="13">
        <v>16500</v>
      </c>
      <c r="AL533" s="13"/>
      <c r="AM533" s="14">
        <f t="shared" si="8"/>
        <v>0</v>
      </c>
      <c r="AN533" s="12" t="s">
        <v>12004</v>
      </c>
    </row>
    <row r="534" spans="1:40" x14ac:dyDescent="0.25">
      <c r="A534" s="8">
        <v>533</v>
      </c>
      <c r="B534" s="9" t="s">
        <v>35</v>
      </c>
      <c r="C534" s="9" t="s">
        <v>6470</v>
      </c>
      <c r="D534" s="9" t="s">
        <v>37</v>
      </c>
      <c r="E534" s="9" t="s">
        <v>6471</v>
      </c>
      <c r="F534" s="9" t="s">
        <v>107</v>
      </c>
      <c r="G534" s="9" t="s">
        <v>6472</v>
      </c>
      <c r="H534" s="9" t="s">
        <v>48</v>
      </c>
      <c r="I534" s="9" t="s">
        <v>6473</v>
      </c>
      <c r="J534" s="9" t="s">
        <v>6474</v>
      </c>
      <c r="K534" s="9" t="s">
        <v>6475</v>
      </c>
      <c r="L534" s="9">
        <v>1196000</v>
      </c>
      <c r="M534" s="9">
        <v>2300000</v>
      </c>
      <c r="N534" s="9" t="s">
        <v>6476</v>
      </c>
      <c r="O534" s="10">
        <v>45635</v>
      </c>
      <c r="P534" s="9" t="s">
        <v>6477</v>
      </c>
      <c r="Q534" s="9" t="s">
        <v>6478</v>
      </c>
      <c r="R534" s="9" t="s">
        <v>146</v>
      </c>
      <c r="S534" s="9" t="s">
        <v>6479</v>
      </c>
      <c r="T534" s="9" t="s">
        <v>6480</v>
      </c>
      <c r="U534" s="9" t="s">
        <v>335</v>
      </c>
      <c r="V534" s="10">
        <v>44552</v>
      </c>
      <c r="W534" s="9" t="s">
        <v>4015</v>
      </c>
      <c r="X534" s="9" t="s">
        <v>3977</v>
      </c>
      <c r="Y534" s="9" t="s">
        <v>6481</v>
      </c>
      <c r="Z534" s="9">
        <v>4</v>
      </c>
      <c r="AA534" s="9" t="s">
        <v>55</v>
      </c>
      <c r="AB534" s="9" t="s">
        <v>6482</v>
      </c>
      <c r="AC534" s="9" t="s">
        <v>6483</v>
      </c>
      <c r="AD534" s="9" t="s">
        <v>299</v>
      </c>
      <c r="AE534" s="9">
        <v>1840000</v>
      </c>
      <c r="AF534" s="11">
        <v>27600</v>
      </c>
      <c r="AG534" s="9"/>
      <c r="AH534" s="9"/>
      <c r="AI534" s="9"/>
      <c r="AJ534" s="12" t="s">
        <v>11908</v>
      </c>
      <c r="AK534" s="13">
        <v>27600</v>
      </c>
      <c r="AL534" s="13"/>
      <c r="AM534" s="14">
        <f t="shared" si="8"/>
        <v>0</v>
      </c>
      <c r="AN534" s="12" t="s">
        <v>12004</v>
      </c>
    </row>
    <row r="535" spans="1:40" x14ac:dyDescent="0.25">
      <c r="A535" s="15">
        <v>534</v>
      </c>
      <c r="B535" s="12" t="s">
        <v>35</v>
      </c>
      <c r="C535" s="12" t="s">
        <v>6484</v>
      </c>
      <c r="D535" s="12" t="s">
        <v>37</v>
      </c>
      <c r="E535" s="12" t="s">
        <v>6485</v>
      </c>
      <c r="F535" s="12" t="s">
        <v>6486</v>
      </c>
      <c r="G535" s="12" t="s">
        <v>6487</v>
      </c>
      <c r="H535" s="12" t="s">
        <v>48</v>
      </c>
      <c r="I535" s="12" t="s">
        <v>6488</v>
      </c>
      <c r="J535" s="12" t="s">
        <v>48</v>
      </c>
      <c r="K535" s="12" t="s">
        <v>6489</v>
      </c>
      <c r="L535" s="12">
        <v>1645000</v>
      </c>
      <c r="M535" s="12">
        <v>2350000</v>
      </c>
      <c r="N535" s="12" t="s">
        <v>6490</v>
      </c>
      <c r="O535" s="16">
        <v>45625</v>
      </c>
      <c r="P535" s="12" t="s">
        <v>6491</v>
      </c>
      <c r="Q535" s="12" t="s">
        <v>6492</v>
      </c>
      <c r="R535" s="12" t="s">
        <v>47</v>
      </c>
      <c r="S535" s="12" t="s">
        <v>6493</v>
      </c>
      <c r="T535" s="12" t="s">
        <v>6494</v>
      </c>
      <c r="U535" s="12" t="s">
        <v>496</v>
      </c>
      <c r="V535" s="12" t="s">
        <v>3368</v>
      </c>
      <c r="W535" s="12" t="s">
        <v>132</v>
      </c>
      <c r="X535" s="12" t="s">
        <v>133</v>
      </c>
      <c r="Y535" s="12" t="s">
        <v>6495</v>
      </c>
      <c r="Z535" s="12">
        <v>5</v>
      </c>
      <c r="AA535" s="12" t="s">
        <v>55</v>
      </c>
      <c r="AB535" s="12" t="s">
        <v>6496</v>
      </c>
      <c r="AC535" s="12" t="s">
        <v>3368</v>
      </c>
      <c r="AD535" s="12" t="s">
        <v>299</v>
      </c>
      <c r="AE535" s="12">
        <v>1880000</v>
      </c>
      <c r="AF535" s="13">
        <v>28200</v>
      </c>
      <c r="AG535" s="12"/>
      <c r="AH535" s="12"/>
      <c r="AI535" s="12"/>
      <c r="AJ535" s="12" t="s">
        <v>11909</v>
      </c>
      <c r="AK535" s="13">
        <v>28200</v>
      </c>
      <c r="AL535" s="13"/>
      <c r="AM535" s="14">
        <f t="shared" si="8"/>
        <v>0</v>
      </c>
      <c r="AN535" s="12" t="s">
        <v>12004</v>
      </c>
    </row>
    <row r="536" spans="1:40" x14ac:dyDescent="0.25">
      <c r="A536" s="8">
        <v>535</v>
      </c>
      <c r="B536" s="9" t="s">
        <v>35</v>
      </c>
      <c r="C536" s="9" t="s">
        <v>6497</v>
      </c>
      <c r="D536" s="9" t="s">
        <v>37</v>
      </c>
      <c r="E536" s="9" t="s">
        <v>6498</v>
      </c>
      <c r="F536" s="9" t="s">
        <v>107</v>
      </c>
      <c r="G536" s="9" t="s">
        <v>6499</v>
      </c>
      <c r="H536" s="9" t="s">
        <v>6500</v>
      </c>
      <c r="I536" s="9" t="s">
        <v>6500</v>
      </c>
      <c r="J536" s="9" t="s">
        <v>6501</v>
      </c>
      <c r="K536" s="9" t="s">
        <v>6502</v>
      </c>
      <c r="L536" s="9">
        <v>2610000</v>
      </c>
      <c r="M536" s="9">
        <v>3480000</v>
      </c>
      <c r="N536" s="9" t="s">
        <v>6503</v>
      </c>
      <c r="O536" s="10">
        <v>45625</v>
      </c>
      <c r="P536" s="9" t="s">
        <v>6504</v>
      </c>
      <c r="Q536" s="9" t="s">
        <v>6505</v>
      </c>
      <c r="R536" s="9" t="s">
        <v>146</v>
      </c>
      <c r="S536" s="9" t="s">
        <v>6506</v>
      </c>
      <c r="T536" s="9" t="s">
        <v>6507</v>
      </c>
      <c r="U536" s="9" t="s">
        <v>335</v>
      </c>
      <c r="V536" s="9" t="s">
        <v>3321</v>
      </c>
      <c r="W536" s="9" t="s">
        <v>532</v>
      </c>
      <c r="X536" s="9" t="s">
        <v>533</v>
      </c>
      <c r="Y536" s="9" t="s">
        <v>6508</v>
      </c>
      <c r="Z536" s="9">
        <v>5</v>
      </c>
      <c r="AA536" s="9" t="s">
        <v>227</v>
      </c>
      <c r="AB536" s="9" t="s">
        <v>6509</v>
      </c>
      <c r="AC536" s="9" t="s">
        <v>3321</v>
      </c>
      <c r="AD536" s="9" t="s">
        <v>58</v>
      </c>
      <c r="AE536" s="9">
        <v>2610000</v>
      </c>
      <c r="AF536" s="11">
        <v>52200</v>
      </c>
      <c r="AG536" s="9"/>
      <c r="AH536" s="9"/>
      <c r="AI536" s="9"/>
      <c r="AJ536" s="12" t="s">
        <v>11910</v>
      </c>
      <c r="AK536" s="13">
        <v>52200</v>
      </c>
      <c r="AL536" s="13"/>
      <c r="AM536" s="14">
        <f t="shared" si="8"/>
        <v>0</v>
      </c>
      <c r="AN536" s="12" t="s">
        <v>12004</v>
      </c>
    </row>
    <row r="537" spans="1:40" x14ac:dyDescent="0.25">
      <c r="A537" s="15">
        <v>536</v>
      </c>
      <c r="B537" s="12" t="s">
        <v>35</v>
      </c>
      <c r="C537" s="12" t="s">
        <v>6510</v>
      </c>
      <c r="D537" s="12" t="s">
        <v>37</v>
      </c>
      <c r="E537" s="12" t="s">
        <v>6511</v>
      </c>
      <c r="F537" s="12" t="s">
        <v>39</v>
      </c>
      <c r="G537" s="12" t="s">
        <v>6512</v>
      </c>
      <c r="H537" s="12" t="s">
        <v>6513</v>
      </c>
      <c r="I537" s="12" t="s">
        <v>6514</v>
      </c>
      <c r="J537" s="12" t="s">
        <v>6513</v>
      </c>
      <c r="K537" s="12" t="s">
        <v>6515</v>
      </c>
      <c r="L537" s="12">
        <v>1434000</v>
      </c>
      <c r="M537" s="12">
        <v>2390000</v>
      </c>
      <c r="N537" s="12" t="s">
        <v>6516</v>
      </c>
      <c r="O537" s="16">
        <v>45625</v>
      </c>
      <c r="P537" s="12" t="s">
        <v>6517</v>
      </c>
      <c r="Q537" s="12" t="s">
        <v>6518</v>
      </c>
      <c r="R537" s="12" t="s">
        <v>47</v>
      </c>
      <c r="S537" s="12" t="s">
        <v>6519</v>
      </c>
      <c r="T537" s="12" t="s">
        <v>6520</v>
      </c>
      <c r="U537" s="12" t="s">
        <v>614</v>
      </c>
      <c r="V537" s="12" t="s">
        <v>3368</v>
      </c>
      <c r="W537" s="12" t="s">
        <v>132</v>
      </c>
      <c r="X537" s="12" t="s">
        <v>133</v>
      </c>
      <c r="Y537" s="12" t="s">
        <v>6521</v>
      </c>
      <c r="Z537" s="12">
        <v>5</v>
      </c>
      <c r="AA537" s="12" t="s">
        <v>118</v>
      </c>
      <c r="AB537" s="12" t="s">
        <v>6522</v>
      </c>
      <c r="AC537" s="12" t="s">
        <v>3368</v>
      </c>
      <c r="AD537" s="12" t="s">
        <v>299</v>
      </c>
      <c r="AE537" s="12">
        <v>1912000</v>
      </c>
      <c r="AF537" s="13">
        <v>28680</v>
      </c>
      <c r="AG537" s="12"/>
      <c r="AH537" s="12"/>
      <c r="AI537" s="12"/>
      <c r="AJ537" s="12" t="s">
        <v>11911</v>
      </c>
      <c r="AK537" s="13">
        <v>28680</v>
      </c>
      <c r="AL537" s="13"/>
      <c r="AM537" s="14">
        <f t="shared" si="8"/>
        <v>0</v>
      </c>
      <c r="AN537" s="12" t="s">
        <v>12004</v>
      </c>
    </row>
    <row r="538" spans="1:40" x14ac:dyDescent="0.25">
      <c r="A538" s="8">
        <v>537</v>
      </c>
      <c r="B538" s="9" t="s">
        <v>35</v>
      </c>
      <c r="C538" s="9" t="s">
        <v>6523</v>
      </c>
      <c r="D538" s="9" t="s">
        <v>37</v>
      </c>
      <c r="E538" s="9" t="s">
        <v>6524</v>
      </c>
      <c r="F538" s="9" t="s">
        <v>525</v>
      </c>
      <c r="G538" s="9" t="s">
        <v>6525</v>
      </c>
      <c r="H538" s="9" t="s">
        <v>48</v>
      </c>
      <c r="I538" s="9" t="s">
        <v>6526</v>
      </c>
      <c r="J538" s="9" t="s">
        <v>48</v>
      </c>
      <c r="K538" s="9" t="s">
        <v>6527</v>
      </c>
      <c r="L538" s="9">
        <v>903500</v>
      </c>
      <c r="M538" s="9">
        <v>1390000</v>
      </c>
      <c r="N538" s="9" t="s">
        <v>6528</v>
      </c>
      <c r="O538" s="10">
        <v>45625</v>
      </c>
      <c r="P538" s="9" t="s">
        <v>6529</v>
      </c>
      <c r="Q538" s="9" t="s">
        <v>6530</v>
      </c>
      <c r="R538" s="9" t="s">
        <v>146</v>
      </c>
      <c r="S538" s="9" t="s">
        <v>48</v>
      </c>
      <c r="T538" s="9" t="s">
        <v>673</v>
      </c>
      <c r="U538" s="9" t="s">
        <v>98</v>
      </c>
      <c r="V538" s="9" t="s">
        <v>4972</v>
      </c>
      <c r="W538" s="9" t="s">
        <v>132</v>
      </c>
      <c r="X538" s="9" t="s">
        <v>133</v>
      </c>
      <c r="Y538" s="9" t="s">
        <v>6531</v>
      </c>
      <c r="Z538" s="9">
        <v>5</v>
      </c>
      <c r="AA538" s="9" t="s">
        <v>118</v>
      </c>
      <c r="AB538" s="9" t="s">
        <v>6532</v>
      </c>
      <c r="AC538" s="9" t="s">
        <v>3368</v>
      </c>
      <c r="AD538" s="9" t="s">
        <v>299</v>
      </c>
      <c r="AE538" s="9">
        <v>1112000</v>
      </c>
      <c r="AF538" s="11">
        <v>16680</v>
      </c>
      <c r="AG538" s="9"/>
      <c r="AH538" s="9"/>
      <c r="AI538" s="9"/>
      <c r="AJ538" s="12" t="s">
        <v>11912</v>
      </c>
      <c r="AK538" s="13">
        <v>16680</v>
      </c>
      <c r="AL538" s="13"/>
      <c r="AM538" s="14">
        <f t="shared" si="8"/>
        <v>0</v>
      </c>
      <c r="AN538" s="12" t="s">
        <v>12004</v>
      </c>
    </row>
    <row r="539" spans="1:40" x14ac:dyDescent="0.25">
      <c r="A539" s="15">
        <v>538</v>
      </c>
      <c r="B539" s="12" t="s">
        <v>35</v>
      </c>
      <c r="C539" s="12" t="s">
        <v>6533</v>
      </c>
      <c r="D539" s="12" t="s">
        <v>37</v>
      </c>
      <c r="E539" s="12" t="s">
        <v>6534</v>
      </c>
      <c r="F539" s="12" t="s">
        <v>39</v>
      </c>
      <c r="G539" s="12" t="s">
        <v>6535</v>
      </c>
      <c r="H539" s="12" t="s">
        <v>6536</v>
      </c>
      <c r="I539" s="12" t="s">
        <v>6537</v>
      </c>
      <c r="J539" s="12" t="s">
        <v>6536</v>
      </c>
      <c r="K539" s="12" t="s">
        <v>6538</v>
      </c>
      <c r="L539" s="12">
        <v>1039500</v>
      </c>
      <c r="M539" s="12">
        <v>1890000</v>
      </c>
      <c r="N539" s="12" t="s">
        <v>6539</v>
      </c>
      <c r="O539" s="16">
        <v>45635</v>
      </c>
      <c r="P539" s="12" t="s">
        <v>6540</v>
      </c>
      <c r="Q539" s="12" t="s">
        <v>6541</v>
      </c>
      <c r="R539" s="12" t="s">
        <v>47</v>
      </c>
      <c r="S539" s="12" t="s">
        <v>48</v>
      </c>
      <c r="T539" s="12" t="s">
        <v>2980</v>
      </c>
      <c r="U539" s="12" t="s">
        <v>98</v>
      </c>
      <c r="V539" s="16">
        <v>44179</v>
      </c>
      <c r="W539" s="12" t="s">
        <v>3830</v>
      </c>
      <c r="X539" s="12" t="s">
        <v>3831</v>
      </c>
      <c r="Y539" s="12" t="s">
        <v>6542</v>
      </c>
      <c r="Z539" s="12">
        <v>5</v>
      </c>
      <c r="AA539" s="12" t="s">
        <v>55</v>
      </c>
      <c r="AB539" s="12" t="s">
        <v>6543</v>
      </c>
      <c r="AC539" s="12" t="s">
        <v>6434</v>
      </c>
      <c r="AD539" s="12" t="s">
        <v>58</v>
      </c>
      <c r="AE539" s="12">
        <v>1417500</v>
      </c>
      <c r="AF539" s="13">
        <v>28350</v>
      </c>
      <c r="AG539" s="12"/>
      <c r="AH539" s="12"/>
      <c r="AI539" s="12"/>
      <c r="AJ539" s="12" t="s">
        <v>11913</v>
      </c>
      <c r="AK539" s="13">
        <v>28350</v>
      </c>
      <c r="AL539" s="13"/>
      <c r="AM539" s="14">
        <f t="shared" si="8"/>
        <v>0</v>
      </c>
      <c r="AN539" s="12" t="s">
        <v>12004</v>
      </c>
    </row>
    <row r="540" spans="1:40" x14ac:dyDescent="0.25">
      <c r="A540" s="8">
        <v>539</v>
      </c>
      <c r="B540" s="9" t="s">
        <v>35</v>
      </c>
      <c r="C540" s="9" t="s">
        <v>6544</v>
      </c>
      <c r="D540" s="9" t="s">
        <v>37</v>
      </c>
      <c r="E540" s="9" t="s">
        <v>6545</v>
      </c>
      <c r="F540" s="9" t="s">
        <v>89</v>
      </c>
      <c r="G540" s="9" t="s">
        <v>6546</v>
      </c>
      <c r="H540" s="9" t="s">
        <v>6547</v>
      </c>
      <c r="I540" s="9" t="s">
        <v>48</v>
      </c>
      <c r="J540" s="9" t="s">
        <v>6548</v>
      </c>
      <c r="K540" s="9" t="s">
        <v>6549</v>
      </c>
      <c r="L540" s="9">
        <v>987500</v>
      </c>
      <c r="M540" s="9">
        <v>1975000</v>
      </c>
      <c r="N540" s="9" t="s">
        <v>6550</v>
      </c>
      <c r="O540" s="10">
        <v>45626</v>
      </c>
      <c r="P540" s="9" t="s">
        <v>6551</v>
      </c>
      <c r="Q540" s="9" t="s">
        <v>6552</v>
      </c>
      <c r="R540" s="9" t="s">
        <v>47</v>
      </c>
      <c r="S540" s="9" t="s">
        <v>48</v>
      </c>
      <c r="T540" s="9" t="s">
        <v>3282</v>
      </c>
      <c r="U540" s="9" t="s">
        <v>98</v>
      </c>
      <c r="V540" s="9" t="s">
        <v>6553</v>
      </c>
      <c r="W540" s="9" t="s">
        <v>3830</v>
      </c>
      <c r="X540" s="9" t="s">
        <v>3831</v>
      </c>
      <c r="Y540" s="9" t="s">
        <v>6554</v>
      </c>
      <c r="Z540" s="9">
        <v>5</v>
      </c>
      <c r="AA540" s="9" t="s">
        <v>55</v>
      </c>
      <c r="AB540" s="9" t="s">
        <v>6555</v>
      </c>
      <c r="AC540" s="9" t="s">
        <v>6556</v>
      </c>
      <c r="AD540" s="9" t="s">
        <v>58</v>
      </c>
      <c r="AE540" s="9">
        <v>1481250</v>
      </c>
      <c r="AF540" s="11">
        <v>29625</v>
      </c>
      <c r="AG540" s="9"/>
      <c r="AH540" s="9"/>
      <c r="AI540" s="9"/>
      <c r="AJ540" s="12" t="s">
        <v>11914</v>
      </c>
      <c r="AK540" s="13">
        <v>29625</v>
      </c>
      <c r="AL540" s="13"/>
      <c r="AM540" s="14">
        <f t="shared" si="8"/>
        <v>0</v>
      </c>
      <c r="AN540" s="12" t="s">
        <v>12004</v>
      </c>
    </row>
    <row r="541" spans="1:40" x14ac:dyDescent="0.25">
      <c r="A541" s="15">
        <v>540</v>
      </c>
      <c r="B541" s="12" t="s">
        <v>35</v>
      </c>
      <c r="C541" s="12" t="s">
        <v>6557</v>
      </c>
      <c r="D541" s="12" t="s">
        <v>37</v>
      </c>
      <c r="E541" s="12" t="s">
        <v>6558</v>
      </c>
      <c r="F541" s="12" t="s">
        <v>107</v>
      </c>
      <c r="G541" s="12" t="s">
        <v>6559</v>
      </c>
      <c r="H541" s="12" t="s">
        <v>48</v>
      </c>
      <c r="I541" s="12" t="s">
        <v>6560</v>
      </c>
      <c r="J541" s="12" t="s">
        <v>48</v>
      </c>
      <c r="K541" s="12" t="s">
        <v>6561</v>
      </c>
      <c r="L541" s="12">
        <v>2883000</v>
      </c>
      <c r="M541" s="12">
        <v>3844000</v>
      </c>
      <c r="N541" s="12" t="s">
        <v>6562</v>
      </c>
      <c r="O541" s="16">
        <v>45634</v>
      </c>
      <c r="P541" s="12" t="s">
        <v>6563</v>
      </c>
      <c r="Q541" s="12" t="s">
        <v>6564</v>
      </c>
      <c r="R541" s="12" t="s">
        <v>858</v>
      </c>
      <c r="S541" s="12" t="s">
        <v>48</v>
      </c>
      <c r="T541" s="12" t="s">
        <v>5208</v>
      </c>
      <c r="U541" s="12" t="s">
        <v>148</v>
      </c>
      <c r="V541" s="16">
        <v>44908</v>
      </c>
      <c r="W541" s="12" t="s">
        <v>5621</v>
      </c>
      <c r="X541" s="12" t="s">
        <v>5561</v>
      </c>
      <c r="Y541" s="12" t="s">
        <v>6565</v>
      </c>
      <c r="Z541" s="12">
        <v>5</v>
      </c>
      <c r="AA541" s="12" t="s">
        <v>323</v>
      </c>
      <c r="AB541" s="12" t="s">
        <v>6566</v>
      </c>
      <c r="AC541" s="12" t="s">
        <v>6567</v>
      </c>
      <c r="AD541" s="12" t="s">
        <v>943</v>
      </c>
      <c r="AE541" s="12">
        <v>3267400</v>
      </c>
      <c r="AF541" s="13">
        <v>45744</v>
      </c>
      <c r="AG541" s="12"/>
      <c r="AH541" s="12"/>
      <c r="AI541" s="12"/>
      <c r="AJ541" s="12" t="s">
        <v>11915</v>
      </c>
      <c r="AK541" s="13">
        <v>45744</v>
      </c>
      <c r="AL541" s="13"/>
      <c r="AM541" s="14">
        <f t="shared" si="8"/>
        <v>0</v>
      </c>
      <c r="AN541" s="12" t="s">
        <v>12004</v>
      </c>
    </row>
    <row r="542" spans="1:40" x14ac:dyDescent="0.25">
      <c r="A542" s="8">
        <v>541</v>
      </c>
      <c r="B542" s="9" t="s">
        <v>35</v>
      </c>
      <c r="C542" s="9" t="s">
        <v>6568</v>
      </c>
      <c r="D542" s="9" t="s">
        <v>37</v>
      </c>
      <c r="E542" s="9" t="s">
        <v>6569</v>
      </c>
      <c r="F542" s="9" t="s">
        <v>245</v>
      </c>
      <c r="G542" s="9" t="s">
        <v>6570</v>
      </c>
      <c r="H542" s="9" t="s">
        <v>48</v>
      </c>
      <c r="I542" s="9" t="s">
        <v>6571</v>
      </c>
      <c r="J542" s="9" t="s">
        <v>48</v>
      </c>
      <c r="K542" s="9" t="s">
        <v>6572</v>
      </c>
      <c r="L542" s="9">
        <v>2608450</v>
      </c>
      <c r="M542" s="9">
        <v>4013000</v>
      </c>
      <c r="N542" s="9" t="s">
        <v>6573</v>
      </c>
      <c r="O542" s="10">
        <v>45626</v>
      </c>
      <c r="P542" s="9" t="s">
        <v>6574</v>
      </c>
      <c r="Q542" s="9" t="s">
        <v>6575</v>
      </c>
      <c r="R542" s="9" t="s">
        <v>47</v>
      </c>
      <c r="S542" s="9" t="s">
        <v>48</v>
      </c>
      <c r="T542" s="9" t="s">
        <v>6576</v>
      </c>
      <c r="U542" s="9" t="s">
        <v>50</v>
      </c>
      <c r="V542" s="9" t="s">
        <v>6577</v>
      </c>
      <c r="W542" s="9" t="s">
        <v>6483</v>
      </c>
      <c r="X542" s="9" t="s">
        <v>6578</v>
      </c>
      <c r="Y542" s="9" t="s">
        <v>6579</v>
      </c>
      <c r="Z542" s="9">
        <v>7</v>
      </c>
      <c r="AA542" s="9" t="s">
        <v>118</v>
      </c>
      <c r="AB542" s="9" t="s">
        <v>6580</v>
      </c>
      <c r="AC542" s="9" t="s">
        <v>4972</v>
      </c>
      <c r="AD542" s="9" t="s">
        <v>58</v>
      </c>
      <c r="AE542" s="9">
        <v>3210400</v>
      </c>
      <c r="AF542" s="11">
        <v>64208</v>
      </c>
      <c r="AG542" s="9"/>
      <c r="AH542" s="9"/>
      <c r="AI542" s="9"/>
      <c r="AJ542" s="12" t="s">
        <v>11916</v>
      </c>
      <c r="AK542" s="13">
        <v>64208</v>
      </c>
      <c r="AL542" s="13"/>
      <c r="AM542" s="14">
        <f t="shared" si="8"/>
        <v>0</v>
      </c>
      <c r="AN542" s="12" t="s">
        <v>12004</v>
      </c>
    </row>
    <row r="543" spans="1:40" x14ac:dyDescent="0.25">
      <c r="A543" s="15">
        <v>542</v>
      </c>
      <c r="B543" s="12" t="s">
        <v>35</v>
      </c>
      <c r="C543" s="12" t="s">
        <v>6581</v>
      </c>
      <c r="D543" s="12" t="s">
        <v>37</v>
      </c>
      <c r="E543" s="12" t="s">
        <v>6582</v>
      </c>
      <c r="F543" s="12" t="s">
        <v>6583</v>
      </c>
      <c r="G543" s="12" t="s">
        <v>6584</v>
      </c>
      <c r="H543" s="12" t="s">
        <v>48</v>
      </c>
      <c r="I543" s="12" t="s">
        <v>6585</v>
      </c>
      <c r="J543" s="12" t="s">
        <v>48</v>
      </c>
      <c r="K543" s="12" t="s">
        <v>6586</v>
      </c>
      <c r="L543" s="12">
        <v>1484000</v>
      </c>
      <c r="M543" s="12">
        <v>2120000</v>
      </c>
      <c r="N543" s="12" t="s">
        <v>6587</v>
      </c>
      <c r="O543" s="16">
        <v>45626</v>
      </c>
      <c r="P543" s="12" t="s">
        <v>6588</v>
      </c>
      <c r="Q543" s="12" t="s">
        <v>6589</v>
      </c>
      <c r="R543" s="12" t="s">
        <v>858</v>
      </c>
      <c r="S543" s="12" t="s">
        <v>48</v>
      </c>
      <c r="T543" s="12" t="s">
        <v>2180</v>
      </c>
      <c r="U543" s="12" t="s">
        <v>148</v>
      </c>
      <c r="V543" s="12" t="s">
        <v>2465</v>
      </c>
      <c r="W543" s="12" t="s">
        <v>5621</v>
      </c>
      <c r="X543" s="12" t="s">
        <v>5561</v>
      </c>
      <c r="Y543" s="12" t="s">
        <v>6590</v>
      </c>
      <c r="Z543" s="12">
        <v>5</v>
      </c>
      <c r="AA543" s="12" t="s">
        <v>323</v>
      </c>
      <c r="AB543" s="12" t="s">
        <v>6591</v>
      </c>
      <c r="AC543" s="12" t="s">
        <v>5811</v>
      </c>
      <c r="AD543" s="12" t="s">
        <v>943</v>
      </c>
      <c r="AE543" s="12">
        <v>1802000</v>
      </c>
      <c r="AF543" s="13">
        <v>25228</v>
      </c>
      <c r="AG543" s="12"/>
      <c r="AH543" s="12"/>
      <c r="AI543" s="12"/>
      <c r="AJ543" s="12" t="s">
        <v>11917</v>
      </c>
      <c r="AK543" s="13">
        <v>25228</v>
      </c>
      <c r="AL543" s="13"/>
      <c r="AM543" s="14">
        <f t="shared" si="8"/>
        <v>0</v>
      </c>
      <c r="AN543" s="12" t="s">
        <v>12004</v>
      </c>
    </row>
    <row r="544" spans="1:40" x14ac:dyDescent="0.25">
      <c r="A544" s="8">
        <v>543</v>
      </c>
      <c r="B544" s="9" t="s">
        <v>35</v>
      </c>
      <c r="C544" s="9" t="s">
        <v>6592</v>
      </c>
      <c r="D544" s="9" t="s">
        <v>37</v>
      </c>
      <c r="E544" s="9" t="s">
        <v>6593</v>
      </c>
      <c r="F544" s="9" t="s">
        <v>107</v>
      </c>
      <c r="G544" s="9" t="s">
        <v>6594</v>
      </c>
      <c r="H544" s="9" t="s">
        <v>6595</v>
      </c>
      <c r="I544" s="9" t="s">
        <v>6595</v>
      </c>
      <c r="J544" s="9" t="s">
        <v>6595</v>
      </c>
      <c r="K544" s="9" t="s">
        <v>6596</v>
      </c>
      <c r="L544" s="9">
        <v>1126450</v>
      </c>
      <c r="M544" s="9">
        <v>1733000</v>
      </c>
      <c r="N544" s="9" t="s">
        <v>6597</v>
      </c>
      <c r="O544" s="10">
        <v>45626</v>
      </c>
      <c r="P544" s="9" t="s">
        <v>6598</v>
      </c>
      <c r="Q544" s="9" t="s">
        <v>6599</v>
      </c>
      <c r="R544" s="9" t="s">
        <v>47</v>
      </c>
      <c r="S544" s="9" t="s">
        <v>48</v>
      </c>
      <c r="T544" s="9" t="s">
        <v>49</v>
      </c>
      <c r="U544" s="9" t="s">
        <v>148</v>
      </c>
      <c r="V544" s="9" t="s">
        <v>6600</v>
      </c>
      <c r="W544" s="9" t="s">
        <v>3988</v>
      </c>
      <c r="X544" s="9" t="s">
        <v>3989</v>
      </c>
      <c r="Y544" s="9" t="s">
        <v>6601</v>
      </c>
      <c r="Z544" s="9">
        <v>5</v>
      </c>
      <c r="AA544" s="9" t="s">
        <v>227</v>
      </c>
      <c r="AB544" s="9" t="s">
        <v>6602</v>
      </c>
      <c r="AC544" s="9" t="s">
        <v>5811</v>
      </c>
      <c r="AD544" s="9" t="s">
        <v>58</v>
      </c>
      <c r="AE544" s="9">
        <v>1473050</v>
      </c>
      <c r="AF544" s="11">
        <v>29461</v>
      </c>
      <c r="AG544" s="9"/>
      <c r="AH544" s="9"/>
      <c r="AI544" s="9"/>
      <c r="AJ544" s="12" t="s">
        <v>11918</v>
      </c>
      <c r="AK544" s="13">
        <v>29461</v>
      </c>
      <c r="AL544" s="13"/>
      <c r="AM544" s="14">
        <f t="shared" si="8"/>
        <v>0</v>
      </c>
      <c r="AN544" s="12" t="s">
        <v>12004</v>
      </c>
    </row>
    <row r="545" spans="1:40" x14ac:dyDescent="0.25">
      <c r="A545" s="15">
        <v>544</v>
      </c>
      <c r="B545" s="12" t="s">
        <v>35</v>
      </c>
      <c r="C545" s="12" t="s">
        <v>6603</v>
      </c>
      <c r="D545" s="12" t="s">
        <v>37</v>
      </c>
      <c r="E545" s="12" t="s">
        <v>6604</v>
      </c>
      <c r="F545" s="12" t="s">
        <v>107</v>
      </c>
      <c r="G545" s="12" t="s">
        <v>6605</v>
      </c>
      <c r="H545" s="12" t="s">
        <v>48</v>
      </c>
      <c r="I545" s="12" t="s">
        <v>6606</v>
      </c>
      <c r="J545" s="12" t="s">
        <v>48</v>
      </c>
      <c r="K545" s="12" t="s">
        <v>6607</v>
      </c>
      <c r="L545" s="12">
        <v>1297500</v>
      </c>
      <c r="M545" s="12">
        <v>1730000</v>
      </c>
      <c r="N545" s="12" t="s">
        <v>6608</v>
      </c>
      <c r="O545" s="16">
        <v>45626</v>
      </c>
      <c r="P545" s="12" t="s">
        <v>6609</v>
      </c>
      <c r="Q545" s="12" t="s">
        <v>6610</v>
      </c>
      <c r="R545" s="12" t="s">
        <v>47</v>
      </c>
      <c r="S545" s="12" t="s">
        <v>48</v>
      </c>
      <c r="T545" s="12" t="s">
        <v>224</v>
      </c>
      <c r="U545" s="12" t="s">
        <v>98</v>
      </c>
      <c r="V545" s="12" t="s">
        <v>6611</v>
      </c>
      <c r="W545" s="12" t="s">
        <v>532</v>
      </c>
      <c r="X545" s="12" t="s">
        <v>533</v>
      </c>
      <c r="Y545" s="12" t="s">
        <v>6612</v>
      </c>
      <c r="Z545" s="12">
        <v>5</v>
      </c>
      <c r="AA545" s="12" t="s">
        <v>227</v>
      </c>
      <c r="AB545" s="12" t="s">
        <v>6613</v>
      </c>
      <c r="AC545" s="12" t="s">
        <v>6611</v>
      </c>
      <c r="AD545" s="12" t="s">
        <v>58</v>
      </c>
      <c r="AE545" s="12">
        <v>1297500</v>
      </c>
      <c r="AF545" s="13">
        <v>25950</v>
      </c>
      <c r="AG545" s="12"/>
      <c r="AH545" s="12"/>
      <c r="AI545" s="12"/>
      <c r="AJ545" s="12" t="s">
        <v>11919</v>
      </c>
      <c r="AK545" s="13">
        <v>25950</v>
      </c>
      <c r="AL545" s="13"/>
      <c r="AM545" s="14">
        <f t="shared" si="8"/>
        <v>0</v>
      </c>
      <c r="AN545" s="12" t="s">
        <v>12004</v>
      </c>
    </row>
    <row r="546" spans="1:40" x14ac:dyDescent="0.25">
      <c r="A546" s="8">
        <v>545</v>
      </c>
      <c r="B546" s="9" t="s">
        <v>35</v>
      </c>
      <c r="C546" s="9" t="s">
        <v>6614</v>
      </c>
      <c r="D546" s="9" t="s">
        <v>37</v>
      </c>
      <c r="E546" s="9" t="s">
        <v>6615</v>
      </c>
      <c r="F546" s="9" t="s">
        <v>138</v>
      </c>
      <c r="G546" s="9" t="s">
        <v>6616</v>
      </c>
      <c r="H546" s="9" t="s">
        <v>6617</v>
      </c>
      <c r="I546" s="9" t="s">
        <v>6617</v>
      </c>
      <c r="J546" s="9" t="s">
        <v>6617</v>
      </c>
      <c r="K546" s="9" t="s">
        <v>6618</v>
      </c>
      <c r="L546" s="9">
        <v>1213100</v>
      </c>
      <c r="M546" s="9">
        <v>1733000</v>
      </c>
      <c r="N546" s="9" t="s">
        <v>6619</v>
      </c>
      <c r="O546" s="10">
        <v>45634</v>
      </c>
      <c r="P546" s="9" t="s">
        <v>6620</v>
      </c>
      <c r="Q546" s="9" t="s">
        <v>6621</v>
      </c>
      <c r="R546" s="9" t="s">
        <v>47</v>
      </c>
      <c r="S546" s="9" t="s">
        <v>48</v>
      </c>
      <c r="T546" s="9" t="s">
        <v>194</v>
      </c>
      <c r="U546" s="9" t="s">
        <v>148</v>
      </c>
      <c r="V546" s="10">
        <v>44746</v>
      </c>
      <c r="W546" s="9" t="s">
        <v>5621</v>
      </c>
      <c r="X546" s="9" t="s">
        <v>5561</v>
      </c>
      <c r="Y546" s="9" t="s">
        <v>6622</v>
      </c>
      <c r="Z546" s="9">
        <v>5</v>
      </c>
      <c r="AA546" s="9" t="s">
        <v>152</v>
      </c>
      <c r="AB546" s="9" t="s">
        <v>6623</v>
      </c>
      <c r="AC546" s="9" t="s">
        <v>6624</v>
      </c>
      <c r="AD546" s="9" t="s">
        <v>299</v>
      </c>
      <c r="AE546" s="9">
        <v>1473050</v>
      </c>
      <c r="AF546" s="11">
        <v>22096</v>
      </c>
      <c r="AG546" s="9"/>
      <c r="AH546" s="9"/>
      <c r="AI546" s="9"/>
      <c r="AJ546" s="12" t="s">
        <v>11920</v>
      </c>
      <c r="AK546" s="13">
        <v>22096</v>
      </c>
      <c r="AL546" s="13"/>
      <c r="AM546" s="14">
        <f t="shared" si="8"/>
        <v>0</v>
      </c>
      <c r="AN546" s="12" t="s">
        <v>12004</v>
      </c>
    </row>
    <row r="547" spans="1:40" x14ac:dyDescent="0.25">
      <c r="A547" s="15">
        <v>546</v>
      </c>
      <c r="B547" s="12" t="s">
        <v>35</v>
      </c>
      <c r="C547" s="12" t="s">
        <v>6625</v>
      </c>
      <c r="D547" s="12" t="s">
        <v>37</v>
      </c>
      <c r="E547" s="12" t="s">
        <v>6626</v>
      </c>
      <c r="F547" s="12" t="s">
        <v>39</v>
      </c>
      <c r="G547" s="12" t="s">
        <v>6627</v>
      </c>
      <c r="H547" s="12" t="s">
        <v>6628</v>
      </c>
      <c r="I547" s="12" t="s">
        <v>6629</v>
      </c>
      <c r="J547" s="12" t="s">
        <v>6628</v>
      </c>
      <c r="K547" s="12" t="s">
        <v>6630</v>
      </c>
      <c r="L547" s="12">
        <v>2353800</v>
      </c>
      <c r="M547" s="12">
        <v>3923000</v>
      </c>
      <c r="N547" s="12" t="s">
        <v>6631</v>
      </c>
      <c r="O547" s="16">
        <v>45634</v>
      </c>
      <c r="P547" s="12" t="s">
        <v>6632</v>
      </c>
      <c r="Q547" s="12" t="s">
        <v>6633</v>
      </c>
      <c r="R547" s="12" t="s">
        <v>47</v>
      </c>
      <c r="S547" s="12" t="s">
        <v>48</v>
      </c>
      <c r="T547" s="12" t="s">
        <v>4389</v>
      </c>
      <c r="U547" s="12" t="s">
        <v>50</v>
      </c>
      <c r="V547" s="16">
        <v>44547</v>
      </c>
      <c r="W547" s="12" t="s">
        <v>4473</v>
      </c>
      <c r="X547" s="12" t="s">
        <v>4588</v>
      </c>
      <c r="Y547" s="12" t="s">
        <v>6634</v>
      </c>
      <c r="Z547" s="12">
        <v>5</v>
      </c>
      <c r="AA547" s="12" t="s">
        <v>55</v>
      </c>
      <c r="AB547" s="12" t="s">
        <v>6635</v>
      </c>
      <c r="AC547" s="12" t="s">
        <v>6636</v>
      </c>
      <c r="AD547" s="12" t="s">
        <v>58</v>
      </c>
      <c r="AE547" s="12">
        <v>3138400</v>
      </c>
      <c r="AF547" s="13">
        <v>62768</v>
      </c>
      <c r="AG547" s="12"/>
      <c r="AH547" s="12"/>
      <c r="AI547" s="12"/>
      <c r="AJ547" s="12" t="s">
        <v>11921</v>
      </c>
      <c r="AK547" s="13">
        <v>62768</v>
      </c>
      <c r="AL547" s="13"/>
      <c r="AM547" s="14">
        <f t="shared" si="8"/>
        <v>0</v>
      </c>
      <c r="AN547" s="12" t="s">
        <v>12004</v>
      </c>
    </row>
    <row r="548" spans="1:40" x14ac:dyDescent="0.25">
      <c r="A548" s="8">
        <v>547</v>
      </c>
      <c r="B548" s="9" t="s">
        <v>35</v>
      </c>
      <c r="C548" s="9" t="s">
        <v>6637</v>
      </c>
      <c r="D548" s="9" t="s">
        <v>37</v>
      </c>
      <c r="E548" s="9" t="s">
        <v>6638</v>
      </c>
      <c r="F548" s="9" t="s">
        <v>138</v>
      </c>
      <c r="G548" s="9" t="s">
        <v>6639</v>
      </c>
      <c r="H548" s="9" t="s">
        <v>6640</v>
      </c>
      <c r="I548" s="9" t="s">
        <v>6641</v>
      </c>
      <c r="J548" s="9" t="s">
        <v>6640</v>
      </c>
      <c r="K548" s="9" t="s">
        <v>6642</v>
      </c>
      <c r="L548" s="9">
        <v>3127200</v>
      </c>
      <c r="M548" s="9">
        <v>3909000</v>
      </c>
      <c r="N548" s="9" t="s">
        <v>6643</v>
      </c>
      <c r="O548" s="10">
        <v>45634</v>
      </c>
      <c r="P548" s="9" t="s">
        <v>6644</v>
      </c>
      <c r="Q548" s="9" t="s">
        <v>6645</v>
      </c>
      <c r="R548" s="9" t="s">
        <v>47</v>
      </c>
      <c r="S548" s="9" t="s">
        <v>48</v>
      </c>
      <c r="T548" s="9" t="s">
        <v>97</v>
      </c>
      <c r="U548" s="9" t="s">
        <v>614</v>
      </c>
      <c r="V548" s="10">
        <v>43812</v>
      </c>
      <c r="W548" s="9" t="s">
        <v>5729</v>
      </c>
      <c r="X548" s="9" t="s">
        <v>5267</v>
      </c>
      <c r="Y548" s="9" t="s">
        <v>6646</v>
      </c>
      <c r="Z548" s="9">
        <v>6</v>
      </c>
      <c r="AA548" s="9" t="s">
        <v>55</v>
      </c>
      <c r="AB548" s="9" t="s">
        <v>6647</v>
      </c>
      <c r="AC548" s="9" t="s">
        <v>6648</v>
      </c>
      <c r="AD548" s="9" t="s">
        <v>171</v>
      </c>
      <c r="AE548" s="9">
        <v>2736300</v>
      </c>
      <c r="AF548" s="11">
        <v>68408</v>
      </c>
      <c r="AG548" s="9"/>
      <c r="AH548" s="9"/>
      <c r="AI548" s="9"/>
      <c r="AJ548" s="12" t="s">
        <v>11922</v>
      </c>
      <c r="AK548" s="13">
        <v>68408</v>
      </c>
      <c r="AL548" s="13"/>
      <c r="AM548" s="14">
        <f t="shared" si="8"/>
        <v>0</v>
      </c>
      <c r="AN548" s="12" t="s">
        <v>12004</v>
      </c>
    </row>
    <row r="549" spans="1:40" x14ac:dyDescent="0.25">
      <c r="A549" s="15">
        <v>548</v>
      </c>
      <c r="B549" s="12" t="s">
        <v>35</v>
      </c>
      <c r="C549" s="12" t="s">
        <v>6649</v>
      </c>
      <c r="D549" s="12" t="s">
        <v>37</v>
      </c>
      <c r="E549" s="12" t="s">
        <v>6650</v>
      </c>
      <c r="F549" s="12" t="s">
        <v>89</v>
      </c>
      <c r="G549" s="12" t="s">
        <v>6651</v>
      </c>
      <c r="H549" s="12" t="s">
        <v>6652</v>
      </c>
      <c r="I549" s="12" t="s">
        <v>6653</v>
      </c>
      <c r="J549" s="12" t="s">
        <v>6654</v>
      </c>
      <c r="K549" s="12" t="s">
        <v>6655</v>
      </c>
      <c r="L549" s="12">
        <v>2162400</v>
      </c>
      <c r="M549" s="12">
        <v>2703000</v>
      </c>
      <c r="N549" s="12" t="s">
        <v>6656</v>
      </c>
      <c r="O549" s="16">
        <v>45634</v>
      </c>
      <c r="P549" s="12" t="s">
        <v>6657</v>
      </c>
      <c r="Q549" s="12" t="s">
        <v>6658</v>
      </c>
      <c r="R549" s="12" t="s">
        <v>47</v>
      </c>
      <c r="S549" s="12" t="s">
        <v>48</v>
      </c>
      <c r="T549" s="12" t="s">
        <v>1826</v>
      </c>
      <c r="U549" s="12" t="s">
        <v>50</v>
      </c>
      <c r="V549" s="16">
        <v>44439</v>
      </c>
      <c r="W549" s="12" t="s">
        <v>4473</v>
      </c>
      <c r="X549" s="12" t="s">
        <v>4588</v>
      </c>
      <c r="Y549" s="12" t="s">
        <v>6659</v>
      </c>
      <c r="Z549" s="12">
        <v>5</v>
      </c>
      <c r="AA549" s="12" t="s">
        <v>55</v>
      </c>
      <c r="AB549" s="12" t="s">
        <v>6660</v>
      </c>
      <c r="AC549" s="12" t="s">
        <v>6636</v>
      </c>
      <c r="AD549" s="12" t="s">
        <v>58</v>
      </c>
      <c r="AE549" s="12">
        <v>2162400</v>
      </c>
      <c r="AF549" s="13">
        <v>43248</v>
      </c>
      <c r="AG549" s="12"/>
      <c r="AH549" s="12"/>
      <c r="AI549" s="12"/>
      <c r="AJ549" s="12" t="s">
        <v>11923</v>
      </c>
      <c r="AK549" s="13">
        <v>43248</v>
      </c>
      <c r="AL549" s="13"/>
      <c r="AM549" s="14">
        <f t="shared" si="8"/>
        <v>0</v>
      </c>
      <c r="AN549" s="12" t="s">
        <v>12004</v>
      </c>
    </row>
    <row r="550" spans="1:40" x14ac:dyDescent="0.25">
      <c r="A550" s="8">
        <v>549</v>
      </c>
      <c r="B550" s="9" t="s">
        <v>35</v>
      </c>
      <c r="C550" s="9" t="s">
        <v>6661</v>
      </c>
      <c r="D550" s="9" t="s">
        <v>37</v>
      </c>
      <c r="E550" s="9" t="s">
        <v>1773</v>
      </c>
      <c r="F550" s="9" t="s">
        <v>107</v>
      </c>
      <c r="G550" s="9" t="s">
        <v>6662</v>
      </c>
      <c r="H550" s="9" t="s">
        <v>6663</v>
      </c>
      <c r="I550" s="9" t="s">
        <v>6663</v>
      </c>
      <c r="J550" s="9" t="s">
        <v>6664</v>
      </c>
      <c r="K550" s="9" t="s">
        <v>6665</v>
      </c>
      <c r="L550" s="9">
        <v>920112</v>
      </c>
      <c r="M550" s="9">
        <v>1274000</v>
      </c>
      <c r="N550" s="9" t="s">
        <v>6666</v>
      </c>
      <c r="O550" s="10">
        <v>45625</v>
      </c>
      <c r="P550" s="9" t="s">
        <v>6667</v>
      </c>
      <c r="Q550" s="9" t="s">
        <v>6668</v>
      </c>
      <c r="R550" s="9" t="s">
        <v>47</v>
      </c>
      <c r="S550" s="9" t="s">
        <v>6669</v>
      </c>
      <c r="T550" s="9" t="s">
        <v>321</v>
      </c>
      <c r="U550" s="9" t="s">
        <v>496</v>
      </c>
      <c r="V550" s="9" t="s">
        <v>6670</v>
      </c>
      <c r="W550" s="9" t="s">
        <v>2306</v>
      </c>
      <c r="X550" s="10">
        <v>46012</v>
      </c>
      <c r="Y550" s="9" t="s">
        <v>6671</v>
      </c>
      <c r="Z550" s="9">
        <v>5</v>
      </c>
      <c r="AA550" s="9" t="s">
        <v>55</v>
      </c>
      <c r="AB550" s="9" t="s">
        <v>6672</v>
      </c>
      <c r="AC550" s="9" t="s">
        <v>4786</v>
      </c>
      <c r="AD550" s="9" t="s">
        <v>880</v>
      </c>
      <c r="AE550" s="9">
        <v>828100</v>
      </c>
      <c r="AF550" s="11">
        <v>25671</v>
      </c>
      <c r="AG550" s="9" t="s">
        <v>6673</v>
      </c>
      <c r="AH550" s="9" t="s">
        <v>3577</v>
      </c>
      <c r="AI550" s="9"/>
      <c r="AJ550" s="12" t="s">
        <v>11924</v>
      </c>
      <c r="AK550" s="13">
        <v>25671</v>
      </c>
      <c r="AL550" s="13"/>
      <c r="AM550" s="14">
        <f t="shared" si="8"/>
        <v>0</v>
      </c>
      <c r="AN550" s="12" t="s">
        <v>12004</v>
      </c>
    </row>
    <row r="551" spans="1:40" x14ac:dyDescent="0.25">
      <c r="A551" s="15">
        <v>550</v>
      </c>
      <c r="B551" s="12" t="s">
        <v>35</v>
      </c>
      <c r="C551" s="12" t="s">
        <v>6674</v>
      </c>
      <c r="D551" s="12" t="s">
        <v>37</v>
      </c>
      <c r="E551" s="12" t="s">
        <v>6675</v>
      </c>
      <c r="F551" s="12" t="s">
        <v>89</v>
      </c>
      <c r="G551" s="12" t="s">
        <v>6676</v>
      </c>
      <c r="H551" s="12" t="s">
        <v>6677</v>
      </c>
      <c r="I551" s="12" t="s">
        <v>48</v>
      </c>
      <c r="J551" s="12" t="s">
        <v>6678</v>
      </c>
      <c r="K551" s="12" t="s">
        <v>6679</v>
      </c>
      <c r="L551" s="12">
        <v>1885800</v>
      </c>
      <c r="M551" s="12">
        <v>3143000</v>
      </c>
      <c r="N551" s="12" t="s">
        <v>6680</v>
      </c>
      <c r="O551" s="16">
        <v>45634</v>
      </c>
      <c r="P551" s="12" t="s">
        <v>6681</v>
      </c>
      <c r="Q551" s="12" t="s">
        <v>6682</v>
      </c>
      <c r="R551" s="12" t="s">
        <v>47</v>
      </c>
      <c r="S551" s="12" t="s">
        <v>48</v>
      </c>
      <c r="T551" s="12" t="s">
        <v>5352</v>
      </c>
      <c r="U551" s="12" t="s">
        <v>50</v>
      </c>
      <c r="V551" s="16">
        <v>44440</v>
      </c>
      <c r="W551" s="12" t="s">
        <v>4473</v>
      </c>
      <c r="X551" s="12" t="s">
        <v>4724</v>
      </c>
      <c r="Y551" s="12" t="s">
        <v>6683</v>
      </c>
      <c r="Z551" s="12">
        <v>7</v>
      </c>
      <c r="AA551" s="12" t="s">
        <v>55</v>
      </c>
      <c r="AB551" s="12" t="s">
        <v>6684</v>
      </c>
      <c r="AC551" s="12" t="s">
        <v>6351</v>
      </c>
      <c r="AD551" s="12" t="s">
        <v>58</v>
      </c>
      <c r="AE551" s="12">
        <v>2514400</v>
      </c>
      <c r="AF551" s="13">
        <v>50288</v>
      </c>
      <c r="AG551" s="12"/>
      <c r="AH551" s="12"/>
      <c r="AI551" s="12"/>
      <c r="AJ551" s="12" t="s">
        <v>11925</v>
      </c>
      <c r="AK551" s="13">
        <v>50288</v>
      </c>
      <c r="AL551" s="13"/>
      <c r="AM551" s="14">
        <f t="shared" si="8"/>
        <v>0</v>
      </c>
      <c r="AN551" s="12" t="s">
        <v>12004</v>
      </c>
    </row>
    <row r="552" spans="1:40" x14ac:dyDescent="0.25">
      <c r="A552" s="8">
        <v>551</v>
      </c>
      <c r="B552" s="9" t="s">
        <v>35</v>
      </c>
      <c r="C552" s="9" t="s">
        <v>6685</v>
      </c>
      <c r="D552" s="9" t="s">
        <v>37</v>
      </c>
      <c r="E552" s="9" t="s">
        <v>6686</v>
      </c>
      <c r="F552" s="9" t="s">
        <v>4191</v>
      </c>
      <c r="G552" s="9" t="s">
        <v>6687</v>
      </c>
      <c r="H552" s="9" t="s">
        <v>48</v>
      </c>
      <c r="I552" s="9" t="s">
        <v>6688</v>
      </c>
      <c r="J552" s="9" t="s">
        <v>48</v>
      </c>
      <c r="K552" s="9" t="s">
        <v>6689</v>
      </c>
      <c r="L552" s="9">
        <v>1330000</v>
      </c>
      <c r="M552" s="9">
        <v>1900000</v>
      </c>
      <c r="N552" s="9" t="s">
        <v>6690</v>
      </c>
      <c r="O552" s="10">
        <v>45627</v>
      </c>
      <c r="P552" s="9" t="s">
        <v>6691</v>
      </c>
      <c r="Q552" s="9" t="s">
        <v>6692</v>
      </c>
      <c r="R552" s="9" t="s">
        <v>47</v>
      </c>
      <c r="S552" s="9" t="s">
        <v>48</v>
      </c>
      <c r="T552" s="9" t="s">
        <v>1323</v>
      </c>
      <c r="U552" s="9" t="s">
        <v>98</v>
      </c>
      <c r="V552" s="10">
        <v>44102</v>
      </c>
      <c r="W552" s="9" t="s">
        <v>3830</v>
      </c>
      <c r="X552" s="9" t="s">
        <v>3831</v>
      </c>
      <c r="Y552" s="9" t="s">
        <v>6693</v>
      </c>
      <c r="Z552" s="9">
        <v>5</v>
      </c>
      <c r="AA552" s="9" t="s">
        <v>55</v>
      </c>
      <c r="AB552" s="9" t="s">
        <v>6694</v>
      </c>
      <c r="AC552" s="9" t="s">
        <v>456</v>
      </c>
      <c r="AD552" s="9" t="s">
        <v>58</v>
      </c>
      <c r="AE552" s="9">
        <v>1425000</v>
      </c>
      <c r="AF552" s="11">
        <v>28500</v>
      </c>
      <c r="AG552" s="9"/>
      <c r="AH552" s="9"/>
      <c r="AI552" s="9"/>
      <c r="AJ552" s="12" t="s">
        <v>11926</v>
      </c>
      <c r="AK552" s="13">
        <v>28500</v>
      </c>
      <c r="AL552" s="13"/>
      <c r="AM552" s="14">
        <f t="shared" si="8"/>
        <v>0</v>
      </c>
      <c r="AN552" s="12" t="s">
        <v>12004</v>
      </c>
    </row>
    <row r="553" spans="1:40" x14ac:dyDescent="0.25">
      <c r="A553" s="15">
        <v>552</v>
      </c>
      <c r="B553" s="12" t="s">
        <v>35</v>
      </c>
      <c r="C553" s="12" t="s">
        <v>6695</v>
      </c>
      <c r="D553" s="12" t="s">
        <v>37</v>
      </c>
      <c r="E553" s="12" t="s">
        <v>6696</v>
      </c>
      <c r="F553" s="12" t="s">
        <v>89</v>
      </c>
      <c r="G553" s="12" t="s">
        <v>6697</v>
      </c>
      <c r="H553" s="12" t="s">
        <v>6698</v>
      </c>
      <c r="I553" s="12" t="s">
        <v>48</v>
      </c>
      <c r="J553" s="12" t="s">
        <v>6699</v>
      </c>
      <c r="K553" s="12" t="s">
        <v>6700</v>
      </c>
      <c r="L553" s="12">
        <v>2156250</v>
      </c>
      <c r="M553" s="12">
        <v>2875000</v>
      </c>
      <c r="N553" s="12" t="s">
        <v>6701</v>
      </c>
      <c r="O553" s="16">
        <v>45627</v>
      </c>
      <c r="P553" s="12" t="s">
        <v>6702</v>
      </c>
      <c r="Q553" s="12" t="s">
        <v>6703</v>
      </c>
      <c r="R553" s="12" t="s">
        <v>47</v>
      </c>
      <c r="S553" s="12" t="s">
        <v>48</v>
      </c>
      <c r="T553" s="12" t="s">
        <v>348</v>
      </c>
      <c r="U553" s="12" t="s">
        <v>98</v>
      </c>
      <c r="V553" s="16">
        <v>44104</v>
      </c>
      <c r="W553" s="12" t="s">
        <v>3830</v>
      </c>
      <c r="X553" s="12" t="s">
        <v>3831</v>
      </c>
      <c r="Y553" s="12" t="s">
        <v>6704</v>
      </c>
      <c r="Z553" s="12">
        <v>5</v>
      </c>
      <c r="AA553" s="12" t="s">
        <v>55</v>
      </c>
      <c r="AB553" s="12" t="s">
        <v>6705</v>
      </c>
      <c r="AC553" s="12" t="s">
        <v>532</v>
      </c>
      <c r="AD553" s="12" t="s">
        <v>58</v>
      </c>
      <c r="AE553" s="12">
        <v>2156250</v>
      </c>
      <c r="AF553" s="13">
        <v>43125</v>
      </c>
      <c r="AG553" s="12"/>
      <c r="AH553" s="12"/>
      <c r="AI553" s="12"/>
      <c r="AJ553" s="12" t="s">
        <v>11927</v>
      </c>
      <c r="AK553" s="13">
        <v>43125</v>
      </c>
      <c r="AL553" s="13"/>
      <c r="AM553" s="14">
        <f t="shared" si="8"/>
        <v>0</v>
      </c>
      <c r="AN553" s="12" t="s">
        <v>12004</v>
      </c>
    </row>
    <row r="554" spans="1:40" x14ac:dyDescent="0.25">
      <c r="A554" s="8">
        <v>553</v>
      </c>
      <c r="B554" s="9" t="s">
        <v>35</v>
      </c>
      <c r="C554" s="9" t="s">
        <v>6706</v>
      </c>
      <c r="D554" s="9" t="s">
        <v>37</v>
      </c>
      <c r="E554" s="9" t="s">
        <v>6707</v>
      </c>
      <c r="F554" s="9" t="s">
        <v>39</v>
      </c>
      <c r="G554" s="9" t="s">
        <v>6708</v>
      </c>
      <c r="H554" s="9" t="s">
        <v>48</v>
      </c>
      <c r="I554" s="9" t="s">
        <v>6709</v>
      </c>
      <c r="J554" s="9" t="s">
        <v>48</v>
      </c>
      <c r="K554" s="9" t="s">
        <v>6710</v>
      </c>
      <c r="L554" s="9">
        <v>2071225</v>
      </c>
      <c r="M554" s="9">
        <v>3186500</v>
      </c>
      <c r="N554" s="9" t="s">
        <v>6711</v>
      </c>
      <c r="O554" s="10">
        <v>45627</v>
      </c>
      <c r="P554" s="9" t="s">
        <v>6712</v>
      </c>
      <c r="Q554" s="9" t="s">
        <v>6713</v>
      </c>
      <c r="R554" s="9" t="s">
        <v>47</v>
      </c>
      <c r="S554" s="9" t="s">
        <v>48</v>
      </c>
      <c r="T554" s="9" t="s">
        <v>6714</v>
      </c>
      <c r="U554" s="9" t="s">
        <v>50</v>
      </c>
      <c r="V554" s="10">
        <v>44482</v>
      </c>
      <c r="W554" s="9" t="s">
        <v>6483</v>
      </c>
      <c r="X554" s="9" t="s">
        <v>6444</v>
      </c>
      <c r="Y554" s="9" t="s">
        <v>6715</v>
      </c>
      <c r="Z554" s="9">
        <v>6</v>
      </c>
      <c r="AA554" s="9" t="s">
        <v>55</v>
      </c>
      <c r="AB554" s="9" t="s">
        <v>6716</v>
      </c>
      <c r="AC554" s="9" t="s">
        <v>6636</v>
      </c>
      <c r="AD554" s="9" t="s">
        <v>58</v>
      </c>
      <c r="AE554" s="9">
        <v>2549200</v>
      </c>
      <c r="AF554" s="11">
        <v>50984</v>
      </c>
      <c r="AG554" s="9"/>
      <c r="AH554" s="9"/>
      <c r="AI554" s="9"/>
      <c r="AJ554" s="12" t="s">
        <v>11928</v>
      </c>
      <c r="AK554" s="13">
        <v>50984</v>
      </c>
      <c r="AL554" s="13"/>
      <c r="AM554" s="14">
        <f t="shared" si="8"/>
        <v>0</v>
      </c>
      <c r="AN554" s="12" t="s">
        <v>12004</v>
      </c>
    </row>
    <row r="555" spans="1:40" x14ac:dyDescent="0.25">
      <c r="A555" s="15">
        <v>554</v>
      </c>
      <c r="B555" s="12" t="s">
        <v>35</v>
      </c>
      <c r="C555" s="12" t="s">
        <v>6717</v>
      </c>
      <c r="D555" s="12" t="s">
        <v>37</v>
      </c>
      <c r="E555" s="12" t="s">
        <v>6718</v>
      </c>
      <c r="F555" s="12" t="s">
        <v>107</v>
      </c>
      <c r="G555" s="12" t="s">
        <v>6719</v>
      </c>
      <c r="H555" s="12" t="s">
        <v>48</v>
      </c>
      <c r="I555" s="12" t="s">
        <v>6720</v>
      </c>
      <c r="J555" s="12" t="s">
        <v>48</v>
      </c>
      <c r="K555" s="12" t="s">
        <v>6721</v>
      </c>
      <c r="L555" s="12">
        <v>734300</v>
      </c>
      <c r="M555" s="12">
        <v>1049000</v>
      </c>
      <c r="N555" s="12" t="s">
        <v>6722</v>
      </c>
      <c r="O555" s="16">
        <v>45634</v>
      </c>
      <c r="P555" s="12" t="s">
        <v>6723</v>
      </c>
      <c r="Q555" s="12" t="s">
        <v>6724</v>
      </c>
      <c r="R555" s="12" t="s">
        <v>47</v>
      </c>
      <c r="S555" s="12" t="s">
        <v>48</v>
      </c>
      <c r="T555" s="12" t="s">
        <v>966</v>
      </c>
      <c r="U555" s="12" t="s">
        <v>50</v>
      </c>
      <c r="V555" s="16">
        <v>44498</v>
      </c>
      <c r="W555" s="12" t="s">
        <v>4015</v>
      </c>
      <c r="X555" s="12" t="s">
        <v>4016</v>
      </c>
      <c r="Y555" s="12" t="s">
        <v>6725</v>
      </c>
      <c r="Z555" s="12">
        <v>5</v>
      </c>
      <c r="AA555" s="12" t="s">
        <v>55</v>
      </c>
      <c r="AB555" s="12" t="s">
        <v>6726</v>
      </c>
      <c r="AC555" s="12" t="s">
        <v>6351</v>
      </c>
      <c r="AD555" s="12" t="s">
        <v>58</v>
      </c>
      <c r="AE555" s="12">
        <v>839200</v>
      </c>
      <c r="AF555" s="13">
        <v>16784</v>
      </c>
      <c r="AG555" s="12"/>
      <c r="AH555" s="12"/>
      <c r="AI555" s="12"/>
      <c r="AJ555" s="12" t="s">
        <v>11929</v>
      </c>
      <c r="AK555" s="13">
        <v>16784</v>
      </c>
      <c r="AL555" s="13"/>
      <c r="AM555" s="14">
        <f t="shared" si="8"/>
        <v>0</v>
      </c>
      <c r="AN555" s="12" t="s">
        <v>12004</v>
      </c>
    </row>
    <row r="556" spans="1:40" x14ac:dyDescent="0.25">
      <c r="A556" s="8">
        <v>555</v>
      </c>
      <c r="B556" s="9" t="s">
        <v>35</v>
      </c>
      <c r="C556" s="9" t="s">
        <v>6727</v>
      </c>
      <c r="D556" s="9" t="s">
        <v>37</v>
      </c>
      <c r="E556" s="9" t="s">
        <v>6728</v>
      </c>
      <c r="F556" s="9" t="s">
        <v>107</v>
      </c>
      <c r="G556" s="9" t="s">
        <v>6729</v>
      </c>
      <c r="H556" s="9" t="s">
        <v>6730</v>
      </c>
      <c r="I556" s="9" t="s">
        <v>6730</v>
      </c>
      <c r="J556" s="9" t="s">
        <v>6731</v>
      </c>
      <c r="K556" s="9" t="s">
        <v>6732</v>
      </c>
      <c r="L556" s="9">
        <v>2414650</v>
      </c>
      <c r="M556" s="9">
        <v>6899000</v>
      </c>
      <c r="N556" s="9" t="s">
        <v>6733</v>
      </c>
      <c r="O556" s="10">
        <v>45627</v>
      </c>
      <c r="P556" s="9" t="s">
        <v>6734</v>
      </c>
      <c r="Q556" s="9" t="s">
        <v>6735</v>
      </c>
      <c r="R556" s="9" t="s">
        <v>47</v>
      </c>
      <c r="S556" s="9" t="s">
        <v>48</v>
      </c>
      <c r="T556" s="9" t="s">
        <v>6736</v>
      </c>
      <c r="U556" s="9" t="s">
        <v>148</v>
      </c>
      <c r="V556" s="10">
        <v>44900</v>
      </c>
      <c r="W556" s="9" t="s">
        <v>6737</v>
      </c>
      <c r="X556" s="9" t="s">
        <v>3831</v>
      </c>
      <c r="Y556" s="9" t="s">
        <v>6738</v>
      </c>
      <c r="Z556" s="9">
        <v>3</v>
      </c>
      <c r="AA556" s="9" t="s">
        <v>323</v>
      </c>
      <c r="AB556" s="9" t="s">
        <v>6739</v>
      </c>
      <c r="AC556" s="9" t="s">
        <v>6740</v>
      </c>
      <c r="AD556" s="9" t="s">
        <v>299</v>
      </c>
      <c r="AE556" s="9">
        <v>5864150</v>
      </c>
      <c r="AF556" s="11">
        <v>87962</v>
      </c>
      <c r="AG556" s="9"/>
      <c r="AH556" s="9"/>
      <c r="AI556" s="9"/>
      <c r="AJ556" s="12" t="s">
        <v>11930</v>
      </c>
      <c r="AK556" s="13">
        <v>87962</v>
      </c>
      <c r="AL556" s="13"/>
      <c r="AM556" s="14">
        <f t="shared" si="8"/>
        <v>0</v>
      </c>
      <c r="AN556" s="12" t="s">
        <v>12004</v>
      </c>
    </row>
    <row r="557" spans="1:40" x14ac:dyDescent="0.25">
      <c r="A557" s="15">
        <v>556</v>
      </c>
      <c r="B557" s="12" t="s">
        <v>35</v>
      </c>
      <c r="C557" s="12" t="s">
        <v>6741</v>
      </c>
      <c r="D557" s="12" t="s">
        <v>37</v>
      </c>
      <c r="E557" s="12" t="s">
        <v>6742</v>
      </c>
      <c r="F557" s="12" t="s">
        <v>138</v>
      </c>
      <c r="G557" s="12" t="s">
        <v>6743</v>
      </c>
      <c r="H557" s="12" t="s">
        <v>6744</v>
      </c>
      <c r="I557" s="12" t="s">
        <v>6745</v>
      </c>
      <c r="J557" s="12" t="s">
        <v>6744</v>
      </c>
      <c r="K557" s="12" t="s">
        <v>6746</v>
      </c>
      <c r="L557" s="12">
        <v>2047500</v>
      </c>
      <c r="M557" s="12">
        <v>3150000</v>
      </c>
      <c r="N557" s="12" t="s">
        <v>6747</v>
      </c>
      <c r="O557" s="12" t="s">
        <v>6748</v>
      </c>
      <c r="P557" s="12" t="s">
        <v>6749</v>
      </c>
      <c r="Q557" s="12" t="s">
        <v>6750</v>
      </c>
      <c r="R557" s="12" t="s">
        <v>146</v>
      </c>
      <c r="S557" s="12" t="s">
        <v>6751</v>
      </c>
      <c r="T557" s="12" t="s">
        <v>2994</v>
      </c>
      <c r="U557" s="12" t="s">
        <v>148</v>
      </c>
      <c r="V557" s="16">
        <v>45272</v>
      </c>
      <c r="W557" s="12" t="s">
        <v>4587</v>
      </c>
      <c r="X557" s="12" t="s">
        <v>4588</v>
      </c>
      <c r="Y557" s="12" t="s">
        <v>6752</v>
      </c>
      <c r="Z557" s="12">
        <v>3</v>
      </c>
      <c r="AA557" s="12" t="s">
        <v>55</v>
      </c>
      <c r="AB557" s="12" t="s">
        <v>6753</v>
      </c>
      <c r="AC557" s="12" t="s">
        <v>6293</v>
      </c>
      <c r="AD557" s="12" t="s">
        <v>86</v>
      </c>
      <c r="AE557" s="12">
        <v>2835000</v>
      </c>
      <c r="AF557" s="13">
        <v>49613</v>
      </c>
      <c r="AG557" s="12"/>
      <c r="AH557" s="12"/>
      <c r="AI557" s="12"/>
      <c r="AJ557" s="17" t="s">
        <v>11998</v>
      </c>
      <c r="AK557" s="13">
        <v>49613</v>
      </c>
      <c r="AL557" s="13"/>
      <c r="AM557" s="14">
        <f t="shared" si="8"/>
        <v>0</v>
      </c>
      <c r="AN557" s="12" t="s">
        <v>12004</v>
      </c>
    </row>
    <row r="558" spans="1:40" x14ac:dyDescent="0.25">
      <c r="A558" s="8">
        <v>557</v>
      </c>
      <c r="B558" s="9" t="s">
        <v>35</v>
      </c>
      <c r="C558" s="9" t="s">
        <v>6754</v>
      </c>
      <c r="D558" s="9" t="s">
        <v>37</v>
      </c>
      <c r="E558" s="9" t="s">
        <v>6755</v>
      </c>
      <c r="F558" s="9" t="s">
        <v>138</v>
      </c>
      <c r="G558" s="9" t="s">
        <v>6756</v>
      </c>
      <c r="H558" s="9" t="s">
        <v>6757</v>
      </c>
      <c r="I558" s="9" t="s">
        <v>6757</v>
      </c>
      <c r="J558" s="9" t="s">
        <v>141</v>
      </c>
      <c r="K558" s="9" t="s">
        <v>6758</v>
      </c>
      <c r="L558" s="9">
        <v>1435000</v>
      </c>
      <c r="M558" s="9">
        <v>2050000</v>
      </c>
      <c r="N558" s="9" t="s">
        <v>6759</v>
      </c>
      <c r="O558" s="9" t="s">
        <v>6748</v>
      </c>
      <c r="P558" s="9" t="s">
        <v>6760</v>
      </c>
      <c r="Q558" s="9" t="s">
        <v>6761</v>
      </c>
      <c r="R558" s="9" t="s">
        <v>146</v>
      </c>
      <c r="S558" s="9" t="s">
        <v>6762</v>
      </c>
      <c r="T558" s="9" t="s">
        <v>1909</v>
      </c>
      <c r="U558" s="9" t="s">
        <v>496</v>
      </c>
      <c r="V558" s="10">
        <v>45271</v>
      </c>
      <c r="W558" s="9" t="s">
        <v>6293</v>
      </c>
      <c r="X558" s="9" t="s">
        <v>6578</v>
      </c>
      <c r="Y558" s="9" t="s">
        <v>6763</v>
      </c>
      <c r="Z558" s="9">
        <v>5</v>
      </c>
      <c r="AA558" s="9" t="s">
        <v>55</v>
      </c>
      <c r="AB558" s="9" t="s">
        <v>6764</v>
      </c>
      <c r="AC558" s="9" t="s">
        <v>6293</v>
      </c>
      <c r="AD558" s="9" t="s">
        <v>86</v>
      </c>
      <c r="AE558" s="9">
        <v>1845000</v>
      </c>
      <c r="AF558" s="11">
        <v>32288</v>
      </c>
      <c r="AG558" s="9"/>
      <c r="AH558" s="9"/>
      <c r="AI558" s="9"/>
      <c r="AJ558" s="12" t="s">
        <v>11931</v>
      </c>
      <c r="AK558" s="13">
        <v>32288</v>
      </c>
      <c r="AL558" s="13"/>
      <c r="AM558" s="14">
        <f t="shared" si="8"/>
        <v>0</v>
      </c>
      <c r="AN558" s="12" t="s">
        <v>12004</v>
      </c>
    </row>
    <row r="559" spans="1:40" x14ac:dyDescent="0.25">
      <c r="A559" s="15">
        <v>558</v>
      </c>
      <c r="B559" s="12" t="s">
        <v>35</v>
      </c>
      <c r="C559" s="12" t="s">
        <v>6765</v>
      </c>
      <c r="D559" s="12" t="s">
        <v>37</v>
      </c>
      <c r="E559" s="12" t="s">
        <v>6766</v>
      </c>
      <c r="F559" s="12" t="s">
        <v>107</v>
      </c>
      <c r="G559" s="12" t="s">
        <v>6767</v>
      </c>
      <c r="H559" s="12" t="s">
        <v>6768</v>
      </c>
      <c r="I559" s="12" t="s">
        <v>6768</v>
      </c>
      <c r="J559" s="12" t="s">
        <v>6768</v>
      </c>
      <c r="K559" s="12" t="s">
        <v>6769</v>
      </c>
      <c r="L559" s="12">
        <v>737500</v>
      </c>
      <c r="M559" s="12">
        <v>1475000</v>
      </c>
      <c r="N559" s="12" t="s">
        <v>6770</v>
      </c>
      <c r="O559" s="16">
        <v>45627</v>
      </c>
      <c r="P559" s="12" t="s">
        <v>6771</v>
      </c>
      <c r="Q559" s="12" t="s">
        <v>6772</v>
      </c>
      <c r="R559" s="12" t="s">
        <v>47</v>
      </c>
      <c r="S559" s="12" t="s">
        <v>48</v>
      </c>
      <c r="T559" s="12" t="s">
        <v>1384</v>
      </c>
      <c r="U559" s="12" t="s">
        <v>148</v>
      </c>
      <c r="V559" s="16">
        <v>44711</v>
      </c>
      <c r="W559" s="12" t="s">
        <v>6737</v>
      </c>
      <c r="X559" s="12" t="s">
        <v>3831</v>
      </c>
      <c r="Y559" s="12" t="s">
        <v>6773</v>
      </c>
      <c r="Z559" s="12">
        <v>3</v>
      </c>
      <c r="AA559" s="12" t="s">
        <v>227</v>
      </c>
      <c r="AB559" s="12" t="s">
        <v>6774</v>
      </c>
      <c r="AC559" s="12" t="s">
        <v>6740</v>
      </c>
      <c r="AD559" s="12" t="s">
        <v>58</v>
      </c>
      <c r="AE559" s="12">
        <v>1253750</v>
      </c>
      <c r="AF559" s="13">
        <v>25075</v>
      </c>
      <c r="AG559" s="12"/>
      <c r="AH559" s="12"/>
      <c r="AI559" s="12"/>
      <c r="AJ559" s="12" t="s">
        <v>11932</v>
      </c>
      <c r="AK559" s="13">
        <v>25075</v>
      </c>
      <c r="AL559" s="13"/>
      <c r="AM559" s="14">
        <f t="shared" si="8"/>
        <v>0</v>
      </c>
      <c r="AN559" s="12" t="s">
        <v>12004</v>
      </c>
    </row>
    <row r="560" spans="1:40" x14ac:dyDescent="0.25">
      <c r="A560" s="8">
        <v>559</v>
      </c>
      <c r="B560" s="9" t="s">
        <v>35</v>
      </c>
      <c r="C560" s="9" t="s">
        <v>6775</v>
      </c>
      <c r="D560" s="9" t="s">
        <v>37</v>
      </c>
      <c r="E560" s="9" t="s">
        <v>655</v>
      </c>
      <c r="F560" s="9" t="s">
        <v>107</v>
      </c>
      <c r="G560" s="9" t="s">
        <v>6776</v>
      </c>
      <c r="H560" s="9" t="s">
        <v>48</v>
      </c>
      <c r="I560" s="9" t="s">
        <v>6777</v>
      </c>
      <c r="J560" s="9" t="s">
        <v>48</v>
      </c>
      <c r="K560" s="9" t="s">
        <v>6778</v>
      </c>
      <c r="L560" s="9">
        <v>866500</v>
      </c>
      <c r="M560" s="9">
        <v>1733000</v>
      </c>
      <c r="N560" s="9" t="s">
        <v>6779</v>
      </c>
      <c r="O560" s="10">
        <v>45627</v>
      </c>
      <c r="P560" s="9" t="s">
        <v>6780</v>
      </c>
      <c r="Q560" s="9" t="s">
        <v>6781</v>
      </c>
      <c r="R560" s="9" t="s">
        <v>47</v>
      </c>
      <c r="S560" s="9" t="s">
        <v>48</v>
      </c>
      <c r="T560" s="9" t="s">
        <v>194</v>
      </c>
      <c r="U560" s="9" t="s">
        <v>148</v>
      </c>
      <c r="V560" s="10">
        <v>44721</v>
      </c>
      <c r="W560" s="9" t="s">
        <v>6737</v>
      </c>
      <c r="X560" s="9" t="s">
        <v>6444</v>
      </c>
      <c r="Y560" s="9" t="s">
        <v>6782</v>
      </c>
      <c r="Z560" s="9">
        <v>5</v>
      </c>
      <c r="AA560" s="9" t="s">
        <v>227</v>
      </c>
      <c r="AB560" s="9" t="s">
        <v>6783</v>
      </c>
      <c r="AC560" s="9" t="s">
        <v>6740</v>
      </c>
      <c r="AD560" s="9" t="s">
        <v>58</v>
      </c>
      <c r="AE560" s="9">
        <v>1473050</v>
      </c>
      <c r="AF560" s="11">
        <v>29461</v>
      </c>
      <c r="AG560" s="9"/>
      <c r="AH560" s="9"/>
      <c r="AI560" s="9"/>
      <c r="AJ560" s="12" t="s">
        <v>11933</v>
      </c>
      <c r="AK560" s="13">
        <v>29461</v>
      </c>
      <c r="AL560" s="13"/>
      <c r="AM560" s="14">
        <f t="shared" si="8"/>
        <v>0</v>
      </c>
      <c r="AN560" s="12" t="s">
        <v>12004</v>
      </c>
    </row>
    <row r="561" spans="1:40" x14ac:dyDescent="0.25">
      <c r="A561" s="15">
        <v>560</v>
      </c>
      <c r="B561" s="12" t="s">
        <v>35</v>
      </c>
      <c r="C561" s="12" t="s">
        <v>6784</v>
      </c>
      <c r="D561" s="12" t="s">
        <v>37</v>
      </c>
      <c r="E561" s="12" t="s">
        <v>6785</v>
      </c>
      <c r="F561" s="12" t="s">
        <v>245</v>
      </c>
      <c r="G561" s="12" t="s">
        <v>6786</v>
      </c>
      <c r="H561" s="12" t="s">
        <v>6787</v>
      </c>
      <c r="I561" s="12" t="s">
        <v>48</v>
      </c>
      <c r="J561" s="12" t="s">
        <v>6787</v>
      </c>
      <c r="K561" s="12" t="s">
        <v>6788</v>
      </c>
      <c r="L561" s="12">
        <v>2273250</v>
      </c>
      <c r="M561" s="12">
        <v>7577500</v>
      </c>
      <c r="N561" s="12" t="s">
        <v>6789</v>
      </c>
      <c r="O561" s="16">
        <v>45633</v>
      </c>
      <c r="P561" s="12" t="s">
        <v>6790</v>
      </c>
      <c r="Q561" s="12" t="s">
        <v>6791</v>
      </c>
      <c r="R561" s="12" t="s">
        <v>47</v>
      </c>
      <c r="S561" s="12" t="s">
        <v>48</v>
      </c>
      <c r="T561" s="12" t="s">
        <v>6792</v>
      </c>
      <c r="U561" s="12" t="s">
        <v>148</v>
      </c>
      <c r="V561" s="16">
        <v>44893</v>
      </c>
      <c r="W561" s="12" t="s">
        <v>5621</v>
      </c>
      <c r="X561" s="12" t="s">
        <v>5267</v>
      </c>
      <c r="Y561" s="12" t="s">
        <v>6793</v>
      </c>
      <c r="Z561" s="12">
        <v>3</v>
      </c>
      <c r="AA561" s="12" t="s">
        <v>323</v>
      </c>
      <c r="AB561" s="12" t="s">
        <v>6794</v>
      </c>
      <c r="AC561" s="12" t="s">
        <v>6624</v>
      </c>
      <c r="AD561" s="12" t="s">
        <v>58</v>
      </c>
      <c r="AE561" s="12">
        <v>6440875</v>
      </c>
      <c r="AF561" s="13">
        <v>128818</v>
      </c>
      <c r="AG561" s="12"/>
      <c r="AH561" s="12"/>
      <c r="AI561" s="12"/>
      <c r="AJ561" s="12" t="s">
        <v>11934</v>
      </c>
      <c r="AK561" s="13">
        <v>128818</v>
      </c>
      <c r="AL561" s="13"/>
      <c r="AM561" s="14">
        <f t="shared" si="8"/>
        <v>0</v>
      </c>
      <c r="AN561" s="12" t="s">
        <v>12004</v>
      </c>
    </row>
    <row r="562" spans="1:40" x14ac:dyDescent="0.25">
      <c r="A562" s="8">
        <v>561</v>
      </c>
      <c r="B562" s="9" t="s">
        <v>35</v>
      </c>
      <c r="C562" s="9" t="s">
        <v>6795</v>
      </c>
      <c r="D562" s="9" t="s">
        <v>37</v>
      </c>
      <c r="E562" s="9" t="s">
        <v>6796</v>
      </c>
      <c r="F562" s="9" t="s">
        <v>107</v>
      </c>
      <c r="G562" s="9" t="s">
        <v>6797</v>
      </c>
      <c r="H562" s="9" t="s">
        <v>6798</v>
      </c>
      <c r="I562" s="9" t="s">
        <v>6798</v>
      </c>
      <c r="J562" s="9" t="s">
        <v>6798</v>
      </c>
      <c r="K562" s="9" t="s">
        <v>6799</v>
      </c>
      <c r="L562" s="9">
        <v>2851380</v>
      </c>
      <c r="M562" s="9">
        <v>4599000</v>
      </c>
      <c r="N562" s="9" t="s">
        <v>6800</v>
      </c>
      <c r="O562" s="10">
        <v>45633</v>
      </c>
      <c r="P562" s="9" t="s">
        <v>6801</v>
      </c>
      <c r="Q562" s="9" t="s">
        <v>6802</v>
      </c>
      <c r="R562" s="9" t="s">
        <v>47</v>
      </c>
      <c r="S562" s="9" t="s">
        <v>48</v>
      </c>
      <c r="T562" s="9" t="s">
        <v>6803</v>
      </c>
      <c r="U562" s="9" t="s">
        <v>148</v>
      </c>
      <c r="V562" s="10">
        <v>44746</v>
      </c>
      <c r="W562" s="9" t="s">
        <v>5621</v>
      </c>
      <c r="X562" s="9" t="s">
        <v>5267</v>
      </c>
      <c r="Y562" s="9" t="s">
        <v>6804</v>
      </c>
      <c r="Z562" s="9">
        <v>3</v>
      </c>
      <c r="AA562" s="9" t="s">
        <v>152</v>
      </c>
      <c r="AB562" s="9" t="s">
        <v>6805</v>
      </c>
      <c r="AC562" s="9" t="s">
        <v>6624</v>
      </c>
      <c r="AD562" s="9" t="s">
        <v>58</v>
      </c>
      <c r="AE562" s="9">
        <v>3909150</v>
      </c>
      <c r="AF562" s="11">
        <v>78183</v>
      </c>
      <c r="AG562" s="9"/>
      <c r="AH562" s="9"/>
      <c r="AI562" s="9"/>
      <c r="AJ562" s="12" t="s">
        <v>11935</v>
      </c>
      <c r="AK562" s="13">
        <v>78183</v>
      </c>
      <c r="AL562" s="13"/>
      <c r="AM562" s="14">
        <f t="shared" si="8"/>
        <v>0</v>
      </c>
      <c r="AN562" s="12" t="s">
        <v>12004</v>
      </c>
    </row>
    <row r="563" spans="1:40" x14ac:dyDescent="0.25">
      <c r="A563" s="15">
        <v>562</v>
      </c>
      <c r="B563" s="12" t="s">
        <v>35</v>
      </c>
      <c r="C563" s="12" t="s">
        <v>6806</v>
      </c>
      <c r="D563" s="12" t="s">
        <v>37</v>
      </c>
      <c r="E563" s="12" t="s">
        <v>6807</v>
      </c>
      <c r="F563" s="12" t="s">
        <v>39</v>
      </c>
      <c r="G563" s="12" t="s">
        <v>6808</v>
      </c>
      <c r="H563" s="12" t="s">
        <v>6809</v>
      </c>
      <c r="I563" s="12" t="s">
        <v>6810</v>
      </c>
      <c r="J563" s="12" t="s">
        <v>6811</v>
      </c>
      <c r="K563" s="12" t="s">
        <v>6812</v>
      </c>
      <c r="L563" s="12">
        <v>1658350</v>
      </c>
      <c r="M563" s="12">
        <v>1951000</v>
      </c>
      <c r="N563" s="12" t="s">
        <v>6813</v>
      </c>
      <c r="O563" s="16">
        <v>45627</v>
      </c>
      <c r="P563" s="12" t="s">
        <v>6814</v>
      </c>
      <c r="Q563" s="12" t="s">
        <v>6815</v>
      </c>
      <c r="R563" s="12" t="s">
        <v>47</v>
      </c>
      <c r="S563" s="12" t="s">
        <v>48</v>
      </c>
      <c r="T563" s="12" t="s">
        <v>613</v>
      </c>
      <c r="U563" s="12" t="s">
        <v>148</v>
      </c>
      <c r="V563" s="16">
        <v>44708</v>
      </c>
      <c r="W563" s="12" t="s">
        <v>6737</v>
      </c>
      <c r="X563" s="12" t="s">
        <v>6444</v>
      </c>
      <c r="Y563" s="12" t="s">
        <v>6816</v>
      </c>
      <c r="Z563" s="12">
        <v>5</v>
      </c>
      <c r="AA563" s="12" t="s">
        <v>227</v>
      </c>
      <c r="AB563" s="12" t="s">
        <v>6817</v>
      </c>
      <c r="AC563" s="12" t="s">
        <v>6740</v>
      </c>
      <c r="AD563" s="12" t="s">
        <v>58</v>
      </c>
      <c r="AE563" s="12">
        <v>1658350</v>
      </c>
      <c r="AF563" s="13">
        <v>33167</v>
      </c>
      <c r="AG563" s="12"/>
      <c r="AH563" s="12"/>
      <c r="AI563" s="12"/>
      <c r="AJ563" s="12" t="s">
        <v>11936</v>
      </c>
      <c r="AK563" s="13">
        <v>33167</v>
      </c>
      <c r="AL563" s="13"/>
      <c r="AM563" s="14">
        <f t="shared" si="8"/>
        <v>0</v>
      </c>
      <c r="AN563" s="12" t="s">
        <v>12004</v>
      </c>
    </row>
    <row r="564" spans="1:40" x14ac:dyDescent="0.25">
      <c r="A564" s="8">
        <v>563</v>
      </c>
      <c r="B564" s="9" t="s">
        <v>35</v>
      </c>
      <c r="C564" s="9" t="s">
        <v>6818</v>
      </c>
      <c r="D564" s="9" t="s">
        <v>37</v>
      </c>
      <c r="E564" s="9" t="s">
        <v>6819</v>
      </c>
      <c r="F564" s="9" t="s">
        <v>89</v>
      </c>
      <c r="G564" s="9" t="s">
        <v>6820</v>
      </c>
      <c r="H564" s="9" t="s">
        <v>1505</v>
      </c>
      <c r="I564" s="9" t="s">
        <v>6821</v>
      </c>
      <c r="J564" s="9" t="s">
        <v>6822</v>
      </c>
      <c r="K564" s="9" t="s">
        <v>6823</v>
      </c>
      <c r="L564" s="9">
        <v>6397300</v>
      </c>
      <c r="M564" s="9">
        <v>9139000</v>
      </c>
      <c r="N564" s="9" t="s">
        <v>6824</v>
      </c>
      <c r="O564" s="10">
        <v>45633</v>
      </c>
      <c r="P564" s="9" t="s">
        <v>6825</v>
      </c>
      <c r="Q564" s="9" t="s">
        <v>6826</v>
      </c>
      <c r="R564" s="9" t="s">
        <v>47</v>
      </c>
      <c r="S564" s="9" t="s">
        <v>48</v>
      </c>
      <c r="T564" s="9" t="s">
        <v>1696</v>
      </c>
      <c r="U564" s="9" t="s">
        <v>98</v>
      </c>
      <c r="V564" s="10">
        <v>44064</v>
      </c>
      <c r="W564" s="9" t="s">
        <v>5266</v>
      </c>
      <c r="X564" s="9" t="s">
        <v>5267</v>
      </c>
      <c r="Y564" s="9" t="s">
        <v>6827</v>
      </c>
      <c r="Z564" s="9">
        <v>5</v>
      </c>
      <c r="AA564" s="9" t="s">
        <v>227</v>
      </c>
      <c r="AB564" s="9" t="s">
        <v>6828</v>
      </c>
      <c r="AC564" s="9" t="s">
        <v>6829</v>
      </c>
      <c r="AD564" s="9" t="s">
        <v>299</v>
      </c>
      <c r="AE564" s="9">
        <v>6854250</v>
      </c>
      <c r="AF564" s="11">
        <v>102814</v>
      </c>
      <c r="AG564" s="9"/>
      <c r="AH564" s="9"/>
      <c r="AI564" s="9"/>
      <c r="AJ564" s="17" t="s">
        <v>11999</v>
      </c>
      <c r="AK564" s="13">
        <v>102814</v>
      </c>
      <c r="AL564" s="13"/>
      <c r="AM564" s="14">
        <f t="shared" si="8"/>
        <v>0</v>
      </c>
      <c r="AN564" s="12" t="s">
        <v>12004</v>
      </c>
    </row>
    <row r="565" spans="1:40" x14ac:dyDescent="0.25">
      <c r="A565" s="15">
        <v>564</v>
      </c>
      <c r="B565" s="12" t="s">
        <v>35</v>
      </c>
      <c r="C565" s="12" t="s">
        <v>6830</v>
      </c>
      <c r="D565" s="12" t="s">
        <v>37</v>
      </c>
      <c r="E565" s="12" t="s">
        <v>6831</v>
      </c>
      <c r="F565" s="12" t="s">
        <v>107</v>
      </c>
      <c r="G565" s="12" t="s">
        <v>6832</v>
      </c>
      <c r="H565" s="12" t="s">
        <v>48</v>
      </c>
      <c r="I565" s="12" t="s">
        <v>6833</v>
      </c>
      <c r="J565" s="12" t="s">
        <v>6834</v>
      </c>
      <c r="K565" s="12" t="s">
        <v>6835</v>
      </c>
      <c r="L565" s="12">
        <v>2128500</v>
      </c>
      <c r="M565" s="12">
        <v>3870000</v>
      </c>
      <c r="N565" s="12" t="s">
        <v>6836</v>
      </c>
      <c r="O565" s="16">
        <v>45633</v>
      </c>
      <c r="P565" s="12" t="s">
        <v>6837</v>
      </c>
      <c r="Q565" s="12" t="s">
        <v>6838</v>
      </c>
      <c r="R565" s="12" t="s">
        <v>47</v>
      </c>
      <c r="S565" s="12" t="s">
        <v>48</v>
      </c>
      <c r="T565" s="12" t="s">
        <v>1065</v>
      </c>
      <c r="U565" s="12" t="s">
        <v>50</v>
      </c>
      <c r="V565" s="16">
        <v>44461</v>
      </c>
      <c r="W565" s="12" t="s">
        <v>6483</v>
      </c>
      <c r="X565" s="12" t="s">
        <v>6578</v>
      </c>
      <c r="Y565" s="12" t="s">
        <v>6839</v>
      </c>
      <c r="Z565" s="12">
        <v>7</v>
      </c>
      <c r="AA565" s="12" t="s">
        <v>55</v>
      </c>
      <c r="AB565" s="12" t="s">
        <v>6840</v>
      </c>
      <c r="AC565" s="12" t="s">
        <v>6841</v>
      </c>
      <c r="AD565" s="12" t="s">
        <v>58</v>
      </c>
      <c r="AE565" s="12">
        <v>3096000</v>
      </c>
      <c r="AF565" s="13">
        <v>61920</v>
      </c>
      <c r="AG565" s="12"/>
      <c r="AH565" s="12"/>
      <c r="AI565" s="12"/>
      <c r="AJ565" s="12" t="s">
        <v>11937</v>
      </c>
      <c r="AK565" s="13">
        <v>61920</v>
      </c>
      <c r="AL565" s="13"/>
      <c r="AM565" s="14">
        <f t="shared" si="8"/>
        <v>0</v>
      </c>
      <c r="AN565" s="12" t="s">
        <v>12004</v>
      </c>
    </row>
    <row r="566" spans="1:40" x14ac:dyDescent="0.25">
      <c r="A566" s="8">
        <v>565</v>
      </c>
      <c r="B566" s="9" t="s">
        <v>35</v>
      </c>
      <c r="C566" s="9" t="s">
        <v>6842</v>
      </c>
      <c r="D566" s="9" t="s">
        <v>37</v>
      </c>
      <c r="E566" s="9" t="s">
        <v>6843</v>
      </c>
      <c r="F566" s="9" t="s">
        <v>107</v>
      </c>
      <c r="G566" s="9" t="s">
        <v>6844</v>
      </c>
      <c r="H566" s="9" t="s">
        <v>6845</v>
      </c>
      <c r="I566" s="9" t="s">
        <v>6845</v>
      </c>
      <c r="J566" s="9" t="s">
        <v>6846</v>
      </c>
      <c r="K566" s="9" t="s">
        <v>6847</v>
      </c>
      <c r="L566" s="9">
        <v>1767500</v>
      </c>
      <c r="M566" s="9">
        <v>2525000</v>
      </c>
      <c r="N566" s="9" t="s">
        <v>6848</v>
      </c>
      <c r="O566" s="10">
        <v>45633</v>
      </c>
      <c r="P566" s="9" t="s">
        <v>6849</v>
      </c>
      <c r="Q566" s="9" t="s">
        <v>6850</v>
      </c>
      <c r="R566" s="9" t="s">
        <v>47</v>
      </c>
      <c r="S566" s="9" t="s">
        <v>6851</v>
      </c>
      <c r="T566" s="9" t="s">
        <v>3817</v>
      </c>
      <c r="U566" s="9" t="s">
        <v>496</v>
      </c>
      <c r="V566" s="10">
        <v>44175</v>
      </c>
      <c r="W566" s="9" t="s">
        <v>3830</v>
      </c>
      <c r="X566" s="9" t="s">
        <v>3831</v>
      </c>
      <c r="Y566" s="9" t="s">
        <v>6852</v>
      </c>
      <c r="Z566" s="9">
        <v>5</v>
      </c>
      <c r="AA566" s="9" t="s">
        <v>227</v>
      </c>
      <c r="AB566" s="9" t="s">
        <v>6853</v>
      </c>
      <c r="AC566" s="9" t="s">
        <v>6854</v>
      </c>
      <c r="AD566" s="9" t="s">
        <v>58</v>
      </c>
      <c r="AE566" s="9">
        <v>1893750</v>
      </c>
      <c r="AF566" s="11">
        <v>37875</v>
      </c>
      <c r="AG566" s="9"/>
      <c r="AH566" s="9"/>
      <c r="AI566" s="9"/>
      <c r="AJ566" s="12" t="s">
        <v>11938</v>
      </c>
      <c r="AK566" s="13">
        <v>37875</v>
      </c>
      <c r="AL566" s="13"/>
      <c r="AM566" s="14">
        <f t="shared" si="8"/>
        <v>0</v>
      </c>
      <c r="AN566" s="12" t="s">
        <v>12004</v>
      </c>
    </row>
    <row r="567" spans="1:40" x14ac:dyDescent="0.25">
      <c r="A567" s="15">
        <v>566</v>
      </c>
      <c r="B567" s="12" t="s">
        <v>35</v>
      </c>
      <c r="C567" s="12" t="s">
        <v>6855</v>
      </c>
      <c r="D567" s="12" t="s">
        <v>37</v>
      </c>
      <c r="E567" s="12" t="s">
        <v>6856</v>
      </c>
      <c r="F567" s="12" t="s">
        <v>138</v>
      </c>
      <c r="G567" s="12" t="s">
        <v>6857</v>
      </c>
      <c r="H567" s="12" t="s">
        <v>6858</v>
      </c>
      <c r="I567" s="12" t="s">
        <v>6858</v>
      </c>
      <c r="J567" s="12" t="s">
        <v>141</v>
      </c>
      <c r="K567" s="12" t="s">
        <v>6859</v>
      </c>
      <c r="L567" s="12">
        <v>1437800</v>
      </c>
      <c r="M567" s="12">
        <v>2054000</v>
      </c>
      <c r="N567" s="12" t="s">
        <v>6860</v>
      </c>
      <c r="O567" s="16">
        <v>45633</v>
      </c>
      <c r="P567" s="12" t="s">
        <v>6861</v>
      </c>
      <c r="Q567" s="12" t="s">
        <v>6862</v>
      </c>
      <c r="R567" s="12" t="s">
        <v>47</v>
      </c>
      <c r="S567" s="12" t="s">
        <v>48</v>
      </c>
      <c r="T567" s="12" t="s">
        <v>6863</v>
      </c>
      <c r="U567" s="12" t="s">
        <v>50</v>
      </c>
      <c r="V567" s="16">
        <v>44287</v>
      </c>
      <c r="W567" s="12" t="s">
        <v>6483</v>
      </c>
      <c r="X567" s="12" t="s">
        <v>6431</v>
      </c>
      <c r="Y567" s="12" t="s">
        <v>6864</v>
      </c>
      <c r="Z567" s="12">
        <v>5</v>
      </c>
      <c r="AA567" s="12" t="s">
        <v>55</v>
      </c>
      <c r="AB567" s="12" t="s">
        <v>6865</v>
      </c>
      <c r="AC567" s="12" t="s">
        <v>6841</v>
      </c>
      <c r="AD567" s="12" t="s">
        <v>58</v>
      </c>
      <c r="AE567" s="12">
        <v>1643200</v>
      </c>
      <c r="AF567" s="13">
        <v>32864</v>
      </c>
      <c r="AG567" s="12"/>
      <c r="AH567" s="12"/>
      <c r="AI567" s="12"/>
      <c r="AJ567" s="12" t="s">
        <v>11939</v>
      </c>
      <c r="AK567" s="13">
        <v>32864</v>
      </c>
      <c r="AL567" s="13"/>
      <c r="AM567" s="14">
        <f t="shared" si="8"/>
        <v>0</v>
      </c>
      <c r="AN567" s="12" t="s">
        <v>12004</v>
      </c>
    </row>
    <row r="568" spans="1:40" x14ac:dyDescent="0.25">
      <c r="A568" s="8">
        <v>567</v>
      </c>
      <c r="B568" s="9" t="s">
        <v>35</v>
      </c>
      <c r="C568" s="9" t="s">
        <v>6866</v>
      </c>
      <c r="D568" s="9" t="s">
        <v>37</v>
      </c>
      <c r="E568" s="9" t="s">
        <v>6867</v>
      </c>
      <c r="F568" s="9" t="s">
        <v>107</v>
      </c>
      <c r="G568" s="9" t="s">
        <v>6868</v>
      </c>
      <c r="H568" s="9" t="s">
        <v>6869</v>
      </c>
      <c r="I568" s="9" t="s">
        <v>6869</v>
      </c>
      <c r="J568" s="9" t="s">
        <v>6869</v>
      </c>
      <c r="K568" s="9" t="s">
        <v>6870</v>
      </c>
      <c r="L568" s="9">
        <v>1288000</v>
      </c>
      <c r="M568" s="9">
        <v>1610000</v>
      </c>
      <c r="N568" s="9" t="s">
        <v>6871</v>
      </c>
      <c r="O568" s="10">
        <v>45633</v>
      </c>
      <c r="P568" s="9" t="s">
        <v>6872</v>
      </c>
      <c r="Q568" s="9" t="s">
        <v>6873</v>
      </c>
      <c r="R568" s="9" t="s">
        <v>47</v>
      </c>
      <c r="S568" s="9" t="s">
        <v>48</v>
      </c>
      <c r="T568" s="9" t="s">
        <v>3356</v>
      </c>
      <c r="U568" s="9" t="s">
        <v>50</v>
      </c>
      <c r="V568" s="10">
        <v>44438</v>
      </c>
      <c r="W568" s="9" t="s">
        <v>6483</v>
      </c>
      <c r="X568" s="9" t="s">
        <v>6431</v>
      </c>
      <c r="Y568" s="9" t="s">
        <v>6874</v>
      </c>
      <c r="Z568" s="9">
        <v>5</v>
      </c>
      <c r="AA568" s="9" t="s">
        <v>55</v>
      </c>
      <c r="AB568" s="9" t="s">
        <v>6875</v>
      </c>
      <c r="AC568" s="9" t="s">
        <v>6841</v>
      </c>
      <c r="AD568" s="9" t="s">
        <v>58</v>
      </c>
      <c r="AE568" s="9">
        <v>1288000</v>
      </c>
      <c r="AF568" s="11">
        <v>25760</v>
      </c>
      <c r="AG568" s="9"/>
      <c r="AH568" s="9"/>
      <c r="AI568" s="9"/>
      <c r="AJ568" s="12" t="s">
        <v>11940</v>
      </c>
      <c r="AK568" s="13">
        <v>25760</v>
      </c>
      <c r="AL568" s="13"/>
      <c r="AM568" s="14">
        <f t="shared" si="8"/>
        <v>0</v>
      </c>
      <c r="AN568" s="12" t="s">
        <v>12004</v>
      </c>
    </row>
    <row r="569" spans="1:40" x14ac:dyDescent="0.25">
      <c r="A569" s="15">
        <v>568</v>
      </c>
      <c r="B569" s="12" t="s">
        <v>35</v>
      </c>
      <c r="C569" s="12" t="s">
        <v>6876</v>
      </c>
      <c r="D569" s="12" t="s">
        <v>37</v>
      </c>
      <c r="E569" s="12" t="s">
        <v>6877</v>
      </c>
      <c r="F569" s="12" t="s">
        <v>851</v>
      </c>
      <c r="G569" s="12" t="s">
        <v>6878</v>
      </c>
      <c r="H569" s="12" t="s">
        <v>6879</v>
      </c>
      <c r="I569" s="12" t="s">
        <v>6879</v>
      </c>
      <c r="J569" s="12" t="s">
        <v>6879</v>
      </c>
      <c r="K569" s="12" t="s">
        <v>6880</v>
      </c>
      <c r="L569" s="12">
        <v>993000</v>
      </c>
      <c r="M569" s="12">
        <v>1655000</v>
      </c>
      <c r="N569" s="12" t="s">
        <v>6881</v>
      </c>
      <c r="O569" s="16">
        <v>45628</v>
      </c>
      <c r="P569" s="12" t="s">
        <v>6882</v>
      </c>
      <c r="Q569" s="12" t="s">
        <v>6883</v>
      </c>
      <c r="R569" s="12" t="s">
        <v>47</v>
      </c>
      <c r="S569" s="12" t="s">
        <v>48</v>
      </c>
      <c r="T569" s="12" t="s">
        <v>2195</v>
      </c>
      <c r="U569" s="12" t="s">
        <v>50</v>
      </c>
      <c r="V569" s="16">
        <v>44404</v>
      </c>
      <c r="W569" s="12" t="s">
        <v>6483</v>
      </c>
      <c r="X569" s="12" t="s">
        <v>6431</v>
      </c>
      <c r="Y569" s="12" t="s">
        <v>6884</v>
      </c>
      <c r="Z569" s="12">
        <v>5</v>
      </c>
      <c r="AA569" s="12" t="s">
        <v>118</v>
      </c>
      <c r="AB569" s="12" t="s">
        <v>6885</v>
      </c>
      <c r="AC569" s="12" t="s">
        <v>132</v>
      </c>
      <c r="AD569" s="12" t="s">
        <v>58</v>
      </c>
      <c r="AE569" s="12">
        <v>1324000</v>
      </c>
      <c r="AF569" s="13">
        <v>26480</v>
      </c>
      <c r="AG569" s="12"/>
      <c r="AH569" s="12"/>
      <c r="AI569" s="12"/>
      <c r="AJ569" s="12" t="s">
        <v>11941</v>
      </c>
      <c r="AK569" s="13">
        <v>26480</v>
      </c>
      <c r="AL569" s="13"/>
      <c r="AM569" s="14">
        <f t="shared" si="8"/>
        <v>0</v>
      </c>
      <c r="AN569" s="12" t="s">
        <v>12004</v>
      </c>
    </row>
    <row r="570" spans="1:40" x14ac:dyDescent="0.25">
      <c r="A570" s="8">
        <v>569</v>
      </c>
      <c r="B570" s="9" t="s">
        <v>35</v>
      </c>
      <c r="C570" s="9" t="s">
        <v>6886</v>
      </c>
      <c r="D570" s="9" t="s">
        <v>37</v>
      </c>
      <c r="E570" s="9" t="s">
        <v>6887</v>
      </c>
      <c r="F570" s="9" t="s">
        <v>138</v>
      </c>
      <c r="G570" s="9" t="s">
        <v>6888</v>
      </c>
      <c r="H570" s="9" t="s">
        <v>6889</v>
      </c>
      <c r="I570" s="9" t="s">
        <v>6890</v>
      </c>
      <c r="J570" s="9" t="s">
        <v>6891</v>
      </c>
      <c r="K570" s="9" t="s">
        <v>6892</v>
      </c>
      <c r="L570" s="9">
        <v>1470600</v>
      </c>
      <c r="M570" s="9">
        <v>2580000</v>
      </c>
      <c r="N570" s="9" t="s">
        <v>6893</v>
      </c>
      <c r="O570" s="10">
        <v>45628</v>
      </c>
      <c r="P570" s="9" t="s">
        <v>6894</v>
      </c>
      <c r="Q570" s="9" t="s">
        <v>6895</v>
      </c>
      <c r="R570" s="9" t="s">
        <v>146</v>
      </c>
      <c r="S570" s="9" t="s">
        <v>6896</v>
      </c>
      <c r="T570" s="9" t="s">
        <v>6897</v>
      </c>
      <c r="U570" s="9" t="s">
        <v>614</v>
      </c>
      <c r="V570" s="10">
        <v>44173</v>
      </c>
      <c r="W570" s="9" t="s">
        <v>3830</v>
      </c>
      <c r="X570" s="9" t="s">
        <v>3831</v>
      </c>
      <c r="Y570" s="9" t="s">
        <v>6898</v>
      </c>
      <c r="Z570" s="9">
        <v>5</v>
      </c>
      <c r="AA570" s="9" t="s">
        <v>227</v>
      </c>
      <c r="AB570" s="9" t="s">
        <v>6899</v>
      </c>
      <c r="AC570" s="9" t="s">
        <v>6900</v>
      </c>
      <c r="AD570" s="9" t="s">
        <v>58</v>
      </c>
      <c r="AE570" s="9">
        <v>1935000</v>
      </c>
      <c r="AF570" s="11">
        <v>38700</v>
      </c>
      <c r="AG570" s="9"/>
      <c r="AH570" s="9"/>
      <c r="AI570" s="9"/>
      <c r="AJ570" s="12" t="s">
        <v>11942</v>
      </c>
      <c r="AK570" s="13">
        <v>38700</v>
      </c>
      <c r="AL570" s="13"/>
      <c r="AM570" s="14">
        <f t="shared" si="8"/>
        <v>0</v>
      </c>
      <c r="AN570" s="12" t="s">
        <v>12004</v>
      </c>
    </row>
    <row r="571" spans="1:40" x14ac:dyDescent="0.25">
      <c r="A571" s="15">
        <v>570</v>
      </c>
      <c r="B571" s="12" t="s">
        <v>35</v>
      </c>
      <c r="C571" s="12" t="s">
        <v>6901</v>
      </c>
      <c r="D571" s="12" t="s">
        <v>37</v>
      </c>
      <c r="E571" s="12" t="s">
        <v>6902</v>
      </c>
      <c r="F571" s="12" t="s">
        <v>138</v>
      </c>
      <c r="G571" s="12" t="s">
        <v>6903</v>
      </c>
      <c r="H571" s="12" t="s">
        <v>48</v>
      </c>
      <c r="I571" s="12" t="s">
        <v>6904</v>
      </c>
      <c r="J571" s="12" t="s">
        <v>48</v>
      </c>
      <c r="K571" s="12" t="s">
        <v>6905</v>
      </c>
      <c r="L571" s="12">
        <v>1399300</v>
      </c>
      <c r="M571" s="12">
        <v>1999000</v>
      </c>
      <c r="N571" s="12" t="s">
        <v>6906</v>
      </c>
      <c r="O571" s="16">
        <v>45633</v>
      </c>
      <c r="P571" s="12" t="s">
        <v>6907</v>
      </c>
      <c r="Q571" s="12" t="s">
        <v>6908</v>
      </c>
      <c r="R571" s="12" t="s">
        <v>47</v>
      </c>
      <c r="S571" s="12" t="s">
        <v>48</v>
      </c>
      <c r="T571" s="12" t="s">
        <v>360</v>
      </c>
      <c r="U571" s="12" t="s">
        <v>98</v>
      </c>
      <c r="V571" s="16">
        <v>44074</v>
      </c>
      <c r="W571" s="12" t="s">
        <v>4001</v>
      </c>
      <c r="X571" s="12" t="s">
        <v>3989</v>
      </c>
      <c r="Y571" s="12" t="s">
        <v>6909</v>
      </c>
      <c r="Z571" s="12">
        <v>7</v>
      </c>
      <c r="AA571" s="12" t="s">
        <v>55</v>
      </c>
      <c r="AB571" s="12" t="s">
        <v>6910</v>
      </c>
      <c r="AC571" s="12" t="s">
        <v>532</v>
      </c>
      <c r="AD571" s="12" t="s">
        <v>58</v>
      </c>
      <c r="AE571" s="12">
        <v>1499250</v>
      </c>
      <c r="AF571" s="13">
        <v>29985</v>
      </c>
      <c r="AG571" s="12"/>
      <c r="AH571" s="12"/>
      <c r="AI571" s="12"/>
      <c r="AJ571" s="17" t="s">
        <v>12000</v>
      </c>
      <c r="AK571" s="13">
        <v>29985</v>
      </c>
      <c r="AL571" s="13"/>
      <c r="AM571" s="14">
        <f t="shared" si="8"/>
        <v>0</v>
      </c>
      <c r="AN571" s="12" t="s">
        <v>12004</v>
      </c>
    </row>
    <row r="572" spans="1:40" x14ac:dyDescent="0.25">
      <c r="A572" s="8">
        <v>571</v>
      </c>
      <c r="B572" s="9" t="s">
        <v>35</v>
      </c>
      <c r="C572" s="9" t="s">
        <v>6911</v>
      </c>
      <c r="D572" s="9" t="s">
        <v>37</v>
      </c>
      <c r="E572" s="9" t="s">
        <v>6912</v>
      </c>
      <c r="F572" s="9" t="s">
        <v>525</v>
      </c>
      <c r="G572" s="9" t="s">
        <v>6913</v>
      </c>
      <c r="H572" s="9" t="s">
        <v>6914</v>
      </c>
      <c r="I572" s="9" t="s">
        <v>6914</v>
      </c>
      <c r="J572" s="9" t="s">
        <v>6915</v>
      </c>
      <c r="K572" s="9" t="s">
        <v>6916</v>
      </c>
      <c r="L572" s="9">
        <v>1929850</v>
      </c>
      <c r="M572" s="9">
        <v>2969000</v>
      </c>
      <c r="N572" s="9" t="s">
        <v>6917</v>
      </c>
      <c r="O572" s="10">
        <v>45628</v>
      </c>
      <c r="P572" s="9" t="s">
        <v>6918</v>
      </c>
      <c r="Q572" s="9" t="s">
        <v>6919</v>
      </c>
      <c r="R572" s="9" t="s">
        <v>47</v>
      </c>
      <c r="S572" s="9" t="s">
        <v>48</v>
      </c>
      <c r="T572" s="9" t="s">
        <v>2357</v>
      </c>
      <c r="U572" s="9" t="s">
        <v>98</v>
      </c>
      <c r="V572" s="10">
        <v>44035</v>
      </c>
      <c r="W572" s="9" t="s">
        <v>3830</v>
      </c>
      <c r="X572" s="9" t="s">
        <v>3831</v>
      </c>
      <c r="Y572" s="9" t="s">
        <v>6920</v>
      </c>
      <c r="Z572" s="9">
        <v>5</v>
      </c>
      <c r="AA572" s="9" t="s">
        <v>55</v>
      </c>
      <c r="AB572" s="9" t="s">
        <v>6921</v>
      </c>
      <c r="AC572" s="9" t="s">
        <v>6611</v>
      </c>
      <c r="AD572" s="9" t="s">
        <v>58</v>
      </c>
      <c r="AE572" s="9">
        <v>2226750</v>
      </c>
      <c r="AF572" s="11">
        <v>44535</v>
      </c>
      <c r="AG572" s="9"/>
      <c r="AH572" s="9"/>
      <c r="AI572" s="9"/>
      <c r="AJ572" s="12" t="s">
        <v>11943</v>
      </c>
      <c r="AK572" s="13">
        <v>44535</v>
      </c>
      <c r="AL572" s="13"/>
      <c r="AM572" s="14">
        <f t="shared" si="8"/>
        <v>0</v>
      </c>
      <c r="AN572" s="12" t="s">
        <v>12004</v>
      </c>
    </row>
    <row r="573" spans="1:40" x14ac:dyDescent="0.25">
      <c r="A573" s="15">
        <v>572</v>
      </c>
      <c r="B573" s="12" t="s">
        <v>35</v>
      </c>
      <c r="C573" s="12" t="s">
        <v>6922</v>
      </c>
      <c r="D573" s="12" t="s">
        <v>37</v>
      </c>
      <c r="E573" s="12" t="s">
        <v>6923</v>
      </c>
      <c r="F573" s="12" t="s">
        <v>107</v>
      </c>
      <c r="G573" s="12" t="s">
        <v>6924</v>
      </c>
      <c r="H573" s="12" t="s">
        <v>6925</v>
      </c>
      <c r="I573" s="12" t="s">
        <v>6925</v>
      </c>
      <c r="J573" s="12" t="s">
        <v>6925</v>
      </c>
      <c r="K573" s="12" t="s">
        <v>6926</v>
      </c>
      <c r="L573" s="12">
        <v>1892100</v>
      </c>
      <c r="M573" s="12">
        <v>2703000</v>
      </c>
      <c r="N573" s="12" t="s">
        <v>6927</v>
      </c>
      <c r="O573" s="16">
        <v>45628</v>
      </c>
      <c r="P573" s="12" t="s">
        <v>6928</v>
      </c>
      <c r="Q573" s="12" t="s">
        <v>6929</v>
      </c>
      <c r="R573" s="12" t="s">
        <v>47</v>
      </c>
      <c r="S573" s="12" t="s">
        <v>48</v>
      </c>
      <c r="T573" s="12" t="s">
        <v>2918</v>
      </c>
      <c r="U573" s="12" t="s">
        <v>50</v>
      </c>
      <c r="V573" s="16">
        <v>44467</v>
      </c>
      <c r="W573" s="12" t="s">
        <v>6483</v>
      </c>
      <c r="X573" s="12" t="s">
        <v>6431</v>
      </c>
      <c r="Y573" s="12" t="s">
        <v>6930</v>
      </c>
      <c r="Z573" s="12">
        <v>5</v>
      </c>
      <c r="AA573" s="12" t="s">
        <v>55</v>
      </c>
      <c r="AB573" s="12" t="s">
        <v>6931</v>
      </c>
      <c r="AC573" s="12" t="s">
        <v>132</v>
      </c>
      <c r="AD573" s="12" t="s">
        <v>86</v>
      </c>
      <c r="AE573" s="12">
        <v>2162400</v>
      </c>
      <c r="AF573" s="13">
        <v>37842</v>
      </c>
      <c r="AG573" s="12"/>
      <c r="AH573" s="12"/>
      <c r="AI573" s="12"/>
      <c r="AJ573" s="12" t="s">
        <v>11944</v>
      </c>
      <c r="AK573" s="13">
        <v>37842</v>
      </c>
      <c r="AL573" s="13"/>
      <c r="AM573" s="14">
        <f t="shared" si="8"/>
        <v>0</v>
      </c>
      <c r="AN573" s="12" t="s">
        <v>12004</v>
      </c>
    </row>
    <row r="574" spans="1:40" x14ac:dyDescent="0.25">
      <c r="A574" s="8">
        <v>573</v>
      </c>
      <c r="B574" s="9" t="s">
        <v>35</v>
      </c>
      <c r="C574" s="9" t="s">
        <v>6932</v>
      </c>
      <c r="D574" s="9" t="s">
        <v>37</v>
      </c>
      <c r="E574" s="9" t="s">
        <v>6933</v>
      </c>
      <c r="F574" s="9" t="s">
        <v>107</v>
      </c>
      <c r="G574" s="9" t="s">
        <v>6934</v>
      </c>
      <c r="H574" s="9" t="s">
        <v>6935</v>
      </c>
      <c r="I574" s="9" t="s">
        <v>6935</v>
      </c>
      <c r="J574" s="9" t="s">
        <v>6936</v>
      </c>
      <c r="K574" s="9" t="s">
        <v>6937</v>
      </c>
      <c r="L574" s="9">
        <v>1987500</v>
      </c>
      <c r="M574" s="9">
        <v>2650000</v>
      </c>
      <c r="N574" s="9" t="s">
        <v>6938</v>
      </c>
      <c r="O574" s="10">
        <v>45628</v>
      </c>
      <c r="P574" s="9" t="s">
        <v>6939</v>
      </c>
      <c r="Q574" s="9" t="s">
        <v>6940</v>
      </c>
      <c r="R574" s="9" t="s">
        <v>47</v>
      </c>
      <c r="S574" s="9" t="s">
        <v>48</v>
      </c>
      <c r="T574" s="9" t="s">
        <v>6941</v>
      </c>
      <c r="U574" s="9" t="s">
        <v>50</v>
      </c>
      <c r="V574" s="10">
        <v>44316</v>
      </c>
      <c r="W574" s="9" t="s">
        <v>6483</v>
      </c>
      <c r="X574" s="9" t="s">
        <v>6431</v>
      </c>
      <c r="Y574" s="9" t="s">
        <v>6942</v>
      </c>
      <c r="Z574" s="9">
        <v>5</v>
      </c>
      <c r="AA574" s="9" t="s">
        <v>55</v>
      </c>
      <c r="AB574" s="9" t="s">
        <v>6943</v>
      </c>
      <c r="AC574" s="9" t="s">
        <v>6944</v>
      </c>
      <c r="AD574" s="9" t="s">
        <v>58</v>
      </c>
      <c r="AE574" s="9">
        <v>2120000</v>
      </c>
      <c r="AF574" s="11">
        <v>42400</v>
      </c>
      <c r="AG574" s="9"/>
      <c r="AH574" s="9"/>
      <c r="AI574" s="9"/>
      <c r="AJ574" s="12" t="s">
        <v>11945</v>
      </c>
      <c r="AK574" s="13">
        <v>42400</v>
      </c>
      <c r="AL574" s="13"/>
      <c r="AM574" s="14">
        <f t="shared" si="8"/>
        <v>0</v>
      </c>
      <c r="AN574" s="12" t="s">
        <v>12004</v>
      </c>
    </row>
    <row r="575" spans="1:40" x14ac:dyDescent="0.25">
      <c r="A575" s="15">
        <v>574</v>
      </c>
      <c r="B575" s="12" t="s">
        <v>35</v>
      </c>
      <c r="C575" s="12" t="s">
        <v>6945</v>
      </c>
      <c r="D575" s="12" t="s">
        <v>37</v>
      </c>
      <c r="E575" s="12" t="s">
        <v>6946</v>
      </c>
      <c r="F575" s="12" t="s">
        <v>39</v>
      </c>
      <c r="G575" s="12" t="s">
        <v>6947</v>
      </c>
      <c r="H575" s="12" t="s">
        <v>6948</v>
      </c>
      <c r="I575" s="12" t="s">
        <v>6949</v>
      </c>
      <c r="J575" s="12" t="s">
        <v>6949</v>
      </c>
      <c r="K575" s="12" t="s">
        <v>6950</v>
      </c>
      <c r="L575" s="12">
        <v>2470120</v>
      </c>
      <c r="M575" s="12">
        <v>3338000</v>
      </c>
      <c r="N575" s="12" t="s">
        <v>6951</v>
      </c>
      <c r="O575" s="16">
        <v>45628</v>
      </c>
      <c r="P575" s="12" t="s">
        <v>6952</v>
      </c>
      <c r="Q575" s="12" t="s">
        <v>6953</v>
      </c>
      <c r="R575" s="12" t="s">
        <v>47</v>
      </c>
      <c r="S575" s="12" t="s">
        <v>48</v>
      </c>
      <c r="T575" s="12" t="s">
        <v>1189</v>
      </c>
      <c r="U575" s="12" t="s">
        <v>98</v>
      </c>
      <c r="V575" s="16">
        <v>44074</v>
      </c>
      <c r="W575" s="12" t="s">
        <v>3830</v>
      </c>
      <c r="X575" s="12" t="s">
        <v>3831</v>
      </c>
      <c r="Y575" s="12" t="s">
        <v>6954</v>
      </c>
      <c r="Z575" s="12">
        <v>5</v>
      </c>
      <c r="AA575" s="12" t="s">
        <v>118</v>
      </c>
      <c r="AB575" s="12" t="s">
        <v>6955</v>
      </c>
      <c r="AC575" s="12" t="s">
        <v>6611</v>
      </c>
      <c r="AD575" s="12" t="s">
        <v>171</v>
      </c>
      <c r="AE575" s="12">
        <v>2503500</v>
      </c>
      <c r="AF575" s="13">
        <v>62588</v>
      </c>
      <c r="AG575" s="12"/>
      <c r="AH575" s="12"/>
      <c r="AI575" s="12"/>
      <c r="AJ575" s="12" t="s">
        <v>11946</v>
      </c>
      <c r="AK575" s="13">
        <v>62588</v>
      </c>
      <c r="AL575" s="13"/>
      <c r="AM575" s="14">
        <f t="shared" si="8"/>
        <v>0</v>
      </c>
      <c r="AN575" s="12" t="s">
        <v>12004</v>
      </c>
    </row>
    <row r="576" spans="1:40" x14ac:dyDescent="0.25">
      <c r="A576" s="8">
        <v>575</v>
      </c>
      <c r="B576" s="9" t="s">
        <v>35</v>
      </c>
      <c r="C576" s="9" t="s">
        <v>6956</v>
      </c>
      <c r="D576" s="9" t="s">
        <v>37</v>
      </c>
      <c r="E576" s="9" t="s">
        <v>6957</v>
      </c>
      <c r="F576" s="9" t="s">
        <v>107</v>
      </c>
      <c r="G576" s="9" t="s">
        <v>6958</v>
      </c>
      <c r="H576" s="9" t="s">
        <v>6959</v>
      </c>
      <c r="I576" s="9" t="s">
        <v>6959</v>
      </c>
      <c r="J576" s="9" t="s">
        <v>6959</v>
      </c>
      <c r="K576" s="9" t="s">
        <v>6960</v>
      </c>
      <c r="L576" s="9">
        <v>2475000</v>
      </c>
      <c r="M576" s="9">
        <v>3300000</v>
      </c>
      <c r="N576" s="9" t="s">
        <v>6961</v>
      </c>
      <c r="O576" s="10">
        <v>45628</v>
      </c>
      <c r="P576" s="9" t="s">
        <v>6962</v>
      </c>
      <c r="Q576" s="9" t="s">
        <v>6963</v>
      </c>
      <c r="R576" s="9" t="s">
        <v>1215</v>
      </c>
      <c r="S576" s="9" t="s">
        <v>6964</v>
      </c>
      <c r="T576" s="9" t="s">
        <v>6965</v>
      </c>
      <c r="U576" s="9" t="s">
        <v>715</v>
      </c>
      <c r="V576" s="10">
        <v>44169</v>
      </c>
      <c r="W576" s="9" t="s">
        <v>532</v>
      </c>
      <c r="X576" s="9" t="s">
        <v>533</v>
      </c>
      <c r="Y576" s="9" t="s">
        <v>6966</v>
      </c>
      <c r="Z576" s="9">
        <v>5</v>
      </c>
      <c r="AA576" s="9" t="s">
        <v>227</v>
      </c>
      <c r="AB576" s="9" t="s">
        <v>6967</v>
      </c>
      <c r="AC576" s="9" t="s">
        <v>6611</v>
      </c>
      <c r="AD576" s="9" t="s">
        <v>58</v>
      </c>
      <c r="AE576" s="9">
        <v>2475000</v>
      </c>
      <c r="AF576" s="11">
        <v>49500</v>
      </c>
      <c r="AG576" s="9"/>
      <c r="AH576" s="9"/>
      <c r="AI576" s="9"/>
      <c r="AJ576" s="12" t="s">
        <v>11947</v>
      </c>
      <c r="AK576" s="13">
        <v>49500</v>
      </c>
      <c r="AL576" s="13"/>
      <c r="AM576" s="14">
        <f t="shared" si="8"/>
        <v>0</v>
      </c>
      <c r="AN576" s="12" t="s">
        <v>12004</v>
      </c>
    </row>
    <row r="577" spans="1:40" x14ac:dyDescent="0.25">
      <c r="A577" s="15">
        <v>576</v>
      </c>
      <c r="B577" s="12" t="s">
        <v>35</v>
      </c>
      <c r="C577" s="12" t="s">
        <v>6968</v>
      </c>
      <c r="D577" s="12" t="s">
        <v>37</v>
      </c>
      <c r="E577" s="12" t="s">
        <v>6969</v>
      </c>
      <c r="F577" s="12" t="s">
        <v>107</v>
      </c>
      <c r="G577" s="12" t="s">
        <v>6970</v>
      </c>
      <c r="H577" s="12" t="s">
        <v>6971</v>
      </c>
      <c r="I577" s="12" t="s">
        <v>6971</v>
      </c>
      <c r="J577" s="12" t="s">
        <v>6971</v>
      </c>
      <c r="K577" s="12" t="s">
        <v>6972</v>
      </c>
      <c r="L577" s="12">
        <v>966000</v>
      </c>
      <c r="M577" s="12">
        <v>1610000</v>
      </c>
      <c r="N577" s="12" t="s">
        <v>6973</v>
      </c>
      <c r="O577" s="16">
        <v>45633</v>
      </c>
      <c r="P577" s="12" t="s">
        <v>6974</v>
      </c>
      <c r="Q577" s="12" t="s">
        <v>6975</v>
      </c>
      <c r="R577" s="12" t="s">
        <v>47</v>
      </c>
      <c r="S577" s="12" t="s">
        <v>48</v>
      </c>
      <c r="T577" s="12" t="s">
        <v>321</v>
      </c>
      <c r="U577" s="12" t="s">
        <v>50</v>
      </c>
      <c r="V577" s="16">
        <v>44435</v>
      </c>
      <c r="W577" s="12" t="s">
        <v>4473</v>
      </c>
      <c r="X577" s="12" t="s">
        <v>4588</v>
      </c>
      <c r="Y577" s="12" t="s">
        <v>6976</v>
      </c>
      <c r="Z577" s="12">
        <v>5</v>
      </c>
      <c r="AA577" s="12" t="s">
        <v>55</v>
      </c>
      <c r="AB577" s="12" t="s">
        <v>6977</v>
      </c>
      <c r="AC577" s="12" t="s">
        <v>6636</v>
      </c>
      <c r="AD577" s="12" t="s">
        <v>58</v>
      </c>
      <c r="AE577" s="12">
        <v>1288000</v>
      </c>
      <c r="AF577" s="13">
        <v>25760</v>
      </c>
      <c r="AG577" s="12"/>
      <c r="AH577" s="12"/>
      <c r="AI577" s="12"/>
      <c r="AJ577" s="12" t="s">
        <v>11948</v>
      </c>
      <c r="AK577" s="13">
        <v>25760</v>
      </c>
      <c r="AL577" s="13"/>
      <c r="AM577" s="14">
        <f t="shared" si="8"/>
        <v>0</v>
      </c>
      <c r="AN577" s="12" t="s">
        <v>12004</v>
      </c>
    </row>
    <row r="578" spans="1:40" x14ac:dyDescent="0.25">
      <c r="A578" s="8">
        <v>577</v>
      </c>
      <c r="B578" s="9" t="s">
        <v>35</v>
      </c>
      <c r="C578" s="9" t="s">
        <v>6978</v>
      </c>
      <c r="D578" s="9" t="s">
        <v>37</v>
      </c>
      <c r="E578" s="9" t="s">
        <v>6979</v>
      </c>
      <c r="F578" s="9" t="s">
        <v>290</v>
      </c>
      <c r="G578" s="9" t="s">
        <v>6980</v>
      </c>
      <c r="H578" s="9" t="s">
        <v>1505</v>
      </c>
      <c r="I578" s="9" t="s">
        <v>6981</v>
      </c>
      <c r="J578" s="9" t="s">
        <v>6981</v>
      </c>
      <c r="K578" s="9" t="s">
        <v>6982</v>
      </c>
      <c r="L578" s="9">
        <v>2118000</v>
      </c>
      <c r="M578" s="9">
        <v>2647500</v>
      </c>
      <c r="N578" s="9" t="s">
        <v>6983</v>
      </c>
      <c r="O578" s="10">
        <v>45628</v>
      </c>
      <c r="P578" s="9" t="s">
        <v>6984</v>
      </c>
      <c r="Q578" s="9" t="s">
        <v>6985</v>
      </c>
      <c r="R578" s="9" t="s">
        <v>47</v>
      </c>
      <c r="S578" s="9" t="s">
        <v>48</v>
      </c>
      <c r="T578" s="9" t="s">
        <v>6897</v>
      </c>
      <c r="U578" s="9" t="s">
        <v>98</v>
      </c>
      <c r="V578" s="10">
        <v>44104</v>
      </c>
      <c r="W578" s="9" t="s">
        <v>3830</v>
      </c>
      <c r="X578" s="9" t="s">
        <v>3831</v>
      </c>
      <c r="Y578" s="9" t="s">
        <v>6986</v>
      </c>
      <c r="Z578" s="9">
        <v>5</v>
      </c>
      <c r="AA578" s="9" t="s">
        <v>257</v>
      </c>
      <c r="AB578" s="9" t="s">
        <v>6987</v>
      </c>
      <c r="AC578" s="9" t="s">
        <v>6900</v>
      </c>
      <c r="AD578" s="9" t="s">
        <v>58</v>
      </c>
      <c r="AE578" s="9">
        <v>1985625</v>
      </c>
      <c r="AF578" s="11">
        <v>39713</v>
      </c>
      <c r="AG578" s="9"/>
      <c r="AH578" s="9"/>
      <c r="AI578" s="9"/>
      <c r="AJ578" s="12" t="s">
        <v>11949</v>
      </c>
      <c r="AK578" s="13">
        <v>39713</v>
      </c>
      <c r="AL578" s="13"/>
      <c r="AM578" s="14">
        <f t="shared" si="8"/>
        <v>0</v>
      </c>
      <c r="AN578" s="12" t="s">
        <v>12004</v>
      </c>
    </row>
    <row r="579" spans="1:40" x14ac:dyDescent="0.25">
      <c r="A579" s="15">
        <v>578</v>
      </c>
      <c r="B579" s="12" t="s">
        <v>35</v>
      </c>
      <c r="C579" s="12" t="s">
        <v>6988</v>
      </c>
      <c r="D579" s="12" t="s">
        <v>37</v>
      </c>
      <c r="E579" s="12" t="s">
        <v>6989</v>
      </c>
      <c r="F579" s="12" t="s">
        <v>851</v>
      </c>
      <c r="G579" s="12" t="s">
        <v>6990</v>
      </c>
      <c r="H579" s="12" t="s">
        <v>6991</v>
      </c>
      <c r="I579" s="12" t="s">
        <v>6991</v>
      </c>
      <c r="J579" s="12" t="s">
        <v>6991</v>
      </c>
      <c r="K579" s="12" t="s">
        <v>6992</v>
      </c>
      <c r="L579" s="12">
        <v>1330000</v>
      </c>
      <c r="M579" s="12">
        <v>1900000</v>
      </c>
      <c r="N579" s="12" t="s">
        <v>6993</v>
      </c>
      <c r="O579" s="16">
        <v>45628</v>
      </c>
      <c r="P579" s="12" t="s">
        <v>6994</v>
      </c>
      <c r="Q579" s="12" t="s">
        <v>6995</v>
      </c>
      <c r="R579" s="12" t="s">
        <v>47</v>
      </c>
      <c r="S579" s="12" t="s">
        <v>48</v>
      </c>
      <c r="T579" s="12" t="s">
        <v>6996</v>
      </c>
      <c r="U579" s="12" t="s">
        <v>98</v>
      </c>
      <c r="V579" s="16">
        <v>44165</v>
      </c>
      <c r="W579" s="12" t="s">
        <v>3830</v>
      </c>
      <c r="X579" s="12" t="s">
        <v>3831</v>
      </c>
      <c r="Y579" s="12" t="s">
        <v>6997</v>
      </c>
      <c r="Z579" s="12">
        <v>5</v>
      </c>
      <c r="AA579" s="12" t="s">
        <v>55</v>
      </c>
      <c r="AB579" s="12" t="s">
        <v>6998</v>
      </c>
      <c r="AC579" s="12" t="s">
        <v>532</v>
      </c>
      <c r="AD579" s="12" t="s">
        <v>58</v>
      </c>
      <c r="AE579" s="12">
        <v>1425000</v>
      </c>
      <c r="AF579" s="13">
        <v>28500</v>
      </c>
      <c r="AG579" s="12"/>
      <c r="AH579" s="12"/>
      <c r="AI579" s="12"/>
      <c r="AJ579" s="12" t="s">
        <v>11950</v>
      </c>
      <c r="AK579" s="13">
        <v>28500</v>
      </c>
      <c r="AL579" s="13"/>
      <c r="AM579" s="14">
        <f t="shared" ref="AM579:AM624" si="9">AF579-AK579</f>
        <v>0</v>
      </c>
      <c r="AN579" s="12" t="s">
        <v>12004</v>
      </c>
    </row>
    <row r="580" spans="1:40" x14ac:dyDescent="0.25">
      <c r="A580" s="8">
        <v>579</v>
      </c>
      <c r="B580" s="9" t="s">
        <v>35</v>
      </c>
      <c r="C580" s="9" t="s">
        <v>6999</v>
      </c>
      <c r="D580" s="9" t="s">
        <v>37</v>
      </c>
      <c r="E580" s="9" t="s">
        <v>7000</v>
      </c>
      <c r="F580" s="9" t="s">
        <v>138</v>
      </c>
      <c r="G580" s="9" t="s">
        <v>7001</v>
      </c>
      <c r="H580" s="9" t="s">
        <v>7002</v>
      </c>
      <c r="I580" s="9" t="s">
        <v>7002</v>
      </c>
      <c r="J580" s="9" t="s">
        <v>141</v>
      </c>
      <c r="K580" s="9" t="s">
        <v>7003</v>
      </c>
      <c r="L580" s="9">
        <v>1950000</v>
      </c>
      <c r="M580" s="9">
        <v>3250000</v>
      </c>
      <c r="N580" s="9" t="s">
        <v>7004</v>
      </c>
      <c r="O580" s="10">
        <v>45628</v>
      </c>
      <c r="P580" s="9" t="s">
        <v>7005</v>
      </c>
      <c r="Q580" s="9" t="s">
        <v>7006</v>
      </c>
      <c r="R580" s="9" t="s">
        <v>146</v>
      </c>
      <c r="S580" s="9" t="s">
        <v>7007</v>
      </c>
      <c r="T580" s="9" t="s">
        <v>7008</v>
      </c>
      <c r="U580" s="9" t="s">
        <v>614</v>
      </c>
      <c r="V580" s="10">
        <v>44537</v>
      </c>
      <c r="W580" s="9" t="s">
        <v>6483</v>
      </c>
      <c r="X580" s="9" t="s">
        <v>3831</v>
      </c>
      <c r="Y580" s="9" t="s">
        <v>7009</v>
      </c>
      <c r="Z580" s="9">
        <v>4</v>
      </c>
      <c r="AA580" s="9" t="s">
        <v>118</v>
      </c>
      <c r="AB580" s="9" t="s">
        <v>7010</v>
      </c>
      <c r="AC580" s="9" t="s">
        <v>7011</v>
      </c>
      <c r="AD580" s="9" t="s">
        <v>299</v>
      </c>
      <c r="AE580" s="9">
        <v>2600000</v>
      </c>
      <c r="AF580" s="11">
        <v>39000</v>
      </c>
      <c r="AG580" s="9"/>
      <c r="AH580" s="9"/>
      <c r="AI580" s="9"/>
      <c r="AJ580" s="12" t="s">
        <v>11951</v>
      </c>
      <c r="AK580" s="13">
        <v>39000</v>
      </c>
      <c r="AL580" s="13"/>
      <c r="AM580" s="14">
        <f t="shared" si="9"/>
        <v>0</v>
      </c>
      <c r="AN580" s="12" t="s">
        <v>12004</v>
      </c>
    </row>
    <row r="581" spans="1:40" x14ac:dyDescent="0.25">
      <c r="A581" s="15">
        <v>580</v>
      </c>
      <c r="B581" s="12" t="s">
        <v>35</v>
      </c>
      <c r="C581" s="12" t="s">
        <v>7012</v>
      </c>
      <c r="D581" s="12" t="s">
        <v>37</v>
      </c>
      <c r="E581" s="12" t="s">
        <v>7013</v>
      </c>
      <c r="F581" s="12" t="s">
        <v>138</v>
      </c>
      <c r="G581" s="12" t="s">
        <v>7014</v>
      </c>
      <c r="H581" s="12" t="s">
        <v>7015</v>
      </c>
      <c r="I581" s="12" t="s">
        <v>7016</v>
      </c>
      <c r="J581" s="12" t="s">
        <v>7017</v>
      </c>
      <c r="K581" s="12" t="s">
        <v>7018</v>
      </c>
      <c r="L581" s="12">
        <v>1662000</v>
      </c>
      <c r="M581" s="12">
        <v>2770000</v>
      </c>
      <c r="N581" s="12" t="s">
        <v>7019</v>
      </c>
      <c r="O581" s="12" t="s">
        <v>7020</v>
      </c>
      <c r="P581" s="12" t="s">
        <v>7021</v>
      </c>
      <c r="Q581" s="12" t="s">
        <v>7022</v>
      </c>
      <c r="R581" s="12" t="s">
        <v>146</v>
      </c>
      <c r="S581" s="12" t="s">
        <v>7023</v>
      </c>
      <c r="T581" s="12" t="s">
        <v>613</v>
      </c>
      <c r="U581" s="12" t="s">
        <v>148</v>
      </c>
      <c r="V581" s="16">
        <v>45268</v>
      </c>
      <c r="W581" s="12" t="s">
        <v>6293</v>
      </c>
      <c r="X581" s="12" t="s">
        <v>3831</v>
      </c>
      <c r="Y581" s="12" t="s">
        <v>7024</v>
      </c>
      <c r="Z581" s="12">
        <v>2</v>
      </c>
      <c r="AA581" s="12" t="s">
        <v>55</v>
      </c>
      <c r="AB581" s="12" t="s">
        <v>7025</v>
      </c>
      <c r="AC581" s="12" t="s">
        <v>7026</v>
      </c>
      <c r="AD581" s="12" t="s">
        <v>86</v>
      </c>
      <c r="AE581" s="12">
        <v>2493000</v>
      </c>
      <c r="AF581" s="13">
        <v>43628</v>
      </c>
      <c r="AG581" s="12"/>
      <c r="AH581" s="12"/>
      <c r="AI581" s="12"/>
      <c r="AJ581" s="12" t="s">
        <v>11952</v>
      </c>
      <c r="AK581" s="13">
        <v>43628</v>
      </c>
      <c r="AL581" s="13"/>
      <c r="AM581" s="14">
        <f t="shared" si="9"/>
        <v>0</v>
      </c>
      <c r="AN581" s="12" t="s">
        <v>12004</v>
      </c>
    </row>
    <row r="582" spans="1:40" x14ac:dyDescent="0.25">
      <c r="A582" s="8">
        <v>581</v>
      </c>
      <c r="B582" s="9" t="s">
        <v>35</v>
      </c>
      <c r="C582" s="9" t="s">
        <v>7027</v>
      </c>
      <c r="D582" s="9" t="s">
        <v>37</v>
      </c>
      <c r="E582" s="9" t="s">
        <v>7028</v>
      </c>
      <c r="F582" s="9" t="s">
        <v>107</v>
      </c>
      <c r="G582" s="9" t="s">
        <v>7029</v>
      </c>
      <c r="H582" s="9" t="s">
        <v>7030</v>
      </c>
      <c r="I582" s="9" t="s">
        <v>7030</v>
      </c>
      <c r="J582" s="9" t="s">
        <v>7030</v>
      </c>
      <c r="K582" s="9" t="s">
        <v>7031</v>
      </c>
      <c r="L582" s="9">
        <v>2766000</v>
      </c>
      <c r="M582" s="9">
        <v>4610000</v>
      </c>
      <c r="N582" s="9" t="s">
        <v>7032</v>
      </c>
      <c r="O582" s="10">
        <v>45628</v>
      </c>
      <c r="P582" s="9" t="s">
        <v>7033</v>
      </c>
      <c r="Q582" s="9" t="s">
        <v>7034</v>
      </c>
      <c r="R582" s="9" t="s">
        <v>47</v>
      </c>
      <c r="S582" s="9" t="s">
        <v>48</v>
      </c>
      <c r="T582" s="9" t="s">
        <v>7035</v>
      </c>
      <c r="U582" s="9" t="s">
        <v>50</v>
      </c>
      <c r="V582" s="10">
        <v>44432</v>
      </c>
      <c r="W582" s="9" t="s">
        <v>4015</v>
      </c>
      <c r="X582" s="9" t="s">
        <v>4016</v>
      </c>
      <c r="Y582" s="9" t="s">
        <v>7036</v>
      </c>
      <c r="Z582" s="9">
        <v>5</v>
      </c>
      <c r="AA582" s="9" t="s">
        <v>55</v>
      </c>
      <c r="AB582" s="9" t="s">
        <v>7037</v>
      </c>
      <c r="AC582" s="9" t="s">
        <v>132</v>
      </c>
      <c r="AD582" s="9" t="s">
        <v>58</v>
      </c>
      <c r="AE582" s="9">
        <v>3688000</v>
      </c>
      <c r="AF582" s="11">
        <v>73760</v>
      </c>
      <c r="AG582" s="9"/>
      <c r="AH582" s="9"/>
      <c r="AI582" s="9"/>
      <c r="AJ582" s="12" t="s">
        <v>11953</v>
      </c>
      <c r="AK582" s="13">
        <v>73760</v>
      </c>
      <c r="AL582" s="13"/>
      <c r="AM582" s="14">
        <f t="shared" si="9"/>
        <v>0</v>
      </c>
      <c r="AN582" s="12" t="s">
        <v>12004</v>
      </c>
    </row>
    <row r="583" spans="1:40" x14ac:dyDescent="0.25">
      <c r="A583" s="15">
        <v>582</v>
      </c>
      <c r="B583" s="12" t="s">
        <v>35</v>
      </c>
      <c r="C583" s="12" t="s">
        <v>7038</v>
      </c>
      <c r="D583" s="12" t="s">
        <v>37</v>
      </c>
      <c r="E583" s="12" t="s">
        <v>7039</v>
      </c>
      <c r="F583" s="12" t="s">
        <v>932</v>
      </c>
      <c r="G583" s="12" t="s">
        <v>7040</v>
      </c>
      <c r="H583" s="12" t="s">
        <v>48</v>
      </c>
      <c r="I583" s="12" t="s">
        <v>48</v>
      </c>
      <c r="J583" s="12" t="s">
        <v>48</v>
      </c>
      <c r="K583" s="12" t="s">
        <v>7041</v>
      </c>
      <c r="L583" s="12">
        <v>859800</v>
      </c>
      <c r="M583" s="12">
        <v>1433000</v>
      </c>
      <c r="N583" s="12" t="s">
        <v>7042</v>
      </c>
      <c r="O583" s="16">
        <v>45629</v>
      </c>
      <c r="P583" s="12" t="s">
        <v>7043</v>
      </c>
      <c r="Q583" s="12" t="s">
        <v>7044</v>
      </c>
      <c r="R583" s="12" t="s">
        <v>47</v>
      </c>
      <c r="S583" s="12" t="s">
        <v>48</v>
      </c>
      <c r="T583" s="12" t="s">
        <v>7045</v>
      </c>
      <c r="U583" s="12" t="s">
        <v>98</v>
      </c>
      <c r="V583" s="16">
        <v>44135</v>
      </c>
      <c r="W583" s="12" t="s">
        <v>3830</v>
      </c>
      <c r="X583" s="12" t="s">
        <v>6431</v>
      </c>
      <c r="Y583" s="12" t="s">
        <v>7046</v>
      </c>
      <c r="Z583" s="12">
        <v>6</v>
      </c>
      <c r="AA583" s="12" t="s">
        <v>55</v>
      </c>
      <c r="AB583" s="12" t="s">
        <v>7047</v>
      </c>
      <c r="AC583" s="12" t="s">
        <v>6854</v>
      </c>
      <c r="AD583" s="12" t="s">
        <v>58</v>
      </c>
      <c r="AE583" s="12">
        <v>1074750</v>
      </c>
      <c r="AF583" s="13">
        <v>21495</v>
      </c>
      <c r="AG583" s="12"/>
      <c r="AH583" s="12"/>
      <c r="AI583" s="12"/>
      <c r="AJ583" s="12" t="s">
        <v>11954</v>
      </c>
      <c r="AK583" s="13">
        <v>21495</v>
      </c>
      <c r="AL583" s="13"/>
      <c r="AM583" s="14">
        <f t="shared" si="9"/>
        <v>0</v>
      </c>
      <c r="AN583" s="12" t="s">
        <v>12004</v>
      </c>
    </row>
    <row r="584" spans="1:40" x14ac:dyDescent="0.25">
      <c r="A584" s="8">
        <v>583</v>
      </c>
      <c r="B584" s="9" t="s">
        <v>35</v>
      </c>
      <c r="C584" s="9" t="s">
        <v>7048</v>
      </c>
      <c r="D584" s="9" t="s">
        <v>37</v>
      </c>
      <c r="E584" s="9" t="s">
        <v>7049</v>
      </c>
      <c r="F584" s="9" t="s">
        <v>138</v>
      </c>
      <c r="G584" s="9" t="s">
        <v>7050</v>
      </c>
      <c r="H584" s="9" t="s">
        <v>48</v>
      </c>
      <c r="I584" s="9" t="s">
        <v>7051</v>
      </c>
      <c r="J584" s="9" t="s">
        <v>48</v>
      </c>
      <c r="K584" s="9" t="s">
        <v>7052</v>
      </c>
      <c r="L584" s="9">
        <v>1855000</v>
      </c>
      <c r="M584" s="9">
        <v>2650000</v>
      </c>
      <c r="N584" s="9" t="s">
        <v>7053</v>
      </c>
      <c r="O584" s="9" t="s">
        <v>7020</v>
      </c>
      <c r="P584" s="9" t="s">
        <v>7054</v>
      </c>
      <c r="Q584" s="9" t="s">
        <v>7055</v>
      </c>
      <c r="R584" s="9" t="s">
        <v>146</v>
      </c>
      <c r="S584" s="9" t="s">
        <v>7056</v>
      </c>
      <c r="T584" s="9" t="s">
        <v>613</v>
      </c>
      <c r="U584" s="9" t="s">
        <v>50</v>
      </c>
      <c r="V584" s="10">
        <v>45268</v>
      </c>
      <c r="W584" s="9" t="s">
        <v>6293</v>
      </c>
      <c r="X584" s="9" t="s">
        <v>6578</v>
      </c>
      <c r="Y584" s="9" t="s">
        <v>7057</v>
      </c>
      <c r="Z584" s="9">
        <v>5</v>
      </c>
      <c r="AA584" s="9" t="s">
        <v>55</v>
      </c>
      <c r="AB584" s="9" t="s">
        <v>7058</v>
      </c>
      <c r="AC584" s="9" t="s">
        <v>7026</v>
      </c>
      <c r="AD584" s="9" t="s">
        <v>86</v>
      </c>
      <c r="AE584" s="9">
        <v>2385000</v>
      </c>
      <c r="AF584" s="11">
        <v>41738</v>
      </c>
      <c r="AG584" s="9"/>
      <c r="AH584" s="9"/>
      <c r="AI584" s="9"/>
      <c r="AJ584" s="12" t="s">
        <v>11955</v>
      </c>
      <c r="AK584" s="13">
        <v>41738</v>
      </c>
      <c r="AL584" s="13"/>
      <c r="AM584" s="14">
        <f t="shared" si="9"/>
        <v>0</v>
      </c>
      <c r="AN584" s="12" t="s">
        <v>12004</v>
      </c>
    </row>
    <row r="585" spans="1:40" x14ac:dyDescent="0.25">
      <c r="A585" s="15">
        <v>584</v>
      </c>
      <c r="B585" s="12" t="s">
        <v>35</v>
      </c>
      <c r="C585" s="12" t="s">
        <v>7059</v>
      </c>
      <c r="D585" s="12" t="s">
        <v>37</v>
      </c>
      <c r="E585" s="12" t="s">
        <v>7060</v>
      </c>
      <c r="F585" s="12" t="s">
        <v>89</v>
      </c>
      <c r="G585" s="12" t="s">
        <v>7061</v>
      </c>
      <c r="H585" s="12" t="s">
        <v>7062</v>
      </c>
      <c r="I585" s="12" t="s">
        <v>48</v>
      </c>
      <c r="J585" s="12" t="s">
        <v>7063</v>
      </c>
      <c r="K585" s="12" t="s">
        <v>7064</v>
      </c>
      <c r="L585" s="12">
        <v>1119000</v>
      </c>
      <c r="M585" s="12">
        <v>1865000</v>
      </c>
      <c r="N585" s="12" t="s">
        <v>7065</v>
      </c>
      <c r="O585" s="16">
        <v>45629</v>
      </c>
      <c r="P585" s="12" t="s">
        <v>7066</v>
      </c>
      <c r="Q585" s="12" t="s">
        <v>7067</v>
      </c>
      <c r="R585" s="12" t="s">
        <v>47</v>
      </c>
      <c r="S585" s="12" t="s">
        <v>48</v>
      </c>
      <c r="T585" s="12" t="s">
        <v>7068</v>
      </c>
      <c r="U585" s="12" t="s">
        <v>98</v>
      </c>
      <c r="V585" s="16">
        <v>44062</v>
      </c>
      <c r="W585" s="12" t="s">
        <v>3830</v>
      </c>
      <c r="X585" s="12" t="s">
        <v>6444</v>
      </c>
      <c r="Y585" s="12" t="s">
        <v>7069</v>
      </c>
      <c r="Z585" s="12">
        <v>7</v>
      </c>
      <c r="AA585" s="12" t="s">
        <v>227</v>
      </c>
      <c r="AB585" s="12" t="s">
        <v>7070</v>
      </c>
      <c r="AC585" s="12" t="s">
        <v>6900</v>
      </c>
      <c r="AD585" s="12" t="s">
        <v>58</v>
      </c>
      <c r="AE585" s="12">
        <v>1398750</v>
      </c>
      <c r="AF585" s="13">
        <v>27975</v>
      </c>
      <c r="AG585" s="12"/>
      <c r="AH585" s="12"/>
      <c r="AI585" s="12"/>
      <c r="AJ585" s="12" t="s">
        <v>11956</v>
      </c>
      <c r="AK585" s="13">
        <v>27975</v>
      </c>
      <c r="AL585" s="13"/>
      <c r="AM585" s="14">
        <f t="shared" si="9"/>
        <v>0</v>
      </c>
      <c r="AN585" s="12" t="s">
        <v>12004</v>
      </c>
    </row>
    <row r="586" spans="1:40" x14ac:dyDescent="0.25">
      <c r="A586" s="8">
        <v>585</v>
      </c>
      <c r="B586" s="9" t="s">
        <v>35</v>
      </c>
      <c r="C586" s="9" t="s">
        <v>7071</v>
      </c>
      <c r="D586" s="9" t="s">
        <v>37</v>
      </c>
      <c r="E586" s="9" t="s">
        <v>405</v>
      </c>
      <c r="F586" s="9" t="s">
        <v>406</v>
      </c>
      <c r="G586" s="9" t="s">
        <v>407</v>
      </c>
      <c r="H586" s="9" t="s">
        <v>48</v>
      </c>
      <c r="I586" s="9" t="s">
        <v>408</v>
      </c>
      <c r="J586" s="9" t="s">
        <v>409</v>
      </c>
      <c r="K586" s="9" t="s">
        <v>410</v>
      </c>
      <c r="L586" s="9">
        <v>1641200</v>
      </c>
      <c r="M586" s="9">
        <v>2984000</v>
      </c>
      <c r="N586" s="9" t="s">
        <v>7072</v>
      </c>
      <c r="O586" s="10">
        <v>45629</v>
      </c>
      <c r="P586" s="9" t="s">
        <v>7073</v>
      </c>
      <c r="Q586" s="9" t="s">
        <v>7074</v>
      </c>
      <c r="R586" s="9" t="s">
        <v>47</v>
      </c>
      <c r="S586" s="9" t="s">
        <v>48</v>
      </c>
      <c r="T586" s="9" t="s">
        <v>1397</v>
      </c>
      <c r="U586" s="9" t="s">
        <v>98</v>
      </c>
      <c r="V586" s="10">
        <v>44040</v>
      </c>
      <c r="W586" s="9" t="s">
        <v>5266</v>
      </c>
      <c r="X586" s="9" t="s">
        <v>5561</v>
      </c>
      <c r="Y586" s="9" t="s">
        <v>7075</v>
      </c>
      <c r="Z586" s="9">
        <v>7</v>
      </c>
      <c r="AA586" s="9" t="s">
        <v>55</v>
      </c>
      <c r="AB586" s="9" t="s">
        <v>7076</v>
      </c>
      <c r="AC586" s="9" t="s">
        <v>6900</v>
      </c>
      <c r="AD586" s="9" t="s">
        <v>58</v>
      </c>
      <c r="AE586" s="9">
        <v>2238000</v>
      </c>
      <c r="AF586" s="11">
        <v>44760</v>
      </c>
      <c r="AG586" s="9"/>
      <c r="AH586" s="9"/>
      <c r="AI586" s="9"/>
      <c r="AJ586" s="12" t="s">
        <v>11957</v>
      </c>
      <c r="AK586" s="13">
        <v>44760</v>
      </c>
      <c r="AL586" s="13"/>
      <c r="AM586" s="14">
        <f t="shared" si="9"/>
        <v>0</v>
      </c>
      <c r="AN586" s="12" t="s">
        <v>12004</v>
      </c>
    </row>
    <row r="587" spans="1:40" x14ac:dyDescent="0.25">
      <c r="A587" s="15">
        <v>586</v>
      </c>
      <c r="B587" s="12" t="s">
        <v>35</v>
      </c>
      <c r="C587" s="12" t="s">
        <v>7077</v>
      </c>
      <c r="D587" s="12" t="s">
        <v>37</v>
      </c>
      <c r="E587" s="12" t="s">
        <v>7078</v>
      </c>
      <c r="F587" s="12" t="s">
        <v>107</v>
      </c>
      <c r="G587" s="12" t="s">
        <v>7079</v>
      </c>
      <c r="H587" s="12" t="s">
        <v>7080</v>
      </c>
      <c r="I587" s="12" t="s">
        <v>7080</v>
      </c>
      <c r="J587" s="12" t="s">
        <v>7080</v>
      </c>
      <c r="K587" s="12" t="s">
        <v>7081</v>
      </c>
      <c r="L587" s="12">
        <v>1972000</v>
      </c>
      <c r="M587" s="12">
        <v>4930000</v>
      </c>
      <c r="N587" s="12" t="s">
        <v>7082</v>
      </c>
      <c r="O587" s="16">
        <v>45629</v>
      </c>
      <c r="P587" s="12" t="s">
        <v>7083</v>
      </c>
      <c r="Q587" s="12" t="s">
        <v>7084</v>
      </c>
      <c r="R587" s="12" t="s">
        <v>47</v>
      </c>
      <c r="S587" s="12" t="s">
        <v>48</v>
      </c>
      <c r="T587" s="12" t="s">
        <v>2382</v>
      </c>
      <c r="U587" s="12" t="s">
        <v>98</v>
      </c>
      <c r="V587" s="16">
        <v>44161</v>
      </c>
      <c r="W587" s="12" t="s">
        <v>3830</v>
      </c>
      <c r="X587" s="12" t="s">
        <v>3831</v>
      </c>
      <c r="Y587" s="12" t="s">
        <v>7085</v>
      </c>
      <c r="Z587" s="12">
        <v>5</v>
      </c>
      <c r="AA587" s="12" t="s">
        <v>48</v>
      </c>
      <c r="AB587" s="12" t="s">
        <v>48</v>
      </c>
      <c r="AC587" s="12" t="s">
        <v>48</v>
      </c>
      <c r="AD587" s="12" t="s">
        <v>299</v>
      </c>
      <c r="AE587" s="12">
        <v>3697500</v>
      </c>
      <c r="AF587" s="13">
        <v>55463</v>
      </c>
      <c r="AG587" s="12"/>
      <c r="AH587" s="12"/>
      <c r="AI587" s="12"/>
      <c r="AJ587" s="12" t="s">
        <v>11958</v>
      </c>
      <c r="AK587" s="13">
        <v>55463</v>
      </c>
      <c r="AL587" s="13"/>
      <c r="AM587" s="14">
        <f t="shared" si="9"/>
        <v>0</v>
      </c>
      <c r="AN587" s="12" t="s">
        <v>12004</v>
      </c>
    </row>
    <row r="588" spans="1:40" x14ac:dyDescent="0.25">
      <c r="A588" s="8">
        <v>587</v>
      </c>
      <c r="B588" s="9" t="s">
        <v>35</v>
      </c>
      <c r="C588" s="9" t="s">
        <v>7086</v>
      </c>
      <c r="D588" s="9" t="s">
        <v>37</v>
      </c>
      <c r="E588" s="9" t="s">
        <v>7087</v>
      </c>
      <c r="F588" s="9" t="s">
        <v>107</v>
      </c>
      <c r="G588" s="9" t="s">
        <v>7088</v>
      </c>
      <c r="H588" s="9" t="s">
        <v>7089</v>
      </c>
      <c r="I588" s="9" t="s">
        <v>7089</v>
      </c>
      <c r="J588" s="9" t="s">
        <v>7090</v>
      </c>
      <c r="K588" s="9" t="s">
        <v>7091</v>
      </c>
      <c r="L588" s="9">
        <v>2888900</v>
      </c>
      <c r="M588" s="9">
        <v>4127000</v>
      </c>
      <c r="N588" s="9" t="s">
        <v>7092</v>
      </c>
      <c r="O588" s="10">
        <v>45629</v>
      </c>
      <c r="P588" s="9" t="s">
        <v>7093</v>
      </c>
      <c r="Q588" s="9" t="s">
        <v>7094</v>
      </c>
      <c r="R588" s="9" t="s">
        <v>47</v>
      </c>
      <c r="S588" s="9" t="s">
        <v>48</v>
      </c>
      <c r="T588" s="9" t="s">
        <v>97</v>
      </c>
      <c r="U588" s="9" t="s">
        <v>98</v>
      </c>
      <c r="V588" s="10">
        <v>44132</v>
      </c>
      <c r="W588" s="9" t="s">
        <v>3830</v>
      </c>
      <c r="X588" s="9" t="s">
        <v>6444</v>
      </c>
      <c r="Y588" s="9" t="s">
        <v>7095</v>
      </c>
      <c r="Z588" s="9">
        <v>7</v>
      </c>
      <c r="AA588" s="9" t="s">
        <v>55</v>
      </c>
      <c r="AB588" s="9" t="s">
        <v>7096</v>
      </c>
      <c r="AC588" s="9" t="s">
        <v>6900</v>
      </c>
      <c r="AD588" s="9" t="s">
        <v>58</v>
      </c>
      <c r="AE588" s="9">
        <v>3095250</v>
      </c>
      <c r="AF588" s="11">
        <v>61905</v>
      </c>
      <c r="AG588" s="9"/>
      <c r="AH588" s="9"/>
      <c r="AI588" s="9"/>
      <c r="AJ588" s="12" t="s">
        <v>11959</v>
      </c>
      <c r="AK588" s="13">
        <v>61905</v>
      </c>
      <c r="AL588" s="13"/>
      <c r="AM588" s="14">
        <f t="shared" si="9"/>
        <v>0</v>
      </c>
      <c r="AN588" s="12" t="s">
        <v>12004</v>
      </c>
    </row>
    <row r="589" spans="1:40" x14ac:dyDescent="0.25">
      <c r="A589" s="15">
        <v>588</v>
      </c>
      <c r="B589" s="12" t="s">
        <v>35</v>
      </c>
      <c r="C589" s="12" t="s">
        <v>7097</v>
      </c>
      <c r="D589" s="12" t="s">
        <v>37</v>
      </c>
      <c r="E589" s="12" t="s">
        <v>7098</v>
      </c>
      <c r="F589" s="12" t="s">
        <v>107</v>
      </c>
      <c r="G589" s="12" t="s">
        <v>7099</v>
      </c>
      <c r="H589" s="12" t="s">
        <v>1505</v>
      </c>
      <c r="I589" s="12" t="s">
        <v>7100</v>
      </c>
      <c r="J589" s="12" t="s">
        <v>7101</v>
      </c>
      <c r="K589" s="12" t="s">
        <v>7102</v>
      </c>
      <c r="L589" s="12">
        <v>3301600</v>
      </c>
      <c r="M589" s="12">
        <v>4127000</v>
      </c>
      <c r="N589" s="12" t="s">
        <v>7103</v>
      </c>
      <c r="O589" s="16">
        <v>45629</v>
      </c>
      <c r="P589" s="12" t="s">
        <v>7104</v>
      </c>
      <c r="Q589" s="12" t="s">
        <v>7105</v>
      </c>
      <c r="R589" s="12" t="s">
        <v>47</v>
      </c>
      <c r="S589" s="12" t="s">
        <v>48</v>
      </c>
      <c r="T589" s="12" t="s">
        <v>714</v>
      </c>
      <c r="U589" s="12" t="s">
        <v>98</v>
      </c>
      <c r="V589" s="16">
        <v>44125</v>
      </c>
      <c r="W589" s="12" t="s">
        <v>3830</v>
      </c>
      <c r="X589" s="12" t="s">
        <v>6431</v>
      </c>
      <c r="Y589" s="12" t="s">
        <v>7106</v>
      </c>
      <c r="Z589" s="12">
        <v>6</v>
      </c>
      <c r="AA589" s="12" t="s">
        <v>55</v>
      </c>
      <c r="AB589" s="12" t="s">
        <v>7107</v>
      </c>
      <c r="AC589" s="12" t="s">
        <v>5683</v>
      </c>
      <c r="AD589" s="12" t="s">
        <v>299</v>
      </c>
      <c r="AE589" s="12">
        <v>3095250</v>
      </c>
      <c r="AF589" s="13">
        <v>46429</v>
      </c>
      <c r="AG589" s="12"/>
      <c r="AH589" s="12"/>
      <c r="AI589" s="12"/>
      <c r="AJ589" s="12" t="s">
        <v>11960</v>
      </c>
      <c r="AK589" s="13">
        <v>46429</v>
      </c>
      <c r="AL589" s="13"/>
      <c r="AM589" s="14">
        <f t="shared" si="9"/>
        <v>0</v>
      </c>
      <c r="AN589" s="12" t="s">
        <v>12004</v>
      </c>
    </row>
    <row r="590" spans="1:40" x14ac:dyDescent="0.25">
      <c r="A590" s="8">
        <v>589</v>
      </c>
      <c r="B590" s="9" t="s">
        <v>35</v>
      </c>
      <c r="C590" s="9" t="s">
        <v>7108</v>
      </c>
      <c r="D590" s="9" t="s">
        <v>37</v>
      </c>
      <c r="E590" s="9" t="s">
        <v>7109</v>
      </c>
      <c r="F590" s="9" t="s">
        <v>138</v>
      </c>
      <c r="G590" s="9" t="s">
        <v>7110</v>
      </c>
      <c r="H590" s="9" t="s">
        <v>7111</v>
      </c>
      <c r="I590" s="9" t="s">
        <v>7111</v>
      </c>
      <c r="J590" s="9" t="s">
        <v>7112</v>
      </c>
      <c r="K590" s="9" t="s">
        <v>7113</v>
      </c>
      <c r="L590" s="9">
        <v>3779300</v>
      </c>
      <c r="M590" s="9">
        <v>5399000</v>
      </c>
      <c r="N590" s="9" t="s">
        <v>7114</v>
      </c>
      <c r="O590" s="10">
        <v>45629</v>
      </c>
      <c r="P590" s="9" t="s">
        <v>7115</v>
      </c>
      <c r="Q590" s="9" t="s">
        <v>7116</v>
      </c>
      <c r="R590" s="9" t="s">
        <v>47</v>
      </c>
      <c r="S590" s="9" t="s">
        <v>48</v>
      </c>
      <c r="T590" s="9" t="s">
        <v>115</v>
      </c>
      <c r="U590" s="9" t="s">
        <v>98</v>
      </c>
      <c r="V590" s="10">
        <v>44074</v>
      </c>
      <c r="W590" s="9" t="s">
        <v>5266</v>
      </c>
      <c r="X590" s="9" t="s">
        <v>5267</v>
      </c>
      <c r="Y590" s="9" t="s">
        <v>7117</v>
      </c>
      <c r="Z590" s="9">
        <v>5</v>
      </c>
      <c r="AA590" s="9" t="s">
        <v>48</v>
      </c>
      <c r="AB590" s="9" t="s">
        <v>48</v>
      </c>
      <c r="AC590" s="9" t="s">
        <v>48</v>
      </c>
      <c r="AD590" s="9" t="s">
        <v>58</v>
      </c>
      <c r="AE590" s="9">
        <v>4049250</v>
      </c>
      <c r="AF590" s="11">
        <v>80985</v>
      </c>
      <c r="AG590" s="9"/>
      <c r="AH590" s="9"/>
      <c r="AI590" s="9"/>
      <c r="AJ590" s="12" t="s">
        <v>11961</v>
      </c>
      <c r="AK590" s="13">
        <v>80985</v>
      </c>
      <c r="AL590" s="13"/>
      <c r="AM590" s="14">
        <f t="shared" si="9"/>
        <v>0</v>
      </c>
      <c r="AN590" s="12" t="s">
        <v>12004</v>
      </c>
    </row>
    <row r="591" spans="1:40" x14ac:dyDescent="0.25">
      <c r="A591" s="15">
        <v>590</v>
      </c>
      <c r="B591" s="12" t="s">
        <v>35</v>
      </c>
      <c r="C591" s="12" t="s">
        <v>7118</v>
      </c>
      <c r="D591" s="12" t="s">
        <v>37</v>
      </c>
      <c r="E591" s="12" t="s">
        <v>7119</v>
      </c>
      <c r="F591" s="12" t="s">
        <v>107</v>
      </c>
      <c r="G591" s="12" t="s">
        <v>7120</v>
      </c>
      <c r="H591" s="12" t="s">
        <v>7121</v>
      </c>
      <c r="I591" s="12" t="s">
        <v>7121</v>
      </c>
      <c r="J591" s="12" t="s">
        <v>7121</v>
      </c>
      <c r="K591" s="12" t="s">
        <v>7122</v>
      </c>
      <c r="L591" s="12">
        <v>3850000</v>
      </c>
      <c r="M591" s="12">
        <v>5500000</v>
      </c>
      <c r="N591" s="12" t="s">
        <v>7123</v>
      </c>
      <c r="O591" s="16">
        <v>45629</v>
      </c>
      <c r="P591" s="12" t="s">
        <v>7124</v>
      </c>
      <c r="Q591" s="12" t="s">
        <v>7125</v>
      </c>
      <c r="R591" s="12" t="s">
        <v>146</v>
      </c>
      <c r="S591" s="12" t="s">
        <v>7126</v>
      </c>
      <c r="T591" s="12" t="s">
        <v>130</v>
      </c>
      <c r="U591" s="12" t="s">
        <v>715</v>
      </c>
      <c r="V591" s="16">
        <v>44173</v>
      </c>
      <c r="W591" s="12" t="s">
        <v>3830</v>
      </c>
      <c r="X591" s="12" t="s">
        <v>3831</v>
      </c>
      <c r="Y591" s="12" t="s">
        <v>7127</v>
      </c>
      <c r="Z591" s="12">
        <v>5</v>
      </c>
      <c r="AA591" s="12" t="s">
        <v>227</v>
      </c>
      <c r="AB591" s="12" t="s">
        <v>7128</v>
      </c>
      <c r="AC591" s="12" t="s">
        <v>6900</v>
      </c>
      <c r="AD591" s="12" t="s">
        <v>299</v>
      </c>
      <c r="AE591" s="12">
        <v>4125000</v>
      </c>
      <c r="AF591" s="13">
        <v>61875</v>
      </c>
      <c r="AG591" s="12"/>
      <c r="AH591" s="12"/>
      <c r="AI591" s="12"/>
      <c r="AJ591" s="12" t="s">
        <v>11962</v>
      </c>
      <c r="AK591" s="13">
        <v>61875</v>
      </c>
      <c r="AL591" s="13"/>
      <c r="AM591" s="14">
        <f t="shared" si="9"/>
        <v>0</v>
      </c>
      <c r="AN591" s="12" t="s">
        <v>12004</v>
      </c>
    </row>
    <row r="592" spans="1:40" x14ac:dyDescent="0.25">
      <c r="A592" s="8">
        <v>591</v>
      </c>
      <c r="B592" s="9" t="s">
        <v>35</v>
      </c>
      <c r="C592" s="9" t="s">
        <v>7129</v>
      </c>
      <c r="D592" s="9" t="s">
        <v>37</v>
      </c>
      <c r="E592" s="9" t="s">
        <v>7130</v>
      </c>
      <c r="F592" s="9" t="s">
        <v>138</v>
      </c>
      <c r="G592" s="9" t="s">
        <v>7131</v>
      </c>
      <c r="H592" s="9" t="s">
        <v>7132</v>
      </c>
      <c r="I592" s="9" t="s">
        <v>7132</v>
      </c>
      <c r="J592" s="9" t="s">
        <v>7133</v>
      </c>
      <c r="K592" s="9" t="s">
        <v>7134</v>
      </c>
      <c r="L592" s="9">
        <v>2054500</v>
      </c>
      <c r="M592" s="9">
        <v>2935000</v>
      </c>
      <c r="N592" s="9" t="s">
        <v>7135</v>
      </c>
      <c r="O592" s="9" t="s">
        <v>7136</v>
      </c>
      <c r="P592" s="9" t="s">
        <v>7137</v>
      </c>
      <c r="Q592" s="9" t="s">
        <v>7138</v>
      </c>
      <c r="R592" s="9" t="s">
        <v>47</v>
      </c>
      <c r="S592" s="9" t="s">
        <v>48</v>
      </c>
      <c r="T592" s="9" t="s">
        <v>613</v>
      </c>
      <c r="U592" s="9" t="s">
        <v>386</v>
      </c>
      <c r="V592" s="10">
        <v>45268</v>
      </c>
      <c r="W592" s="9" t="s">
        <v>6293</v>
      </c>
      <c r="X592" s="9" t="s">
        <v>6431</v>
      </c>
      <c r="Y592" s="9" t="s">
        <v>7139</v>
      </c>
      <c r="Z592" s="9">
        <v>3</v>
      </c>
      <c r="AA592" s="9" t="s">
        <v>55</v>
      </c>
      <c r="AB592" s="9" t="s">
        <v>7140</v>
      </c>
      <c r="AC592" s="9" t="s">
        <v>7141</v>
      </c>
      <c r="AD592" s="9" t="s">
        <v>86</v>
      </c>
      <c r="AE592" s="9">
        <v>2641500</v>
      </c>
      <c r="AF592" s="11">
        <v>46226</v>
      </c>
      <c r="AG592" s="9"/>
      <c r="AH592" s="9"/>
      <c r="AI592" s="9"/>
      <c r="AJ592" s="12" t="s">
        <v>11963</v>
      </c>
      <c r="AK592" s="13">
        <v>46226</v>
      </c>
      <c r="AL592" s="13"/>
      <c r="AM592" s="14">
        <f t="shared" si="9"/>
        <v>0</v>
      </c>
      <c r="AN592" s="12" t="s">
        <v>12004</v>
      </c>
    </row>
    <row r="593" spans="1:40" x14ac:dyDescent="0.25">
      <c r="A593" s="15">
        <v>592</v>
      </c>
      <c r="B593" s="12" t="s">
        <v>35</v>
      </c>
      <c r="C593" s="12" t="s">
        <v>7142</v>
      </c>
      <c r="D593" s="12" t="s">
        <v>37</v>
      </c>
      <c r="E593" s="12" t="s">
        <v>7143</v>
      </c>
      <c r="F593" s="12" t="s">
        <v>138</v>
      </c>
      <c r="G593" s="12" t="s">
        <v>7144</v>
      </c>
      <c r="H593" s="12" t="s">
        <v>7145</v>
      </c>
      <c r="I593" s="12" t="s">
        <v>7145</v>
      </c>
      <c r="J593" s="12" t="s">
        <v>141</v>
      </c>
      <c r="K593" s="12" t="s">
        <v>7146</v>
      </c>
      <c r="L593" s="12">
        <v>475000</v>
      </c>
      <c r="M593" s="12">
        <v>950000</v>
      </c>
      <c r="N593" s="12" t="s">
        <v>7147</v>
      </c>
      <c r="O593" s="16">
        <v>45630</v>
      </c>
      <c r="P593" s="12" t="s">
        <v>7148</v>
      </c>
      <c r="Q593" s="12" t="s">
        <v>7149</v>
      </c>
      <c r="R593" s="12" t="s">
        <v>146</v>
      </c>
      <c r="S593" s="12" t="s">
        <v>7150</v>
      </c>
      <c r="T593" s="12" t="s">
        <v>2195</v>
      </c>
      <c r="U593" s="12" t="s">
        <v>903</v>
      </c>
      <c r="V593" s="16">
        <v>43446</v>
      </c>
      <c r="W593" s="12" t="s">
        <v>5587</v>
      </c>
      <c r="X593" s="12" t="s">
        <v>5267</v>
      </c>
      <c r="Y593" s="12" t="s">
        <v>7151</v>
      </c>
      <c r="Z593" s="12">
        <v>7</v>
      </c>
      <c r="AA593" s="12" t="s">
        <v>55</v>
      </c>
      <c r="AB593" s="12" t="s">
        <v>7152</v>
      </c>
      <c r="AC593" s="12" t="s">
        <v>7153</v>
      </c>
      <c r="AD593" s="12" t="s">
        <v>880</v>
      </c>
      <c r="AE593" s="12">
        <v>617500</v>
      </c>
      <c r="AF593" s="13">
        <v>19143</v>
      </c>
      <c r="AG593" s="12"/>
      <c r="AH593" s="12"/>
      <c r="AI593" s="12"/>
      <c r="AJ593" s="12" t="s">
        <v>11964</v>
      </c>
      <c r="AK593" s="13">
        <v>19143</v>
      </c>
      <c r="AL593" s="13"/>
      <c r="AM593" s="14">
        <f t="shared" si="9"/>
        <v>0</v>
      </c>
      <c r="AN593" s="12" t="s">
        <v>12004</v>
      </c>
    </row>
    <row r="594" spans="1:40" x14ac:dyDescent="0.25">
      <c r="A594" s="8">
        <v>593</v>
      </c>
      <c r="B594" s="9" t="s">
        <v>35</v>
      </c>
      <c r="C594" s="9" t="s">
        <v>7154</v>
      </c>
      <c r="D594" s="9" t="s">
        <v>37</v>
      </c>
      <c r="E594" s="9" t="s">
        <v>7155</v>
      </c>
      <c r="F594" s="9" t="s">
        <v>138</v>
      </c>
      <c r="G594" s="9" t="s">
        <v>7156</v>
      </c>
      <c r="H594" s="9" t="s">
        <v>7157</v>
      </c>
      <c r="I594" s="9" t="s">
        <v>7158</v>
      </c>
      <c r="J594" s="9" t="s">
        <v>7157</v>
      </c>
      <c r="K594" s="9" t="s">
        <v>7159</v>
      </c>
      <c r="L594" s="9">
        <v>2944110</v>
      </c>
      <c r="M594" s="9">
        <v>7549000</v>
      </c>
      <c r="N594" s="9" t="s">
        <v>7160</v>
      </c>
      <c r="O594" s="10">
        <v>45632</v>
      </c>
      <c r="P594" s="9" t="s">
        <v>7161</v>
      </c>
      <c r="Q594" s="9" t="s">
        <v>7162</v>
      </c>
      <c r="R594" s="9" t="s">
        <v>47</v>
      </c>
      <c r="S594" s="9" t="s">
        <v>48</v>
      </c>
      <c r="T594" s="9" t="s">
        <v>2476</v>
      </c>
      <c r="U594" s="9" t="s">
        <v>148</v>
      </c>
      <c r="V594" s="10">
        <v>44880</v>
      </c>
      <c r="W594" s="9" t="s">
        <v>5621</v>
      </c>
      <c r="X594" s="9" t="s">
        <v>5267</v>
      </c>
      <c r="Y594" s="9" t="s">
        <v>7163</v>
      </c>
      <c r="Z594" s="9">
        <v>3</v>
      </c>
      <c r="AA594" s="9" t="s">
        <v>152</v>
      </c>
      <c r="AB594" s="9" t="s">
        <v>7164</v>
      </c>
      <c r="AC594" s="9" t="s">
        <v>6624</v>
      </c>
      <c r="AD594" s="9" t="s">
        <v>58</v>
      </c>
      <c r="AE594" s="9">
        <v>6416650</v>
      </c>
      <c r="AF594" s="11">
        <v>128333</v>
      </c>
      <c r="AG594" s="9"/>
      <c r="AH594" s="9"/>
      <c r="AI594" s="9"/>
      <c r="AJ594" s="12" t="s">
        <v>11965</v>
      </c>
      <c r="AK594" s="13">
        <v>128333</v>
      </c>
      <c r="AL594" s="13"/>
      <c r="AM594" s="14">
        <f t="shared" si="9"/>
        <v>0</v>
      </c>
      <c r="AN594" s="12" t="s">
        <v>12004</v>
      </c>
    </row>
    <row r="595" spans="1:40" x14ac:dyDescent="0.25">
      <c r="A595" s="15">
        <v>594</v>
      </c>
      <c r="B595" s="12" t="s">
        <v>35</v>
      </c>
      <c r="C595" s="12" t="s">
        <v>7165</v>
      </c>
      <c r="D595" s="12" t="s">
        <v>37</v>
      </c>
      <c r="E595" s="12" t="s">
        <v>7166</v>
      </c>
      <c r="F595" s="12" t="s">
        <v>73</v>
      </c>
      <c r="G595" s="12" t="s">
        <v>7167</v>
      </c>
      <c r="H595" s="12" t="s">
        <v>7168</v>
      </c>
      <c r="I595" s="12" t="s">
        <v>7168</v>
      </c>
      <c r="J595" s="12" t="s">
        <v>7168</v>
      </c>
      <c r="K595" s="12" t="s">
        <v>7169</v>
      </c>
      <c r="L595" s="12">
        <v>2737700</v>
      </c>
      <c r="M595" s="12">
        <v>3911000</v>
      </c>
      <c r="N595" s="12" t="s">
        <v>7170</v>
      </c>
      <c r="O595" s="16">
        <v>45632</v>
      </c>
      <c r="P595" s="12" t="s">
        <v>7171</v>
      </c>
      <c r="Q595" s="12" t="s">
        <v>7172</v>
      </c>
      <c r="R595" s="12" t="s">
        <v>47</v>
      </c>
      <c r="S595" s="12" t="s">
        <v>48</v>
      </c>
      <c r="T595" s="12" t="s">
        <v>7173</v>
      </c>
      <c r="U595" s="12" t="s">
        <v>50</v>
      </c>
      <c r="V595" s="16">
        <v>44546</v>
      </c>
      <c r="W595" s="12" t="s">
        <v>4473</v>
      </c>
      <c r="X595" s="12" t="s">
        <v>4588</v>
      </c>
      <c r="Y595" s="12" t="s">
        <v>7174</v>
      </c>
      <c r="Z595" s="12">
        <v>5</v>
      </c>
      <c r="AA595" s="12" t="s">
        <v>55</v>
      </c>
      <c r="AB595" s="12" t="s">
        <v>7175</v>
      </c>
      <c r="AC595" s="12" t="s">
        <v>5881</v>
      </c>
      <c r="AD595" s="12" t="s">
        <v>299</v>
      </c>
      <c r="AE595" s="12">
        <v>3128800</v>
      </c>
      <c r="AF595" s="13">
        <v>46932</v>
      </c>
      <c r="AG595" s="12"/>
      <c r="AH595" s="12"/>
      <c r="AI595" s="12"/>
      <c r="AJ595" s="12" t="s">
        <v>11966</v>
      </c>
      <c r="AK595" s="13">
        <v>46932</v>
      </c>
      <c r="AL595" s="13"/>
      <c r="AM595" s="14">
        <f t="shared" si="9"/>
        <v>0</v>
      </c>
      <c r="AN595" s="12" t="s">
        <v>12004</v>
      </c>
    </row>
    <row r="596" spans="1:40" x14ac:dyDescent="0.25">
      <c r="A596" s="8">
        <v>595</v>
      </c>
      <c r="B596" s="9" t="s">
        <v>35</v>
      </c>
      <c r="C596" s="9" t="s">
        <v>7176</v>
      </c>
      <c r="D596" s="9" t="s">
        <v>37</v>
      </c>
      <c r="E596" s="9" t="s">
        <v>7177</v>
      </c>
      <c r="F596" s="9" t="s">
        <v>39</v>
      </c>
      <c r="G596" s="9" t="s">
        <v>7178</v>
      </c>
      <c r="H596" s="9" t="s">
        <v>7179</v>
      </c>
      <c r="I596" s="9" t="s">
        <v>7180</v>
      </c>
      <c r="J596" s="9" t="s">
        <v>7181</v>
      </c>
      <c r="K596" s="9" t="s">
        <v>7182</v>
      </c>
      <c r="L596" s="9">
        <v>2549200</v>
      </c>
      <c r="M596" s="9">
        <v>3186500</v>
      </c>
      <c r="N596" s="9" t="s">
        <v>7183</v>
      </c>
      <c r="O596" s="10">
        <v>45632</v>
      </c>
      <c r="P596" s="9" t="s">
        <v>7184</v>
      </c>
      <c r="Q596" s="9" t="s">
        <v>7185</v>
      </c>
      <c r="R596" s="9" t="s">
        <v>47</v>
      </c>
      <c r="S596" s="9" t="s">
        <v>48</v>
      </c>
      <c r="T596" s="9" t="s">
        <v>495</v>
      </c>
      <c r="U596" s="9" t="s">
        <v>50</v>
      </c>
      <c r="V596" s="10">
        <v>44440</v>
      </c>
      <c r="W596" s="9" t="s">
        <v>6483</v>
      </c>
      <c r="X596" s="9" t="s">
        <v>6431</v>
      </c>
      <c r="Y596" s="9" t="s">
        <v>7186</v>
      </c>
      <c r="Z596" s="9">
        <v>5</v>
      </c>
      <c r="AA596" s="9" t="s">
        <v>55</v>
      </c>
      <c r="AB596" s="9" t="s">
        <v>7187</v>
      </c>
      <c r="AC596" s="9" t="s">
        <v>5881</v>
      </c>
      <c r="AD596" s="9" t="s">
        <v>58</v>
      </c>
      <c r="AE596" s="9">
        <v>2549200</v>
      </c>
      <c r="AF596" s="11">
        <v>50984</v>
      </c>
      <c r="AG596" s="9"/>
      <c r="AH596" s="9"/>
      <c r="AI596" s="9"/>
      <c r="AJ596" s="12" t="s">
        <v>11967</v>
      </c>
      <c r="AK596" s="13">
        <v>50984</v>
      </c>
      <c r="AL596" s="13"/>
      <c r="AM596" s="14">
        <f t="shared" si="9"/>
        <v>0</v>
      </c>
      <c r="AN596" s="12" t="s">
        <v>12004</v>
      </c>
    </row>
    <row r="597" spans="1:40" x14ac:dyDescent="0.25">
      <c r="A597" s="15">
        <v>596</v>
      </c>
      <c r="B597" s="12" t="s">
        <v>35</v>
      </c>
      <c r="C597" s="12" t="s">
        <v>7188</v>
      </c>
      <c r="D597" s="12" t="s">
        <v>37</v>
      </c>
      <c r="E597" s="12" t="s">
        <v>7189</v>
      </c>
      <c r="F597" s="12" t="s">
        <v>39</v>
      </c>
      <c r="G597" s="12" t="s">
        <v>7190</v>
      </c>
      <c r="H597" s="12" t="s">
        <v>7191</v>
      </c>
      <c r="I597" s="12" t="s">
        <v>7192</v>
      </c>
      <c r="J597" s="12" t="s">
        <v>7191</v>
      </c>
      <c r="K597" s="12" t="s">
        <v>7193</v>
      </c>
      <c r="L597" s="12">
        <v>2549200</v>
      </c>
      <c r="M597" s="12">
        <v>3186500</v>
      </c>
      <c r="N597" s="12" t="s">
        <v>7194</v>
      </c>
      <c r="O597" s="16">
        <v>45632</v>
      </c>
      <c r="P597" s="12" t="s">
        <v>7195</v>
      </c>
      <c r="Q597" s="12" t="s">
        <v>7196</v>
      </c>
      <c r="R597" s="12" t="s">
        <v>47</v>
      </c>
      <c r="S597" s="12" t="s">
        <v>48</v>
      </c>
      <c r="T597" s="12" t="s">
        <v>1166</v>
      </c>
      <c r="U597" s="12" t="s">
        <v>50</v>
      </c>
      <c r="V597" s="16">
        <v>44414</v>
      </c>
      <c r="W597" s="12" t="s">
        <v>6483</v>
      </c>
      <c r="X597" s="12" t="s">
        <v>6431</v>
      </c>
      <c r="Y597" s="12" t="s">
        <v>7197</v>
      </c>
      <c r="Z597" s="12">
        <v>5</v>
      </c>
      <c r="AA597" s="12" t="s">
        <v>118</v>
      </c>
      <c r="AB597" s="12" t="s">
        <v>7198</v>
      </c>
      <c r="AC597" s="12" t="s">
        <v>5881</v>
      </c>
      <c r="AD597" s="12" t="s">
        <v>58</v>
      </c>
      <c r="AE597" s="12">
        <v>2549200</v>
      </c>
      <c r="AF597" s="13">
        <v>50984</v>
      </c>
      <c r="AG597" s="12"/>
      <c r="AH597" s="12"/>
      <c r="AI597" s="12"/>
      <c r="AJ597" s="12" t="s">
        <v>11968</v>
      </c>
      <c r="AK597" s="13">
        <v>50984</v>
      </c>
      <c r="AL597" s="13"/>
      <c r="AM597" s="14">
        <f t="shared" si="9"/>
        <v>0</v>
      </c>
      <c r="AN597" s="12" t="s">
        <v>12004</v>
      </c>
    </row>
    <row r="598" spans="1:40" x14ac:dyDescent="0.25">
      <c r="A598" s="8">
        <v>597</v>
      </c>
      <c r="B598" s="9" t="s">
        <v>35</v>
      </c>
      <c r="C598" s="9" t="s">
        <v>7199</v>
      </c>
      <c r="D598" s="9" t="s">
        <v>37</v>
      </c>
      <c r="E598" s="9" t="s">
        <v>7200</v>
      </c>
      <c r="F598" s="9" t="s">
        <v>107</v>
      </c>
      <c r="G598" s="9" t="s">
        <v>7201</v>
      </c>
      <c r="H598" s="9" t="s">
        <v>7202</v>
      </c>
      <c r="I598" s="9" t="s">
        <v>7203</v>
      </c>
      <c r="J598" s="9" t="s">
        <v>1505</v>
      </c>
      <c r="K598" s="9" t="s">
        <v>7204</v>
      </c>
      <c r="L598" s="9">
        <v>2359800</v>
      </c>
      <c r="M598" s="9">
        <v>3933000</v>
      </c>
      <c r="N598" s="9" t="s">
        <v>7205</v>
      </c>
      <c r="O598" s="10">
        <v>45632</v>
      </c>
      <c r="P598" s="9" t="s">
        <v>7206</v>
      </c>
      <c r="Q598" s="9" t="s">
        <v>7207</v>
      </c>
      <c r="R598" s="9" t="s">
        <v>47</v>
      </c>
      <c r="S598" s="9" t="s">
        <v>48</v>
      </c>
      <c r="T598" s="9" t="s">
        <v>2835</v>
      </c>
      <c r="U598" s="9" t="s">
        <v>98</v>
      </c>
      <c r="V598" s="10">
        <v>44111</v>
      </c>
      <c r="W598" s="9" t="s">
        <v>3830</v>
      </c>
      <c r="X598" s="9" t="s">
        <v>3831</v>
      </c>
      <c r="Y598" s="9" t="s">
        <v>7208</v>
      </c>
      <c r="Z598" s="9">
        <v>5</v>
      </c>
      <c r="AA598" s="9" t="s">
        <v>55</v>
      </c>
      <c r="AB598" s="9" t="s">
        <v>7209</v>
      </c>
      <c r="AC598" s="9" t="s">
        <v>7210</v>
      </c>
      <c r="AD598" s="9" t="s">
        <v>58</v>
      </c>
      <c r="AE598" s="9">
        <v>2949750</v>
      </c>
      <c r="AF598" s="11">
        <v>58995</v>
      </c>
      <c r="AG598" s="9"/>
      <c r="AH598" s="9"/>
      <c r="AI598" s="9"/>
      <c r="AJ598" s="12" t="s">
        <v>11969</v>
      </c>
      <c r="AK598" s="13">
        <v>58995</v>
      </c>
      <c r="AL598" s="13"/>
      <c r="AM598" s="14">
        <f t="shared" si="9"/>
        <v>0</v>
      </c>
      <c r="AN598" s="12" t="s">
        <v>12004</v>
      </c>
    </row>
    <row r="599" spans="1:40" x14ac:dyDescent="0.25">
      <c r="A599" s="15">
        <v>598</v>
      </c>
      <c r="B599" s="12" t="s">
        <v>35</v>
      </c>
      <c r="C599" s="12" t="s">
        <v>7211</v>
      </c>
      <c r="D599" s="12" t="s">
        <v>37</v>
      </c>
      <c r="E599" s="12" t="s">
        <v>7212</v>
      </c>
      <c r="F599" s="12" t="s">
        <v>39</v>
      </c>
      <c r="G599" s="12" t="s">
        <v>7213</v>
      </c>
      <c r="H599" s="12" t="s">
        <v>7214</v>
      </c>
      <c r="I599" s="12" t="s">
        <v>7215</v>
      </c>
      <c r="J599" s="12" t="s">
        <v>7214</v>
      </c>
      <c r="K599" s="12" t="s">
        <v>7216</v>
      </c>
      <c r="L599" s="12">
        <v>1892100</v>
      </c>
      <c r="M599" s="12">
        <v>2703000</v>
      </c>
      <c r="N599" s="12" t="s">
        <v>7217</v>
      </c>
      <c r="O599" s="16">
        <v>45632</v>
      </c>
      <c r="P599" s="12" t="s">
        <v>7218</v>
      </c>
      <c r="Q599" s="12" t="s">
        <v>7219</v>
      </c>
      <c r="R599" s="12" t="s">
        <v>47</v>
      </c>
      <c r="S599" s="12" t="s">
        <v>48</v>
      </c>
      <c r="T599" s="12" t="s">
        <v>1826</v>
      </c>
      <c r="U599" s="12" t="s">
        <v>50</v>
      </c>
      <c r="V599" s="16">
        <v>44463</v>
      </c>
      <c r="W599" s="12" t="s">
        <v>6483</v>
      </c>
      <c r="X599" s="12" t="s">
        <v>3831</v>
      </c>
      <c r="Y599" s="12" t="s">
        <v>7220</v>
      </c>
      <c r="Z599" s="12">
        <v>4</v>
      </c>
      <c r="AA599" s="12" t="s">
        <v>55</v>
      </c>
      <c r="AB599" s="12" t="s">
        <v>7221</v>
      </c>
      <c r="AC599" s="12" t="s">
        <v>5881</v>
      </c>
      <c r="AD599" s="12" t="s">
        <v>58</v>
      </c>
      <c r="AE599" s="12">
        <v>2162400</v>
      </c>
      <c r="AF599" s="13">
        <v>43248</v>
      </c>
      <c r="AG599" s="12"/>
      <c r="AH599" s="12"/>
      <c r="AI599" s="12"/>
      <c r="AJ599" s="12" t="s">
        <v>11970</v>
      </c>
      <c r="AK599" s="13">
        <v>43248</v>
      </c>
      <c r="AL599" s="13"/>
      <c r="AM599" s="14">
        <f t="shared" si="9"/>
        <v>0</v>
      </c>
      <c r="AN599" s="12" t="s">
        <v>12004</v>
      </c>
    </row>
    <row r="600" spans="1:40" x14ac:dyDescent="0.25">
      <c r="A600" s="8">
        <v>599</v>
      </c>
      <c r="B600" s="9" t="s">
        <v>35</v>
      </c>
      <c r="C600" s="9" t="s">
        <v>7222</v>
      </c>
      <c r="D600" s="9" t="s">
        <v>37</v>
      </c>
      <c r="E600" s="9" t="s">
        <v>7223</v>
      </c>
      <c r="F600" s="9" t="s">
        <v>107</v>
      </c>
      <c r="G600" s="9" t="s">
        <v>7224</v>
      </c>
      <c r="H600" s="9" t="s">
        <v>7225</v>
      </c>
      <c r="I600" s="9" t="s">
        <v>7225</v>
      </c>
      <c r="J600" s="9" t="s">
        <v>7225</v>
      </c>
      <c r="K600" s="9" t="s">
        <v>7226</v>
      </c>
      <c r="L600" s="9">
        <v>1817600</v>
      </c>
      <c r="M600" s="9">
        <v>2272000</v>
      </c>
      <c r="N600" s="9" t="s">
        <v>7227</v>
      </c>
      <c r="O600" s="10">
        <v>45632</v>
      </c>
      <c r="P600" s="9" t="s">
        <v>7228</v>
      </c>
      <c r="Q600" s="9" t="s">
        <v>7229</v>
      </c>
      <c r="R600" s="9" t="s">
        <v>47</v>
      </c>
      <c r="S600" s="9" t="s">
        <v>48</v>
      </c>
      <c r="T600" s="9" t="s">
        <v>3282</v>
      </c>
      <c r="U600" s="9" t="s">
        <v>50</v>
      </c>
      <c r="V600" s="10">
        <v>44540</v>
      </c>
      <c r="W600" s="9" t="s">
        <v>6483</v>
      </c>
      <c r="X600" s="9" t="s">
        <v>6431</v>
      </c>
      <c r="Y600" s="9" t="s">
        <v>7230</v>
      </c>
      <c r="Z600" s="9">
        <v>5</v>
      </c>
      <c r="AA600" s="9" t="s">
        <v>55</v>
      </c>
      <c r="AB600" s="9" t="s">
        <v>7231</v>
      </c>
      <c r="AC600" s="9" t="s">
        <v>6841</v>
      </c>
      <c r="AD600" s="9" t="s">
        <v>58</v>
      </c>
      <c r="AE600" s="9">
        <v>1817600</v>
      </c>
      <c r="AF600" s="11">
        <v>36352</v>
      </c>
      <c r="AG600" s="9"/>
      <c r="AH600" s="9"/>
      <c r="AI600" s="9"/>
      <c r="AJ600" s="12" t="s">
        <v>11971</v>
      </c>
      <c r="AK600" s="13">
        <v>36352</v>
      </c>
      <c r="AL600" s="13"/>
      <c r="AM600" s="14">
        <f t="shared" si="9"/>
        <v>0</v>
      </c>
      <c r="AN600" s="12" t="s">
        <v>12004</v>
      </c>
    </row>
    <row r="601" spans="1:40" x14ac:dyDescent="0.25">
      <c r="A601" s="15">
        <v>600</v>
      </c>
      <c r="B601" s="12" t="s">
        <v>35</v>
      </c>
      <c r="C601" s="12" t="s">
        <v>7232</v>
      </c>
      <c r="D601" s="12" t="s">
        <v>37</v>
      </c>
      <c r="E601" s="12" t="s">
        <v>7233</v>
      </c>
      <c r="F601" s="12" t="s">
        <v>39</v>
      </c>
      <c r="G601" s="12" t="s">
        <v>7234</v>
      </c>
      <c r="H601" s="12" t="s">
        <v>7235</v>
      </c>
      <c r="I601" s="12" t="s">
        <v>7236</v>
      </c>
      <c r="J601" s="12" t="s">
        <v>7237</v>
      </c>
      <c r="K601" s="12" t="s">
        <v>7238</v>
      </c>
      <c r="L601" s="12">
        <v>1759800</v>
      </c>
      <c r="M601" s="12">
        <v>2933000</v>
      </c>
      <c r="N601" s="12" t="s">
        <v>7239</v>
      </c>
      <c r="O601" s="16">
        <v>45632</v>
      </c>
      <c r="P601" s="12" t="s">
        <v>7240</v>
      </c>
      <c r="Q601" s="12" t="s">
        <v>7241</v>
      </c>
      <c r="R601" s="12" t="s">
        <v>47</v>
      </c>
      <c r="S601" s="12" t="s">
        <v>48</v>
      </c>
      <c r="T601" s="12" t="s">
        <v>2357</v>
      </c>
      <c r="U601" s="12" t="s">
        <v>50</v>
      </c>
      <c r="V601" s="16">
        <v>44469</v>
      </c>
      <c r="W601" s="12" t="s">
        <v>6483</v>
      </c>
      <c r="X601" s="12" t="s">
        <v>6431</v>
      </c>
      <c r="Y601" s="12" t="s">
        <v>7242</v>
      </c>
      <c r="Z601" s="12">
        <v>5</v>
      </c>
      <c r="AA601" s="12" t="s">
        <v>55</v>
      </c>
      <c r="AB601" s="12" t="s">
        <v>7243</v>
      </c>
      <c r="AC601" s="12" t="s">
        <v>5881</v>
      </c>
      <c r="AD601" s="12" t="s">
        <v>58</v>
      </c>
      <c r="AE601" s="12">
        <v>2346400</v>
      </c>
      <c r="AF601" s="13">
        <v>46928</v>
      </c>
      <c r="AG601" s="12"/>
      <c r="AH601" s="12"/>
      <c r="AI601" s="12"/>
      <c r="AJ601" s="12" t="s">
        <v>11972</v>
      </c>
      <c r="AK601" s="13">
        <v>46928</v>
      </c>
      <c r="AL601" s="13"/>
      <c r="AM601" s="14">
        <f t="shared" si="9"/>
        <v>0</v>
      </c>
      <c r="AN601" s="12" t="s">
        <v>12004</v>
      </c>
    </row>
    <row r="602" spans="1:40" x14ac:dyDescent="0.25">
      <c r="A602" s="8">
        <v>601</v>
      </c>
      <c r="B602" s="9" t="s">
        <v>35</v>
      </c>
      <c r="C602" s="9" t="s">
        <v>7244</v>
      </c>
      <c r="D602" s="9" t="s">
        <v>37</v>
      </c>
      <c r="E602" s="9" t="s">
        <v>7245</v>
      </c>
      <c r="F602" s="9" t="s">
        <v>73</v>
      </c>
      <c r="G602" s="9" t="s">
        <v>7246</v>
      </c>
      <c r="H602" s="9" t="s">
        <v>7247</v>
      </c>
      <c r="I602" s="9" t="s">
        <v>7247</v>
      </c>
      <c r="J602" s="9" t="s">
        <v>7247</v>
      </c>
      <c r="K602" s="9" t="s">
        <v>7248</v>
      </c>
      <c r="L602" s="9">
        <v>1288000</v>
      </c>
      <c r="M602" s="9">
        <v>1610000</v>
      </c>
      <c r="N602" s="9" t="s">
        <v>7249</v>
      </c>
      <c r="O602" s="10">
        <v>45632</v>
      </c>
      <c r="P602" s="9" t="s">
        <v>7250</v>
      </c>
      <c r="Q602" s="9" t="s">
        <v>7251</v>
      </c>
      <c r="R602" s="9" t="s">
        <v>47</v>
      </c>
      <c r="S602" s="9" t="s">
        <v>48</v>
      </c>
      <c r="T602" s="9" t="s">
        <v>3356</v>
      </c>
      <c r="U602" s="9" t="s">
        <v>50</v>
      </c>
      <c r="V602" s="10">
        <v>44393</v>
      </c>
      <c r="W602" s="9" t="s">
        <v>7252</v>
      </c>
      <c r="X602" s="9" t="s">
        <v>7253</v>
      </c>
      <c r="Y602" s="9" t="s">
        <v>7254</v>
      </c>
      <c r="Z602" s="9">
        <v>5</v>
      </c>
      <c r="AA602" s="9" t="s">
        <v>55</v>
      </c>
      <c r="AB602" s="9" t="s">
        <v>7255</v>
      </c>
      <c r="AC602" s="9" t="s">
        <v>4903</v>
      </c>
      <c r="AD602" s="9" t="s">
        <v>58</v>
      </c>
      <c r="AE602" s="9">
        <v>1368500</v>
      </c>
      <c r="AF602" s="11">
        <v>27370</v>
      </c>
      <c r="AG602" s="9"/>
      <c r="AH602" s="9"/>
      <c r="AI602" s="9"/>
      <c r="AJ602" s="12" t="s">
        <v>11973</v>
      </c>
      <c r="AK602" s="13">
        <v>27370</v>
      </c>
      <c r="AL602" s="13"/>
      <c r="AM602" s="14">
        <f t="shared" si="9"/>
        <v>0</v>
      </c>
      <c r="AN602" s="12" t="s">
        <v>12004</v>
      </c>
    </row>
    <row r="603" spans="1:40" x14ac:dyDescent="0.25">
      <c r="A603" s="15">
        <v>602</v>
      </c>
      <c r="B603" s="12" t="s">
        <v>35</v>
      </c>
      <c r="C603" s="12" t="s">
        <v>7256</v>
      </c>
      <c r="D603" s="12" t="s">
        <v>37</v>
      </c>
      <c r="E603" s="12" t="s">
        <v>7257</v>
      </c>
      <c r="F603" s="12" t="s">
        <v>39</v>
      </c>
      <c r="G603" s="12" t="s">
        <v>7258</v>
      </c>
      <c r="H603" s="12" t="s">
        <v>7259</v>
      </c>
      <c r="I603" s="12" t="s">
        <v>7260</v>
      </c>
      <c r="J603" s="12" t="s">
        <v>7261</v>
      </c>
      <c r="K603" s="12" t="s">
        <v>7262</v>
      </c>
      <c r="L603" s="12">
        <v>1280000</v>
      </c>
      <c r="M603" s="12">
        <v>1600000</v>
      </c>
      <c r="N603" s="12" t="s">
        <v>7263</v>
      </c>
      <c r="O603" s="16">
        <v>45632</v>
      </c>
      <c r="P603" s="12" t="s">
        <v>7264</v>
      </c>
      <c r="Q603" s="12" t="s">
        <v>7265</v>
      </c>
      <c r="R603" s="12" t="s">
        <v>146</v>
      </c>
      <c r="S603" s="12" t="s">
        <v>7266</v>
      </c>
      <c r="T603" s="12" t="s">
        <v>1909</v>
      </c>
      <c r="U603" s="12" t="s">
        <v>335</v>
      </c>
      <c r="V603" s="16">
        <v>44538</v>
      </c>
      <c r="W603" s="12" t="s">
        <v>6483</v>
      </c>
      <c r="X603" s="12" t="s">
        <v>6431</v>
      </c>
      <c r="Y603" s="12" t="s">
        <v>7267</v>
      </c>
      <c r="Z603" s="12">
        <v>5</v>
      </c>
      <c r="AA603" s="12" t="s">
        <v>55</v>
      </c>
      <c r="AB603" s="12" t="s">
        <v>7268</v>
      </c>
      <c r="AC603" s="12" t="s">
        <v>5881</v>
      </c>
      <c r="AD603" s="12" t="s">
        <v>299</v>
      </c>
      <c r="AE603" s="12">
        <v>1280000</v>
      </c>
      <c r="AF603" s="13">
        <v>19200</v>
      </c>
      <c r="AG603" s="12"/>
      <c r="AH603" s="12"/>
      <c r="AI603" s="12"/>
      <c r="AJ603" s="12" t="s">
        <v>11974</v>
      </c>
      <c r="AK603" s="13">
        <v>19200</v>
      </c>
      <c r="AL603" s="13"/>
      <c r="AM603" s="14">
        <f t="shared" si="9"/>
        <v>0</v>
      </c>
      <c r="AN603" s="12" t="s">
        <v>12004</v>
      </c>
    </row>
    <row r="604" spans="1:40" x14ac:dyDescent="0.25">
      <c r="A604" s="8">
        <v>603</v>
      </c>
      <c r="B604" s="9" t="s">
        <v>35</v>
      </c>
      <c r="C604" s="9" t="s">
        <v>7269</v>
      </c>
      <c r="D604" s="9" t="s">
        <v>37</v>
      </c>
      <c r="E604" s="9" t="s">
        <v>7270</v>
      </c>
      <c r="F604" s="9" t="s">
        <v>138</v>
      </c>
      <c r="G604" s="9" t="s">
        <v>7271</v>
      </c>
      <c r="H604" s="9" t="s">
        <v>48</v>
      </c>
      <c r="I604" s="9" t="s">
        <v>7272</v>
      </c>
      <c r="J604" s="9" t="s">
        <v>48</v>
      </c>
      <c r="K604" s="9" t="s">
        <v>7273</v>
      </c>
      <c r="L604" s="9">
        <v>1399300</v>
      </c>
      <c r="M604" s="9">
        <v>1999000</v>
      </c>
      <c r="N604" s="9" t="s">
        <v>7274</v>
      </c>
      <c r="O604" s="10">
        <v>45632</v>
      </c>
      <c r="P604" s="9" t="s">
        <v>7275</v>
      </c>
      <c r="Q604" s="9" t="s">
        <v>7276</v>
      </c>
      <c r="R604" s="9" t="s">
        <v>47</v>
      </c>
      <c r="S604" s="9" t="s">
        <v>48</v>
      </c>
      <c r="T604" s="9" t="s">
        <v>5028</v>
      </c>
      <c r="U604" s="9" t="s">
        <v>98</v>
      </c>
      <c r="V604" s="10">
        <v>44074</v>
      </c>
      <c r="W604" s="9" t="s">
        <v>4001</v>
      </c>
      <c r="X604" s="9" t="s">
        <v>4016</v>
      </c>
      <c r="Y604" s="9" t="s">
        <v>7277</v>
      </c>
      <c r="Z604" s="9">
        <v>6</v>
      </c>
      <c r="AA604" s="9" t="s">
        <v>227</v>
      </c>
      <c r="AB604" s="9" t="s">
        <v>7278</v>
      </c>
      <c r="AC604" s="9" t="s">
        <v>6900</v>
      </c>
      <c r="AD604" s="9" t="s">
        <v>58</v>
      </c>
      <c r="AE604" s="9">
        <v>1499250</v>
      </c>
      <c r="AF604" s="11">
        <v>29985</v>
      </c>
      <c r="AG604" s="9"/>
      <c r="AH604" s="9"/>
      <c r="AI604" s="9"/>
      <c r="AJ604" s="17" t="s">
        <v>12001</v>
      </c>
      <c r="AK604" s="13">
        <v>29985</v>
      </c>
      <c r="AL604" s="13"/>
      <c r="AM604" s="14">
        <f t="shared" si="9"/>
        <v>0</v>
      </c>
      <c r="AN604" s="12" t="s">
        <v>12004</v>
      </c>
    </row>
    <row r="605" spans="1:40" x14ac:dyDescent="0.25">
      <c r="A605" s="15">
        <v>604</v>
      </c>
      <c r="B605" s="12" t="s">
        <v>35</v>
      </c>
      <c r="C605" s="12" t="s">
        <v>7279</v>
      </c>
      <c r="D605" s="12" t="s">
        <v>37</v>
      </c>
      <c r="E605" s="12" t="s">
        <v>7280</v>
      </c>
      <c r="F605" s="12" t="s">
        <v>245</v>
      </c>
      <c r="G605" s="12" t="s">
        <v>7281</v>
      </c>
      <c r="H605" s="12" t="s">
        <v>48</v>
      </c>
      <c r="I605" s="12" t="s">
        <v>48</v>
      </c>
      <c r="J605" s="12" t="s">
        <v>48</v>
      </c>
      <c r="K605" s="12" t="s">
        <v>7282</v>
      </c>
      <c r="L605" s="12">
        <v>1137500</v>
      </c>
      <c r="M605" s="12">
        <v>1750000</v>
      </c>
      <c r="N605" s="12" t="s">
        <v>7283</v>
      </c>
      <c r="O605" s="16">
        <v>45632</v>
      </c>
      <c r="P605" s="12" t="s">
        <v>7284</v>
      </c>
      <c r="Q605" s="12" t="s">
        <v>7285</v>
      </c>
      <c r="R605" s="12" t="s">
        <v>146</v>
      </c>
      <c r="S605" s="12" t="s">
        <v>7286</v>
      </c>
      <c r="T605" s="12" t="s">
        <v>181</v>
      </c>
      <c r="U605" s="12" t="s">
        <v>98</v>
      </c>
      <c r="V605" s="16">
        <v>44543</v>
      </c>
      <c r="W605" s="12" t="s">
        <v>4473</v>
      </c>
      <c r="X605" s="12" t="s">
        <v>4724</v>
      </c>
      <c r="Y605" s="12" t="s">
        <v>7287</v>
      </c>
      <c r="Z605" s="12">
        <v>7</v>
      </c>
      <c r="AA605" s="12" t="s">
        <v>55</v>
      </c>
      <c r="AB605" s="12" t="s">
        <v>7288</v>
      </c>
      <c r="AC605" s="12" t="s">
        <v>6351</v>
      </c>
      <c r="AD605" s="12" t="s">
        <v>299</v>
      </c>
      <c r="AE605" s="12">
        <v>1400000</v>
      </c>
      <c r="AF605" s="13">
        <v>21000</v>
      </c>
      <c r="AG605" s="12"/>
      <c r="AH605" s="12"/>
      <c r="AI605" s="12"/>
      <c r="AJ605" s="12" t="s">
        <v>11975</v>
      </c>
      <c r="AK605" s="13">
        <v>21000</v>
      </c>
      <c r="AL605" s="13"/>
      <c r="AM605" s="14">
        <f t="shared" si="9"/>
        <v>0</v>
      </c>
      <c r="AN605" s="12" t="s">
        <v>12004</v>
      </c>
    </row>
    <row r="606" spans="1:40" x14ac:dyDescent="0.25">
      <c r="A606" s="8">
        <v>605</v>
      </c>
      <c r="B606" s="9" t="s">
        <v>35</v>
      </c>
      <c r="C606" s="9" t="s">
        <v>7289</v>
      </c>
      <c r="D606" s="9" t="s">
        <v>37</v>
      </c>
      <c r="E606" s="9" t="s">
        <v>7290</v>
      </c>
      <c r="F606" s="9" t="s">
        <v>39</v>
      </c>
      <c r="G606" s="9" t="s">
        <v>7291</v>
      </c>
      <c r="H606" s="9" t="s">
        <v>48</v>
      </c>
      <c r="I606" s="9" t="s">
        <v>7292</v>
      </c>
      <c r="J606" s="9" t="s">
        <v>48</v>
      </c>
      <c r="K606" s="9" t="s">
        <v>7293</v>
      </c>
      <c r="L606" s="9">
        <v>2054500</v>
      </c>
      <c r="M606" s="9">
        <v>2935000</v>
      </c>
      <c r="N606" s="9" t="s">
        <v>7294</v>
      </c>
      <c r="O606" s="9" t="s">
        <v>7295</v>
      </c>
      <c r="P606" s="9" t="s">
        <v>7296</v>
      </c>
      <c r="Q606" s="9" t="s">
        <v>7297</v>
      </c>
      <c r="R606" s="9" t="s">
        <v>47</v>
      </c>
      <c r="S606" s="9" t="s">
        <v>48</v>
      </c>
      <c r="T606" s="9" t="s">
        <v>613</v>
      </c>
      <c r="U606" s="9" t="s">
        <v>386</v>
      </c>
      <c r="V606" s="10">
        <v>45230</v>
      </c>
      <c r="W606" s="9" t="s">
        <v>4587</v>
      </c>
      <c r="X606" s="9" t="s">
        <v>5561</v>
      </c>
      <c r="Y606" s="9" t="s">
        <v>7298</v>
      </c>
      <c r="Z606" s="9">
        <v>4</v>
      </c>
      <c r="AA606" s="9" t="s">
        <v>152</v>
      </c>
      <c r="AB606" s="9" t="s">
        <v>7299</v>
      </c>
      <c r="AC606" s="9" t="s">
        <v>7141</v>
      </c>
      <c r="AD606" s="9" t="s">
        <v>58</v>
      </c>
      <c r="AE606" s="9">
        <v>2641500</v>
      </c>
      <c r="AF606" s="11">
        <v>52830</v>
      </c>
      <c r="AG606" s="9"/>
      <c r="AH606" s="9"/>
      <c r="AI606" s="9"/>
      <c r="AJ606" s="12" t="s">
        <v>11976</v>
      </c>
      <c r="AK606" s="13">
        <v>52830</v>
      </c>
      <c r="AL606" s="13"/>
      <c r="AM606" s="14">
        <f t="shared" si="9"/>
        <v>0</v>
      </c>
      <c r="AN606" s="12" t="s">
        <v>12004</v>
      </c>
    </row>
    <row r="607" spans="1:40" x14ac:dyDescent="0.25">
      <c r="A607" s="15">
        <v>606</v>
      </c>
      <c r="B607" s="12" t="s">
        <v>35</v>
      </c>
      <c r="C607" s="12" t="s">
        <v>7300</v>
      </c>
      <c r="D607" s="12" t="s">
        <v>37</v>
      </c>
      <c r="E607" s="12" t="s">
        <v>7301</v>
      </c>
      <c r="F607" s="12" t="s">
        <v>7302</v>
      </c>
      <c r="G607" s="12" t="s">
        <v>7303</v>
      </c>
      <c r="H607" s="12" t="s">
        <v>7304</v>
      </c>
      <c r="I607" s="12" t="s">
        <v>7304</v>
      </c>
      <c r="J607" s="12" t="s">
        <v>7304</v>
      </c>
      <c r="K607" s="12" t="s">
        <v>7305</v>
      </c>
      <c r="L607" s="12">
        <v>1144000</v>
      </c>
      <c r="M607" s="12">
        <v>1760000</v>
      </c>
      <c r="N607" s="12" t="s">
        <v>7306</v>
      </c>
      <c r="O607" s="16">
        <v>45632</v>
      </c>
      <c r="P607" s="12" t="s">
        <v>7307</v>
      </c>
      <c r="Q607" s="12" t="s">
        <v>7308</v>
      </c>
      <c r="R607" s="12" t="s">
        <v>47</v>
      </c>
      <c r="S607" s="12" t="s">
        <v>48</v>
      </c>
      <c r="T607" s="12" t="s">
        <v>859</v>
      </c>
      <c r="U607" s="12" t="s">
        <v>50</v>
      </c>
      <c r="V607" s="16">
        <v>44539</v>
      </c>
      <c r="W607" s="12" t="s">
        <v>6483</v>
      </c>
      <c r="X607" s="12" t="s">
        <v>6431</v>
      </c>
      <c r="Y607" s="12" t="s">
        <v>7309</v>
      </c>
      <c r="Z607" s="12">
        <v>5</v>
      </c>
      <c r="AA607" s="12" t="s">
        <v>55</v>
      </c>
      <c r="AB607" s="12" t="s">
        <v>7310</v>
      </c>
      <c r="AC607" s="12" t="s">
        <v>5881</v>
      </c>
      <c r="AD607" s="12" t="s">
        <v>58</v>
      </c>
      <c r="AE607" s="12">
        <v>1408000</v>
      </c>
      <c r="AF607" s="13">
        <v>28160</v>
      </c>
      <c r="AG607" s="12"/>
      <c r="AH607" s="12"/>
      <c r="AI607" s="12"/>
      <c r="AJ607" s="12" t="s">
        <v>11977</v>
      </c>
      <c r="AK607" s="13">
        <v>28160</v>
      </c>
      <c r="AL607" s="13"/>
      <c r="AM607" s="14">
        <f t="shared" si="9"/>
        <v>0</v>
      </c>
      <c r="AN607" s="12" t="s">
        <v>12004</v>
      </c>
    </row>
    <row r="608" spans="1:40" x14ac:dyDescent="0.25">
      <c r="A608" s="8">
        <v>607</v>
      </c>
      <c r="B608" s="9" t="s">
        <v>35</v>
      </c>
      <c r="C608" s="9" t="s">
        <v>7311</v>
      </c>
      <c r="D608" s="9" t="s">
        <v>37</v>
      </c>
      <c r="E608" s="9" t="s">
        <v>7312</v>
      </c>
      <c r="F608" s="9" t="s">
        <v>138</v>
      </c>
      <c r="G608" s="9" t="s">
        <v>7313</v>
      </c>
      <c r="H608" s="9" t="s">
        <v>7314</v>
      </c>
      <c r="I608" s="9" t="s">
        <v>7314</v>
      </c>
      <c r="J608" s="9" t="s">
        <v>141</v>
      </c>
      <c r="K608" s="9" t="s">
        <v>7315</v>
      </c>
      <c r="L608" s="9">
        <v>900000</v>
      </c>
      <c r="M608" s="9">
        <v>1500000</v>
      </c>
      <c r="N608" s="9" t="s">
        <v>7316</v>
      </c>
      <c r="O608" s="10">
        <v>45631</v>
      </c>
      <c r="P608" s="9" t="s">
        <v>7317</v>
      </c>
      <c r="Q608" s="9" t="s">
        <v>7318</v>
      </c>
      <c r="R608" s="9" t="s">
        <v>146</v>
      </c>
      <c r="S608" s="9" t="s">
        <v>7319</v>
      </c>
      <c r="T608" s="9" t="s">
        <v>613</v>
      </c>
      <c r="U608" s="9" t="s">
        <v>614</v>
      </c>
      <c r="V608" s="10">
        <v>44539</v>
      </c>
      <c r="W608" s="9" t="s">
        <v>6483</v>
      </c>
      <c r="X608" s="9" t="s">
        <v>6444</v>
      </c>
      <c r="Y608" s="9" t="s">
        <v>7320</v>
      </c>
      <c r="Z608" s="9">
        <v>6</v>
      </c>
      <c r="AA608" s="9" t="s">
        <v>118</v>
      </c>
      <c r="AB608" s="9" t="s">
        <v>7321</v>
      </c>
      <c r="AC608" s="9" t="s">
        <v>5881</v>
      </c>
      <c r="AD608" s="9" t="s">
        <v>299</v>
      </c>
      <c r="AE608" s="9">
        <v>1200000</v>
      </c>
      <c r="AF608" s="11">
        <v>18000</v>
      </c>
      <c r="AG608" s="9"/>
      <c r="AH608" s="9"/>
      <c r="AI608" s="9"/>
      <c r="AJ608" s="12" t="s">
        <v>11978</v>
      </c>
      <c r="AK608" s="13">
        <v>18000</v>
      </c>
      <c r="AL608" s="13"/>
      <c r="AM608" s="14">
        <f t="shared" si="9"/>
        <v>0</v>
      </c>
      <c r="AN608" s="12" t="s">
        <v>12004</v>
      </c>
    </row>
    <row r="609" spans="1:40" x14ac:dyDescent="0.25">
      <c r="A609" s="15">
        <v>608</v>
      </c>
      <c r="B609" s="12" t="s">
        <v>35</v>
      </c>
      <c r="C609" s="12" t="s">
        <v>7322</v>
      </c>
      <c r="D609" s="12" t="s">
        <v>37</v>
      </c>
      <c r="E609" s="12" t="s">
        <v>7323</v>
      </c>
      <c r="F609" s="12" t="s">
        <v>107</v>
      </c>
      <c r="G609" s="12" t="s">
        <v>7324</v>
      </c>
      <c r="H609" s="12" t="s">
        <v>7325</v>
      </c>
      <c r="I609" s="12" t="s">
        <v>7325</v>
      </c>
      <c r="J609" s="12" t="s">
        <v>7325</v>
      </c>
      <c r="K609" s="12" t="s">
        <v>7326</v>
      </c>
      <c r="L609" s="12">
        <v>1237500</v>
      </c>
      <c r="M609" s="12">
        <v>1650000</v>
      </c>
      <c r="N609" s="12" t="s">
        <v>7327</v>
      </c>
      <c r="O609" s="16">
        <v>45631</v>
      </c>
      <c r="P609" s="12" t="s">
        <v>7328</v>
      </c>
      <c r="Q609" s="12" t="s">
        <v>7329</v>
      </c>
      <c r="R609" s="12" t="s">
        <v>146</v>
      </c>
      <c r="S609" s="12" t="s">
        <v>7330</v>
      </c>
      <c r="T609" s="12" t="s">
        <v>613</v>
      </c>
      <c r="U609" s="12" t="s">
        <v>614</v>
      </c>
      <c r="V609" s="16">
        <v>44537</v>
      </c>
      <c r="W609" s="12" t="s">
        <v>6483</v>
      </c>
      <c r="X609" s="12" t="s">
        <v>6578</v>
      </c>
      <c r="Y609" s="12" t="s">
        <v>7331</v>
      </c>
      <c r="Z609" s="12">
        <v>7</v>
      </c>
      <c r="AA609" s="12" t="s">
        <v>55</v>
      </c>
      <c r="AB609" s="12" t="s">
        <v>7332</v>
      </c>
      <c r="AC609" s="12" t="s">
        <v>5881</v>
      </c>
      <c r="AD609" s="12" t="s">
        <v>299</v>
      </c>
      <c r="AE609" s="12">
        <v>1320000</v>
      </c>
      <c r="AF609" s="13">
        <v>19800</v>
      </c>
      <c r="AG609" s="12"/>
      <c r="AH609" s="12"/>
      <c r="AI609" s="12"/>
      <c r="AJ609" s="12" t="s">
        <v>11979</v>
      </c>
      <c r="AK609" s="13">
        <v>19800</v>
      </c>
      <c r="AL609" s="13"/>
      <c r="AM609" s="14">
        <f t="shared" si="9"/>
        <v>0</v>
      </c>
      <c r="AN609" s="12" t="s">
        <v>12004</v>
      </c>
    </row>
    <row r="610" spans="1:40" x14ac:dyDescent="0.25">
      <c r="A610" s="8">
        <v>609</v>
      </c>
      <c r="B610" s="9" t="s">
        <v>35</v>
      </c>
      <c r="C610" s="9" t="s">
        <v>7333</v>
      </c>
      <c r="D610" s="9" t="s">
        <v>37</v>
      </c>
      <c r="E610" s="9" t="s">
        <v>7334</v>
      </c>
      <c r="F610" s="9" t="s">
        <v>290</v>
      </c>
      <c r="G610" s="9" t="s">
        <v>7335</v>
      </c>
      <c r="H610" s="9" t="s">
        <v>7336</v>
      </c>
      <c r="I610" s="9" t="s">
        <v>7336</v>
      </c>
      <c r="J610" s="9" t="s">
        <v>7336</v>
      </c>
      <c r="K610" s="9" t="s">
        <v>7337</v>
      </c>
      <c r="L610" s="9">
        <v>1389500</v>
      </c>
      <c r="M610" s="9">
        <v>1985000</v>
      </c>
      <c r="N610" s="9" t="s">
        <v>7338</v>
      </c>
      <c r="O610" s="10">
        <v>45632</v>
      </c>
      <c r="P610" s="9" t="s">
        <v>7339</v>
      </c>
      <c r="Q610" s="9" t="s">
        <v>7340</v>
      </c>
      <c r="R610" s="9" t="s">
        <v>47</v>
      </c>
      <c r="S610" s="9" t="s">
        <v>48</v>
      </c>
      <c r="T610" s="9" t="s">
        <v>7341</v>
      </c>
      <c r="U610" s="9" t="s">
        <v>98</v>
      </c>
      <c r="V610" s="10">
        <v>44034</v>
      </c>
      <c r="W610" s="9" t="s">
        <v>5266</v>
      </c>
      <c r="X610" s="9" t="s">
        <v>5267</v>
      </c>
      <c r="Y610" s="9" t="s">
        <v>7342</v>
      </c>
      <c r="Z610" s="9">
        <v>5</v>
      </c>
      <c r="AA610" s="9" t="s">
        <v>227</v>
      </c>
      <c r="AB610" s="9" t="s">
        <v>7343</v>
      </c>
      <c r="AC610" s="9" t="s">
        <v>7210</v>
      </c>
      <c r="AD610" s="9" t="s">
        <v>58</v>
      </c>
      <c r="AE610" s="9">
        <v>1488750</v>
      </c>
      <c r="AF610" s="11">
        <v>29775</v>
      </c>
      <c r="AG610" s="9"/>
      <c r="AH610" s="9"/>
      <c r="AI610" s="9"/>
      <c r="AJ610" s="12" t="s">
        <v>11980</v>
      </c>
      <c r="AK610" s="13">
        <v>29775</v>
      </c>
      <c r="AL610" s="13"/>
      <c r="AM610" s="14">
        <f t="shared" si="9"/>
        <v>0</v>
      </c>
      <c r="AN610" s="12" t="s">
        <v>12004</v>
      </c>
    </row>
    <row r="611" spans="1:40" x14ac:dyDescent="0.25">
      <c r="A611" s="15">
        <v>610</v>
      </c>
      <c r="B611" s="12" t="s">
        <v>35</v>
      </c>
      <c r="C611" s="12" t="s">
        <v>7344</v>
      </c>
      <c r="D611" s="12" t="s">
        <v>37</v>
      </c>
      <c r="E611" s="12" t="s">
        <v>7345</v>
      </c>
      <c r="F611" s="12" t="s">
        <v>107</v>
      </c>
      <c r="G611" s="12" t="s">
        <v>7346</v>
      </c>
      <c r="H611" s="12" t="s">
        <v>7347</v>
      </c>
      <c r="I611" s="12" t="s">
        <v>7347</v>
      </c>
      <c r="J611" s="12" t="s">
        <v>7348</v>
      </c>
      <c r="K611" s="12" t="s">
        <v>7349</v>
      </c>
      <c r="L611" s="12">
        <v>1465800</v>
      </c>
      <c r="M611" s="12">
        <v>2443000</v>
      </c>
      <c r="N611" s="12" t="s">
        <v>7350</v>
      </c>
      <c r="O611" s="16">
        <v>45631</v>
      </c>
      <c r="P611" s="12" t="s">
        <v>7351</v>
      </c>
      <c r="Q611" s="12" t="s">
        <v>7352</v>
      </c>
      <c r="R611" s="12" t="s">
        <v>47</v>
      </c>
      <c r="S611" s="12" t="s">
        <v>48</v>
      </c>
      <c r="T611" s="12" t="s">
        <v>7353</v>
      </c>
      <c r="U611" s="12" t="s">
        <v>50</v>
      </c>
      <c r="V611" s="16">
        <v>44467</v>
      </c>
      <c r="W611" s="12" t="s">
        <v>6483</v>
      </c>
      <c r="X611" s="12" t="s">
        <v>6578</v>
      </c>
      <c r="Y611" s="12" t="s">
        <v>7354</v>
      </c>
      <c r="Z611" s="12">
        <v>7</v>
      </c>
      <c r="AA611" s="12" t="s">
        <v>55</v>
      </c>
      <c r="AB611" s="12" t="s">
        <v>7355</v>
      </c>
      <c r="AC611" s="12" t="s">
        <v>6944</v>
      </c>
      <c r="AD611" s="12" t="s">
        <v>58</v>
      </c>
      <c r="AE611" s="12">
        <v>1954400</v>
      </c>
      <c r="AF611" s="13">
        <v>39088</v>
      </c>
      <c r="AG611" s="12"/>
      <c r="AH611" s="12"/>
      <c r="AI611" s="12"/>
      <c r="AJ611" s="12" t="s">
        <v>11981</v>
      </c>
      <c r="AK611" s="13">
        <v>39088</v>
      </c>
      <c r="AL611" s="13"/>
      <c r="AM611" s="14">
        <f t="shared" si="9"/>
        <v>0</v>
      </c>
      <c r="AN611" s="12" t="s">
        <v>12004</v>
      </c>
    </row>
    <row r="612" spans="1:40" x14ac:dyDescent="0.25">
      <c r="A612" s="8">
        <v>611</v>
      </c>
      <c r="B612" s="9" t="s">
        <v>35</v>
      </c>
      <c r="C612" s="9" t="s">
        <v>7356</v>
      </c>
      <c r="D612" s="9" t="s">
        <v>37</v>
      </c>
      <c r="E612" s="9" t="s">
        <v>7357</v>
      </c>
      <c r="F612" s="9" t="s">
        <v>138</v>
      </c>
      <c r="G612" s="9" t="s">
        <v>7358</v>
      </c>
      <c r="H612" s="9" t="s">
        <v>48</v>
      </c>
      <c r="I612" s="9" t="s">
        <v>7359</v>
      </c>
      <c r="J612" s="9" t="s">
        <v>7359</v>
      </c>
      <c r="K612" s="9" t="s">
        <v>7360</v>
      </c>
      <c r="L612" s="9">
        <v>1120000</v>
      </c>
      <c r="M612" s="9">
        <v>1600000</v>
      </c>
      <c r="N612" s="9" t="s">
        <v>7361</v>
      </c>
      <c r="O612" s="10">
        <v>45632</v>
      </c>
      <c r="P612" s="9" t="s">
        <v>7362</v>
      </c>
      <c r="Q612" s="9" t="s">
        <v>7363</v>
      </c>
      <c r="R612" s="9" t="s">
        <v>146</v>
      </c>
      <c r="S612" s="9" t="s">
        <v>7364</v>
      </c>
      <c r="T612" s="9" t="s">
        <v>1909</v>
      </c>
      <c r="U612" s="9" t="s">
        <v>496</v>
      </c>
      <c r="V612" s="10">
        <v>44539</v>
      </c>
      <c r="W612" s="9" t="s">
        <v>6483</v>
      </c>
      <c r="X612" s="9" t="s">
        <v>6431</v>
      </c>
      <c r="Y612" s="9" t="s">
        <v>7365</v>
      </c>
      <c r="Z612" s="9">
        <v>5</v>
      </c>
      <c r="AA612" s="9" t="s">
        <v>118</v>
      </c>
      <c r="AB612" s="9" t="s">
        <v>7366</v>
      </c>
      <c r="AC612" s="9" t="s">
        <v>5881</v>
      </c>
      <c r="AD612" s="9" t="s">
        <v>299</v>
      </c>
      <c r="AE612" s="9">
        <v>1280000</v>
      </c>
      <c r="AF612" s="11">
        <v>19200</v>
      </c>
      <c r="AG612" s="9"/>
      <c r="AH612" s="9"/>
      <c r="AI612" s="9"/>
      <c r="AJ612" s="12" t="s">
        <v>11982</v>
      </c>
      <c r="AK612" s="13">
        <v>19200</v>
      </c>
      <c r="AL612" s="13"/>
      <c r="AM612" s="14">
        <f t="shared" si="9"/>
        <v>0</v>
      </c>
      <c r="AN612" s="12" t="s">
        <v>12004</v>
      </c>
    </row>
    <row r="613" spans="1:40" x14ac:dyDescent="0.25">
      <c r="A613" s="15">
        <v>612</v>
      </c>
      <c r="B613" s="12" t="s">
        <v>35</v>
      </c>
      <c r="C613" s="12" t="s">
        <v>7367</v>
      </c>
      <c r="D613" s="12" t="s">
        <v>37</v>
      </c>
      <c r="E613" s="12" t="s">
        <v>7368</v>
      </c>
      <c r="F613" s="12" t="s">
        <v>39</v>
      </c>
      <c r="G613" s="12" t="s">
        <v>7369</v>
      </c>
      <c r="H613" s="12" t="s">
        <v>7370</v>
      </c>
      <c r="I613" s="12" t="s">
        <v>7371</v>
      </c>
      <c r="J613" s="12" t="s">
        <v>7370</v>
      </c>
      <c r="K613" s="12" t="s">
        <v>7372</v>
      </c>
      <c r="L613" s="12">
        <v>1893000</v>
      </c>
      <c r="M613" s="12">
        <v>2703000</v>
      </c>
      <c r="N613" s="12" t="s">
        <v>7373</v>
      </c>
      <c r="O613" s="16">
        <v>45631</v>
      </c>
      <c r="P613" s="12" t="s">
        <v>7374</v>
      </c>
      <c r="Q613" s="12" t="s">
        <v>7375</v>
      </c>
      <c r="R613" s="12" t="s">
        <v>47</v>
      </c>
      <c r="S613" s="12" t="s">
        <v>48</v>
      </c>
      <c r="T613" s="12" t="s">
        <v>2918</v>
      </c>
      <c r="U613" s="12" t="s">
        <v>50</v>
      </c>
      <c r="V613" s="16">
        <v>44468</v>
      </c>
      <c r="W613" s="12" t="s">
        <v>6483</v>
      </c>
      <c r="X613" s="12" t="s">
        <v>6431</v>
      </c>
      <c r="Y613" s="12" t="s">
        <v>7376</v>
      </c>
      <c r="Z613" s="12">
        <v>5</v>
      </c>
      <c r="AA613" s="12" t="s">
        <v>55</v>
      </c>
      <c r="AB613" s="12" t="s">
        <v>7377</v>
      </c>
      <c r="AC613" s="12" t="s">
        <v>5881</v>
      </c>
      <c r="AD613" s="12" t="s">
        <v>58</v>
      </c>
      <c r="AE613" s="12">
        <v>2162400</v>
      </c>
      <c r="AF613" s="13">
        <v>43248</v>
      </c>
      <c r="AG613" s="12"/>
      <c r="AH613" s="12"/>
      <c r="AI613" s="12"/>
      <c r="AJ613" s="12" t="s">
        <v>11983</v>
      </c>
      <c r="AK613" s="13">
        <v>43248</v>
      </c>
      <c r="AL613" s="13"/>
      <c r="AM613" s="14">
        <f t="shared" si="9"/>
        <v>0</v>
      </c>
      <c r="AN613" s="12" t="s">
        <v>12004</v>
      </c>
    </row>
    <row r="614" spans="1:40" x14ac:dyDescent="0.25">
      <c r="A614" s="8">
        <v>613</v>
      </c>
      <c r="B614" s="9" t="s">
        <v>35</v>
      </c>
      <c r="C614" s="9" t="s">
        <v>7378</v>
      </c>
      <c r="D614" s="9" t="s">
        <v>37</v>
      </c>
      <c r="E614" s="9" t="s">
        <v>7379</v>
      </c>
      <c r="F614" s="9" t="s">
        <v>73</v>
      </c>
      <c r="G614" s="9" t="s">
        <v>7380</v>
      </c>
      <c r="H614" s="9" t="s">
        <v>7381</v>
      </c>
      <c r="I614" s="9" t="s">
        <v>7381</v>
      </c>
      <c r="J614" s="9" t="s">
        <v>7381</v>
      </c>
      <c r="K614" s="9" t="s">
        <v>7382</v>
      </c>
      <c r="L614" s="9">
        <v>966000</v>
      </c>
      <c r="M614" s="9">
        <v>1610000</v>
      </c>
      <c r="N614" s="9" t="s">
        <v>7383</v>
      </c>
      <c r="O614" s="10">
        <v>45632</v>
      </c>
      <c r="P614" s="9" t="s">
        <v>7384</v>
      </c>
      <c r="Q614" s="9" t="s">
        <v>7385</v>
      </c>
      <c r="R614" s="9" t="s">
        <v>47</v>
      </c>
      <c r="S614" s="9" t="s">
        <v>48</v>
      </c>
      <c r="T614" s="9" t="s">
        <v>321</v>
      </c>
      <c r="U614" s="9" t="s">
        <v>50</v>
      </c>
      <c r="V614" s="10">
        <v>44408</v>
      </c>
      <c r="W614" s="9" t="s">
        <v>7252</v>
      </c>
      <c r="X614" s="9" t="s">
        <v>7253</v>
      </c>
      <c r="Y614" s="9" t="s">
        <v>7386</v>
      </c>
      <c r="Z614" s="9">
        <v>5</v>
      </c>
      <c r="AA614" s="9" t="s">
        <v>118</v>
      </c>
      <c r="AB614" s="9" t="s">
        <v>7387</v>
      </c>
      <c r="AC614" s="9" t="s">
        <v>4972</v>
      </c>
      <c r="AD614" s="9" t="s">
        <v>58</v>
      </c>
      <c r="AE614" s="9">
        <v>1368500</v>
      </c>
      <c r="AF614" s="11">
        <v>27370</v>
      </c>
      <c r="AG614" s="9"/>
      <c r="AH614" s="9"/>
      <c r="AI614" s="9"/>
      <c r="AJ614" s="12" t="s">
        <v>11984</v>
      </c>
      <c r="AK614" s="13">
        <v>27370</v>
      </c>
      <c r="AL614" s="13"/>
      <c r="AM614" s="14">
        <f t="shared" si="9"/>
        <v>0</v>
      </c>
      <c r="AN614" s="12" t="s">
        <v>12004</v>
      </c>
    </row>
    <row r="615" spans="1:40" x14ac:dyDescent="0.25">
      <c r="A615" s="15">
        <v>614</v>
      </c>
      <c r="B615" s="12" t="s">
        <v>35</v>
      </c>
      <c r="C615" s="12" t="s">
        <v>7388</v>
      </c>
      <c r="D615" s="12" t="s">
        <v>37</v>
      </c>
      <c r="E615" s="12" t="s">
        <v>7389</v>
      </c>
      <c r="F615" s="12" t="s">
        <v>107</v>
      </c>
      <c r="G615" s="12" t="s">
        <v>7390</v>
      </c>
      <c r="H615" s="12" t="s">
        <v>7391</v>
      </c>
      <c r="I615" s="12" t="s">
        <v>7391</v>
      </c>
      <c r="J615" s="12" t="s">
        <v>7391</v>
      </c>
      <c r="K615" s="12" t="s">
        <v>7392</v>
      </c>
      <c r="L615" s="12">
        <v>2485000</v>
      </c>
      <c r="M615" s="12">
        <v>3550000</v>
      </c>
      <c r="N615" s="12" t="s">
        <v>7393</v>
      </c>
      <c r="O615" s="16">
        <v>45631</v>
      </c>
      <c r="P615" s="12" t="s">
        <v>7394</v>
      </c>
      <c r="Q615" s="12" t="s">
        <v>7395</v>
      </c>
      <c r="R615" s="12" t="s">
        <v>146</v>
      </c>
      <c r="S615" s="12" t="s">
        <v>7396</v>
      </c>
      <c r="T615" s="12" t="s">
        <v>714</v>
      </c>
      <c r="U615" s="12" t="s">
        <v>496</v>
      </c>
      <c r="V615" s="16">
        <v>44537</v>
      </c>
      <c r="W615" s="12" t="s">
        <v>6483</v>
      </c>
      <c r="X615" s="12" t="s">
        <v>6431</v>
      </c>
      <c r="Y615" s="12" t="s">
        <v>7397</v>
      </c>
      <c r="Z615" s="12">
        <v>5</v>
      </c>
      <c r="AA615" s="12" t="s">
        <v>55</v>
      </c>
      <c r="AB615" s="12" t="s">
        <v>7398</v>
      </c>
      <c r="AC615" s="12" t="s">
        <v>5881</v>
      </c>
      <c r="AD615" s="12" t="s">
        <v>299</v>
      </c>
      <c r="AE615" s="12">
        <v>2840000</v>
      </c>
      <c r="AF615" s="13">
        <v>42600</v>
      </c>
      <c r="AG615" s="12"/>
      <c r="AH615" s="12"/>
      <c r="AI615" s="12"/>
      <c r="AJ615" s="12" t="s">
        <v>11985</v>
      </c>
      <c r="AK615" s="13">
        <v>42600</v>
      </c>
      <c r="AL615" s="13"/>
      <c r="AM615" s="14">
        <f t="shared" si="9"/>
        <v>0</v>
      </c>
      <c r="AN615" s="12" t="s">
        <v>12004</v>
      </c>
    </row>
    <row r="616" spans="1:40" x14ac:dyDescent="0.25">
      <c r="A616" s="8">
        <v>615</v>
      </c>
      <c r="B616" s="9" t="s">
        <v>35</v>
      </c>
      <c r="C616" s="9" t="s">
        <v>7399</v>
      </c>
      <c r="D616" s="9" t="s">
        <v>37</v>
      </c>
      <c r="E616" s="9" t="s">
        <v>7400</v>
      </c>
      <c r="F616" s="9" t="s">
        <v>7401</v>
      </c>
      <c r="G616" s="9" t="s">
        <v>7402</v>
      </c>
      <c r="H616" s="9" t="s">
        <v>7403</v>
      </c>
      <c r="I616" s="9" t="s">
        <v>7403</v>
      </c>
      <c r="J616" s="9" t="s">
        <v>7403</v>
      </c>
      <c r="K616" s="9" t="s">
        <v>7404</v>
      </c>
      <c r="L616" s="9">
        <v>701250</v>
      </c>
      <c r="M616" s="9">
        <v>1275000</v>
      </c>
      <c r="N616" s="9" t="s">
        <v>7405</v>
      </c>
      <c r="O616" s="10">
        <v>45631</v>
      </c>
      <c r="P616" s="9" t="s">
        <v>7406</v>
      </c>
      <c r="Q616" s="9" t="s">
        <v>7407</v>
      </c>
      <c r="R616" s="9" t="s">
        <v>146</v>
      </c>
      <c r="S616" s="9" t="s">
        <v>7408</v>
      </c>
      <c r="T616" s="9" t="s">
        <v>321</v>
      </c>
      <c r="U616" s="9" t="s">
        <v>335</v>
      </c>
      <c r="V616" s="10">
        <v>44540</v>
      </c>
      <c r="W616" s="9" t="s">
        <v>6483</v>
      </c>
      <c r="X616" s="9" t="s">
        <v>6431</v>
      </c>
      <c r="Y616" s="9" t="s">
        <v>7409</v>
      </c>
      <c r="Z616" s="9">
        <v>5</v>
      </c>
      <c r="AA616" s="9" t="s">
        <v>55</v>
      </c>
      <c r="AB616" s="9" t="s">
        <v>7410</v>
      </c>
      <c r="AC616" s="9" t="s">
        <v>5881</v>
      </c>
      <c r="AD616" s="9" t="s">
        <v>299</v>
      </c>
      <c r="AE616" s="9">
        <v>1020000</v>
      </c>
      <c r="AF616" s="11">
        <v>15300</v>
      </c>
      <c r="AG616" s="9"/>
      <c r="AH616" s="9"/>
      <c r="AI616" s="9"/>
      <c r="AJ616" s="12" t="s">
        <v>11986</v>
      </c>
      <c r="AK616" s="13">
        <v>15300</v>
      </c>
      <c r="AL616" s="13"/>
      <c r="AM616" s="14">
        <f t="shared" si="9"/>
        <v>0</v>
      </c>
      <c r="AN616" s="12" t="s">
        <v>12004</v>
      </c>
    </row>
    <row r="617" spans="1:40" x14ac:dyDescent="0.25">
      <c r="A617" s="15">
        <v>616</v>
      </c>
      <c r="B617" s="12" t="s">
        <v>35</v>
      </c>
      <c r="C617" s="12" t="s">
        <v>7411</v>
      </c>
      <c r="D617" s="12" t="s">
        <v>37</v>
      </c>
      <c r="E617" s="12" t="s">
        <v>7412</v>
      </c>
      <c r="F617" s="12" t="s">
        <v>406</v>
      </c>
      <c r="G617" s="12" t="s">
        <v>7413</v>
      </c>
      <c r="H617" s="12" t="s">
        <v>1505</v>
      </c>
      <c r="I617" s="12" t="s">
        <v>7414</v>
      </c>
      <c r="J617" s="12" t="s">
        <v>7415</v>
      </c>
      <c r="K617" s="12" t="s">
        <v>7416</v>
      </c>
      <c r="L617" s="12">
        <v>1084000</v>
      </c>
      <c r="M617" s="12">
        <v>2710000</v>
      </c>
      <c r="N617" s="12" t="s">
        <v>7417</v>
      </c>
      <c r="O617" s="16">
        <v>45632</v>
      </c>
      <c r="P617" s="12" t="s">
        <v>7418</v>
      </c>
      <c r="Q617" s="12" t="s">
        <v>7419</v>
      </c>
      <c r="R617" s="12" t="s">
        <v>47</v>
      </c>
      <c r="S617" s="12" t="s">
        <v>48</v>
      </c>
      <c r="T617" s="12" t="s">
        <v>3817</v>
      </c>
      <c r="U617" s="12" t="s">
        <v>98</v>
      </c>
      <c r="V617" s="16">
        <v>44135</v>
      </c>
      <c r="W617" s="12" t="s">
        <v>5266</v>
      </c>
      <c r="X617" s="12" t="s">
        <v>5267</v>
      </c>
      <c r="Y617" s="12" t="s">
        <v>7420</v>
      </c>
      <c r="Z617" s="12">
        <v>5</v>
      </c>
      <c r="AA617" s="12" t="s">
        <v>227</v>
      </c>
      <c r="AB617" s="12" t="s">
        <v>7421</v>
      </c>
      <c r="AC617" s="12" t="s">
        <v>7210</v>
      </c>
      <c r="AD617" s="12" t="s">
        <v>58</v>
      </c>
      <c r="AE617" s="12">
        <v>2032500</v>
      </c>
      <c r="AF617" s="13">
        <v>40650</v>
      </c>
      <c r="AG617" s="12"/>
      <c r="AH617" s="12"/>
      <c r="AI617" s="12"/>
      <c r="AJ617" s="12" t="s">
        <v>11987</v>
      </c>
      <c r="AK617" s="13">
        <v>40650</v>
      </c>
      <c r="AL617" s="13"/>
      <c r="AM617" s="14">
        <f t="shared" si="9"/>
        <v>0</v>
      </c>
      <c r="AN617" s="12" t="s">
        <v>12004</v>
      </c>
    </row>
    <row r="618" spans="1:40" x14ac:dyDescent="0.25">
      <c r="A618" s="8">
        <v>617</v>
      </c>
      <c r="B618" s="9" t="s">
        <v>35</v>
      </c>
      <c r="C618" s="9" t="s">
        <v>7422</v>
      </c>
      <c r="D618" s="9" t="s">
        <v>37</v>
      </c>
      <c r="E618" s="9" t="s">
        <v>7423</v>
      </c>
      <c r="F618" s="9" t="s">
        <v>138</v>
      </c>
      <c r="G618" s="9" t="s">
        <v>7424</v>
      </c>
      <c r="H618" s="9" t="s">
        <v>48</v>
      </c>
      <c r="I618" s="9" t="s">
        <v>48</v>
      </c>
      <c r="J618" s="9" t="s">
        <v>48</v>
      </c>
      <c r="K618" s="9" t="s">
        <v>7425</v>
      </c>
      <c r="L618" s="9">
        <v>2255000</v>
      </c>
      <c r="M618" s="9">
        <v>4100000</v>
      </c>
      <c r="N618" s="9" t="s">
        <v>7426</v>
      </c>
      <c r="O618" s="10">
        <v>45631</v>
      </c>
      <c r="P618" s="9" t="s">
        <v>7427</v>
      </c>
      <c r="Q618" s="9" t="s">
        <v>7428</v>
      </c>
      <c r="R618" s="9" t="s">
        <v>146</v>
      </c>
      <c r="S618" s="9" t="s">
        <v>48</v>
      </c>
      <c r="T618" s="9" t="s">
        <v>7429</v>
      </c>
      <c r="U618" s="9" t="s">
        <v>148</v>
      </c>
      <c r="V618" s="10">
        <v>44902</v>
      </c>
      <c r="W618" s="9" t="s">
        <v>6737</v>
      </c>
      <c r="X618" s="9" t="s">
        <v>3831</v>
      </c>
      <c r="Y618" s="9" t="s">
        <v>7430</v>
      </c>
      <c r="Z618" s="9">
        <v>3</v>
      </c>
      <c r="AA618" s="9" t="s">
        <v>227</v>
      </c>
      <c r="AB618" s="9" t="s">
        <v>7431</v>
      </c>
      <c r="AC618" s="9" t="s">
        <v>7432</v>
      </c>
      <c r="AD618" s="9" t="s">
        <v>86</v>
      </c>
      <c r="AE618" s="9">
        <v>3485000</v>
      </c>
      <c r="AF618" s="11">
        <v>60988</v>
      </c>
      <c r="AG618" s="9"/>
      <c r="AH618" s="9"/>
      <c r="AI618" s="9"/>
      <c r="AJ618" s="12" t="s">
        <v>11988</v>
      </c>
      <c r="AK618" s="13">
        <v>60988</v>
      </c>
      <c r="AL618" s="13"/>
      <c r="AM618" s="14">
        <f t="shared" si="9"/>
        <v>0</v>
      </c>
      <c r="AN618" s="12" t="s">
        <v>12004</v>
      </c>
    </row>
    <row r="619" spans="1:40" x14ac:dyDescent="0.25">
      <c r="A619" s="15">
        <v>618</v>
      </c>
      <c r="B619" s="12" t="s">
        <v>35</v>
      </c>
      <c r="C619" s="12" t="s">
        <v>7433</v>
      </c>
      <c r="D619" s="12" t="s">
        <v>37</v>
      </c>
      <c r="E619" s="12" t="s">
        <v>7434</v>
      </c>
      <c r="F619" s="12" t="s">
        <v>138</v>
      </c>
      <c r="G619" s="12" t="s">
        <v>7435</v>
      </c>
      <c r="H619" s="12" t="s">
        <v>7436</v>
      </c>
      <c r="I619" s="12" t="s">
        <v>7436</v>
      </c>
      <c r="J619" s="12" t="s">
        <v>141</v>
      </c>
      <c r="K619" s="12" t="s">
        <v>7437</v>
      </c>
      <c r="L619" s="12">
        <v>1755000</v>
      </c>
      <c r="M619" s="12">
        <v>2700000</v>
      </c>
      <c r="N619" s="12" t="s">
        <v>7438</v>
      </c>
      <c r="O619" s="12" t="s">
        <v>7439</v>
      </c>
      <c r="P619" s="12" t="s">
        <v>7440</v>
      </c>
      <c r="Q619" s="12" t="s">
        <v>7441</v>
      </c>
      <c r="R619" s="12" t="s">
        <v>146</v>
      </c>
      <c r="S619" s="12" t="s">
        <v>7442</v>
      </c>
      <c r="T619" s="12" t="s">
        <v>613</v>
      </c>
      <c r="U619" s="12" t="s">
        <v>50</v>
      </c>
      <c r="V619" s="16">
        <v>45271</v>
      </c>
      <c r="W619" s="12" t="s">
        <v>6293</v>
      </c>
      <c r="X619" s="12" t="s">
        <v>6431</v>
      </c>
      <c r="Y619" s="12" t="s">
        <v>7443</v>
      </c>
      <c r="Z619" s="12">
        <v>3</v>
      </c>
      <c r="AA619" s="12" t="s">
        <v>55</v>
      </c>
      <c r="AB619" s="12" t="s">
        <v>7444</v>
      </c>
      <c r="AC619" s="12" t="s">
        <v>7445</v>
      </c>
      <c r="AD619" s="12" t="s">
        <v>86</v>
      </c>
      <c r="AE619" s="12">
        <v>2430000</v>
      </c>
      <c r="AF619" s="13">
        <v>42525</v>
      </c>
      <c r="AG619" s="12"/>
      <c r="AH619" s="12"/>
      <c r="AI619" s="12"/>
      <c r="AJ619" s="12" t="s">
        <v>11989</v>
      </c>
      <c r="AK619" s="13">
        <v>42525</v>
      </c>
      <c r="AL619" s="13"/>
      <c r="AM619" s="14">
        <f t="shared" si="9"/>
        <v>0</v>
      </c>
      <c r="AN619" s="12" t="s">
        <v>12004</v>
      </c>
    </row>
    <row r="620" spans="1:40" x14ac:dyDescent="0.25">
      <c r="A620" s="8">
        <v>619</v>
      </c>
      <c r="B620" s="9" t="s">
        <v>35</v>
      </c>
      <c r="C620" s="9" t="s">
        <v>7446</v>
      </c>
      <c r="D620" s="9" t="s">
        <v>37</v>
      </c>
      <c r="E620" s="9" t="s">
        <v>7447</v>
      </c>
      <c r="F620" s="9" t="s">
        <v>138</v>
      </c>
      <c r="G620" s="9" t="s">
        <v>7448</v>
      </c>
      <c r="H620" s="9" t="s">
        <v>7449</v>
      </c>
      <c r="I620" s="9" t="s">
        <v>7449</v>
      </c>
      <c r="J620" s="9" t="s">
        <v>7450</v>
      </c>
      <c r="K620" s="9" t="s">
        <v>7451</v>
      </c>
      <c r="L620" s="9">
        <v>1657200</v>
      </c>
      <c r="M620" s="9">
        <v>2762000</v>
      </c>
      <c r="N620" s="9" t="s">
        <v>7452</v>
      </c>
      <c r="O620" s="10">
        <v>45631</v>
      </c>
      <c r="P620" s="9" t="s">
        <v>7453</v>
      </c>
      <c r="Q620" s="9" t="s">
        <v>7454</v>
      </c>
      <c r="R620" s="9" t="s">
        <v>47</v>
      </c>
      <c r="S620" s="9" t="s">
        <v>48</v>
      </c>
      <c r="T620" s="9" t="s">
        <v>3282</v>
      </c>
      <c r="U620" s="9" t="s">
        <v>148</v>
      </c>
      <c r="V620" s="10">
        <v>44712</v>
      </c>
      <c r="W620" s="9" t="s">
        <v>6737</v>
      </c>
      <c r="X620" s="9" t="s">
        <v>3831</v>
      </c>
      <c r="Y620" s="9" t="s">
        <v>7455</v>
      </c>
      <c r="Z620" s="9">
        <v>3</v>
      </c>
      <c r="AA620" s="9" t="s">
        <v>227</v>
      </c>
      <c r="AB620" s="9" t="s">
        <v>7456</v>
      </c>
      <c r="AC620" s="9" t="s">
        <v>6740</v>
      </c>
      <c r="AD620" s="9" t="s">
        <v>58</v>
      </c>
      <c r="AE620" s="9">
        <v>2347700</v>
      </c>
      <c r="AF620" s="11">
        <v>46954</v>
      </c>
      <c r="AG620" s="9"/>
      <c r="AH620" s="9"/>
      <c r="AI620" s="9"/>
      <c r="AJ620" s="12" t="s">
        <v>11990</v>
      </c>
      <c r="AK620" s="13">
        <v>46954</v>
      </c>
      <c r="AL620" s="13"/>
      <c r="AM620" s="14">
        <f t="shared" si="9"/>
        <v>0</v>
      </c>
      <c r="AN620" s="12" t="s">
        <v>12004</v>
      </c>
    </row>
    <row r="621" spans="1:40" x14ac:dyDescent="0.25">
      <c r="A621" s="15">
        <v>620</v>
      </c>
      <c r="B621" s="12" t="s">
        <v>35</v>
      </c>
      <c r="C621" s="12" t="s">
        <v>7457</v>
      </c>
      <c r="D621" s="12" t="s">
        <v>37</v>
      </c>
      <c r="E621" s="12" t="s">
        <v>7458</v>
      </c>
      <c r="F621" s="12" t="s">
        <v>245</v>
      </c>
      <c r="G621" s="12" t="s">
        <v>7459</v>
      </c>
      <c r="H621" s="12" t="s">
        <v>7460</v>
      </c>
      <c r="I621" s="12" t="s">
        <v>7461</v>
      </c>
      <c r="J621" s="12" t="s">
        <v>7462</v>
      </c>
      <c r="K621" s="12" t="s">
        <v>7463</v>
      </c>
      <c r="L621" s="12">
        <v>2898000</v>
      </c>
      <c r="M621" s="12">
        <v>4140000</v>
      </c>
      <c r="N621" s="12" t="s">
        <v>7464</v>
      </c>
      <c r="O621" s="16">
        <v>45631</v>
      </c>
      <c r="P621" s="12" t="s">
        <v>7465</v>
      </c>
      <c r="Q621" s="12" t="s">
        <v>7466</v>
      </c>
      <c r="R621" s="12" t="s">
        <v>47</v>
      </c>
      <c r="S621" s="12" t="s">
        <v>48</v>
      </c>
      <c r="T621" s="12" t="s">
        <v>7467</v>
      </c>
      <c r="U621" s="12" t="s">
        <v>148</v>
      </c>
      <c r="V621" s="16">
        <v>44586</v>
      </c>
      <c r="W621" s="12" t="s">
        <v>3988</v>
      </c>
      <c r="X621" s="12" t="s">
        <v>3977</v>
      </c>
      <c r="Y621" s="12" t="s">
        <v>7468</v>
      </c>
      <c r="Z621" s="12">
        <v>3</v>
      </c>
      <c r="AA621" s="12" t="s">
        <v>118</v>
      </c>
      <c r="AB621" s="12" t="s">
        <v>7469</v>
      </c>
      <c r="AC621" s="12" t="s">
        <v>7432</v>
      </c>
      <c r="AD621" s="12" t="s">
        <v>58</v>
      </c>
      <c r="AE621" s="12">
        <v>3519000</v>
      </c>
      <c r="AF621" s="13">
        <v>70380</v>
      </c>
      <c r="AG621" s="12"/>
      <c r="AH621" s="12"/>
      <c r="AI621" s="12"/>
      <c r="AJ621" s="12" t="s">
        <v>11991</v>
      </c>
      <c r="AK621" s="13">
        <v>70380</v>
      </c>
      <c r="AL621" s="13"/>
      <c r="AM621" s="14">
        <f t="shared" si="9"/>
        <v>0</v>
      </c>
      <c r="AN621" s="12" t="s">
        <v>12004</v>
      </c>
    </row>
    <row r="622" spans="1:40" x14ac:dyDescent="0.25">
      <c r="A622" s="8">
        <v>621</v>
      </c>
      <c r="B622" s="9" t="s">
        <v>35</v>
      </c>
      <c r="C622" s="9" t="s">
        <v>7470</v>
      </c>
      <c r="D622" s="9" t="s">
        <v>37</v>
      </c>
      <c r="E622" s="9" t="s">
        <v>7471</v>
      </c>
      <c r="F622" s="9" t="s">
        <v>107</v>
      </c>
      <c r="G622" s="9" t="s">
        <v>7472</v>
      </c>
      <c r="H622" s="9" t="s">
        <v>7473</v>
      </c>
      <c r="I622" s="9" t="s">
        <v>7473</v>
      </c>
      <c r="J622" s="9" t="s">
        <v>7473</v>
      </c>
      <c r="K622" s="9" t="s">
        <v>7474</v>
      </c>
      <c r="L622" s="9">
        <v>1166000</v>
      </c>
      <c r="M622" s="9">
        <v>2120000</v>
      </c>
      <c r="N622" s="9" t="s">
        <v>7475</v>
      </c>
      <c r="O622" s="10">
        <v>45631</v>
      </c>
      <c r="P622" s="9" t="s">
        <v>7476</v>
      </c>
      <c r="Q622" s="9" t="s">
        <v>7477</v>
      </c>
      <c r="R622" s="9" t="s">
        <v>47</v>
      </c>
      <c r="S622" s="9" t="s">
        <v>48</v>
      </c>
      <c r="T622" s="9" t="s">
        <v>2180</v>
      </c>
      <c r="U622" s="9" t="s">
        <v>148</v>
      </c>
      <c r="V622" s="10">
        <v>44865</v>
      </c>
      <c r="W622" s="9" t="s">
        <v>5621</v>
      </c>
      <c r="X622" s="9" t="s">
        <v>5561</v>
      </c>
      <c r="Y622" s="9" t="s">
        <v>7478</v>
      </c>
      <c r="Z622" s="9">
        <v>5</v>
      </c>
      <c r="AA622" s="9" t="s">
        <v>227</v>
      </c>
      <c r="AB622" s="9" t="s">
        <v>7479</v>
      </c>
      <c r="AC622" s="9" t="s">
        <v>7432</v>
      </c>
      <c r="AD622" s="9" t="s">
        <v>58</v>
      </c>
      <c r="AE622" s="9">
        <v>1802000</v>
      </c>
      <c r="AF622" s="11">
        <v>36040</v>
      </c>
      <c r="AG622" s="9"/>
      <c r="AH622" s="9"/>
      <c r="AI622" s="9"/>
      <c r="AJ622" s="12" t="s">
        <v>11992</v>
      </c>
      <c r="AK622" s="13">
        <v>36040</v>
      </c>
      <c r="AL622" s="13"/>
      <c r="AM622" s="14">
        <f t="shared" si="9"/>
        <v>0</v>
      </c>
      <c r="AN622" s="12" t="s">
        <v>12004</v>
      </c>
    </row>
    <row r="623" spans="1:40" x14ac:dyDescent="0.25">
      <c r="A623" s="15">
        <v>622</v>
      </c>
      <c r="B623" s="12" t="s">
        <v>35</v>
      </c>
      <c r="C623" s="12" t="s">
        <v>7480</v>
      </c>
      <c r="D623" s="12" t="s">
        <v>37</v>
      </c>
      <c r="E623" s="12" t="s">
        <v>7481</v>
      </c>
      <c r="F623" s="12" t="s">
        <v>107</v>
      </c>
      <c r="G623" s="12" t="s">
        <v>7482</v>
      </c>
      <c r="H623" s="12" t="s">
        <v>48</v>
      </c>
      <c r="I623" s="12" t="s">
        <v>7483</v>
      </c>
      <c r="J623" s="12" t="s">
        <v>48</v>
      </c>
      <c r="K623" s="12" t="s">
        <v>7484</v>
      </c>
      <c r="L623" s="12">
        <v>1658350</v>
      </c>
      <c r="M623" s="12">
        <v>1951000</v>
      </c>
      <c r="N623" s="12" t="s">
        <v>7485</v>
      </c>
      <c r="O623" s="16">
        <v>45631</v>
      </c>
      <c r="P623" s="12" t="s">
        <v>7486</v>
      </c>
      <c r="Q623" s="12" t="s">
        <v>7487</v>
      </c>
      <c r="R623" s="12" t="s">
        <v>858</v>
      </c>
      <c r="S623" s="12" t="s">
        <v>48</v>
      </c>
      <c r="T623" s="12" t="s">
        <v>7488</v>
      </c>
      <c r="U623" s="12" t="s">
        <v>148</v>
      </c>
      <c r="V623" s="16">
        <v>44736</v>
      </c>
      <c r="W623" s="12" t="s">
        <v>5621</v>
      </c>
      <c r="X623" s="12" t="s">
        <v>5267</v>
      </c>
      <c r="Y623" s="12" t="s">
        <v>7489</v>
      </c>
      <c r="Z623" s="12">
        <v>3</v>
      </c>
      <c r="AA623" s="12" t="s">
        <v>227</v>
      </c>
      <c r="AB623" s="12" t="s">
        <v>7490</v>
      </c>
      <c r="AC623" s="12" t="s">
        <v>7432</v>
      </c>
      <c r="AD623" s="12" t="s">
        <v>943</v>
      </c>
      <c r="AE623" s="12">
        <v>1658350</v>
      </c>
      <c r="AF623" s="13">
        <v>23217</v>
      </c>
      <c r="AG623" s="12"/>
      <c r="AH623" s="12"/>
      <c r="AI623" s="12"/>
      <c r="AJ623" s="12" t="s">
        <v>11993</v>
      </c>
      <c r="AK623" s="13">
        <v>23217</v>
      </c>
      <c r="AL623" s="13"/>
      <c r="AM623" s="14">
        <f t="shared" si="9"/>
        <v>0</v>
      </c>
      <c r="AN623" s="12" t="s">
        <v>12004</v>
      </c>
    </row>
    <row r="624" spans="1:40" x14ac:dyDescent="0.25">
      <c r="A624" s="8">
        <v>623</v>
      </c>
      <c r="B624" s="9" t="s">
        <v>35</v>
      </c>
      <c r="C624" s="9" t="s">
        <v>7491</v>
      </c>
      <c r="D624" s="9" t="s">
        <v>37</v>
      </c>
      <c r="E624" s="9" t="s">
        <v>7492</v>
      </c>
      <c r="F624" s="9" t="s">
        <v>39</v>
      </c>
      <c r="G624" s="9" t="s">
        <v>7493</v>
      </c>
      <c r="H624" s="9" t="s">
        <v>7494</v>
      </c>
      <c r="I624" s="9" t="s">
        <v>7495</v>
      </c>
      <c r="J624" s="9" t="s">
        <v>7494</v>
      </c>
      <c r="K624" s="9" t="s">
        <v>7496</v>
      </c>
      <c r="L624" s="9">
        <v>2218300</v>
      </c>
      <c r="M624" s="9">
        <v>3169000</v>
      </c>
      <c r="N624" s="9" t="s">
        <v>7497</v>
      </c>
      <c r="O624" s="10">
        <v>45631</v>
      </c>
      <c r="P624" s="9" t="s">
        <v>7498</v>
      </c>
      <c r="Q624" s="9" t="s">
        <v>7499</v>
      </c>
      <c r="R624" s="9" t="s">
        <v>47</v>
      </c>
      <c r="S624" s="9" t="s">
        <v>48</v>
      </c>
      <c r="T624" s="9" t="s">
        <v>889</v>
      </c>
      <c r="U624" s="9" t="s">
        <v>148</v>
      </c>
      <c r="V624" s="10">
        <v>44667</v>
      </c>
      <c r="W624" s="9" t="s">
        <v>5621</v>
      </c>
      <c r="X624" s="9" t="s">
        <v>5267</v>
      </c>
      <c r="Y624" s="9" t="s">
        <v>7500</v>
      </c>
      <c r="Z624" s="9">
        <v>3</v>
      </c>
      <c r="AA624" s="9" t="s">
        <v>118</v>
      </c>
      <c r="AB624" s="9" t="s">
        <v>7501</v>
      </c>
      <c r="AC624" s="9" t="s">
        <v>7432</v>
      </c>
      <c r="AD624" s="9" t="s">
        <v>58</v>
      </c>
      <c r="AE624" s="9">
        <v>2693650</v>
      </c>
      <c r="AF624" s="11">
        <v>53873</v>
      </c>
      <c r="AG624" s="9"/>
      <c r="AH624" s="9"/>
      <c r="AI624" s="9"/>
      <c r="AJ624" s="12" t="s">
        <v>11994</v>
      </c>
      <c r="AK624" s="13">
        <v>53873</v>
      </c>
      <c r="AL624" s="13"/>
      <c r="AM624" s="14">
        <f t="shared" si="9"/>
        <v>0</v>
      </c>
      <c r="AN624" s="12" t="s">
        <v>12004</v>
      </c>
    </row>
    <row r="626" spans="32:32" x14ac:dyDescent="0.25">
      <c r="AF626" s="5">
        <f>SUBTOTAL(9,AF2:AF624)</f>
        <v>27413325</v>
      </c>
    </row>
    <row r="627" spans="32:32" x14ac:dyDescent="0.25">
      <c r="AF627" s="4"/>
    </row>
  </sheetData>
  <autoFilter ref="A1:AN624" xr:uid="{10D58A67-DEBD-4319-9BDA-A89DCA08C6C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AB3F-0F38-4CA9-8A40-58810255F31A}">
  <dimension ref="A1:H625"/>
  <sheetViews>
    <sheetView workbookViewId="0">
      <selection activeCell="E2" sqref="E2"/>
    </sheetView>
  </sheetViews>
  <sheetFormatPr defaultRowHeight="15" x14ac:dyDescent="0.25"/>
  <cols>
    <col min="1" max="1" width="44.28515625" bestFit="1" customWidth="1"/>
    <col min="2" max="2" width="14.28515625" bestFit="1" customWidth="1"/>
    <col min="3" max="3" width="13.28515625" bestFit="1" customWidth="1"/>
    <col min="4" max="4" width="11.5703125" bestFit="1" customWidth="1"/>
    <col min="5" max="5" width="13.7109375" bestFit="1" customWidth="1"/>
    <col min="6" max="6" width="90.28515625" customWidth="1"/>
    <col min="7" max="7" width="88.42578125" customWidth="1"/>
    <col min="8" max="8" width="79.140625" customWidth="1"/>
  </cols>
  <sheetData>
    <row r="1" spans="1:8" x14ac:dyDescent="0.25">
      <c r="A1" s="22" t="s">
        <v>13294</v>
      </c>
      <c r="B1" t="s">
        <v>13295</v>
      </c>
      <c r="D1" s="23" t="s">
        <v>31</v>
      </c>
      <c r="E1" s="24" t="s">
        <v>13296</v>
      </c>
    </row>
    <row r="2" spans="1:8" ht="99.75" customHeight="1" x14ac:dyDescent="0.25">
      <c r="A2" s="12" t="s">
        <v>11381</v>
      </c>
      <c r="B2" s="25" t="str">
        <f>VLOOKUP(A2,policy!B:C,2,0)</f>
        <v>070000170565</v>
      </c>
      <c r="C2" s="11">
        <v>21360</v>
      </c>
      <c r="D2" s="26">
        <f>ROUND(C2,0)</f>
        <v>21360</v>
      </c>
      <c r="E2" s="24" t="s">
        <v>13296</v>
      </c>
      <c r="F2" s="2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8" t="str">
        <f>"('"&amp;E2&amp;"','"&amp;B2&amp;"','"&amp;D2&amp;"',(select max(to_number(i.premium_rcv_detail_code))+1
from ins_premium_det i),'"&amp;D2&amp;"','"&amp;D2&amp;"','02', '11000003','00','Request by Mr. Saqib Saleem 31-Dec-2024 Active');"</f>
        <v>('30Dec240042','070000170565','21360',(select max(to_number(i.premium_rcv_detail_code))+1
from ins_premium_det i),'21360','21360','02', '11000003','00','Request by Mr. Saqib Saleem 31-Dec-2024 Active');</v>
      </c>
      <c r="H2" s="29" t="str">
        <f>F2&amp;G2</f>
        <v>insert into ins_premium_det (premium_rcv_code,assorted_code, rec_amount,premium_rcv_detail_code,remaining_amt, payrec, mode_code,coinsurance_code,class_cd,it_remarks) values('30Dec240042','070000170565','21360',(select max(to_number(i.premium_rcv_detail_code))+1
from ins_premium_det i),'21360','21360','02', '11000003','00','Request by Mr. Saqib Saleem 31-Dec-2024 Active');</v>
      </c>
    </row>
    <row r="3" spans="1:8" ht="105" x14ac:dyDescent="0.25">
      <c r="A3" s="12" t="s">
        <v>11382</v>
      </c>
      <c r="B3" s="25" t="str">
        <f>VLOOKUP(A3,policy!B:C,2,0)</f>
        <v>070000170566</v>
      </c>
      <c r="C3" s="13">
        <v>29280</v>
      </c>
      <c r="D3" s="26">
        <f t="shared" ref="D3:D66" si="1">ROUND(C3,0)</f>
        <v>29280</v>
      </c>
      <c r="E3" s="24" t="s">
        <v>13296</v>
      </c>
      <c r="F3" s="27" t="str">
        <f t="shared" si="0"/>
        <v>insert into ins_premium_det (premium_rcv_code,assorted_code, rec_amount,premium_rcv_detail_code,remaining_amt, payrec, mode_code,coinsurance_code,class_cd,it_remarks) values</v>
      </c>
      <c r="G3" s="28" t="str">
        <f t="shared" ref="G3:G66" si="2">"('"&amp;E3&amp;"','"&amp;B3&amp;"','"&amp;D3&amp;"',(select max(to_number(i.premium_rcv_detail_code))+1
from ins_premium_det i),'"&amp;D3&amp;"','"&amp;D3&amp;"','02', '11000003','00','Request by Mr. Saqib Saleem 31-Dec-2024 Active');"</f>
        <v>('30Dec240042','070000170566','29280',(select max(to_number(i.premium_rcv_detail_code))+1
from ins_premium_det i),'29280','29280','02', '11000003','00','Request by Mr. Saqib Saleem 31-Dec-2024 Active');</v>
      </c>
      <c r="H3" s="29" t="str">
        <f t="shared" ref="H3:H66" si="3">F3&amp;G3</f>
        <v>insert into ins_premium_det (premium_rcv_code,assorted_code, rec_amount,premium_rcv_detail_code,remaining_amt, payrec, mode_code,coinsurance_code,class_cd,it_remarks) values('30Dec240042','070000170566','29280',(select max(to_number(i.premium_rcv_detail_code))+1
from ins_premium_det i),'29280','29280','02', '11000003','00','Request by Mr. Saqib Saleem 31-Dec-2024 Active');</v>
      </c>
    </row>
    <row r="4" spans="1:8" ht="105" x14ac:dyDescent="0.25">
      <c r="A4" s="12" t="s">
        <v>11383</v>
      </c>
      <c r="B4" s="25" t="str">
        <f>VLOOKUP(A4,policy!B:C,2,0)</f>
        <v>070000170568</v>
      </c>
      <c r="C4" s="11">
        <v>37842</v>
      </c>
      <c r="D4" s="26">
        <f t="shared" si="1"/>
        <v>37842</v>
      </c>
      <c r="E4" s="24" t="s">
        <v>13296</v>
      </c>
      <c r="F4" s="27" t="str">
        <f t="shared" si="0"/>
        <v>insert into ins_premium_det (premium_rcv_code,assorted_code, rec_amount,premium_rcv_detail_code,remaining_amt, payrec, mode_code,coinsurance_code,class_cd,it_remarks) values</v>
      </c>
      <c r="G4" s="28" t="str">
        <f t="shared" si="2"/>
        <v>('30Dec240042','070000170568','37842',(select max(to_number(i.premium_rcv_detail_code))+1
from ins_premium_det i),'37842','37842','02', '11000003','00','Request by Mr. Saqib Saleem 31-Dec-2024 Active');</v>
      </c>
      <c r="H4" s="29" t="str">
        <f t="shared" si="3"/>
        <v>insert into ins_premium_det (premium_rcv_code,assorted_code, rec_amount,premium_rcv_detail_code,remaining_amt, payrec, mode_code,coinsurance_code,class_cd,it_remarks) values('30Dec240042','070000170568','37842',(select max(to_number(i.premium_rcv_detail_code))+1
from ins_premium_det i),'37842','37842','02', '11000003','00','Request by Mr. Saqib Saleem 31-Dec-2024 Active');</v>
      </c>
    </row>
    <row r="5" spans="1:8" ht="105" x14ac:dyDescent="0.25">
      <c r="A5" s="12" t="s">
        <v>11384</v>
      </c>
      <c r="B5" s="25" t="str">
        <f>VLOOKUP(A5,policy!B:C,2,0)</f>
        <v>070000170569</v>
      </c>
      <c r="C5" s="13">
        <v>59723</v>
      </c>
      <c r="D5" s="26">
        <f t="shared" si="1"/>
        <v>59723</v>
      </c>
      <c r="E5" s="24" t="s">
        <v>13296</v>
      </c>
      <c r="F5" s="27" t="str">
        <f t="shared" si="0"/>
        <v>insert into ins_premium_det (premium_rcv_code,assorted_code, rec_amount,premium_rcv_detail_code,remaining_amt, payrec, mode_code,coinsurance_code,class_cd,it_remarks) values</v>
      </c>
      <c r="G5" s="28" t="str">
        <f t="shared" si="2"/>
        <v>('30Dec240042','070000170569','59723',(select max(to_number(i.premium_rcv_detail_code))+1
from ins_premium_det i),'59723','59723','02', '11000003','00','Request by Mr. Saqib Saleem 31-Dec-2024 Active');</v>
      </c>
      <c r="H5" s="29" t="str">
        <f t="shared" si="3"/>
        <v>insert into ins_premium_det (premium_rcv_code,assorted_code, rec_amount,premium_rcv_detail_code,remaining_amt, payrec, mode_code,coinsurance_code,class_cd,it_remarks) values('30Dec240042','070000170569','59723',(select max(to_number(i.premium_rcv_detail_code))+1
from ins_premium_det i),'59723','59723','02', '11000003','00','Request by Mr. Saqib Saleem 31-Dec-2024 Active');</v>
      </c>
    </row>
    <row r="6" spans="1:8" ht="105" x14ac:dyDescent="0.25">
      <c r="A6" s="12" t="s">
        <v>11385</v>
      </c>
      <c r="B6" s="25" t="str">
        <f>VLOOKUP(A6,policy!B:C,2,0)</f>
        <v>070000170570</v>
      </c>
      <c r="C6" s="11">
        <v>73780</v>
      </c>
      <c r="D6" s="26">
        <f t="shared" si="1"/>
        <v>73780</v>
      </c>
      <c r="E6" s="24" t="s">
        <v>13296</v>
      </c>
      <c r="F6" s="27" t="str">
        <f t="shared" si="0"/>
        <v>insert into ins_premium_det (premium_rcv_code,assorted_code, rec_amount,premium_rcv_detail_code,remaining_amt, payrec, mode_code,coinsurance_code,class_cd,it_remarks) values</v>
      </c>
      <c r="G6" s="28" t="str">
        <f t="shared" si="2"/>
        <v>('30Dec240042','070000170570','73780',(select max(to_number(i.premium_rcv_detail_code))+1
from ins_premium_det i),'73780','73780','02', '11000003','00','Request by Mr. Saqib Saleem 31-Dec-2024 Active');</v>
      </c>
      <c r="H6" s="29" t="str">
        <f t="shared" si="3"/>
        <v>insert into ins_premium_det (premium_rcv_code,assorted_code, rec_amount,premium_rcv_detail_code,remaining_amt, payrec, mode_code,coinsurance_code,class_cd,it_remarks) values('30Dec240042','070000170570','73780',(select max(to_number(i.premium_rcv_detail_code))+1
from ins_premium_det i),'73780','73780','02', '11000003','00','Request by Mr. Saqib Saleem 31-Dec-2024 Active');</v>
      </c>
    </row>
    <row r="7" spans="1:8" ht="105" x14ac:dyDescent="0.25">
      <c r="A7" s="12" t="s">
        <v>11386</v>
      </c>
      <c r="B7" s="25" t="str">
        <f>VLOOKUP(A7,policy!B:C,2,0)</f>
        <v>070000170571</v>
      </c>
      <c r="C7" s="13">
        <v>130326</v>
      </c>
      <c r="D7" s="26">
        <f t="shared" si="1"/>
        <v>130326</v>
      </c>
      <c r="E7" s="24" t="s">
        <v>13296</v>
      </c>
      <c r="F7" s="27" t="str">
        <f t="shared" si="0"/>
        <v>insert into ins_premium_det (premium_rcv_code,assorted_code, rec_amount,premium_rcv_detail_code,remaining_amt, payrec, mode_code,coinsurance_code,class_cd,it_remarks) values</v>
      </c>
      <c r="G7" s="28" t="str">
        <f t="shared" si="2"/>
        <v>('30Dec240042','070000170571','130326',(select max(to_number(i.premium_rcv_detail_code))+1
from ins_premium_det i),'130326','130326','02', '11000003','00','Request by Mr. Saqib Saleem 31-Dec-2024 Active');</v>
      </c>
      <c r="H7" s="29" t="str">
        <f t="shared" si="3"/>
        <v>insert into ins_premium_det (premium_rcv_code,assorted_code, rec_amount,premium_rcv_detail_code,remaining_amt, payrec, mode_code,coinsurance_code,class_cd,it_remarks) values('30Dec240042','070000170571','130326',(select max(to_number(i.premium_rcv_detail_code))+1
from ins_premium_det i),'130326','130326','02', '11000003','00','Request by Mr. Saqib Saleem 31-Dec-2024 Active');</v>
      </c>
    </row>
    <row r="8" spans="1:8" ht="105" x14ac:dyDescent="0.25">
      <c r="A8" s="12" t="s">
        <v>11387</v>
      </c>
      <c r="B8" s="25" t="str">
        <f>VLOOKUP(A8,policy!B:C,2,0)</f>
        <v>070000170573</v>
      </c>
      <c r="C8" s="11">
        <v>30494</v>
      </c>
      <c r="D8" s="26">
        <f t="shared" si="1"/>
        <v>30494</v>
      </c>
      <c r="E8" s="24" t="s">
        <v>13296</v>
      </c>
      <c r="F8" s="27" t="str">
        <f t="shared" si="0"/>
        <v>insert into ins_premium_det (premium_rcv_code,assorted_code, rec_amount,premium_rcv_detail_code,remaining_amt, payrec, mode_code,coinsurance_code,class_cd,it_remarks) values</v>
      </c>
      <c r="G8" s="28" t="str">
        <f t="shared" si="2"/>
        <v>('30Dec240042','070000170573','30494',(select max(to_number(i.premium_rcv_detail_code))+1
from ins_premium_det i),'30494','30494','02', '11000003','00','Request by Mr. Saqib Saleem 31-Dec-2024 Active');</v>
      </c>
      <c r="H8" s="29" t="str">
        <f t="shared" si="3"/>
        <v>insert into ins_premium_det (premium_rcv_code,assorted_code, rec_amount,premium_rcv_detail_code,remaining_amt, payrec, mode_code,coinsurance_code,class_cd,it_remarks) values('30Dec240042','070000170573','30494',(select max(to_number(i.premium_rcv_detail_code))+1
from ins_premium_det i),'30494','30494','02', '11000003','00','Request by Mr. Saqib Saleem 31-Dec-2024 Active');</v>
      </c>
    </row>
    <row r="9" spans="1:8" ht="105" x14ac:dyDescent="0.25">
      <c r="A9" s="12" t="s">
        <v>11388</v>
      </c>
      <c r="B9" s="25" t="str">
        <f>VLOOKUP(A9,policy!B:C,2,0)</f>
        <v>070000170574</v>
      </c>
      <c r="C9" s="13">
        <v>48994</v>
      </c>
      <c r="D9" s="26">
        <f t="shared" si="1"/>
        <v>48994</v>
      </c>
      <c r="E9" s="24" t="s">
        <v>13296</v>
      </c>
      <c r="F9" s="27" t="str">
        <f t="shared" si="0"/>
        <v>insert into ins_premium_det (premium_rcv_code,assorted_code, rec_amount,premium_rcv_detail_code,remaining_amt, payrec, mode_code,coinsurance_code,class_cd,it_remarks) values</v>
      </c>
      <c r="G9" s="28" t="str">
        <f t="shared" si="2"/>
        <v>('30Dec240042','070000170574','48994',(select max(to_number(i.premium_rcv_detail_code))+1
from ins_premium_det i),'48994','48994','02', '11000003','00','Request by Mr. Saqib Saleem 31-Dec-2024 Active');</v>
      </c>
      <c r="H9" s="29" t="str">
        <f t="shared" si="3"/>
        <v>insert into ins_premium_det (premium_rcv_code,assorted_code, rec_amount,premium_rcv_detail_code,remaining_amt, payrec, mode_code,coinsurance_code,class_cd,it_remarks) values('30Dec240042','070000170574','48994',(select max(to_number(i.premium_rcv_detail_code))+1
from ins_premium_det i),'48994','48994','02', '11000003','00','Request by Mr. Saqib Saleem 31-Dec-2024 Active');</v>
      </c>
    </row>
    <row r="10" spans="1:8" ht="105" x14ac:dyDescent="0.25">
      <c r="A10" s="12" t="s">
        <v>11389</v>
      </c>
      <c r="B10" s="25" t="str">
        <f>VLOOKUP(A10,policy!B:C,2,0)</f>
        <v>070000170575</v>
      </c>
      <c r="C10" s="11">
        <v>26480</v>
      </c>
      <c r="D10" s="26">
        <f t="shared" si="1"/>
        <v>26480</v>
      </c>
      <c r="E10" s="24" t="s">
        <v>13296</v>
      </c>
      <c r="F10" s="27" t="str">
        <f t="shared" si="0"/>
        <v>insert into ins_premium_det (premium_rcv_code,assorted_code, rec_amount,premium_rcv_detail_code,remaining_amt, payrec, mode_code,coinsurance_code,class_cd,it_remarks) values</v>
      </c>
      <c r="G10" s="28" t="str">
        <f t="shared" si="2"/>
        <v>('30Dec240042','070000170575','26480',(select max(to_number(i.premium_rcv_detail_code))+1
from ins_premium_det i),'26480','26480','02', '11000003','00','Request by Mr. Saqib Saleem 31-Dec-2024 Active');</v>
      </c>
      <c r="H10" s="29" t="str">
        <f t="shared" si="3"/>
        <v>insert into ins_premium_det (premium_rcv_code,assorted_code, rec_amount,premium_rcv_detail_code,remaining_amt, payrec, mode_code,coinsurance_code,class_cd,it_remarks) values('30Dec240042','070000170575','26480',(select max(to_number(i.premium_rcv_detail_code))+1
from ins_premium_det i),'26480','26480','02', '11000003','00','Request by Mr. Saqib Saleem 31-Dec-2024 Active');</v>
      </c>
    </row>
    <row r="11" spans="1:8" ht="105" x14ac:dyDescent="0.25">
      <c r="A11" s="12" t="s">
        <v>11390</v>
      </c>
      <c r="B11" s="25" t="str">
        <f>VLOOKUP(A11,policy!B:C,2,0)</f>
        <v>070000170576</v>
      </c>
      <c r="C11" s="13">
        <v>21360</v>
      </c>
      <c r="D11" s="26">
        <f t="shared" si="1"/>
        <v>21360</v>
      </c>
      <c r="E11" s="24" t="s">
        <v>13296</v>
      </c>
      <c r="F11" s="27" t="str">
        <f t="shared" si="0"/>
        <v>insert into ins_premium_det (premium_rcv_code,assorted_code, rec_amount,premium_rcv_detail_code,remaining_amt, payrec, mode_code,coinsurance_code,class_cd,it_remarks) values</v>
      </c>
      <c r="G11" s="28" t="str">
        <f t="shared" si="2"/>
        <v>('30Dec240042','070000170576','21360',(select max(to_number(i.premium_rcv_detail_code))+1
from ins_premium_det i),'21360','21360','02', '11000003','00','Request by Mr. Saqib Saleem 31-Dec-2024 Active');</v>
      </c>
      <c r="H11" s="29" t="str">
        <f t="shared" si="3"/>
        <v>insert into ins_premium_det (premium_rcv_code,assorted_code, rec_amount,premium_rcv_detail_code,remaining_amt, payrec, mode_code,coinsurance_code,class_cd,it_remarks) values('30Dec240042','070000170576','21360',(select max(to_number(i.premium_rcv_detail_code))+1
from ins_premium_det i),'21360','21360','02', '11000003','00','Request by Mr. Saqib Saleem 31-Dec-2024 Active');</v>
      </c>
    </row>
    <row r="12" spans="1:8" ht="105" x14ac:dyDescent="0.25">
      <c r="A12" s="12" t="s">
        <v>11391</v>
      </c>
      <c r="B12" s="25" t="str">
        <f>VLOOKUP(A12,policy!B:C,2,0)</f>
        <v>070000170577</v>
      </c>
      <c r="C12" s="11">
        <v>21328</v>
      </c>
      <c r="D12" s="26">
        <f t="shared" si="1"/>
        <v>21328</v>
      </c>
      <c r="E12" s="24" t="s">
        <v>13296</v>
      </c>
      <c r="F12" s="27" t="str">
        <f t="shared" si="0"/>
        <v>insert into ins_premium_det (premium_rcv_code,assorted_code, rec_amount,premium_rcv_detail_code,remaining_amt, payrec, mode_code,coinsurance_code,class_cd,it_remarks) values</v>
      </c>
      <c r="G12" s="28" t="str">
        <f t="shared" si="2"/>
        <v>('30Dec240042','070000170577','21328',(select max(to_number(i.premium_rcv_detail_code))+1
from ins_premium_det i),'21328','21328','02', '11000003','00','Request by Mr. Saqib Saleem 31-Dec-2024 Active');</v>
      </c>
      <c r="H12" s="29" t="str">
        <f t="shared" si="3"/>
        <v>insert into ins_premium_det (premium_rcv_code,assorted_code, rec_amount,premium_rcv_detail_code,remaining_amt, payrec, mode_code,coinsurance_code,class_cd,it_remarks) values('30Dec240042','070000170577','21328',(select max(to_number(i.premium_rcv_detail_code))+1
from ins_premium_det i),'21328','21328','02', '11000003','00','Request by Mr. Saqib Saleem 31-Dec-2024 Active');</v>
      </c>
    </row>
    <row r="13" spans="1:8" ht="105" x14ac:dyDescent="0.25">
      <c r="A13" s="12" t="s">
        <v>11392</v>
      </c>
      <c r="B13" s="25" t="str">
        <f>VLOOKUP(A13,policy!B:C,2,0)</f>
        <v>070000170578</v>
      </c>
      <c r="C13" s="13">
        <v>25950</v>
      </c>
      <c r="D13" s="26">
        <f t="shared" si="1"/>
        <v>25950</v>
      </c>
      <c r="E13" s="24" t="s">
        <v>13296</v>
      </c>
      <c r="F13" s="27" t="str">
        <f t="shared" si="0"/>
        <v>insert into ins_premium_det (premium_rcv_code,assorted_code, rec_amount,premium_rcv_detail_code,remaining_amt, payrec, mode_code,coinsurance_code,class_cd,it_remarks) values</v>
      </c>
      <c r="G13" s="28" t="str">
        <f t="shared" si="2"/>
        <v>('30Dec240042','070000170578','25950',(select max(to_number(i.premium_rcv_detail_code))+1
from ins_premium_det i),'25950','25950','02', '11000003','00','Request by Mr. Saqib Saleem 31-Dec-2024 Active');</v>
      </c>
      <c r="H13" s="29" t="str">
        <f t="shared" si="3"/>
        <v>insert into ins_premium_det (premium_rcv_code,assorted_code, rec_amount,premium_rcv_detail_code,remaining_amt, payrec, mode_code,coinsurance_code,class_cd,it_remarks) values('30Dec240042','070000170578','25950',(select max(to_number(i.premium_rcv_detail_code))+1
from ins_premium_det i),'25950','25950','02', '11000003','00','Request by Mr. Saqib Saleem 31-Dec-2024 Active');</v>
      </c>
    </row>
    <row r="14" spans="1:8" ht="105" x14ac:dyDescent="0.25">
      <c r="A14" s="12" t="s">
        <v>11393</v>
      </c>
      <c r="B14" s="25" t="str">
        <f>VLOOKUP(A14,policy!B:C,2,0)</f>
        <v>070000170579</v>
      </c>
      <c r="C14" s="11">
        <v>26240</v>
      </c>
      <c r="D14" s="26">
        <f t="shared" si="1"/>
        <v>26240</v>
      </c>
      <c r="E14" s="24" t="s">
        <v>13296</v>
      </c>
      <c r="F14" s="27" t="str">
        <f t="shared" si="0"/>
        <v>insert into ins_premium_det (premium_rcv_code,assorted_code, rec_amount,premium_rcv_detail_code,remaining_amt, payrec, mode_code,coinsurance_code,class_cd,it_remarks) values</v>
      </c>
      <c r="G14" s="28" t="str">
        <f t="shared" si="2"/>
        <v>('30Dec240042','070000170579','26240',(select max(to_number(i.premium_rcv_detail_code))+1
from ins_premium_det i),'26240','26240','02', '11000003','00','Request by Mr. Saqib Saleem 31-Dec-2024 Active');</v>
      </c>
      <c r="H14" s="29" t="str">
        <f t="shared" si="3"/>
        <v>insert into ins_premium_det (premium_rcv_code,assorted_code, rec_amount,premium_rcv_detail_code,remaining_amt, payrec, mode_code,coinsurance_code,class_cd,it_remarks) values('30Dec240042','070000170579','26240',(select max(to_number(i.premium_rcv_detail_code))+1
from ins_premium_det i),'26240','26240','02', '11000003','00','Request by Mr. Saqib Saleem 31-Dec-2024 Active');</v>
      </c>
    </row>
    <row r="15" spans="1:8" ht="105" x14ac:dyDescent="0.25">
      <c r="A15" s="12" t="s">
        <v>11394</v>
      </c>
      <c r="B15" s="25" t="str">
        <f>VLOOKUP(A15,policy!B:C,2,0)</f>
        <v>070000170580</v>
      </c>
      <c r="C15" s="13">
        <v>36975</v>
      </c>
      <c r="D15" s="26">
        <f t="shared" si="1"/>
        <v>36975</v>
      </c>
      <c r="E15" s="24" t="s">
        <v>13296</v>
      </c>
      <c r="F15" s="27" t="str">
        <f t="shared" si="0"/>
        <v>insert into ins_premium_det (premium_rcv_code,assorted_code, rec_amount,premium_rcv_detail_code,remaining_amt, payrec, mode_code,coinsurance_code,class_cd,it_remarks) values</v>
      </c>
      <c r="G15" s="28" t="str">
        <f t="shared" si="2"/>
        <v>('30Dec240042','070000170580','36975',(select max(to_number(i.premium_rcv_detail_code))+1
from ins_premium_det i),'36975','36975','02', '11000003','00','Request by Mr. Saqib Saleem 31-Dec-2024 Active');</v>
      </c>
      <c r="H15" s="29" t="str">
        <f t="shared" si="3"/>
        <v>insert into ins_premium_det (premium_rcv_code,assorted_code, rec_amount,premium_rcv_detail_code,remaining_amt, payrec, mode_code,coinsurance_code,class_cd,it_remarks) values('30Dec240042','070000170580','36975',(select max(to_number(i.premium_rcv_detail_code))+1
from ins_premium_det i),'36975','36975','02', '11000003','00','Request by Mr. Saqib Saleem 31-Dec-2024 Active');</v>
      </c>
    </row>
    <row r="16" spans="1:8" ht="105" x14ac:dyDescent="0.25">
      <c r="A16" s="12" t="s">
        <v>11395</v>
      </c>
      <c r="B16" s="25" t="str">
        <f>VLOOKUP(A16,policy!B:C,2,0)</f>
        <v>070000170583</v>
      </c>
      <c r="C16" s="11">
        <v>59723</v>
      </c>
      <c r="D16" s="26">
        <f t="shared" si="1"/>
        <v>59723</v>
      </c>
      <c r="E16" s="24" t="s">
        <v>13296</v>
      </c>
      <c r="F16" s="27" t="str">
        <f t="shared" si="0"/>
        <v>insert into ins_premium_det (premium_rcv_code,assorted_code, rec_amount,premium_rcv_detail_code,remaining_amt, payrec, mode_code,coinsurance_code,class_cd,it_remarks) values</v>
      </c>
      <c r="G16" s="28" t="str">
        <f t="shared" si="2"/>
        <v>('30Dec240042','070000170583','59723',(select max(to_number(i.premium_rcv_detail_code))+1
from ins_premium_det i),'59723','59723','02', '11000003','00','Request by Mr. Saqib Saleem 31-Dec-2024 Active');</v>
      </c>
      <c r="H16" s="29" t="str">
        <f t="shared" si="3"/>
        <v>insert into ins_premium_det (premium_rcv_code,assorted_code, rec_amount,premium_rcv_detail_code,remaining_amt, payrec, mode_code,coinsurance_code,class_cd,it_remarks) values('30Dec240042','070000170583','59723',(select max(to_number(i.premium_rcv_detail_code))+1
from ins_premium_det i),'59723','59723','02', '11000003','00','Request by Mr. Saqib Saleem 31-Dec-2024 Active');</v>
      </c>
    </row>
    <row r="17" spans="1:8" ht="105" x14ac:dyDescent="0.25">
      <c r="A17" s="12" t="s">
        <v>11396</v>
      </c>
      <c r="B17" s="25" t="str">
        <f>VLOOKUP(A17,policy!B:C,2,0)</f>
        <v>070000170584</v>
      </c>
      <c r="C17" s="13">
        <v>50984</v>
      </c>
      <c r="D17" s="26">
        <f t="shared" si="1"/>
        <v>50984</v>
      </c>
      <c r="E17" s="24" t="s">
        <v>13296</v>
      </c>
      <c r="F17" s="27" t="str">
        <f t="shared" si="0"/>
        <v>insert into ins_premium_det (premium_rcv_code,assorted_code, rec_amount,premium_rcv_detail_code,remaining_amt, payrec, mode_code,coinsurance_code,class_cd,it_remarks) values</v>
      </c>
      <c r="G17" s="28" t="str">
        <f t="shared" si="2"/>
        <v>('30Dec240042','070000170584','50984',(select max(to_number(i.premium_rcv_detail_code))+1
from ins_premium_det i),'50984','50984','02', '11000003','00','Request by Mr. Saqib Saleem 31-Dec-2024 Active');</v>
      </c>
      <c r="H17" s="29" t="str">
        <f t="shared" si="3"/>
        <v>insert into ins_premium_det (premium_rcv_code,assorted_code, rec_amount,premium_rcv_detail_code,remaining_amt, payrec, mode_code,coinsurance_code,class_cd,it_remarks) values('30Dec240042','070000170584','50984',(select max(to_number(i.premium_rcv_detail_code))+1
from ins_premium_det i),'50984','50984','02', '11000003','00','Request by Mr. Saqib Saleem 31-Dec-2024 Active');</v>
      </c>
    </row>
    <row r="18" spans="1:8" ht="105" x14ac:dyDescent="0.25">
      <c r="A18" s="12" t="s">
        <v>11397</v>
      </c>
      <c r="B18" s="25" t="str">
        <f>VLOOKUP(A18,policy!B:C,2,0)</f>
        <v>070000170585</v>
      </c>
      <c r="C18" s="11">
        <v>60739</v>
      </c>
      <c r="D18" s="26">
        <f t="shared" si="1"/>
        <v>60739</v>
      </c>
      <c r="E18" s="24" t="s">
        <v>13296</v>
      </c>
      <c r="F18" s="27" t="str">
        <f t="shared" si="0"/>
        <v>insert into ins_premium_det (premium_rcv_code,assorted_code, rec_amount,premium_rcv_detail_code,remaining_amt, payrec, mode_code,coinsurance_code,class_cd,it_remarks) values</v>
      </c>
      <c r="G18" s="28" t="str">
        <f t="shared" si="2"/>
        <v>('30Dec240042','070000170585','60739',(select max(to_number(i.premium_rcv_detail_code))+1
from ins_premium_det i),'60739','60739','02', '11000003','00','Request by Mr. Saqib Saleem 31-Dec-2024 Active');</v>
      </c>
      <c r="H18" s="29" t="str">
        <f t="shared" si="3"/>
        <v>insert into ins_premium_det (premium_rcv_code,assorted_code, rec_amount,premium_rcv_detail_code,remaining_amt, payrec, mode_code,coinsurance_code,class_cd,it_remarks) values('30Dec240042','070000170585','60739',(select max(to_number(i.premium_rcv_detail_code))+1
from ins_premium_det i),'60739','60739','02', '11000003','00','Request by Mr. Saqib Saleem 31-Dec-2024 Active');</v>
      </c>
    </row>
    <row r="19" spans="1:8" ht="105" x14ac:dyDescent="0.25">
      <c r="A19" s="12" t="s">
        <v>11398</v>
      </c>
      <c r="B19" s="25" t="str">
        <f>VLOOKUP(A19,policy!B:C,2,0)</f>
        <v>070000170586</v>
      </c>
      <c r="C19" s="13">
        <v>61054</v>
      </c>
      <c r="D19" s="26">
        <f t="shared" si="1"/>
        <v>61054</v>
      </c>
      <c r="E19" s="24" t="s">
        <v>13296</v>
      </c>
      <c r="F19" s="27" t="str">
        <f t="shared" si="0"/>
        <v>insert into ins_premium_det (premium_rcv_code,assorted_code, rec_amount,premium_rcv_detail_code,remaining_amt, payrec, mode_code,coinsurance_code,class_cd,it_remarks) values</v>
      </c>
      <c r="G19" s="28" t="str">
        <f t="shared" si="2"/>
        <v>('30Dec240042','070000170586','61054',(select max(to_number(i.premium_rcv_detail_code))+1
from ins_premium_det i),'61054','61054','02', '11000003','00','Request by Mr. Saqib Saleem 31-Dec-2024 Active');</v>
      </c>
      <c r="H19" s="29" t="str">
        <f t="shared" si="3"/>
        <v>insert into ins_premium_det (premium_rcv_code,assorted_code, rec_amount,premium_rcv_detail_code,remaining_amt, payrec, mode_code,coinsurance_code,class_cd,it_remarks) values('30Dec240042','070000170586','61054',(select max(to_number(i.premium_rcv_detail_code))+1
from ins_premium_det i),'61054','61054','02', '11000003','00','Request by Mr. Saqib Saleem 31-Dec-2024 Active');</v>
      </c>
    </row>
    <row r="20" spans="1:8" ht="105" x14ac:dyDescent="0.25">
      <c r="A20" s="12" t="s">
        <v>11399</v>
      </c>
      <c r="B20" s="25" t="str">
        <f>VLOOKUP(A20,policy!B:C,2,0)</f>
        <v>070000170587</v>
      </c>
      <c r="C20" s="11">
        <v>38140</v>
      </c>
      <c r="D20" s="26">
        <f t="shared" si="1"/>
        <v>38140</v>
      </c>
      <c r="E20" s="24" t="s">
        <v>13296</v>
      </c>
      <c r="F20" s="27" t="str">
        <f t="shared" si="0"/>
        <v>insert into ins_premium_det (premium_rcv_code,assorted_code, rec_amount,premium_rcv_detail_code,remaining_amt, payrec, mode_code,coinsurance_code,class_cd,it_remarks) values</v>
      </c>
      <c r="G20" s="28" t="str">
        <f t="shared" si="2"/>
        <v>('30Dec240042','070000170587','38140',(select max(to_number(i.premium_rcv_detail_code))+1
from ins_premium_det i),'38140','38140','02', '11000003','00','Request by Mr. Saqib Saleem 31-Dec-2024 Active');</v>
      </c>
      <c r="H20" s="29" t="str">
        <f t="shared" si="3"/>
        <v>insert into ins_premium_det (premium_rcv_code,assorted_code, rec_amount,premium_rcv_detail_code,remaining_amt, payrec, mode_code,coinsurance_code,class_cd,it_remarks) values('30Dec240042','070000170587','38140',(select max(to_number(i.premium_rcv_detail_code))+1
from ins_premium_det i),'38140','38140','02', '11000003','00','Request by Mr. Saqib Saleem 31-Dec-2024 Active');</v>
      </c>
    </row>
    <row r="21" spans="1:8" ht="105" x14ac:dyDescent="0.25">
      <c r="A21" s="12" t="s">
        <v>11400</v>
      </c>
      <c r="B21" s="25" t="str">
        <f>VLOOKUP(A21,policy!B:C,2,0)</f>
        <v>070000170589</v>
      </c>
      <c r="C21" s="13">
        <v>28263</v>
      </c>
      <c r="D21" s="26">
        <f t="shared" si="1"/>
        <v>28263</v>
      </c>
      <c r="E21" s="24" t="s">
        <v>13296</v>
      </c>
      <c r="F21" s="27" t="str">
        <f t="shared" si="0"/>
        <v>insert into ins_premium_det (premium_rcv_code,assorted_code, rec_amount,premium_rcv_detail_code,remaining_amt, payrec, mode_code,coinsurance_code,class_cd,it_remarks) values</v>
      </c>
      <c r="G21" s="28" t="str">
        <f t="shared" si="2"/>
        <v>('30Dec240042','070000170589','28263',(select max(to_number(i.premium_rcv_detail_code))+1
from ins_premium_det i),'28263','28263','02', '11000003','00','Request by Mr. Saqib Saleem 31-Dec-2024 Active');</v>
      </c>
      <c r="H21" s="29" t="str">
        <f t="shared" si="3"/>
        <v>insert into ins_premium_det (premium_rcv_code,assorted_code, rec_amount,premium_rcv_detail_code,remaining_amt, payrec, mode_code,coinsurance_code,class_cd,it_remarks) values('30Dec240042','070000170589','28263',(select max(to_number(i.premium_rcv_detail_code))+1
from ins_premium_det i),'28263','28263','02', '11000003','00','Request by Mr. Saqib Saleem 31-Dec-2024 Active');</v>
      </c>
    </row>
    <row r="22" spans="1:8" ht="105" x14ac:dyDescent="0.25">
      <c r="A22" s="12" t="s">
        <v>11401</v>
      </c>
      <c r="B22" s="25" t="str">
        <f>VLOOKUP(A22,policy!B:C,2,0)</f>
        <v>070000170591</v>
      </c>
      <c r="C22" s="11">
        <v>66385</v>
      </c>
      <c r="D22" s="26">
        <f t="shared" si="1"/>
        <v>66385</v>
      </c>
      <c r="E22" s="24" t="s">
        <v>13296</v>
      </c>
      <c r="F22" s="27" t="str">
        <f t="shared" si="0"/>
        <v>insert into ins_premium_det (premium_rcv_code,assorted_code, rec_amount,premium_rcv_detail_code,remaining_amt, payrec, mode_code,coinsurance_code,class_cd,it_remarks) values</v>
      </c>
      <c r="G22" s="28" t="str">
        <f t="shared" si="2"/>
        <v>('30Dec240042','070000170591','66385',(select max(to_number(i.premium_rcv_detail_code))+1
from ins_premium_det i),'66385','66385','02', '11000003','00','Request by Mr. Saqib Saleem 31-Dec-2024 Active');</v>
      </c>
      <c r="H22" s="29" t="str">
        <f t="shared" si="3"/>
        <v>insert into ins_premium_det (premium_rcv_code,assorted_code, rec_amount,premium_rcv_detail_code,remaining_amt, payrec, mode_code,coinsurance_code,class_cd,it_remarks) values('30Dec240042','070000170591','66385',(select max(to_number(i.premium_rcv_detail_code))+1
from ins_premium_det i),'66385','66385','02', '11000003','00','Request by Mr. Saqib Saleem 31-Dec-2024 Active');</v>
      </c>
    </row>
    <row r="23" spans="1:8" ht="105" x14ac:dyDescent="0.25">
      <c r="A23" s="12" t="s">
        <v>11402</v>
      </c>
      <c r="B23" s="25" t="str">
        <f>VLOOKUP(A23,policy!B:C,2,0)</f>
        <v>070000170594</v>
      </c>
      <c r="C23" s="13">
        <v>37026</v>
      </c>
      <c r="D23" s="26">
        <f t="shared" si="1"/>
        <v>37026</v>
      </c>
      <c r="E23" s="24" t="s">
        <v>13296</v>
      </c>
      <c r="F23" s="27" t="str">
        <f t="shared" si="0"/>
        <v>insert into ins_premium_det (premium_rcv_code,assorted_code, rec_amount,premium_rcv_detail_code,remaining_amt, payrec, mode_code,coinsurance_code,class_cd,it_remarks) values</v>
      </c>
      <c r="G23" s="28" t="str">
        <f t="shared" si="2"/>
        <v>('30Dec240042','070000170594','37026',(select max(to_number(i.premium_rcv_detail_code))+1
from ins_premium_det i),'37026','37026','02', '11000003','00','Request by Mr. Saqib Saleem 31-Dec-2024 Active');</v>
      </c>
      <c r="H23" s="29" t="str">
        <f t="shared" si="3"/>
        <v>insert into ins_premium_det (premium_rcv_code,assorted_code, rec_amount,premium_rcv_detail_code,remaining_amt, payrec, mode_code,coinsurance_code,class_cd,it_remarks) values('30Dec240042','070000170594','37026',(select max(to_number(i.premium_rcv_detail_code))+1
from ins_premium_det i),'37026','37026','02', '11000003','00','Request by Mr. Saqib Saleem 31-Dec-2024 Active');</v>
      </c>
    </row>
    <row r="24" spans="1:8" ht="105" x14ac:dyDescent="0.25">
      <c r="A24" s="12" t="s">
        <v>11403</v>
      </c>
      <c r="B24" s="25" t="str">
        <f>VLOOKUP(A24,policy!B:C,2,0)</f>
        <v>070000170599</v>
      </c>
      <c r="C24" s="11">
        <v>29006</v>
      </c>
      <c r="D24" s="26">
        <f t="shared" si="1"/>
        <v>29006</v>
      </c>
      <c r="E24" s="24" t="s">
        <v>13296</v>
      </c>
      <c r="F24" s="27" t="str">
        <f t="shared" si="0"/>
        <v>insert into ins_premium_det (premium_rcv_code,assorted_code, rec_amount,premium_rcv_detail_code,remaining_amt, payrec, mode_code,coinsurance_code,class_cd,it_remarks) values</v>
      </c>
      <c r="G24" s="28" t="str">
        <f t="shared" si="2"/>
        <v>('30Dec240042','070000170599','29006',(select max(to_number(i.premium_rcv_detail_code))+1
from ins_premium_det i),'29006','29006','02', '11000003','00','Request by Mr. Saqib Saleem 31-Dec-2024 Active');</v>
      </c>
      <c r="H24" s="29" t="str">
        <f t="shared" si="3"/>
        <v>insert into ins_premium_det (premium_rcv_code,assorted_code, rec_amount,premium_rcv_detail_code,remaining_amt, payrec, mode_code,coinsurance_code,class_cd,it_remarks) values('30Dec240042','070000170599','29006',(select max(to_number(i.premium_rcv_detail_code))+1
from ins_premium_det i),'29006','29006','02', '11000003','00','Request by Mr. Saqib Saleem 31-Dec-2024 Active');</v>
      </c>
    </row>
    <row r="25" spans="1:8" ht="105" x14ac:dyDescent="0.25">
      <c r="A25" s="12" t="s">
        <v>11404</v>
      </c>
      <c r="B25" s="25" t="str">
        <f>VLOOKUP(A25,policy!B:C,2,0)</f>
        <v>070000170600</v>
      </c>
      <c r="C25" s="13">
        <v>47016</v>
      </c>
      <c r="D25" s="26">
        <f t="shared" si="1"/>
        <v>47016</v>
      </c>
      <c r="E25" s="24" t="s">
        <v>13296</v>
      </c>
      <c r="F25" s="27" t="str">
        <f t="shared" si="0"/>
        <v>insert into ins_premium_det (premium_rcv_code,assorted_code, rec_amount,premium_rcv_detail_code,remaining_amt, payrec, mode_code,coinsurance_code,class_cd,it_remarks) values</v>
      </c>
      <c r="G25" s="28" t="str">
        <f t="shared" si="2"/>
        <v>('30Dec240042','070000170600','47016',(select max(to_number(i.premium_rcv_detail_code))+1
from ins_premium_det i),'47016','47016','02', '11000003','00','Request by Mr. Saqib Saleem 31-Dec-2024 Active');</v>
      </c>
      <c r="H25" s="29" t="str">
        <f t="shared" si="3"/>
        <v>insert into ins_premium_det (premium_rcv_code,assorted_code, rec_amount,premium_rcv_detail_code,remaining_amt, payrec, mode_code,coinsurance_code,class_cd,it_remarks) values('30Dec240042','070000170600','47016',(select max(to_number(i.premium_rcv_detail_code))+1
from ins_premium_det i),'47016','47016','02', '11000003','00','Request by Mr. Saqib Saleem 31-Dec-2024 Active');</v>
      </c>
    </row>
    <row r="26" spans="1:8" ht="105" x14ac:dyDescent="0.25">
      <c r="A26" s="12" t="s">
        <v>11405</v>
      </c>
      <c r="B26" s="25" t="str">
        <f>VLOOKUP(A26,policy!B:C,2,0)</f>
        <v>070000170601</v>
      </c>
      <c r="C26" s="11">
        <v>21360</v>
      </c>
      <c r="D26" s="26">
        <f t="shared" si="1"/>
        <v>21360</v>
      </c>
      <c r="E26" s="24" t="s">
        <v>13296</v>
      </c>
      <c r="F26" s="27" t="str">
        <f t="shared" si="0"/>
        <v>insert into ins_premium_det (premium_rcv_code,assorted_code, rec_amount,premium_rcv_detail_code,remaining_amt, payrec, mode_code,coinsurance_code,class_cd,it_remarks) values</v>
      </c>
      <c r="G26" s="28" t="str">
        <f t="shared" si="2"/>
        <v>('30Dec240042','070000170601','21360',(select max(to_number(i.premium_rcv_detail_code))+1
from ins_premium_det i),'21360','21360','02', '11000003','00','Request by Mr. Saqib Saleem 31-Dec-2024 Active');</v>
      </c>
      <c r="H26" s="29" t="str">
        <f t="shared" si="3"/>
        <v>insert into ins_premium_det (premium_rcv_code,assorted_code, rec_amount,premium_rcv_detail_code,remaining_amt, payrec, mode_code,coinsurance_code,class_cd,it_remarks) values('30Dec240042','070000170601','21360',(select max(to_number(i.premium_rcv_detail_code))+1
from ins_premium_det i),'21360','21360','02', '11000003','00','Request by Mr. Saqib Saleem 31-Dec-2024 Active');</v>
      </c>
    </row>
    <row r="27" spans="1:8" ht="105" x14ac:dyDescent="0.25">
      <c r="A27" s="12" t="s">
        <v>11406</v>
      </c>
      <c r="B27" s="25" t="str">
        <f>VLOOKUP(A27,policy!B:C,2,0)</f>
        <v>070000170602</v>
      </c>
      <c r="C27" s="13">
        <v>23970</v>
      </c>
      <c r="D27" s="26">
        <f t="shared" si="1"/>
        <v>23970</v>
      </c>
      <c r="E27" s="24" t="s">
        <v>13296</v>
      </c>
      <c r="F27" s="27" t="str">
        <f t="shared" si="0"/>
        <v>insert into ins_premium_det (premium_rcv_code,assorted_code, rec_amount,premium_rcv_detail_code,remaining_amt, payrec, mode_code,coinsurance_code,class_cd,it_remarks) values</v>
      </c>
      <c r="G27" s="28" t="str">
        <f t="shared" si="2"/>
        <v>('30Dec240042','070000170602','23970',(select max(to_number(i.premium_rcv_detail_code))+1
from ins_premium_det i),'23970','23970','02', '11000003','00','Request by Mr. Saqib Saleem 31-Dec-2024 Active');</v>
      </c>
      <c r="H27" s="29" t="str">
        <f t="shared" si="3"/>
        <v>insert into ins_premium_det (premium_rcv_code,assorted_code, rec_amount,premium_rcv_detail_code,remaining_amt, payrec, mode_code,coinsurance_code,class_cd,it_remarks) values('30Dec240042','070000170602','23970',(select max(to_number(i.premium_rcv_detail_code))+1
from ins_premium_det i),'23970','23970','02', '11000003','00','Request by Mr. Saqib Saleem 31-Dec-2024 Active');</v>
      </c>
    </row>
    <row r="28" spans="1:8" ht="105" x14ac:dyDescent="0.25">
      <c r="A28" s="12" t="s">
        <v>11407</v>
      </c>
      <c r="B28" s="25" t="str">
        <f>VLOOKUP(A28,policy!B:C,2,0)</f>
        <v>070000170603</v>
      </c>
      <c r="C28" s="11">
        <v>30450</v>
      </c>
      <c r="D28" s="26">
        <f t="shared" si="1"/>
        <v>30450</v>
      </c>
      <c r="E28" s="24" t="s">
        <v>13296</v>
      </c>
      <c r="F28" s="27" t="str">
        <f t="shared" si="0"/>
        <v>insert into ins_premium_det (premium_rcv_code,assorted_code, rec_amount,premium_rcv_detail_code,remaining_amt, payrec, mode_code,coinsurance_code,class_cd,it_remarks) values</v>
      </c>
      <c r="G28" s="28" t="str">
        <f t="shared" si="2"/>
        <v>('30Dec240042','070000170603','30450',(select max(to_number(i.premium_rcv_detail_code))+1
from ins_premium_det i),'30450','30450','02', '11000003','00','Request by Mr. Saqib Saleem 31-Dec-2024 Active');</v>
      </c>
      <c r="H28" s="29" t="str">
        <f t="shared" si="3"/>
        <v>insert into ins_premium_det (premium_rcv_code,assorted_code, rec_amount,premium_rcv_detail_code,remaining_amt, payrec, mode_code,coinsurance_code,class_cd,it_remarks) values('30Dec240042','070000170603','30450',(select max(to_number(i.premium_rcv_detail_code))+1
from ins_premium_det i),'30450','30450','02', '11000003','00','Request by Mr. Saqib Saleem 31-Dec-2024 Active');</v>
      </c>
    </row>
    <row r="29" spans="1:8" ht="105" x14ac:dyDescent="0.25">
      <c r="A29" s="12" t="s">
        <v>11408</v>
      </c>
      <c r="B29" s="25" t="str">
        <f>VLOOKUP(A29,policy!B:C,2,0)</f>
        <v>070000170605</v>
      </c>
      <c r="C29" s="13">
        <v>29280</v>
      </c>
      <c r="D29" s="26">
        <f t="shared" si="1"/>
        <v>29280</v>
      </c>
      <c r="E29" s="24" t="s">
        <v>13296</v>
      </c>
      <c r="F29" s="27" t="str">
        <f t="shared" si="0"/>
        <v>insert into ins_premium_det (premium_rcv_code,assorted_code, rec_amount,premium_rcv_detail_code,remaining_amt, payrec, mode_code,coinsurance_code,class_cd,it_remarks) values</v>
      </c>
      <c r="G29" s="28" t="str">
        <f t="shared" si="2"/>
        <v>('30Dec240042','070000170605','29280',(select max(to_number(i.premium_rcv_detail_code))+1
from ins_premium_det i),'29280','29280','02', '11000003','00','Request by Mr. Saqib Saleem 31-Dec-2024 Active');</v>
      </c>
      <c r="H29" s="29" t="str">
        <f t="shared" si="3"/>
        <v>insert into ins_premium_det (premium_rcv_code,assorted_code, rec_amount,premium_rcv_detail_code,remaining_amt, payrec, mode_code,coinsurance_code,class_cd,it_remarks) values('30Dec240042','070000170605','29280',(select max(to_number(i.premium_rcv_detail_code))+1
from ins_premium_det i),'29280','29280','02', '11000003','00','Request by Mr. Saqib Saleem 31-Dec-2024 Active');</v>
      </c>
    </row>
    <row r="30" spans="1:8" ht="105" x14ac:dyDescent="0.25">
      <c r="A30" s="12" t="s">
        <v>11409</v>
      </c>
      <c r="B30" s="25" t="str">
        <f>VLOOKUP(A30,policy!B:C,2,0)</f>
        <v>070000170607</v>
      </c>
      <c r="C30" s="11">
        <v>41445</v>
      </c>
      <c r="D30" s="26">
        <f t="shared" si="1"/>
        <v>41445</v>
      </c>
      <c r="E30" s="24" t="s">
        <v>13296</v>
      </c>
      <c r="F30" s="27" t="str">
        <f t="shared" si="0"/>
        <v>insert into ins_premium_det (premium_rcv_code,assorted_code, rec_amount,premium_rcv_detail_code,remaining_amt, payrec, mode_code,coinsurance_code,class_cd,it_remarks) values</v>
      </c>
      <c r="G30" s="28" t="str">
        <f t="shared" si="2"/>
        <v>('30Dec240042','070000170607','41445',(select max(to_number(i.premium_rcv_detail_code))+1
from ins_premium_det i),'41445','41445','02', '11000003','00','Request by Mr. Saqib Saleem 31-Dec-2024 Active');</v>
      </c>
      <c r="H30" s="29" t="str">
        <f t="shared" si="3"/>
        <v>insert into ins_premium_det (premium_rcv_code,assorted_code, rec_amount,premium_rcv_detail_code,remaining_amt, payrec, mode_code,coinsurance_code,class_cd,it_remarks) values('30Dec240042','070000170607','41445',(select max(to_number(i.premium_rcv_detail_code))+1
from ins_premium_det i),'41445','41445','02', '11000003','00','Request by Mr. Saqib Saleem 31-Dec-2024 Active');</v>
      </c>
    </row>
    <row r="31" spans="1:8" ht="105" x14ac:dyDescent="0.25">
      <c r="A31" s="12" t="s">
        <v>11410</v>
      </c>
      <c r="B31" s="25" t="str">
        <f>VLOOKUP(A31,policy!B:C,2,0)</f>
        <v>070000170608</v>
      </c>
      <c r="C31" s="13">
        <v>50775</v>
      </c>
      <c r="D31" s="26">
        <f t="shared" si="1"/>
        <v>50775</v>
      </c>
      <c r="E31" s="24" t="s">
        <v>13296</v>
      </c>
      <c r="F31" s="27" t="str">
        <f t="shared" si="0"/>
        <v>insert into ins_premium_det (premium_rcv_code,assorted_code, rec_amount,premium_rcv_detail_code,remaining_amt, payrec, mode_code,coinsurance_code,class_cd,it_remarks) values</v>
      </c>
      <c r="G31" s="28" t="str">
        <f t="shared" si="2"/>
        <v>('30Dec240042','070000170608','50775',(select max(to_number(i.premium_rcv_detail_code))+1
from ins_premium_det i),'50775','50775','02', '11000003','00','Request by Mr. Saqib Saleem 31-Dec-2024 Active');</v>
      </c>
      <c r="H31" s="29" t="str">
        <f t="shared" si="3"/>
        <v>insert into ins_premium_det (premium_rcv_code,assorted_code, rec_amount,premium_rcv_detail_code,remaining_amt, payrec, mode_code,coinsurance_code,class_cd,it_remarks) values('30Dec240042','070000170608','50775',(select max(to_number(i.premium_rcv_detail_code))+1
from ins_premium_det i),'50775','50775','02', '11000003','00','Request by Mr. Saqib Saleem 31-Dec-2024 Active');</v>
      </c>
    </row>
    <row r="32" spans="1:8" ht="105" x14ac:dyDescent="0.25">
      <c r="A32" s="12" t="s">
        <v>11411</v>
      </c>
      <c r="B32" s="25" t="str">
        <f>VLOOKUP(A32,policy!B:C,2,0)</f>
        <v>070000170610</v>
      </c>
      <c r="C32" s="11">
        <v>39675</v>
      </c>
      <c r="D32" s="26">
        <f t="shared" si="1"/>
        <v>39675</v>
      </c>
      <c r="E32" s="24" t="s">
        <v>13296</v>
      </c>
      <c r="F32" s="27" t="str">
        <f t="shared" si="0"/>
        <v>insert into ins_premium_det (premium_rcv_code,assorted_code, rec_amount,premium_rcv_detail_code,remaining_amt, payrec, mode_code,coinsurance_code,class_cd,it_remarks) values</v>
      </c>
      <c r="G32" s="28" t="str">
        <f t="shared" si="2"/>
        <v>('30Dec240042','070000170610','39675',(select max(to_number(i.premium_rcv_detail_code))+1
from ins_premium_det i),'39675','39675','02', '11000003','00','Request by Mr. Saqib Saleem 31-Dec-2024 Active');</v>
      </c>
      <c r="H32" s="29" t="str">
        <f t="shared" si="3"/>
        <v>insert into ins_premium_det (premium_rcv_code,assorted_code, rec_amount,premium_rcv_detail_code,remaining_amt, payrec, mode_code,coinsurance_code,class_cd,it_remarks) values('30Dec240042','070000170610','39675',(select max(to_number(i.premium_rcv_detail_code))+1
from ins_premium_det i),'39675','39675','02', '11000003','00','Request by Mr. Saqib Saleem 31-Dec-2024 Active');</v>
      </c>
    </row>
    <row r="33" spans="1:8" ht="105" x14ac:dyDescent="0.25">
      <c r="A33" s="12" t="s">
        <v>11412</v>
      </c>
      <c r="B33" s="25" t="str">
        <f>VLOOKUP(A33,policy!B:C,2,0)</f>
        <v>070000170611</v>
      </c>
      <c r="C33" s="13">
        <v>39200</v>
      </c>
      <c r="D33" s="26">
        <f t="shared" si="1"/>
        <v>39200</v>
      </c>
      <c r="E33" s="24" t="s">
        <v>13296</v>
      </c>
      <c r="F33" s="27" t="str">
        <f t="shared" si="0"/>
        <v>insert into ins_premium_det (premium_rcv_code,assorted_code, rec_amount,premium_rcv_detail_code,remaining_amt, payrec, mode_code,coinsurance_code,class_cd,it_remarks) values</v>
      </c>
      <c r="G33" s="28" t="str">
        <f t="shared" si="2"/>
        <v>('30Dec240042','070000170611','39200',(select max(to_number(i.premium_rcv_detail_code))+1
from ins_premium_det i),'39200','39200','02', '11000003','00','Request by Mr. Saqib Saleem 31-Dec-2024 Active');</v>
      </c>
      <c r="H33" s="29" t="str">
        <f t="shared" si="3"/>
        <v>insert into ins_premium_det (premium_rcv_code,assorted_code, rec_amount,premium_rcv_detail_code,remaining_amt, payrec, mode_code,coinsurance_code,class_cd,it_remarks) values('30Dec240042','070000170611','39200',(select max(to_number(i.premium_rcv_detail_code))+1
from ins_premium_det i),'39200','39200','02', '11000003','00','Request by Mr. Saqib Saleem 31-Dec-2024 Active');</v>
      </c>
    </row>
    <row r="34" spans="1:8" ht="105" x14ac:dyDescent="0.25">
      <c r="A34" s="12" t="s">
        <v>11413</v>
      </c>
      <c r="B34" s="25" t="str">
        <f>VLOOKUP(A34,policy!B:C,2,0)</f>
        <v>070000170612</v>
      </c>
      <c r="C34" s="11">
        <v>44863</v>
      </c>
      <c r="D34" s="26">
        <f t="shared" si="1"/>
        <v>44863</v>
      </c>
      <c r="E34" s="24" t="s">
        <v>13296</v>
      </c>
      <c r="F34" s="27" t="str">
        <f t="shared" si="0"/>
        <v>insert into ins_premium_det (premium_rcv_code,assorted_code, rec_amount,premium_rcv_detail_code,remaining_amt, payrec, mode_code,coinsurance_code,class_cd,it_remarks) values</v>
      </c>
      <c r="G34" s="28" t="str">
        <f t="shared" si="2"/>
        <v>('30Dec240042','070000170612','44863',(select max(to_number(i.premium_rcv_detail_code))+1
from ins_premium_det i),'44863','44863','02', '11000003','00','Request by Mr. Saqib Saleem 31-Dec-2024 Active');</v>
      </c>
      <c r="H34" s="29" t="str">
        <f t="shared" si="3"/>
        <v>insert into ins_premium_det (premium_rcv_code,assorted_code, rec_amount,premium_rcv_detail_code,remaining_amt, payrec, mode_code,coinsurance_code,class_cd,it_remarks) values('30Dec240042','070000170612','44863',(select max(to_number(i.premium_rcv_detail_code))+1
from ins_premium_det i),'44863','44863','02', '11000003','00','Request by Mr. Saqib Saleem 31-Dec-2024 Active');</v>
      </c>
    </row>
    <row r="35" spans="1:8" ht="105" x14ac:dyDescent="0.25">
      <c r="A35" s="12" t="s">
        <v>11414</v>
      </c>
      <c r="B35" s="25" t="str">
        <f>VLOOKUP(A35,policy!B:C,2,0)</f>
        <v>070000170613</v>
      </c>
      <c r="C35" s="13">
        <v>80985</v>
      </c>
      <c r="D35" s="26">
        <f t="shared" si="1"/>
        <v>80985</v>
      </c>
      <c r="E35" s="24" t="s">
        <v>13296</v>
      </c>
      <c r="F35" s="27" t="str">
        <f t="shared" si="0"/>
        <v>insert into ins_premium_det (premium_rcv_code,assorted_code, rec_amount,premium_rcv_detail_code,remaining_amt, payrec, mode_code,coinsurance_code,class_cd,it_remarks) values</v>
      </c>
      <c r="G35" s="28" t="str">
        <f t="shared" si="2"/>
        <v>('30Dec240042','070000170613','80985',(select max(to_number(i.premium_rcv_detail_code))+1
from ins_premium_det i),'80985','80985','02', '11000003','00','Request by Mr. Saqib Saleem 31-Dec-2024 Active');</v>
      </c>
      <c r="H35" s="29" t="str">
        <f t="shared" si="3"/>
        <v>insert into ins_premium_det (premium_rcv_code,assorted_code, rec_amount,premium_rcv_detail_code,remaining_amt, payrec, mode_code,coinsurance_code,class_cd,it_remarks) values('30Dec240042','070000170613','80985',(select max(to_number(i.premium_rcv_detail_code))+1
from ins_premium_det i),'80985','80985','02', '11000003','00','Request by Mr. Saqib Saleem 31-Dec-2024 Active');</v>
      </c>
    </row>
    <row r="36" spans="1:8" ht="105" x14ac:dyDescent="0.25">
      <c r="A36" s="12" t="s">
        <v>11415</v>
      </c>
      <c r="B36" s="25" t="str">
        <f>VLOOKUP(A36,policy!B:C,2,0)</f>
        <v>070000170614</v>
      </c>
      <c r="C36" s="11">
        <v>80985</v>
      </c>
      <c r="D36" s="26">
        <f t="shared" si="1"/>
        <v>80985</v>
      </c>
      <c r="E36" s="24" t="s">
        <v>13296</v>
      </c>
      <c r="F36" s="27" t="str">
        <f t="shared" si="0"/>
        <v>insert into ins_premium_det (premium_rcv_code,assorted_code, rec_amount,premium_rcv_detail_code,remaining_amt, payrec, mode_code,coinsurance_code,class_cd,it_remarks) values</v>
      </c>
      <c r="G36" s="28" t="str">
        <f t="shared" si="2"/>
        <v>('30Dec240042','070000170614','80985',(select max(to_number(i.premium_rcv_detail_code))+1
from ins_premium_det i),'80985','80985','02', '11000003','00','Request by Mr. Saqib Saleem 31-Dec-2024 Active');</v>
      </c>
      <c r="H36" s="29" t="str">
        <f t="shared" si="3"/>
        <v>insert into ins_premium_det (premium_rcv_code,assorted_code, rec_amount,premium_rcv_detail_code,remaining_amt, payrec, mode_code,coinsurance_code,class_cd,it_remarks) values('30Dec240042','070000170614','80985',(select max(to_number(i.premium_rcv_detail_code))+1
from ins_premium_det i),'80985','80985','02', '11000003','00','Request by Mr. Saqib Saleem 31-Dec-2024 Active');</v>
      </c>
    </row>
    <row r="37" spans="1:8" ht="105" x14ac:dyDescent="0.25">
      <c r="A37" s="12" t="s">
        <v>11416</v>
      </c>
      <c r="B37" s="25" t="str">
        <f>VLOOKUP(A37,policy!B:C,2,0)</f>
        <v>070000170615</v>
      </c>
      <c r="C37" s="13">
        <v>85920</v>
      </c>
      <c r="D37" s="26">
        <f t="shared" si="1"/>
        <v>85920</v>
      </c>
      <c r="E37" s="24" t="s">
        <v>13296</v>
      </c>
      <c r="F37" s="27" t="str">
        <f t="shared" si="0"/>
        <v>insert into ins_premium_det (premium_rcv_code,assorted_code, rec_amount,premium_rcv_detail_code,remaining_amt, payrec, mode_code,coinsurance_code,class_cd,it_remarks) values</v>
      </c>
      <c r="G37" s="28" t="str">
        <f t="shared" si="2"/>
        <v>('30Dec240042','070000170615','85920',(select max(to_number(i.premium_rcv_detail_code))+1
from ins_premium_det i),'85920','85920','02', '11000003','00','Request by Mr. Saqib Saleem 31-Dec-2024 Active');</v>
      </c>
      <c r="H37" s="29" t="str">
        <f t="shared" si="3"/>
        <v>insert into ins_premium_det (premium_rcv_code,assorted_code, rec_amount,premium_rcv_detail_code,remaining_amt, payrec, mode_code,coinsurance_code,class_cd,it_remarks) values('30Dec240042','070000170615','85920',(select max(to_number(i.premium_rcv_detail_code))+1
from ins_premium_det i),'85920','85920','02', '11000003','00','Request by Mr. Saqib Saleem 31-Dec-2024 Active');</v>
      </c>
    </row>
    <row r="38" spans="1:8" ht="105" x14ac:dyDescent="0.25">
      <c r="A38" s="12" t="s">
        <v>11417</v>
      </c>
      <c r="B38" s="25" t="str">
        <f>VLOOKUP(A38,policy!B:C,2,0)</f>
        <v>070000170616</v>
      </c>
      <c r="C38" s="11">
        <v>59723</v>
      </c>
      <c r="D38" s="26">
        <f t="shared" si="1"/>
        <v>59723</v>
      </c>
      <c r="E38" s="24" t="s">
        <v>13296</v>
      </c>
      <c r="F38" s="27" t="str">
        <f t="shared" si="0"/>
        <v>insert into ins_premium_det (premium_rcv_code,assorted_code, rec_amount,premium_rcv_detail_code,remaining_amt, payrec, mode_code,coinsurance_code,class_cd,it_remarks) values</v>
      </c>
      <c r="G38" s="28" t="str">
        <f t="shared" si="2"/>
        <v>('30Dec240042','070000170616','59723',(select max(to_number(i.premium_rcv_detail_code))+1
from ins_premium_det i),'59723','59723','02', '11000003','00','Request by Mr. Saqib Saleem 31-Dec-2024 Active');</v>
      </c>
      <c r="H38" s="29" t="str">
        <f t="shared" si="3"/>
        <v>insert into ins_premium_det (premium_rcv_code,assorted_code, rec_amount,premium_rcv_detail_code,remaining_amt, payrec, mode_code,coinsurance_code,class_cd,it_remarks) values('30Dec240042','070000170616','59723',(select max(to_number(i.premium_rcv_detail_code))+1
from ins_premium_det i),'59723','59723','02', '11000003','00','Request by Mr. Saqib Saleem 31-Dec-2024 Active');</v>
      </c>
    </row>
    <row r="39" spans="1:8" ht="105" x14ac:dyDescent="0.25">
      <c r="A39" s="12" t="s">
        <v>11418</v>
      </c>
      <c r="B39" s="25" t="str">
        <f>VLOOKUP(A39,policy!B:C,2,0)</f>
        <v>070000170617</v>
      </c>
      <c r="C39" s="13">
        <v>61054</v>
      </c>
      <c r="D39" s="26">
        <f t="shared" si="1"/>
        <v>61054</v>
      </c>
      <c r="E39" s="24" t="s">
        <v>13296</v>
      </c>
      <c r="F39" s="27" t="str">
        <f t="shared" si="0"/>
        <v>insert into ins_premium_det (premium_rcv_code,assorted_code, rec_amount,premium_rcv_detail_code,remaining_amt, payrec, mode_code,coinsurance_code,class_cd,it_remarks) values</v>
      </c>
      <c r="G39" s="28" t="str">
        <f t="shared" si="2"/>
        <v>('30Dec240042','070000170617','61054',(select max(to_number(i.premium_rcv_detail_code))+1
from ins_premium_det i),'61054','61054','02', '11000003','00','Request by Mr. Saqib Saleem 31-Dec-2024 Active');</v>
      </c>
      <c r="H39" s="29" t="str">
        <f t="shared" si="3"/>
        <v>insert into ins_premium_det (premium_rcv_code,assorted_code, rec_amount,premium_rcv_detail_code,remaining_amt, payrec, mode_code,coinsurance_code,class_cd,it_remarks) values('30Dec240042','070000170617','61054',(select max(to_number(i.premium_rcv_detail_code))+1
from ins_premium_det i),'61054','61054','02', '11000003','00','Request by Mr. Saqib Saleem 31-Dec-2024 Active');</v>
      </c>
    </row>
    <row r="40" spans="1:8" ht="105" x14ac:dyDescent="0.25">
      <c r="A40" s="12" t="s">
        <v>11419</v>
      </c>
      <c r="B40" s="25" t="str">
        <f>VLOOKUP(A40,policy!B:C,2,0)</f>
        <v>070000170618</v>
      </c>
      <c r="C40" s="11">
        <v>62989</v>
      </c>
      <c r="D40" s="26">
        <f t="shared" si="1"/>
        <v>62989</v>
      </c>
      <c r="E40" s="24" t="s">
        <v>13296</v>
      </c>
      <c r="F40" s="27" t="str">
        <f t="shared" si="0"/>
        <v>insert into ins_premium_det (premium_rcv_code,assorted_code, rec_amount,premium_rcv_detail_code,remaining_amt, payrec, mode_code,coinsurance_code,class_cd,it_remarks) values</v>
      </c>
      <c r="G40" s="28" t="str">
        <f t="shared" si="2"/>
        <v>('30Dec240042','070000170618','62989',(select max(to_number(i.premium_rcv_detail_code))+1
from ins_premium_det i),'62989','62989','02', '11000003','00','Request by Mr. Saqib Saleem 31-Dec-2024 Active');</v>
      </c>
      <c r="H40" s="29" t="str">
        <f t="shared" si="3"/>
        <v>insert into ins_premium_det (premium_rcv_code,assorted_code, rec_amount,premium_rcv_detail_code,remaining_amt, payrec, mode_code,coinsurance_code,class_cd,it_remarks) values('30Dec240042','070000170618','62989',(select max(to_number(i.premium_rcv_detail_code))+1
from ins_premium_det i),'62989','62989','02', '11000003','00','Request by Mr. Saqib Saleem 31-Dec-2024 Active');</v>
      </c>
    </row>
    <row r="41" spans="1:8" ht="105" x14ac:dyDescent="0.25">
      <c r="A41" s="12" t="s">
        <v>11420</v>
      </c>
      <c r="B41" s="25" t="str">
        <f>VLOOKUP(A41,policy!B:C,2,0)</f>
        <v>040000191350</v>
      </c>
      <c r="C41" s="13">
        <v>1029000</v>
      </c>
      <c r="D41" s="26">
        <f t="shared" si="1"/>
        <v>1029000</v>
      </c>
      <c r="E41" s="24" t="s">
        <v>13296</v>
      </c>
      <c r="F41" s="27" t="str">
        <f t="shared" si="0"/>
        <v>insert into ins_premium_det (premium_rcv_code,assorted_code, rec_amount,premium_rcv_detail_code,remaining_amt, payrec, mode_code,coinsurance_code,class_cd,it_remarks) values</v>
      </c>
      <c r="G41" s="28" t="str">
        <f t="shared" si="2"/>
        <v>('30Dec240042','040000191350','1029000',(select max(to_number(i.premium_rcv_detail_code))+1
from ins_premium_det i),'1029000','1029000','02', '11000003','00','Request by Mr. Saqib Saleem 31-Dec-2024 Active');</v>
      </c>
      <c r="H41" s="29" t="str">
        <f t="shared" si="3"/>
        <v>insert into ins_premium_det (premium_rcv_code,assorted_code, rec_amount,premium_rcv_detail_code,remaining_amt, payrec, mode_code,coinsurance_code,class_cd,it_remarks) values('30Dec240042','040000191350','1029000',(select max(to_number(i.premium_rcv_detail_code))+1
from ins_premium_det i),'1029000','1029000','02', '11000003','00','Request by Mr. Saqib Saleem 31-Dec-2024 Active');</v>
      </c>
    </row>
    <row r="42" spans="1:8" ht="105" x14ac:dyDescent="0.25">
      <c r="A42" s="12" t="s">
        <v>11421</v>
      </c>
      <c r="B42" s="25" t="str">
        <f>VLOOKUP(A42,policy!B:C,2,0)</f>
        <v>070000170972</v>
      </c>
      <c r="C42" s="11">
        <v>53550</v>
      </c>
      <c r="D42" s="26">
        <f t="shared" si="1"/>
        <v>53550</v>
      </c>
      <c r="E42" s="24" t="s">
        <v>13296</v>
      </c>
      <c r="F42" s="27" t="str">
        <f t="shared" si="0"/>
        <v>insert into ins_premium_det (premium_rcv_code,assorted_code, rec_amount,premium_rcv_detail_code,remaining_amt, payrec, mode_code,coinsurance_code,class_cd,it_remarks) values</v>
      </c>
      <c r="G42" s="28" t="str">
        <f t="shared" si="2"/>
        <v>('30Dec240042','070000170972','53550',(select max(to_number(i.premium_rcv_detail_code))+1
from ins_premium_det i),'53550','53550','02', '11000003','00','Request by Mr. Saqib Saleem 31-Dec-2024 Active');</v>
      </c>
      <c r="H42" s="29" t="str">
        <f t="shared" si="3"/>
        <v>insert into ins_premium_det (premium_rcv_code,assorted_code, rec_amount,premium_rcv_detail_code,remaining_amt, payrec, mode_code,coinsurance_code,class_cd,it_remarks) values('30Dec240042','070000170972','53550',(select max(to_number(i.premium_rcv_detail_code))+1
from ins_premium_det i),'53550','53550','02', '11000003','00','Request by Mr. Saqib Saleem 31-Dec-2024 Active');</v>
      </c>
    </row>
    <row r="43" spans="1:8" ht="105" x14ac:dyDescent="0.25">
      <c r="A43" s="12" t="s">
        <v>11422</v>
      </c>
      <c r="B43" s="25" t="str">
        <f>VLOOKUP(A43,policy!B:C,2,0)</f>
        <v>070000170625</v>
      </c>
      <c r="C43" s="13">
        <v>31238</v>
      </c>
      <c r="D43" s="26">
        <f t="shared" si="1"/>
        <v>31238</v>
      </c>
      <c r="E43" s="24" t="s">
        <v>13296</v>
      </c>
      <c r="F43" s="27" t="str">
        <f t="shared" si="0"/>
        <v>insert into ins_premium_det (premium_rcv_code,assorted_code, rec_amount,premium_rcv_detail_code,remaining_amt, payrec, mode_code,coinsurance_code,class_cd,it_remarks) values</v>
      </c>
      <c r="G43" s="28" t="str">
        <f t="shared" si="2"/>
        <v>('30Dec240042','070000170625','31238',(select max(to_number(i.premium_rcv_detail_code))+1
from ins_premium_det i),'31238','31238','02', '11000003','00','Request by Mr. Saqib Saleem 31-Dec-2024 Active');</v>
      </c>
      <c r="H43" s="29" t="str">
        <f t="shared" si="3"/>
        <v>insert into ins_premium_det (premium_rcv_code,assorted_code, rec_amount,premium_rcv_detail_code,remaining_amt, payrec, mode_code,coinsurance_code,class_cd,it_remarks) values('30Dec240042','070000170625','31238',(select max(to_number(i.premium_rcv_detail_code))+1
from ins_premium_det i),'31238','31238','02', '11000003','00','Request by Mr. Saqib Saleem 31-Dec-2024 Active');</v>
      </c>
    </row>
    <row r="44" spans="1:8" ht="105" x14ac:dyDescent="0.25">
      <c r="A44" s="12" t="s">
        <v>11423</v>
      </c>
      <c r="B44" s="25" t="str">
        <f>VLOOKUP(A44,policy!B:C,2,0)</f>
        <v>070000170626</v>
      </c>
      <c r="C44" s="11">
        <v>91407</v>
      </c>
      <c r="D44" s="26">
        <f t="shared" si="1"/>
        <v>91407</v>
      </c>
      <c r="E44" s="24" t="s">
        <v>13296</v>
      </c>
      <c r="F44" s="27" t="str">
        <f t="shared" si="0"/>
        <v>insert into ins_premium_det (premium_rcv_code,assorted_code, rec_amount,premium_rcv_detail_code,remaining_amt, payrec, mode_code,coinsurance_code,class_cd,it_remarks) values</v>
      </c>
      <c r="G44" s="28" t="str">
        <f t="shared" si="2"/>
        <v>('30Dec240042','070000170626','91407',(select max(to_number(i.premium_rcv_detail_code))+1
from ins_premium_det i),'91407','91407','02', '11000003','00','Request by Mr. Saqib Saleem 31-Dec-2024 Active');</v>
      </c>
      <c r="H44" s="29" t="str">
        <f t="shared" si="3"/>
        <v>insert into ins_premium_det (premium_rcv_code,assorted_code, rec_amount,premium_rcv_detail_code,remaining_amt, payrec, mode_code,coinsurance_code,class_cd,it_remarks) values('30Dec240042','070000170626','91407',(select max(to_number(i.premium_rcv_detail_code))+1
from ins_premium_det i),'91407','91407','02', '11000003','00','Request by Mr. Saqib Saleem 31-Dec-2024 Active');</v>
      </c>
    </row>
    <row r="45" spans="1:8" ht="105" x14ac:dyDescent="0.25">
      <c r="A45" s="12" t="s">
        <v>11424</v>
      </c>
      <c r="B45" s="25" t="str">
        <f>VLOOKUP(A45,policy!B:C,2,0)</f>
        <v>070000170627</v>
      </c>
      <c r="C45" s="13">
        <v>14875</v>
      </c>
      <c r="D45" s="26">
        <f t="shared" si="1"/>
        <v>14875</v>
      </c>
      <c r="E45" s="24" t="s">
        <v>13296</v>
      </c>
      <c r="F45" s="27" t="str">
        <f t="shared" si="0"/>
        <v>insert into ins_premium_det (premium_rcv_code,assorted_code, rec_amount,premium_rcv_detail_code,remaining_amt, payrec, mode_code,coinsurance_code,class_cd,it_remarks) values</v>
      </c>
      <c r="G45" s="28" t="str">
        <f t="shared" si="2"/>
        <v>('30Dec240042','070000170627','14875',(select max(to_number(i.premium_rcv_detail_code))+1
from ins_premium_det i),'14875','14875','02', '11000003','00','Request by Mr. Saqib Saleem 31-Dec-2024 Active');</v>
      </c>
      <c r="H45" s="29" t="str">
        <f t="shared" si="3"/>
        <v>insert into ins_premium_det (premium_rcv_code,assorted_code, rec_amount,premium_rcv_detail_code,remaining_amt, payrec, mode_code,coinsurance_code,class_cd,it_remarks) values('30Dec240042','070000170627','14875',(select max(to_number(i.premium_rcv_detail_code))+1
from ins_premium_det i),'14875','14875','02', '11000003','00','Request by Mr. Saqib Saleem 31-Dec-2024 Active');</v>
      </c>
    </row>
    <row r="46" spans="1:8" ht="105" x14ac:dyDescent="0.25">
      <c r="A46" s="12" t="s">
        <v>11425</v>
      </c>
      <c r="B46" s="25" t="str">
        <f>VLOOKUP(A46,policy!B:C,2,0)</f>
        <v>070000170628</v>
      </c>
      <c r="C46" s="11">
        <v>38675</v>
      </c>
      <c r="D46" s="26">
        <f t="shared" si="1"/>
        <v>38675</v>
      </c>
      <c r="E46" s="24" t="s">
        <v>13296</v>
      </c>
      <c r="F46" s="27" t="str">
        <f t="shared" si="0"/>
        <v>insert into ins_premium_det (premium_rcv_code,assorted_code, rec_amount,premium_rcv_detail_code,remaining_amt, payrec, mode_code,coinsurance_code,class_cd,it_remarks) values</v>
      </c>
      <c r="G46" s="28" t="str">
        <f t="shared" si="2"/>
        <v>('30Dec240042','070000170628','38675',(select max(to_number(i.premium_rcv_detail_code))+1
from ins_premium_det i),'38675','38675','02', '11000003','00','Request by Mr. Saqib Saleem 31-Dec-2024 Active');</v>
      </c>
      <c r="H46" s="29" t="str">
        <f t="shared" si="3"/>
        <v>insert into ins_premium_det (premium_rcv_code,assorted_code, rec_amount,premium_rcv_detail_code,remaining_amt, payrec, mode_code,coinsurance_code,class_cd,it_remarks) values('30Dec240042','070000170628','38675',(select max(to_number(i.premium_rcv_detail_code))+1
from ins_premium_det i),'38675','38675','02', '11000003','00','Request by Mr. Saqib Saleem 31-Dec-2024 Active');</v>
      </c>
    </row>
    <row r="47" spans="1:8" ht="105" x14ac:dyDescent="0.25">
      <c r="A47" s="12" t="s">
        <v>11426</v>
      </c>
      <c r="B47" s="25" t="str">
        <f>VLOOKUP(A47,policy!B:C,2,0)</f>
        <v>070000170632</v>
      </c>
      <c r="C47" s="13">
        <v>21360</v>
      </c>
      <c r="D47" s="26">
        <f t="shared" si="1"/>
        <v>21360</v>
      </c>
      <c r="E47" s="24" t="s">
        <v>13296</v>
      </c>
      <c r="F47" s="27" t="str">
        <f t="shared" si="0"/>
        <v>insert into ins_premium_det (premium_rcv_code,assorted_code, rec_amount,premium_rcv_detail_code,remaining_amt, payrec, mode_code,coinsurance_code,class_cd,it_remarks) values</v>
      </c>
      <c r="G47" s="28" t="str">
        <f t="shared" si="2"/>
        <v>('30Dec240042','070000170632','21360',(select max(to_number(i.premium_rcv_detail_code))+1
from ins_premium_det i),'21360','21360','02', '11000003','00','Request by Mr. Saqib Saleem 31-Dec-2024 Active');</v>
      </c>
      <c r="H47" s="29" t="str">
        <f t="shared" si="3"/>
        <v>insert into ins_premium_det (premium_rcv_code,assorted_code, rec_amount,premium_rcv_detail_code,remaining_amt, payrec, mode_code,coinsurance_code,class_cd,it_remarks) values('30Dec240042','070000170632','21360',(select max(to_number(i.premium_rcv_detail_code))+1
from ins_premium_det i),'21360','21360','02', '11000003','00','Request by Mr. Saqib Saleem 31-Dec-2024 Active');</v>
      </c>
    </row>
    <row r="48" spans="1:8" ht="105" x14ac:dyDescent="0.25">
      <c r="A48" s="12" t="s">
        <v>11427</v>
      </c>
      <c r="B48" s="25" t="str">
        <f>VLOOKUP(A48,policy!B:C,2,0)</f>
        <v>070000170633</v>
      </c>
      <c r="C48" s="11">
        <v>21360</v>
      </c>
      <c r="D48" s="26">
        <f t="shared" si="1"/>
        <v>21360</v>
      </c>
      <c r="E48" s="24" t="s">
        <v>13296</v>
      </c>
      <c r="F48" s="27" t="str">
        <f t="shared" si="0"/>
        <v>insert into ins_premium_det (premium_rcv_code,assorted_code, rec_amount,premium_rcv_detail_code,remaining_amt, payrec, mode_code,coinsurance_code,class_cd,it_remarks) values</v>
      </c>
      <c r="G48" s="28" t="str">
        <f t="shared" si="2"/>
        <v>('30Dec240042','070000170633','21360',(select max(to_number(i.premium_rcv_detail_code))+1
from ins_premium_det i),'21360','21360','02', '11000003','00','Request by Mr. Saqib Saleem 31-Dec-2024 Active');</v>
      </c>
      <c r="H48" s="29" t="str">
        <f t="shared" si="3"/>
        <v>insert into ins_premium_det (premium_rcv_code,assorted_code, rec_amount,premium_rcv_detail_code,remaining_amt, payrec, mode_code,coinsurance_code,class_cd,it_remarks) values('30Dec240042','070000170633','21360',(select max(to_number(i.premium_rcv_detail_code))+1
from ins_premium_det i),'21360','21360','02', '11000003','00','Request by Mr. Saqib Saleem 31-Dec-2024 Active');</v>
      </c>
    </row>
    <row r="49" spans="1:8" ht="105" x14ac:dyDescent="0.25">
      <c r="A49" s="12" t="s">
        <v>11428</v>
      </c>
      <c r="B49" s="25" t="str">
        <f>VLOOKUP(A49,policy!B:C,2,0)</f>
        <v>070000170634</v>
      </c>
      <c r="C49" s="13">
        <v>24135</v>
      </c>
      <c r="D49" s="26">
        <f t="shared" si="1"/>
        <v>24135</v>
      </c>
      <c r="E49" s="24" t="s">
        <v>13296</v>
      </c>
      <c r="F49" s="27" t="str">
        <f t="shared" si="0"/>
        <v>insert into ins_premium_det (premium_rcv_code,assorted_code, rec_amount,premium_rcv_detail_code,remaining_amt, payrec, mode_code,coinsurance_code,class_cd,it_remarks) values</v>
      </c>
      <c r="G49" s="28" t="str">
        <f t="shared" si="2"/>
        <v>('30Dec240042','070000170634','24135',(select max(to_number(i.premium_rcv_detail_code))+1
from ins_premium_det i),'24135','24135','02', '11000003','00','Request by Mr. Saqib Saleem 31-Dec-2024 Active');</v>
      </c>
      <c r="H49" s="29" t="str">
        <f t="shared" si="3"/>
        <v>insert into ins_premium_det (premium_rcv_code,assorted_code, rec_amount,premium_rcv_detail_code,remaining_amt, payrec, mode_code,coinsurance_code,class_cd,it_remarks) values('30Dec240042','070000170634','24135',(select max(to_number(i.premium_rcv_detail_code))+1
from ins_premium_det i),'24135','24135','02', '11000003','00','Request by Mr. Saqib Saleem 31-Dec-2024 Active');</v>
      </c>
    </row>
    <row r="50" spans="1:8" ht="105" x14ac:dyDescent="0.25">
      <c r="A50" s="12" t="s">
        <v>11429</v>
      </c>
      <c r="B50" s="25" t="str">
        <f>VLOOKUP(A50,policy!B:C,2,0)</f>
        <v>070000170639</v>
      </c>
      <c r="C50" s="11">
        <v>50213</v>
      </c>
      <c r="D50" s="26">
        <f t="shared" si="1"/>
        <v>50213</v>
      </c>
      <c r="E50" s="24" t="s">
        <v>13296</v>
      </c>
      <c r="F50" s="27" t="str">
        <f t="shared" si="0"/>
        <v>insert into ins_premium_det (premium_rcv_code,assorted_code, rec_amount,premium_rcv_detail_code,remaining_amt, payrec, mode_code,coinsurance_code,class_cd,it_remarks) values</v>
      </c>
      <c r="G50" s="28" t="str">
        <f t="shared" si="2"/>
        <v>('30Dec240042','070000170639','50213',(select max(to_number(i.premium_rcv_detail_code))+1
from ins_premium_det i),'50213','50213','02', '11000003','00','Request by Mr. Saqib Saleem 31-Dec-2024 Active');</v>
      </c>
      <c r="H50" s="29" t="str">
        <f t="shared" si="3"/>
        <v>insert into ins_premium_det (premium_rcv_code,assorted_code, rec_amount,premium_rcv_detail_code,remaining_amt, payrec, mode_code,coinsurance_code,class_cd,it_remarks) values('30Dec240042','070000170639','50213',(select max(to_number(i.premium_rcv_detail_code))+1
from ins_premium_det i),'50213','50213','02', '11000003','00','Request by Mr. Saqib Saleem 31-Dec-2024 Active');</v>
      </c>
    </row>
    <row r="51" spans="1:8" ht="105" x14ac:dyDescent="0.25">
      <c r="A51" s="12" t="s">
        <v>11430</v>
      </c>
      <c r="B51" s="25" t="str">
        <f>VLOOKUP(A51,policy!B:C,2,0)</f>
        <v>070000170640</v>
      </c>
      <c r="C51" s="13">
        <v>38800</v>
      </c>
      <c r="D51" s="26">
        <f t="shared" si="1"/>
        <v>38800</v>
      </c>
      <c r="E51" s="24" t="s">
        <v>13296</v>
      </c>
      <c r="F51" s="27" t="str">
        <f t="shared" si="0"/>
        <v>insert into ins_premium_det (premium_rcv_code,assorted_code, rec_amount,premium_rcv_detail_code,remaining_amt, payrec, mode_code,coinsurance_code,class_cd,it_remarks) values</v>
      </c>
      <c r="G51" s="28" t="str">
        <f t="shared" si="2"/>
        <v>('30Dec240042','070000170640','38800',(select max(to_number(i.premium_rcv_detail_code))+1
from ins_premium_det i),'38800','38800','02', '11000003','00','Request by Mr. Saqib Saleem 31-Dec-2024 Active');</v>
      </c>
      <c r="H51" s="29" t="str">
        <f t="shared" si="3"/>
        <v>insert into ins_premium_det (premium_rcv_code,assorted_code, rec_amount,premium_rcv_detail_code,remaining_amt, payrec, mode_code,coinsurance_code,class_cd,it_remarks) values('30Dec240042','070000170640','38800',(select max(to_number(i.premium_rcv_detail_code))+1
from ins_premium_det i),'38800','38800','02', '11000003','00','Request by Mr. Saqib Saleem 31-Dec-2024 Active');</v>
      </c>
    </row>
    <row r="52" spans="1:8" ht="105" x14ac:dyDescent="0.25">
      <c r="A52" s="12" t="s">
        <v>11431</v>
      </c>
      <c r="B52" s="25" t="str">
        <f>VLOOKUP(A52,policy!B:C,2,0)</f>
        <v>070000170641</v>
      </c>
      <c r="C52" s="11">
        <v>61920</v>
      </c>
      <c r="D52" s="26">
        <f t="shared" si="1"/>
        <v>61920</v>
      </c>
      <c r="E52" s="24" t="s">
        <v>13296</v>
      </c>
      <c r="F52" s="27" t="str">
        <f t="shared" si="0"/>
        <v>insert into ins_premium_det (premium_rcv_code,assorted_code, rec_amount,premium_rcv_detail_code,remaining_amt, payrec, mode_code,coinsurance_code,class_cd,it_remarks) values</v>
      </c>
      <c r="G52" s="28" t="str">
        <f t="shared" si="2"/>
        <v>('30Dec240042','070000170641','61920',(select max(to_number(i.premium_rcv_detail_code))+1
from ins_premium_det i),'61920','61920','02', '11000003','00','Request by Mr. Saqib Saleem 31-Dec-2024 Active');</v>
      </c>
      <c r="H52" s="29" t="str">
        <f t="shared" si="3"/>
        <v>insert into ins_premium_det (premium_rcv_code,assorted_code, rec_amount,premium_rcv_detail_code,remaining_amt, payrec, mode_code,coinsurance_code,class_cd,it_remarks) values('30Dec240042','070000170641','61920',(select max(to_number(i.premium_rcv_detail_code))+1
from ins_premium_det i),'61920','61920','02', '11000003','00','Request by Mr. Saqib Saleem 31-Dec-2024 Active');</v>
      </c>
    </row>
    <row r="53" spans="1:8" ht="105" x14ac:dyDescent="0.25">
      <c r="A53" s="12" t="s">
        <v>11432</v>
      </c>
      <c r="B53" s="25" t="str">
        <f>VLOOKUP(A53,policy!B:C,2,0)</f>
        <v>070000170642</v>
      </c>
      <c r="C53" s="13">
        <v>61054</v>
      </c>
      <c r="D53" s="26">
        <f t="shared" si="1"/>
        <v>61054</v>
      </c>
      <c r="E53" s="24" t="s">
        <v>13296</v>
      </c>
      <c r="F53" s="27" t="str">
        <f t="shared" si="0"/>
        <v>insert into ins_premium_det (premium_rcv_code,assorted_code, rec_amount,premium_rcv_detail_code,remaining_amt, payrec, mode_code,coinsurance_code,class_cd,it_remarks) values</v>
      </c>
      <c r="G53" s="28" t="str">
        <f t="shared" si="2"/>
        <v>('30Dec240042','070000170642','61054',(select max(to_number(i.premium_rcv_detail_code))+1
from ins_premium_det i),'61054','61054','02', '11000003','00','Request by Mr. Saqib Saleem 31-Dec-2024 Active');</v>
      </c>
      <c r="H53" s="29" t="str">
        <f t="shared" si="3"/>
        <v>insert into ins_premium_det (premium_rcv_code,assorted_code, rec_amount,premium_rcv_detail_code,remaining_amt, payrec, mode_code,coinsurance_code,class_cd,it_remarks) values('30Dec240042','070000170642','61054',(select max(to_number(i.premium_rcv_detail_code))+1
from ins_premium_det i),'61054','61054','02', '11000003','00','Request by Mr. Saqib Saleem 31-Dec-2024 Active');</v>
      </c>
    </row>
    <row r="54" spans="1:8" ht="105" x14ac:dyDescent="0.25">
      <c r="A54" s="12" t="s">
        <v>11433</v>
      </c>
      <c r="B54" s="25" t="str">
        <f>VLOOKUP(A54,policy!B:C,2,0)</f>
        <v>070000170643</v>
      </c>
      <c r="C54" s="11">
        <v>86960</v>
      </c>
      <c r="D54" s="26">
        <f t="shared" si="1"/>
        <v>86960</v>
      </c>
      <c r="E54" s="24" t="s">
        <v>13296</v>
      </c>
      <c r="F54" s="27" t="str">
        <f t="shared" si="0"/>
        <v>insert into ins_premium_det (premium_rcv_code,assorted_code, rec_amount,premium_rcv_detail_code,remaining_amt, payrec, mode_code,coinsurance_code,class_cd,it_remarks) values</v>
      </c>
      <c r="G54" s="28" t="str">
        <f t="shared" si="2"/>
        <v>('30Dec240042','070000170643','86960',(select max(to_number(i.premium_rcv_detail_code))+1
from ins_premium_det i),'86960','86960','02', '11000003','00','Request by Mr. Saqib Saleem 31-Dec-2024 Active');</v>
      </c>
      <c r="H54" s="29" t="str">
        <f t="shared" si="3"/>
        <v>insert into ins_premium_det (premium_rcv_code,assorted_code, rec_amount,premium_rcv_detail_code,remaining_amt, payrec, mode_code,coinsurance_code,class_cd,it_remarks) values('30Dec240042','070000170643','86960',(select max(to_number(i.premium_rcv_detail_code))+1
from ins_premium_det i),'86960','86960','02', '11000003','00','Request by Mr. Saqib Saleem 31-Dec-2024 Active');</v>
      </c>
    </row>
    <row r="55" spans="1:8" ht="105" x14ac:dyDescent="0.25">
      <c r="A55" s="12" t="s">
        <v>11434</v>
      </c>
      <c r="B55" s="25" t="str">
        <f>VLOOKUP(A55,policy!B:C,2,0)</f>
        <v>070000170645</v>
      </c>
      <c r="C55" s="13">
        <v>21360</v>
      </c>
      <c r="D55" s="26">
        <f t="shared" si="1"/>
        <v>21360</v>
      </c>
      <c r="E55" s="24" t="s">
        <v>13296</v>
      </c>
      <c r="F55" s="27" t="str">
        <f t="shared" si="0"/>
        <v>insert into ins_premium_det (premium_rcv_code,assorted_code, rec_amount,premium_rcv_detail_code,remaining_amt, payrec, mode_code,coinsurance_code,class_cd,it_remarks) values</v>
      </c>
      <c r="G55" s="28" t="str">
        <f t="shared" si="2"/>
        <v>('30Dec240042','070000170645','21360',(select max(to_number(i.premium_rcv_detail_code))+1
from ins_premium_det i),'21360','21360','02', '11000003','00','Request by Mr. Saqib Saleem 31-Dec-2024 Active');</v>
      </c>
      <c r="H55" s="29" t="str">
        <f t="shared" si="3"/>
        <v>insert into ins_premium_det (premium_rcv_code,assorted_code, rec_amount,premium_rcv_detail_code,remaining_amt, payrec, mode_code,coinsurance_code,class_cd,it_remarks) values('30Dec240042','070000170645','21360',(select max(to_number(i.premium_rcv_detail_code))+1
from ins_premium_det i),'21360','21360','02', '11000003','00','Request by Mr. Saqib Saleem 31-Dec-2024 Active');</v>
      </c>
    </row>
    <row r="56" spans="1:8" ht="105" x14ac:dyDescent="0.25">
      <c r="A56" s="12" t="s">
        <v>11435</v>
      </c>
      <c r="B56" s="25" t="str">
        <f>VLOOKUP(A56,policy!B:C,2,0)</f>
        <v>070000170648</v>
      </c>
      <c r="C56" s="11">
        <v>29680</v>
      </c>
      <c r="D56" s="26">
        <f t="shared" si="1"/>
        <v>29680</v>
      </c>
      <c r="E56" s="24" t="s">
        <v>13296</v>
      </c>
      <c r="F56" s="27" t="str">
        <f t="shared" si="0"/>
        <v>insert into ins_premium_det (premium_rcv_code,assorted_code, rec_amount,premium_rcv_detail_code,remaining_amt, payrec, mode_code,coinsurance_code,class_cd,it_remarks) values</v>
      </c>
      <c r="G56" s="28" t="str">
        <f t="shared" si="2"/>
        <v>('30Dec240042','070000170648','29680',(select max(to_number(i.premium_rcv_detail_code))+1
from ins_premium_det i),'29680','29680','02', '11000003','00','Request by Mr. Saqib Saleem 31-Dec-2024 Active');</v>
      </c>
      <c r="H56" s="29" t="str">
        <f t="shared" si="3"/>
        <v>insert into ins_premium_det (premium_rcv_code,assorted_code, rec_amount,premium_rcv_detail_code,remaining_amt, payrec, mode_code,coinsurance_code,class_cd,it_remarks) values('30Dec240042','070000170648','29680',(select max(to_number(i.premium_rcv_detail_code))+1
from ins_premium_det i),'29680','29680','02', '11000003','00','Request by Mr. Saqib Saleem 31-Dec-2024 Active');</v>
      </c>
    </row>
    <row r="57" spans="1:8" ht="105" x14ac:dyDescent="0.25">
      <c r="A57" s="12" t="s">
        <v>11436</v>
      </c>
      <c r="B57" s="25" t="str">
        <f>VLOOKUP(A57,policy!B:C,2,0)</f>
        <v>070000170650</v>
      </c>
      <c r="C57" s="13">
        <v>22663</v>
      </c>
      <c r="D57" s="26">
        <f t="shared" si="1"/>
        <v>22663</v>
      </c>
      <c r="E57" s="24" t="s">
        <v>13296</v>
      </c>
      <c r="F57" s="27" t="str">
        <f t="shared" si="0"/>
        <v>insert into ins_premium_det (premium_rcv_code,assorted_code, rec_amount,premium_rcv_detail_code,remaining_amt, payrec, mode_code,coinsurance_code,class_cd,it_remarks) values</v>
      </c>
      <c r="G57" s="28" t="str">
        <f t="shared" si="2"/>
        <v>('30Dec240042','070000170650','22663',(select max(to_number(i.premium_rcv_detail_code))+1
from ins_premium_det i),'22663','22663','02', '11000003','00','Request by Mr. Saqib Saleem 31-Dec-2024 Active');</v>
      </c>
      <c r="H57" s="29" t="str">
        <f t="shared" si="3"/>
        <v>insert into ins_premium_det (premium_rcv_code,assorted_code, rec_amount,premium_rcv_detail_code,remaining_amt, payrec, mode_code,coinsurance_code,class_cd,it_remarks) values('30Dec240042','070000170650','22663',(select max(to_number(i.premium_rcv_detail_code))+1
from ins_premium_det i),'22663','22663','02', '11000003','00','Request by Mr. Saqib Saleem 31-Dec-2024 Active');</v>
      </c>
    </row>
    <row r="58" spans="1:8" ht="105" x14ac:dyDescent="0.25">
      <c r="A58" s="12" t="s">
        <v>11437</v>
      </c>
      <c r="B58" s="25" t="str">
        <f>VLOOKUP(A58,policy!B:C,2,0)</f>
        <v>070000170651</v>
      </c>
      <c r="C58" s="11">
        <v>17970</v>
      </c>
      <c r="D58" s="26">
        <f t="shared" si="1"/>
        <v>17970</v>
      </c>
      <c r="E58" s="24" t="s">
        <v>13296</v>
      </c>
      <c r="F58" s="27" t="str">
        <f t="shared" si="0"/>
        <v>insert into ins_premium_det (premium_rcv_code,assorted_code, rec_amount,premium_rcv_detail_code,remaining_amt, payrec, mode_code,coinsurance_code,class_cd,it_remarks) values</v>
      </c>
      <c r="G58" s="28" t="str">
        <f t="shared" si="2"/>
        <v>('30Dec240042','070000170651','17970',(select max(to_number(i.premium_rcv_detail_code))+1
from ins_premium_det i),'17970','17970','02', '11000003','00','Request by Mr. Saqib Saleem 31-Dec-2024 Active');</v>
      </c>
      <c r="H58" s="29" t="str">
        <f t="shared" si="3"/>
        <v>insert into ins_premium_det (premium_rcv_code,assorted_code, rec_amount,premium_rcv_detail_code,remaining_amt, payrec, mode_code,coinsurance_code,class_cd,it_remarks) values('30Dec240042','070000170651','17970',(select max(to_number(i.premium_rcv_detail_code))+1
from ins_premium_det i),'17970','17970','02', '11000003','00','Request by Mr. Saqib Saleem 31-Dec-2024 Active');</v>
      </c>
    </row>
    <row r="59" spans="1:8" ht="105" x14ac:dyDescent="0.25">
      <c r="A59" s="12" t="s">
        <v>11438</v>
      </c>
      <c r="B59" s="25" t="str">
        <f>VLOOKUP(A59,policy!B:C,2,0)</f>
        <v>070000170652</v>
      </c>
      <c r="C59" s="13">
        <v>17970</v>
      </c>
      <c r="D59" s="26">
        <f t="shared" si="1"/>
        <v>17970</v>
      </c>
      <c r="E59" s="24" t="s">
        <v>13296</v>
      </c>
      <c r="F59" s="27" t="str">
        <f t="shared" si="0"/>
        <v>insert into ins_premium_det (premium_rcv_code,assorted_code, rec_amount,premium_rcv_detail_code,remaining_amt, payrec, mode_code,coinsurance_code,class_cd,it_remarks) values</v>
      </c>
      <c r="G59" s="28" t="str">
        <f t="shared" si="2"/>
        <v>('30Dec240042','070000170652','17970',(select max(to_number(i.premium_rcv_detail_code))+1
from ins_premium_det i),'17970','17970','02', '11000003','00','Request by Mr. Saqib Saleem 31-Dec-2024 Active');</v>
      </c>
      <c r="H59" s="29" t="str">
        <f t="shared" si="3"/>
        <v>insert into ins_premium_det (premium_rcv_code,assorted_code, rec_amount,premium_rcv_detail_code,remaining_amt, payrec, mode_code,coinsurance_code,class_cd,it_remarks) values('30Dec240042','070000170652','17970',(select max(to_number(i.premium_rcv_detail_code))+1
from ins_premium_det i),'17970','17970','02', '11000003','00','Request by Mr. Saqib Saleem 31-Dec-2024 Active');</v>
      </c>
    </row>
    <row r="60" spans="1:8" ht="105" x14ac:dyDescent="0.25">
      <c r="A60" s="12" t="s">
        <v>11439</v>
      </c>
      <c r="B60" s="25" t="str">
        <f>VLOOKUP(A60,policy!B:C,2,0)</f>
        <v>070000170653</v>
      </c>
      <c r="C60" s="11">
        <v>21375</v>
      </c>
      <c r="D60" s="26">
        <f t="shared" si="1"/>
        <v>21375</v>
      </c>
      <c r="E60" s="24" t="s">
        <v>13296</v>
      </c>
      <c r="F60" s="27" t="str">
        <f t="shared" si="0"/>
        <v>insert into ins_premium_det (premium_rcv_code,assorted_code, rec_amount,premium_rcv_detail_code,remaining_amt, payrec, mode_code,coinsurance_code,class_cd,it_remarks) values</v>
      </c>
      <c r="G60" s="28" t="str">
        <f t="shared" si="2"/>
        <v>('30Dec240042','070000170653','21375',(select max(to_number(i.premium_rcv_detail_code))+1
from ins_premium_det i),'21375','21375','02', '11000003','00','Request by Mr. Saqib Saleem 31-Dec-2024 Active');</v>
      </c>
      <c r="H60" s="29" t="str">
        <f t="shared" si="3"/>
        <v>insert into ins_premium_det (premium_rcv_code,assorted_code, rec_amount,premium_rcv_detail_code,remaining_amt, payrec, mode_code,coinsurance_code,class_cd,it_remarks) values('30Dec240042','070000170653','21375',(select max(to_number(i.premium_rcv_detail_code))+1
from ins_premium_det i),'21375','21375','02', '11000003','00','Request by Mr. Saqib Saleem 31-Dec-2024 Active');</v>
      </c>
    </row>
    <row r="61" spans="1:8" ht="105" x14ac:dyDescent="0.25">
      <c r="A61" s="12" t="s">
        <v>11440</v>
      </c>
      <c r="B61" s="25" t="str">
        <f>VLOOKUP(A61,policy!B:C,2,0)</f>
        <v>070000170654</v>
      </c>
      <c r="C61" s="13">
        <v>24495</v>
      </c>
      <c r="D61" s="26">
        <f t="shared" si="1"/>
        <v>24495</v>
      </c>
      <c r="E61" s="24" t="s">
        <v>13296</v>
      </c>
      <c r="F61" s="27" t="str">
        <f t="shared" si="0"/>
        <v>insert into ins_premium_det (premium_rcv_code,assorted_code, rec_amount,premium_rcv_detail_code,remaining_amt, payrec, mode_code,coinsurance_code,class_cd,it_remarks) values</v>
      </c>
      <c r="G61" s="28" t="str">
        <f t="shared" si="2"/>
        <v>('30Dec240042','070000170654','24495',(select max(to_number(i.premium_rcv_detail_code))+1
from ins_premium_det i),'24495','24495','02', '11000003','00','Request by Mr. Saqib Saleem 31-Dec-2024 Active');</v>
      </c>
      <c r="H61" s="29" t="str">
        <f t="shared" si="3"/>
        <v>insert into ins_premium_det (premium_rcv_code,assorted_code, rec_amount,premium_rcv_detail_code,remaining_amt, payrec, mode_code,coinsurance_code,class_cd,it_remarks) values('30Dec240042','070000170654','24495',(select max(to_number(i.premium_rcv_detail_code))+1
from ins_premium_det i),'24495','24495','02', '11000003','00','Request by Mr. Saqib Saleem 31-Dec-2024 Active');</v>
      </c>
    </row>
    <row r="62" spans="1:8" ht="105" x14ac:dyDescent="0.25">
      <c r="A62" s="12" t="s">
        <v>11441</v>
      </c>
      <c r="B62" s="25" t="str">
        <f>VLOOKUP(A62,policy!B:C,2,0)</f>
        <v>070000170659</v>
      </c>
      <c r="C62" s="11">
        <v>49838</v>
      </c>
      <c r="D62" s="26">
        <f t="shared" si="1"/>
        <v>49838</v>
      </c>
      <c r="E62" s="24" t="s">
        <v>13296</v>
      </c>
      <c r="F62" s="27" t="str">
        <f t="shared" si="0"/>
        <v>insert into ins_premium_det (premium_rcv_code,assorted_code, rec_amount,premium_rcv_detail_code,remaining_amt, payrec, mode_code,coinsurance_code,class_cd,it_remarks) values</v>
      </c>
      <c r="G62" s="28" t="str">
        <f t="shared" si="2"/>
        <v>('30Dec240042','070000170659','49838',(select max(to_number(i.premium_rcv_detail_code))+1
from ins_premium_det i),'49838','49838','02', '11000003','00','Request by Mr. Saqib Saleem 31-Dec-2024 Active');</v>
      </c>
      <c r="H62" s="29" t="str">
        <f t="shared" si="3"/>
        <v>insert into ins_premium_det (premium_rcv_code,assorted_code, rec_amount,premium_rcv_detail_code,remaining_amt, payrec, mode_code,coinsurance_code,class_cd,it_remarks) values('30Dec240042','070000170659','49838',(select max(to_number(i.premium_rcv_detail_code))+1
from ins_premium_det i),'49838','49838','02', '11000003','00','Request by Mr. Saqib Saleem 31-Dec-2024 Active');</v>
      </c>
    </row>
    <row r="63" spans="1:8" ht="105" x14ac:dyDescent="0.25">
      <c r="A63" s="12" t="s">
        <v>11442</v>
      </c>
      <c r="B63" s="25" t="str">
        <f>VLOOKUP(A63,policy!B:C,2,0)</f>
        <v>070000170661</v>
      </c>
      <c r="C63" s="13">
        <v>21420</v>
      </c>
      <c r="D63" s="26">
        <f t="shared" si="1"/>
        <v>21420</v>
      </c>
      <c r="E63" s="24" t="s">
        <v>13296</v>
      </c>
      <c r="F63" s="27" t="str">
        <f t="shared" si="0"/>
        <v>insert into ins_premium_det (premium_rcv_code,assorted_code, rec_amount,premium_rcv_detail_code,remaining_amt, payrec, mode_code,coinsurance_code,class_cd,it_remarks) values</v>
      </c>
      <c r="G63" s="28" t="str">
        <f t="shared" si="2"/>
        <v>('30Dec240042','070000170661','21420',(select max(to_number(i.premium_rcv_detail_code))+1
from ins_premium_det i),'21420','21420','02', '11000003','00','Request by Mr. Saqib Saleem 31-Dec-2024 Active');</v>
      </c>
      <c r="H63" s="29" t="str">
        <f t="shared" si="3"/>
        <v>insert into ins_premium_det (premium_rcv_code,assorted_code, rec_amount,premium_rcv_detail_code,remaining_amt, payrec, mode_code,coinsurance_code,class_cd,it_remarks) values('30Dec240042','070000170661','21420',(select max(to_number(i.premium_rcv_detail_code))+1
from ins_premium_det i),'21420','21420','02', '11000003','00','Request by Mr. Saqib Saleem 31-Dec-2024 Active');</v>
      </c>
    </row>
    <row r="64" spans="1:8" ht="105" x14ac:dyDescent="0.25">
      <c r="A64" s="12" t="s">
        <v>11443</v>
      </c>
      <c r="B64" s="25" t="str">
        <f>VLOOKUP(A64,policy!B:C,2,0)</f>
        <v>070000170662</v>
      </c>
      <c r="C64" s="11">
        <v>34920</v>
      </c>
      <c r="D64" s="26">
        <f t="shared" si="1"/>
        <v>34920</v>
      </c>
      <c r="E64" s="24" t="s">
        <v>13296</v>
      </c>
      <c r="F64" s="27" t="str">
        <f t="shared" si="0"/>
        <v>insert into ins_premium_det (premium_rcv_code,assorted_code, rec_amount,premium_rcv_detail_code,remaining_amt, payrec, mode_code,coinsurance_code,class_cd,it_remarks) values</v>
      </c>
      <c r="G64" s="28" t="str">
        <f t="shared" si="2"/>
        <v>('30Dec240042','070000170662','34920',(select max(to_number(i.premium_rcv_detail_code))+1
from ins_premium_det i),'34920','34920','02', '11000003','00','Request by Mr. Saqib Saleem 31-Dec-2024 Active');</v>
      </c>
      <c r="H64" s="29" t="str">
        <f t="shared" si="3"/>
        <v>insert into ins_premium_det (premium_rcv_code,assorted_code, rec_amount,premium_rcv_detail_code,remaining_amt, payrec, mode_code,coinsurance_code,class_cd,it_remarks) values('30Dec240042','070000170662','34920',(select max(to_number(i.premium_rcv_detail_code))+1
from ins_premium_det i),'34920','34920','02', '11000003','00','Request by Mr. Saqib Saleem 31-Dec-2024 Active');</v>
      </c>
    </row>
    <row r="65" spans="1:8" ht="105" x14ac:dyDescent="0.25">
      <c r="A65" s="12" t="s">
        <v>11444</v>
      </c>
      <c r="B65" s="25" t="str">
        <f>VLOOKUP(A65,policy!B:C,2,0)</f>
        <v>070000170663</v>
      </c>
      <c r="C65" s="13">
        <v>49283</v>
      </c>
      <c r="D65" s="26">
        <f t="shared" si="1"/>
        <v>49283</v>
      </c>
      <c r="E65" s="24" t="s">
        <v>13296</v>
      </c>
      <c r="F65" s="27" t="str">
        <f t="shared" si="0"/>
        <v>insert into ins_premium_det (premium_rcv_code,assorted_code, rec_amount,premium_rcv_detail_code,remaining_amt, payrec, mode_code,coinsurance_code,class_cd,it_remarks) values</v>
      </c>
      <c r="G65" s="28" t="str">
        <f t="shared" si="2"/>
        <v>('30Dec240042','070000170663','49283',(select max(to_number(i.premium_rcv_detail_code))+1
from ins_premium_det i),'49283','49283','02', '11000003','00','Request by Mr. Saqib Saleem 31-Dec-2024 Active');</v>
      </c>
      <c r="H65" s="29" t="str">
        <f t="shared" si="3"/>
        <v>insert into ins_premium_det (premium_rcv_code,assorted_code, rec_amount,premium_rcv_detail_code,remaining_amt, payrec, mode_code,coinsurance_code,class_cd,it_remarks) values('30Dec240042','070000170663','49283',(select max(to_number(i.premium_rcv_detail_code))+1
from ins_premium_det i),'49283','49283','02', '11000003','00','Request by Mr. Saqib Saleem 31-Dec-2024 Active');</v>
      </c>
    </row>
    <row r="66" spans="1:8" ht="105" x14ac:dyDescent="0.25">
      <c r="A66" s="12" t="s">
        <v>11445</v>
      </c>
      <c r="B66" s="25" t="str">
        <f>VLOOKUP(A66,policy!B:C,2,0)</f>
        <v>070000170664</v>
      </c>
      <c r="C66" s="11">
        <v>37634</v>
      </c>
      <c r="D66" s="26">
        <f t="shared" si="1"/>
        <v>37634</v>
      </c>
      <c r="E66" s="24" t="s">
        <v>13296</v>
      </c>
      <c r="F66" s="27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8" t="str">
        <f t="shared" si="2"/>
        <v>('30Dec240042','070000170664','37634',(select max(to_number(i.premium_rcv_detail_code))+1
from ins_premium_det i),'37634','37634','02', '11000003','00','Request by Mr. Saqib Saleem 31-Dec-2024 Active');</v>
      </c>
      <c r="H66" s="29" t="str">
        <f t="shared" si="3"/>
        <v>insert into ins_premium_det (premium_rcv_code,assorted_code, rec_amount,premium_rcv_detail_code,remaining_amt, payrec, mode_code,coinsurance_code,class_cd,it_remarks) values('30Dec240042','070000170664','37634',(select max(to_number(i.premium_rcv_detail_code))+1
from ins_premium_det i),'37634','37634','02', '11000003','00','Request by Mr. Saqib Saleem 31-Dec-2024 Active');</v>
      </c>
    </row>
    <row r="67" spans="1:8" ht="105" x14ac:dyDescent="0.25">
      <c r="A67" s="12" t="s">
        <v>11446</v>
      </c>
      <c r="B67" s="25" t="str">
        <f>VLOOKUP(A67,policy!B:C,2,0)</f>
        <v>070000170665</v>
      </c>
      <c r="C67" s="13">
        <v>37188</v>
      </c>
      <c r="D67" s="26">
        <f t="shared" ref="D67:D130" si="5">ROUND(C67,0)</f>
        <v>37188</v>
      </c>
      <c r="E67" s="24" t="s">
        <v>13296</v>
      </c>
      <c r="F67" s="27" t="str">
        <f t="shared" si="4"/>
        <v>insert into ins_premium_det (premium_rcv_code,assorted_code, rec_amount,premium_rcv_detail_code,remaining_amt, payrec, mode_code,coinsurance_code,class_cd,it_remarks) values</v>
      </c>
      <c r="G67" s="28" t="str">
        <f t="shared" ref="G67:G130" si="6">"('"&amp;E67&amp;"','"&amp;B67&amp;"','"&amp;D67&amp;"',(select max(to_number(i.premium_rcv_detail_code))+1
from ins_premium_det i),'"&amp;D67&amp;"','"&amp;D67&amp;"','02', '11000003','00','Request by Mr. Saqib Saleem 31-Dec-2024 Active');"</f>
        <v>('30Dec240042','070000170665','37188',(select max(to_number(i.premium_rcv_detail_code))+1
from ins_premium_det i),'37188','37188','02', '11000003','00','Request by Mr. Saqib Saleem 31-Dec-2024 Active');</v>
      </c>
      <c r="H67" s="29" t="str">
        <f t="shared" ref="H67:H130" si="7">F67&amp;G67</f>
        <v>insert into ins_premium_det (premium_rcv_code,assorted_code, rec_amount,premium_rcv_detail_code,remaining_amt, payrec, mode_code,coinsurance_code,class_cd,it_remarks) values('30Dec240042','070000170665','37188',(select max(to_number(i.premium_rcv_detail_code))+1
from ins_premium_det i),'37188','37188','02', '11000003','00','Request by Mr. Saqib Saleem 31-Dec-2024 Active');</v>
      </c>
    </row>
    <row r="68" spans="1:8" ht="105" x14ac:dyDescent="0.25">
      <c r="A68" s="12" t="s">
        <v>11447</v>
      </c>
      <c r="B68" s="25" t="str">
        <f>VLOOKUP(A68,policy!B:C,2,0)</f>
        <v>070000170668</v>
      </c>
      <c r="C68" s="11">
        <v>53873</v>
      </c>
      <c r="D68" s="26">
        <f t="shared" si="5"/>
        <v>53873</v>
      </c>
      <c r="E68" s="24" t="s">
        <v>13296</v>
      </c>
      <c r="F68" s="27" t="str">
        <f t="shared" si="4"/>
        <v>insert into ins_premium_det (premium_rcv_code,assorted_code, rec_amount,premium_rcv_detail_code,remaining_amt, payrec, mode_code,coinsurance_code,class_cd,it_remarks) values</v>
      </c>
      <c r="G68" s="28" t="str">
        <f t="shared" si="6"/>
        <v>('30Dec240042','070000170668','53873',(select max(to_number(i.premium_rcv_detail_code))+1
from ins_premium_det i),'53873','53873','02', '11000003','00','Request by Mr. Saqib Saleem 31-Dec-2024 Active');</v>
      </c>
      <c r="H68" s="29" t="str">
        <f t="shared" si="7"/>
        <v>insert into ins_premium_det (premium_rcv_code,assorted_code, rec_amount,premium_rcv_detail_code,remaining_amt, payrec, mode_code,coinsurance_code,class_cd,it_remarks) values('30Dec240042','070000170668','53873',(select max(to_number(i.premium_rcv_detail_code))+1
from ins_premium_det i),'53873','53873','02', '11000003','00','Request by Mr. Saqib Saleem 31-Dec-2024 Active');</v>
      </c>
    </row>
    <row r="69" spans="1:8" ht="105" x14ac:dyDescent="0.25">
      <c r="A69" s="12" t="s">
        <v>11448</v>
      </c>
      <c r="B69" s="25" t="str">
        <f>VLOOKUP(A69,policy!B:C,2,0)</f>
        <v>070000170673</v>
      </c>
      <c r="C69" s="13">
        <v>28810</v>
      </c>
      <c r="D69" s="26">
        <f t="shared" si="5"/>
        <v>28810</v>
      </c>
      <c r="E69" s="24" t="s">
        <v>13296</v>
      </c>
      <c r="F69" s="27" t="str">
        <f t="shared" si="4"/>
        <v>insert into ins_premium_det (premium_rcv_code,assorted_code, rec_amount,premium_rcv_detail_code,remaining_amt, payrec, mode_code,coinsurance_code,class_cd,it_remarks) values</v>
      </c>
      <c r="G69" s="28" t="str">
        <f t="shared" si="6"/>
        <v>('30Dec240042','070000170673','28810',(select max(to_number(i.premium_rcv_detail_code))+1
from ins_premium_det i),'28810','28810','02', '11000003','00','Request by Mr. Saqib Saleem 31-Dec-2024 Active');</v>
      </c>
      <c r="H69" s="29" t="str">
        <f t="shared" si="7"/>
        <v>insert into ins_premium_det (premium_rcv_code,assorted_code, rec_amount,premium_rcv_detail_code,remaining_amt, payrec, mode_code,coinsurance_code,class_cd,it_remarks) values('30Dec240042','070000170673','28810',(select max(to_number(i.premium_rcv_detail_code))+1
from ins_premium_det i),'28810','28810','02', '11000003','00','Request by Mr. Saqib Saleem 31-Dec-2024 Active');</v>
      </c>
    </row>
    <row r="70" spans="1:8" ht="105" x14ac:dyDescent="0.25">
      <c r="A70" s="12" t="s">
        <v>11449</v>
      </c>
      <c r="B70" s="25" t="str">
        <f>VLOOKUP(A70,policy!B:C,2,0)</f>
        <v>070000170674</v>
      </c>
      <c r="C70" s="11">
        <v>108504</v>
      </c>
      <c r="D70" s="26">
        <f t="shared" si="5"/>
        <v>108504</v>
      </c>
      <c r="E70" s="24" t="s">
        <v>13296</v>
      </c>
      <c r="F70" s="27" t="str">
        <f t="shared" si="4"/>
        <v>insert into ins_premium_det (premium_rcv_code,assorted_code, rec_amount,premium_rcv_detail_code,remaining_amt, payrec, mode_code,coinsurance_code,class_cd,it_remarks) values</v>
      </c>
      <c r="G70" s="28" t="str">
        <f t="shared" si="6"/>
        <v>('30Dec240042','070000170674','108504',(select max(to_number(i.premium_rcv_detail_code))+1
from ins_premium_det i),'108504','108504','02', '11000003','00','Request by Mr. Saqib Saleem 31-Dec-2024 Active');</v>
      </c>
      <c r="H70" s="29" t="str">
        <f t="shared" si="7"/>
        <v>insert into ins_premium_det (premium_rcv_code,assorted_code, rec_amount,premium_rcv_detail_code,remaining_amt, payrec, mode_code,coinsurance_code,class_cd,it_remarks) values('30Dec240042','070000170674','108504',(select max(to_number(i.premium_rcv_detail_code))+1
from ins_premium_det i),'108504','108504','02', '11000003','00','Request by Mr. Saqib Saleem 31-Dec-2024 Active');</v>
      </c>
    </row>
    <row r="71" spans="1:8" ht="105" x14ac:dyDescent="0.25">
      <c r="A71" s="12" t="s">
        <v>11450</v>
      </c>
      <c r="B71" s="25" t="str">
        <f>VLOOKUP(A71,policy!B:C,2,0)</f>
        <v>070000170678</v>
      </c>
      <c r="C71" s="13">
        <v>16784</v>
      </c>
      <c r="D71" s="26">
        <f t="shared" si="5"/>
        <v>16784</v>
      </c>
      <c r="E71" s="24" t="s">
        <v>13296</v>
      </c>
      <c r="F71" s="27" t="str">
        <f t="shared" si="4"/>
        <v>insert into ins_premium_det (premium_rcv_code,assorted_code, rec_amount,premium_rcv_detail_code,remaining_amt, payrec, mode_code,coinsurance_code,class_cd,it_remarks) values</v>
      </c>
      <c r="G71" s="28" t="str">
        <f t="shared" si="6"/>
        <v>('30Dec240042','070000170678','16784',(select max(to_number(i.premium_rcv_detail_code))+1
from ins_premium_det i),'16784','16784','02', '11000003','00','Request by Mr. Saqib Saleem 31-Dec-2024 Active');</v>
      </c>
      <c r="H71" s="29" t="str">
        <f t="shared" si="7"/>
        <v>insert into ins_premium_det (premium_rcv_code,assorted_code, rec_amount,premium_rcv_detail_code,remaining_amt, payrec, mode_code,coinsurance_code,class_cd,it_remarks) values('30Dec240042','070000170678','16784',(select max(to_number(i.premium_rcv_detail_code))+1
from ins_premium_det i),'16784','16784','02', '11000003','00','Request by Mr. Saqib Saleem 31-Dec-2024 Active');</v>
      </c>
    </row>
    <row r="72" spans="1:8" ht="105" x14ac:dyDescent="0.25">
      <c r="A72" s="12" t="s">
        <v>11451</v>
      </c>
      <c r="B72" s="25" t="str">
        <f>VLOOKUP(A72,policy!B:C,2,0)</f>
        <v>070000170679</v>
      </c>
      <c r="C72" s="11">
        <v>27600</v>
      </c>
      <c r="D72" s="26">
        <f t="shared" si="5"/>
        <v>27600</v>
      </c>
      <c r="E72" s="24" t="s">
        <v>13296</v>
      </c>
      <c r="F72" s="27" t="str">
        <f t="shared" si="4"/>
        <v>insert into ins_premium_det (premium_rcv_code,assorted_code, rec_amount,premium_rcv_detail_code,remaining_amt, payrec, mode_code,coinsurance_code,class_cd,it_remarks) values</v>
      </c>
      <c r="G72" s="28" t="str">
        <f t="shared" si="6"/>
        <v>('30Dec240042','070000170679','27600',(select max(to_number(i.premium_rcv_detail_code))+1
from ins_premium_det i),'27600','27600','02', '11000003','00','Request by Mr. Saqib Saleem 31-Dec-2024 Active');</v>
      </c>
      <c r="H72" s="29" t="str">
        <f t="shared" si="7"/>
        <v>insert into ins_premium_det (premium_rcv_code,assorted_code, rec_amount,premium_rcv_detail_code,remaining_amt, payrec, mode_code,coinsurance_code,class_cd,it_remarks) values('30Dec240042','070000170679','27600',(select max(to_number(i.premium_rcv_detail_code))+1
from ins_premium_det i),'27600','27600','02', '11000003','00','Request by Mr. Saqib Saleem 31-Dec-2024 Active');</v>
      </c>
    </row>
    <row r="73" spans="1:8" ht="105" x14ac:dyDescent="0.25">
      <c r="A73" s="12" t="s">
        <v>11452</v>
      </c>
      <c r="B73" s="25" t="str">
        <f>VLOOKUP(A73,policy!B:C,2,0)</f>
        <v>070000170680</v>
      </c>
      <c r="C73" s="13">
        <v>21360</v>
      </c>
      <c r="D73" s="26">
        <f t="shared" si="5"/>
        <v>21360</v>
      </c>
      <c r="E73" s="24" t="s">
        <v>13296</v>
      </c>
      <c r="F73" s="27" t="str">
        <f t="shared" si="4"/>
        <v>insert into ins_premium_det (premium_rcv_code,assorted_code, rec_amount,premium_rcv_detail_code,remaining_amt, payrec, mode_code,coinsurance_code,class_cd,it_remarks) values</v>
      </c>
      <c r="G73" s="28" t="str">
        <f t="shared" si="6"/>
        <v>('30Dec240042','070000170680','21360',(select max(to_number(i.premium_rcv_detail_code))+1
from ins_premium_det i),'21360','21360','02', '11000003','00','Request by Mr. Saqib Saleem 31-Dec-2024 Active');</v>
      </c>
      <c r="H73" s="29" t="str">
        <f t="shared" si="7"/>
        <v>insert into ins_premium_det (premium_rcv_code,assorted_code, rec_amount,premium_rcv_detail_code,remaining_amt, payrec, mode_code,coinsurance_code,class_cd,it_remarks) values('30Dec240042','070000170680','21360',(select max(to_number(i.premium_rcv_detail_code))+1
from ins_premium_det i),'21360','21360','02', '11000003','00','Request by Mr. Saqib Saleem 31-Dec-2024 Active');</v>
      </c>
    </row>
    <row r="74" spans="1:8" ht="105" x14ac:dyDescent="0.25">
      <c r="A74" s="12" t="s">
        <v>11453</v>
      </c>
      <c r="B74" s="25" t="str">
        <f>VLOOKUP(A74,policy!B:C,2,0)</f>
        <v>070000170682</v>
      </c>
      <c r="C74" s="11">
        <v>36800</v>
      </c>
      <c r="D74" s="26">
        <f t="shared" si="5"/>
        <v>36800</v>
      </c>
      <c r="E74" s="24" t="s">
        <v>13296</v>
      </c>
      <c r="F74" s="27" t="str">
        <f t="shared" si="4"/>
        <v>insert into ins_premium_det (premium_rcv_code,assorted_code, rec_amount,premium_rcv_detail_code,remaining_amt, payrec, mode_code,coinsurance_code,class_cd,it_remarks) values</v>
      </c>
      <c r="G74" s="28" t="str">
        <f t="shared" si="6"/>
        <v>('30Dec240042','070000170682','36800',(select max(to_number(i.premium_rcv_detail_code))+1
from ins_premium_det i),'36800','36800','02', '11000003','00','Request by Mr. Saqib Saleem 31-Dec-2024 Active');</v>
      </c>
      <c r="H74" s="29" t="str">
        <f t="shared" si="7"/>
        <v>insert into ins_premium_det (premium_rcv_code,assorted_code, rec_amount,premium_rcv_detail_code,remaining_amt, payrec, mode_code,coinsurance_code,class_cd,it_remarks) values('30Dec240042','070000170682','36800',(select max(to_number(i.premium_rcv_detail_code))+1
from ins_premium_det i),'36800','36800','02', '11000003','00','Request by Mr. Saqib Saleem 31-Dec-2024 Active');</v>
      </c>
    </row>
    <row r="75" spans="1:8" ht="105" x14ac:dyDescent="0.25">
      <c r="A75" s="12" t="s">
        <v>11454</v>
      </c>
      <c r="B75" s="25" t="str">
        <f>VLOOKUP(A75,policy!B:C,2,0)</f>
        <v>070000170687</v>
      </c>
      <c r="C75" s="13">
        <v>40784</v>
      </c>
      <c r="D75" s="26">
        <f t="shared" si="5"/>
        <v>40784</v>
      </c>
      <c r="E75" s="24" t="s">
        <v>13296</v>
      </c>
      <c r="F75" s="27" t="str">
        <f t="shared" si="4"/>
        <v>insert into ins_premium_det (premium_rcv_code,assorted_code, rec_amount,premium_rcv_detail_code,remaining_amt, payrec, mode_code,coinsurance_code,class_cd,it_remarks) values</v>
      </c>
      <c r="G75" s="28" t="str">
        <f t="shared" si="6"/>
        <v>('30Dec240042','070000170687','40784',(select max(to_number(i.premium_rcv_detail_code))+1
from ins_premium_det i),'40784','40784','02', '11000003','00','Request by Mr. Saqib Saleem 31-Dec-2024 Active');</v>
      </c>
      <c r="H75" s="29" t="str">
        <f t="shared" si="7"/>
        <v>insert into ins_premium_det (premium_rcv_code,assorted_code, rec_amount,premium_rcv_detail_code,remaining_amt, payrec, mode_code,coinsurance_code,class_cd,it_remarks) values('30Dec240042','070000170687','40784',(select max(to_number(i.premium_rcv_detail_code))+1
from ins_premium_det i),'40784','40784','02', '11000003','00','Request by Mr. Saqib Saleem 31-Dec-2024 Active');</v>
      </c>
    </row>
    <row r="76" spans="1:8" ht="105" x14ac:dyDescent="0.25">
      <c r="A76" s="12" t="s">
        <v>11455</v>
      </c>
      <c r="B76" s="25" t="str">
        <f>VLOOKUP(A76,policy!B:C,2,0)</f>
        <v>070000170691</v>
      </c>
      <c r="C76" s="11">
        <v>65556</v>
      </c>
      <c r="D76" s="26">
        <f t="shared" si="5"/>
        <v>65556</v>
      </c>
      <c r="E76" s="24" t="s">
        <v>13296</v>
      </c>
      <c r="F76" s="27" t="str">
        <f t="shared" si="4"/>
        <v>insert into ins_premium_det (premium_rcv_code,assorted_code, rec_amount,premium_rcv_detail_code,remaining_amt, payrec, mode_code,coinsurance_code,class_cd,it_remarks) values</v>
      </c>
      <c r="G76" s="28" t="str">
        <f t="shared" si="6"/>
        <v>('30Dec240042','070000170691','65556',(select max(to_number(i.premium_rcv_detail_code))+1
from ins_premium_det i),'65556','65556','02', '11000003','00','Request by Mr. Saqib Saleem 31-Dec-2024 Active');</v>
      </c>
      <c r="H76" s="29" t="str">
        <f t="shared" si="7"/>
        <v>insert into ins_premium_det (premium_rcv_code,assorted_code, rec_amount,premium_rcv_detail_code,remaining_amt, payrec, mode_code,coinsurance_code,class_cd,it_remarks) values('30Dec240042','070000170691','65556',(select max(to_number(i.premium_rcv_detail_code))+1
from ins_premium_det i),'65556','65556','02', '11000003','00','Request by Mr. Saqib Saleem 31-Dec-2024 Active');</v>
      </c>
    </row>
    <row r="77" spans="1:8" ht="105" x14ac:dyDescent="0.25">
      <c r="A77" s="12" t="s">
        <v>11456</v>
      </c>
      <c r="B77" s="25" t="str">
        <f>VLOOKUP(A77,policy!B:C,2,0)</f>
        <v>070000170692</v>
      </c>
      <c r="C77" s="13">
        <v>105476</v>
      </c>
      <c r="D77" s="26">
        <f t="shared" si="5"/>
        <v>105476</v>
      </c>
      <c r="E77" s="24" t="s">
        <v>13296</v>
      </c>
      <c r="F77" s="27" t="str">
        <f t="shared" si="4"/>
        <v>insert into ins_premium_det (premium_rcv_code,assorted_code, rec_amount,premium_rcv_detail_code,remaining_amt, payrec, mode_code,coinsurance_code,class_cd,it_remarks) values</v>
      </c>
      <c r="G77" s="28" t="str">
        <f t="shared" si="6"/>
        <v>('30Dec240042','070000170692','105476',(select max(to_number(i.premium_rcv_detail_code))+1
from ins_premium_det i),'105476','105476','02', '11000003','00','Request by Mr. Saqib Saleem 31-Dec-2024 Active');</v>
      </c>
      <c r="H77" s="29" t="str">
        <f t="shared" si="7"/>
        <v>insert into ins_premium_det (premium_rcv_code,assorted_code, rec_amount,premium_rcv_detail_code,remaining_amt, payrec, mode_code,coinsurance_code,class_cd,it_remarks) values('30Dec240042','070000170692','105476',(select max(to_number(i.premium_rcv_detail_code))+1
from ins_premium_det i),'105476','105476','02', '11000003','00','Request by Mr. Saqib Saleem 31-Dec-2024 Active');</v>
      </c>
    </row>
    <row r="78" spans="1:8" ht="105" x14ac:dyDescent="0.25">
      <c r="A78" s="12" t="s">
        <v>11457</v>
      </c>
      <c r="B78" s="25" t="str">
        <f>VLOOKUP(A78,policy!B:C,2,0)</f>
        <v>070000170695</v>
      </c>
      <c r="C78" s="11">
        <v>110268</v>
      </c>
      <c r="D78" s="26">
        <f t="shared" si="5"/>
        <v>110268</v>
      </c>
      <c r="E78" s="24" t="s">
        <v>13296</v>
      </c>
      <c r="F78" s="27" t="str">
        <f t="shared" si="4"/>
        <v>insert into ins_premium_det (premium_rcv_code,assorted_code, rec_amount,premium_rcv_detail_code,remaining_amt, payrec, mode_code,coinsurance_code,class_cd,it_remarks) values</v>
      </c>
      <c r="G78" s="28" t="str">
        <f t="shared" si="6"/>
        <v>('30Dec240042','070000170695','110268',(select max(to_number(i.premium_rcv_detail_code))+1
from ins_premium_det i),'110268','110268','02', '11000003','00','Request by Mr. Saqib Saleem 31-Dec-2024 Active');</v>
      </c>
      <c r="H78" s="29" t="str">
        <f t="shared" si="7"/>
        <v>insert into ins_premium_det (premium_rcv_code,assorted_code, rec_amount,premium_rcv_detail_code,remaining_amt, payrec, mode_code,coinsurance_code,class_cd,it_remarks) values('30Dec240042','070000170695','110268',(select max(to_number(i.premium_rcv_detail_code))+1
from ins_premium_det i),'110268','110268','02', '11000003','00','Request by Mr. Saqib Saleem 31-Dec-2024 Active');</v>
      </c>
    </row>
    <row r="79" spans="1:8" ht="105" x14ac:dyDescent="0.25">
      <c r="A79" s="12" t="s">
        <v>11458</v>
      </c>
      <c r="B79" s="25" t="str">
        <f>VLOOKUP(A79,policy!B:C,2,0)</f>
        <v>070000170696</v>
      </c>
      <c r="C79" s="13">
        <v>56525</v>
      </c>
      <c r="D79" s="26">
        <f t="shared" si="5"/>
        <v>56525</v>
      </c>
      <c r="E79" s="24" t="s">
        <v>13296</v>
      </c>
      <c r="F79" s="27" t="str">
        <f t="shared" si="4"/>
        <v>insert into ins_premium_det (premium_rcv_code,assorted_code, rec_amount,premium_rcv_detail_code,remaining_amt, payrec, mode_code,coinsurance_code,class_cd,it_remarks) values</v>
      </c>
      <c r="G79" s="28" t="str">
        <f t="shared" si="6"/>
        <v>('30Dec240042','070000170696','56525',(select max(to_number(i.premium_rcv_detail_code))+1
from ins_premium_det i),'56525','56525','02', '11000003','00','Request by Mr. Saqib Saleem 31-Dec-2024 Active');</v>
      </c>
      <c r="H79" s="29" t="str">
        <f t="shared" si="7"/>
        <v>insert into ins_premium_det (premium_rcv_code,assorted_code, rec_amount,premium_rcv_detail_code,remaining_amt, payrec, mode_code,coinsurance_code,class_cd,it_remarks) values('30Dec240042','070000170696','56525',(select max(to_number(i.premium_rcv_detail_code))+1
from ins_premium_det i),'56525','56525','02', '11000003','00','Request by Mr. Saqib Saleem 31-Dec-2024 Active');</v>
      </c>
    </row>
    <row r="80" spans="1:8" ht="105" x14ac:dyDescent="0.25">
      <c r="A80" s="12" t="s">
        <v>11459</v>
      </c>
      <c r="B80" s="25" t="str">
        <f>VLOOKUP(A80,policy!B:C,2,0)</f>
        <v>070000170703</v>
      </c>
      <c r="C80" s="11">
        <v>18594</v>
      </c>
      <c r="D80" s="26">
        <f t="shared" si="5"/>
        <v>18594</v>
      </c>
      <c r="E80" s="24" t="s">
        <v>13296</v>
      </c>
      <c r="F80" s="27" t="str">
        <f t="shared" si="4"/>
        <v>insert into ins_premium_det (premium_rcv_code,assorted_code, rec_amount,premium_rcv_detail_code,remaining_amt, payrec, mode_code,coinsurance_code,class_cd,it_remarks) values</v>
      </c>
      <c r="G80" s="28" t="str">
        <f t="shared" si="6"/>
        <v>('30Dec240042','070000170703','18594',(select max(to_number(i.premium_rcv_detail_code))+1
from ins_premium_det i),'18594','18594','02', '11000003','00','Request by Mr. Saqib Saleem 31-Dec-2024 Active');</v>
      </c>
      <c r="H80" s="29" t="str">
        <f t="shared" si="7"/>
        <v>insert into ins_premium_det (premium_rcv_code,assorted_code, rec_amount,premium_rcv_detail_code,remaining_amt, payrec, mode_code,coinsurance_code,class_cd,it_remarks) values('30Dec240042','070000170703','18594',(select max(to_number(i.premium_rcv_detail_code))+1
from ins_premium_det i),'18594','18594','02', '11000003','00','Request by Mr. Saqib Saleem 31-Dec-2024 Active');</v>
      </c>
    </row>
    <row r="81" spans="1:8" ht="105" x14ac:dyDescent="0.25">
      <c r="A81" s="12" t="s">
        <v>11460</v>
      </c>
      <c r="B81" s="25" t="str">
        <f>VLOOKUP(A81,policy!B:C,2,0)</f>
        <v>070000170709</v>
      </c>
      <c r="C81" s="13">
        <v>16784</v>
      </c>
      <c r="D81" s="26">
        <f t="shared" si="5"/>
        <v>16784</v>
      </c>
      <c r="E81" s="24" t="s">
        <v>13296</v>
      </c>
      <c r="F81" s="27" t="str">
        <f t="shared" si="4"/>
        <v>insert into ins_premium_det (premium_rcv_code,assorted_code, rec_amount,premium_rcv_detail_code,remaining_amt, payrec, mode_code,coinsurance_code,class_cd,it_remarks) values</v>
      </c>
      <c r="G81" s="28" t="str">
        <f t="shared" si="6"/>
        <v>('30Dec240042','070000170709','16784',(select max(to_number(i.premium_rcv_detail_code))+1
from ins_premium_det i),'16784','16784','02', '11000003','00','Request by Mr. Saqib Saleem 31-Dec-2024 Active');</v>
      </c>
      <c r="H81" s="29" t="str">
        <f t="shared" si="7"/>
        <v>insert into ins_premium_det (premium_rcv_code,assorted_code, rec_amount,premium_rcv_detail_code,remaining_amt, payrec, mode_code,coinsurance_code,class_cd,it_remarks) values('30Dec240042','070000170709','16784',(select max(to_number(i.premium_rcv_detail_code))+1
from ins_premium_det i),'16784','16784','02', '11000003','00','Request by Mr. Saqib Saleem 31-Dec-2024 Active');</v>
      </c>
    </row>
    <row r="82" spans="1:8" ht="105" x14ac:dyDescent="0.25">
      <c r="A82" s="12" t="s">
        <v>11461</v>
      </c>
      <c r="B82" s="25" t="str">
        <f>VLOOKUP(A82,policy!B:C,2,0)</f>
        <v>070000170710</v>
      </c>
      <c r="C82" s="11">
        <v>21360</v>
      </c>
      <c r="D82" s="26">
        <f t="shared" si="5"/>
        <v>21360</v>
      </c>
      <c r="E82" s="24" t="s">
        <v>13296</v>
      </c>
      <c r="F82" s="27" t="str">
        <f t="shared" si="4"/>
        <v>insert into ins_premium_det (premium_rcv_code,assorted_code, rec_amount,premium_rcv_detail_code,remaining_amt, payrec, mode_code,coinsurance_code,class_cd,it_remarks) values</v>
      </c>
      <c r="G82" s="28" t="str">
        <f t="shared" si="6"/>
        <v>('30Dec240042','070000170710','21360',(select max(to_number(i.premium_rcv_detail_code))+1
from ins_premium_det i),'21360','21360','02', '11000003','00','Request by Mr. Saqib Saleem 31-Dec-2024 Active');</v>
      </c>
      <c r="H82" s="29" t="str">
        <f t="shared" si="7"/>
        <v>insert into ins_premium_det (premium_rcv_code,assorted_code, rec_amount,premium_rcv_detail_code,remaining_amt, payrec, mode_code,coinsurance_code,class_cd,it_remarks) values('30Dec240042','070000170710','21360',(select max(to_number(i.premium_rcv_detail_code))+1
from ins_premium_det i),'21360','21360','02', '11000003','00','Request by Mr. Saqib Saleem 31-Dec-2024 Active');</v>
      </c>
    </row>
    <row r="83" spans="1:8" ht="105" x14ac:dyDescent="0.25">
      <c r="A83" s="12" t="s">
        <v>11462</v>
      </c>
      <c r="B83" s="25" t="str">
        <f>VLOOKUP(A83,policy!B:C,2,0)</f>
        <v>070000170715</v>
      </c>
      <c r="C83" s="13">
        <v>29280</v>
      </c>
      <c r="D83" s="26">
        <f t="shared" si="5"/>
        <v>29280</v>
      </c>
      <c r="E83" s="24" t="s">
        <v>13296</v>
      </c>
      <c r="F83" s="27" t="str">
        <f t="shared" si="4"/>
        <v>insert into ins_premium_det (premium_rcv_code,assorted_code, rec_amount,premium_rcv_detail_code,remaining_amt, payrec, mode_code,coinsurance_code,class_cd,it_remarks) values</v>
      </c>
      <c r="G83" s="28" t="str">
        <f t="shared" si="6"/>
        <v>('30Dec240042','070000170715','29280',(select max(to_number(i.premium_rcv_detail_code))+1
from ins_premium_det i),'29280','29280','02', '11000003','00','Request by Mr. Saqib Saleem 31-Dec-2024 Active');</v>
      </c>
      <c r="H83" s="29" t="str">
        <f t="shared" si="7"/>
        <v>insert into ins_premium_det (premium_rcv_code,assorted_code, rec_amount,premium_rcv_detail_code,remaining_amt, payrec, mode_code,coinsurance_code,class_cd,it_remarks) values('30Dec240042','070000170715','29280',(select max(to_number(i.premium_rcv_detail_code))+1
from ins_premium_det i),'29280','29280','02', '11000003','00','Request by Mr. Saqib Saleem 31-Dec-2024 Active');</v>
      </c>
    </row>
    <row r="84" spans="1:8" ht="105" x14ac:dyDescent="0.25">
      <c r="A84" s="12" t="s">
        <v>11463</v>
      </c>
      <c r="B84" s="25" t="str">
        <f>VLOOKUP(A84,policy!B:C,2,0)</f>
        <v>070000170716</v>
      </c>
      <c r="C84" s="11">
        <v>41250</v>
      </c>
      <c r="D84" s="26">
        <f t="shared" si="5"/>
        <v>41250</v>
      </c>
      <c r="E84" s="24" t="s">
        <v>13296</v>
      </c>
      <c r="F84" s="27" t="str">
        <f t="shared" si="4"/>
        <v>insert into ins_premium_det (premium_rcv_code,assorted_code, rec_amount,premium_rcv_detail_code,remaining_amt, payrec, mode_code,coinsurance_code,class_cd,it_remarks) values</v>
      </c>
      <c r="G84" s="28" t="str">
        <f t="shared" si="6"/>
        <v>('30Dec240042','070000170716','41250',(select max(to_number(i.premium_rcv_detail_code))+1
from ins_premium_det i),'41250','41250','02', '11000003','00','Request by Mr. Saqib Saleem 31-Dec-2024 Active');</v>
      </c>
      <c r="H84" s="29" t="str">
        <f t="shared" si="7"/>
        <v>insert into ins_premium_det (premium_rcv_code,assorted_code, rec_amount,premium_rcv_detail_code,remaining_amt, payrec, mode_code,coinsurance_code,class_cd,it_remarks) values('30Dec240042','070000170716','41250',(select max(to_number(i.premium_rcv_detail_code))+1
from ins_premium_det i),'41250','41250','02', '11000003','00','Request by Mr. Saqib Saleem 31-Dec-2024 Active');</v>
      </c>
    </row>
    <row r="85" spans="1:8" ht="105" x14ac:dyDescent="0.25">
      <c r="A85" s="12" t="s">
        <v>11464</v>
      </c>
      <c r="B85" s="25" t="str">
        <f>VLOOKUP(A85,policy!B:C,2,0)</f>
        <v>070000170717</v>
      </c>
      <c r="C85" s="13">
        <v>45000</v>
      </c>
      <c r="D85" s="26">
        <f t="shared" si="5"/>
        <v>45000</v>
      </c>
      <c r="E85" s="24" t="s">
        <v>13296</v>
      </c>
      <c r="F85" s="27" t="str">
        <f t="shared" si="4"/>
        <v>insert into ins_premium_det (premium_rcv_code,assorted_code, rec_amount,premium_rcv_detail_code,remaining_amt, payrec, mode_code,coinsurance_code,class_cd,it_remarks) values</v>
      </c>
      <c r="G85" s="28" t="str">
        <f t="shared" si="6"/>
        <v>('30Dec240042','070000170717','45000',(select max(to_number(i.premium_rcv_detail_code))+1
from ins_premium_det i),'45000','45000','02', '11000003','00','Request by Mr. Saqib Saleem 31-Dec-2024 Active');</v>
      </c>
      <c r="H85" s="29" t="str">
        <f t="shared" si="7"/>
        <v>insert into ins_premium_det (premium_rcv_code,assorted_code, rec_amount,premium_rcv_detail_code,remaining_amt, payrec, mode_code,coinsurance_code,class_cd,it_remarks) values('30Dec240042','070000170717','45000',(select max(to_number(i.premium_rcv_detail_code))+1
from ins_premium_det i),'45000','45000','02', '11000003','00','Request by Mr. Saqib Saleem 31-Dec-2024 Active');</v>
      </c>
    </row>
    <row r="86" spans="1:8" ht="105" x14ac:dyDescent="0.25">
      <c r="A86" s="12" t="s">
        <v>11465</v>
      </c>
      <c r="B86" s="25" t="str">
        <f>VLOOKUP(A86,policy!B:C,2,0)</f>
        <v>070000170718</v>
      </c>
      <c r="C86" s="11">
        <v>78912</v>
      </c>
      <c r="D86" s="26">
        <f t="shared" si="5"/>
        <v>78912</v>
      </c>
      <c r="E86" s="24" t="s">
        <v>13296</v>
      </c>
      <c r="F86" s="27" t="str">
        <f t="shared" si="4"/>
        <v>insert into ins_premium_det (premium_rcv_code,assorted_code, rec_amount,premium_rcv_detail_code,remaining_amt, payrec, mode_code,coinsurance_code,class_cd,it_remarks) values</v>
      </c>
      <c r="G86" s="28" t="str">
        <f t="shared" si="6"/>
        <v>('30Dec240042','070000170718','78912',(select max(to_number(i.premium_rcv_detail_code))+1
from ins_premium_det i),'78912','78912','02', '11000003','00','Request by Mr. Saqib Saleem 31-Dec-2024 Active');</v>
      </c>
      <c r="H86" s="29" t="str">
        <f t="shared" si="7"/>
        <v>insert into ins_premium_det (premium_rcv_code,assorted_code, rec_amount,premium_rcv_detail_code,remaining_amt, payrec, mode_code,coinsurance_code,class_cd,it_remarks) values('30Dec240042','070000170718','78912',(select max(to_number(i.premium_rcv_detail_code))+1
from ins_premium_det i),'78912','78912','02', '11000003','00','Request by Mr. Saqib Saleem 31-Dec-2024 Active');</v>
      </c>
    </row>
    <row r="87" spans="1:8" ht="105" x14ac:dyDescent="0.25">
      <c r="A87" s="12" t="s">
        <v>11466</v>
      </c>
      <c r="B87" s="25" t="str">
        <f>VLOOKUP(A87,policy!B:C,2,0)</f>
        <v>070000170720</v>
      </c>
      <c r="C87" s="13">
        <v>48400</v>
      </c>
      <c r="D87" s="26">
        <f t="shared" si="5"/>
        <v>48400</v>
      </c>
      <c r="E87" s="24" t="s">
        <v>13296</v>
      </c>
      <c r="F87" s="27" t="str">
        <f t="shared" si="4"/>
        <v>insert into ins_premium_det (premium_rcv_code,assorted_code, rec_amount,premium_rcv_detail_code,remaining_amt, payrec, mode_code,coinsurance_code,class_cd,it_remarks) values</v>
      </c>
      <c r="G87" s="28" t="str">
        <f t="shared" si="6"/>
        <v>('30Dec240042','070000170720','48400',(select max(to_number(i.premium_rcv_detail_code))+1
from ins_premium_det i),'48400','48400','02', '11000003','00','Request by Mr. Saqib Saleem 31-Dec-2024 Active');</v>
      </c>
      <c r="H87" s="29" t="str">
        <f t="shared" si="7"/>
        <v>insert into ins_premium_det (premium_rcv_code,assorted_code, rec_amount,premium_rcv_detail_code,remaining_amt, payrec, mode_code,coinsurance_code,class_cd,it_remarks) values('30Dec240042','070000170720','48400',(select max(to_number(i.premium_rcv_detail_code))+1
from ins_premium_det i),'48400','48400','02', '11000003','00','Request by Mr. Saqib Saleem 31-Dec-2024 Active');</v>
      </c>
    </row>
    <row r="88" spans="1:8" ht="105" x14ac:dyDescent="0.25">
      <c r="A88" s="12" t="s">
        <v>11467</v>
      </c>
      <c r="B88" s="25" t="str">
        <f>VLOOKUP(A88,policy!B:C,2,0)</f>
        <v>070000170721</v>
      </c>
      <c r="C88" s="11">
        <v>51040</v>
      </c>
      <c r="D88" s="26">
        <f t="shared" si="5"/>
        <v>51040</v>
      </c>
      <c r="E88" s="24" t="s">
        <v>13296</v>
      </c>
      <c r="F88" s="27" t="str">
        <f t="shared" si="4"/>
        <v>insert into ins_premium_det (premium_rcv_code,assorted_code, rec_amount,premium_rcv_detail_code,remaining_amt, payrec, mode_code,coinsurance_code,class_cd,it_remarks) values</v>
      </c>
      <c r="G88" s="28" t="str">
        <f t="shared" si="6"/>
        <v>('30Dec240042','070000170721','51040',(select max(to_number(i.premium_rcv_detail_code))+1
from ins_premium_det i),'51040','51040','02', '11000003','00','Request by Mr. Saqib Saleem 31-Dec-2024 Active');</v>
      </c>
      <c r="H88" s="29" t="str">
        <f t="shared" si="7"/>
        <v>insert into ins_premium_det (premium_rcv_code,assorted_code, rec_amount,premium_rcv_detail_code,remaining_amt, payrec, mode_code,coinsurance_code,class_cd,it_remarks) values('30Dec240042','070000170721','51040',(select max(to_number(i.premium_rcv_detail_code))+1
from ins_premium_det i),'51040','51040','02', '11000003','00','Request by Mr. Saqib Saleem 31-Dec-2024 Active');</v>
      </c>
    </row>
    <row r="89" spans="1:8" ht="105" x14ac:dyDescent="0.25">
      <c r="A89" s="12" t="s">
        <v>11468</v>
      </c>
      <c r="B89" s="25" t="str">
        <f>VLOOKUP(A89,policy!B:C,2,0)</f>
        <v>070000170723</v>
      </c>
      <c r="C89" s="13">
        <v>54448</v>
      </c>
      <c r="D89" s="26">
        <f t="shared" si="5"/>
        <v>54448</v>
      </c>
      <c r="E89" s="24" t="s">
        <v>13296</v>
      </c>
      <c r="F89" s="27" t="str">
        <f t="shared" si="4"/>
        <v>insert into ins_premium_det (premium_rcv_code,assorted_code, rec_amount,premium_rcv_detail_code,remaining_amt, payrec, mode_code,coinsurance_code,class_cd,it_remarks) values</v>
      </c>
      <c r="G89" s="28" t="str">
        <f t="shared" si="6"/>
        <v>('30Dec240042','070000170723','54448',(select max(to_number(i.premium_rcv_detail_code))+1
from ins_premium_det i),'54448','54448','02', '11000003','00','Request by Mr. Saqib Saleem 31-Dec-2024 Active');</v>
      </c>
      <c r="H89" s="29" t="str">
        <f t="shared" si="7"/>
        <v>insert into ins_premium_det (premium_rcv_code,assorted_code, rec_amount,premium_rcv_detail_code,remaining_amt, payrec, mode_code,coinsurance_code,class_cd,it_remarks) values('30Dec240042','070000170723','54448',(select max(to_number(i.premium_rcv_detail_code))+1
from ins_premium_det i),'54448','54448','02', '11000003','00','Request by Mr. Saqib Saleem 31-Dec-2024 Active');</v>
      </c>
    </row>
    <row r="90" spans="1:8" ht="105" x14ac:dyDescent="0.25">
      <c r="A90" s="12" t="s">
        <v>11469</v>
      </c>
      <c r="B90" s="25" t="str">
        <f>VLOOKUP(A90,policy!B:C,2,0)</f>
        <v>070000170724</v>
      </c>
      <c r="C90" s="11">
        <v>36770</v>
      </c>
      <c r="D90" s="26">
        <f t="shared" si="5"/>
        <v>36770</v>
      </c>
      <c r="E90" s="24" t="s">
        <v>13296</v>
      </c>
      <c r="F90" s="27" t="str">
        <f t="shared" si="4"/>
        <v>insert into ins_premium_det (premium_rcv_code,assorted_code, rec_amount,premium_rcv_detail_code,remaining_amt, payrec, mode_code,coinsurance_code,class_cd,it_remarks) values</v>
      </c>
      <c r="G90" s="28" t="str">
        <f t="shared" si="6"/>
        <v>('30Dec240042','070000170724','36770',(select max(to_number(i.premium_rcv_detail_code))+1
from ins_premium_det i),'36770','36770','02', '11000003','00','Request by Mr. Saqib Saleem 31-Dec-2024 Active');</v>
      </c>
      <c r="H90" s="29" t="str">
        <f t="shared" si="7"/>
        <v>insert into ins_premium_det (premium_rcv_code,assorted_code, rec_amount,premium_rcv_detail_code,remaining_amt, payrec, mode_code,coinsurance_code,class_cd,it_remarks) values('30Dec240042','070000170724','36770',(select max(to_number(i.premium_rcv_detail_code))+1
from ins_premium_det i),'36770','36770','02', '11000003','00','Request by Mr. Saqib Saleem 31-Dec-2024 Active');</v>
      </c>
    </row>
    <row r="91" spans="1:8" ht="105" x14ac:dyDescent="0.25">
      <c r="A91" s="12" t="s">
        <v>11470</v>
      </c>
      <c r="B91" s="25" t="str">
        <f>VLOOKUP(A91,policy!B:C,2,0)</f>
        <v>070000170725</v>
      </c>
      <c r="C91" s="13">
        <v>59850</v>
      </c>
      <c r="D91" s="26">
        <f t="shared" si="5"/>
        <v>59850</v>
      </c>
      <c r="E91" s="24" t="s">
        <v>13296</v>
      </c>
      <c r="F91" s="27" t="str">
        <f t="shared" si="4"/>
        <v>insert into ins_premium_det (premium_rcv_code,assorted_code, rec_amount,premium_rcv_detail_code,remaining_amt, payrec, mode_code,coinsurance_code,class_cd,it_remarks) values</v>
      </c>
      <c r="G91" s="28" t="str">
        <f t="shared" si="6"/>
        <v>('30Dec240042','070000170725','59850',(select max(to_number(i.premium_rcv_detail_code))+1
from ins_premium_det i),'59850','59850','02', '11000003','00','Request by Mr. Saqib Saleem 31-Dec-2024 Active');</v>
      </c>
      <c r="H91" s="29" t="str">
        <f t="shared" si="7"/>
        <v>insert into ins_premium_det (premium_rcv_code,assorted_code, rec_amount,premium_rcv_detail_code,remaining_amt, payrec, mode_code,coinsurance_code,class_cd,it_remarks) values('30Dec240042','070000170725','59850',(select max(to_number(i.premium_rcv_detail_code))+1
from ins_premium_det i),'59850','59850','02', '11000003','00','Request by Mr. Saqib Saleem 31-Dec-2024 Active');</v>
      </c>
    </row>
    <row r="92" spans="1:8" ht="105" x14ac:dyDescent="0.25">
      <c r="A92" s="12" t="s">
        <v>11471</v>
      </c>
      <c r="B92" s="25" t="str">
        <f>VLOOKUP(A92,policy!B:C,2,0)</f>
        <v>070000171833</v>
      </c>
      <c r="C92" s="11">
        <v>36770</v>
      </c>
      <c r="D92" s="26">
        <f t="shared" si="5"/>
        <v>36770</v>
      </c>
      <c r="E92" s="24" t="s">
        <v>13296</v>
      </c>
      <c r="F92" s="27" t="str">
        <f t="shared" si="4"/>
        <v>insert into ins_premium_det (premium_rcv_code,assorted_code, rec_amount,premium_rcv_detail_code,remaining_amt, payrec, mode_code,coinsurance_code,class_cd,it_remarks) values</v>
      </c>
      <c r="G92" s="28" t="str">
        <f t="shared" si="6"/>
        <v>('30Dec240042','070000171833','36770',(select max(to_number(i.premium_rcv_detail_code))+1
from ins_premium_det i),'36770','36770','02', '11000003','00','Request by Mr. Saqib Saleem 31-Dec-2024 Active');</v>
      </c>
      <c r="H92" s="29" t="str">
        <f t="shared" si="7"/>
        <v>insert into ins_premium_det (premium_rcv_code,assorted_code, rec_amount,premium_rcv_detail_code,remaining_amt, payrec, mode_code,coinsurance_code,class_cd,it_remarks) values('30Dec240042','070000171833','36770',(select max(to_number(i.premium_rcv_detail_code))+1
from ins_premium_det i),'36770','36770','02', '11000003','00','Request by Mr. Saqib Saleem 31-Dec-2024 Active');</v>
      </c>
    </row>
    <row r="93" spans="1:8" ht="105" x14ac:dyDescent="0.25">
      <c r="A93" s="12" t="s">
        <v>11472</v>
      </c>
      <c r="B93" s="25" t="str">
        <f>VLOOKUP(A93,policy!B:C,2,0)</f>
        <v>070000170727</v>
      </c>
      <c r="C93" s="13">
        <v>62384</v>
      </c>
      <c r="D93" s="26">
        <f t="shared" si="5"/>
        <v>62384</v>
      </c>
      <c r="E93" s="24" t="s">
        <v>13296</v>
      </c>
      <c r="F93" s="27" t="str">
        <f t="shared" si="4"/>
        <v>insert into ins_premium_det (premium_rcv_code,assorted_code, rec_amount,premium_rcv_detail_code,remaining_amt, payrec, mode_code,coinsurance_code,class_cd,it_remarks) values</v>
      </c>
      <c r="G93" s="28" t="str">
        <f t="shared" si="6"/>
        <v>('30Dec240042','070000170727','62384',(select max(to_number(i.premium_rcv_detail_code))+1
from ins_premium_det i),'62384','62384','02', '11000003','00','Request by Mr. Saqib Saleem 31-Dec-2024 Active');</v>
      </c>
      <c r="H93" s="29" t="str">
        <f t="shared" si="7"/>
        <v>insert into ins_premium_det (premium_rcv_code,assorted_code, rec_amount,premium_rcv_detail_code,remaining_amt, payrec, mode_code,coinsurance_code,class_cd,it_remarks) values('30Dec240042','070000170727','62384',(select max(to_number(i.premium_rcv_detail_code))+1
from ins_premium_det i),'62384','62384','02', '11000003','00','Request by Mr. Saqib Saleem 31-Dec-2024 Active');</v>
      </c>
    </row>
    <row r="94" spans="1:8" ht="105" x14ac:dyDescent="0.25">
      <c r="A94" s="12" t="s">
        <v>11473</v>
      </c>
      <c r="B94" s="25" t="str">
        <f>VLOOKUP(A94,policy!B:C,2,0)</f>
        <v>070000170730</v>
      </c>
      <c r="C94" s="11">
        <v>21360</v>
      </c>
      <c r="D94" s="26">
        <f t="shared" si="5"/>
        <v>21360</v>
      </c>
      <c r="E94" s="24" t="s">
        <v>13296</v>
      </c>
      <c r="F94" s="27" t="str">
        <f t="shared" si="4"/>
        <v>insert into ins_premium_det (premium_rcv_code,assorted_code, rec_amount,premium_rcv_detail_code,remaining_amt, payrec, mode_code,coinsurance_code,class_cd,it_remarks) values</v>
      </c>
      <c r="G94" s="28" t="str">
        <f t="shared" si="6"/>
        <v>('30Dec240042','070000170730','21360',(select max(to_number(i.premium_rcv_detail_code))+1
from ins_premium_det i),'21360','21360','02', '11000003','00','Request by Mr. Saqib Saleem 31-Dec-2024 Active');</v>
      </c>
      <c r="H94" s="29" t="str">
        <f t="shared" si="7"/>
        <v>insert into ins_premium_det (premium_rcv_code,assorted_code, rec_amount,premium_rcv_detail_code,remaining_amt, payrec, mode_code,coinsurance_code,class_cd,it_remarks) values('30Dec240042','070000170730','21360',(select max(to_number(i.premium_rcv_detail_code))+1
from ins_premium_det i),'21360','21360','02', '11000003','00','Request by Mr. Saqib Saleem 31-Dec-2024 Active');</v>
      </c>
    </row>
    <row r="95" spans="1:8" ht="105" x14ac:dyDescent="0.25">
      <c r="A95" s="12" t="s">
        <v>11474</v>
      </c>
      <c r="B95" s="25" t="str">
        <f>VLOOKUP(A95,policy!B:C,2,0)</f>
        <v>070000170731</v>
      </c>
      <c r="C95" s="13">
        <v>24624</v>
      </c>
      <c r="D95" s="26">
        <f t="shared" si="5"/>
        <v>24624</v>
      </c>
      <c r="E95" s="24" t="s">
        <v>13296</v>
      </c>
      <c r="F95" s="27" t="str">
        <f t="shared" si="4"/>
        <v>insert into ins_premium_det (premium_rcv_code,assorted_code, rec_amount,premium_rcv_detail_code,remaining_amt, payrec, mode_code,coinsurance_code,class_cd,it_remarks) values</v>
      </c>
      <c r="G95" s="28" t="str">
        <f t="shared" si="6"/>
        <v>('30Dec240042','070000170731','24624',(select max(to_number(i.premium_rcv_detail_code))+1
from ins_premium_det i),'24624','24624','02', '11000003','00','Request by Mr. Saqib Saleem 31-Dec-2024 Active');</v>
      </c>
      <c r="H95" s="29" t="str">
        <f t="shared" si="7"/>
        <v>insert into ins_premium_det (premium_rcv_code,assorted_code, rec_amount,premium_rcv_detail_code,remaining_amt, payrec, mode_code,coinsurance_code,class_cd,it_remarks) values('30Dec240042','070000170731','24624',(select max(to_number(i.premium_rcv_detail_code))+1
from ins_premium_det i),'24624','24624','02', '11000003','00','Request by Mr. Saqib Saleem 31-Dec-2024 Active');</v>
      </c>
    </row>
    <row r="96" spans="1:8" ht="105" x14ac:dyDescent="0.25">
      <c r="A96" s="12" t="s">
        <v>11475</v>
      </c>
      <c r="B96" s="25" t="str">
        <f>VLOOKUP(A96,policy!B:C,2,0)</f>
        <v>070000170732</v>
      </c>
      <c r="C96" s="11">
        <v>24528</v>
      </c>
      <c r="D96" s="26">
        <f t="shared" si="5"/>
        <v>24528</v>
      </c>
      <c r="E96" s="24" t="s">
        <v>13296</v>
      </c>
      <c r="F96" s="27" t="str">
        <f t="shared" si="4"/>
        <v>insert into ins_premium_det (premium_rcv_code,assorted_code, rec_amount,premium_rcv_detail_code,remaining_amt, payrec, mode_code,coinsurance_code,class_cd,it_remarks) values</v>
      </c>
      <c r="G96" s="28" t="str">
        <f t="shared" si="6"/>
        <v>('30Dec240042','070000170732','24528',(select max(to_number(i.premium_rcv_detail_code))+1
from ins_premium_det i),'24528','24528','02', '11000003','00','Request by Mr. Saqib Saleem 31-Dec-2024 Active');</v>
      </c>
      <c r="H96" s="29" t="str">
        <f t="shared" si="7"/>
        <v>insert into ins_premium_det (premium_rcv_code,assorted_code, rec_amount,premium_rcv_detail_code,remaining_amt, payrec, mode_code,coinsurance_code,class_cd,it_remarks) values('30Dec240042','070000170732','24528',(select max(to_number(i.premium_rcv_detail_code))+1
from ins_premium_det i),'24528','24528','02', '11000003','00','Request by Mr. Saqib Saleem 31-Dec-2024 Active');</v>
      </c>
    </row>
    <row r="97" spans="1:8" ht="105" x14ac:dyDescent="0.25">
      <c r="A97" s="12" t="s">
        <v>11476</v>
      </c>
      <c r="B97" s="25" t="str">
        <f>VLOOKUP(A97,policy!B:C,2,0)</f>
        <v>070000170735</v>
      </c>
      <c r="C97" s="13">
        <v>42400</v>
      </c>
      <c r="D97" s="26">
        <f t="shared" si="5"/>
        <v>42400</v>
      </c>
      <c r="E97" s="24" t="s">
        <v>13296</v>
      </c>
      <c r="F97" s="27" t="str">
        <f t="shared" si="4"/>
        <v>insert into ins_premium_det (premium_rcv_code,assorted_code, rec_amount,premium_rcv_detail_code,remaining_amt, payrec, mode_code,coinsurance_code,class_cd,it_remarks) values</v>
      </c>
      <c r="G97" s="28" t="str">
        <f t="shared" si="6"/>
        <v>('30Dec240042','070000170735','42400',(select max(to_number(i.premium_rcv_detail_code))+1
from ins_premium_det i),'42400','42400','02', '11000003','00','Request by Mr. Saqib Saleem 31-Dec-2024 Active');</v>
      </c>
      <c r="H97" s="29" t="str">
        <f t="shared" si="7"/>
        <v>insert into ins_premium_det (premium_rcv_code,assorted_code, rec_amount,premium_rcv_detail_code,remaining_amt, payrec, mode_code,coinsurance_code,class_cd,it_remarks) values('30Dec240042','070000170735','42400',(select max(to_number(i.premium_rcv_detail_code))+1
from ins_premium_det i),'42400','42400','02', '11000003','00','Request by Mr. Saqib Saleem 31-Dec-2024 Active');</v>
      </c>
    </row>
    <row r="98" spans="1:8" ht="105" x14ac:dyDescent="0.25">
      <c r="A98" s="12" t="s">
        <v>11477</v>
      </c>
      <c r="B98" s="25" t="str">
        <f>VLOOKUP(A98,policy!B:C,2,0)</f>
        <v>070000170736</v>
      </c>
      <c r="C98" s="11">
        <v>41424</v>
      </c>
      <c r="D98" s="26">
        <f t="shared" si="5"/>
        <v>41424</v>
      </c>
      <c r="E98" s="24" t="s">
        <v>13296</v>
      </c>
      <c r="F98" s="27" t="str">
        <f t="shared" si="4"/>
        <v>insert into ins_premium_det (premium_rcv_code,assorted_code, rec_amount,premium_rcv_detail_code,remaining_amt, payrec, mode_code,coinsurance_code,class_cd,it_remarks) values</v>
      </c>
      <c r="G98" s="28" t="str">
        <f t="shared" si="6"/>
        <v>('30Dec240042','070000170736','41424',(select max(to_number(i.premium_rcv_detail_code))+1
from ins_premium_det i),'41424','41424','02', '11000003','00','Request by Mr. Saqib Saleem 31-Dec-2024 Active');</v>
      </c>
      <c r="H98" s="29" t="str">
        <f t="shared" si="7"/>
        <v>insert into ins_premium_det (premium_rcv_code,assorted_code, rec_amount,premium_rcv_detail_code,remaining_amt, payrec, mode_code,coinsurance_code,class_cd,it_remarks) values('30Dec240042','070000170736','41424',(select max(to_number(i.premium_rcv_detail_code))+1
from ins_premium_det i),'41424','41424','02', '11000003','00','Request by Mr. Saqib Saleem 31-Dec-2024 Active');</v>
      </c>
    </row>
    <row r="99" spans="1:8" ht="105" x14ac:dyDescent="0.25">
      <c r="A99" s="12" t="s">
        <v>11478</v>
      </c>
      <c r="B99" s="25" t="str">
        <f>VLOOKUP(A99,policy!B:C,2,0)</f>
        <v>070000170737</v>
      </c>
      <c r="C99" s="13">
        <v>44880</v>
      </c>
      <c r="D99" s="26">
        <f t="shared" si="5"/>
        <v>44880</v>
      </c>
      <c r="E99" s="24" t="s">
        <v>13296</v>
      </c>
      <c r="F99" s="27" t="str">
        <f t="shared" si="4"/>
        <v>insert into ins_premium_det (premium_rcv_code,assorted_code, rec_amount,premium_rcv_detail_code,remaining_amt, payrec, mode_code,coinsurance_code,class_cd,it_remarks) values</v>
      </c>
      <c r="G99" s="28" t="str">
        <f t="shared" si="6"/>
        <v>('30Dec240042','070000170737','44880',(select max(to_number(i.premium_rcv_detail_code))+1
from ins_premium_det i),'44880','44880','02', '11000003','00','Request by Mr. Saqib Saleem 31-Dec-2024 Active');</v>
      </c>
      <c r="H99" s="29" t="str">
        <f t="shared" si="7"/>
        <v>insert into ins_premium_det (premium_rcv_code,assorted_code, rec_amount,premium_rcv_detail_code,remaining_amt, payrec, mode_code,coinsurance_code,class_cd,it_remarks) values('30Dec240042','070000170737','44880',(select max(to_number(i.premium_rcv_detail_code))+1
from ins_premium_det i),'44880','44880','02', '11000003','00','Request by Mr. Saqib Saleem 31-Dec-2024 Active');</v>
      </c>
    </row>
    <row r="100" spans="1:8" ht="105" x14ac:dyDescent="0.25">
      <c r="A100" s="12" t="s">
        <v>11479</v>
      </c>
      <c r="B100" s="25" t="str">
        <f>VLOOKUP(A100,policy!B:C,2,0)</f>
        <v>070000170740</v>
      </c>
      <c r="C100" s="11">
        <v>28263</v>
      </c>
      <c r="D100" s="26">
        <f t="shared" si="5"/>
        <v>28263</v>
      </c>
      <c r="E100" s="24" t="s">
        <v>13296</v>
      </c>
      <c r="F100" s="27" t="str">
        <f t="shared" si="4"/>
        <v>insert into ins_premium_det (premium_rcv_code,assorted_code, rec_amount,premium_rcv_detail_code,remaining_amt, payrec, mode_code,coinsurance_code,class_cd,it_remarks) values</v>
      </c>
      <c r="G100" s="28" t="str">
        <f t="shared" si="6"/>
        <v>('30Dec240042','070000170740','28263',(select max(to_number(i.premium_rcv_detail_code))+1
from ins_premium_det i),'28263','28263','02', '11000003','00','Request by Mr. Saqib Saleem 31-Dec-2024 Active');</v>
      </c>
      <c r="H100" s="29" t="str">
        <f t="shared" si="7"/>
        <v>insert into ins_premium_det (premium_rcv_code,assorted_code, rec_amount,premium_rcv_detail_code,remaining_amt, payrec, mode_code,coinsurance_code,class_cd,it_remarks) values('30Dec240042','070000170740','28263',(select max(to_number(i.premium_rcv_detail_code))+1
from ins_premium_det i),'28263','28263','02', '11000003','00','Request by Mr. Saqib Saleem 31-Dec-2024 Active');</v>
      </c>
    </row>
    <row r="101" spans="1:8" ht="105" x14ac:dyDescent="0.25">
      <c r="A101" s="12" t="s">
        <v>11480</v>
      </c>
      <c r="B101" s="25" t="str">
        <f>VLOOKUP(A101,policy!B:C,2,0)</f>
        <v>070000170741</v>
      </c>
      <c r="C101" s="13">
        <v>26775</v>
      </c>
      <c r="D101" s="26">
        <f t="shared" si="5"/>
        <v>26775</v>
      </c>
      <c r="E101" s="24" t="s">
        <v>13296</v>
      </c>
      <c r="F101" s="27" t="str">
        <f t="shared" si="4"/>
        <v>insert into ins_premium_det (premium_rcv_code,assorted_code, rec_amount,premium_rcv_detail_code,remaining_amt, payrec, mode_code,coinsurance_code,class_cd,it_remarks) values</v>
      </c>
      <c r="G101" s="28" t="str">
        <f t="shared" si="6"/>
        <v>('30Dec240042','070000170741','26775',(select max(to_number(i.premium_rcv_detail_code))+1
from ins_premium_det i),'26775','26775','02', '11000003','00','Request by Mr. Saqib Saleem 31-Dec-2024 Active');</v>
      </c>
      <c r="H101" s="29" t="str">
        <f t="shared" si="7"/>
        <v>insert into ins_premium_det (premium_rcv_code,assorted_code, rec_amount,premium_rcv_detail_code,remaining_amt, payrec, mode_code,coinsurance_code,class_cd,it_remarks) values('30Dec240042','070000170741','26775',(select max(to_number(i.premium_rcv_detail_code))+1
from ins_premium_det i),'26775','26775','02', '11000003','00','Request by Mr. Saqib Saleem 31-Dec-2024 Active');</v>
      </c>
    </row>
    <row r="102" spans="1:8" ht="105" x14ac:dyDescent="0.25">
      <c r="A102" s="12" t="s">
        <v>11481</v>
      </c>
      <c r="B102" s="25" t="str">
        <f>VLOOKUP(A102,policy!B:C,2,0)</f>
        <v>070000170742</v>
      </c>
      <c r="C102" s="11">
        <v>124950</v>
      </c>
      <c r="D102" s="26">
        <f t="shared" si="5"/>
        <v>124950</v>
      </c>
      <c r="E102" s="24" t="s">
        <v>13296</v>
      </c>
      <c r="F102" s="27" t="str">
        <f t="shared" si="4"/>
        <v>insert into ins_premium_det (premium_rcv_code,assorted_code, rec_amount,premium_rcv_detail_code,remaining_amt, payrec, mode_code,coinsurance_code,class_cd,it_remarks) values</v>
      </c>
      <c r="G102" s="28" t="str">
        <f t="shared" si="6"/>
        <v>('30Dec240042','070000170742','124950',(select max(to_number(i.premium_rcv_detail_code))+1
from ins_premium_det i),'124950','124950','02', '11000003','00','Request by Mr. Saqib Saleem 31-Dec-2024 Active');</v>
      </c>
      <c r="H102" s="29" t="str">
        <f t="shared" si="7"/>
        <v>insert into ins_premium_det (premium_rcv_code,assorted_code, rec_amount,premium_rcv_detail_code,remaining_amt, payrec, mode_code,coinsurance_code,class_cd,it_remarks) values('30Dec240042','070000170742','124950',(select max(to_number(i.premium_rcv_detail_code))+1
from ins_premium_det i),'124950','124950','02', '11000003','00','Request by Mr. Saqib Saleem 31-Dec-2024 Active');</v>
      </c>
    </row>
    <row r="103" spans="1:8" ht="105" x14ac:dyDescent="0.25">
      <c r="A103" s="12" t="s">
        <v>11482</v>
      </c>
      <c r="B103" s="25" t="str">
        <f>VLOOKUP(A103,policy!B:C,2,0)</f>
        <v>070000170564</v>
      </c>
      <c r="C103" s="13">
        <v>57732</v>
      </c>
      <c r="D103" s="26">
        <f t="shared" si="5"/>
        <v>57732</v>
      </c>
      <c r="E103" s="24" t="s">
        <v>13296</v>
      </c>
      <c r="F103" s="27" t="str">
        <f t="shared" si="4"/>
        <v>insert into ins_premium_det (premium_rcv_code,assorted_code, rec_amount,premium_rcv_detail_code,remaining_amt, payrec, mode_code,coinsurance_code,class_cd,it_remarks) values</v>
      </c>
      <c r="G103" s="28" t="str">
        <f t="shared" si="6"/>
        <v>('30Dec240042','070000170564','57732',(select max(to_number(i.premium_rcv_detail_code))+1
from ins_premium_det i),'57732','57732','02', '11000003','00','Request by Mr. Saqib Saleem 31-Dec-2024 Active');</v>
      </c>
      <c r="H103" s="29" t="str">
        <f t="shared" si="7"/>
        <v>insert into ins_premium_det (premium_rcv_code,assorted_code, rec_amount,premium_rcv_detail_code,remaining_amt, payrec, mode_code,coinsurance_code,class_cd,it_remarks) values('30Dec240042','070000170564','57732',(select max(to_number(i.premium_rcv_detail_code))+1
from ins_premium_det i),'57732','57732','02', '11000003','00','Request by Mr. Saqib Saleem 31-Dec-2024 Active');</v>
      </c>
    </row>
    <row r="104" spans="1:8" ht="105" x14ac:dyDescent="0.25">
      <c r="A104" s="12" t="s">
        <v>11483</v>
      </c>
      <c r="B104" s="25" t="str">
        <f>VLOOKUP(A104,policy!B:C,2,0)</f>
        <v>070000170746</v>
      </c>
      <c r="C104" s="11">
        <v>31238</v>
      </c>
      <c r="D104" s="26">
        <f t="shared" si="5"/>
        <v>31238</v>
      </c>
      <c r="E104" s="24" t="s">
        <v>13296</v>
      </c>
      <c r="F104" s="27" t="str">
        <f t="shared" si="4"/>
        <v>insert into ins_premium_det (premium_rcv_code,assorted_code, rec_amount,premium_rcv_detail_code,remaining_amt, payrec, mode_code,coinsurance_code,class_cd,it_remarks) values</v>
      </c>
      <c r="G104" s="28" t="str">
        <f t="shared" si="6"/>
        <v>('30Dec240042','070000170746','31238',(select max(to_number(i.premium_rcv_detail_code))+1
from ins_premium_det i),'31238','31238','02', '11000003','00','Request by Mr. Saqib Saleem 31-Dec-2024 Active');</v>
      </c>
      <c r="H104" s="29" t="str">
        <f t="shared" si="7"/>
        <v>insert into ins_premium_det (premium_rcv_code,assorted_code, rec_amount,premium_rcv_detail_code,remaining_amt, payrec, mode_code,coinsurance_code,class_cd,it_remarks) values('30Dec240042','070000170746','31238',(select max(to_number(i.premium_rcv_detail_code))+1
from ins_premium_det i),'31238','31238','02', '11000003','00','Request by Mr. Saqib Saleem 31-Dec-2024 Active');</v>
      </c>
    </row>
    <row r="105" spans="1:8" ht="105" x14ac:dyDescent="0.25">
      <c r="A105" s="12" t="s">
        <v>11484</v>
      </c>
      <c r="B105" s="25" t="str">
        <f>VLOOKUP(A105,policy!B:C,2,0)</f>
        <v>070000170751</v>
      </c>
      <c r="C105" s="13">
        <v>17808</v>
      </c>
      <c r="D105" s="26">
        <f t="shared" si="5"/>
        <v>17808</v>
      </c>
      <c r="E105" s="24" t="s">
        <v>13296</v>
      </c>
      <c r="F105" s="27" t="str">
        <f t="shared" si="4"/>
        <v>insert into ins_premium_det (premium_rcv_code,assorted_code, rec_amount,premium_rcv_detail_code,remaining_amt, payrec, mode_code,coinsurance_code,class_cd,it_remarks) values</v>
      </c>
      <c r="G105" s="28" t="str">
        <f t="shared" si="6"/>
        <v>('30Dec240042','070000170751','17808',(select max(to_number(i.premium_rcv_detail_code))+1
from ins_premium_det i),'17808','17808','02', '11000003','00','Request by Mr. Saqib Saleem 31-Dec-2024 Active');</v>
      </c>
      <c r="H105" s="29" t="str">
        <f t="shared" si="7"/>
        <v>insert into ins_premium_det (premium_rcv_code,assorted_code, rec_amount,premium_rcv_detail_code,remaining_amt, payrec, mode_code,coinsurance_code,class_cd,it_remarks) values('30Dec240042','070000170751','17808',(select max(to_number(i.premium_rcv_detail_code))+1
from ins_premium_det i),'17808','17808','02', '11000003','00','Request by Mr. Saqib Saleem 31-Dec-2024 Active');</v>
      </c>
    </row>
    <row r="106" spans="1:8" ht="105" x14ac:dyDescent="0.25">
      <c r="A106" s="12" t="s">
        <v>11485</v>
      </c>
      <c r="B106" s="25" t="str">
        <f>VLOOKUP(A106,policy!B:C,2,0)</f>
        <v>070000170756</v>
      </c>
      <c r="C106" s="11">
        <v>44895</v>
      </c>
      <c r="D106" s="26">
        <f t="shared" si="5"/>
        <v>44895</v>
      </c>
      <c r="E106" s="24" t="s">
        <v>13296</v>
      </c>
      <c r="F106" s="27" t="str">
        <f t="shared" si="4"/>
        <v>insert into ins_premium_det (premium_rcv_code,assorted_code, rec_amount,premium_rcv_detail_code,remaining_amt, payrec, mode_code,coinsurance_code,class_cd,it_remarks) values</v>
      </c>
      <c r="G106" s="28" t="str">
        <f t="shared" si="6"/>
        <v>('30Dec240042','070000170756','44895',(select max(to_number(i.premium_rcv_detail_code))+1
from ins_premium_det i),'44895','44895','02', '11000003','00','Request by Mr. Saqib Saleem 31-Dec-2024 Active');</v>
      </c>
      <c r="H106" s="29" t="str">
        <f t="shared" si="7"/>
        <v>insert into ins_premium_det (premium_rcv_code,assorted_code, rec_amount,premium_rcv_detail_code,remaining_amt, payrec, mode_code,coinsurance_code,class_cd,it_remarks) values('30Dec240042','070000170756','44895',(select max(to_number(i.premium_rcv_detail_code))+1
from ins_premium_det i),'44895','44895','02', '11000003','00','Request by Mr. Saqib Saleem 31-Dec-2024 Active');</v>
      </c>
    </row>
    <row r="107" spans="1:8" ht="105" x14ac:dyDescent="0.25">
      <c r="A107" s="12" t="s">
        <v>11486</v>
      </c>
      <c r="B107" s="25" t="str">
        <f>VLOOKUP(A107,policy!B:C,2,0)</f>
        <v>070000170758</v>
      </c>
      <c r="C107" s="13">
        <v>54448</v>
      </c>
      <c r="D107" s="26">
        <f t="shared" si="5"/>
        <v>54448</v>
      </c>
      <c r="E107" s="24" t="s">
        <v>13296</v>
      </c>
      <c r="F107" s="27" t="str">
        <f t="shared" si="4"/>
        <v>insert into ins_premium_det (premium_rcv_code,assorted_code, rec_amount,premium_rcv_detail_code,remaining_amt, payrec, mode_code,coinsurance_code,class_cd,it_remarks) values</v>
      </c>
      <c r="G107" s="28" t="str">
        <f t="shared" si="6"/>
        <v>('30Dec240042','070000170758','54448',(select max(to_number(i.premium_rcv_detail_code))+1
from ins_premium_det i),'54448','54448','02', '11000003','00','Request by Mr. Saqib Saleem 31-Dec-2024 Active');</v>
      </c>
      <c r="H107" s="29" t="str">
        <f t="shared" si="7"/>
        <v>insert into ins_premium_det (premium_rcv_code,assorted_code, rec_amount,premium_rcv_detail_code,remaining_amt, payrec, mode_code,coinsurance_code,class_cd,it_remarks) values('30Dec240042','070000170758','54448',(select max(to_number(i.premium_rcv_detail_code))+1
from ins_premium_det i),'54448','54448','02', '11000003','00','Request by Mr. Saqib Saleem 31-Dec-2024 Active');</v>
      </c>
    </row>
    <row r="108" spans="1:8" ht="105" x14ac:dyDescent="0.25">
      <c r="A108" s="12" t="s">
        <v>11487</v>
      </c>
      <c r="B108" s="25" t="str">
        <f>VLOOKUP(A108,policy!B:C,2,0)</f>
        <v>070000170759</v>
      </c>
      <c r="C108" s="11">
        <v>61076</v>
      </c>
      <c r="D108" s="26">
        <f t="shared" si="5"/>
        <v>61076</v>
      </c>
      <c r="E108" s="24" t="s">
        <v>13296</v>
      </c>
      <c r="F108" s="27" t="str">
        <f t="shared" si="4"/>
        <v>insert into ins_premium_det (premium_rcv_code,assorted_code, rec_amount,premium_rcv_detail_code,remaining_amt, payrec, mode_code,coinsurance_code,class_cd,it_remarks) values</v>
      </c>
      <c r="G108" s="28" t="str">
        <f t="shared" si="6"/>
        <v>('30Dec240042','070000170759','61076',(select max(to_number(i.premium_rcv_detail_code))+1
from ins_premium_det i),'61076','61076','02', '11000003','00','Request by Mr. Saqib Saleem 31-Dec-2024 Active');</v>
      </c>
      <c r="H108" s="29" t="str">
        <f t="shared" si="7"/>
        <v>insert into ins_premium_det (premium_rcv_code,assorted_code, rec_amount,premium_rcv_detail_code,remaining_amt, payrec, mode_code,coinsurance_code,class_cd,it_remarks) values('30Dec240042','070000170759','61076',(select max(to_number(i.premium_rcv_detail_code))+1
from ins_premium_det i),'61076','61076','02', '11000003','00','Request by Mr. Saqib Saleem 31-Dec-2024 Active');</v>
      </c>
    </row>
    <row r="109" spans="1:8" ht="105" x14ac:dyDescent="0.25">
      <c r="A109" s="12" t="s">
        <v>11488</v>
      </c>
      <c r="B109" s="25" t="str">
        <f>VLOOKUP(A109,policy!B:C,2,0)</f>
        <v>070000170760</v>
      </c>
      <c r="C109" s="13">
        <v>29963</v>
      </c>
      <c r="D109" s="26">
        <f t="shared" si="5"/>
        <v>29963</v>
      </c>
      <c r="E109" s="24" t="s">
        <v>13296</v>
      </c>
      <c r="F109" s="27" t="str">
        <f t="shared" si="4"/>
        <v>insert into ins_premium_det (premium_rcv_code,assorted_code, rec_amount,premium_rcv_detail_code,remaining_amt, payrec, mode_code,coinsurance_code,class_cd,it_remarks) values</v>
      </c>
      <c r="G109" s="28" t="str">
        <f t="shared" si="6"/>
        <v>('30Dec240042','070000170760','29963',(select max(to_number(i.premium_rcv_detail_code))+1
from ins_premium_det i),'29963','29963','02', '11000003','00','Request by Mr. Saqib Saleem 31-Dec-2024 Active');</v>
      </c>
      <c r="H109" s="29" t="str">
        <f t="shared" si="7"/>
        <v>insert into ins_premium_det (premium_rcv_code,assorted_code, rec_amount,premium_rcv_detail_code,remaining_amt, payrec, mode_code,coinsurance_code,class_cd,it_remarks) values('30Dec240042','070000170760','29963',(select max(to_number(i.premium_rcv_detail_code))+1
from ins_premium_det i),'29963','29963','02', '11000003','00','Request by Mr. Saqib Saleem 31-Dec-2024 Active');</v>
      </c>
    </row>
    <row r="110" spans="1:8" ht="105" x14ac:dyDescent="0.25">
      <c r="A110" s="12" t="s">
        <v>11489</v>
      </c>
      <c r="B110" s="25" t="str">
        <f>VLOOKUP(A110,policy!B:C,2,0)</f>
        <v>070000170769</v>
      </c>
      <c r="C110" s="11">
        <v>25600</v>
      </c>
      <c r="D110" s="26">
        <f t="shared" si="5"/>
        <v>25600</v>
      </c>
      <c r="E110" s="24" t="s">
        <v>13296</v>
      </c>
      <c r="F110" s="27" t="str">
        <f t="shared" si="4"/>
        <v>insert into ins_premium_det (premium_rcv_code,assorted_code, rec_amount,premium_rcv_detail_code,remaining_amt, payrec, mode_code,coinsurance_code,class_cd,it_remarks) values</v>
      </c>
      <c r="G110" s="28" t="str">
        <f t="shared" si="6"/>
        <v>('30Dec240042','070000170769','25600',(select max(to_number(i.premium_rcv_detail_code))+1
from ins_premium_det i),'25600','25600','02', '11000003','00','Request by Mr. Saqib Saleem 31-Dec-2024 Active');</v>
      </c>
      <c r="H110" s="29" t="str">
        <f t="shared" si="7"/>
        <v>insert into ins_premium_det (premium_rcv_code,assorted_code, rec_amount,premium_rcv_detail_code,remaining_amt, payrec, mode_code,coinsurance_code,class_cd,it_remarks) values('30Dec240042','070000170769','25600',(select max(to_number(i.premium_rcv_detail_code))+1
from ins_premium_det i),'25600','25600','02', '11000003','00','Request by Mr. Saqib Saleem 31-Dec-2024 Active');</v>
      </c>
    </row>
    <row r="111" spans="1:8" ht="105" x14ac:dyDescent="0.25">
      <c r="A111" s="12" t="s">
        <v>11490</v>
      </c>
      <c r="B111" s="25" t="str">
        <f>VLOOKUP(A111,policy!B:C,2,0)</f>
        <v>070000170770</v>
      </c>
      <c r="C111" s="13">
        <v>23970</v>
      </c>
      <c r="D111" s="26">
        <f t="shared" si="5"/>
        <v>23970</v>
      </c>
      <c r="E111" s="24" t="s">
        <v>13296</v>
      </c>
      <c r="F111" s="27" t="str">
        <f t="shared" si="4"/>
        <v>insert into ins_premium_det (premium_rcv_code,assorted_code, rec_amount,premium_rcv_detail_code,remaining_amt, payrec, mode_code,coinsurance_code,class_cd,it_remarks) values</v>
      </c>
      <c r="G111" s="28" t="str">
        <f t="shared" si="6"/>
        <v>('30Dec240042','070000170770','23970',(select max(to_number(i.premium_rcv_detail_code))+1
from ins_premium_det i),'23970','23970','02', '11000003','00','Request by Mr. Saqib Saleem 31-Dec-2024 Active');</v>
      </c>
      <c r="H111" s="29" t="str">
        <f t="shared" si="7"/>
        <v>insert into ins_premium_det (premium_rcv_code,assorted_code, rec_amount,premium_rcv_detail_code,remaining_amt, payrec, mode_code,coinsurance_code,class_cd,it_remarks) values('30Dec240042','070000170770','23970',(select max(to_number(i.premium_rcv_detail_code))+1
from ins_premium_det i),'23970','23970','02', '11000003','00','Request by Mr. Saqib Saleem 31-Dec-2024 Active');</v>
      </c>
    </row>
    <row r="112" spans="1:8" ht="105" x14ac:dyDescent="0.25">
      <c r="A112" s="12" t="s">
        <v>11491</v>
      </c>
      <c r="B112" s="25" t="str">
        <f>VLOOKUP(A112,policy!B:C,2,0)</f>
        <v>070000170772</v>
      </c>
      <c r="C112" s="11">
        <v>24336</v>
      </c>
      <c r="D112" s="26">
        <f t="shared" si="5"/>
        <v>24336</v>
      </c>
      <c r="E112" s="24" t="s">
        <v>13296</v>
      </c>
      <c r="F112" s="27" t="str">
        <f t="shared" si="4"/>
        <v>insert into ins_premium_det (premium_rcv_code,assorted_code, rec_amount,premium_rcv_detail_code,remaining_amt, payrec, mode_code,coinsurance_code,class_cd,it_remarks) values</v>
      </c>
      <c r="G112" s="28" t="str">
        <f t="shared" si="6"/>
        <v>('30Dec240042','070000170772','24336',(select max(to_number(i.premium_rcv_detail_code))+1
from ins_premium_det i),'24336','24336','02', '11000003','00','Request by Mr. Saqib Saleem 31-Dec-2024 Active');</v>
      </c>
      <c r="H112" s="29" t="str">
        <f t="shared" si="7"/>
        <v>insert into ins_premium_det (premium_rcv_code,assorted_code, rec_amount,premium_rcv_detail_code,remaining_amt, payrec, mode_code,coinsurance_code,class_cd,it_remarks) values('30Dec240042','070000170772','24336',(select max(to_number(i.premium_rcv_detail_code))+1
from ins_premium_det i),'24336','24336','02', '11000003','00','Request by Mr. Saqib Saleem 31-Dec-2024 Active');</v>
      </c>
    </row>
    <row r="113" spans="1:8" ht="105" x14ac:dyDescent="0.25">
      <c r="A113" s="12" t="s">
        <v>11492</v>
      </c>
      <c r="B113" s="25" t="str">
        <f>VLOOKUP(A113,policy!B:C,2,0)</f>
        <v>070000170774</v>
      </c>
      <c r="C113" s="13">
        <v>36330</v>
      </c>
      <c r="D113" s="26">
        <f t="shared" si="5"/>
        <v>36330</v>
      </c>
      <c r="E113" s="24" t="s">
        <v>13296</v>
      </c>
      <c r="F113" s="27" t="str">
        <f t="shared" si="4"/>
        <v>insert into ins_premium_det (premium_rcv_code,assorted_code, rec_amount,premium_rcv_detail_code,remaining_amt, payrec, mode_code,coinsurance_code,class_cd,it_remarks) values</v>
      </c>
      <c r="G113" s="28" t="str">
        <f t="shared" si="6"/>
        <v>('30Dec240042','070000170774','36330',(select max(to_number(i.premium_rcv_detail_code))+1
from ins_premium_det i),'36330','36330','02', '11000003','00','Request by Mr. Saqib Saleem 31-Dec-2024 Active');</v>
      </c>
      <c r="H113" s="29" t="str">
        <f t="shared" si="7"/>
        <v>insert into ins_premium_det (premium_rcv_code,assorted_code, rec_amount,premium_rcv_detail_code,remaining_amt, payrec, mode_code,coinsurance_code,class_cd,it_remarks) values('30Dec240042','070000170774','36330',(select max(to_number(i.premium_rcv_detail_code))+1
from ins_premium_det i),'36330','36330','02', '11000003','00','Request by Mr. Saqib Saleem 31-Dec-2024 Active');</v>
      </c>
    </row>
    <row r="114" spans="1:8" ht="105" x14ac:dyDescent="0.25">
      <c r="A114" s="12" t="s">
        <v>11493</v>
      </c>
      <c r="B114" s="25" t="str">
        <f>VLOOKUP(A114,policy!B:C,2,0)</f>
        <v>070000170775</v>
      </c>
      <c r="C114" s="11">
        <v>62541</v>
      </c>
      <c r="D114" s="26">
        <f t="shared" si="5"/>
        <v>62541</v>
      </c>
      <c r="E114" s="24" t="s">
        <v>13296</v>
      </c>
      <c r="F114" s="27" t="str">
        <f t="shared" si="4"/>
        <v>insert into ins_premium_det (premium_rcv_code,assorted_code, rec_amount,premium_rcv_detail_code,remaining_amt, payrec, mode_code,coinsurance_code,class_cd,it_remarks) values</v>
      </c>
      <c r="G114" s="28" t="str">
        <f t="shared" si="6"/>
        <v>('30Dec240042','070000170775','62541',(select max(to_number(i.premium_rcv_detail_code))+1
from ins_premium_det i),'62541','62541','02', '11000003','00','Request by Mr. Saqib Saleem 31-Dec-2024 Active');</v>
      </c>
      <c r="H114" s="29" t="str">
        <f t="shared" si="7"/>
        <v>insert into ins_premium_det (premium_rcv_code,assorted_code, rec_amount,premium_rcv_detail_code,remaining_amt, payrec, mode_code,coinsurance_code,class_cd,it_remarks) values('30Dec240042','070000170775','62541',(select max(to_number(i.premium_rcv_detail_code))+1
from ins_premium_det i),'62541','62541','02', '11000003','00','Request by Mr. Saqib Saleem 31-Dec-2024 Active');</v>
      </c>
    </row>
    <row r="115" spans="1:8" ht="105" x14ac:dyDescent="0.25">
      <c r="A115" s="12" t="s">
        <v>11494</v>
      </c>
      <c r="B115" s="25" t="str">
        <f>VLOOKUP(A115,policy!B:C,2,0)</f>
        <v>070000170776</v>
      </c>
      <c r="C115" s="13">
        <v>73280</v>
      </c>
      <c r="D115" s="26">
        <f t="shared" si="5"/>
        <v>73280</v>
      </c>
      <c r="E115" s="24" t="s">
        <v>13296</v>
      </c>
      <c r="F115" s="27" t="str">
        <f t="shared" si="4"/>
        <v>insert into ins_premium_det (premium_rcv_code,assorted_code, rec_amount,premium_rcv_detail_code,remaining_amt, payrec, mode_code,coinsurance_code,class_cd,it_remarks) values</v>
      </c>
      <c r="G115" s="28" t="str">
        <f t="shared" si="6"/>
        <v>('30Dec240042','070000170776','73280',(select max(to_number(i.premium_rcv_detail_code))+1
from ins_premium_det i),'73280','73280','02', '11000003','00','Request by Mr. Saqib Saleem 31-Dec-2024 Active');</v>
      </c>
      <c r="H115" s="29" t="str">
        <f t="shared" si="7"/>
        <v>insert into ins_premium_det (premium_rcv_code,assorted_code, rec_amount,premium_rcv_detail_code,remaining_amt, payrec, mode_code,coinsurance_code,class_cd,it_remarks) values('30Dec240042','070000170776','73280',(select max(to_number(i.premium_rcv_detail_code))+1
from ins_premium_det i),'73280','73280','02', '11000003','00','Request by Mr. Saqib Saleem 31-Dec-2024 Active');</v>
      </c>
    </row>
    <row r="116" spans="1:8" ht="105" x14ac:dyDescent="0.25">
      <c r="A116" s="12" t="s">
        <v>11495</v>
      </c>
      <c r="B116" s="25" t="str">
        <f>VLOOKUP(A116,policy!B:C,2,0)</f>
        <v>070000170777</v>
      </c>
      <c r="C116" s="11">
        <v>111659</v>
      </c>
      <c r="D116" s="26">
        <f t="shared" si="5"/>
        <v>111659</v>
      </c>
      <c r="E116" s="24" t="s">
        <v>13296</v>
      </c>
      <c r="F116" s="27" t="str">
        <f t="shared" si="4"/>
        <v>insert into ins_premium_det (premium_rcv_code,assorted_code, rec_amount,premium_rcv_detail_code,remaining_amt, payrec, mode_code,coinsurance_code,class_cd,it_remarks) values</v>
      </c>
      <c r="G116" s="28" t="str">
        <f t="shared" si="6"/>
        <v>('30Dec240042','070000170777','111659',(select max(to_number(i.premium_rcv_detail_code))+1
from ins_premium_det i),'111659','111659','02', '11000003','00','Request by Mr. Saqib Saleem 31-Dec-2024 Active');</v>
      </c>
      <c r="H116" s="29" t="str">
        <f t="shared" si="7"/>
        <v>insert into ins_premium_det (premium_rcv_code,assorted_code, rec_amount,premium_rcv_detail_code,remaining_amt, payrec, mode_code,coinsurance_code,class_cd,it_remarks) values('30Dec240042','070000170777','111659',(select max(to_number(i.premium_rcv_detail_code))+1
from ins_premium_det i),'111659','111659','02', '11000003','00','Request by Mr. Saqib Saleem 31-Dec-2024 Active');</v>
      </c>
    </row>
    <row r="117" spans="1:8" ht="105" x14ac:dyDescent="0.25">
      <c r="A117" s="12" t="s">
        <v>11496</v>
      </c>
      <c r="B117" s="25" t="str">
        <f>VLOOKUP(A117,policy!B:C,2,0)</f>
        <v>070000170781</v>
      </c>
      <c r="C117" s="13">
        <v>24336</v>
      </c>
      <c r="D117" s="26">
        <f t="shared" si="5"/>
        <v>24336</v>
      </c>
      <c r="E117" s="24" t="s">
        <v>13296</v>
      </c>
      <c r="F117" s="27" t="str">
        <f t="shared" si="4"/>
        <v>insert into ins_premium_det (premium_rcv_code,assorted_code, rec_amount,premium_rcv_detail_code,remaining_amt, payrec, mode_code,coinsurance_code,class_cd,it_remarks) values</v>
      </c>
      <c r="G117" s="28" t="str">
        <f t="shared" si="6"/>
        <v>('30Dec240042','070000170781','24336',(select max(to_number(i.premium_rcv_detail_code))+1
from ins_premium_det i),'24336','24336','02', '11000003','00','Request by Mr. Saqib Saleem 31-Dec-2024 Active');</v>
      </c>
      <c r="H117" s="29" t="str">
        <f t="shared" si="7"/>
        <v>insert into ins_premium_det (premium_rcv_code,assorted_code, rec_amount,premium_rcv_detail_code,remaining_amt, payrec, mode_code,coinsurance_code,class_cd,it_remarks) values('30Dec240042','070000170781','24336',(select max(to_number(i.premium_rcv_detail_code))+1
from ins_premium_det i),'24336','24336','02', '11000003','00','Request by Mr. Saqib Saleem 31-Dec-2024 Active');</v>
      </c>
    </row>
    <row r="118" spans="1:8" ht="105" x14ac:dyDescent="0.25">
      <c r="A118" s="12" t="s">
        <v>11497</v>
      </c>
      <c r="B118" s="25" t="str">
        <f>VLOOKUP(A118,policy!B:C,2,0)</f>
        <v>070000170782</v>
      </c>
      <c r="C118" s="11">
        <v>25950</v>
      </c>
      <c r="D118" s="26">
        <f t="shared" si="5"/>
        <v>25950</v>
      </c>
      <c r="E118" s="24" t="s">
        <v>13296</v>
      </c>
      <c r="F118" s="27" t="str">
        <f t="shared" si="4"/>
        <v>insert into ins_premium_det (premium_rcv_code,assorted_code, rec_amount,premium_rcv_detail_code,remaining_amt, payrec, mode_code,coinsurance_code,class_cd,it_remarks) values</v>
      </c>
      <c r="G118" s="28" t="str">
        <f t="shared" si="6"/>
        <v>('30Dec240042','070000170782','25950',(select max(to_number(i.premium_rcv_detail_code))+1
from ins_premium_det i),'25950','25950','02', '11000003','00','Request by Mr. Saqib Saleem 31-Dec-2024 Active');</v>
      </c>
      <c r="H118" s="29" t="str">
        <f t="shared" si="7"/>
        <v>insert into ins_premium_det (premium_rcv_code,assorted_code, rec_amount,premium_rcv_detail_code,remaining_amt, payrec, mode_code,coinsurance_code,class_cd,it_remarks) values('30Dec240042','070000170782','25950',(select max(to_number(i.premium_rcv_detail_code))+1
from ins_premium_det i),'25950','25950','02', '11000003','00','Request by Mr. Saqib Saleem 31-Dec-2024 Active');</v>
      </c>
    </row>
    <row r="119" spans="1:8" ht="105" x14ac:dyDescent="0.25">
      <c r="A119" s="12" t="s">
        <v>11498</v>
      </c>
      <c r="B119" s="25" t="str">
        <f>VLOOKUP(A119,policy!B:C,2,0)</f>
        <v>070000170784</v>
      </c>
      <c r="C119" s="13">
        <v>24495</v>
      </c>
      <c r="D119" s="26">
        <f t="shared" si="5"/>
        <v>24495</v>
      </c>
      <c r="E119" s="24" t="s">
        <v>13296</v>
      </c>
      <c r="F119" s="27" t="str">
        <f t="shared" si="4"/>
        <v>insert into ins_premium_det (premium_rcv_code,assorted_code, rec_amount,premium_rcv_detail_code,remaining_amt, payrec, mode_code,coinsurance_code,class_cd,it_remarks) values</v>
      </c>
      <c r="G119" s="28" t="str">
        <f t="shared" si="6"/>
        <v>('30Dec240042','070000170784','24495',(select max(to_number(i.premium_rcv_detail_code))+1
from ins_premium_det i),'24495','24495','02', '11000003','00','Request by Mr. Saqib Saleem 31-Dec-2024 Active');</v>
      </c>
      <c r="H119" s="29" t="str">
        <f t="shared" si="7"/>
        <v>insert into ins_premium_det (premium_rcv_code,assorted_code, rec_amount,premium_rcv_detail_code,remaining_amt, payrec, mode_code,coinsurance_code,class_cd,it_remarks) values('30Dec240042','070000170784','24495',(select max(to_number(i.premium_rcv_detail_code))+1
from ins_premium_det i),'24495','24495','02', '11000003','00','Request by Mr. Saqib Saleem 31-Dec-2024 Active');</v>
      </c>
    </row>
    <row r="120" spans="1:8" ht="105" x14ac:dyDescent="0.25">
      <c r="A120" s="12" t="s">
        <v>11499</v>
      </c>
      <c r="B120" s="25" t="str">
        <f>VLOOKUP(A120,policy!B:C,2,0)</f>
        <v>070000170785</v>
      </c>
      <c r="C120" s="11">
        <v>33000</v>
      </c>
      <c r="D120" s="26">
        <f t="shared" si="5"/>
        <v>33000</v>
      </c>
      <c r="E120" s="24" t="s">
        <v>13296</v>
      </c>
      <c r="F120" s="27" t="str">
        <f t="shared" si="4"/>
        <v>insert into ins_premium_det (premium_rcv_code,assorted_code, rec_amount,premium_rcv_detail_code,remaining_amt, payrec, mode_code,coinsurance_code,class_cd,it_remarks) values</v>
      </c>
      <c r="G120" s="28" t="str">
        <f t="shared" si="6"/>
        <v>('30Dec240042','070000170785','33000',(select max(to_number(i.premium_rcv_detail_code))+1
from ins_premium_det i),'33000','33000','02', '11000003','00','Request by Mr. Saqib Saleem 31-Dec-2024 Active');</v>
      </c>
      <c r="H120" s="29" t="str">
        <f t="shared" si="7"/>
        <v>insert into ins_premium_det (premium_rcv_code,assorted_code, rec_amount,premium_rcv_detail_code,remaining_amt, payrec, mode_code,coinsurance_code,class_cd,it_remarks) values('30Dec240042','070000170785','33000',(select max(to_number(i.premium_rcv_detail_code))+1
from ins_premium_det i),'33000','33000','02', '11000003','00','Request by Mr. Saqib Saleem 31-Dec-2024 Active');</v>
      </c>
    </row>
    <row r="121" spans="1:8" ht="105" x14ac:dyDescent="0.25">
      <c r="A121" s="12" t="s">
        <v>11500</v>
      </c>
      <c r="B121" s="25" t="str">
        <f>VLOOKUP(A121,policy!B:C,2,0)</f>
        <v>070000170786</v>
      </c>
      <c r="C121" s="13">
        <v>59723</v>
      </c>
      <c r="D121" s="26">
        <f t="shared" si="5"/>
        <v>59723</v>
      </c>
      <c r="E121" s="24" t="s">
        <v>13296</v>
      </c>
      <c r="F121" s="27" t="str">
        <f t="shared" si="4"/>
        <v>insert into ins_premium_det (premium_rcv_code,assorted_code, rec_amount,premium_rcv_detail_code,remaining_amt, payrec, mode_code,coinsurance_code,class_cd,it_remarks) values</v>
      </c>
      <c r="G121" s="28" t="str">
        <f t="shared" si="6"/>
        <v>('30Dec240042','070000170786','59723',(select max(to_number(i.premium_rcv_detail_code))+1
from ins_premium_det i),'59723','59723','02', '11000003','00','Request by Mr. Saqib Saleem 31-Dec-2024 Active');</v>
      </c>
      <c r="H121" s="29" t="str">
        <f t="shared" si="7"/>
        <v>insert into ins_premium_det (premium_rcv_code,assorted_code, rec_amount,premium_rcv_detail_code,remaining_amt, payrec, mode_code,coinsurance_code,class_cd,it_remarks) values('30Dec240042','070000170786','59723',(select max(to_number(i.premium_rcv_detail_code))+1
from ins_premium_det i),'59723','59723','02', '11000003','00','Request by Mr. Saqib Saleem 31-Dec-2024 Active');</v>
      </c>
    </row>
    <row r="122" spans="1:8" ht="105" x14ac:dyDescent="0.25">
      <c r="A122" s="12" t="s">
        <v>11501</v>
      </c>
      <c r="B122" s="25" t="str">
        <f>VLOOKUP(A122,policy!B:C,2,0)</f>
        <v>070000170787</v>
      </c>
      <c r="C122" s="11">
        <v>90000</v>
      </c>
      <c r="D122" s="26">
        <f t="shared" si="5"/>
        <v>90000</v>
      </c>
      <c r="E122" s="24" t="s">
        <v>13296</v>
      </c>
      <c r="F122" s="27" t="str">
        <f t="shared" si="4"/>
        <v>insert into ins_premium_det (premium_rcv_code,assorted_code, rec_amount,premium_rcv_detail_code,remaining_amt, payrec, mode_code,coinsurance_code,class_cd,it_remarks) values</v>
      </c>
      <c r="G122" s="28" t="str">
        <f t="shared" si="6"/>
        <v>('30Dec240042','070000170787','90000',(select max(to_number(i.premium_rcv_detail_code))+1
from ins_premium_det i),'90000','90000','02', '11000003','00','Request by Mr. Saqib Saleem 31-Dec-2024 Active');</v>
      </c>
      <c r="H122" s="29" t="str">
        <f t="shared" si="7"/>
        <v>insert into ins_premium_det (premium_rcv_code,assorted_code, rec_amount,premium_rcv_detail_code,remaining_amt, payrec, mode_code,coinsurance_code,class_cd,it_remarks) values('30Dec240042','070000170787','90000',(select max(to_number(i.premium_rcv_detail_code))+1
from ins_premium_det i),'90000','90000','02', '11000003','00','Request by Mr. Saqib Saleem 31-Dec-2024 Active');</v>
      </c>
    </row>
    <row r="123" spans="1:8" ht="105" x14ac:dyDescent="0.25">
      <c r="A123" s="12" t="s">
        <v>11502</v>
      </c>
      <c r="B123" s="25" t="str">
        <f>VLOOKUP(A123,policy!B:C,2,0)</f>
        <v>070000170792</v>
      </c>
      <c r="C123" s="13">
        <v>22202</v>
      </c>
      <c r="D123" s="26">
        <f t="shared" si="5"/>
        <v>22202</v>
      </c>
      <c r="E123" s="24" t="s">
        <v>13296</v>
      </c>
      <c r="F123" s="27" t="str">
        <f t="shared" si="4"/>
        <v>insert into ins_premium_det (premium_rcv_code,assorted_code, rec_amount,premium_rcv_detail_code,remaining_amt, payrec, mode_code,coinsurance_code,class_cd,it_remarks) values</v>
      </c>
      <c r="G123" s="28" t="str">
        <f t="shared" si="6"/>
        <v>('30Dec240042','070000170792','22202',(select max(to_number(i.premium_rcv_detail_code))+1
from ins_premium_det i),'22202','22202','02', '11000003','00','Request by Mr. Saqib Saleem 31-Dec-2024 Active');</v>
      </c>
      <c r="H123" s="29" t="str">
        <f t="shared" si="7"/>
        <v>insert into ins_premium_det (premium_rcv_code,assorted_code, rec_amount,premium_rcv_detail_code,remaining_amt, payrec, mode_code,coinsurance_code,class_cd,it_remarks) values('30Dec240042','070000170792','22202',(select max(to_number(i.premium_rcv_detail_code))+1
from ins_premium_det i),'22202','22202','02', '11000003','00','Request by Mr. Saqib Saleem 31-Dec-2024 Active');</v>
      </c>
    </row>
    <row r="124" spans="1:8" ht="105" x14ac:dyDescent="0.25">
      <c r="A124" s="12" t="s">
        <v>11503</v>
      </c>
      <c r="B124" s="25" t="str">
        <f>VLOOKUP(A124,policy!B:C,2,0)</f>
        <v>070000170794</v>
      </c>
      <c r="C124" s="11">
        <v>26031</v>
      </c>
      <c r="D124" s="26">
        <f t="shared" si="5"/>
        <v>26031</v>
      </c>
      <c r="E124" s="24" t="s">
        <v>13296</v>
      </c>
      <c r="F124" s="27" t="str">
        <f t="shared" si="4"/>
        <v>insert into ins_premium_det (premium_rcv_code,assorted_code, rec_amount,premium_rcv_detail_code,remaining_amt, payrec, mode_code,coinsurance_code,class_cd,it_remarks) values</v>
      </c>
      <c r="G124" s="28" t="str">
        <f t="shared" si="6"/>
        <v>('30Dec240042','070000170794','26031',(select max(to_number(i.premium_rcv_detail_code))+1
from ins_premium_det i),'26031','26031','02', '11000003','00','Request by Mr. Saqib Saleem 31-Dec-2024 Active');</v>
      </c>
      <c r="H124" s="29" t="str">
        <f t="shared" si="7"/>
        <v>insert into ins_premium_det (premium_rcv_code,assorted_code, rec_amount,premium_rcv_detail_code,remaining_amt, payrec, mode_code,coinsurance_code,class_cd,it_remarks) values('30Dec240042','070000170794','26031',(select max(to_number(i.premium_rcv_detail_code))+1
from ins_premium_det i),'26031','26031','02', '11000003','00','Request by Mr. Saqib Saleem 31-Dec-2024 Active');</v>
      </c>
    </row>
    <row r="125" spans="1:8" ht="105" x14ac:dyDescent="0.25">
      <c r="A125" s="12" t="s">
        <v>11504</v>
      </c>
      <c r="B125" s="25" t="str">
        <f>VLOOKUP(A125,policy!B:C,2,0)</f>
        <v>070000170805</v>
      </c>
      <c r="C125" s="13">
        <v>21360</v>
      </c>
      <c r="D125" s="26">
        <f t="shared" si="5"/>
        <v>21360</v>
      </c>
      <c r="E125" s="24" t="s">
        <v>13296</v>
      </c>
      <c r="F125" s="27" t="str">
        <f t="shared" si="4"/>
        <v>insert into ins_premium_det (premium_rcv_code,assorted_code, rec_amount,premium_rcv_detail_code,remaining_amt, payrec, mode_code,coinsurance_code,class_cd,it_remarks) values</v>
      </c>
      <c r="G125" s="28" t="str">
        <f t="shared" si="6"/>
        <v>('30Dec240042','070000170805','21360',(select max(to_number(i.premium_rcv_detail_code))+1
from ins_premium_det i),'21360','21360','02', '11000003','00','Request by Mr. Saqib Saleem 31-Dec-2024 Active');</v>
      </c>
      <c r="H125" s="29" t="str">
        <f t="shared" si="7"/>
        <v>insert into ins_premium_det (premium_rcv_code,assorted_code, rec_amount,premium_rcv_detail_code,remaining_amt, payrec, mode_code,coinsurance_code,class_cd,it_remarks) values('30Dec240042','070000170805','21360',(select max(to_number(i.premium_rcv_detail_code))+1
from ins_premium_det i),'21360','21360','02', '11000003','00','Request by Mr. Saqib Saleem 31-Dec-2024 Active');</v>
      </c>
    </row>
    <row r="126" spans="1:8" ht="105" x14ac:dyDescent="0.25">
      <c r="A126" s="12" t="s">
        <v>11505</v>
      </c>
      <c r="B126" s="25" t="str">
        <f>VLOOKUP(A126,policy!B:C,2,0)</f>
        <v>070000170807</v>
      </c>
      <c r="C126" s="11">
        <v>26480</v>
      </c>
      <c r="D126" s="26">
        <f t="shared" si="5"/>
        <v>26480</v>
      </c>
      <c r="E126" s="24" t="s">
        <v>13296</v>
      </c>
      <c r="F126" s="27" t="str">
        <f t="shared" si="4"/>
        <v>insert into ins_premium_det (premium_rcv_code,assorted_code, rec_amount,premium_rcv_detail_code,remaining_amt, payrec, mode_code,coinsurance_code,class_cd,it_remarks) values</v>
      </c>
      <c r="G126" s="28" t="str">
        <f t="shared" si="6"/>
        <v>('30Dec240042','070000170807','26480',(select max(to_number(i.premium_rcv_detail_code))+1
from ins_premium_det i),'26480','26480','02', '11000003','00','Request by Mr. Saqib Saleem 31-Dec-2024 Active');</v>
      </c>
      <c r="H126" s="29" t="str">
        <f t="shared" si="7"/>
        <v>insert into ins_premium_det (premium_rcv_code,assorted_code, rec_amount,premium_rcv_detail_code,remaining_amt, payrec, mode_code,coinsurance_code,class_cd,it_remarks) values('30Dec240042','070000170807','26480',(select max(to_number(i.premium_rcv_detail_code))+1
from ins_premium_det i),'26480','26480','02', '11000003','00','Request by Mr. Saqib Saleem 31-Dec-2024 Active');</v>
      </c>
    </row>
    <row r="127" spans="1:8" ht="105" x14ac:dyDescent="0.25">
      <c r="A127" s="12" t="s">
        <v>11506</v>
      </c>
      <c r="B127" s="25" t="str">
        <f>VLOOKUP(A127,policy!B:C,2,0)</f>
        <v>070000170811</v>
      </c>
      <c r="C127" s="13">
        <v>34000</v>
      </c>
      <c r="D127" s="26">
        <f t="shared" si="5"/>
        <v>34000</v>
      </c>
      <c r="E127" s="24" t="s">
        <v>13296</v>
      </c>
      <c r="F127" s="27" t="str">
        <f t="shared" si="4"/>
        <v>insert into ins_premium_det (premium_rcv_code,assorted_code, rec_amount,premium_rcv_detail_code,remaining_amt, payrec, mode_code,coinsurance_code,class_cd,it_remarks) values</v>
      </c>
      <c r="G127" s="28" t="str">
        <f t="shared" si="6"/>
        <v>('30Dec240042','070000170811','34000',(select max(to_number(i.premium_rcv_detail_code))+1
from ins_premium_det i),'34000','34000','02', '11000003','00','Request by Mr. Saqib Saleem 31-Dec-2024 Active');</v>
      </c>
      <c r="H127" s="29" t="str">
        <f t="shared" si="7"/>
        <v>insert into ins_premium_det (premium_rcv_code,assorted_code, rec_amount,premium_rcv_detail_code,remaining_amt, payrec, mode_code,coinsurance_code,class_cd,it_remarks) values('30Dec240042','070000170811','34000',(select max(to_number(i.premium_rcv_detail_code))+1
from ins_premium_det i),'34000','34000','02', '11000003','00','Request by Mr. Saqib Saleem 31-Dec-2024 Active');</v>
      </c>
    </row>
    <row r="128" spans="1:8" ht="105" x14ac:dyDescent="0.25">
      <c r="A128" s="12" t="s">
        <v>11507</v>
      </c>
      <c r="B128" s="25" t="str">
        <f>VLOOKUP(A128,policy!B:C,2,0)</f>
        <v>070000170812</v>
      </c>
      <c r="C128" s="11">
        <v>42400</v>
      </c>
      <c r="D128" s="26">
        <f t="shared" si="5"/>
        <v>42400</v>
      </c>
      <c r="E128" s="24" t="s">
        <v>13296</v>
      </c>
      <c r="F128" s="27" t="str">
        <f t="shared" si="4"/>
        <v>insert into ins_premium_det (premium_rcv_code,assorted_code, rec_amount,premium_rcv_detail_code,remaining_amt, payrec, mode_code,coinsurance_code,class_cd,it_remarks) values</v>
      </c>
      <c r="G128" s="28" t="str">
        <f t="shared" si="6"/>
        <v>('30Dec240042','070000170812','42400',(select max(to_number(i.premium_rcv_detail_code))+1
from ins_premium_det i),'42400','42400','02', '11000003','00','Request by Mr. Saqib Saleem 31-Dec-2024 Active');</v>
      </c>
      <c r="H128" s="29" t="str">
        <f t="shared" si="7"/>
        <v>insert into ins_premium_det (premium_rcv_code,assorted_code, rec_amount,premium_rcv_detail_code,remaining_amt, payrec, mode_code,coinsurance_code,class_cd,it_remarks) values('30Dec240042','070000170812','42400',(select max(to_number(i.premium_rcv_detail_code))+1
from ins_premium_det i),'42400','42400','02', '11000003','00','Request by Mr. Saqib Saleem 31-Dec-2024 Active');</v>
      </c>
    </row>
    <row r="129" spans="1:8" ht="105" x14ac:dyDescent="0.25">
      <c r="A129" s="12" t="s">
        <v>11508</v>
      </c>
      <c r="B129" s="25" t="str">
        <f>VLOOKUP(A129,policy!B:C,2,0)</f>
        <v>070000170813</v>
      </c>
      <c r="C129" s="13">
        <v>45840</v>
      </c>
      <c r="D129" s="26">
        <f t="shared" si="5"/>
        <v>45840</v>
      </c>
      <c r="E129" s="24" t="s">
        <v>13296</v>
      </c>
      <c r="F129" s="27" t="str">
        <f t="shared" si="4"/>
        <v>insert into ins_premium_det (premium_rcv_code,assorted_code, rec_amount,premium_rcv_detail_code,remaining_amt, payrec, mode_code,coinsurance_code,class_cd,it_remarks) values</v>
      </c>
      <c r="G129" s="28" t="str">
        <f t="shared" si="6"/>
        <v>('30Dec240042','070000170813','45840',(select max(to_number(i.premium_rcv_detail_code))+1
from ins_premium_det i),'45840','45840','02', '11000003','00','Request by Mr. Saqib Saleem 31-Dec-2024 Active');</v>
      </c>
      <c r="H129" s="29" t="str">
        <f t="shared" si="7"/>
        <v>insert into ins_premium_det (premium_rcv_code,assorted_code, rec_amount,premium_rcv_detail_code,remaining_amt, payrec, mode_code,coinsurance_code,class_cd,it_remarks) values('30Dec240042','070000170813','45840',(select max(to_number(i.premium_rcv_detail_code))+1
from ins_premium_det i),'45840','45840','02', '11000003','00','Request by Mr. Saqib Saleem 31-Dec-2024 Active');</v>
      </c>
    </row>
    <row r="130" spans="1:8" ht="105" x14ac:dyDescent="0.25">
      <c r="A130" s="12" t="s">
        <v>11509</v>
      </c>
      <c r="B130" s="25" t="str">
        <f>VLOOKUP(A130,policy!B:C,2,0)</f>
        <v>070000170815</v>
      </c>
      <c r="C130" s="11">
        <v>64680</v>
      </c>
      <c r="D130" s="26">
        <f t="shared" si="5"/>
        <v>64680</v>
      </c>
      <c r="E130" s="24" t="s">
        <v>13296</v>
      </c>
      <c r="F130" s="27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8" t="str">
        <f t="shared" si="6"/>
        <v>('30Dec240042','070000170815','64680',(select max(to_number(i.premium_rcv_detail_code))+1
from ins_premium_det i),'64680','64680','02', '11000003','00','Request by Mr. Saqib Saleem 31-Dec-2024 Active');</v>
      </c>
      <c r="H130" s="29" t="str">
        <f t="shared" si="7"/>
        <v>insert into ins_premium_det (premium_rcv_code,assorted_code, rec_amount,premium_rcv_detail_code,remaining_amt, payrec, mode_code,coinsurance_code,class_cd,it_remarks) values('30Dec240042','070000170815','64680',(select max(to_number(i.premium_rcv_detail_code))+1
from ins_premium_det i),'64680','64680','02', '11000003','00','Request by Mr. Saqib Saleem 31-Dec-2024 Active');</v>
      </c>
    </row>
    <row r="131" spans="1:8" ht="105" x14ac:dyDescent="0.25">
      <c r="A131" s="12" t="s">
        <v>11510</v>
      </c>
      <c r="B131" s="25" t="str">
        <f>VLOOKUP(A131,policy!B:C,2,0)</f>
        <v>070000170816</v>
      </c>
      <c r="C131" s="13">
        <v>128646</v>
      </c>
      <c r="D131" s="26">
        <f t="shared" ref="D131:D194" si="9">ROUND(C131,0)</f>
        <v>128646</v>
      </c>
      <c r="E131" s="24" t="s">
        <v>13296</v>
      </c>
      <c r="F131" s="27" t="str">
        <f t="shared" si="8"/>
        <v>insert into ins_premium_det (premium_rcv_code,assorted_code, rec_amount,premium_rcv_detail_code,remaining_amt, payrec, mode_code,coinsurance_code,class_cd,it_remarks) values</v>
      </c>
      <c r="G131" s="28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31-Dec-2024 Active');"</f>
        <v>('30Dec240042','070000170816','128646',(select max(to_number(i.premium_rcv_detail_code))+1
from ins_premium_det i),'128646','128646','02', '11000003','00','Request by Mr. Saqib Saleem 31-Dec-2024 Active');</v>
      </c>
      <c r="H131" s="29" t="str">
        <f t="shared" ref="H131:H194" si="11">F131&amp;G131</f>
        <v>insert into ins_premium_det (premium_rcv_code,assorted_code, rec_amount,premium_rcv_detail_code,remaining_amt, payrec, mode_code,coinsurance_code,class_cd,it_remarks) values('30Dec240042','070000170816','128646',(select max(to_number(i.premium_rcv_detail_code))+1
from ins_premium_det i),'128646','128646','02', '11000003','00','Request by Mr. Saqib Saleem 31-Dec-2024 Active');</v>
      </c>
    </row>
    <row r="132" spans="1:8" ht="105" x14ac:dyDescent="0.25">
      <c r="A132" s="12" t="s">
        <v>11511</v>
      </c>
      <c r="B132" s="25" t="str">
        <f>VLOOKUP(A132,policy!B:C,2,0)</f>
        <v>070000170823</v>
      </c>
      <c r="C132" s="11">
        <v>32576</v>
      </c>
      <c r="D132" s="26">
        <f t="shared" si="9"/>
        <v>32576</v>
      </c>
      <c r="E132" s="24" t="s">
        <v>13296</v>
      </c>
      <c r="F132" s="27" t="str">
        <f t="shared" si="8"/>
        <v>insert into ins_premium_det (premium_rcv_code,assorted_code, rec_amount,premium_rcv_detail_code,remaining_amt, payrec, mode_code,coinsurance_code,class_cd,it_remarks) values</v>
      </c>
      <c r="G132" s="28" t="str">
        <f t="shared" si="10"/>
        <v>('30Dec240042','070000170823','32576',(select max(to_number(i.premium_rcv_detail_code))+1
from ins_premium_det i),'32576','32576','02', '11000003','00','Request by Mr. Saqib Saleem 31-Dec-2024 Active');</v>
      </c>
      <c r="H132" s="29" t="str">
        <f t="shared" si="11"/>
        <v>insert into ins_premium_det (premium_rcv_code,assorted_code, rec_amount,premium_rcv_detail_code,remaining_amt, payrec, mode_code,coinsurance_code,class_cd,it_remarks) values('30Dec240042','070000170823','32576',(select max(to_number(i.premium_rcv_detail_code))+1
from ins_premium_det i),'32576','32576','02', '11000003','00','Request by Mr. Saqib Saleem 31-Dec-2024 Active');</v>
      </c>
    </row>
    <row r="133" spans="1:8" ht="105" x14ac:dyDescent="0.25">
      <c r="A133" s="12" t="s">
        <v>11512</v>
      </c>
      <c r="B133" s="25" t="str">
        <f>VLOOKUP(A133,policy!B:C,2,0)</f>
        <v>070000170824</v>
      </c>
      <c r="C133" s="13">
        <v>37188</v>
      </c>
      <c r="D133" s="26">
        <f t="shared" si="9"/>
        <v>37188</v>
      </c>
      <c r="E133" s="24" t="s">
        <v>13296</v>
      </c>
      <c r="F133" s="27" t="str">
        <f t="shared" si="8"/>
        <v>insert into ins_premium_det (premium_rcv_code,assorted_code, rec_amount,premium_rcv_detail_code,remaining_amt, payrec, mode_code,coinsurance_code,class_cd,it_remarks) values</v>
      </c>
      <c r="G133" s="28" t="str">
        <f t="shared" si="10"/>
        <v>('30Dec240042','070000170824','37188',(select max(to_number(i.premium_rcv_detail_code))+1
from ins_premium_det i),'37188','37188','02', '11000003','00','Request by Mr. Saqib Saleem 31-Dec-2024 Active');</v>
      </c>
      <c r="H133" s="29" t="str">
        <f t="shared" si="11"/>
        <v>insert into ins_premium_det (premium_rcv_code,assorted_code, rec_amount,premium_rcv_detail_code,remaining_amt, payrec, mode_code,coinsurance_code,class_cd,it_remarks) values('30Dec240042','070000170824','37188',(select max(to_number(i.premium_rcv_detail_code))+1
from ins_premium_det i),'37188','37188','02', '11000003','00','Request by Mr. Saqib Saleem 31-Dec-2024 Active');</v>
      </c>
    </row>
    <row r="134" spans="1:8" ht="105" x14ac:dyDescent="0.25">
      <c r="A134" s="12" t="s">
        <v>11513</v>
      </c>
      <c r="B134" s="25" t="str">
        <f>VLOOKUP(A134,policy!B:C,2,0)</f>
        <v>070000170825</v>
      </c>
      <c r="C134" s="11">
        <v>34213</v>
      </c>
      <c r="D134" s="26">
        <f t="shared" si="9"/>
        <v>34213</v>
      </c>
      <c r="E134" s="24" t="s">
        <v>13296</v>
      </c>
      <c r="F134" s="27" t="str">
        <f t="shared" si="8"/>
        <v>insert into ins_premium_det (premium_rcv_code,assorted_code, rec_amount,premium_rcv_detail_code,remaining_amt, payrec, mode_code,coinsurance_code,class_cd,it_remarks) values</v>
      </c>
      <c r="G134" s="28" t="str">
        <f t="shared" si="10"/>
        <v>('30Dec240042','070000170825','34213',(select max(to_number(i.premium_rcv_detail_code))+1
from ins_premium_det i),'34213','34213','02', '11000003','00','Request by Mr. Saqib Saleem 31-Dec-2024 Active');</v>
      </c>
      <c r="H134" s="29" t="str">
        <f t="shared" si="11"/>
        <v>insert into ins_premium_det (premium_rcv_code,assorted_code, rec_amount,premium_rcv_detail_code,remaining_amt, payrec, mode_code,coinsurance_code,class_cd,it_remarks) values('30Dec240042','070000170825','34213',(select max(to_number(i.premium_rcv_detail_code))+1
from ins_premium_det i),'34213','34213','02', '11000003','00','Request by Mr. Saqib Saleem 31-Dec-2024 Active');</v>
      </c>
    </row>
    <row r="135" spans="1:8" ht="105" x14ac:dyDescent="0.25">
      <c r="A135" s="12" t="s">
        <v>11514</v>
      </c>
      <c r="B135" s="25" t="str">
        <f>VLOOKUP(A135,policy!B:C,2,0)</f>
        <v>070000170828</v>
      </c>
      <c r="C135" s="13">
        <v>52063</v>
      </c>
      <c r="D135" s="26">
        <f t="shared" si="9"/>
        <v>52063</v>
      </c>
      <c r="E135" s="24" t="s">
        <v>13296</v>
      </c>
      <c r="F135" s="27" t="str">
        <f t="shared" si="8"/>
        <v>insert into ins_premium_det (premium_rcv_code,assorted_code, rec_amount,premium_rcv_detail_code,remaining_amt, payrec, mode_code,coinsurance_code,class_cd,it_remarks) values</v>
      </c>
      <c r="G135" s="28" t="str">
        <f t="shared" si="10"/>
        <v>('30Dec240042','070000170828','52063',(select max(to_number(i.premium_rcv_detail_code))+1
from ins_premium_det i),'52063','52063','02', '11000003','00','Request by Mr. Saqib Saleem 31-Dec-2024 Active');</v>
      </c>
      <c r="H135" s="29" t="str">
        <f t="shared" si="11"/>
        <v>insert into ins_premium_det (premium_rcv_code,assorted_code, rec_amount,premium_rcv_detail_code,remaining_amt, payrec, mode_code,coinsurance_code,class_cd,it_remarks) values('30Dec240042','070000170828','52063',(select max(to_number(i.premium_rcv_detail_code))+1
from ins_premium_det i),'52063','52063','02', '11000003','00','Request by Mr. Saqib Saleem 31-Dec-2024 Active');</v>
      </c>
    </row>
    <row r="136" spans="1:8" ht="105" x14ac:dyDescent="0.25">
      <c r="A136" s="12" t="s">
        <v>11515</v>
      </c>
      <c r="B136" s="25" t="str">
        <f>VLOOKUP(A136,policy!B:C,2,0)</f>
        <v>070000170830</v>
      </c>
      <c r="C136" s="11">
        <v>75460</v>
      </c>
      <c r="D136" s="26">
        <f t="shared" si="9"/>
        <v>75460</v>
      </c>
      <c r="E136" s="24" t="s">
        <v>13296</v>
      </c>
      <c r="F136" s="27" t="str">
        <f t="shared" si="8"/>
        <v>insert into ins_premium_det (premium_rcv_code,assorted_code, rec_amount,premium_rcv_detail_code,remaining_amt, payrec, mode_code,coinsurance_code,class_cd,it_remarks) values</v>
      </c>
      <c r="G136" s="28" t="str">
        <f t="shared" si="10"/>
        <v>('30Dec240042','070000170830','75460',(select max(to_number(i.premium_rcv_detail_code))+1
from ins_premium_det i),'75460','75460','02', '11000003','00','Request by Mr. Saqib Saleem 31-Dec-2024 Active');</v>
      </c>
      <c r="H136" s="29" t="str">
        <f t="shared" si="11"/>
        <v>insert into ins_premium_det (premium_rcv_code,assorted_code, rec_amount,premium_rcv_detail_code,remaining_amt, payrec, mode_code,coinsurance_code,class_cd,it_remarks) values('30Dec240042','070000170830','75460',(select max(to_number(i.premium_rcv_detail_code))+1
from ins_premium_det i),'75460','75460','02', '11000003','00','Request by Mr. Saqib Saleem 31-Dec-2024 Active');</v>
      </c>
    </row>
    <row r="137" spans="1:8" ht="105" x14ac:dyDescent="0.25">
      <c r="A137" s="12" t="s">
        <v>11516</v>
      </c>
      <c r="B137" s="25" t="str">
        <f>VLOOKUP(A137,policy!B:C,2,0)</f>
        <v>070000170833</v>
      </c>
      <c r="C137" s="13">
        <v>14952</v>
      </c>
      <c r="D137" s="26">
        <f t="shared" si="9"/>
        <v>14952</v>
      </c>
      <c r="E137" s="24" t="s">
        <v>13296</v>
      </c>
      <c r="F137" s="27" t="str">
        <f t="shared" si="8"/>
        <v>insert into ins_premium_det (premium_rcv_code,assorted_code, rec_amount,premium_rcv_detail_code,remaining_amt, payrec, mode_code,coinsurance_code,class_cd,it_remarks) values</v>
      </c>
      <c r="G137" s="28" t="str">
        <f t="shared" si="10"/>
        <v>('30Dec240042','070000170833','14952',(select max(to_number(i.premium_rcv_detail_code))+1
from ins_premium_det i),'14952','14952','02', '11000003','00','Request by Mr. Saqib Saleem 31-Dec-2024 Active');</v>
      </c>
      <c r="H137" s="29" t="str">
        <f t="shared" si="11"/>
        <v>insert into ins_premium_det (premium_rcv_code,assorted_code, rec_amount,premium_rcv_detail_code,remaining_amt, payrec, mode_code,coinsurance_code,class_cd,it_remarks) values('30Dec240042','070000170833','14952',(select max(to_number(i.premium_rcv_detail_code))+1
from ins_premium_det i),'14952','14952','02', '11000003','00','Request by Mr. Saqib Saleem 31-Dec-2024 Active');</v>
      </c>
    </row>
    <row r="138" spans="1:8" ht="105" x14ac:dyDescent="0.25">
      <c r="A138" s="12" t="s">
        <v>11517</v>
      </c>
      <c r="B138" s="25" t="str">
        <f>VLOOKUP(A138,policy!B:C,2,0)</f>
        <v>070000170835</v>
      </c>
      <c r="C138" s="11">
        <v>40245</v>
      </c>
      <c r="D138" s="26">
        <f t="shared" si="9"/>
        <v>40245</v>
      </c>
      <c r="E138" s="24" t="s">
        <v>13296</v>
      </c>
      <c r="F138" s="27" t="str">
        <f t="shared" si="8"/>
        <v>insert into ins_premium_det (premium_rcv_code,assorted_code, rec_amount,premium_rcv_detail_code,remaining_amt, payrec, mode_code,coinsurance_code,class_cd,it_remarks) values</v>
      </c>
      <c r="G138" s="28" t="str">
        <f t="shared" si="10"/>
        <v>('30Dec240042','070000170835','40245',(select max(to_number(i.premium_rcv_detail_code))+1
from ins_premium_det i),'40245','40245','02', '11000003','00','Request by Mr. Saqib Saleem 31-Dec-2024 Active');</v>
      </c>
      <c r="H138" s="29" t="str">
        <f t="shared" si="11"/>
        <v>insert into ins_premium_det (premium_rcv_code,assorted_code, rec_amount,premium_rcv_detail_code,remaining_amt, payrec, mode_code,coinsurance_code,class_cd,it_remarks) values('30Dec240042','070000170835','40245',(select max(to_number(i.premium_rcv_detail_code))+1
from ins_premium_det i),'40245','40245','02', '11000003','00','Request by Mr. Saqib Saleem 31-Dec-2024 Active');</v>
      </c>
    </row>
    <row r="139" spans="1:8" ht="105" x14ac:dyDescent="0.25">
      <c r="A139" s="12" t="s">
        <v>11518</v>
      </c>
      <c r="B139" s="25" t="str">
        <f>VLOOKUP(A139,policy!B:C,2,0)</f>
        <v>070000170838</v>
      </c>
      <c r="C139" s="13">
        <v>24624</v>
      </c>
      <c r="D139" s="26">
        <f t="shared" si="9"/>
        <v>24624</v>
      </c>
      <c r="E139" s="24" t="s">
        <v>13296</v>
      </c>
      <c r="F139" s="27" t="str">
        <f t="shared" si="8"/>
        <v>insert into ins_premium_det (premium_rcv_code,assorted_code, rec_amount,premium_rcv_detail_code,remaining_amt, payrec, mode_code,coinsurance_code,class_cd,it_remarks) values</v>
      </c>
      <c r="G139" s="28" t="str">
        <f t="shared" si="10"/>
        <v>('30Dec240042','070000170838','24624',(select max(to_number(i.premium_rcv_detail_code))+1
from ins_premium_det i),'24624','24624','02', '11000003','00','Request by Mr. Saqib Saleem 31-Dec-2024 Active');</v>
      </c>
      <c r="H139" s="29" t="str">
        <f t="shared" si="11"/>
        <v>insert into ins_premium_det (premium_rcv_code,assorted_code, rec_amount,premium_rcv_detail_code,remaining_amt, payrec, mode_code,coinsurance_code,class_cd,it_remarks) values('30Dec240042','070000170838','24624',(select max(to_number(i.premium_rcv_detail_code))+1
from ins_premium_det i),'24624','24624','02', '11000003','00','Request by Mr. Saqib Saleem 31-Dec-2024 Active');</v>
      </c>
    </row>
    <row r="140" spans="1:8" ht="105" x14ac:dyDescent="0.25">
      <c r="A140" s="12" t="s">
        <v>11519</v>
      </c>
      <c r="B140" s="25" t="str">
        <f>VLOOKUP(A140,policy!B:C,2,0)</f>
        <v>070000170842</v>
      </c>
      <c r="C140" s="11">
        <v>40848</v>
      </c>
      <c r="D140" s="26">
        <f t="shared" si="9"/>
        <v>40848</v>
      </c>
      <c r="E140" s="24" t="s">
        <v>13296</v>
      </c>
      <c r="F140" s="27" t="str">
        <f t="shared" si="8"/>
        <v>insert into ins_premium_det (premium_rcv_code,assorted_code, rec_amount,premium_rcv_detail_code,remaining_amt, payrec, mode_code,coinsurance_code,class_cd,it_remarks) values</v>
      </c>
      <c r="G140" s="28" t="str">
        <f t="shared" si="10"/>
        <v>('30Dec240042','070000170842','40848',(select max(to_number(i.premium_rcv_detail_code))+1
from ins_premium_det i),'40848','40848','02', '11000003','00','Request by Mr. Saqib Saleem 31-Dec-2024 Active');</v>
      </c>
      <c r="H140" s="29" t="str">
        <f t="shared" si="11"/>
        <v>insert into ins_premium_det (premium_rcv_code,assorted_code, rec_amount,premium_rcv_detail_code,remaining_amt, payrec, mode_code,coinsurance_code,class_cd,it_remarks) values('30Dec240042','070000170842','40848',(select max(to_number(i.premium_rcv_detail_code))+1
from ins_premium_det i),'40848','40848','02', '11000003','00','Request by Mr. Saqib Saleem 31-Dec-2024 Active');</v>
      </c>
    </row>
    <row r="141" spans="1:8" ht="105" x14ac:dyDescent="0.25">
      <c r="A141" s="12" t="s">
        <v>11520</v>
      </c>
      <c r="B141" s="25" t="str">
        <f>VLOOKUP(A141,policy!B:C,2,0)</f>
        <v>070000170843</v>
      </c>
      <c r="C141" s="13">
        <v>41250</v>
      </c>
      <c r="D141" s="26">
        <f t="shared" si="9"/>
        <v>41250</v>
      </c>
      <c r="E141" s="24" t="s">
        <v>13296</v>
      </c>
      <c r="F141" s="27" t="str">
        <f t="shared" si="8"/>
        <v>insert into ins_premium_det (premium_rcv_code,assorted_code, rec_amount,premium_rcv_detail_code,remaining_amt, payrec, mode_code,coinsurance_code,class_cd,it_remarks) values</v>
      </c>
      <c r="G141" s="28" t="str">
        <f t="shared" si="10"/>
        <v>('30Dec240042','070000170843','41250',(select max(to_number(i.premium_rcv_detail_code))+1
from ins_premium_det i),'41250','41250','02', '11000003','00','Request by Mr. Saqib Saleem 31-Dec-2024 Active');</v>
      </c>
      <c r="H141" s="29" t="str">
        <f t="shared" si="11"/>
        <v>insert into ins_premium_det (premium_rcv_code,assorted_code, rec_amount,premium_rcv_detail_code,remaining_amt, payrec, mode_code,coinsurance_code,class_cd,it_remarks) values('30Dec240042','070000170843','41250',(select max(to_number(i.premium_rcv_detail_code))+1
from ins_premium_det i),'41250','41250','02', '11000003','00','Request by Mr. Saqib Saleem 31-Dec-2024 Active');</v>
      </c>
    </row>
    <row r="142" spans="1:8" ht="105" x14ac:dyDescent="0.25">
      <c r="A142" s="12" t="s">
        <v>11521</v>
      </c>
      <c r="B142" s="25" t="str">
        <f>VLOOKUP(A142,policy!B:C,2,0)</f>
        <v>070000170847</v>
      </c>
      <c r="C142" s="11">
        <v>40848</v>
      </c>
      <c r="D142" s="26">
        <f t="shared" si="9"/>
        <v>40848</v>
      </c>
      <c r="E142" s="24" t="s">
        <v>13296</v>
      </c>
      <c r="F142" s="27" t="str">
        <f t="shared" si="8"/>
        <v>insert into ins_premium_det (premium_rcv_code,assorted_code, rec_amount,premium_rcv_detail_code,remaining_amt, payrec, mode_code,coinsurance_code,class_cd,it_remarks) values</v>
      </c>
      <c r="G142" s="28" t="str">
        <f t="shared" si="10"/>
        <v>('30Dec240042','070000170847','40848',(select max(to_number(i.premium_rcv_detail_code))+1
from ins_premium_det i),'40848','40848','02', '11000003','00','Request by Mr. Saqib Saleem 31-Dec-2024 Active');</v>
      </c>
      <c r="H142" s="29" t="str">
        <f t="shared" si="11"/>
        <v>insert into ins_premium_det (premium_rcv_code,assorted_code, rec_amount,premium_rcv_detail_code,remaining_amt, payrec, mode_code,coinsurance_code,class_cd,it_remarks) values('30Dec240042','070000170847','40848',(select max(to_number(i.premium_rcv_detail_code))+1
from ins_premium_det i),'40848','40848','02', '11000003','00','Request by Mr. Saqib Saleem 31-Dec-2024 Active');</v>
      </c>
    </row>
    <row r="143" spans="1:8" ht="105" x14ac:dyDescent="0.25">
      <c r="A143" s="12" t="s">
        <v>11522</v>
      </c>
      <c r="B143" s="25" t="str">
        <f>VLOOKUP(A143,policy!B:C,2,0)</f>
        <v>070000170848</v>
      </c>
      <c r="C143" s="13">
        <v>42400</v>
      </c>
      <c r="D143" s="26">
        <f t="shared" si="9"/>
        <v>42400</v>
      </c>
      <c r="E143" s="24" t="s">
        <v>13296</v>
      </c>
      <c r="F143" s="27" t="str">
        <f t="shared" si="8"/>
        <v>insert into ins_premium_det (premium_rcv_code,assorted_code, rec_amount,premium_rcv_detail_code,remaining_amt, payrec, mode_code,coinsurance_code,class_cd,it_remarks) values</v>
      </c>
      <c r="G143" s="28" t="str">
        <f t="shared" si="10"/>
        <v>('30Dec240042','070000170848','42400',(select max(to_number(i.premium_rcv_detail_code))+1
from ins_premium_det i),'42400','42400','02', '11000003','00','Request by Mr. Saqib Saleem 31-Dec-2024 Active');</v>
      </c>
      <c r="H143" s="29" t="str">
        <f t="shared" si="11"/>
        <v>insert into ins_premium_det (premium_rcv_code,assorted_code, rec_amount,premium_rcv_detail_code,remaining_amt, payrec, mode_code,coinsurance_code,class_cd,it_remarks) values('30Dec240042','070000170848','42400',(select max(to_number(i.premium_rcv_detail_code))+1
from ins_premium_det i),'42400','42400','02', '11000003','00','Request by Mr. Saqib Saleem 31-Dec-2024 Active');</v>
      </c>
    </row>
    <row r="144" spans="1:8" ht="105" x14ac:dyDescent="0.25">
      <c r="A144" s="12" t="s">
        <v>11523</v>
      </c>
      <c r="B144" s="25" t="str">
        <f>VLOOKUP(A144,policy!B:C,2,0)</f>
        <v>070000170849</v>
      </c>
      <c r="C144" s="11">
        <v>59723</v>
      </c>
      <c r="D144" s="26">
        <f t="shared" si="9"/>
        <v>59723</v>
      </c>
      <c r="E144" s="24" t="s">
        <v>13296</v>
      </c>
      <c r="F144" s="27" t="str">
        <f t="shared" si="8"/>
        <v>insert into ins_premium_det (premium_rcv_code,assorted_code, rec_amount,premium_rcv_detail_code,remaining_amt, payrec, mode_code,coinsurance_code,class_cd,it_remarks) values</v>
      </c>
      <c r="G144" s="28" t="str">
        <f t="shared" si="10"/>
        <v>('30Dec240042','070000170849','59723',(select max(to_number(i.premium_rcv_detail_code))+1
from ins_premium_det i),'59723','59723','02', '11000003','00','Request by Mr. Saqib Saleem 31-Dec-2024 Active');</v>
      </c>
      <c r="H144" s="29" t="str">
        <f t="shared" si="11"/>
        <v>insert into ins_premium_det (premium_rcv_code,assorted_code, rec_amount,premium_rcv_detail_code,remaining_amt, payrec, mode_code,coinsurance_code,class_cd,it_remarks) values('30Dec240042','070000170849','59723',(select max(to_number(i.premium_rcv_detail_code))+1
from ins_premium_det i),'59723','59723','02', '11000003','00','Request by Mr. Saqib Saleem 31-Dec-2024 Active');</v>
      </c>
    </row>
    <row r="145" spans="1:8" ht="105" x14ac:dyDescent="0.25">
      <c r="A145" s="12" t="s">
        <v>11524</v>
      </c>
      <c r="B145" s="25" t="str">
        <f>VLOOKUP(A145,policy!B:C,2,0)</f>
        <v>070000170850</v>
      </c>
      <c r="C145" s="13">
        <v>59723</v>
      </c>
      <c r="D145" s="26">
        <f t="shared" si="9"/>
        <v>59723</v>
      </c>
      <c r="E145" s="24" t="s">
        <v>13296</v>
      </c>
      <c r="F145" s="27" t="str">
        <f t="shared" si="8"/>
        <v>insert into ins_premium_det (premium_rcv_code,assorted_code, rec_amount,premium_rcv_detail_code,remaining_amt, payrec, mode_code,coinsurance_code,class_cd,it_remarks) values</v>
      </c>
      <c r="G145" s="28" t="str">
        <f t="shared" si="10"/>
        <v>('30Dec240042','070000170850','59723',(select max(to_number(i.premium_rcv_detail_code))+1
from ins_premium_det i),'59723','59723','02', '11000003','00','Request by Mr. Saqib Saleem 31-Dec-2024 Active');</v>
      </c>
      <c r="H145" s="29" t="str">
        <f t="shared" si="11"/>
        <v>insert into ins_premium_det (premium_rcv_code,assorted_code, rec_amount,premium_rcv_detail_code,remaining_amt, payrec, mode_code,coinsurance_code,class_cd,it_remarks) values('30Dec240042','070000170850','59723',(select max(to_number(i.premium_rcv_detail_code))+1
from ins_premium_det i),'59723','59723','02', '11000003','00','Request by Mr. Saqib Saleem 31-Dec-2024 Active');</v>
      </c>
    </row>
    <row r="146" spans="1:8" ht="105" x14ac:dyDescent="0.25">
      <c r="A146" s="12" t="s">
        <v>11525</v>
      </c>
      <c r="B146" s="25" t="str">
        <f>VLOOKUP(A146,policy!B:C,2,0)</f>
        <v>070000170851</v>
      </c>
      <c r="C146" s="11">
        <v>55114</v>
      </c>
      <c r="D146" s="26">
        <f t="shared" si="9"/>
        <v>55114</v>
      </c>
      <c r="E146" s="24" t="s">
        <v>13296</v>
      </c>
      <c r="F146" s="27" t="str">
        <f t="shared" si="8"/>
        <v>insert into ins_premium_det (premium_rcv_code,assorted_code, rec_amount,premium_rcv_detail_code,remaining_amt, payrec, mode_code,coinsurance_code,class_cd,it_remarks) values</v>
      </c>
      <c r="G146" s="28" t="str">
        <f t="shared" si="10"/>
        <v>('30Dec240042','070000170851','55114',(select max(to_number(i.premium_rcv_detail_code))+1
from ins_premium_det i),'55114','55114','02', '11000003','00','Request by Mr. Saqib Saleem 31-Dec-2024 Active');</v>
      </c>
      <c r="H146" s="29" t="str">
        <f t="shared" si="11"/>
        <v>insert into ins_premium_det (premium_rcv_code,assorted_code, rec_amount,premium_rcv_detail_code,remaining_amt, payrec, mode_code,coinsurance_code,class_cd,it_remarks) values('30Dec240042','070000170851','55114',(select max(to_number(i.premium_rcv_detail_code))+1
from ins_premium_det i),'55114','55114','02', '11000003','00','Request by Mr. Saqib Saleem 31-Dec-2024 Active');</v>
      </c>
    </row>
    <row r="147" spans="1:8" ht="105" x14ac:dyDescent="0.25">
      <c r="A147" s="12" t="s">
        <v>11526</v>
      </c>
      <c r="B147" s="25" t="str">
        <f>VLOOKUP(A147,policy!B:C,2,0)</f>
        <v>070000170852</v>
      </c>
      <c r="C147" s="13">
        <v>135646</v>
      </c>
      <c r="D147" s="26">
        <f t="shared" si="9"/>
        <v>135646</v>
      </c>
      <c r="E147" s="24" t="s">
        <v>13296</v>
      </c>
      <c r="F147" s="27" t="str">
        <f t="shared" si="8"/>
        <v>insert into ins_premium_det (premium_rcv_code,assorted_code, rec_amount,premium_rcv_detail_code,remaining_amt, payrec, mode_code,coinsurance_code,class_cd,it_remarks) values</v>
      </c>
      <c r="G147" s="28" t="str">
        <f t="shared" si="10"/>
        <v>('30Dec240042','070000170852','135646',(select max(to_number(i.premium_rcv_detail_code))+1
from ins_premium_det i),'135646','135646','02', '11000003','00','Request by Mr. Saqib Saleem 31-Dec-2024 Active');</v>
      </c>
      <c r="H147" s="29" t="str">
        <f t="shared" si="11"/>
        <v>insert into ins_premium_det (premium_rcv_code,assorted_code, rec_amount,premium_rcv_detail_code,remaining_amt, payrec, mode_code,coinsurance_code,class_cd,it_remarks) values('30Dec240042','070000170852','135646',(select max(to_number(i.premium_rcv_detail_code))+1
from ins_premium_det i),'135646','135646','02', '11000003','00','Request by Mr. Saqib Saleem 31-Dec-2024 Active');</v>
      </c>
    </row>
    <row r="148" spans="1:8" ht="105" x14ac:dyDescent="0.25">
      <c r="A148" s="12" t="s">
        <v>11527</v>
      </c>
      <c r="B148" s="25" t="str">
        <f>VLOOKUP(A148,policy!B:C,2,0)</f>
        <v>070000170857</v>
      </c>
      <c r="C148" s="11">
        <v>24225</v>
      </c>
      <c r="D148" s="26">
        <f t="shared" si="9"/>
        <v>24225</v>
      </c>
      <c r="E148" s="24" t="s">
        <v>13296</v>
      </c>
      <c r="F148" s="27" t="str">
        <f t="shared" si="8"/>
        <v>insert into ins_premium_det (premium_rcv_code,assorted_code, rec_amount,premium_rcv_detail_code,remaining_amt, payrec, mode_code,coinsurance_code,class_cd,it_remarks) values</v>
      </c>
      <c r="G148" s="28" t="str">
        <f t="shared" si="10"/>
        <v>('30Dec240042','070000170857','24225',(select max(to_number(i.premium_rcv_detail_code))+1
from ins_premium_det i),'24225','24225','02', '11000003','00','Request by Mr. Saqib Saleem 31-Dec-2024 Active');</v>
      </c>
      <c r="H148" s="29" t="str">
        <f t="shared" si="11"/>
        <v>insert into ins_premium_det (premium_rcv_code,assorted_code, rec_amount,premium_rcv_detail_code,remaining_amt, payrec, mode_code,coinsurance_code,class_cd,it_remarks) values('30Dec240042','070000170857','24225',(select max(to_number(i.premium_rcv_detail_code))+1
from ins_premium_det i),'24225','24225','02', '11000003','00','Request by Mr. Saqib Saleem 31-Dec-2024 Active');</v>
      </c>
    </row>
    <row r="149" spans="1:8" ht="105" x14ac:dyDescent="0.25">
      <c r="A149" s="12" t="s">
        <v>11528</v>
      </c>
      <c r="B149" s="25" t="str">
        <f>VLOOKUP(A149,policy!B:C,2,0)</f>
        <v>070000170860</v>
      </c>
      <c r="C149" s="13">
        <v>17850</v>
      </c>
      <c r="D149" s="26">
        <f t="shared" si="9"/>
        <v>17850</v>
      </c>
      <c r="E149" s="24" t="s">
        <v>13296</v>
      </c>
      <c r="F149" s="27" t="str">
        <f t="shared" si="8"/>
        <v>insert into ins_premium_det (premium_rcv_code,assorted_code, rec_amount,premium_rcv_detail_code,remaining_amt, payrec, mode_code,coinsurance_code,class_cd,it_remarks) values</v>
      </c>
      <c r="G149" s="28" t="str">
        <f t="shared" si="10"/>
        <v>('30Dec240042','070000170860','17850',(select max(to_number(i.premium_rcv_detail_code))+1
from ins_premium_det i),'17850','17850','02', '11000003','00','Request by Mr. Saqib Saleem 31-Dec-2024 Active');</v>
      </c>
      <c r="H149" s="29" t="str">
        <f t="shared" si="11"/>
        <v>insert into ins_premium_det (premium_rcv_code,assorted_code, rec_amount,premium_rcv_detail_code,remaining_amt, payrec, mode_code,coinsurance_code,class_cd,it_remarks) values('30Dec240042','070000170860','17850',(select max(to_number(i.premium_rcv_detail_code))+1
from ins_premium_det i),'17850','17850','02', '11000003','00','Request by Mr. Saqib Saleem 31-Dec-2024 Active');</v>
      </c>
    </row>
    <row r="150" spans="1:8" ht="105" x14ac:dyDescent="0.25">
      <c r="A150" s="12" t="s">
        <v>11529</v>
      </c>
      <c r="B150" s="25" t="str">
        <f>VLOOKUP(A150,policy!B:C,2,0)</f>
        <v>070000170861</v>
      </c>
      <c r="C150" s="11">
        <v>49283</v>
      </c>
      <c r="D150" s="26">
        <f t="shared" si="9"/>
        <v>49283</v>
      </c>
      <c r="E150" s="24" t="s">
        <v>13296</v>
      </c>
      <c r="F150" s="27" t="str">
        <f t="shared" si="8"/>
        <v>insert into ins_premium_det (premium_rcv_code,assorted_code, rec_amount,premium_rcv_detail_code,remaining_amt, payrec, mode_code,coinsurance_code,class_cd,it_remarks) values</v>
      </c>
      <c r="G150" s="28" t="str">
        <f t="shared" si="10"/>
        <v>('30Dec240042','070000170861','49283',(select max(to_number(i.premium_rcv_detail_code))+1
from ins_premium_det i),'49283','49283','02', '11000003','00','Request by Mr. Saqib Saleem 31-Dec-2024 Active');</v>
      </c>
      <c r="H150" s="29" t="str">
        <f t="shared" si="11"/>
        <v>insert into ins_premium_det (premium_rcv_code,assorted_code, rec_amount,premium_rcv_detail_code,remaining_amt, payrec, mode_code,coinsurance_code,class_cd,it_remarks) values('30Dec240042','070000170861','49283',(select max(to_number(i.premium_rcv_detail_code))+1
from ins_premium_det i),'49283','49283','02', '11000003','00','Request by Mr. Saqib Saleem 31-Dec-2024 Active');</v>
      </c>
    </row>
    <row r="151" spans="1:8" ht="105" x14ac:dyDescent="0.25">
      <c r="A151" s="12" t="s">
        <v>11530</v>
      </c>
      <c r="B151" s="25" t="str">
        <f>VLOOKUP(A151,policy!B:C,2,0)</f>
        <v>070000170870</v>
      </c>
      <c r="C151" s="13">
        <v>29461</v>
      </c>
      <c r="D151" s="26">
        <f t="shared" si="9"/>
        <v>29461</v>
      </c>
      <c r="E151" s="24" t="s">
        <v>13296</v>
      </c>
      <c r="F151" s="27" t="str">
        <f t="shared" si="8"/>
        <v>insert into ins_premium_det (premium_rcv_code,assorted_code, rec_amount,premium_rcv_detail_code,remaining_amt, payrec, mode_code,coinsurance_code,class_cd,it_remarks) values</v>
      </c>
      <c r="G151" s="28" t="str">
        <f t="shared" si="10"/>
        <v>('30Dec240042','070000170870','29461',(select max(to_number(i.premium_rcv_detail_code))+1
from ins_premium_det i),'29461','29461','02', '11000003','00','Request by Mr. Saqib Saleem 31-Dec-2024 Active');</v>
      </c>
      <c r="H151" s="29" t="str">
        <f t="shared" si="11"/>
        <v>insert into ins_premium_det (premium_rcv_code,assorted_code, rec_amount,premium_rcv_detail_code,remaining_amt, payrec, mode_code,coinsurance_code,class_cd,it_remarks) values('30Dec240042','070000170870','29461',(select max(to_number(i.premium_rcv_detail_code))+1
from ins_premium_det i),'29461','29461','02', '11000003','00','Request by Mr. Saqib Saleem 31-Dec-2024 Active');</v>
      </c>
    </row>
    <row r="152" spans="1:8" ht="105" x14ac:dyDescent="0.25">
      <c r="A152" s="12" t="s">
        <v>11531</v>
      </c>
      <c r="B152" s="25" t="str">
        <f>VLOOKUP(A152,policy!B:C,2,0)</f>
        <v>070000170876</v>
      </c>
      <c r="C152" s="11">
        <v>27750</v>
      </c>
      <c r="D152" s="26">
        <f t="shared" si="9"/>
        <v>27750</v>
      </c>
      <c r="E152" s="24" t="s">
        <v>13296</v>
      </c>
      <c r="F152" s="27" t="str">
        <f t="shared" si="8"/>
        <v>insert into ins_premium_det (premium_rcv_code,assorted_code, rec_amount,premium_rcv_detail_code,remaining_amt, payrec, mode_code,coinsurance_code,class_cd,it_remarks) values</v>
      </c>
      <c r="G152" s="28" t="str">
        <f t="shared" si="10"/>
        <v>('30Dec240042','070000170876','27750',(select max(to_number(i.premium_rcv_detail_code))+1
from ins_premium_det i),'27750','27750','02', '11000003','00','Request by Mr. Saqib Saleem 31-Dec-2024 Active');</v>
      </c>
      <c r="H152" s="29" t="str">
        <f t="shared" si="11"/>
        <v>insert into ins_premium_det (premium_rcv_code,assorted_code, rec_amount,premium_rcv_detail_code,remaining_amt, payrec, mode_code,coinsurance_code,class_cd,it_remarks) values('30Dec240042','070000170876','27750',(select max(to_number(i.premium_rcv_detail_code))+1
from ins_premium_det i),'27750','27750','02', '11000003','00','Request by Mr. Saqib Saleem 31-Dec-2024 Active');</v>
      </c>
    </row>
    <row r="153" spans="1:8" ht="105" x14ac:dyDescent="0.25">
      <c r="A153" s="12" t="s">
        <v>11532</v>
      </c>
      <c r="B153" s="25" t="str">
        <f>VLOOKUP(A153,policy!B:C,2,0)</f>
        <v>070000170878</v>
      </c>
      <c r="C153" s="13">
        <v>38400</v>
      </c>
      <c r="D153" s="26">
        <f t="shared" si="9"/>
        <v>38400</v>
      </c>
      <c r="E153" s="24" t="s">
        <v>13296</v>
      </c>
      <c r="F153" s="27" t="str">
        <f t="shared" si="8"/>
        <v>insert into ins_premium_det (premium_rcv_code,assorted_code, rec_amount,premium_rcv_detail_code,remaining_amt, payrec, mode_code,coinsurance_code,class_cd,it_remarks) values</v>
      </c>
      <c r="G153" s="28" t="str">
        <f t="shared" si="10"/>
        <v>('30Dec240042','070000170878','38400',(select max(to_number(i.premium_rcv_detail_code))+1
from ins_premium_det i),'38400','38400','02', '11000003','00','Request by Mr. Saqib Saleem 31-Dec-2024 Active');</v>
      </c>
      <c r="H153" s="29" t="str">
        <f t="shared" si="11"/>
        <v>insert into ins_premium_det (premium_rcv_code,assorted_code, rec_amount,premium_rcv_detail_code,remaining_amt, payrec, mode_code,coinsurance_code,class_cd,it_remarks) values('30Dec240042','070000170878','38400',(select max(to_number(i.premium_rcv_detail_code))+1
from ins_premium_det i),'38400','38400','02', '11000003','00','Request by Mr. Saqib Saleem 31-Dec-2024 Active');</v>
      </c>
    </row>
    <row r="154" spans="1:8" ht="105" x14ac:dyDescent="0.25">
      <c r="A154" s="12" t="s">
        <v>11533</v>
      </c>
      <c r="B154" s="25" t="str">
        <f>VLOOKUP(A154,policy!B:C,2,0)</f>
        <v>070000170879</v>
      </c>
      <c r="C154" s="11">
        <v>27840</v>
      </c>
      <c r="D154" s="26">
        <f t="shared" si="9"/>
        <v>27840</v>
      </c>
      <c r="E154" s="24" t="s">
        <v>13296</v>
      </c>
      <c r="F154" s="27" t="str">
        <f t="shared" si="8"/>
        <v>insert into ins_premium_det (premium_rcv_code,assorted_code, rec_amount,premium_rcv_detail_code,remaining_amt, payrec, mode_code,coinsurance_code,class_cd,it_remarks) values</v>
      </c>
      <c r="G154" s="28" t="str">
        <f t="shared" si="10"/>
        <v>('30Dec240042','070000170879','27840',(select max(to_number(i.premium_rcv_detail_code))+1
from ins_premium_det i),'27840','27840','02', '11000003','00','Request by Mr. Saqib Saleem 31-Dec-2024 Active');</v>
      </c>
      <c r="H154" s="29" t="str">
        <f t="shared" si="11"/>
        <v>insert into ins_premium_det (premium_rcv_code,assorted_code, rec_amount,premium_rcv_detail_code,remaining_amt, payrec, mode_code,coinsurance_code,class_cd,it_remarks) values('30Dec240042','070000170879','27840',(select max(to_number(i.premium_rcv_detail_code))+1
from ins_premium_det i),'27840','27840','02', '11000003','00','Request by Mr. Saqib Saleem 31-Dec-2024 Active');</v>
      </c>
    </row>
    <row r="155" spans="1:8" ht="105" x14ac:dyDescent="0.25">
      <c r="A155" s="12" t="s">
        <v>11534</v>
      </c>
      <c r="B155" s="25" t="str">
        <f>VLOOKUP(A155,policy!B:C,2,0)</f>
        <v>070000170880</v>
      </c>
      <c r="C155" s="13">
        <v>40170</v>
      </c>
      <c r="D155" s="26">
        <f t="shared" si="9"/>
        <v>40170</v>
      </c>
      <c r="E155" s="24" t="s">
        <v>13296</v>
      </c>
      <c r="F155" s="27" t="str">
        <f t="shared" si="8"/>
        <v>insert into ins_premium_det (premium_rcv_code,assorted_code, rec_amount,premium_rcv_detail_code,remaining_amt, payrec, mode_code,coinsurance_code,class_cd,it_remarks) values</v>
      </c>
      <c r="G155" s="28" t="str">
        <f t="shared" si="10"/>
        <v>('30Dec240042','070000170880','40170',(select max(to_number(i.premium_rcv_detail_code))+1
from ins_premium_det i),'40170','40170','02', '11000003','00','Request by Mr. Saqib Saleem 31-Dec-2024 Active');</v>
      </c>
      <c r="H155" s="29" t="str">
        <f t="shared" si="11"/>
        <v>insert into ins_premium_det (premium_rcv_code,assorted_code, rec_amount,premium_rcv_detail_code,remaining_amt, payrec, mode_code,coinsurance_code,class_cd,it_remarks) values('30Dec240042','070000170880','40170',(select max(to_number(i.premium_rcv_detail_code))+1
from ins_premium_det i),'40170','40170','02', '11000003','00','Request by Mr. Saqib Saleem 31-Dec-2024 Active');</v>
      </c>
    </row>
    <row r="156" spans="1:8" ht="105" x14ac:dyDescent="0.25">
      <c r="A156" s="12" t="s">
        <v>11535</v>
      </c>
      <c r="B156" s="25" t="str">
        <f>VLOOKUP(A156,policy!B:C,2,0)</f>
        <v>070000170882</v>
      </c>
      <c r="C156" s="11">
        <v>29868</v>
      </c>
      <c r="D156" s="26">
        <f t="shared" si="9"/>
        <v>29868</v>
      </c>
      <c r="E156" s="24" t="s">
        <v>13296</v>
      </c>
      <c r="F156" s="27" t="str">
        <f t="shared" si="8"/>
        <v>insert into ins_premium_det (premium_rcv_code,assorted_code, rec_amount,premium_rcv_detail_code,remaining_amt, payrec, mode_code,coinsurance_code,class_cd,it_remarks) values</v>
      </c>
      <c r="G156" s="28" t="str">
        <f t="shared" si="10"/>
        <v>('30Dec240042','070000170882','29868',(select max(to_number(i.premium_rcv_detail_code))+1
from ins_premium_det i),'29868','29868','02', '11000003','00','Request by Mr. Saqib Saleem 31-Dec-2024 Active');</v>
      </c>
      <c r="H156" s="29" t="str">
        <f t="shared" si="11"/>
        <v>insert into ins_premium_det (premium_rcv_code,assorted_code, rec_amount,premium_rcv_detail_code,remaining_amt, payrec, mode_code,coinsurance_code,class_cd,it_remarks) values('30Dec240042','070000170882','29868',(select max(to_number(i.premium_rcv_detail_code))+1
from ins_premium_det i),'29868','29868','02', '11000003','00','Request by Mr. Saqib Saleem 31-Dec-2024 Active');</v>
      </c>
    </row>
    <row r="157" spans="1:8" ht="105" x14ac:dyDescent="0.25">
      <c r="A157" s="12" t="s">
        <v>11536</v>
      </c>
      <c r="B157" s="25" t="str">
        <f>VLOOKUP(A157,policy!B:C,2,0)</f>
        <v>070000170883</v>
      </c>
      <c r="C157" s="13">
        <v>59723</v>
      </c>
      <c r="D157" s="26">
        <f t="shared" si="9"/>
        <v>59723</v>
      </c>
      <c r="E157" s="24" t="s">
        <v>13296</v>
      </c>
      <c r="F157" s="27" t="str">
        <f t="shared" si="8"/>
        <v>insert into ins_premium_det (premium_rcv_code,assorted_code, rec_amount,premium_rcv_detail_code,remaining_amt, payrec, mode_code,coinsurance_code,class_cd,it_remarks) values</v>
      </c>
      <c r="G157" s="28" t="str">
        <f t="shared" si="10"/>
        <v>('30Dec240042','070000170883','59723',(select max(to_number(i.premium_rcv_detail_code))+1
from ins_premium_det i),'59723','59723','02', '11000003','00','Request by Mr. Saqib Saleem 31-Dec-2024 Active');</v>
      </c>
      <c r="H157" s="29" t="str">
        <f t="shared" si="11"/>
        <v>insert into ins_premium_det (premium_rcv_code,assorted_code, rec_amount,premium_rcv_detail_code,remaining_amt, payrec, mode_code,coinsurance_code,class_cd,it_remarks) values('30Dec240042','070000170883','59723',(select max(to_number(i.premium_rcv_detail_code))+1
from ins_premium_det i),'59723','59723','02', '11000003','00','Request by Mr. Saqib Saleem 31-Dec-2024 Active');</v>
      </c>
    </row>
    <row r="158" spans="1:8" ht="105" x14ac:dyDescent="0.25">
      <c r="A158" s="12" t="s">
        <v>11537</v>
      </c>
      <c r="B158" s="25" t="str">
        <f>VLOOKUP(A158,policy!B:C,2,0)</f>
        <v>070000170884</v>
      </c>
      <c r="C158" s="11">
        <v>59723</v>
      </c>
      <c r="D158" s="26">
        <f t="shared" si="9"/>
        <v>59723</v>
      </c>
      <c r="E158" s="24" t="s">
        <v>13296</v>
      </c>
      <c r="F158" s="27" t="str">
        <f t="shared" si="8"/>
        <v>insert into ins_premium_det (premium_rcv_code,assorted_code, rec_amount,premium_rcv_detail_code,remaining_amt, payrec, mode_code,coinsurance_code,class_cd,it_remarks) values</v>
      </c>
      <c r="G158" s="28" t="str">
        <f t="shared" si="10"/>
        <v>('30Dec240042','070000170884','59723',(select max(to_number(i.premium_rcv_detail_code))+1
from ins_premium_det i),'59723','59723','02', '11000003','00','Request by Mr. Saqib Saleem 31-Dec-2024 Active');</v>
      </c>
      <c r="H158" s="29" t="str">
        <f t="shared" si="11"/>
        <v>insert into ins_premium_det (premium_rcv_code,assorted_code, rec_amount,premium_rcv_detail_code,remaining_amt, payrec, mode_code,coinsurance_code,class_cd,it_remarks) values('30Dec240042','070000170884','59723',(select max(to_number(i.premium_rcv_detail_code))+1
from ins_premium_det i),'59723','59723','02', '11000003','00','Request by Mr. Saqib Saleem 31-Dec-2024 Active');</v>
      </c>
    </row>
    <row r="159" spans="1:8" ht="105" x14ac:dyDescent="0.25">
      <c r="A159" s="12" t="s">
        <v>11538</v>
      </c>
      <c r="B159" s="25" t="str">
        <f>VLOOKUP(A159,policy!B:C,2,0)</f>
        <v>070000170885</v>
      </c>
      <c r="C159" s="13">
        <v>63032</v>
      </c>
      <c r="D159" s="26">
        <f t="shared" si="9"/>
        <v>63032</v>
      </c>
      <c r="E159" s="24" t="s">
        <v>13296</v>
      </c>
      <c r="F159" s="27" t="str">
        <f t="shared" si="8"/>
        <v>insert into ins_premium_det (premium_rcv_code,assorted_code, rec_amount,premium_rcv_detail_code,remaining_amt, payrec, mode_code,coinsurance_code,class_cd,it_remarks) values</v>
      </c>
      <c r="G159" s="28" t="str">
        <f t="shared" si="10"/>
        <v>('30Dec240042','070000170885','63032',(select max(to_number(i.premium_rcv_detail_code))+1
from ins_premium_det i),'63032','63032','02', '11000003','00','Request by Mr. Saqib Saleem 31-Dec-2024 Active');</v>
      </c>
      <c r="H159" s="29" t="str">
        <f t="shared" si="11"/>
        <v>insert into ins_premium_det (premium_rcv_code,assorted_code, rec_amount,premium_rcv_detail_code,remaining_amt, payrec, mode_code,coinsurance_code,class_cd,it_remarks) values('30Dec240042','070000170885','63032',(select max(to_number(i.premium_rcv_detail_code))+1
from ins_premium_det i),'63032','63032','02', '11000003','00','Request by Mr. Saqib Saleem 31-Dec-2024 Active');</v>
      </c>
    </row>
    <row r="160" spans="1:8" ht="105" x14ac:dyDescent="0.25">
      <c r="A160" s="12" t="s">
        <v>11539</v>
      </c>
      <c r="B160" s="25" t="str">
        <f>VLOOKUP(A160,policy!B:C,2,0)</f>
        <v>070000170886</v>
      </c>
      <c r="C160" s="11">
        <v>59723</v>
      </c>
      <c r="D160" s="26">
        <f t="shared" si="9"/>
        <v>59723</v>
      </c>
      <c r="E160" s="24" t="s">
        <v>13296</v>
      </c>
      <c r="F160" s="27" t="str">
        <f t="shared" si="8"/>
        <v>insert into ins_premium_det (premium_rcv_code,assorted_code, rec_amount,premium_rcv_detail_code,remaining_amt, payrec, mode_code,coinsurance_code,class_cd,it_remarks) values</v>
      </c>
      <c r="G160" s="28" t="str">
        <f t="shared" si="10"/>
        <v>('30Dec240042','070000170886','59723',(select max(to_number(i.premium_rcv_detail_code))+1
from ins_premium_det i),'59723','59723','02', '11000003','00','Request by Mr. Saqib Saleem 31-Dec-2024 Active');</v>
      </c>
      <c r="H160" s="29" t="str">
        <f t="shared" si="11"/>
        <v>insert into ins_premium_det (premium_rcv_code,assorted_code, rec_amount,premium_rcv_detail_code,remaining_amt, payrec, mode_code,coinsurance_code,class_cd,it_remarks) values('30Dec240042','070000170886','59723',(select max(to_number(i.premium_rcv_detail_code))+1
from ins_premium_det i),'59723','59723','02', '11000003','00','Request by Mr. Saqib Saleem 31-Dec-2024 Active');</v>
      </c>
    </row>
    <row r="161" spans="1:8" ht="105" x14ac:dyDescent="0.25">
      <c r="A161" s="12" t="s">
        <v>11540</v>
      </c>
      <c r="B161" s="25" t="str">
        <f>VLOOKUP(A161,policy!B:C,2,0)</f>
        <v>070000170887</v>
      </c>
      <c r="C161" s="13">
        <v>66192</v>
      </c>
      <c r="D161" s="26">
        <f t="shared" si="9"/>
        <v>66192</v>
      </c>
      <c r="E161" s="24" t="s">
        <v>13296</v>
      </c>
      <c r="F161" s="27" t="str">
        <f t="shared" si="8"/>
        <v>insert into ins_premium_det (premium_rcv_code,assorted_code, rec_amount,premium_rcv_detail_code,remaining_amt, payrec, mode_code,coinsurance_code,class_cd,it_remarks) values</v>
      </c>
      <c r="G161" s="28" t="str">
        <f t="shared" si="10"/>
        <v>('30Dec240042','070000170887','66192',(select max(to_number(i.premium_rcv_detail_code))+1
from ins_premium_det i),'66192','66192','02', '11000003','00','Request by Mr. Saqib Saleem 31-Dec-2024 Active');</v>
      </c>
      <c r="H161" s="29" t="str">
        <f t="shared" si="11"/>
        <v>insert into ins_premium_det (premium_rcv_code,assorted_code, rec_amount,premium_rcv_detail_code,remaining_amt, payrec, mode_code,coinsurance_code,class_cd,it_remarks) values('30Dec240042','070000170887','66192',(select max(to_number(i.premium_rcv_detail_code))+1
from ins_premium_det i),'66192','66192','02', '11000003','00','Request by Mr. Saqib Saleem 31-Dec-2024 Active');</v>
      </c>
    </row>
    <row r="162" spans="1:8" ht="105" x14ac:dyDescent="0.25">
      <c r="A162" s="12" t="s">
        <v>11541</v>
      </c>
      <c r="B162" s="25" t="str">
        <f>VLOOKUP(A162,policy!B:C,2,0)</f>
        <v>070000170888</v>
      </c>
      <c r="C162" s="11">
        <v>29461</v>
      </c>
      <c r="D162" s="26">
        <f t="shared" si="9"/>
        <v>29461</v>
      </c>
      <c r="E162" s="24" t="s">
        <v>13296</v>
      </c>
      <c r="F162" s="27" t="str">
        <f t="shared" si="8"/>
        <v>insert into ins_premium_det (premium_rcv_code,assorted_code, rec_amount,premium_rcv_detail_code,remaining_amt, payrec, mode_code,coinsurance_code,class_cd,it_remarks) values</v>
      </c>
      <c r="G162" s="28" t="str">
        <f t="shared" si="10"/>
        <v>('30Dec240042','070000170888','29461',(select max(to_number(i.premium_rcv_detail_code))+1
from ins_premium_det i),'29461','29461','02', '11000003','00','Request by Mr. Saqib Saleem 31-Dec-2024 Active');</v>
      </c>
      <c r="H162" s="29" t="str">
        <f t="shared" si="11"/>
        <v>insert into ins_premium_det (premium_rcv_code,assorted_code, rec_amount,premium_rcv_detail_code,remaining_amt, payrec, mode_code,coinsurance_code,class_cd,it_remarks) values('30Dec240042','070000170888','29461',(select max(to_number(i.premium_rcv_detail_code))+1
from ins_premium_det i),'29461','29461','02', '11000003','00','Request by Mr. Saqib Saleem 31-Dec-2024 Active');</v>
      </c>
    </row>
    <row r="163" spans="1:8" ht="105" x14ac:dyDescent="0.25">
      <c r="A163" s="12" t="s">
        <v>11542</v>
      </c>
      <c r="B163" s="25" t="str">
        <f>VLOOKUP(A163,policy!B:C,2,0)</f>
        <v>070000170892</v>
      </c>
      <c r="C163" s="13">
        <v>36444</v>
      </c>
      <c r="D163" s="26">
        <f t="shared" si="9"/>
        <v>36444</v>
      </c>
      <c r="E163" s="24" t="s">
        <v>13296</v>
      </c>
      <c r="F163" s="27" t="str">
        <f t="shared" si="8"/>
        <v>insert into ins_premium_det (premium_rcv_code,assorted_code, rec_amount,premium_rcv_detail_code,remaining_amt, payrec, mode_code,coinsurance_code,class_cd,it_remarks) values</v>
      </c>
      <c r="G163" s="28" t="str">
        <f t="shared" si="10"/>
        <v>('30Dec240042','070000170892','36444',(select max(to_number(i.premium_rcv_detail_code))+1
from ins_premium_det i),'36444','36444','02', '11000003','00','Request by Mr. Saqib Saleem 31-Dec-2024 Active');</v>
      </c>
      <c r="H163" s="29" t="str">
        <f t="shared" si="11"/>
        <v>insert into ins_premium_det (premium_rcv_code,assorted_code, rec_amount,premium_rcv_detail_code,remaining_amt, payrec, mode_code,coinsurance_code,class_cd,it_remarks) values('30Dec240042','070000170892','36444',(select max(to_number(i.premium_rcv_detail_code))+1
from ins_premium_det i),'36444','36444','02', '11000003','00','Request by Mr. Saqib Saleem 31-Dec-2024 Active');</v>
      </c>
    </row>
    <row r="164" spans="1:8" ht="105" x14ac:dyDescent="0.25">
      <c r="A164" s="12" t="s">
        <v>11543</v>
      </c>
      <c r="B164" s="25" t="str">
        <f>VLOOKUP(A164,policy!B:C,2,0)</f>
        <v>070000170893</v>
      </c>
      <c r="C164" s="11">
        <v>37188</v>
      </c>
      <c r="D164" s="26">
        <f t="shared" si="9"/>
        <v>37188</v>
      </c>
      <c r="E164" s="24" t="s">
        <v>13296</v>
      </c>
      <c r="F164" s="27" t="str">
        <f t="shared" si="8"/>
        <v>insert into ins_premium_det (premium_rcv_code,assorted_code, rec_amount,premium_rcv_detail_code,remaining_amt, payrec, mode_code,coinsurance_code,class_cd,it_remarks) values</v>
      </c>
      <c r="G164" s="28" t="str">
        <f t="shared" si="10"/>
        <v>('30Dec240042','070000170893','37188',(select max(to_number(i.premium_rcv_detail_code))+1
from ins_premium_det i),'37188','37188','02', '11000003','00','Request by Mr. Saqib Saleem 31-Dec-2024 Active');</v>
      </c>
      <c r="H164" s="29" t="str">
        <f t="shared" si="11"/>
        <v>insert into ins_premium_det (premium_rcv_code,assorted_code, rec_amount,premium_rcv_detail_code,remaining_amt, payrec, mode_code,coinsurance_code,class_cd,it_remarks) values('30Dec240042','070000170893','37188',(select max(to_number(i.premium_rcv_detail_code))+1
from ins_premium_det i),'37188','37188','02', '11000003','00','Request by Mr. Saqib Saleem 31-Dec-2024 Active');</v>
      </c>
    </row>
    <row r="165" spans="1:8" ht="105" x14ac:dyDescent="0.25">
      <c r="A165" s="12" t="s">
        <v>11544</v>
      </c>
      <c r="B165" s="25" t="str">
        <f>VLOOKUP(A165,policy!B:C,2,0)</f>
        <v>070000170903</v>
      </c>
      <c r="C165" s="13">
        <v>24336</v>
      </c>
      <c r="D165" s="26">
        <f t="shared" si="9"/>
        <v>24336</v>
      </c>
      <c r="E165" s="24" t="s">
        <v>13296</v>
      </c>
      <c r="F165" s="27" t="str">
        <f t="shared" si="8"/>
        <v>insert into ins_premium_det (premium_rcv_code,assorted_code, rec_amount,premium_rcv_detail_code,remaining_amt, payrec, mode_code,coinsurance_code,class_cd,it_remarks) values</v>
      </c>
      <c r="G165" s="28" t="str">
        <f t="shared" si="10"/>
        <v>('30Dec240042','070000170903','24336',(select max(to_number(i.premium_rcv_detail_code))+1
from ins_premium_det i),'24336','24336','02', '11000003','00','Request by Mr. Saqib Saleem 31-Dec-2024 Active');</v>
      </c>
      <c r="H165" s="29" t="str">
        <f t="shared" si="11"/>
        <v>insert into ins_premium_det (premium_rcv_code,assorted_code, rec_amount,premium_rcv_detail_code,remaining_amt, payrec, mode_code,coinsurance_code,class_cd,it_remarks) values('30Dec240042','070000170903','24336',(select max(to_number(i.premium_rcv_detail_code))+1
from ins_premium_det i),'24336','24336','02', '11000003','00','Request by Mr. Saqib Saleem 31-Dec-2024 Active');</v>
      </c>
    </row>
    <row r="166" spans="1:8" ht="105" x14ac:dyDescent="0.25">
      <c r="A166" s="12" t="s">
        <v>11545</v>
      </c>
      <c r="B166" s="25" t="str">
        <f>VLOOKUP(A166,policy!B:C,2,0)</f>
        <v>070000170906</v>
      </c>
      <c r="C166" s="11">
        <v>37920</v>
      </c>
      <c r="D166" s="26">
        <f t="shared" si="9"/>
        <v>37920</v>
      </c>
      <c r="E166" s="24" t="s">
        <v>13296</v>
      </c>
      <c r="F166" s="27" t="str">
        <f t="shared" si="8"/>
        <v>insert into ins_premium_det (premium_rcv_code,assorted_code, rec_amount,premium_rcv_detail_code,remaining_amt, payrec, mode_code,coinsurance_code,class_cd,it_remarks) values</v>
      </c>
      <c r="G166" s="28" t="str">
        <f t="shared" si="10"/>
        <v>('30Dec240042','070000170906','37920',(select max(to_number(i.premium_rcv_detail_code))+1
from ins_premium_det i),'37920','37920','02', '11000003','00','Request by Mr. Saqib Saleem 31-Dec-2024 Active');</v>
      </c>
      <c r="H166" s="29" t="str">
        <f t="shared" si="11"/>
        <v>insert into ins_premium_det (premium_rcv_code,assorted_code, rec_amount,premium_rcv_detail_code,remaining_amt, payrec, mode_code,coinsurance_code,class_cd,it_remarks) values('30Dec240042','070000170906','37920',(select max(to_number(i.premium_rcv_detail_code))+1
from ins_premium_det i),'37920','37920','02', '11000003','00','Request by Mr. Saqib Saleem 31-Dec-2024 Active');</v>
      </c>
    </row>
    <row r="167" spans="1:8" ht="105" x14ac:dyDescent="0.25">
      <c r="A167" s="12" t="s">
        <v>11546</v>
      </c>
      <c r="B167" s="25" t="str">
        <f>VLOOKUP(A167,policy!B:C,2,0)</f>
        <v>070000170907</v>
      </c>
      <c r="C167" s="13">
        <v>25800</v>
      </c>
      <c r="D167" s="26">
        <f t="shared" si="9"/>
        <v>25800</v>
      </c>
      <c r="E167" s="24" t="s">
        <v>13296</v>
      </c>
      <c r="F167" s="27" t="str">
        <f t="shared" si="8"/>
        <v>insert into ins_premium_det (premium_rcv_code,assorted_code, rec_amount,premium_rcv_detail_code,remaining_amt, payrec, mode_code,coinsurance_code,class_cd,it_remarks) values</v>
      </c>
      <c r="G167" s="28" t="str">
        <f t="shared" si="10"/>
        <v>('30Dec240042','070000170907','25800',(select max(to_number(i.premium_rcv_detail_code))+1
from ins_premium_det i),'25800','25800','02', '11000003','00','Request by Mr. Saqib Saleem 31-Dec-2024 Active');</v>
      </c>
      <c r="H167" s="29" t="str">
        <f t="shared" si="11"/>
        <v>insert into ins_premium_det (premium_rcv_code,assorted_code, rec_amount,premium_rcv_detail_code,remaining_amt, payrec, mode_code,coinsurance_code,class_cd,it_remarks) values('30Dec240042','070000170907','25800',(select max(to_number(i.premium_rcv_detail_code))+1
from ins_premium_det i),'25800','25800','02', '11000003','00','Request by Mr. Saqib Saleem 31-Dec-2024 Active');</v>
      </c>
    </row>
    <row r="168" spans="1:8" ht="105" x14ac:dyDescent="0.25">
      <c r="A168" s="12" t="s">
        <v>11547</v>
      </c>
      <c r="B168" s="25" t="str">
        <f>VLOOKUP(A168,policy!B:C,2,0)</f>
        <v>070000170910</v>
      </c>
      <c r="C168" s="11">
        <v>42400</v>
      </c>
      <c r="D168" s="26">
        <f t="shared" si="9"/>
        <v>42400</v>
      </c>
      <c r="E168" s="24" t="s">
        <v>13296</v>
      </c>
      <c r="F168" s="27" t="str">
        <f t="shared" si="8"/>
        <v>insert into ins_premium_det (premium_rcv_code,assorted_code, rec_amount,premium_rcv_detail_code,remaining_amt, payrec, mode_code,coinsurance_code,class_cd,it_remarks) values</v>
      </c>
      <c r="G168" s="28" t="str">
        <f t="shared" si="10"/>
        <v>('30Dec240042','070000170910','42400',(select max(to_number(i.premium_rcv_detail_code))+1
from ins_premium_det i),'42400','42400','02', '11000003','00','Request by Mr. Saqib Saleem 31-Dec-2024 Active');</v>
      </c>
      <c r="H168" s="29" t="str">
        <f t="shared" si="11"/>
        <v>insert into ins_premium_det (premium_rcv_code,assorted_code, rec_amount,premium_rcv_detail_code,remaining_amt, payrec, mode_code,coinsurance_code,class_cd,it_remarks) values('30Dec240042','070000170910','42400',(select max(to_number(i.premium_rcv_detail_code))+1
from ins_premium_det i),'42400','42400','02', '11000003','00','Request by Mr. Saqib Saleem 31-Dec-2024 Active');</v>
      </c>
    </row>
    <row r="169" spans="1:8" ht="105" x14ac:dyDescent="0.25">
      <c r="A169" s="12" t="s">
        <v>11548</v>
      </c>
      <c r="B169" s="25" t="str">
        <f>VLOOKUP(A169,policy!B:C,2,0)</f>
        <v>070000170911</v>
      </c>
      <c r="C169" s="13">
        <v>42400</v>
      </c>
      <c r="D169" s="26">
        <f t="shared" si="9"/>
        <v>42400</v>
      </c>
      <c r="E169" s="24" t="s">
        <v>13296</v>
      </c>
      <c r="F169" s="27" t="str">
        <f t="shared" si="8"/>
        <v>insert into ins_premium_det (premium_rcv_code,assorted_code, rec_amount,premium_rcv_detail_code,remaining_amt, payrec, mode_code,coinsurance_code,class_cd,it_remarks) values</v>
      </c>
      <c r="G169" s="28" t="str">
        <f t="shared" si="10"/>
        <v>('30Dec240042','070000170911','42400',(select max(to_number(i.premium_rcv_detail_code))+1
from ins_premium_det i),'42400','42400','02', '11000003','00','Request by Mr. Saqib Saleem 31-Dec-2024 Active');</v>
      </c>
      <c r="H169" s="29" t="str">
        <f t="shared" si="11"/>
        <v>insert into ins_premium_det (premium_rcv_code,assorted_code, rec_amount,premium_rcv_detail_code,remaining_amt, payrec, mode_code,coinsurance_code,class_cd,it_remarks) values('30Dec240042','070000170911','42400',(select max(to_number(i.premium_rcv_detail_code))+1
from ins_premium_det i),'42400','42400','02', '11000003','00','Request by Mr. Saqib Saleem 31-Dec-2024 Active');</v>
      </c>
    </row>
    <row r="170" spans="1:8" ht="105" x14ac:dyDescent="0.25">
      <c r="A170" s="12" t="s">
        <v>11549</v>
      </c>
      <c r="B170" s="25" t="str">
        <f>VLOOKUP(A170,policy!B:C,2,0)</f>
        <v>070000170912</v>
      </c>
      <c r="C170" s="11">
        <v>59723</v>
      </c>
      <c r="D170" s="26">
        <f t="shared" si="9"/>
        <v>59723</v>
      </c>
      <c r="E170" s="24" t="s">
        <v>13296</v>
      </c>
      <c r="F170" s="27" t="str">
        <f t="shared" si="8"/>
        <v>insert into ins_premium_det (premium_rcv_code,assorted_code, rec_amount,premium_rcv_detail_code,remaining_amt, payrec, mode_code,coinsurance_code,class_cd,it_remarks) values</v>
      </c>
      <c r="G170" s="28" t="str">
        <f t="shared" si="10"/>
        <v>('30Dec240042','070000170912','59723',(select max(to_number(i.premium_rcv_detail_code))+1
from ins_premium_det i),'59723','59723','02', '11000003','00','Request by Mr. Saqib Saleem 31-Dec-2024 Active');</v>
      </c>
      <c r="H170" s="29" t="str">
        <f t="shared" si="11"/>
        <v>insert into ins_premium_det (premium_rcv_code,assorted_code, rec_amount,premium_rcv_detail_code,remaining_amt, payrec, mode_code,coinsurance_code,class_cd,it_remarks) values('30Dec240042','070000170912','59723',(select max(to_number(i.premium_rcv_detail_code))+1
from ins_premium_det i),'59723','59723','02', '11000003','00','Request by Mr. Saqib Saleem 31-Dec-2024 Active');</v>
      </c>
    </row>
    <row r="171" spans="1:8" ht="105" x14ac:dyDescent="0.25">
      <c r="A171" s="12" t="s">
        <v>11550</v>
      </c>
      <c r="B171" s="25" t="str">
        <f>VLOOKUP(A171,policy!B:C,2,0)</f>
        <v>070000170917</v>
      </c>
      <c r="C171" s="13">
        <v>29461</v>
      </c>
      <c r="D171" s="26">
        <f t="shared" si="9"/>
        <v>29461</v>
      </c>
      <c r="E171" s="24" t="s">
        <v>13296</v>
      </c>
      <c r="F171" s="27" t="str">
        <f t="shared" si="8"/>
        <v>insert into ins_premium_det (premium_rcv_code,assorted_code, rec_amount,premium_rcv_detail_code,remaining_amt, payrec, mode_code,coinsurance_code,class_cd,it_remarks) values</v>
      </c>
      <c r="G171" s="28" t="str">
        <f t="shared" si="10"/>
        <v>('30Dec240042','070000170917','29461',(select max(to_number(i.premium_rcv_detail_code))+1
from ins_premium_det i),'29461','29461','02', '11000003','00','Request by Mr. Saqib Saleem 31-Dec-2024 Active');</v>
      </c>
      <c r="H171" s="29" t="str">
        <f t="shared" si="11"/>
        <v>insert into ins_premium_det (premium_rcv_code,assorted_code, rec_amount,premium_rcv_detail_code,remaining_amt, payrec, mode_code,coinsurance_code,class_cd,it_remarks) values('30Dec240042','070000170917','29461',(select max(to_number(i.premium_rcv_detail_code))+1
from ins_premium_det i),'29461','29461','02', '11000003','00','Request by Mr. Saqib Saleem 31-Dec-2024 Active');</v>
      </c>
    </row>
    <row r="172" spans="1:8" ht="105" x14ac:dyDescent="0.25">
      <c r="A172" s="12" t="s">
        <v>11551</v>
      </c>
      <c r="B172" s="25" t="str">
        <f>VLOOKUP(A172,policy!B:C,2,0)</f>
        <v>070000170925</v>
      </c>
      <c r="C172" s="11">
        <v>31535</v>
      </c>
      <c r="D172" s="26">
        <f t="shared" si="9"/>
        <v>31535</v>
      </c>
      <c r="E172" s="24" t="s">
        <v>13296</v>
      </c>
      <c r="F172" s="27" t="str">
        <f t="shared" si="8"/>
        <v>insert into ins_premium_det (premium_rcv_code,assorted_code, rec_amount,premium_rcv_detail_code,remaining_amt, payrec, mode_code,coinsurance_code,class_cd,it_remarks) values</v>
      </c>
      <c r="G172" s="28" t="str">
        <f t="shared" si="10"/>
        <v>('30Dec240042','070000170925','31535',(select max(to_number(i.premium_rcv_detail_code))+1
from ins_premium_det i),'31535','31535','02', '11000003','00','Request by Mr. Saqib Saleem 31-Dec-2024 Active');</v>
      </c>
      <c r="H172" s="29" t="str">
        <f t="shared" si="11"/>
        <v>insert into ins_premium_det (premium_rcv_code,assorted_code, rec_amount,premium_rcv_detail_code,remaining_amt, payrec, mode_code,coinsurance_code,class_cd,it_remarks) values('30Dec240042','070000170925','31535',(select max(to_number(i.premium_rcv_detail_code))+1
from ins_premium_det i),'31535','31535','02', '11000003','00','Request by Mr. Saqib Saleem 31-Dec-2024 Active');</v>
      </c>
    </row>
    <row r="173" spans="1:8" ht="105" x14ac:dyDescent="0.25">
      <c r="A173" s="12" t="s">
        <v>11552</v>
      </c>
      <c r="B173" s="25" t="str">
        <f>VLOOKUP(A173,policy!B:C,2,0)</f>
        <v>070000170931</v>
      </c>
      <c r="C173" s="13">
        <v>24000</v>
      </c>
      <c r="D173" s="26">
        <f t="shared" si="9"/>
        <v>24000</v>
      </c>
      <c r="E173" s="24" t="s">
        <v>13296</v>
      </c>
      <c r="F173" s="27" t="str">
        <f t="shared" si="8"/>
        <v>insert into ins_premium_det (premium_rcv_code,assorted_code, rec_amount,premium_rcv_detail_code,remaining_amt, payrec, mode_code,coinsurance_code,class_cd,it_remarks) values</v>
      </c>
      <c r="G173" s="28" t="str">
        <f t="shared" si="10"/>
        <v>('30Dec240042','070000170931','24000',(select max(to_number(i.premium_rcv_detail_code))+1
from ins_premium_det i),'24000','24000','02', '11000003','00','Request by Mr. Saqib Saleem 31-Dec-2024 Active');</v>
      </c>
      <c r="H173" s="29" t="str">
        <f t="shared" si="11"/>
        <v>insert into ins_premium_det (premium_rcv_code,assorted_code, rec_amount,premium_rcv_detail_code,remaining_amt, payrec, mode_code,coinsurance_code,class_cd,it_remarks) values('30Dec240042','070000170931','24000',(select max(to_number(i.premium_rcv_detail_code))+1
from ins_premium_det i),'24000','24000','02', '11000003','00','Request by Mr. Saqib Saleem 31-Dec-2024 Active');</v>
      </c>
    </row>
    <row r="174" spans="1:8" ht="105" x14ac:dyDescent="0.25">
      <c r="A174" s="12" t="s">
        <v>11553</v>
      </c>
      <c r="B174" s="25" t="str">
        <f>VLOOKUP(A174,policy!B:C,2,0)</f>
        <v>070000170932</v>
      </c>
      <c r="C174" s="11">
        <v>22331</v>
      </c>
      <c r="D174" s="26">
        <f t="shared" si="9"/>
        <v>22331</v>
      </c>
      <c r="E174" s="24" t="s">
        <v>13296</v>
      </c>
      <c r="F174" s="27" t="str">
        <f t="shared" si="8"/>
        <v>insert into ins_premium_det (premium_rcv_code,assorted_code, rec_amount,premium_rcv_detail_code,remaining_amt, payrec, mode_code,coinsurance_code,class_cd,it_remarks) values</v>
      </c>
      <c r="G174" s="28" t="str">
        <f t="shared" si="10"/>
        <v>('30Dec240042','070000170932','22331',(select max(to_number(i.premium_rcv_detail_code))+1
from ins_premium_det i),'22331','22331','02', '11000003','00','Request by Mr. Saqib Saleem 31-Dec-2024 Active');</v>
      </c>
      <c r="H174" s="29" t="str">
        <f t="shared" si="11"/>
        <v>insert into ins_premium_det (premium_rcv_code,assorted_code, rec_amount,premium_rcv_detail_code,remaining_amt, payrec, mode_code,coinsurance_code,class_cd,it_remarks) values('30Dec240042','070000170932','22331',(select max(to_number(i.premium_rcv_detail_code))+1
from ins_premium_det i),'22331','22331','02', '11000003','00','Request by Mr. Saqib Saleem 31-Dec-2024 Active');</v>
      </c>
    </row>
    <row r="175" spans="1:8" ht="105" x14ac:dyDescent="0.25">
      <c r="A175" s="12" t="s">
        <v>11554</v>
      </c>
      <c r="B175" s="25" t="str">
        <f>VLOOKUP(A175,policy!B:C,2,0)</f>
        <v>070000170934</v>
      </c>
      <c r="C175" s="13">
        <v>36975</v>
      </c>
      <c r="D175" s="26">
        <f t="shared" si="9"/>
        <v>36975</v>
      </c>
      <c r="E175" s="24" t="s">
        <v>13296</v>
      </c>
      <c r="F175" s="27" t="str">
        <f t="shared" si="8"/>
        <v>insert into ins_premium_det (premium_rcv_code,assorted_code, rec_amount,premium_rcv_detail_code,remaining_amt, payrec, mode_code,coinsurance_code,class_cd,it_remarks) values</v>
      </c>
      <c r="G175" s="28" t="str">
        <f t="shared" si="10"/>
        <v>('30Dec240042','070000170934','36975',(select max(to_number(i.premium_rcv_detail_code))+1
from ins_premium_det i),'36975','36975','02', '11000003','00','Request by Mr. Saqib Saleem 31-Dec-2024 Active');</v>
      </c>
      <c r="H175" s="29" t="str">
        <f t="shared" si="11"/>
        <v>insert into ins_premium_det (premium_rcv_code,assorted_code, rec_amount,premium_rcv_detail_code,remaining_amt, payrec, mode_code,coinsurance_code,class_cd,it_remarks) values('30Dec240042','070000170934','36975',(select max(to_number(i.premium_rcv_detail_code))+1
from ins_premium_det i),'36975','36975','02', '11000003','00','Request by Mr. Saqib Saleem 31-Dec-2024 Active');</v>
      </c>
    </row>
    <row r="176" spans="1:8" ht="105" x14ac:dyDescent="0.25">
      <c r="A176" s="12" t="s">
        <v>11555</v>
      </c>
      <c r="B176" s="25" t="str">
        <f>VLOOKUP(A176,policy!B:C,2,0)</f>
        <v>070000170935</v>
      </c>
      <c r="C176" s="11">
        <v>52080</v>
      </c>
      <c r="D176" s="26">
        <f t="shared" si="9"/>
        <v>52080</v>
      </c>
      <c r="E176" s="24" t="s">
        <v>13296</v>
      </c>
      <c r="F176" s="27" t="str">
        <f t="shared" si="8"/>
        <v>insert into ins_premium_det (premium_rcv_code,assorted_code, rec_amount,premium_rcv_detail_code,remaining_amt, payrec, mode_code,coinsurance_code,class_cd,it_remarks) values</v>
      </c>
      <c r="G176" s="28" t="str">
        <f t="shared" si="10"/>
        <v>('30Dec240042','070000170935','52080',(select max(to_number(i.premium_rcv_detail_code))+1
from ins_premium_det i),'52080','52080','02', '11000003','00','Request by Mr. Saqib Saleem 31-Dec-2024 Active');</v>
      </c>
      <c r="H176" s="29" t="str">
        <f t="shared" si="11"/>
        <v>insert into ins_premium_det (premium_rcv_code,assorted_code, rec_amount,premium_rcv_detail_code,remaining_amt, payrec, mode_code,coinsurance_code,class_cd,it_remarks) values('30Dec240042','070000170935','52080',(select max(to_number(i.premium_rcv_detail_code))+1
from ins_premium_det i),'52080','52080','02', '11000003','00','Request by Mr. Saqib Saleem 31-Dec-2024 Active');</v>
      </c>
    </row>
    <row r="177" spans="1:8" ht="105" x14ac:dyDescent="0.25">
      <c r="A177" s="12" t="s">
        <v>11556</v>
      </c>
      <c r="B177" s="25" t="str">
        <f>VLOOKUP(A177,policy!B:C,2,0)</f>
        <v>070000170936</v>
      </c>
      <c r="C177" s="13">
        <v>42975</v>
      </c>
      <c r="D177" s="26">
        <f t="shared" si="9"/>
        <v>42975</v>
      </c>
      <c r="E177" s="24" t="s">
        <v>13296</v>
      </c>
      <c r="F177" s="27" t="str">
        <f t="shared" si="8"/>
        <v>insert into ins_premium_det (premium_rcv_code,assorted_code, rec_amount,premium_rcv_detail_code,remaining_amt, payrec, mode_code,coinsurance_code,class_cd,it_remarks) values</v>
      </c>
      <c r="G177" s="28" t="str">
        <f t="shared" si="10"/>
        <v>('30Dec240042','070000170936','42975',(select max(to_number(i.premium_rcv_detail_code))+1
from ins_premium_det i),'42975','42975','02', '11000003','00','Request by Mr. Saqib Saleem 31-Dec-2024 Active');</v>
      </c>
      <c r="H177" s="29" t="str">
        <f t="shared" si="11"/>
        <v>insert into ins_premium_det (premium_rcv_code,assorted_code, rec_amount,premium_rcv_detail_code,remaining_amt, payrec, mode_code,coinsurance_code,class_cd,it_remarks) values('30Dec240042','070000170936','42975',(select max(to_number(i.premium_rcv_detail_code))+1
from ins_premium_det i),'42975','42975','02', '11000003','00','Request by Mr. Saqib Saleem 31-Dec-2024 Active');</v>
      </c>
    </row>
    <row r="178" spans="1:8" ht="105" x14ac:dyDescent="0.25">
      <c r="A178" s="12" t="s">
        <v>11557</v>
      </c>
      <c r="B178" s="25" t="str">
        <f>VLOOKUP(A178,policy!B:C,2,0)</f>
        <v>070000170937</v>
      </c>
      <c r="C178" s="11">
        <v>55463</v>
      </c>
      <c r="D178" s="26">
        <f t="shared" si="9"/>
        <v>55463</v>
      </c>
      <c r="E178" s="24" t="s">
        <v>13296</v>
      </c>
      <c r="F178" s="27" t="str">
        <f t="shared" si="8"/>
        <v>insert into ins_premium_det (premium_rcv_code,assorted_code, rec_amount,premium_rcv_detail_code,remaining_amt, payrec, mode_code,coinsurance_code,class_cd,it_remarks) values</v>
      </c>
      <c r="G178" s="28" t="str">
        <f t="shared" si="10"/>
        <v>('30Dec240042','070000170937','55463',(select max(to_number(i.premium_rcv_detail_code))+1
from ins_premium_det i),'55463','55463','02', '11000003','00','Request by Mr. Saqib Saleem 31-Dec-2024 Active');</v>
      </c>
      <c r="H178" s="29" t="str">
        <f t="shared" si="11"/>
        <v>insert into ins_premium_det (premium_rcv_code,assorted_code, rec_amount,premium_rcv_detail_code,remaining_amt, payrec, mode_code,coinsurance_code,class_cd,it_remarks) values('30Dec240042','070000170937','55463',(select max(to_number(i.premium_rcv_detail_code))+1
from ins_premium_det i),'55463','55463','02', '11000003','00','Request by Mr. Saqib Saleem 31-Dec-2024 Active');</v>
      </c>
    </row>
    <row r="179" spans="1:8" ht="105" x14ac:dyDescent="0.25">
      <c r="A179" s="12" t="s">
        <v>11558</v>
      </c>
      <c r="B179" s="25" t="str">
        <f>VLOOKUP(A179,policy!B:C,2,0)</f>
        <v>070000170939</v>
      </c>
      <c r="C179" s="13">
        <v>41400</v>
      </c>
      <c r="D179" s="26">
        <f t="shared" si="9"/>
        <v>41400</v>
      </c>
      <c r="E179" s="24" t="s">
        <v>13296</v>
      </c>
      <c r="F179" s="27" t="str">
        <f t="shared" si="8"/>
        <v>insert into ins_premium_det (premium_rcv_code,assorted_code, rec_amount,premium_rcv_detail_code,remaining_amt, payrec, mode_code,coinsurance_code,class_cd,it_remarks) values</v>
      </c>
      <c r="G179" s="28" t="str">
        <f t="shared" si="10"/>
        <v>('30Dec240042','070000170939','41400',(select max(to_number(i.premium_rcv_detail_code))+1
from ins_premium_det i),'41400','41400','02', '11000003','00','Request by Mr. Saqib Saleem 31-Dec-2024 Active');</v>
      </c>
      <c r="H179" s="29" t="str">
        <f t="shared" si="11"/>
        <v>insert into ins_premium_det (premium_rcv_code,assorted_code, rec_amount,premium_rcv_detail_code,remaining_amt, payrec, mode_code,coinsurance_code,class_cd,it_remarks) values('30Dec240042','070000170939','41400',(select max(to_number(i.premium_rcv_detail_code))+1
from ins_premium_det i),'41400','41400','02', '11000003','00','Request by Mr. Saqib Saleem 31-Dec-2024 Active');</v>
      </c>
    </row>
    <row r="180" spans="1:8" ht="105" x14ac:dyDescent="0.25">
      <c r="A180" s="12" t="s">
        <v>11559</v>
      </c>
      <c r="B180" s="25" t="str">
        <f>VLOOKUP(A180,policy!B:C,2,0)</f>
        <v>070000170941</v>
      </c>
      <c r="C180" s="11">
        <v>55463</v>
      </c>
      <c r="D180" s="26">
        <f t="shared" si="9"/>
        <v>55463</v>
      </c>
      <c r="E180" s="24" t="s">
        <v>13296</v>
      </c>
      <c r="F180" s="27" t="str">
        <f t="shared" si="8"/>
        <v>insert into ins_premium_det (premium_rcv_code,assorted_code, rec_amount,premium_rcv_detail_code,remaining_amt, payrec, mode_code,coinsurance_code,class_cd,it_remarks) values</v>
      </c>
      <c r="G180" s="28" t="str">
        <f t="shared" si="10"/>
        <v>('30Dec240042','070000170941','55463',(select max(to_number(i.premium_rcv_detail_code))+1
from ins_premium_det i),'55463','55463','02', '11000003','00','Request by Mr. Saqib Saleem 31-Dec-2024 Active');</v>
      </c>
      <c r="H180" s="29" t="str">
        <f t="shared" si="11"/>
        <v>insert into ins_premium_det (premium_rcv_code,assorted_code, rec_amount,premium_rcv_detail_code,remaining_amt, payrec, mode_code,coinsurance_code,class_cd,it_remarks) values('30Dec240042','070000170941','55463',(select max(to_number(i.premium_rcv_detail_code))+1
from ins_premium_det i),'55463','55463','02', '11000003','00','Request by Mr. Saqib Saleem 31-Dec-2024 Active');</v>
      </c>
    </row>
    <row r="181" spans="1:8" ht="105" x14ac:dyDescent="0.25">
      <c r="A181" s="12" t="s">
        <v>11560</v>
      </c>
      <c r="B181" s="25" t="str">
        <f>VLOOKUP(A181,policy!B:C,2,0)</f>
        <v>070000170943</v>
      </c>
      <c r="C181" s="13">
        <v>195413</v>
      </c>
      <c r="D181" s="26">
        <f t="shared" si="9"/>
        <v>195413</v>
      </c>
      <c r="E181" s="24" t="s">
        <v>13296</v>
      </c>
      <c r="F181" s="27" t="str">
        <f t="shared" si="8"/>
        <v>insert into ins_premium_det (premium_rcv_code,assorted_code, rec_amount,premium_rcv_detail_code,remaining_amt, payrec, mode_code,coinsurance_code,class_cd,it_remarks) values</v>
      </c>
      <c r="G181" s="28" t="str">
        <f t="shared" si="10"/>
        <v>('30Dec240042','070000170943','195413',(select max(to_number(i.premium_rcv_detail_code))+1
from ins_premium_det i),'195413','195413','02', '11000003','00','Request by Mr. Saqib Saleem 31-Dec-2024 Active');</v>
      </c>
      <c r="H181" s="29" t="str">
        <f t="shared" si="11"/>
        <v>insert into ins_premium_det (premium_rcv_code,assorted_code, rec_amount,premium_rcv_detail_code,remaining_amt, payrec, mode_code,coinsurance_code,class_cd,it_remarks) values('30Dec240042','070000170943','195413',(select max(to_number(i.premium_rcv_detail_code))+1
from ins_premium_det i),'195413','195413','02', '11000003','00','Request by Mr. Saqib Saleem 31-Dec-2024 Active');</v>
      </c>
    </row>
    <row r="182" spans="1:8" ht="105" x14ac:dyDescent="0.25">
      <c r="A182" s="12" t="s">
        <v>11561</v>
      </c>
      <c r="B182" s="25" t="str">
        <f>VLOOKUP(A182,policy!B:C,2,0)</f>
        <v>070000170944</v>
      </c>
      <c r="C182" s="11">
        <v>43766</v>
      </c>
      <c r="D182" s="26">
        <f t="shared" si="9"/>
        <v>43766</v>
      </c>
      <c r="E182" s="24" t="s">
        <v>13296</v>
      </c>
      <c r="F182" s="27" t="str">
        <f t="shared" si="8"/>
        <v>insert into ins_premium_det (premium_rcv_code,assorted_code, rec_amount,premium_rcv_detail_code,remaining_amt, payrec, mode_code,coinsurance_code,class_cd,it_remarks) values</v>
      </c>
      <c r="G182" s="28" t="str">
        <f t="shared" si="10"/>
        <v>('30Dec240042','070000170944','43766',(select max(to_number(i.premium_rcv_detail_code))+1
from ins_premium_det i),'43766','43766','02', '11000003','00','Request by Mr. Saqib Saleem 31-Dec-2024 Active');</v>
      </c>
      <c r="H182" s="29" t="str">
        <f t="shared" si="11"/>
        <v>insert into ins_premium_det (premium_rcv_code,assorted_code, rec_amount,premium_rcv_detail_code,remaining_amt, payrec, mode_code,coinsurance_code,class_cd,it_remarks) values('30Dec240042','070000170944','43766',(select max(to_number(i.premium_rcv_detail_code))+1
from ins_premium_det i),'43766','43766','02', '11000003','00','Request by Mr. Saqib Saleem 31-Dec-2024 Active');</v>
      </c>
    </row>
    <row r="183" spans="1:8" ht="105" x14ac:dyDescent="0.25">
      <c r="A183" s="12" t="s">
        <v>11562</v>
      </c>
      <c r="B183" s="25" t="str">
        <f>VLOOKUP(A183,policy!B:C,2,0)</f>
        <v>070000170946</v>
      </c>
      <c r="C183" s="13">
        <v>32463</v>
      </c>
      <c r="D183" s="26">
        <f t="shared" si="9"/>
        <v>32463</v>
      </c>
      <c r="E183" s="24" t="s">
        <v>13296</v>
      </c>
      <c r="F183" s="27" t="str">
        <f t="shared" si="8"/>
        <v>insert into ins_premium_det (premium_rcv_code,assorted_code, rec_amount,premium_rcv_detail_code,remaining_amt, payrec, mode_code,coinsurance_code,class_cd,it_remarks) values</v>
      </c>
      <c r="G183" s="28" t="str">
        <f t="shared" si="10"/>
        <v>('30Dec240042','070000170946','32463',(select max(to_number(i.premium_rcv_detail_code))+1
from ins_premium_det i),'32463','32463','02', '11000003','00','Request by Mr. Saqib Saleem 31-Dec-2024 Active');</v>
      </c>
      <c r="H183" s="29" t="str">
        <f t="shared" si="11"/>
        <v>insert into ins_premium_det (premium_rcv_code,assorted_code, rec_amount,premium_rcv_detail_code,remaining_amt, payrec, mode_code,coinsurance_code,class_cd,it_remarks) values('30Dec240042','070000170946','32463',(select max(to_number(i.premium_rcv_detail_code))+1
from ins_premium_det i),'32463','32463','02', '11000003','00','Request by Mr. Saqib Saleem 31-Dec-2024 Active');</v>
      </c>
    </row>
    <row r="184" spans="1:8" ht="105" x14ac:dyDescent="0.25">
      <c r="A184" s="12" t="s">
        <v>11563</v>
      </c>
      <c r="B184" s="25" t="str">
        <f>VLOOKUP(A184,policy!B:C,2,0)</f>
        <v>070000170949</v>
      </c>
      <c r="C184" s="11">
        <v>21495</v>
      </c>
      <c r="D184" s="26">
        <f t="shared" si="9"/>
        <v>21495</v>
      </c>
      <c r="E184" s="24" t="s">
        <v>13296</v>
      </c>
      <c r="F184" s="27" t="str">
        <f t="shared" si="8"/>
        <v>insert into ins_premium_det (premium_rcv_code,assorted_code, rec_amount,premium_rcv_detail_code,remaining_amt, payrec, mode_code,coinsurance_code,class_cd,it_remarks) values</v>
      </c>
      <c r="G184" s="28" t="str">
        <f t="shared" si="10"/>
        <v>('30Dec240042','070000170949','21495',(select max(to_number(i.premium_rcv_detail_code))+1
from ins_premium_det i),'21495','21495','02', '11000003','00','Request by Mr. Saqib Saleem 31-Dec-2024 Active');</v>
      </c>
      <c r="H184" s="29" t="str">
        <f t="shared" si="11"/>
        <v>insert into ins_premium_det (premium_rcv_code,assorted_code, rec_amount,premium_rcv_detail_code,remaining_amt, payrec, mode_code,coinsurance_code,class_cd,it_remarks) values('30Dec240042','070000170949','21495',(select max(to_number(i.premium_rcv_detail_code))+1
from ins_premium_det i),'21495','21495','02', '11000003','00','Request by Mr. Saqib Saleem 31-Dec-2024 Active');</v>
      </c>
    </row>
    <row r="185" spans="1:8" ht="105" x14ac:dyDescent="0.25">
      <c r="A185" s="12" t="s">
        <v>11564</v>
      </c>
      <c r="B185" s="25" t="str">
        <f>VLOOKUP(A185,policy!B:C,2,0)</f>
        <v>070000170951</v>
      </c>
      <c r="C185" s="13">
        <v>21495</v>
      </c>
      <c r="D185" s="26">
        <f t="shared" si="9"/>
        <v>21495</v>
      </c>
      <c r="E185" s="24" t="s">
        <v>13296</v>
      </c>
      <c r="F185" s="27" t="str">
        <f t="shared" si="8"/>
        <v>insert into ins_premium_det (premium_rcv_code,assorted_code, rec_amount,premium_rcv_detail_code,remaining_amt, payrec, mode_code,coinsurance_code,class_cd,it_remarks) values</v>
      </c>
      <c r="G185" s="28" t="str">
        <f t="shared" si="10"/>
        <v>('30Dec240042','070000170951','21495',(select max(to_number(i.premium_rcv_detail_code))+1
from ins_premium_det i),'21495','21495','02', '11000003','00','Request by Mr. Saqib Saleem 31-Dec-2024 Active');</v>
      </c>
      <c r="H185" s="29" t="str">
        <f t="shared" si="11"/>
        <v>insert into ins_premium_det (premium_rcv_code,assorted_code, rec_amount,premium_rcv_detail_code,remaining_amt, payrec, mode_code,coinsurance_code,class_cd,it_remarks) values('30Dec240042','070000170951','21495',(select max(to_number(i.premium_rcv_detail_code))+1
from ins_premium_det i),'21495','21495','02', '11000003','00','Request by Mr. Saqib Saleem 31-Dec-2024 Active');</v>
      </c>
    </row>
    <row r="186" spans="1:8" ht="105" x14ac:dyDescent="0.25">
      <c r="A186" s="12" t="s">
        <v>11565</v>
      </c>
      <c r="B186" s="25" t="str">
        <f>VLOOKUP(A186,policy!B:C,2,0)</f>
        <v>070000170955</v>
      </c>
      <c r="C186" s="11">
        <v>56025</v>
      </c>
      <c r="D186" s="26">
        <f t="shared" si="9"/>
        <v>56025</v>
      </c>
      <c r="E186" s="24" t="s">
        <v>13296</v>
      </c>
      <c r="F186" s="27" t="str">
        <f t="shared" si="8"/>
        <v>insert into ins_premium_det (premium_rcv_code,assorted_code, rec_amount,premium_rcv_detail_code,remaining_amt, payrec, mode_code,coinsurance_code,class_cd,it_remarks) values</v>
      </c>
      <c r="G186" s="28" t="str">
        <f t="shared" si="10"/>
        <v>('30Dec240042','070000170955','56025',(select max(to_number(i.premium_rcv_detail_code))+1
from ins_premium_det i),'56025','56025','02', '11000003','00','Request by Mr. Saqib Saleem 31-Dec-2024 Active');</v>
      </c>
      <c r="H186" s="29" t="str">
        <f t="shared" si="11"/>
        <v>insert into ins_premium_det (premium_rcv_code,assorted_code, rec_amount,premium_rcv_detail_code,remaining_amt, payrec, mode_code,coinsurance_code,class_cd,it_remarks) values('30Dec240042','070000170955','56025',(select max(to_number(i.premium_rcv_detail_code))+1
from ins_premium_det i),'56025','56025','02', '11000003','00','Request by Mr. Saqib Saleem 31-Dec-2024 Active');</v>
      </c>
    </row>
    <row r="187" spans="1:8" ht="105" x14ac:dyDescent="0.25">
      <c r="A187" s="12" t="s">
        <v>11566</v>
      </c>
      <c r="B187" s="25" t="str">
        <f>VLOOKUP(A187,policy!B:C,2,0)</f>
        <v>070000170956</v>
      </c>
      <c r="C187" s="13">
        <v>55463</v>
      </c>
      <c r="D187" s="26">
        <f t="shared" si="9"/>
        <v>55463</v>
      </c>
      <c r="E187" s="24" t="s">
        <v>13296</v>
      </c>
      <c r="F187" s="27" t="str">
        <f t="shared" si="8"/>
        <v>insert into ins_premium_det (premium_rcv_code,assorted_code, rec_amount,premium_rcv_detail_code,remaining_amt, payrec, mode_code,coinsurance_code,class_cd,it_remarks) values</v>
      </c>
      <c r="G187" s="28" t="str">
        <f t="shared" si="10"/>
        <v>('30Dec240042','070000170956','55463',(select max(to_number(i.premium_rcv_detail_code))+1
from ins_premium_det i),'55463','55463','02', '11000003','00','Request by Mr. Saqib Saleem 31-Dec-2024 Active');</v>
      </c>
      <c r="H187" s="29" t="str">
        <f t="shared" si="11"/>
        <v>insert into ins_premium_det (premium_rcv_code,assorted_code, rec_amount,premium_rcv_detail_code,remaining_amt, payrec, mode_code,coinsurance_code,class_cd,it_remarks) values('30Dec240042','070000170956','55463',(select max(to_number(i.premium_rcv_detail_code))+1
from ins_premium_det i),'55463','55463','02', '11000003','00','Request by Mr. Saqib Saleem 31-Dec-2024 Active');</v>
      </c>
    </row>
    <row r="188" spans="1:8" ht="105" x14ac:dyDescent="0.25">
      <c r="A188" s="12" t="s">
        <v>11567</v>
      </c>
      <c r="B188" s="25" t="str">
        <f>VLOOKUP(A188,policy!B:C,2,0)</f>
        <v>070000170957</v>
      </c>
      <c r="C188" s="11">
        <v>55463</v>
      </c>
      <c r="D188" s="26">
        <f t="shared" si="9"/>
        <v>55463</v>
      </c>
      <c r="E188" s="24" t="s">
        <v>13296</v>
      </c>
      <c r="F188" s="27" t="str">
        <f t="shared" si="8"/>
        <v>insert into ins_premium_det (premium_rcv_code,assorted_code, rec_amount,premium_rcv_detail_code,remaining_amt, payrec, mode_code,coinsurance_code,class_cd,it_remarks) values</v>
      </c>
      <c r="G188" s="28" t="str">
        <f t="shared" si="10"/>
        <v>('30Dec240042','070000170957','55463',(select max(to_number(i.premium_rcv_detail_code))+1
from ins_premium_det i),'55463','55463','02', '11000003','00','Request by Mr. Saqib Saleem 31-Dec-2024 Active');</v>
      </c>
      <c r="H188" s="29" t="str">
        <f t="shared" si="11"/>
        <v>insert into ins_premium_det (premium_rcv_code,assorted_code, rec_amount,premium_rcv_detail_code,remaining_amt, payrec, mode_code,coinsurance_code,class_cd,it_remarks) values('30Dec240042','070000170957','55463',(select max(to_number(i.premium_rcv_detail_code))+1
from ins_premium_det i),'55463','55463','02', '11000003','00','Request by Mr. Saqib Saleem 31-Dec-2024 Active');</v>
      </c>
    </row>
    <row r="189" spans="1:8" ht="105" x14ac:dyDescent="0.25">
      <c r="A189" s="12" t="s">
        <v>11568</v>
      </c>
      <c r="B189" s="25" t="str">
        <f>VLOOKUP(A189,policy!B:C,2,0)</f>
        <v>070000170958</v>
      </c>
      <c r="C189" s="13">
        <v>63240</v>
      </c>
      <c r="D189" s="26">
        <f t="shared" si="9"/>
        <v>63240</v>
      </c>
      <c r="E189" s="24" t="s">
        <v>13296</v>
      </c>
      <c r="F189" s="27" t="str">
        <f t="shared" si="8"/>
        <v>insert into ins_premium_det (premium_rcv_code,assorted_code, rec_amount,premium_rcv_detail_code,remaining_amt, payrec, mode_code,coinsurance_code,class_cd,it_remarks) values</v>
      </c>
      <c r="G189" s="28" t="str">
        <f t="shared" si="10"/>
        <v>('30Dec240042','070000170958','63240',(select max(to_number(i.premium_rcv_detail_code))+1
from ins_premium_det i),'63240','63240','02', '11000003','00','Request by Mr. Saqib Saleem 31-Dec-2024 Active');</v>
      </c>
      <c r="H189" s="29" t="str">
        <f t="shared" si="11"/>
        <v>insert into ins_premium_det (premium_rcv_code,assorted_code, rec_amount,premium_rcv_detail_code,remaining_amt, payrec, mode_code,coinsurance_code,class_cd,it_remarks) values('30Dec240042','070000170958','63240',(select max(to_number(i.premium_rcv_detail_code))+1
from ins_premium_det i),'63240','63240','02', '11000003','00','Request by Mr. Saqib Saleem 31-Dec-2024 Active');</v>
      </c>
    </row>
    <row r="190" spans="1:8" ht="105" x14ac:dyDescent="0.25">
      <c r="A190" s="12" t="s">
        <v>11569</v>
      </c>
      <c r="B190" s="25" t="str">
        <f>VLOOKUP(A190,policy!B:C,2,0)</f>
        <v>070000170959</v>
      </c>
      <c r="C190" s="11">
        <v>55463</v>
      </c>
      <c r="D190" s="26">
        <f t="shared" si="9"/>
        <v>55463</v>
      </c>
      <c r="E190" s="24" t="s">
        <v>13296</v>
      </c>
      <c r="F190" s="27" t="str">
        <f t="shared" si="8"/>
        <v>insert into ins_premium_det (premium_rcv_code,assorted_code, rec_amount,premium_rcv_detail_code,remaining_amt, payrec, mode_code,coinsurance_code,class_cd,it_remarks) values</v>
      </c>
      <c r="G190" s="28" t="str">
        <f t="shared" si="10"/>
        <v>('30Dec240042','070000170959','55463',(select max(to_number(i.premium_rcv_detail_code))+1
from ins_premium_det i),'55463','55463','02', '11000003','00','Request by Mr. Saqib Saleem 31-Dec-2024 Active');</v>
      </c>
      <c r="H190" s="29" t="str">
        <f t="shared" si="11"/>
        <v>insert into ins_premium_det (premium_rcv_code,assorted_code, rec_amount,premium_rcv_detail_code,remaining_amt, payrec, mode_code,coinsurance_code,class_cd,it_remarks) values('30Dec240042','070000170959','55463',(select max(to_number(i.premium_rcv_detail_code))+1
from ins_premium_det i),'55463','55463','02', '11000003','00','Request by Mr. Saqib Saleem 31-Dec-2024 Active');</v>
      </c>
    </row>
    <row r="191" spans="1:8" ht="105" x14ac:dyDescent="0.25">
      <c r="A191" s="12" t="s">
        <v>11570</v>
      </c>
      <c r="B191" s="25" t="str">
        <f>VLOOKUP(A191,policy!B:C,2,0)</f>
        <v>070000170961</v>
      </c>
      <c r="C191" s="13">
        <v>103028</v>
      </c>
      <c r="D191" s="26">
        <f t="shared" si="9"/>
        <v>103028</v>
      </c>
      <c r="E191" s="24" t="s">
        <v>13296</v>
      </c>
      <c r="F191" s="27" t="str">
        <f t="shared" si="8"/>
        <v>insert into ins_premium_det (premium_rcv_code,assorted_code, rec_amount,premium_rcv_detail_code,remaining_amt, payrec, mode_code,coinsurance_code,class_cd,it_remarks) values</v>
      </c>
      <c r="G191" s="28" t="str">
        <f t="shared" si="10"/>
        <v>('30Dec240042','070000170961','103028',(select max(to_number(i.premium_rcv_detail_code))+1
from ins_premium_det i),'103028','103028','02', '11000003','00','Request by Mr. Saqib Saleem 31-Dec-2024 Active');</v>
      </c>
      <c r="H191" s="29" t="str">
        <f t="shared" si="11"/>
        <v>insert into ins_premium_det (premium_rcv_code,assorted_code, rec_amount,premium_rcv_detail_code,remaining_amt, payrec, mode_code,coinsurance_code,class_cd,it_remarks) values('30Dec240042','070000170961','103028',(select max(to_number(i.premium_rcv_detail_code))+1
from ins_premium_det i),'103028','103028','02', '11000003','00','Request by Mr. Saqib Saleem 31-Dec-2024 Active');</v>
      </c>
    </row>
    <row r="192" spans="1:8" ht="105" x14ac:dyDescent="0.25">
      <c r="A192" s="12" t="s">
        <v>11571</v>
      </c>
      <c r="B192" s="25" t="str">
        <f>VLOOKUP(A192,policy!B:C,2,0)</f>
        <v>070000170966</v>
      </c>
      <c r="C192" s="11">
        <v>84000</v>
      </c>
      <c r="D192" s="26">
        <f t="shared" si="9"/>
        <v>84000</v>
      </c>
      <c r="E192" s="24" t="s">
        <v>13296</v>
      </c>
      <c r="F192" s="27" t="str">
        <f t="shared" si="8"/>
        <v>insert into ins_premium_det (premium_rcv_code,assorted_code, rec_amount,premium_rcv_detail_code,remaining_amt, payrec, mode_code,coinsurance_code,class_cd,it_remarks) values</v>
      </c>
      <c r="G192" s="28" t="str">
        <f t="shared" si="10"/>
        <v>('30Dec240042','070000170966','84000',(select max(to_number(i.premium_rcv_detail_code))+1
from ins_premium_det i),'84000','84000','02', '11000003','00','Request by Mr. Saqib Saleem 31-Dec-2024 Active');</v>
      </c>
      <c r="H192" s="29" t="str">
        <f t="shared" si="11"/>
        <v>insert into ins_premium_det (premium_rcv_code,assorted_code, rec_amount,premium_rcv_detail_code,remaining_amt, payrec, mode_code,coinsurance_code,class_cd,it_remarks) values('30Dec240042','070000170966','84000',(select max(to_number(i.premium_rcv_detail_code))+1
from ins_premium_det i),'84000','84000','02', '11000003','00','Request by Mr. Saqib Saleem 31-Dec-2024 Active');</v>
      </c>
    </row>
    <row r="193" spans="1:8" ht="105" x14ac:dyDescent="0.25">
      <c r="A193" s="12" t="s">
        <v>11572</v>
      </c>
      <c r="B193" s="25" t="str">
        <f>VLOOKUP(A193,policy!B:C,2,0)</f>
        <v>070000170967</v>
      </c>
      <c r="C193" s="13">
        <v>61088</v>
      </c>
      <c r="D193" s="26">
        <f t="shared" si="9"/>
        <v>61088</v>
      </c>
      <c r="E193" s="24" t="s">
        <v>13296</v>
      </c>
      <c r="F193" s="27" t="str">
        <f t="shared" si="8"/>
        <v>insert into ins_premium_det (premium_rcv_code,assorted_code, rec_amount,premium_rcv_detail_code,remaining_amt, payrec, mode_code,coinsurance_code,class_cd,it_remarks) values</v>
      </c>
      <c r="G193" s="28" t="str">
        <f t="shared" si="10"/>
        <v>('30Dec240042','070000170967','61088',(select max(to_number(i.premium_rcv_detail_code))+1
from ins_premium_det i),'61088','61088','02', '11000003','00','Request by Mr. Saqib Saleem 31-Dec-2024 Active');</v>
      </c>
      <c r="H193" s="29" t="str">
        <f t="shared" si="11"/>
        <v>insert into ins_premium_det (premium_rcv_code,assorted_code, rec_amount,premium_rcv_detail_code,remaining_amt, payrec, mode_code,coinsurance_code,class_cd,it_remarks) values('30Dec240042','070000170967','61088',(select max(to_number(i.premium_rcv_detail_code))+1
from ins_premium_det i),'61088','61088','02', '11000003','00','Request by Mr. Saqib Saleem 31-Dec-2024 Active');</v>
      </c>
    </row>
    <row r="194" spans="1:8" ht="105" x14ac:dyDescent="0.25">
      <c r="A194" s="12" t="s">
        <v>11573</v>
      </c>
      <c r="B194" s="25" t="str">
        <f>VLOOKUP(A194,policy!B:C,2,0)</f>
        <v>070000170970</v>
      </c>
      <c r="C194" s="11">
        <v>24875</v>
      </c>
      <c r="D194" s="26">
        <f t="shared" si="9"/>
        <v>24875</v>
      </c>
      <c r="E194" s="24" t="s">
        <v>13296</v>
      </c>
      <c r="F194" s="27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28" t="str">
        <f t="shared" si="10"/>
        <v>('30Dec240042','070000170970','24875',(select max(to_number(i.premium_rcv_detail_code))+1
from ins_premium_det i),'24875','24875','02', '11000003','00','Request by Mr. Saqib Saleem 31-Dec-2024 Active');</v>
      </c>
      <c r="H194" s="29" t="str">
        <f t="shared" si="11"/>
        <v>insert into ins_premium_det (premium_rcv_code,assorted_code, rec_amount,premium_rcv_detail_code,remaining_amt, payrec, mode_code,coinsurance_code,class_cd,it_remarks) values('30Dec240042','070000170970','24875',(select max(to_number(i.premium_rcv_detail_code))+1
from ins_premium_det i),'24875','24875','02', '11000003','00','Request by Mr. Saqib Saleem 31-Dec-2024 Active');</v>
      </c>
    </row>
    <row r="195" spans="1:8" ht="105" x14ac:dyDescent="0.25">
      <c r="A195" s="12" t="s">
        <v>11574</v>
      </c>
      <c r="B195" s="25" t="str">
        <f>VLOOKUP(A195,policy!B:C,2,0)</f>
        <v>070000170971</v>
      </c>
      <c r="C195" s="13">
        <v>29750</v>
      </c>
      <c r="D195" s="26">
        <f t="shared" ref="D195:D258" si="13">ROUND(C195,0)</f>
        <v>29750</v>
      </c>
      <c r="E195" s="24" t="s">
        <v>13296</v>
      </c>
      <c r="F195" s="27" t="str">
        <f t="shared" si="12"/>
        <v>insert into ins_premium_det (premium_rcv_code,assorted_code, rec_amount,premium_rcv_detail_code,remaining_amt, payrec, mode_code,coinsurance_code,class_cd,it_remarks) values</v>
      </c>
      <c r="G195" s="28" t="str">
        <f t="shared" ref="G195:G258" si="14">"('"&amp;E195&amp;"','"&amp;B195&amp;"','"&amp;D195&amp;"',(select max(to_number(i.premium_rcv_detail_code))+1
from ins_premium_det i),'"&amp;D195&amp;"','"&amp;D195&amp;"','02', '11000003','00','Request by Mr. Saqib Saleem 31-Dec-2024 Active');"</f>
        <v>('30Dec240042','070000170971','29750',(select max(to_number(i.premium_rcv_detail_code))+1
from ins_premium_det i),'29750','29750','02', '11000003','00','Request by Mr. Saqib Saleem 31-Dec-2024 Active');</v>
      </c>
      <c r="H195" s="29" t="str">
        <f t="shared" ref="H195:H258" si="15">F195&amp;G195</f>
        <v>insert into ins_premium_det (premium_rcv_code,assorted_code, rec_amount,premium_rcv_detail_code,remaining_amt, payrec, mode_code,coinsurance_code,class_cd,it_remarks) values('30Dec240042','070000170971','29750',(select max(to_number(i.premium_rcv_detail_code))+1
from ins_premium_det i),'29750','29750','02', '11000003','00','Request by Mr. Saqib Saleem 31-Dec-2024 Active');</v>
      </c>
    </row>
    <row r="196" spans="1:8" ht="105" x14ac:dyDescent="0.25">
      <c r="A196" s="12" t="s">
        <v>11575</v>
      </c>
      <c r="B196" s="25" t="str">
        <f>VLOOKUP(A196,policy!B:C,2,0)</f>
        <v>070000170969</v>
      </c>
      <c r="C196" s="11">
        <v>80963</v>
      </c>
      <c r="D196" s="26">
        <f t="shared" si="13"/>
        <v>80963</v>
      </c>
      <c r="E196" s="24" t="s">
        <v>13296</v>
      </c>
      <c r="F196" s="27" t="str">
        <f t="shared" si="12"/>
        <v>insert into ins_premium_det (premium_rcv_code,assorted_code, rec_amount,premium_rcv_detail_code,remaining_amt, payrec, mode_code,coinsurance_code,class_cd,it_remarks) values</v>
      </c>
      <c r="G196" s="28" t="str">
        <f t="shared" si="14"/>
        <v>('30Dec240042','070000170969','80963',(select max(to_number(i.premium_rcv_detail_code))+1
from ins_premium_det i),'80963','80963','02', '11000003','00','Request by Mr. Saqib Saleem 31-Dec-2024 Active');</v>
      </c>
      <c r="H196" s="29" t="str">
        <f t="shared" si="15"/>
        <v>insert into ins_premium_det (premium_rcv_code,assorted_code, rec_amount,premium_rcv_detail_code,remaining_amt, payrec, mode_code,coinsurance_code,class_cd,it_remarks) values('30Dec240042','070000170969','80963',(select max(to_number(i.premium_rcv_detail_code))+1
from ins_premium_det i),'80963','80963','02', '11000003','00','Request by Mr. Saqib Saleem 31-Dec-2024 Active');</v>
      </c>
    </row>
    <row r="197" spans="1:8" ht="105" x14ac:dyDescent="0.25">
      <c r="A197" s="12" t="s">
        <v>11576</v>
      </c>
      <c r="B197" s="25" t="str">
        <f>VLOOKUP(A197,policy!B:C,2,0)</f>
        <v>070000170968</v>
      </c>
      <c r="C197" s="13">
        <v>46226</v>
      </c>
      <c r="D197" s="26">
        <f t="shared" si="13"/>
        <v>46226</v>
      </c>
      <c r="E197" s="24" t="s">
        <v>13296</v>
      </c>
      <c r="F197" s="27" t="str">
        <f t="shared" si="12"/>
        <v>insert into ins_premium_det (premium_rcv_code,assorted_code, rec_amount,premium_rcv_detail_code,remaining_amt, payrec, mode_code,coinsurance_code,class_cd,it_remarks) values</v>
      </c>
      <c r="G197" s="28" t="str">
        <f t="shared" si="14"/>
        <v>('30Dec240042','070000170968','46226',(select max(to_number(i.premium_rcv_detail_code))+1
from ins_premium_det i),'46226','46226','02', '11000003','00','Request by Mr. Saqib Saleem 31-Dec-2024 Active');</v>
      </c>
      <c r="H197" s="29" t="str">
        <f t="shared" si="15"/>
        <v>insert into ins_premium_det (premium_rcv_code,assorted_code, rec_amount,premium_rcv_detail_code,remaining_amt, payrec, mode_code,coinsurance_code,class_cd,it_remarks) values('30Dec240042','070000170968','46226',(select max(to_number(i.premium_rcv_detail_code))+1
from ins_premium_det i),'46226','46226','02', '11000003','00','Request by Mr. Saqib Saleem 31-Dec-2024 Active');</v>
      </c>
    </row>
    <row r="198" spans="1:8" ht="105" x14ac:dyDescent="0.25">
      <c r="A198" s="12" t="s">
        <v>11577</v>
      </c>
      <c r="B198" s="25" t="str">
        <f>VLOOKUP(A198,policy!B:C,2,0)</f>
        <v>070000170965</v>
      </c>
      <c r="C198" s="11">
        <v>126000</v>
      </c>
      <c r="D198" s="26">
        <f t="shared" si="13"/>
        <v>126000</v>
      </c>
      <c r="E198" s="24" t="s">
        <v>13296</v>
      </c>
      <c r="F198" s="27" t="str">
        <f t="shared" si="12"/>
        <v>insert into ins_premium_det (premium_rcv_code,assorted_code, rec_amount,premium_rcv_detail_code,remaining_amt, payrec, mode_code,coinsurance_code,class_cd,it_remarks) values</v>
      </c>
      <c r="G198" s="28" t="str">
        <f t="shared" si="14"/>
        <v>('30Dec240042','070000170965','126000',(select max(to_number(i.premium_rcv_detail_code))+1
from ins_premium_det i),'126000','126000','02', '11000003','00','Request by Mr. Saqib Saleem 31-Dec-2024 Active');</v>
      </c>
      <c r="H198" s="29" t="str">
        <f t="shared" si="15"/>
        <v>insert into ins_premium_det (premium_rcv_code,assorted_code, rec_amount,premium_rcv_detail_code,remaining_amt, payrec, mode_code,coinsurance_code,class_cd,it_remarks) values('30Dec240042','070000170965','126000',(select max(to_number(i.premium_rcv_detail_code))+1
from ins_premium_det i),'126000','126000','02', '11000003','00','Request by Mr. Saqib Saleem 31-Dec-2024 Active');</v>
      </c>
    </row>
    <row r="199" spans="1:8" ht="105" x14ac:dyDescent="0.25">
      <c r="A199" s="12" t="s">
        <v>11578</v>
      </c>
      <c r="B199" s="25" t="str">
        <f>VLOOKUP(A199,policy!B:C,2,0)</f>
        <v>070000170964</v>
      </c>
      <c r="C199" s="13">
        <v>18169</v>
      </c>
      <c r="D199" s="26">
        <f t="shared" si="13"/>
        <v>18169</v>
      </c>
      <c r="E199" s="24" t="s">
        <v>13296</v>
      </c>
      <c r="F199" s="27" t="str">
        <f t="shared" si="12"/>
        <v>insert into ins_premium_det (premium_rcv_code,assorted_code, rec_amount,premium_rcv_detail_code,remaining_amt, payrec, mode_code,coinsurance_code,class_cd,it_remarks) values</v>
      </c>
      <c r="G199" s="28" t="str">
        <f t="shared" si="14"/>
        <v>('30Dec240042','070000170964','18169',(select max(to_number(i.premium_rcv_detail_code))+1
from ins_premium_det i),'18169','18169','02', '11000003','00','Request by Mr. Saqib Saleem 31-Dec-2024 Active');</v>
      </c>
      <c r="H199" s="29" t="str">
        <f t="shared" si="15"/>
        <v>insert into ins_premium_det (premium_rcv_code,assorted_code, rec_amount,premium_rcv_detail_code,remaining_amt, payrec, mode_code,coinsurance_code,class_cd,it_remarks) values('30Dec240042','070000170964','18169',(select max(to_number(i.premium_rcv_detail_code))+1
from ins_premium_det i),'18169','18169','02', '11000003','00','Request by Mr. Saqib Saleem 31-Dec-2024 Active');</v>
      </c>
    </row>
    <row r="200" spans="1:8" ht="105" x14ac:dyDescent="0.25">
      <c r="A200" s="12" t="s">
        <v>11579</v>
      </c>
      <c r="B200" s="25" t="str">
        <f>VLOOKUP(A200,policy!B:C,2,0)</f>
        <v>070000170963</v>
      </c>
      <c r="C200" s="11">
        <v>11520</v>
      </c>
      <c r="D200" s="26">
        <f t="shared" si="13"/>
        <v>11520</v>
      </c>
      <c r="E200" s="24" t="s">
        <v>13296</v>
      </c>
      <c r="F200" s="27" t="str">
        <f t="shared" si="12"/>
        <v>insert into ins_premium_det (premium_rcv_code,assorted_code, rec_amount,premium_rcv_detail_code,remaining_amt, payrec, mode_code,coinsurance_code,class_cd,it_remarks) values</v>
      </c>
      <c r="G200" s="28" t="str">
        <f t="shared" si="14"/>
        <v>('30Dec240042','070000170963','11520',(select max(to_number(i.premium_rcv_detail_code))+1
from ins_premium_det i),'11520','11520','02', '11000003','00','Request by Mr. Saqib Saleem 31-Dec-2024 Active');</v>
      </c>
      <c r="H200" s="29" t="str">
        <f t="shared" si="15"/>
        <v>insert into ins_premium_det (premium_rcv_code,assorted_code, rec_amount,premium_rcv_detail_code,remaining_amt, payrec, mode_code,coinsurance_code,class_cd,it_remarks) values('30Dec240042','070000170963','11520',(select max(to_number(i.premium_rcv_detail_code))+1
from ins_premium_det i),'11520','11520','02', '11000003','00','Request by Mr. Saqib Saleem 31-Dec-2024 Active');</v>
      </c>
    </row>
    <row r="201" spans="1:8" ht="105" x14ac:dyDescent="0.25">
      <c r="A201" s="12" t="s">
        <v>11580</v>
      </c>
      <c r="B201" s="25" t="str">
        <f>VLOOKUP(A201,policy!B:C,2,0)</f>
        <v>070000170962</v>
      </c>
      <c r="C201" s="13">
        <v>18252</v>
      </c>
      <c r="D201" s="26">
        <f t="shared" si="13"/>
        <v>18252</v>
      </c>
      <c r="E201" s="24" t="s">
        <v>13296</v>
      </c>
      <c r="F201" s="27" t="str">
        <f t="shared" si="12"/>
        <v>insert into ins_premium_det (premium_rcv_code,assorted_code, rec_amount,premium_rcv_detail_code,remaining_amt, payrec, mode_code,coinsurance_code,class_cd,it_remarks) values</v>
      </c>
      <c r="G201" s="28" t="str">
        <f t="shared" si="14"/>
        <v>('30Dec240042','070000170962','18252',(select max(to_number(i.premium_rcv_detail_code))+1
from ins_premium_det i),'18252','18252','02', '11000003','00','Request by Mr. Saqib Saleem 31-Dec-2024 Active');</v>
      </c>
      <c r="H201" s="29" t="str">
        <f t="shared" si="15"/>
        <v>insert into ins_premium_det (premium_rcv_code,assorted_code, rec_amount,premium_rcv_detail_code,remaining_amt, payrec, mode_code,coinsurance_code,class_cd,it_remarks) values('30Dec240042','070000170962','18252',(select max(to_number(i.premium_rcv_detail_code))+1
from ins_premium_det i),'18252','18252','02', '11000003','00','Request by Mr. Saqib Saleem 31-Dec-2024 Active');</v>
      </c>
    </row>
    <row r="202" spans="1:8" ht="105" x14ac:dyDescent="0.25">
      <c r="A202" s="12" t="s">
        <v>11581</v>
      </c>
      <c r="B202" s="25" t="str">
        <f>VLOOKUP(A202,policy!B:C,2,0)</f>
        <v>070000170960</v>
      </c>
      <c r="C202" s="11">
        <v>21000</v>
      </c>
      <c r="D202" s="26">
        <f t="shared" si="13"/>
        <v>21000</v>
      </c>
      <c r="E202" s="24" t="s">
        <v>13296</v>
      </c>
      <c r="F202" s="27" t="str">
        <f t="shared" si="12"/>
        <v>insert into ins_premium_det (premium_rcv_code,assorted_code, rec_amount,premium_rcv_detail_code,remaining_amt, payrec, mode_code,coinsurance_code,class_cd,it_remarks) values</v>
      </c>
      <c r="G202" s="28" t="str">
        <f t="shared" si="14"/>
        <v>('30Dec240042','070000170960','21000',(select max(to_number(i.premium_rcv_detail_code))+1
from ins_premium_det i),'21000','21000','02', '11000003','00','Request by Mr. Saqib Saleem 31-Dec-2024 Active');</v>
      </c>
      <c r="H202" s="29" t="str">
        <f t="shared" si="15"/>
        <v>insert into ins_premium_det (premium_rcv_code,assorted_code, rec_amount,premium_rcv_detail_code,remaining_amt, payrec, mode_code,coinsurance_code,class_cd,it_remarks) values('30Dec240042','070000170960','21000',(select max(to_number(i.premium_rcv_detail_code))+1
from ins_premium_det i),'21000','21000','02', '11000003','00','Request by Mr. Saqib Saleem 31-Dec-2024 Active');</v>
      </c>
    </row>
    <row r="203" spans="1:8" ht="105" x14ac:dyDescent="0.25">
      <c r="A203" s="12" t="s">
        <v>11582</v>
      </c>
      <c r="B203" s="25" t="str">
        <f>VLOOKUP(A203,policy!B:C,2,0)</f>
        <v>070000170954</v>
      </c>
      <c r="C203" s="13">
        <v>19200</v>
      </c>
      <c r="D203" s="26">
        <f t="shared" si="13"/>
        <v>19200</v>
      </c>
      <c r="E203" s="24" t="s">
        <v>13296</v>
      </c>
      <c r="F203" s="27" t="str">
        <f t="shared" si="12"/>
        <v>insert into ins_premium_det (premium_rcv_code,assorted_code, rec_amount,premium_rcv_detail_code,remaining_amt, payrec, mode_code,coinsurance_code,class_cd,it_remarks) values</v>
      </c>
      <c r="G203" s="28" t="str">
        <f t="shared" si="14"/>
        <v>('30Dec240042','070000170954','19200',(select max(to_number(i.premium_rcv_detail_code))+1
from ins_premium_det i),'19200','19200','02', '11000003','00','Request by Mr. Saqib Saleem 31-Dec-2024 Active');</v>
      </c>
      <c r="H203" s="29" t="str">
        <f t="shared" si="15"/>
        <v>insert into ins_premium_det (premium_rcv_code,assorted_code, rec_amount,premium_rcv_detail_code,remaining_amt, payrec, mode_code,coinsurance_code,class_cd,it_remarks) values('30Dec240042','070000170954','19200',(select max(to_number(i.premium_rcv_detail_code))+1
from ins_premium_det i),'19200','19200','02', '11000003','00','Request by Mr. Saqib Saleem 31-Dec-2024 Active');</v>
      </c>
    </row>
    <row r="204" spans="1:8" ht="105" x14ac:dyDescent="0.25">
      <c r="A204" s="12" t="s">
        <v>11583</v>
      </c>
      <c r="B204" s="25" t="str">
        <f>VLOOKUP(A204,policy!B:C,2,0)</f>
        <v>070000170953</v>
      </c>
      <c r="C204" s="11">
        <v>57918</v>
      </c>
      <c r="D204" s="26">
        <f t="shared" si="13"/>
        <v>57918</v>
      </c>
      <c r="E204" s="24" t="s">
        <v>13296</v>
      </c>
      <c r="F204" s="27" t="str">
        <f t="shared" si="12"/>
        <v>insert into ins_premium_det (premium_rcv_code,assorted_code, rec_amount,premium_rcv_detail_code,remaining_amt, payrec, mode_code,coinsurance_code,class_cd,it_remarks) values</v>
      </c>
      <c r="G204" s="28" t="str">
        <f t="shared" si="14"/>
        <v>('30Dec240042','070000170953','57918',(select max(to_number(i.premium_rcv_detail_code))+1
from ins_premium_det i),'57918','57918','02', '11000003','00','Request by Mr. Saqib Saleem 31-Dec-2024 Active');</v>
      </c>
      <c r="H204" s="29" t="str">
        <f t="shared" si="15"/>
        <v>insert into ins_premium_det (premium_rcv_code,assorted_code, rec_amount,premium_rcv_detail_code,remaining_amt, payrec, mode_code,coinsurance_code,class_cd,it_remarks) values('30Dec240042','070000170953','57918',(select max(to_number(i.premium_rcv_detail_code))+1
from ins_premium_det i),'57918','57918','02', '11000003','00','Request by Mr. Saqib Saleem 31-Dec-2024 Active');</v>
      </c>
    </row>
    <row r="205" spans="1:8" ht="105" x14ac:dyDescent="0.25">
      <c r="A205" s="12" t="s">
        <v>11584</v>
      </c>
      <c r="B205" s="25" t="str">
        <f>VLOOKUP(A205,policy!B:C,2,0)</f>
        <v>070000170952</v>
      </c>
      <c r="C205" s="13">
        <v>41424</v>
      </c>
      <c r="D205" s="26">
        <f t="shared" si="13"/>
        <v>41424</v>
      </c>
      <c r="E205" s="24" t="s">
        <v>13296</v>
      </c>
      <c r="F205" s="27" t="str">
        <f t="shared" si="12"/>
        <v>insert into ins_premium_det (premium_rcv_code,assorted_code, rec_amount,premium_rcv_detail_code,remaining_amt, payrec, mode_code,coinsurance_code,class_cd,it_remarks) values</v>
      </c>
      <c r="G205" s="28" t="str">
        <f t="shared" si="14"/>
        <v>('30Dec240042','070000170952','41424',(select max(to_number(i.premium_rcv_detail_code))+1
from ins_premium_det i),'41424','41424','02', '11000003','00','Request by Mr. Saqib Saleem 31-Dec-2024 Active');</v>
      </c>
      <c r="H205" s="29" t="str">
        <f t="shared" si="15"/>
        <v>insert into ins_premium_det (premium_rcv_code,assorted_code, rec_amount,premium_rcv_detail_code,remaining_amt, payrec, mode_code,coinsurance_code,class_cd,it_remarks) values('30Dec240042','070000170952','41424',(select max(to_number(i.premium_rcv_detail_code))+1
from ins_premium_det i),'41424','41424','02', '11000003','00','Request by Mr. Saqib Saleem 31-Dec-2024 Active');</v>
      </c>
    </row>
    <row r="206" spans="1:8" ht="105" x14ac:dyDescent="0.25">
      <c r="A206" s="12" t="s">
        <v>11585</v>
      </c>
      <c r="B206" s="25" t="str">
        <f>VLOOKUP(A206,policy!B:C,2,0)</f>
        <v>070000170950</v>
      </c>
      <c r="C206" s="11">
        <v>35400</v>
      </c>
      <c r="D206" s="26">
        <f t="shared" si="13"/>
        <v>35400</v>
      </c>
      <c r="E206" s="24" t="s">
        <v>13296</v>
      </c>
      <c r="F206" s="27" t="str">
        <f t="shared" si="12"/>
        <v>insert into ins_premium_det (premium_rcv_code,assorted_code, rec_amount,premium_rcv_detail_code,remaining_amt, payrec, mode_code,coinsurance_code,class_cd,it_remarks) values</v>
      </c>
      <c r="G206" s="28" t="str">
        <f t="shared" si="14"/>
        <v>('30Dec240042','070000170950','35400',(select max(to_number(i.premium_rcv_detail_code))+1
from ins_premium_det i),'35400','35400','02', '11000003','00','Request by Mr. Saqib Saleem 31-Dec-2024 Active');</v>
      </c>
      <c r="H206" s="29" t="str">
        <f t="shared" si="15"/>
        <v>insert into ins_premium_det (premium_rcv_code,assorted_code, rec_amount,premium_rcv_detail_code,remaining_amt, payrec, mode_code,coinsurance_code,class_cd,it_remarks) values('30Dec240042','070000170950','35400',(select max(to_number(i.premium_rcv_detail_code))+1
from ins_premium_det i),'35400','35400','02', '11000003','00','Request by Mr. Saqib Saleem 31-Dec-2024 Active');</v>
      </c>
    </row>
    <row r="207" spans="1:8" ht="105" x14ac:dyDescent="0.25">
      <c r="A207" s="12" t="s">
        <v>11586</v>
      </c>
      <c r="B207" s="25" t="str">
        <f>VLOOKUP(A207,policy!B:C,2,0)</f>
        <v>070000170948</v>
      </c>
      <c r="C207" s="13">
        <v>64352</v>
      </c>
      <c r="D207" s="26">
        <f t="shared" si="13"/>
        <v>64352</v>
      </c>
      <c r="E207" s="24" t="s">
        <v>13296</v>
      </c>
      <c r="F207" s="27" t="str">
        <f t="shared" si="12"/>
        <v>insert into ins_premium_det (premium_rcv_code,assorted_code, rec_amount,premium_rcv_detail_code,remaining_amt, payrec, mode_code,coinsurance_code,class_cd,it_remarks) values</v>
      </c>
      <c r="G207" s="28" t="str">
        <f t="shared" si="14"/>
        <v>('30Dec240042','070000170948','64352',(select max(to_number(i.premium_rcv_detail_code))+1
from ins_premium_det i),'64352','64352','02', '11000003','00','Request by Mr. Saqib Saleem 31-Dec-2024 Active');</v>
      </c>
      <c r="H207" s="29" t="str">
        <f t="shared" si="15"/>
        <v>insert into ins_premium_det (premium_rcv_code,assorted_code, rec_amount,premium_rcv_detail_code,remaining_amt, payrec, mode_code,coinsurance_code,class_cd,it_remarks) values('30Dec240042','070000170948','64352',(select max(to_number(i.premium_rcv_detail_code))+1
from ins_premium_det i),'64352','64352','02', '11000003','00','Request by Mr. Saqib Saleem 31-Dec-2024 Active');</v>
      </c>
    </row>
    <row r="208" spans="1:8" ht="105" x14ac:dyDescent="0.25">
      <c r="A208" s="12" t="s">
        <v>11587</v>
      </c>
      <c r="B208" s="25" t="str">
        <f>VLOOKUP(A208,policy!B:C,2,0)</f>
        <v>070000170947</v>
      </c>
      <c r="C208" s="11">
        <v>66000</v>
      </c>
      <c r="D208" s="26">
        <f t="shared" si="13"/>
        <v>66000</v>
      </c>
      <c r="E208" s="24" t="s">
        <v>13296</v>
      </c>
      <c r="F208" s="27" t="str">
        <f t="shared" si="12"/>
        <v>insert into ins_premium_det (premium_rcv_code,assorted_code, rec_amount,premium_rcv_detail_code,remaining_amt, payrec, mode_code,coinsurance_code,class_cd,it_remarks) values</v>
      </c>
      <c r="G208" s="28" t="str">
        <f t="shared" si="14"/>
        <v>('30Dec240042','070000170947','66000',(select max(to_number(i.premium_rcv_detail_code))+1
from ins_premium_det i),'66000','66000','02', '11000003','00','Request by Mr. Saqib Saleem 31-Dec-2024 Active');</v>
      </c>
      <c r="H208" s="29" t="str">
        <f t="shared" si="15"/>
        <v>insert into ins_premium_det (premium_rcv_code,assorted_code, rec_amount,premium_rcv_detail_code,remaining_amt, payrec, mode_code,coinsurance_code,class_cd,it_remarks) values('30Dec240042','070000170947','66000',(select max(to_number(i.premium_rcv_detail_code))+1
from ins_premium_det i),'66000','66000','02', '11000003','00','Request by Mr. Saqib Saleem 31-Dec-2024 Active');</v>
      </c>
    </row>
    <row r="209" spans="1:8" ht="105" x14ac:dyDescent="0.25">
      <c r="A209" s="12" t="s">
        <v>11588</v>
      </c>
      <c r="B209" s="25" t="str">
        <f>VLOOKUP(A209,policy!B:C,2,0)</f>
        <v>070000170945</v>
      </c>
      <c r="C209" s="13">
        <v>26031</v>
      </c>
      <c r="D209" s="26">
        <f t="shared" si="13"/>
        <v>26031</v>
      </c>
      <c r="E209" s="24" t="s">
        <v>13296</v>
      </c>
      <c r="F209" s="27" t="str">
        <f t="shared" si="12"/>
        <v>insert into ins_premium_det (premium_rcv_code,assorted_code, rec_amount,premium_rcv_detail_code,remaining_amt, payrec, mode_code,coinsurance_code,class_cd,it_remarks) values</v>
      </c>
      <c r="G209" s="28" t="str">
        <f t="shared" si="14"/>
        <v>('30Dec240042','070000170945','26031',(select max(to_number(i.premium_rcv_detail_code))+1
from ins_premium_det i),'26031','26031','02', '11000003','00','Request by Mr. Saqib Saleem 31-Dec-2024 Active');</v>
      </c>
      <c r="H209" s="29" t="str">
        <f t="shared" si="15"/>
        <v>insert into ins_premium_det (premium_rcv_code,assorted_code, rec_amount,premium_rcv_detail_code,remaining_amt, payrec, mode_code,coinsurance_code,class_cd,it_remarks) values('30Dec240042','070000170945','26031',(select max(to_number(i.premium_rcv_detail_code))+1
from ins_premium_det i),'26031','26031','02', '11000003','00','Request by Mr. Saqib Saleem 31-Dec-2024 Active');</v>
      </c>
    </row>
    <row r="210" spans="1:8" ht="105" x14ac:dyDescent="0.25">
      <c r="A210" s="12" t="s">
        <v>11589</v>
      </c>
      <c r="B210" s="25" t="str">
        <f>VLOOKUP(A210,policy!B:C,2,0)</f>
        <v>070000170942</v>
      </c>
      <c r="C210" s="11">
        <v>43584</v>
      </c>
      <c r="D210" s="26">
        <f t="shared" si="13"/>
        <v>43584</v>
      </c>
      <c r="E210" s="24" t="s">
        <v>13296</v>
      </c>
      <c r="F210" s="27" t="str">
        <f t="shared" si="12"/>
        <v>insert into ins_premium_det (premium_rcv_code,assorted_code, rec_amount,premium_rcv_detail_code,remaining_amt, payrec, mode_code,coinsurance_code,class_cd,it_remarks) values</v>
      </c>
      <c r="G210" s="28" t="str">
        <f t="shared" si="14"/>
        <v>('30Dec240042','070000170942','43584',(select max(to_number(i.premium_rcv_detail_code))+1
from ins_premium_det i),'43584','43584','02', '11000003','00','Request by Mr. Saqib Saleem 31-Dec-2024 Active');</v>
      </c>
      <c r="H210" s="29" t="str">
        <f t="shared" si="15"/>
        <v>insert into ins_premium_det (premium_rcv_code,assorted_code, rec_amount,premium_rcv_detail_code,remaining_amt, payrec, mode_code,coinsurance_code,class_cd,it_remarks) values('30Dec240042','070000170942','43584',(select max(to_number(i.premium_rcv_detail_code))+1
from ins_premium_det i),'43584','43584','02', '11000003','00','Request by Mr. Saqib Saleem 31-Dec-2024 Active');</v>
      </c>
    </row>
    <row r="211" spans="1:8" ht="105" x14ac:dyDescent="0.25">
      <c r="A211" s="12" t="s">
        <v>11590</v>
      </c>
      <c r="B211" s="25" t="str">
        <f>VLOOKUP(A211,policy!B:C,2,0)</f>
        <v>070000170940</v>
      </c>
      <c r="C211" s="13">
        <v>25734</v>
      </c>
      <c r="D211" s="26">
        <f t="shared" si="13"/>
        <v>25734</v>
      </c>
      <c r="E211" s="24" t="s">
        <v>13296</v>
      </c>
      <c r="F211" s="27" t="str">
        <f t="shared" si="12"/>
        <v>insert into ins_premium_det (premium_rcv_code,assorted_code, rec_amount,premium_rcv_detail_code,remaining_amt, payrec, mode_code,coinsurance_code,class_cd,it_remarks) values</v>
      </c>
      <c r="G211" s="28" t="str">
        <f t="shared" si="14"/>
        <v>('30Dec240042','070000170940','25734',(select max(to_number(i.premium_rcv_detail_code))+1
from ins_premium_det i),'25734','25734','02', '11000003','00','Request by Mr. Saqib Saleem 31-Dec-2024 Active');</v>
      </c>
      <c r="H211" s="29" t="str">
        <f t="shared" si="15"/>
        <v>insert into ins_premium_det (premium_rcv_code,assorted_code, rec_amount,premium_rcv_detail_code,remaining_amt, payrec, mode_code,coinsurance_code,class_cd,it_remarks) values('30Dec240042','070000170940','25734',(select max(to_number(i.premium_rcv_detail_code))+1
from ins_premium_det i),'25734','25734','02', '11000003','00','Request by Mr. Saqib Saleem 31-Dec-2024 Active');</v>
      </c>
    </row>
    <row r="212" spans="1:8" ht="105" x14ac:dyDescent="0.25">
      <c r="A212" s="12" t="s">
        <v>11591</v>
      </c>
      <c r="B212" s="25" t="str">
        <f>VLOOKUP(A212,policy!B:C,2,0)</f>
        <v>070000170938</v>
      </c>
      <c r="C212" s="11">
        <v>17553</v>
      </c>
      <c r="D212" s="26">
        <f t="shared" si="13"/>
        <v>17553</v>
      </c>
      <c r="E212" s="24" t="s">
        <v>13296</v>
      </c>
      <c r="F212" s="27" t="str">
        <f t="shared" si="12"/>
        <v>insert into ins_premium_det (premium_rcv_code,assorted_code, rec_amount,premium_rcv_detail_code,remaining_amt, payrec, mode_code,coinsurance_code,class_cd,it_remarks) values</v>
      </c>
      <c r="G212" s="28" t="str">
        <f t="shared" si="14"/>
        <v>('30Dec240042','070000170938','17553',(select max(to_number(i.premium_rcv_detail_code))+1
from ins_premium_det i),'17553','17553','02', '11000003','00','Request by Mr. Saqib Saleem 31-Dec-2024 Active');</v>
      </c>
      <c r="H212" s="29" t="str">
        <f t="shared" si="15"/>
        <v>insert into ins_premium_det (premium_rcv_code,assorted_code, rec_amount,premium_rcv_detail_code,remaining_amt, payrec, mode_code,coinsurance_code,class_cd,it_remarks) values('30Dec240042','070000170938','17553',(select max(to_number(i.premium_rcv_detail_code))+1
from ins_premium_det i),'17553','17553','02', '11000003','00','Request by Mr. Saqib Saleem 31-Dec-2024 Active');</v>
      </c>
    </row>
    <row r="213" spans="1:8" ht="105" x14ac:dyDescent="0.25">
      <c r="A213" s="12" t="s">
        <v>11592</v>
      </c>
      <c r="B213" s="25" t="str">
        <f>VLOOKUP(A213,policy!B:C,2,0)</f>
        <v>070000170933</v>
      </c>
      <c r="C213" s="13">
        <v>83475</v>
      </c>
      <c r="D213" s="26">
        <f t="shared" si="13"/>
        <v>83475</v>
      </c>
      <c r="E213" s="24" t="s">
        <v>13296</v>
      </c>
      <c r="F213" s="27" t="str">
        <f t="shared" si="12"/>
        <v>insert into ins_premium_det (premium_rcv_code,assorted_code, rec_amount,premium_rcv_detail_code,remaining_amt, payrec, mode_code,coinsurance_code,class_cd,it_remarks) values</v>
      </c>
      <c r="G213" s="28" t="str">
        <f t="shared" si="14"/>
        <v>('30Dec240042','070000170933','83475',(select max(to_number(i.premium_rcv_detail_code))+1
from ins_premium_det i),'83475','83475','02', '11000003','00','Request by Mr. Saqib Saleem 31-Dec-2024 Active');</v>
      </c>
      <c r="H213" s="29" t="str">
        <f t="shared" si="15"/>
        <v>insert into ins_premium_det (premium_rcv_code,assorted_code, rec_amount,premium_rcv_detail_code,remaining_amt, payrec, mode_code,coinsurance_code,class_cd,it_remarks) values('30Dec240042','070000170933','83475',(select max(to_number(i.premium_rcv_detail_code))+1
from ins_premium_det i),'83475','83475','02', '11000003','00','Request by Mr. Saqib Saleem 31-Dec-2024 Active');</v>
      </c>
    </row>
    <row r="214" spans="1:8" ht="105" x14ac:dyDescent="0.25">
      <c r="A214" s="12" t="s">
        <v>11593</v>
      </c>
      <c r="B214" s="25" t="str">
        <f>VLOOKUP(A214,policy!B:C,2,0)</f>
        <v>070000170930</v>
      </c>
      <c r="C214" s="11">
        <v>111825</v>
      </c>
      <c r="D214" s="26">
        <f t="shared" si="13"/>
        <v>111825</v>
      </c>
      <c r="E214" s="24" t="s">
        <v>13296</v>
      </c>
      <c r="F214" s="27" t="str">
        <f t="shared" si="12"/>
        <v>insert into ins_premium_det (premium_rcv_code,assorted_code, rec_amount,premium_rcv_detail_code,remaining_amt, payrec, mode_code,coinsurance_code,class_cd,it_remarks) values</v>
      </c>
      <c r="G214" s="28" t="str">
        <f t="shared" si="14"/>
        <v>('30Dec240042','070000170930','111825',(select max(to_number(i.premium_rcv_detail_code))+1
from ins_premium_det i),'111825','111825','02', '11000003','00','Request by Mr. Saqib Saleem 31-Dec-2024 Active');</v>
      </c>
      <c r="H214" s="29" t="str">
        <f t="shared" si="15"/>
        <v>insert into ins_premium_det (premium_rcv_code,assorted_code, rec_amount,premium_rcv_detail_code,remaining_amt, payrec, mode_code,coinsurance_code,class_cd,it_remarks) values('30Dec240042','070000170930','111825',(select max(to_number(i.premium_rcv_detail_code))+1
from ins_premium_det i),'111825','111825','02', '11000003','00','Request by Mr. Saqib Saleem 31-Dec-2024 Active');</v>
      </c>
    </row>
    <row r="215" spans="1:8" ht="105" x14ac:dyDescent="0.25">
      <c r="A215" s="12" t="s">
        <v>11594</v>
      </c>
      <c r="B215" s="25" t="str">
        <f>VLOOKUP(A215,policy!B:C,2,0)</f>
        <v>070000170929</v>
      </c>
      <c r="C215" s="13">
        <v>86625</v>
      </c>
      <c r="D215" s="26">
        <f t="shared" si="13"/>
        <v>86625</v>
      </c>
      <c r="E215" s="24" t="s">
        <v>13296</v>
      </c>
      <c r="F215" s="27" t="str">
        <f t="shared" si="12"/>
        <v>insert into ins_premium_det (premium_rcv_code,assorted_code, rec_amount,premium_rcv_detail_code,remaining_amt, payrec, mode_code,coinsurance_code,class_cd,it_remarks) values</v>
      </c>
      <c r="G215" s="28" t="str">
        <f t="shared" si="14"/>
        <v>('30Dec240042','070000170929','86625',(select max(to_number(i.premium_rcv_detail_code))+1
from ins_premium_det i),'86625','86625','02', '11000003','00','Request by Mr. Saqib Saleem 31-Dec-2024 Active');</v>
      </c>
      <c r="H215" s="29" t="str">
        <f t="shared" si="15"/>
        <v>insert into ins_premium_det (premium_rcv_code,assorted_code, rec_amount,premium_rcv_detail_code,remaining_amt, payrec, mode_code,coinsurance_code,class_cd,it_remarks) values('30Dec240042','070000170929','86625',(select max(to_number(i.premium_rcv_detail_code))+1
from ins_premium_det i),'86625','86625','02', '11000003','00','Request by Mr. Saqib Saleem 31-Dec-2024 Active');</v>
      </c>
    </row>
    <row r="216" spans="1:8" ht="105" x14ac:dyDescent="0.25">
      <c r="A216" s="12" t="s">
        <v>11595</v>
      </c>
      <c r="B216" s="25" t="str">
        <f>VLOOKUP(A216,policy!B:C,2,0)</f>
        <v>070000170927</v>
      </c>
      <c r="C216" s="11">
        <v>16784</v>
      </c>
      <c r="D216" s="26">
        <f t="shared" si="13"/>
        <v>16784</v>
      </c>
      <c r="E216" s="24" t="s">
        <v>13296</v>
      </c>
      <c r="F216" s="27" t="str">
        <f t="shared" si="12"/>
        <v>insert into ins_premium_det (premium_rcv_code,assorted_code, rec_amount,premium_rcv_detail_code,remaining_amt, payrec, mode_code,coinsurance_code,class_cd,it_remarks) values</v>
      </c>
      <c r="G216" s="28" t="str">
        <f t="shared" si="14"/>
        <v>('30Dec240042','070000170927','16784',(select max(to_number(i.premium_rcv_detail_code))+1
from ins_premium_det i),'16784','16784','02', '11000003','00','Request by Mr. Saqib Saleem 31-Dec-2024 Active');</v>
      </c>
      <c r="H216" s="29" t="str">
        <f t="shared" si="15"/>
        <v>insert into ins_premium_det (premium_rcv_code,assorted_code, rec_amount,premium_rcv_detail_code,remaining_amt, payrec, mode_code,coinsurance_code,class_cd,it_remarks) values('30Dec240042','070000170927','16784',(select max(to_number(i.premium_rcv_detail_code))+1
from ins_premium_det i),'16784','16784','02', '11000003','00','Request by Mr. Saqib Saleem 31-Dec-2024 Active');</v>
      </c>
    </row>
    <row r="217" spans="1:8" ht="105" x14ac:dyDescent="0.25">
      <c r="A217" s="12" t="s">
        <v>11596</v>
      </c>
      <c r="B217" s="25" t="str">
        <f>VLOOKUP(A217,policy!B:C,2,0)</f>
        <v>070000170926</v>
      </c>
      <c r="C217" s="13">
        <v>26700</v>
      </c>
      <c r="D217" s="26">
        <f t="shared" si="13"/>
        <v>26700</v>
      </c>
      <c r="E217" s="24" t="s">
        <v>13296</v>
      </c>
      <c r="F217" s="27" t="str">
        <f t="shared" si="12"/>
        <v>insert into ins_premium_det (premium_rcv_code,assorted_code, rec_amount,premium_rcv_detail_code,remaining_amt, payrec, mode_code,coinsurance_code,class_cd,it_remarks) values</v>
      </c>
      <c r="G217" s="28" t="str">
        <f t="shared" si="14"/>
        <v>('30Dec240042','070000170926','26700',(select max(to_number(i.premium_rcv_detail_code))+1
from ins_premium_det i),'26700','26700','02', '11000003','00','Request by Mr. Saqib Saleem 31-Dec-2024 Active');</v>
      </c>
      <c r="H217" s="29" t="str">
        <f t="shared" si="15"/>
        <v>insert into ins_premium_det (premium_rcv_code,assorted_code, rec_amount,premium_rcv_detail_code,remaining_amt, payrec, mode_code,coinsurance_code,class_cd,it_remarks) values('30Dec240042','070000170926','26700',(select max(to_number(i.premium_rcv_detail_code))+1
from ins_premium_det i),'26700','26700','02', '11000003','00','Request by Mr. Saqib Saleem 31-Dec-2024 Active');</v>
      </c>
    </row>
    <row r="218" spans="1:8" ht="105" x14ac:dyDescent="0.25">
      <c r="A218" s="12" t="s">
        <v>11597</v>
      </c>
      <c r="B218" s="25" t="str">
        <f>VLOOKUP(A218,policy!B:C,2,0)</f>
        <v>070000170924</v>
      </c>
      <c r="C218" s="11">
        <v>21360</v>
      </c>
      <c r="D218" s="26">
        <f t="shared" si="13"/>
        <v>21360</v>
      </c>
      <c r="E218" s="24" t="s">
        <v>13296</v>
      </c>
      <c r="F218" s="27" t="str">
        <f t="shared" si="12"/>
        <v>insert into ins_premium_det (premium_rcv_code,assorted_code, rec_amount,premium_rcv_detail_code,remaining_amt, payrec, mode_code,coinsurance_code,class_cd,it_remarks) values</v>
      </c>
      <c r="G218" s="28" t="str">
        <f t="shared" si="14"/>
        <v>('30Dec240042','070000170924','21360',(select max(to_number(i.premium_rcv_detail_code))+1
from ins_premium_det i),'21360','21360','02', '11000003','00','Request by Mr. Saqib Saleem 31-Dec-2024 Active');</v>
      </c>
      <c r="H218" s="29" t="str">
        <f t="shared" si="15"/>
        <v>insert into ins_premium_det (premium_rcv_code,assorted_code, rec_amount,premium_rcv_detail_code,remaining_amt, payrec, mode_code,coinsurance_code,class_cd,it_remarks) values('30Dec240042','070000170924','21360',(select max(to_number(i.premium_rcv_detail_code))+1
from ins_premium_det i),'21360','21360','02', '11000003','00','Request by Mr. Saqib Saleem 31-Dec-2024 Active');</v>
      </c>
    </row>
    <row r="219" spans="1:8" ht="105" x14ac:dyDescent="0.25">
      <c r="A219" s="12" t="s">
        <v>11598</v>
      </c>
      <c r="B219" s="25" t="str">
        <f>VLOOKUP(A219,policy!B:C,2,0)</f>
        <v>070000170923</v>
      </c>
      <c r="C219" s="13">
        <v>24336</v>
      </c>
      <c r="D219" s="26">
        <f t="shared" si="13"/>
        <v>24336</v>
      </c>
      <c r="E219" s="24" t="s">
        <v>13296</v>
      </c>
      <c r="F219" s="27" t="str">
        <f t="shared" si="12"/>
        <v>insert into ins_premium_det (premium_rcv_code,assorted_code, rec_amount,premium_rcv_detail_code,remaining_amt, payrec, mode_code,coinsurance_code,class_cd,it_remarks) values</v>
      </c>
      <c r="G219" s="28" t="str">
        <f t="shared" si="14"/>
        <v>('30Dec240042','070000170923','24336',(select max(to_number(i.premium_rcv_detail_code))+1
from ins_premium_det i),'24336','24336','02', '11000003','00','Request by Mr. Saqib Saleem 31-Dec-2024 Active');</v>
      </c>
      <c r="H219" s="29" t="str">
        <f t="shared" si="15"/>
        <v>insert into ins_premium_det (premium_rcv_code,assorted_code, rec_amount,premium_rcv_detail_code,remaining_amt, payrec, mode_code,coinsurance_code,class_cd,it_remarks) values('30Dec240042','070000170923','24336',(select max(to_number(i.premium_rcv_detail_code))+1
from ins_premium_det i),'24336','24336','02', '11000003','00','Request by Mr. Saqib Saleem 31-Dec-2024 Active');</v>
      </c>
    </row>
    <row r="220" spans="1:8" ht="105" x14ac:dyDescent="0.25">
      <c r="A220" s="12" t="s">
        <v>11599</v>
      </c>
      <c r="B220" s="25" t="str">
        <f>VLOOKUP(A220,policy!B:C,2,0)</f>
        <v>070000170922</v>
      </c>
      <c r="C220" s="11">
        <v>40170</v>
      </c>
      <c r="D220" s="26">
        <f t="shared" si="13"/>
        <v>40170</v>
      </c>
      <c r="E220" s="24" t="s">
        <v>13296</v>
      </c>
      <c r="F220" s="27" t="str">
        <f t="shared" si="12"/>
        <v>insert into ins_premium_det (premium_rcv_code,assorted_code, rec_amount,premium_rcv_detail_code,remaining_amt, payrec, mode_code,coinsurance_code,class_cd,it_remarks) values</v>
      </c>
      <c r="G220" s="28" t="str">
        <f t="shared" si="14"/>
        <v>('30Dec240042','070000170922','40170',(select max(to_number(i.premium_rcv_detail_code))+1
from ins_premium_det i),'40170','40170','02', '11000003','00','Request by Mr. Saqib Saleem 31-Dec-2024 Active');</v>
      </c>
      <c r="H220" s="29" t="str">
        <f t="shared" si="15"/>
        <v>insert into ins_premium_det (premium_rcv_code,assorted_code, rec_amount,premium_rcv_detail_code,remaining_amt, payrec, mode_code,coinsurance_code,class_cd,it_remarks) values('30Dec240042','070000170922','40170',(select max(to_number(i.premium_rcv_detail_code))+1
from ins_premium_det i),'40170','40170','02', '11000003','00','Request by Mr. Saqib Saleem 31-Dec-2024 Active');</v>
      </c>
    </row>
    <row r="221" spans="1:8" ht="105" x14ac:dyDescent="0.25">
      <c r="A221" s="12" t="s">
        <v>11600</v>
      </c>
      <c r="B221" s="25" t="str">
        <f>VLOOKUP(A221,policy!B:C,2,0)</f>
        <v>070000170921</v>
      </c>
      <c r="C221" s="13">
        <v>26400</v>
      </c>
      <c r="D221" s="26">
        <f t="shared" si="13"/>
        <v>26400</v>
      </c>
      <c r="E221" s="24" t="s">
        <v>13296</v>
      </c>
      <c r="F221" s="27" t="str">
        <f t="shared" si="12"/>
        <v>insert into ins_premium_det (premium_rcv_code,assorted_code, rec_amount,premium_rcv_detail_code,remaining_amt, payrec, mode_code,coinsurance_code,class_cd,it_remarks) values</v>
      </c>
      <c r="G221" s="28" t="str">
        <f t="shared" si="14"/>
        <v>('30Dec240042','070000170921','26400',(select max(to_number(i.premium_rcv_detail_code))+1
from ins_premium_det i),'26400','26400','02', '11000003','00','Request by Mr. Saqib Saleem 31-Dec-2024 Active');</v>
      </c>
      <c r="H221" s="29" t="str">
        <f t="shared" si="15"/>
        <v>insert into ins_premium_det (premium_rcv_code,assorted_code, rec_amount,premium_rcv_detail_code,remaining_amt, payrec, mode_code,coinsurance_code,class_cd,it_remarks) values('30Dec240042','070000170921','26400',(select max(to_number(i.premium_rcv_detail_code))+1
from ins_premium_det i),'26400','26400','02', '11000003','00','Request by Mr. Saqib Saleem 31-Dec-2024 Active');</v>
      </c>
    </row>
    <row r="222" spans="1:8" ht="105" x14ac:dyDescent="0.25">
      <c r="A222" s="12" t="s">
        <v>11601</v>
      </c>
      <c r="B222" s="25" t="str">
        <f>VLOOKUP(A222,policy!B:C,2,0)</f>
        <v>070000170920</v>
      </c>
      <c r="C222" s="11">
        <v>41424</v>
      </c>
      <c r="D222" s="26">
        <f t="shared" si="13"/>
        <v>41424</v>
      </c>
      <c r="E222" s="24" t="s">
        <v>13296</v>
      </c>
      <c r="F222" s="27" t="str">
        <f t="shared" si="12"/>
        <v>insert into ins_premium_det (premium_rcv_code,assorted_code, rec_amount,premium_rcv_detail_code,remaining_amt, payrec, mode_code,coinsurance_code,class_cd,it_remarks) values</v>
      </c>
      <c r="G222" s="28" t="str">
        <f t="shared" si="14"/>
        <v>('30Dec240042','070000170920','41424',(select max(to_number(i.premium_rcv_detail_code))+1
from ins_premium_det i),'41424','41424','02', '11000003','00','Request by Mr. Saqib Saleem 31-Dec-2024 Active');</v>
      </c>
      <c r="H222" s="29" t="str">
        <f t="shared" si="15"/>
        <v>insert into ins_premium_det (premium_rcv_code,assorted_code, rec_amount,premium_rcv_detail_code,remaining_amt, payrec, mode_code,coinsurance_code,class_cd,it_remarks) values('30Dec240042','070000170920','41424',(select max(to_number(i.premium_rcv_detail_code))+1
from ins_premium_det i),'41424','41424','02', '11000003','00','Request by Mr. Saqib Saleem 31-Dec-2024 Active');</v>
      </c>
    </row>
    <row r="223" spans="1:8" ht="105" x14ac:dyDescent="0.25">
      <c r="A223" s="12" t="s">
        <v>11602</v>
      </c>
      <c r="B223" s="25" t="str">
        <f>VLOOKUP(A223,policy!B:C,2,0)</f>
        <v>070000170919</v>
      </c>
      <c r="C223" s="13">
        <v>33000</v>
      </c>
      <c r="D223" s="26">
        <f t="shared" si="13"/>
        <v>33000</v>
      </c>
      <c r="E223" s="24" t="s">
        <v>13296</v>
      </c>
      <c r="F223" s="27" t="str">
        <f t="shared" si="12"/>
        <v>insert into ins_premium_det (premium_rcv_code,assorted_code, rec_amount,premium_rcv_detail_code,remaining_amt, payrec, mode_code,coinsurance_code,class_cd,it_remarks) values</v>
      </c>
      <c r="G223" s="28" t="str">
        <f t="shared" si="14"/>
        <v>('30Dec240042','070000170919','33000',(select max(to_number(i.premium_rcv_detail_code))+1
from ins_premium_det i),'33000','33000','02', '11000003','00','Request by Mr. Saqib Saleem 31-Dec-2024 Active');</v>
      </c>
      <c r="H223" s="29" t="str">
        <f t="shared" si="15"/>
        <v>insert into ins_premium_det (premium_rcv_code,assorted_code, rec_amount,premium_rcv_detail_code,remaining_amt, payrec, mode_code,coinsurance_code,class_cd,it_remarks) values('30Dec240042','070000170919','33000',(select max(to_number(i.premium_rcv_detail_code))+1
from ins_premium_det i),'33000','33000','02', '11000003','00','Request by Mr. Saqib Saleem 31-Dec-2024 Active');</v>
      </c>
    </row>
    <row r="224" spans="1:8" ht="105" x14ac:dyDescent="0.25">
      <c r="A224" s="12" t="s">
        <v>11603</v>
      </c>
      <c r="B224" s="25" t="str">
        <f>VLOOKUP(A224,policy!B:C,2,0)</f>
        <v>070000170918</v>
      </c>
      <c r="C224" s="11">
        <v>36000</v>
      </c>
      <c r="D224" s="26">
        <f t="shared" si="13"/>
        <v>36000</v>
      </c>
      <c r="E224" s="24" t="s">
        <v>13296</v>
      </c>
      <c r="F224" s="27" t="str">
        <f t="shared" si="12"/>
        <v>insert into ins_premium_det (premium_rcv_code,assorted_code, rec_amount,premium_rcv_detail_code,remaining_amt, payrec, mode_code,coinsurance_code,class_cd,it_remarks) values</v>
      </c>
      <c r="G224" s="28" t="str">
        <f t="shared" si="14"/>
        <v>('30Dec240042','070000170918','36000',(select max(to_number(i.premium_rcv_detail_code))+1
from ins_premium_det i),'36000','36000','02', '11000003','00','Request by Mr. Saqib Saleem 31-Dec-2024 Active');</v>
      </c>
      <c r="H224" s="29" t="str">
        <f t="shared" si="15"/>
        <v>insert into ins_premium_det (premium_rcv_code,assorted_code, rec_amount,premium_rcv_detail_code,remaining_amt, payrec, mode_code,coinsurance_code,class_cd,it_remarks) values('30Dec240042','070000170918','36000',(select max(to_number(i.premium_rcv_detail_code))+1
from ins_premium_det i),'36000','36000','02', '11000003','00','Request by Mr. Saqib Saleem 31-Dec-2024 Active');</v>
      </c>
    </row>
    <row r="225" spans="1:8" ht="105" x14ac:dyDescent="0.25">
      <c r="A225" s="12" t="s">
        <v>11604</v>
      </c>
      <c r="B225" s="25" t="str">
        <f>VLOOKUP(A225,policy!B:C,2,0)</f>
        <v>070000170916</v>
      </c>
      <c r="C225" s="13">
        <v>54240</v>
      </c>
      <c r="D225" s="26">
        <f t="shared" si="13"/>
        <v>54240</v>
      </c>
      <c r="E225" s="24" t="s">
        <v>13296</v>
      </c>
      <c r="F225" s="27" t="str">
        <f t="shared" si="12"/>
        <v>insert into ins_premium_det (premium_rcv_code,assorted_code, rec_amount,premium_rcv_detail_code,remaining_amt, payrec, mode_code,coinsurance_code,class_cd,it_remarks) values</v>
      </c>
      <c r="G225" s="28" t="str">
        <f t="shared" si="14"/>
        <v>('30Dec240042','070000170916','54240',(select max(to_number(i.premium_rcv_detail_code))+1
from ins_premium_det i),'54240','54240','02', '11000003','00','Request by Mr. Saqib Saleem 31-Dec-2024 Active');</v>
      </c>
      <c r="H225" s="29" t="str">
        <f t="shared" si="15"/>
        <v>insert into ins_premium_det (premium_rcv_code,assorted_code, rec_amount,premium_rcv_detail_code,remaining_amt, payrec, mode_code,coinsurance_code,class_cd,it_remarks) values('30Dec240042','070000170916','54240',(select max(to_number(i.premium_rcv_detail_code))+1
from ins_premium_det i),'54240','54240','02', '11000003','00','Request by Mr. Saqib Saleem 31-Dec-2024 Active');</v>
      </c>
    </row>
    <row r="226" spans="1:8" ht="105" x14ac:dyDescent="0.25">
      <c r="A226" s="12" t="s">
        <v>11605</v>
      </c>
      <c r="B226" s="25" t="str">
        <f>VLOOKUP(A226,policy!B:C,2,0)</f>
        <v>070000170915</v>
      </c>
      <c r="C226" s="11">
        <v>42000</v>
      </c>
      <c r="D226" s="26">
        <f t="shared" si="13"/>
        <v>42000</v>
      </c>
      <c r="E226" s="24" t="s">
        <v>13296</v>
      </c>
      <c r="F226" s="27" t="str">
        <f t="shared" si="12"/>
        <v>insert into ins_premium_det (premium_rcv_code,assorted_code, rec_amount,premium_rcv_detail_code,remaining_amt, payrec, mode_code,coinsurance_code,class_cd,it_remarks) values</v>
      </c>
      <c r="G226" s="28" t="str">
        <f t="shared" si="14"/>
        <v>('30Dec240042','070000170915','42000',(select max(to_number(i.premium_rcv_detail_code))+1
from ins_premium_det i),'42000','42000','02', '11000003','00','Request by Mr. Saqib Saleem 31-Dec-2024 Active');</v>
      </c>
      <c r="H226" s="29" t="str">
        <f t="shared" si="15"/>
        <v>insert into ins_premium_det (premium_rcv_code,assorted_code, rec_amount,premium_rcv_detail_code,remaining_amt, payrec, mode_code,coinsurance_code,class_cd,it_remarks) values('30Dec240042','070000170915','42000',(select max(to_number(i.premium_rcv_detail_code))+1
from ins_premium_det i),'42000','42000','02', '11000003','00','Request by Mr. Saqib Saleem 31-Dec-2024 Active');</v>
      </c>
    </row>
    <row r="227" spans="1:8" ht="105" x14ac:dyDescent="0.25">
      <c r="A227" s="12" t="s">
        <v>11606</v>
      </c>
      <c r="B227" s="25" t="str">
        <f>VLOOKUP(A227,policy!B:C,2,0)</f>
        <v>070000170914</v>
      </c>
      <c r="C227" s="13">
        <v>46928</v>
      </c>
      <c r="D227" s="26">
        <f t="shared" si="13"/>
        <v>46928</v>
      </c>
      <c r="E227" s="24" t="s">
        <v>13296</v>
      </c>
      <c r="F227" s="27" t="str">
        <f t="shared" si="12"/>
        <v>insert into ins_premium_det (premium_rcv_code,assorted_code, rec_amount,premium_rcv_detail_code,remaining_amt, payrec, mode_code,coinsurance_code,class_cd,it_remarks) values</v>
      </c>
      <c r="G227" s="28" t="str">
        <f t="shared" si="14"/>
        <v>('30Dec240042','070000170914','46928',(select max(to_number(i.premium_rcv_detail_code))+1
from ins_premium_det i),'46928','46928','02', '11000003','00','Request by Mr. Saqib Saleem 31-Dec-2024 Active');</v>
      </c>
      <c r="H227" s="29" t="str">
        <f t="shared" si="15"/>
        <v>insert into ins_premium_det (premium_rcv_code,assorted_code, rec_amount,premium_rcv_detail_code,remaining_amt, payrec, mode_code,coinsurance_code,class_cd,it_remarks) values('30Dec240042','070000170914','46928',(select max(to_number(i.premium_rcv_detail_code))+1
from ins_premium_det i),'46928','46928','02', '11000003','00','Request by Mr. Saqib Saleem 31-Dec-2024 Active');</v>
      </c>
    </row>
    <row r="228" spans="1:8" ht="105" x14ac:dyDescent="0.25">
      <c r="A228" s="12" t="s">
        <v>11607</v>
      </c>
      <c r="B228" s="25" t="str">
        <f>VLOOKUP(A228,policy!B:C,2,0)</f>
        <v>070000170909</v>
      </c>
      <c r="C228" s="11">
        <v>62384</v>
      </c>
      <c r="D228" s="26">
        <f t="shared" si="13"/>
        <v>62384</v>
      </c>
      <c r="E228" s="24" t="s">
        <v>13296</v>
      </c>
      <c r="F228" s="27" t="str">
        <f t="shared" si="12"/>
        <v>insert into ins_premium_det (premium_rcv_code,assorted_code, rec_amount,premium_rcv_detail_code,remaining_amt, payrec, mode_code,coinsurance_code,class_cd,it_remarks) values</v>
      </c>
      <c r="G228" s="28" t="str">
        <f t="shared" si="14"/>
        <v>('30Dec240042','070000170909','62384',(select max(to_number(i.premium_rcv_detail_code))+1
from ins_premium_det i),'62384','62384','02', '11000003','00','Request by Mr. Saqib Saleem 31-Dec-2024 Active');</v>
      </c>
      <c r="H228" s="29" t="str">
        <f t="shared" si="15"/>
        <v>insert into ins_premium_det (premium_rcv_code,assorted_code, rec_amount,premium_rcv_detail_code,remaining_amt, payrec, mode_code,coinsurance_code,class_cd,it_remarks) values('30Dec240042','070000170909','62384',(select max(to_number(i.premium_rcv_detail_code))+1
from ins_premium_det i),'62384','62384','02', '11000003','00','Request by Mr. Saqib Saleem 31-Dec-2024 Active');</v>
      </c>
    </row>
    <row r="229" spans="1:8" ht="105" x14ac:dyDescent="0.25">
      <c r="A229" s="12" t="s">
        <v>11608</v>
      </c>
      <c r="B229" s="25" t="str">
        <f>VLOOKUP(A229,policy!B:C,2,0)</f>
        <v>070000170908</v>
      </c>
      <c r="C229" s="13">
        <v>78370</v>
      </c>
      <c r="D229" s="26">
        <f t="shared" si="13"/>
        <v>78370</v>
      </c>
      <c r="E229" s="24" t="s">
        <v>13296</v>
      </c>
      <c r="F229" s="27" t="str">
        <f t="shared" si="12"/>
        <v>insert into ins_premium_det (premium_rcv_code,assorted_code, rec_amount,premium_rcv_detail_code,remaining_amt, payrec, mode_code,coinsurance_code,class_cd,it_remarks) values</v>
      </c>
      <c r="G229" s="28" t="str">
        <f t="shared" si="14"/>
        <v>('30Dec240042','070000170908','78370',(select max(to_number(i.premium_rcv_detail_code))+1
from ins_premium_det i),'78370','78370','02', '11000003','00','Request by Mr. Saqib Saleem 31-Dec-2024 Active');</v>
      </c>
      <c r="H229" s="29" t="str">
        <f t="shared" si="15"/>
        <v>insert into ins_premium_det (premium_rcv_code,assorted_code, rec_amount,premium_rcv_detail_code,remaining_amt, payrec, mode_code,coinsurance_code,class_cd,it_remarks) values('30Dec240042','070000170908','78370',(select max(to_number(i.premium_rcv_detail_code))+1
from ins_premium_det i),'78370','78370','02', '11000003','00','Request by Mr. Saqib Saleem 31-Dec-2024 Active');</v>
      </c>
    </row>
    <row r="230" spans="1:8" ht="105" x14ac:dyDescent="0.25">
      <c r="A230" s="12" t="s">
        <v>11609</v>
      </c>
      <c r="B230" s="25" t="str">
        <f>VLOOKUP(A230,policy!B:C,2,0)</f>
        <v>070000170905</v>
      </c>
      <c r="C230" s="11">
        <v>103028</v>
      </c>
      <c r="D230" s="26">
        <f t="shared" si="13"/>
        <v>103028</v>
      </c>
      <c r="E230" s="24" t="s">
        <v>13296</v>
      </c>
      <c r="F230" s="27" t="str">
        <f t="shared" si="12"/>
        <v>insert into ins_premium_det (premium_rcv_code,assorted_code, rec_amount,premium_rcv_detail_code,remaining_amt, payrec, mode_code,coinsurance_code,class_cd,it_remarks) values</v>
      </c>
      <c r="G230" s="28" t="str">
        <f t="shared" si="14"/>
        <v>('30Dec240042','070000170905','103028',(select max(to_number(i.premium_rcv_detail_code))+1
from ins_premium_det i),'103028','103028','02', '11000003','00','Request by Mr. Saqib Saleem 31-Dec-2024 Active');</v>
      </c>
      <c r="H230" s="29" t="str">
        <f t="shared" si="15"/>
        <v>insert into ins_premium_det (premium_rcv_code,assorted_code, rec_amount,premium_rcv_detail_code,remaining_amt, payrec, mode_code,coinsurance_code,class_cd,it_remarks) values('30Dec240042','070000170905','103028',(select max(to_number(i.premium_rcv_detail_code))+1
from ins_premium_det i),'103028','103028','02', '11000003','00','Request by Mr. Saqib Saleem 31-Dec-2024 Active');</v>
      </c>
    </row>
    <row r="231" spans="1:8" ht="105" x14ac:dyDescent="0.25">
      <c r="A231" s="12" t="s">
        <v>11610</v>
      </c>
      <c r="B231" s="25" t="str">
        <f>VLOOKUP(A231,policy!B:C,2,0)</f>
        <v>070000170904</v>
      </c>
      <c r="C231" s="13">
        <v>11900</v>
      </c>
      <c r="D231" s="26">
        <f t="shared" si="13"/>
        <v>11900</v>
      </c>
      <c r="E231" s="24" t="s">
        <v>13296</v>
      </c>
      <c r="F231" s="27" t="str">
        <f t="shared" si="12"/>
        <v>insert into ins_premium_det (premium_rcv_code,assorted_code, rec_amount,premium_rcv_detail_code,remaining_amt, payrec, mode_code,coinsurance_code,class_cd,it_remarks) values</v>
      </c>
      <c r="G231" s="28" t="str">
        <f t="shared" si="14"/>
        <v>('30Dec240042','070000170904','11900',(select max(to_number(i.premium_rcv_detail_code))+1
from ins_premium_det i),'11900','11900','02', '11000003','00','Request by Mr. Saqib Saleem 31-Dec-2024 Active');</v>
      </c>
      <c r="H231" s="29" t="str">
        <f t="shared" si="15"/>
        <v>insert into ins_premium_det (premium_rcv_code,assorted_code, rec_amount,premium_rcv_detail_code,remaining_amt, payrec, mode_code,coinsurance_code,class_cd,it_remarks) values('30Dec240042','070000170904','11900',(select max(to_number(i.premium_rcv_detail_code))+1
from ins_premium_det i),'11900','11900','02', '11000003','00','Request by Mr. Saqib Saleem 31-Dec-2024 Active');</v>
      </c>
    </row>
    <row r="232" spans="1:8" ht="105" x14ac:dyDescent="0.25">
      <c r="A232" s="12" t="s">
        <v>11611</v>
      </c>
      <c r="B232" s="25" t="str">
        <f>VLOOKUP(A232,policy!B:C,2,0)</f>
        <v>070000170902</v>
      </c>
      <c r="C232" s="11">
        <v>24875</v>
      </c>
      <c r="D232" s="26">
        <f t="shared" si="13"/>
        <v>24875</v>
      </c>
      <c r="E232" s="24" t="s">
        <v>13296</v>
      </c>
      <c r="F232" s="27" t="str">
        <f t="shared" si="12"/>
        <v>insert into ins_premium_det (premium_rcv_code,assorted_code, rec_amount,premium_rcv_detail_code,remaining_amt, payrec, mode_code,coinsurance_code,class_cd,it_remarks) values</v>
      </c>
      <c r="G232" s="28" t="str">
        <f t="shared" si="14"/>
        <v>('30Dec240042','070000170902','24875',(select max(to_number(i.premium_rcv_detail_code))+1
from ins_premium_det i),'24875','24875','02', '11000003','00','Request by Mr. Saqib Saleem 31-Dec-2024 Active');</v>
      </c>
      <c r="H232" s="29" t="str">
        <f t="shared" si="15"/>
        <v>insert into ins_premium_det (premium_rcv_code,assorted_code, rec_amount,premium_rcv_detail_code,remaining_amt, payrec, mode_code,coinsurance_code,class_cd,it_remarks) values('30Dec240042','070000170902','24875',(select max(to_number(i.premium_rcv_detail_code))+1
from ins_premium_det i),'24875','24875','02', '11000003','00','Request by Mr. Saqib Saleem 31-Dec-2024 Active');</v>
      </c>
    </row>
    <row r="233" spans="1:8" ht="105" x14ac:dyDescent="0.25">
      <c r="A233" s="12" t="s">
        <v>11612</v>
      </c>
      <c r="B233" s="25" t="str">
        <f>VLOOKUP(A233,policy!B:C,2,0)</f>
        <v>070000170901</v>
      </c>
      <c r="C233" s="13">
        <v>43248</v>
      </c>
      <c r="D233" s="26">
        <f t="shared" si="13"/>
        <v>43248</v>
      </c>
      <c r="E233" s="24" t="s">
        <v>13296</v>
      </c>
      <c r="F233" s="27" t="str">
        <f t="shared" si="12"/>
        <v>insert into ins_premium_det (premium_rcv_code,assorted_code, rec_amount,premium_rcv_detail_code,remaining_amt, payrec, mode_code,coinsurance_code,class_cd,it_remarks) values</v>
      </c>
      <c r="G233" s="28" t="str">
        <f t="shared" si="14"/>
        <v>('30Dec240042','070000170901','43248',(select max(to_number(i.premium_rcv_detail_code))+1
from ins_premium_det i),'43248','43248','02', '11000003','00','Request by Mr. Saqib Saleem 31-Dec-2024 Active');</v>
      </c>
      <c r="H233" s="29" t="str">
        <f t="shared" si="15"/>
        <v>insert into ins_premium_det (premium_rcv_code,assorted_code, rec_amount,premium_rcv_detail_code,remaining_amt, payrec, mode_code,coinsurance_code,class_cd,it_remarks) values('30Dec240042','070000170901','43248',(select max(to_number(i.premium_rcv_detail_code))+1
from ins_premium_det i),'43248','43248','02', '11000003','00','Request by Mr. Saqib Saleem 31-Dec-2024 Active');</v>
      </c>
    </row>
    <row r="234" spans="1:8" ht="105" x14ac:dyDescent="0.25">
      <c r="A234" s="12" t="s">
        <v>11613</v>
      </c>
      <c r="B234" s="25" t="str">
        <f>VLOOKUP(A234,policy!B:C,2,0)</f>
        <v>070000170900</v>
      </c>
      <c r="C234" s="11">
        <v>88902</v>
      </c>
      <c r="D234" s="26">
        <f t="shared" si="13"/>
        <v>88902</v>
      </c>
      <c r="E234" s="24" t="s">
        <v>13296</v>
      </c>
      <c r="F234" s="27" t="str">
        <f t="shared" si="12"/>
        <v>insert into ins_premium_det (premium_rcv_code,assorted_code, rec_amount,premium_rcv_detail_code,remaining_amt, payrec, mode_code,coinsurance_code,class_cd,it_remarks) values</v>
      </c>
      <c r="G234" s="28" t="str">
        <f t="shared" si="14"/>
        <v>('30Dec240042','070000170900','88902',(select max(to_number(i.premium_rcv_detail_code))+1
from ins_premium_det i),'88902','88902','02', '11000003','00','Request by Mr. Saqib Saleem 31-Dec-2024 Active');</v>
      </c>
      <c r="H234" s="29" t="str">
        <f t="shared" si="15"/>
        <v>insert into ins_premium_det (premium_rcv_code,assorted_code, rec_amount,premium_rcv_detail_code,remaining_amt, payrec, mode_code,coinsurance_code,class_cd,it_remarks) values('30Dec240042','070000170900','88902',(select max(to_number(i.premium_rcv_detail_code))+1
from ins_premium_det i),'88902','88902','02', '11000003','00','Request by Mr. Saqib Saleem 31-Dec-2024 Active');</v>
      </c>
    </row>
    <row r="235" spans="1:8" ht="105" x14ac:dyDescent="0.25">
      <c r="A235" s="12" t="s">
        <v>11614</v>
      </c>
      <c r="B235" s="25" t="str">
        <f>VLOOKUP(A235,policy!B:C,2,0)</f>
        <v>070000170899</v>
      </c>
      <c r="C235" s="13">
        <v>44084</v>
      </c>
      <c r="D235" s="26">
        <f t="shared" si="13"/>
        <v>44084</v>
      </c>
      <c r="E235" s="24" t="s">
        <v>13296</v>
      </c>
      <c r="F235" s="27" t="str">
        <f t="shared" si="12"/>
        <v>insert into ins_premium_det (premium_rcv_code,assorted_code, rec_amount,premium_rcv_detail_code,remaining_amt, payrec, mode_code,coinsurance_code,class_cd,it_remarks) values</v>
      </c>
      <c r="G235" s="28" t="str">
        <f t="shared" si="14"/>
        <v>('30Dec240042','070000170899','44084',(select max(to_number(i.premium_rcv_detail_code))+1
from ins_premium_det i),'44084','44084','02', '11000003','00','Request by Mr. Saqib Saleem 31-Dec-2024 Active');</v>
      </c>
      <c r="H235" s="29" t="str">
        <f t="shared" si="15"/>
        <v>insert into ins_premium_det (premium_rcv_code,assorted_code, rec_amount,premium_rcv_detail_code,remaining_amt, payrec, mode_code,coinsurance_code,class_cd,it_remarks) values('30Dec240042','070000170899','44084',(select max(to_number(i.premium_rcv_detail_code))+1
from ins_premium_det i),'44084','44084','02', '11000003','00','Request by Mr. Saqib Saleem 31-Dec-2024 Active');</v>
      </c>
    </row>
    <row r="236" spans="1:8" ht="105" x14ac:dyDescent="0.25">
      <c r="A236" s="12" t="s">
        <v>11615</v>
      </c>
      <c r="B236" s="25" t="str">
        <f>VLOOKUP(A236,policy!B:C,2,0)</f>
        <v>070000170898</v>
      </c>
      <c r="C236" s="11">
        <v>30000</v>
      </c>
      <c r="D236" s="26">
        <f t="shared" si="13"/>
        <v>30000</v>
      </c>
      <c r="E236" s="24" t="s">
        <v>13296</v>
      </c>
      <c r="F236" s="27" t="str">
        <f t="shared" si="12"/>
        <v>insert into ins_premium_det (premium_rcv_code,assorted_code, rec_amount,premium_rcv_detail_code,remaining_amt, payrec, mode_code,coinsurance_code,class_cd,it_remarks) values</v>
      </c>
      <c r="G236" s="28" t="str">
        <f t="shared" si="14"/>
        <v>('30Dec240042','070000170898','30000',(select max(to_number(i.premium_rcv_detail_code))+1
from ins_premium_det i),'30000','30000','02', '11000003','00','Request by Mr. Saqib Saleem 31-Dec-2024 Active');</v>
      </c>
      <c r="H236" s="29" t="str">
        <f t="shared" si="15"/>
        <v>insert into ins_premium_det (premium_rcv_code,assorted_code, rec_amount,premium_rcv_detail_code,remaining_amt, payrec, mode_code,coinsurance_code,class_cd,it_remarks) values('30Dec240042','070000170898','30000',(select max(to_number(i.premium_rcv_detail_code))+1
from ins_premium_det i),'30000','30000','02', '11000003','00','Request by Mr. Saqib Saleem 31-Dec-2024 Active');</v>
      </c>
    </row>
    <row r="237" spans="1:8" ht="105" x14ac:dyDescent="0.25">
      <c r="A237" s="12" t="s">
        <v>11616</v>
      </c>
      <c r="B237" s="25" t="str">
        <f>VLOOKUP(A237,policy!B:C,2,0)</f>
        <v>070000170897</v>
      </c>
      <c r="C237" s="13">
        <v>21600</v>
      </c>
      <c r="D237" s="26">
        <f t="shared" si="13"/>
        <v>21600</v>
      </c>
      <c r="E237" s="24" t="s">
        <v>13296</v>
      </c>
      <c r="F237" s="27" t="str">
        <f t="shared" si="12"/>
        <v>insert into ins_premium_det (premium_rcv_code,assorted_code, rec_amount,premium_rcv_detail_code,remaining_amt, payrec, mode_code,coinsurance_code,class_cd,it_remarks) values</v>
      </c>
      <c r="G237" s="28" t="str">
        <f t="shared" si="14"/>
        <v>('30Dec240042','070000170897','21600',(select max(to_number(i.premium_rcv_detail_code))+1
from ins_premium_det i),'21600','21600','02', '11000003','00','Request by Mr. Saqib Saleem 31-Dec-2024 Active');</v>
      </c>
      <c r="H237" s="29" t="str">
        <f t="shared" si="15"/>
        <v>insert into ins_premium_det (premium_rcv_code,assorted_code, rec_amount,premium_rcv_detail_code,remaining_amt, payrec, mode_code,coinsurance_code,class_cd,it_remarks) values('30Dec240042','070000170897','21600',(select max(to_number(i.premium_rcv_detail_code))+1
from ins_premium_det i),'21600','21600','02', '11000003','00','Request by Mr. Saqib Saleem 31-Dec-2024 Active');</v>
      </c>
    </row>
    <row r="238" spans="1:8" ht="105" x14ac:dyDescent="0.25">
      <c r="A238" s="12" t="s">
        <v>11617</v>
      </c>
      <c r="B238" s="25" t="str">
        <f>VLOOKUP(A238,policy!B:C,2,0)</f>
        <v>070000170896</v>
      </c>
      <c r="C238" s="11">
        <v>32130</v>
      </c>
      <c r="D238" s="26">
        <f t="shared" si="13"/>
        <v>32130</v>
      </c>
      <c r="E238" s="24" t="s">
        <v>13296</v>
      </c>
      <c r="F238" s="27" t="str">
        <f t="shared" si="12"/>
        <v>insert into ins_premium_det (premium_rcv_code,assorted_code, rec_amount,premium_rcv_detail_code,remaining_amt, payrec, mode_code,coinsurance_code,class_cd,it_remarks) values</v>
      </c>
      <c r="G238" s="28" t="str">
        <f t="shared" si="14"/>
        <v>('30Dec240042','070000170896','32130',(select max(to_number(i.premium_rcv_detail_code))+1
from ins_premium_det i),'32130','32130','02', '11000003','00','Request by Mr. Saqib Saleem 31-Dec-2024 Active');</v>
      </c>
      <c r="H238" s="29" t="str">
        <f t="shared" si="15"/>
        <v>insert into ins_premium_det (premium_rcv_code,assorted_code, rec_amount,premium_rcv_detail_code,remaining_amt, payrec, mode_code,coinsurance_code,class_cd,it_remarks) values('30Dec240042','070000170896','32130',(select max(to_number(i.premium_rcv_detail_code))+1
from ins_premium_det i),'32130','32130','02', '11000003','00','Request by Mr. Saqib Saleem 31-Dec-2024 Active');</v>
      </c>
    </row>
    <row r="239" spans="1:8" ht="105" x14ac:dyDescent="0.25">
      <c r="A239" s="12" t="s">
        <v>11618</v>
      </c>
      <c r="B239" s="25" t="str">
        <f>VLOOKUP(A239,policy!B:C,2,0)</f>
        <v>070000170895</v>
      </c>
      <c r="C239" s="13">
        <v>24240</v>
      </c>
      <c r="D239" s="26">
        <f t="shared" si="13"/>
        <v>24240</v>
      </c>
      <c r="E239" s="24" t="s">
        <v>13296</v>
      </c>
      <c r="F239" s="27" t="str">
        <f t="shared" si="12"/>
        <v>insert into ins_premium_det (premium_rcv_code,assorted_code, rec_amount,premium_rcv_detail_code,remaining_amt, payrec, mode_code,coinsurance_code,class_cd,it_remarks) values</v>
      </c>
      <c r="G239" s="28" t="str">
        <f t="shared" si="14"/>
        <v>('30Dec240042','070000170895','24240',(select max(to_number(i.premium_rcv_detail_code))+1
from ins_premium_det i),'24240','24240','02', '11000003','00','Request by Mr. Saqib Saleem 31-Dec-2024 Active');</v>
      </c>
      <c r="H239" s="29" t="str">
        <f t="shared" si="15"/>
        <v>insert into ins_premium_det (premium_rcv_code,assorted_code, rec_amount,premium_rcv_detail_code,remaining_amt, payrec, mode_code,coinsurance_code,class_cd,it_remarks) values('30Dec240042','070000170895','24240',(select max(to_number(i.premium_rcv_detail_code))+1
from ins_premium_det i),'24240','24240','02', '11000003','00','Request by Mr. Saqib Saleem 31-Dec-2024 Active');</v>
      </c>
    </row>
    <row r="240" spans="1:8" ht="105" x14ac:dyDescent="0.25">
      <c r="A240" s="12" t="s">
        <v>11619</v>
      </c>
      <c r="B240" s="25" t="str">
        <f>VLOOKUP(A240,policy!B:C,2,0)</f>
        <v>070000170894</v>
      </c>
      <c r="C240" s="11">
        <v>39088</v>
      </c>
      <c r="D240" s="26">
        <f t="shared" si="13"/>
        <v>39088</v>
      </c>
      <c r="E240" s="24" t="s">
        <v>13296</v>
      </c>
      <c r="F240" s="27" t="str">
        <f t="shared" si="12"/>
        <v>insert into ins_premium_det (premium_rcv_code,assorted_code, rec_amount,premium_rcv_detail_code,remaining_amt, payrec, mode_code,coinsurance_code,class_cd,it_remarks) values</v>
      </c>
      <c r="G240" s="28" t="str">
        <f t="shared" si="14"/>
        <v>('30Dec240042','070000170894','39088',(select max(to_number(i.premium_rcv_detail_code))+1
from ins_premium_det i),'39088','39088','02', '11000003','00','Request by Mr. Saqib Saleem 31-Dec-2024 Active');</v>
      </c>
      <c r="H240" s="29" t="str">
        <f t="shared" si="15"/>
        <v>insert into ins_premium_det (premium_rcv_code,assorted_code, rec_amount,premium_rcv_detail_code,remaining_amt, payrec, mode_code,coinsurance_code,class_cd,it_remarks) values('30Dec240042','070000170894','39088',(select max(to_number(i.premium_rcv_detail_code))+1
from ins_premium_det i),'39088','39088','02', '11000003','00','Request by Mr. Saqib Saleem 31-Dec-2024 Active');</v>
      </c>
    </row>
    <row r="241" spans="1:8" ht="105" x14ac:dyDescent="0.25">
      <c r="A241" s="17" t="s">
        <v>12002</v>
      </c>
      <c r="B241" s="25" t="str">
        <f>VLOOKUP(A241,policy!B:C,2,0)</f>
        <v>070000171834</v>
      </c>
      <c r="C241" s="13">
        <v>42400</v>
      </c>
      <c r="D241" s="26">
        <f t="shared" si="13"/>
        <v>42400</v>
      </c>
      <c r="E241" s="24" t="s">
        <v>13296</v>
      </c>
      <c r="F241" s="27" t="str">
        <f t="shared" si="12"/>
        <v>insert into ins_premium_det (premium_rcv_code,assorted_code, rec_amount,premium_rcv_detail_code,remaining_amt, payrec, mode_code,coinsurance_code,class_cd,it_remarks) values</v>
      </c>
      <c r="G241" s="28" t="str">
        <f t="shared" si="14"/>
        <v>('30Dec240042','070000171834','42400',(select max(to_number(i.premium_rcv_detail_code))+1
from ins_premium_det i),'42400','42400','02', '11000003','00','Request by Mr. Saqib Saleem 31-Dec-2024 Active');</v>
      </c>
      <c r="H241" s="29" t="str">
        <f t="shared" si="15"/>
        <v>insert into ins_premium_det (premium_rcv_code,assorted_code, rec_amount,premium_rcv_detail_code,remaining_amt, payrec, mode_code,coinsurance_code,class_cd,it_remarks) values('30Dec240042','070000171834','42400',(select max(to_number(i.premium_rcv_detail_code))+1
from ins_premium_det i),'42400','42400','02', '11000003','00','Request by Mr. Saqib Saleem 31-Dec-2024 Active');</v>
      </c>
    </row>
    <row r="242" spans="1:8" ht="105" x14ac:dyDescent="0.25">
      <c r="A242" s="12" t="s">
        <v>11620</v>
      </c>
      <c r="B242" s="25" t="str">
        <f>VLOOKUP(A242,policy!B:C,2,0)</f>
        <v>070000170891</v>
      </c>
      <c r="C242" s="11">
        <v>49785</v>
      </c>
      <c r="D242" s="26">
        <f t="shared" si="13"/>
        <v>49785</v>
      </c>
      <c r="E242" s="24" t="s">
        <v>13296</v>
      </c>
      <c r="F242" s="27" t="str">
        <f t="shared" si="12"/>
        <v>insert into ins_premium_det (premium_rcv_code,assorted_code, rec_amount,premium_rcv_detail_code,remaining_amt, payrec, mode_code,coinsurance_code,class_cd,it_remarks) values</v>
      </c>
      <c r="G242" s="28" t="str">
        <f t="shared" si="14"/>
        <v>('30Dec240042','070000170891','49785',(select max(to_number(i.premium_rcv_detail_code))+1
from ins_premium_det i),'49785','49785','02', '11000003','00','Request by Mr. Saqib Saleem 31-Dec-2024 Active');</v>
      </c>
      <c r="H242" s="29" t="str">
        <f t="shared" si="15"/>
        <v>insert into ins_premium_det (premium_rcv_code,assorted_code, rec_amount,premium_rcv_detail_code,remaining_amt, payrec, mode_code,coinsurance_code,class_cd,it_remarks) values('30Dec240042','070000170891','49785',(select max(to_number(i.premium_rcv_detail_code))+1
from ins_premium_det i),'49785','49785','02', '11000003','00','Request by Mr. Saqib Saleem 31-Dec-2024 Active');</v>
      </c>
    </row>
    <row r="243" spans="1:8" ht="105" x14ac:dyDescent="0.25">
      <c r="A243" s="12" t="s">
        <v>11621</v>
      </c>
      <c r="B243" s="25" t="str">
        <f>VLOOKUP(A243,policy!B:C,2,0)</f>
        <v>070000170890</v>
      </c>
      <c r="C243" s="13">
        <v>47250</v>
      </c>
      <c r="D243" s="26">
        <f t="shared" si="13"/>
        <v>47250</v>
      </c>
      <c r="E243" s="24" t="s">
        <v>13296</v>
      </c>
      <c r="F243" s="27" t="str">
        <f t="shared" si="12"/>
        <v>insert into ins_premium_det (premium_rcv_code,assorted_code, rec_amount,premium_rcv_detail_code,remaining_amt, payrec, mode_code,coinsurance_code,class_cd,it_remarks) values</v>
      </c>
      <c r="G243" s="28" t="str">
        <f t="shared" si="14"/>
        <v>('30Dec240042','070000170890','47250',(select max(to_number(i.premium_rcv_detail_code))+1
from ins_premium_det i),'47250','47250','02', '11000003','00','Request by Mr. Saqib Saleem 31-Dec-2024 Active');</v>
      </c>
      <c r="H243" s="29" t="str">
        <f t="shared" si="15"/>
        <v>insert into ins_premium_det (premium_rcv_code,assorted_code, rec_amount,premium_rcv_detail_code,remaining_amt, payrec, mode_code,coinsurance_code,class_cd,it_remarks) values('30Dec240042','070000170890','47250',(select max(to_number(i.premium_rcv_detail_code))+1
from ins_premium_det i),'47250','47250','02', '11000003','00','Request by Mr. Saqib Saleem 31-Dec-2024 Active');</v>
      </c>
    </row>
    <row r="244" spans="1:8" ht="105" x14ac:dyDescent="0.25">
      <c r="A244" s="12" t="s">
        <v>11622</v>
      </c>
      <c r="B244" s="25" t="str">
        <f>VLOOKUP(A244,policy!B:C,2,0)</f>
        <v>070000170889</v>
      </c>
      <c r="C244" s="11">
        <v>57808</v>
      </c>
      <c r="D244" s="26">
        <f t="shared" si="13"/>
        <v>57808</v>
      </c>
      <c r="E244" s="24" t="s">
        <v>13296</v>
      </c>
      <c r="F244" s="27" t="str">
        <f t="shared" si="12"/>
        <v>insert into ins_premium_det (premium_rcv_code,assorted_code, rec_amount,premium_rcv_detail_code,remaining_amt, payrec, mode_code,coinsurance_code,class_cd,it_remarks) values</v>
      </c>
      <c r="G244" s="28" t="str">
        <f t="shared" si="14"/>
        <v>('30Dec240042','070000170889','57808',(select max(to_number(i.premium_rcv_detail_code))+1
from ins_premium_det i),'57808','57808','02', '11000003','00','Request by Mr. Saqib Saleem 31-Dec-2024 Active');</v>
      </c>
      <c r="H244" s="29" t="str">
        <f t="shared" si="15"/>
        <v>insert into ins_premium_det (premium_rcv_code,assorted_code, rec_amount,premium_rcv_detail_code,remaining_amt, payrec, mode_code,coinsurance_code,class_cd,it_remarks) values('30Dec240042','070000170889','57808',(select max(to_number(i.premium_rcv_detail_code))+1
from ins_premium_det i),'57808','57808','02', '11000003','00','Request by Mr. Saqib Saleem 31-Dec-2024 Active');</v>
      </c>
    </row>
    <row r="245" spans="1:8" ht="105" x14ac:dyDescent="0.25">
      <c r="A245" s="12" t="s">
        <v>11623</v>
      </c>
      <c r="B245" s="25" t="str">
        <f>VLOOKUP(A245,policy!B:C,2,0)</f>
        <v>070000170881</v>
      </c>
      <c r="C245" s="13">
        <v>73760</v>
      </c>
      <c r="D245" s="26">
        <f t="shared" si="13"/>
        <v>73760</v>
      </c>
      <c r="E245" s="24" t="s">
        <v>13296</v>
      </c>
      <c r="F245" s="27" t="str">
        <f t="shared" si="12"/>
        <v>insert into ins_premium_det (premium_rcv_code,assorted_code, rec_amount,premium_rcv_detail_code,remaining_amt, payrec, mode_code,coinsurance_code,class_cd,it_remarks) values</v>
      </c>
      <c r="G245" s="28" t="str">
        <f t="shared" si="14"/>
        <v>('30Dec240042','070000170881','73760',(select max(to_number(i.premium_rcv_detail_code))+1
from ins_premium_det i),'73760','73760','02', '11000003','00','Request by Mr. Saqib Saleem 31-Dec-2024 Active');</v>
      </c>
      <c r="H245" s="29" t="str">
        <f t="shared" si="15"/>
        <v>insert into ins_premium_det (premium_rcv_code,assorted_code, rec_amount,premium_rcv_detail_code,remaining_amt, payrec, mode_code,coinsurance_code,class_cd,it_remarks) values('30Dec240042','070000170881','73760',(select max(to_number(i.premium_rcv_detail_code))+1
from ins_premium_det i),'73760','73760','02', '11000003','00','Request by Mr. Saqib Saleem 31-Dec-2024 Active');</v>
      </c>
    </row>
    <row r="246" spans="1:8" ht="105" x14ac:dyDescent="0.25">
      <c r="A246" s="12" t="s">
        <v>11624</v>
      </c>
      <c r="B246" s="25" t="str">
        <f>VLOOKUP(A246,policy!B:C,2,0)</f>
        <v>070000170875</v>
      </c>
      <c r="C246" s="11">
        <v>37188</v>
      </c>
      <c r="D246" s="26">
        <f t="shared" si="13"/>
        <v>37188</v>
      </c>
      <c r="E246" s="24" t="s">
        <v>13296</v>
      </c>
      <c r="F246" s="27" t="str">
        <f t="shared" si="12"/>
        <v>insert into ins_premium_det (premium_rcv_code,assorted_code, rec_amount,premium_rcv_detail_code,remaining_amt, payrec, mode_code,coinsurance_code,class_cd,it_remarks) values</v>
      </c>
      <c r="G246" s="28" t="str">
        <f t="shared" si="14"/>
        <v>('30Dec240042','070000170875','37188',(select max(to_number(i.premium_rcv_detail_code))+1
from ins_premium_det i),'37188','37188','02', '11000003','00','Request by Mr. Saqib Saleem 31-Dec-2024 Active');</v>
      </c>
      <c r="H246" s="29" t="str">
        <f t="shared" si="15"/>
        <v>insert into ins_premium_det (premium_rcv_code,assorted_code, rec_amount,premium_rcv_detail_code,remaining_amt, payrec, mode_code,coinsurance_code,class_cd,it_remarks) values('30Dec240042','070000170875','37188',(select max(to_number(i.premium_rcv_detail_code))+1
from ins_premium_det i),'37188','37188','02', '11000003','00','Request by Mr. Saqib Saleem 31-Dec-2024 Active');</v>
      </c>
    </row>
    <row r="247" spans="1:8" ht="105" x14ac:dyDescent="0.25">
      <c r="A247" s="12" t="s">
        <v>11625</v>
      </c>
      <c r="B247" s="25" t="str">
        <f>VLOOKUP(A247,policy!B:C,2,0)</f>
        <v>070000170874</v>
      </c>
      <c r="C247" s="13">
        <v>67049</v>
      </c>
      <c r="D247" s="26">
        <f t="shared" si="13"/>
        <v>67049</v>
      </c>
      <c r="E247" s="24" t="s">
        <v>13296</v>
      </c>
      <c r="F247" s="27" t="str">
        <f t="shared" si="12"/>
        <v>insert into ins_premium_det (premium_rcv_code,assorted_code, rec_amount,premium_rcv_detail_code,remaining_amt, payrec, mode_code,coinsurance_code,class_cd,it_remarks) values</v>
      </c>
      <c r="G247" s="28" t="str">
        <f t="shared" si="14"/>
        <v>('30Dec240042','070000170874','67049',(select max(to_number(i.premium_rcv_detail_code))+1
from ins_premium_det i),'67049','67049','02', '11000003','00','Request by Mr. Saqib Saleem 31-Dec-2024 Active');</v>
      </c>
      <c r="H247" s="29" t="str">
        <f t="shared" si="15"/>
        <v>insert into ins_premium_det (premium_rcv_code,assorted_code, rec_amount,premium_rcv_detail_code,remaining_amt, payrec, mode_code,coinsurance_code,class_cd,it_remarks) values('30Dec240042','070000170874','67049',(select max(to_number(i.premium_rcv_detail_code))+1
from ins_premium_det i),'67049','67049','02', '11000003','00','Request by Mr. Saqib Saleem 31-Dec-2024 Active');</v>
      </c>
    </row>
    <row r="248" spans="1:8" ht="105" x14ac:dyDescent="0.25">
      <c r="A248" s="12" t="s">
        <v>11626</v>
      </c>
      <c r="B248" s="25" t="str">
        <f>VLOOKUP(A248,policy!B:C,2,0)</f>
        <v>070000170873</v>
      </c>
      <c r="C248" s="11">
        <v>29750</v>
      </c>
      <c r="D248" s="26">
        <f t="shared" si="13"/>
        <v>29750</v>
      </c>
      <c r="E248" s="24" t="s">
        <v>13296</v>
      </c>
      <c r="F248" s="27" t="str">
        <f t="shared" si="12"/>
        <v>insert into ins_premium_det (premium_rcv_code,assorted_code, rec_amount,premium_rcv_detail_code,remaining_amt, payrec, mode_code,coinsurance_code,class_cd,it_remarks) values</v>
      </c>
      <c r="G248" s="28" t="str">
        <f t="shared" si="14"/>
        <v>('30Dec240042','070000170873','29750',(select max(to_number(i.premium_rcv_detail_code))+1
from ins_premium_det i),'29750','29750','02', '11000003','00','Request by Mr. Saqib Saleem 31-Dec-2024 Active');</v>
      </c>
      <c r="H248" s="29" t="str">
        <f t="shared" si="15"/>
        <v>insert into ins_premium_det (premium_rcv_code,assorted_code, rec_amount,premium_rcv_detail_code,remaining_amt, payrec, mode_code,coinsurance_code,class_cd,it_remarks) values('30Dec240042','070000170873','29750',(select max(to_number(i.premium_rcv_detail_code))+1
from ins_premium_det i),'29750','29750','02', '11000003','00','Request by Mr. Saqib Saleem 31-Dec-2024 Active');</v>
      </c>
    </row>
    <row r="249" spans="1:8" ht="105" x14ac:dyDescent="0.25">
      <c r="A249" s="12" t="s">
        <v>11627</v>
      </c>
      <c r="B249" s="25" t="str">
        <f>VLOOKUP(A249,policy!B:C,2,0)</f>
        <v>070000170872</v>
      </c>
      <c r="C249" s="13">
        <v>62448</v>
      </c>
      <c r="D249" s="26">
        <f t="shared" si="13"/>
        <v>62448</v>
      </c>
      <c r="E249" s="24" t="s">
        <v>13296</v>
      </c>
      <c r="F249" s="27" t="str">
        <f t="shared" si="12"/>
        <v>insert into ins_premium_det (premium_rcv_code,assorted_code, rec_amount,premium_rcv_detail_code,remaining_amt, payrec, mode_code,coinsurance_code,class_cd,it_remarks) values</v>
      </c>
      <c r="G249" s="28" t="str">
        <f t="shared" si="14"/>
        <v>('30Dec240042','070000170872','62448',(select max(to_number(i.premium_rcv_detail_code))+1
from ins_premium_det i),'62448','62448','02', '11000003','00','Request by Mr. Saqib Saleem 31-Dec-2024 Active');</v>
      </c>
      <c r="H249" s="29" t="str">
        <f t="shared" si="15"/>
        <v>insert into ins_premium_det (premium_rcv_code,assorted_code, rec_amount,premium_rcv_detail_code,remaining_amt, payrec, mode_code,coinsurance_code,class_cd,it_remarks) values('30Dec240042','070000170872','62448',(select max(to_number(i.premium_rcv_detail_code))+1
from ins_premium_det i),'62448','62448','02', '11000003','00','Request by Mr. Saqib Saleem 31-Dec-2024 Active');</v>
      </c>
    </row>
    <row r="250" spans="1:8" ht="105" x14ac:dyDescent="0.25">
      <c r="A250" s="12" t="s">
        <v>11628</v>
      </c>
      <c r="B250" s="25" t="str">
        <f>VLOOKUP(A250,policy!B:C,2,0)</f>
        <v>070000170871</v>
      </c>
      <c r="C250" s="11">
        <v>62231</v>
      </c>
      <c r="D250" s="26">
        <f t="shared" si="13"/>
        <v>62231</v>
      </c>
      <c r="E250" s="24" t="s">
        <v>13296</v>
      </c>
      <c r="F250" s="27" t="str">
        <f t="shared" si="12"/>
        <v>insert into ins_premium_det (premium_rcv_code,assorted_code, rec_amount,premium_rcv_detail_code,remaining_amt, payrec, mode_code,coinsurance_code,class_cd,it_remarks) values</v>
      </c>
      <c r="G250" s="28" t="str">
        <f t="shared" si="14"/>
        <v>('30Dec240042','070000170871','62231',(select max(to_number(i.premium_rcv_detail_code))+1
from ins_premium_det i),'62231','62231','02', '11000003','00','Request by Mr. Saqib Saleem 31-Dec-2024 Active');</v>
      </c>
      <c r="H250" s="29" t="str">
        <f t="shared" si="15"/>
        <v>insert into ins_premium_det (premium_rcv_code,assorted_code, rec_amount,premium_rcv_detail_code,remaining_amt, payrec, mode_code,coinsurance_code,class_cd,it_remarks) values('30Dec240042','070000170871','62231',(select max(to_number(i.premium_rcv_detail_code))+1
from ins_premium_det i),'62231','62231','02', '11000003','00','Request by Mr. Saqib Saleem 31-Dec-2024 Active');</v>
      </c>
    </row>
    <row r="251" spans="1:8" ht="105" x14ac:dyDescent="0.25">
      <c r="A251" s="12" t="s">
        <v>11629</v>
      </c>
      <c r="B251" s="25" t="str">
        <f>VLOOKUP(A251,policy!B:C,2,0)</f>
        <v>070000170869</v>
      </c>
      <c r="C251" s="13">
        <v>27563</v>
      </c>
      <c r="D251" s="26">
        <f t="shared" si="13"/>
        <v>27563</v>
      </c>
      <c r="E251" s="24" t="s">
        <v>13296</v>
      </c>
      <c r="F251" s="27" t="str">
        <f t="shared" si="12"/>
        <v>insert into ins_premium_det (premium_rcv_code,assorted_code, rec_amount,premium_rcv_detail_code,remaining_amt, payrec, mode_code,coinsurance_code,class_cd,it_remarks) values</v>
      </c>
      <c r="G251" s="28" t="str">
        <f t="shared" si="14"/>
        <v>('30Dec240042','070000170869','27563',(select max(to_number(i.premium_rcv_detail_code))+1
from ins_premium_det i),'27563','27563','02', '11000003','00','Request by Mr. Saqib Saleem 31-Dec-2024 Active');</v>
      </c>
      <c r="H251" s="29" t="str">
        <f t="shared" si="15"/>
        <v>insert into ins_premium_det (premium_rcv_code,assorted_code, rec_amount,premium_rcv_detail_code,remaining_amt, payrec, mode_code,coinsurance_code,class_cd,it_remarks) values('30Dec240042','070000170869','27563',(select max(to_number(i.premium_rcv_detail_code))+1
from ins_premium_det i),'27563','27563','02', '11000003','00','Request by Mr. Saqib Saleem 31-Dec-2024 Active');</v>
      </c>
    </row>
    <row r="252" spans="1:8" ht="105" x14ac:dyDescent="0.25">
      <c r="A252" s="12" t="s">
        <v>11630</v>
      </c>
      <c r="B252" s="25" t="str">
        <f>VLOOKUP(A252,policy!B:C,2,0)</f>
        <v>070000170868</v>
      </c>
      <c r="C252" s="11">
        <v>47250</v>
      </c>
      <c r="D252" s="26">
        <f t="shared" si="13"/>
        <v>47250</v>
      </c>
      <c r="E252" s="24" t="s">
        <v>13296</v>
      </c>
      <c r="F252" s="27" t="str">
        <f t="shared" si="12"/>
        <v>insert into ins_premium_det (premium_rcv_code,assorted_code, rec_amount,premium_rcv_detail_code,remaining_amt, payrec, mode_code,coinsurance_code,class_cd,it_remarks) values</v>
      </c>
      <c r="G252" s="28" t="str">
        <f t="shared" si="14"/>
        <v>('30Dec240042','070000170868','47250',(select max(to_number(i.premium_rcv_detail_code))+1
from ins_premium_det i),'47250','47250','02', '11000003','00','Request by Mr. Saqib Saleem 31-Dec-2024 Active');</v>
      </c>
      <c r="H252" s="29" t="str">
        <f t="shared" si="15"/>
        <v>insert into ins_premium_det (premium_rcv_code,assorted_code, rec_amount,premium_rcv_detail_code,remaining_amt, payrec, mode_code,coinsurance_code,class_cd,it_remarks) values('30Dec240042','070000170868','47250',(select max(to_number(i.premium_rcv_detail_code))+1
from ins_premium_det i),'47250','47250','02', '11000003','00','Request by Mr. Saqib Saleem 31-Dec-2024 Active');</v>
      </c>
    </row>
    <row r="253" spans="1:8" ht="105" x14ac:dyDescent="0.25">
      <c r="A253" s="12" t="s">
        <v>11631</v>
      </c>
      <c r="B253" s="25" t="str">
        <f>VLOOKUP(A253,policy!B:C,2,0)</f>
        <v>070000170867</v>
      </c>
      <c r="C253" s="13">
        <v>17520</v>
      </c>
      <c r="D253" s="26">
        <f t="shared" si="13"/>
        <v>17520</v>
      </c>
      <c r="E253" s="24" t="s">
        <v>13296</v>
      </c>
      <c r="F253" s="27" t="str">
        <f t="shared" si="12"/>
        <v>insert into ins_premium_det (premium_rcv_code,assorted_code, rec_amount,premium_rcv_detail_code,remaining_amt, payrec, mode_code,coinsurance_code,class_cd,it_remarks) values</v>
      </c>
      <c r="G253" s="28" t="str">
        <f t="shared" si="14"/>
        <v>('30Dec240042','070000170867','17520',(select max(to_number(i.premium_rcv_detail_code))+1
from ins_premium_det i),'17520','17520','02', '11000003','00','Request by Mr. Saqib Saleem 31-Dec-2024 Active');</v>
      </c>
      <c r="H253" s="29" t="str">
        <f t="shared" si="15"/>
        <v>insert into ins_premium_det (premium_rcv_code,assorted_code, rec_amount,premium_rcv_detail_code,remaining_amt, payrec, mode_code,coinsurance_code,class_cd,it_remarks) values('30Dec240042','070000170867','17520',(select max(to_number(i.premium_rcv_detail_code))+1
from ins_premium_det i),'17520','17520','02', '11000003','00','Request by Mr. Saqib Saleem 31-Dec-2024 Active');</v>
      </c>
    </row>
    <row r="254" spans="1:8" ht="105" x14ac:dyDescent="0.25">
      <c r="A254" s="12" t="s">
        <v>11632</v>
      </c>
      <c r="B254" s="25" t="str">
        <f>VLOOKUP(A254,policy!B:C,2,0)</f>
        <v>070000170866</v>
      </c>
      <c r="C254" s="11">
        <v>13275</v>
      </c>
      <c r="D254" s="26">
        <f t="shared" si="13"/>
        <v>13275</v>
      </c>
      <c r="E254" s="24" t="s">
        <v>13296</v>
      </c>
      <c r="F254" s="27" t="str">
        <f t="shared" si="12"/>
        <v>insert into ins_premium_det (premium_rcv_code,assorted_code, rec_amount,premium_rcv_detail_code,remaining_amt, payrec, mode_code,coinsurance_code,class_cd,it_remarks) values</v>
      </c>
      <c r="G254" s="28" t="str">
        <f t="shared" si="14"/>
        <v>('30Dec240042','070000170866','13275',(select max(to_number(i.premium_rcv_detail_code))+1
from ins_premium_det i),'13275','13275','02', '11000003','00','Request by Mr. Saqib Saleem 31-Dec-2024 Active');</v>
      </c>
      <c r="H254" s="29" t="str">
        <f t="shared" si="15"/>
        <v>insert into ins_premium_det (premium_rcv_code,assorted_code, rec_amount,premium_rcv_detail_code,remaining_amt, payrec, mode_code,coinsurance_code,class_cd,it_remarks) values('30Dec240042','070000170866','13275',(select max(to_number(i.premium_rcv_detail_code))+1
from ins_premium_det i),'13275','13275','02', '11000003','00','Request by Mr. Saqib Saleem 31-Dec-2024 Active');</v>
      </c>
    </row>
    <row r="255" spans="1:8" ht="105" x14ac:dyDescent="0.25">
      <c r="A255" s="12" t="s">
        <v>11633</v>
      </c>
      <c r="B255" s="25" t="str">
        <f>VLOOKUP(A255,policy!B:C,2,0)</f>
        <v>070000170865</v>
      </c>
      <c r="C255" s="13">
        <v>10080</v>
      </c>
      <c r="D255" s="26">
        <f t="shared" si="13"/>
        <v>10080</v>
      </c>
      <c r="E255" s="24" t="s">
        <v>13296</v>
      </c>
      <c r="F255" s="27" t="str">
        <f t="shared" si="12"/>
        <v>insert into ins_premium_det (premium_rcv_code,assorted_code, rec_amount,premium_rcv_detail_code,remaining_amt, payrec, mode_code,coinsurance_code,class_cd,it_remarks) values</v>
      </c>
      <c r="G255" s="28" t="str">
        <f t="shared" si="14"/>
        <v>('30Dec240042','070000170865','10080',(select max(to_number(i.premium_rcv_detail_code))+1
from ins_premium_det i),'10080','10080','02', '11000003','00','Request by Mr. Saqib Saleem 31-Dec-2024 Active');</v>
      </c>
      <c r="H255" s="29" t="str">
        <f t="shared" si="15"/>
        <v>insert into ins_premium_det (premium_rcv_code,assorted_code, rec_amount,premium_rcv_detail_code,remaining_amt, payrec, mode_code,coinsurance_code,class_cd,it_remarks) values('30Dec240042','070000170865','10080',(select max(to_number(i.premium_rcv_detail_code))+1
from ins_premium_det i),'10080','10080','02', '11000003','00','Request by Mr. Saqib Saleem 31-Dec-2024 Active');</v>
      </c>
    </row>
    <row r="256" spans="1:8" ht="105" x14ac:dyDescent="0.25">
      <c r="A256" s="12" t="s">
        <v>11634</v>
      </c>
      <c r="B256" s="25" t="str">
        <f>VLOOKUP(A256,policy!B:C,2,0)</f>
        <v>070000170864</v>
      </c>
      <c r="C256" s="11">
        <v>21328</v>
      </c>
      <c r="D256" s="26">
        <f t="shared" si="13"/>
        <v>21328</v>
      </c>
      <c r="E256" s="24" t="s">
        <v>13296</v>
      </c>
      <c r="F256" s="27" t="str">
        <f t="shared" si="12"/>
        <v>insert into ins_premium_det (premium_rcv_code,assorted_code, rec_amount,premium_rcv_detail_code,remaining_amt, payrec, mode_code,coinsurance_code,class_cd,it_remarks) values</v>
      </c>
      <c r="G256" s="28" t="str">
        <f t="shared" si="14"/>
        <v>('30Dec240042','070000170864','21328',(select max(to_number(i.premium_rcv_detail_code))+1
from ins_premium_det i),'21328','21328','02', '11000003','00','Request by Mr. Saqib Saleem 31-Dec-2024 Active');</v>
      </c>
      <c r="H256" s="29" t="str">
        <f t="shared" si="15"/>
        <v>insert into ins_premium_det (premium_rcv_code,assorted_code, rec_amount,premium_rcv_detail_code,remaining_amt, payrec, mode_code,coinsurance_code,class_cd,it_remarks) values('30Dec240042','070000170864','21328',(select max(to_number(i.premium_rcv_detail_code))+1
from ins_premium_det i),'21328','21328','02', '11000003','00','Request by Mr. Saqib Saleem 31-Dec-2024 Active');</v>
      </c>
    </row>
    <row r="257" spans="1:8" ht="105" x14ac:dyDescent="0.25">
      <c r="A257" s="12" t="s">
        <v>11635</v>
      </c>
      <c r="B257" s="25" t="str">
        <f>VLOOKUP(A257,policy!B:C,2,0)</f>
        <v>070000170862</v>
      </c>
      <c r="C257" s="13">
        <v>41424</v>
      </c>
      <c r="D257" s="26">
        <f t="shared" si="13"/>
        <v>41424</v>
      </c>
      <c r="E257" s="24" t="s">
        <v>13296</v>
      </c>
      <c r="F257" s="27" t="str">
        <f t="shared" si="12"/>
        <v>insert into ins_premium_det (premium_rcv_code,assorted_code, rec_amount,premium_rcv_detail_code,remaining_amt, payrec, mode_code,coinsurance_code,class_cd,it_remarks) values</v>
      </c>
      <c r="G257" s="28" t="str">
        <f t="shared" si="14"/>
        <v>('30Dec240042','070000170862','41424',(select max(to_number(i.premium_rcv_detail_code))+1
from ins_premium_det i),'41424','41424','02', '11000003','00','Request by Mr. Saqib Saleem 31-Dec-2024 Active');</v>
      </c>
      <c r="H257" s="29" t="str">
        <f t="shared" si="15"/>
        <v>insert into ins_premium_det (premium_rcv_code,assorted_code, rec_amount,premium_rcv_detail_code,remaining_amt, payrec, mode_code,coinsurance_code,class_cd,it_remarks) values('30Dec240042','070000170862','41424',(select max(to_number(i.premium_rcv_detail_code))+1
from ins_premium_det i),'41424','41424','02', '11000003','00','Request by Mr. Saqib Saleem 31-Dec-2024 Active');</v>
      </c>
    </row>
    <row r="258" spans="1:8" ht="105" x14ac:dyDescent="0.25">
      <c r="A258" s="12" t="s">
        <v>11636</v>
      </c>
      <c r="B258" s="25" t="str">
        <f>VLOOKUP(A258,policy!B:C,2,0)</f>
        <v>070000170859</v>
      </c>
      <c r="C258" s="11">
        <v>25200</v>
      </c>
      <c r="D258" s="26">
        <f t="shared" si="13"/>
        <v>25200</v>
      </c>
      <c r="E258" s="24" t="s">
        <v>13296</v>
      </c>
      <c r="F258" s="27" t="str">
        <f t="shared" ref="F258:F321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28" t="str">
        <f t="shared" si="14"/>
        <v>('30Dec240042','070000170859','25200',(select max(to_number(i.premium_rcv_detail_code))+1
from ins_premium_det i),'25200','25200','02', '11000003','00','Request by Mr. Saqib Saleem 31-Dec-2024 Active');</v>
      </c>
      <c r="H258" s="29" t="str">
        <f t="shared" si="15"/>
        <v>insert into ins_premium_det (premium_rcv_code,assorted_code, rec_amount,premium_rcv_detail_code,remaining_amt, payrec, mode_code,coinsurance_code,class_cd,it_remarks) values('30Dec240042','070000170859','25200',(select max(to_number(i.premium_rcv_detail_code))+1
from ins_premium_det i),'25200','25200','02', '11000003','00','Request by Mr. Saqib Saleem 31-Dec-2024 Active');</v>
      </c>
    </row>
    <row r="259" spans="1:8" ht="105" x14ac:dyDescent="0.25">
      <c r="A259" s="12" t="s">
        <v>11637</v>
      </c>
      <c r="B259" s="25" t="str">
        <f>VLOOKUP(A259,policy!B:C,2,0)</f>
        <v>070000170858</v>
      </c>
      <c r="C259" s="13">
        <v>40500</v>
      </c>
      <c r="D259" s="26">
        <f t="shared" ref="D259:D322" si="17">ROUND(C259,0)</f>
        <v>40500</v>
      </c>
      <c r="E259" s="24" t="s">
        <v>13296</v>
      </c>
      <c r="F259" s="27" t="str">
        <f t="shared" si="16"/>
        <v>insert into ins_premium_det (premium_rcv_code,assorted_code, rec_amount,premium_rcv_detail_code,remaining_amt, payrec, mode_code,coinsurance_code,class_cd,it_remarks) values</v>
      </c>
      <c r="G259" s="28" t="str">
        <f t="shared" ref="G259:G322" si="18">"('"&amp;E259&amp;"','"&amp;B259&amp;"','"&amp;D259&amp;"',(select max(to_number(i.premium_rcv_detail_code))+1
from ins_premium_det i),'"&amp;D259&amp;"','"&amp;D259&amp;"','02', '11000003','00','Request by Mr. Saqib Saleem 31-Dec-2024 Active');"</f>
        <v>('30Dec240042','070000170858','40500',(select max(to_number(i.premium_rcv_detail_code))+1
from ins_premium_det i),'40500','40500','02', '11000003','00','Request by Mr. Saqib Saleem 31-Dec-2024 Active');</v>
      </c>
      <c r="H259" s="29" t="str">
        <f t="shared" ref="H259:H322" si="19">F259&amp;G259</f>
        <v>insert into ins_premium_det (premium_rcv_code,assorted_code, rec_amount,premium_rcv_detail_code,remaining_amt, payrec, mode_code,coinsurance_code,class_cd,it_remarks) values('30Dec240042','070000170858','40500',(select max(to_number(i.premium_rcv_detail_code))+1
from ins_premium_det i),'40500','40500','02', '11000003','00','Request by Mr. Saqib Saleem 31-Dec-2024 Active');</v>
      </c>
    </row>
    <row r="260" spans="1:8" ht="105" x14ac:dyDescent="0.25">
      <c r="A260" s="12" t="s">
        <v>11638</v>
      </c>
      <c r="B260" s="25" t="str">
        <f>VLOOKUP(A260,policy!B:C,2,0)</f>
        <v>070000170856</v>
      </c>
      <c r="C260" s="11">
        <v>29400</v>
      </c>
      <c r="D260" s="26">
        <f t="shared" si="17"/>
        <v>29400</v>
      </c>
      <c r="E260" s="24" t="s">
        <v>13296</v>
      </c>
      <c r="F260" s="27" t="str">
        <f t="shared" si="16"/>
        <v>insert into ins_premium_det (premium_rcv_code,assorted_code, rec_amount,premium_rcv_detail_code,remaining_amt, payrec, mode_code,coinsurance_code,class_cd,it_remarks) values</v>
      </c>
      <c r="G260" s="28" t="str">
        <f t="shared" si="18"/>
        <v>('30Dec240042','070000170856','29400',(select max(to_number(i.premium_rcv_detail_code))+1
from ins_premium_det i),'29400','29400','02', '11000003','00','Request by Mr. Saqib Saleem 31-Dec-2024 Active');</v>
      </c>
      <c r="H260" s="29" t="str">
        <f t="shared" si="19"/>
        <v>insert into ins_premium_det (premium_rcv_code,assorted_code, rec_amount,premium_rcv_detail_code,remaining_amt, payrec, mode_code,coinsurance_code,class_cd,it_remarks) values('30Dec240042','070000170856','29400',(select max(to_number(i.premium_rcv_detail_code))+1
from ins_premium_det i),'29400','29400','02', '11000003','00','Request by Mr. Saqib Saleem 31-Dec-2024 Active');</v>
      </c>
    </row>
    <row r="261" spans="1:8" ht="105" x14ac:dyDescent="0.25">
      <c r="A261" s="12" t="s">
        <v>11639</v>
      </c>
      <c r="B261" s="25" t="str">
        <f>VLOOKUP(A261,policy!B:C,2,0)</f>
        <v>070000170855</v>
      </c>
      <c r="C261" s="13">
        <v>94939</v>
      </c>
      <c r="D261" s="26">
        <f t="shared" si="17"/>
        <v>94939</v>
      </c>
      <c r="E261" s="24" t="s">
        <v>13296</v>
      </c>
      <c r="F261" s="27" t="str">
        <f t="shared" si="16"/>
        <v>insert into ins_premium_det (premium_rcv_code,assorted_code, rec_amount,premium_rcv_detail_code,remaining_amt, payrec, mode_code,coinsurance_code,class_cd,it_remarks) values</v>
      </c>
      <c r="G261" s="28" t="str">
        <f t="shared" si="18"/>
        <v>('30Dec240042','070000170855','94939',(select max(to_number(i.premium_rcv_detail_code))+1
from ins_premium_det i),'94939','94939','02', '11000003','00','Request by Mr. Saqib Saleem 31-Dec-2024 Active');</v>
      </c>
      <c r="H261" s="29" t="str">
        <f t="shared" si="19"/>
        <v>insert into ins_premium_det (premium_rcv_code,assorted_code, rec_amount,premium_rcv_detail_code,remaining_amt, payrec, mode_code,coinsurance_code,class_cd,it_remarks) values('30Dec240042','070000170855','94939',(select max(to_number(i.premium_rcv_detail_code))+1
from ins_premium_det i),'94939','94939','02', '11000003','00','Request by Mr. Saqib Saleem 31-Dec-2024 Active');</v>
      </c>
    </row>
    <row r="262" spans="1:8" ht="105" x14ac:dyDescent="0.25">
      <c r="A262" s="12" t="s">
        <v>11640</v>
      </c>
      <c r="B262" s="25" t="str">
        <f>VLOOKUP(A262,policy!B:C,2,0)</f>
        <v>070000170854</v>
      </c>
      <c r="C262" s="11">
        <v>128212</v>
      </c>
      <c r="D262" s="26">
        <f t="shared" si="17"/>
        <v>128212</v>
      </c>
      <c r="E262" s="24" t="s">
        <v>13296</v>
      </c>
      <c r="F262" s="27" t="str">
        <f t="shared" si="16"/>
        <v>insert into ins_premium_det (premium_rcv_code,assorted_code, rec_amount,premium_rcv_detail_code,remaining_amt, payrec, mode_code,coinsurance_code,class_cd,it_remarks) values</v>
      </c>
      <c r="G262" s="28" t="str">
        <f t="shared" si="18"/>
        <v>('30Dec240042','070000170854','128212',(select max(to_number(i.premium_rcv_detail_code))+1
from ins_premium_det i),'128212','128212','02', '11000003','00','Request by Mr. Saqib Saleem 31-Dec-2024 Active');</v>
      </c>
      <c r="H262" s="29" t="str">
        <f t="shared" si="19"/>
        <v>insert into ins_premium_det (premium_rcv_code,assorted_code, rec_amount,premium_rcv_detail_code,remaining_amt, payrec, mode_code,coinsurance_code,class_cd,it_remarks) values('30Dec240042','070000170854','128212',(select max(to_number(i.premium_rcv_detail_code))+1
from ins_premium_det i),'128212','128212','02', '11000003','00','Request by Mr. Saqib Saleem 31-Dec-2024 Active');</v>
      </c>
    </row>
    <row r="263" spans="1:8" ht="105" x14ac:dyDescent="0.25">
      <c r="A263" s="12" t="s">
        <v>11641</v>
      </c>
      <c r="B263" s="25" t="str">
        <f>VLOOKUP(A263,policy!B:C,2,0)</f>
        <v>070000170853</v>
      </c>
      <c r="C263" s="13">
        <v>54870</v>
      </c>
      <c r="D263" s="26">
        <f t="shared" si="17"/>
        <v>54870</v>
      </c>
      <c r="E263" s="24" t="s">
        <v>13296</v>
      </c>
      <c r="F263" s="27" t="str">
        <f t="shared" si="16"/>
        <v>insert into ins_premium_det (premium_rcv_code,assorted_code, rec_amount,premium_rcv_detail_code,remaining_amt, payrec, mode_code,coinsurance_code,class_cd,it_remarks) values</v>
      </c>
      <c r="G263" s="28" t="str">
        <f t="shared" si="18"/>
        <v>('30Dec240042','070000170853','54870',(select max(to_number(i.premium_rcv_detail_code))+1
from ins_premium_det i),'54870','54870','02', '11000003','00','Request by Mr. Saqib Saleem 31-Dec-2024 Active');</v>
      </c>
      <c r="H263" s="29" t="str">
        <f t="shared" si="19"/>
        <v>insert into ins_premium_det (premium_rcv_code,assorted_code, rec_amount,premium_rcv_detail_code,remaining_amt, payrec, mode_code,coinsurance_code,class_cd,it_remarks) values('30Dec240042','070000170853','54870',(select max(to_number(i.premium_rcv_detail_code))+1
from ins_premium_det i),'54870','54870','02', '11000003','00','Request by Mr. Saqib Saleem 31-Dec-2024 Active');</v>
      </c>
    </row>
    <row r="264" spans="1:8" ht="105" x14ac:dyDescent="0.25">
      <c r="A264" s="12" t="s">
        <v>11642</v>
      </c>
      <c r="B264" s="25" t="str">
        <f>VLOOKUP(A264,policy!B:C,2,0)</f>
        <v>070000170846</v>
      </c>
      <c r="C264" s="11">
        <v>28500</v>
      </c>
      <c r="D264" s="26">
        <f t="shared" si="17"/>
        <v>28500</v>
      </c>
      <c r="E264" s="24" t="s">
        <v>13296</v>
      </c>
      <c r="F264" s="27" t="str">
        <f t="shared" si="16"/>
        <v>insert into ins_premium_det (premium_rcv_code,assorted_code, rec_amount,premium_rcv_detail_code,remaining_amt, payrec, mode_code,coinsurance_code,class_cd,it_remarks) values</v>
      </c>
      <c r="G264" s="28" t="str">
        <f t="shared" si="18"/>
        <v>('30Dec240042','070000170846','28500',(select max(to_number(i.premium_rcv_detail_code))+1
from ins_premium_det i),'28500','28500','02', '11000003','00','Request by Mr. Saqib Saleem 31-Dec-2024 Active');</v>
      </c>
      <c r="H264" s="29" t="str">
        <f t="shared" si="19"/>
        <v>insert into ins_premium_det (premium_rcv_code,assorted_code, rec_amount,premium_rcv_detail_code,remaining_amt, payrec, mode_code,coinsurance_code,class_cd,it_remarks) values('30Dec240042','070000170846','28500',(select max(to_number(i.premium_rcv_detail_code))+1
from ins_premium_det i),'28500','28500','02', '11000003','00','Request by Mr. Saqib Saleem 31-Dec-2024 Active');</v>
      </c>
    </row>
    <row r="265" spans="1:8" ht="105" x14ac:dyDescent="0.25">
      <c r="A265" s="12" t="s">
        <v>11643</v>
      </c>
      <c r="B265" s="25" t="str">
        <f>VLOOKUP(A265,policy!B:C,2,0)</f>
        <v>070000170845</v>
      </c>
      <c r="C265" s="13">
        <v>32463</v>
      </c>
      <c r="D265" s="26">
        <f t="shared" si="17"/>
        <v>32463</v>
      </c>
      <c r="E265" s="24" t="s">
        <v>13296</v>
      </c>
      <c r="F265" s="27" t="str">
        <f t="shared" si="16"/>
        <v>insert into ins_premium_det (premium_rcv_code,assorted_code, rec_amount,premium_rcv_detail_code,remaining_amt, payrec, mode_code,coinsurance_code,class_cd,it_remarks) values</v>
      </c>
      <c r="G265" s="28" t="str">
        <f t="shared" si="18"/>
        <v>('30Dec240042','070000170845','32463',(select max(to_number(i.premium_rcv_detail_code))+1
from ins_premium_det i),'32463','32463','02', '11000003','00','Request by Mr. Saqib Saleem 31-Dec-2024 Active');</v>
      </c>
      <c r="H265" s="29" t="str">
        <f t="shared" si="19"/>
        <v>insert into ins_premium_det (premium_rcv_code,assorted_code, rec_amount,premium_rcv_detail_code,remaining_amt, payrec, mode_code,coinsurance_code,class_cd,it_remarks) values('30Dec240042','070000170845','32463',(select max(to_number(i.premium_rcv_detail_code))+1
from ins_premium_det i),'32463','32463','02', '11000003','00','Request by Mr. Saqib Saleem 31-Dec-2024 Active');</v>
      </c>
    </row>
    <row r="266" spans="1:8" ht="105" x14ac:dyDescent="0.25">
      <c r="A266" s="12" t="s">
        <v>11644</v>
      </c>
      <c r="B266" s="25" t="str">
        <f>VLOOKUP(A266,policy!B:C,2,0)</f>
        <v>070000170844</v>
      </c>
      <c r="C266" s="11">
        <v>10800</v>
      </c>
      <c r="D266" s="26">
        <f t="shared" si="17"/>
        <v>10800</v>
      </c>
      <c r="E266" s="24" t="s">
        <v>13296</v>
      </c>
      <c r="F266" s="27" t="str">
        <f t="shared" si="16"/>
        <v>insert into ins_premium_det (premium_rcv_code,assorted_code, rec_amount,premium_rcv_detail_code,remaining_amt, payrec, mode_code,coinsurance_code,class_cd,it_remarks) values</v>
      </c>
      <c r="G266" s="28" t="str">
        <f t="shared" si="18"/>
        <v>('30Dec240042','070000170844','10800',(select max(to_number(i.premium_rcv_detail_code))+1
from ins_premium_det i),'10800','10800','02', '11000003','00','Request by Mr. Saqib Saleem 31-Dec-2024 Active');</v>
      </c>
      <c r="H266" s="29" t="str">
        <f t="shared" si="19"/>
        <v>insert into ins_premium_det (premium_rcv_code,assorted_code, rec_amount,premium_rcv_detail_code,remaining_amt, payrec, mode_code,coinsurance_code,class_cd,it_remarks) values('30Dec240042','070000170844','10800',(select max(to_number(i.premium_rcv_detail_code))+1
from ins_premium_det i),'10800','10800','02', '11000003','00','Request by Mr. Saqib Saleem 31-Dec-2024 Active');</v>
      </c>
    </row>
    <row r="267" spans="1:8" ht="105" x14ac:dyDescent="0.25">
      <c r="A267" s="12" t="s">
        <v>11645</v>
      </c>
      <c r="B267" s="25" t="str">
        <f>VLOOKUP(A267,policy!B:C,2,0)</f>
        <v>070000170841</v>
      </c>
      <c r="C267" s="13">
        <v>34500</v>
      </c>
      <c r="D267" s="26">
        <f t="shared" si="17"/>
        <v>34500</v>
      </c>
      <c r="E267" s="24" t="s">
        <v>13296</v>
      </c>
      <c r="F267" s="27" t="str">
        <f t="shared" si="16"/>
        <v>insert into ins_premium_det (premium_rcv_code,assorted_code, rec_amount,premium_rcv_detail_code,remaining_amt, payrec, mode_code,coinsurance_code,class_cd,it_remarks) values</v>
      </c>
      <c r="G267" s="28" t="str">
        <f t="shared" si="18"/>
        <v>('30Dec240042','070000170841','34500',(select max(to_number(i.premium_rcv_detail_code))+1
from ins_premium_det i),'34500','34500','02', '11000003','00','Request by Mr. Saqib Saleem 31-Dec-2024 Active');</v>
      </c>
      <c r="H267" s="29" t="str">
        <f t="shared" si="19"/>
        <v>insert into ins_premium_det (premium_rcv_code,assorted_code, rec_amount,premium_rcv_detail_code,remaining_amt, payrec, mode_code,coinsurance_code,class_cd,it_remarks) values('30Dec240042','070000170841','34500',(select max(to_number(i.premium_rcv_detail_code))+1
from ins_premium_det i),'34500','34500','02', '11000003','00','Request by Mr. Saqib Saleem 31-Dec-2024 Active');</v>
      </c>
    </row>
    <row r="268" spans="1:8" ht="105" x14ac:dyDescent="0.25">
      <c r="A268" s="12" t="s">
        <v>11646</v>
      </c>
      <c r="B268" s="25" t="str">
        <f>VLOOKUP(A268,policy!B:C,2,0)</f>
        <v>070000170840</v>
      </c>
      <c r="C268" s="11">
        <v>24000</v>
      </c>
      <c r="D268" s="26">
        <f t="shared" si="17"/>
        <v>24000</v>
      </c>
      <c r="E268" s="24" t="s">
        <v>13296</v>
      </c>
      <c r="F268" s="27" t="str">
        <f t="shared" si="16"/>
        <v>insert into ins_premium_det (premium_rcv_code,assorted_code, rec_amount,premium_rcv_detail_code,remaining_amt, payrec, mode_code,coinsurance_code,class_cd,it_remarks) values</v>
      </c>
      <c r="G268" s="28" t="str">
        <f t="shared" si="18"/>
        <v>('30Dec240042','070000170840','24000',(select max(to_number(i.premium_rcv_detail_code))+1
from ins_premium_det i),'24000','24000','02', '11000003','00','Request by Mr. Saqib Saleem 31-Dec-2024 Active');</v>
      </c>
      <c r="H268" s="29" t="str">
        <f t="shared" si="19"/>
        <v>insert into ins_premium_det (premium_rcv_code,assorted_code, rec_amount,premium_rcv_detail_code,remaining_amt, payrec, mode_code,coinsurance_code,class_cd,it_remarks) values('30Dec240042','070000170840','24000',(select max(to_number(i.premium_rcv_detail_code))+1
from ins_premium_det i),'24000','24000','02', '11000003','00','Request by Mr. Saqib Saleem 31-Dec-2024 Active');</v>
      </c>
    </row>
    <row r="269" spans="1:8" ht="105" x14ac:dyDescent="0.25">
      <c r="A269" s="12" t="s">
        <v>11647</v>
      </c>
      <c r="B269" s="25" t="str">
        <f>VLOOKUP(A269,policy!B:C,2,0)</f>
        <v>070000170839</v>
      </c>
      <c r="C269" s="13">
        <v>20400</v>
      </c>
      <c r="D269" s="26">
        <f t="shared" si="17"/>
        <v>20400</v>
      </c>
      <c r="E269" s="24" t="s">
        <v>13296</v>
      </c>
      <c r="F269" s="27" t="str">
        <f t="shared" si="16"/>
        <v>insert into ins_premium_det (premium_rcv_code,assorted_code, rec_amount,premium_rcv_detail_code,remaining_amt, payrec, mode_code,coinsurance_code,class_cd,it_remarks) values</v>
      </c>
      <c r="G269" s="28" t="str">
        <f t="shared" si="18"/>
        <v>('30Dec240042','070000170839','20400',(select max(to_number(i.premium_rcv_detail_code))+1
from ins_premium_det i),'20400','20400','02', '11000003','00','Request by Mr. Saqib Saleem 31-Dec-2024 Active');</v>
      </c>
      <c r="H269" s="29" t="str">
        <f t="shared" si="19"/>
        <v>insert into ins_premium_det (premium_rcv_code,assorted_code, rec_amount,premium_rcv_detail_code,remaining_amt, payrec, mode_code,coinsurance_code,class_cd,it_remarks) values('30Dec240042','070000170839','20400',(select max(to_number(i.premium_rcv_detail_code))+1
from ins_premium_det i),'20400','20400','02', '11000003','00','Request by Mr. Saqib Saleem 31-Dec-2024 Active');</v>
      </c>
    </row>
    <row r="270" spans="1:8" ht="105" x14ac:dyDescent="0.25">
      <c r="A270" s="12" t="s">
        <v>11648</v>
      </c>
      <c r="B270" s="25" t="str">
        <f>VLOOKUP(A270,policy!B:C,2,0)</f>
        <v>070000170837</v>
      </c>
      <c r="C270" s="11">
        <v>29632</v>
      </c>
      <c r="D270" s="26">
        <f t="shared" si="17"/>
        <v>29632</v>
      </c>
      <c r="E270" s="24" t="s">
        <v>13296</v>
      </c>
      <c r="F270" s="27" t="str">
        <f t="shared" si="16"/>
        <v>insert into ins_premium_det (premium_rcv_code,assorted_code, rec_amount,premium_rcv_detail_code,remaining_amt, payrec, mode_code,coinsurance_code,class_cd,it_remarks) values</v>
      </c>
      <c r="G270" s="28" t="str">
        <f t="shared" si="18"/>
        <v>('30Dec240042','070000170837','29632',(select max(to_number(i.premium_rcv_detail_code))+1
from ins_premium_det i),'29632','29632','02', '11000003','00','Request by Mr. Saqib Saleem 31-Dec-2024 Active');</v>
      </c>
      <c r="H270" s="29" t="str">
        <f t="shared" si="19"/>
        <v>insert into ins_premium_det (premium_rcv_code,assorted_code, rec_amount,premium_rcv_detail_code,remaining_amt, payrec, mode_code,coinsurance_code,class_cd,it_remarks) values('30Dec240042','070000170837','29632',(select max(to_number(i.premium_rcv_detail_code))+1
from ins_premium_det i),'29632','29632','02', '11000003','00','Request by Mr. Saqib Saleem 31-Dec-2024 Active');</v>
      </c>
    </row>
    <row r="271" spans="1:8" ht="105" x14ac:dyDescent="0.25">
      <c r="A271" s="12" t="s">
        <v>11649</v>
      </c>
      <c r="B271" s="25" t="str">
        <f>VLOOKUP(A271,policy!B:C,2,0)</f>
        <v>070000170836</v>
      </c>
      <c r="C271" s="13">
        <v>21600</v>
      </c>
      <c r="D271" s="26">
        <f t="shared" si="17"/>
        <v>21600</v>
      </c>
      <c r="E271" s="24" t="s">
        <v>13296</v>
      </c>
      <c r="F271" s="27" t="str">
        <f t="shared" si="16"/>
        <v>insert into ins_premium_det (premium_rcv_code,assorted_code, rec_amount,premium_rcv_detail_code,remaining_amt, payrec, mode_code,coinsurance_code,class_cd,it_remarks) values</v>
      </c>
      <c r="G271" s="28" t="str">
        <f t="shared" si="18"/>
        <v>('30Dec240042','070000170836','21600',(select max(to_number(i.premium_rcv_detail_code))+1
from ins_premium_det i),'21600','21600','02', '11000003','00','Request by Mr. Saqib Saleem 31-Dec-2024 Active');</v>
      </c>
      <c r="H271" s="29" t="str">
        <f t="shared" si="19"/>
        <v>insert into ins_premium_det (premium_rcv_code,assorted_code, rec_amount,premium_rcv_detail_code,remaining_amt, payrec, mode_code,coinsurance_code,class_cd,it_remarks) values('30Dec240042','070000170836','21600',(select max(to_number(i.premium_rcv_detail_code))+1
from ins_premium_det i),'21600','21600','02', '11000003','00','Request by Mr. Saqib Saleem 31-Dec-2024 Active');</v>
      </c>
    </row>
    <row r="272" spans="1:8" ht="105" x14ac:dyDescent="0.25">
      <c r="A272" s="12" t="s">
        <v>11650</v>
      </c>
      <c r="B272" s="25" t="str">
        <f>VLOOKUP(A272,policy!B:C,2,0)</f>
        <v>070000170834</v>
      </c>
      <c r="C272" s="11">
        <v>24600</v>
      </c>
      <c r="D272" s="26">
        <f t="shared" si="17"/>
        <v>24600</v>
      </c>
      <c r="E272" s="24" t="s">
        <v>13296</v>
      </c>
      <c r="F272" s="27" t="str">
        <f t="shared" si="16"/>
        <v>insert into ins_premium_det (premium_rcv_code,assorted_code, rec_amount,premium_rcv_detail_code,remaining_amt, payrec, mode_code,coinsurance_code,class_cd,it_remarks) values</v>
      </c>
      <c r="G272" s="28" t="str">
        <f t="shared" si="18"/>
        <v>('30Dec240042','070000170834','24600',(select max(to_number(i.premium_rcv_detail_code))+1
from ins_premium_det i),'24600','24600','02', '11000003','00','Request by Mr. Saqib Saleem 31-Dec-2024 Active');</v>
      </c>
      <c r="H272" s="29" t="str">
        <f t="shared" si="19"/>
        <v>insert into ins_premium_det (premium_rcv_code,assorted_code, rec_amount,premium_rcv_detail_code,remaining_amt, payrec, mode_code,coinsurance_code,class_cd,it_remarks) values('30Dec240042','070000170834','24600',(select max(to_number(i.premium_rcv_detail_code))+1
from ins_premium_det i),'24600','24600','02', '11000003','00','Request by Mr. Saqib Saleem 31-Dec-2024 Active');</v>
      </c>
    </row>
    <row r="273" spans="1:8" ht="105" x14ac:dyDescent="0.25">
      <c r="A273" s="12" t="s">
        <v>11651</v>
      </c>
      <c r="B273" s="25" t="str">
        <f>VLOOKUP(A273,policy!B:C,2,0)</f>
        <v>070000170832</v>
      </c>
      <c r="C273" s="13">
        <v>42000</v>
      </c>
      <c r="D273" s="26">
        <f t="shared" si="17"/>
        <v>42000</v>
      </c>
      <c r="E273" s="24" t="s">
        <v>13296</v>
      </c>
      <c r="F273" s="27" t="str">
        <f t="shared" si="16"/>
        <v>insert into ins_premium_det (premium_rcv_code,assorted_code, rec_amount,premium_rcv_detail_code,remaining_amt, payrec, mode_code,coinsurance_code,class_cd,it_remarks) values</v>
      </c>
      <c r="G273" s="28" t="str">
        <f t="shared" si="18"/>
        <v>('30Dec240042','070000170832','42000',(select max(to_number(i.premium_rcv_detail_code))+1
from ins_premium_det i),'42000','42000','02', '11000003','00','Request by Mr. Saqib Saleem 31-Dec-2024 Active');</v>
      </c>
      <c r="H273" s="29" t="str">
        <f t="shared" si="19"/>
        <v>insert into ins_premium_det (premium_rcv_code,assorted_code, rec_amount,premium_rcv_detail_code,remaining_amt, payrec, mode_code,coinsurance_code,class_cd,it_remarks) values('30Dec240042','070000170832','42000',(select max(to_number(i.premium_rcv_detail_code))+1
from ins_premium_det i),'42000','42000','02', '11000003','00','Request by Mr. Saqib Saleem 31-Dec-2024 Active');</v>
      </c>
    </row>
    <row r="274" spans="1:8" ht="105" x14ac:dyDescent="0.25">
      <c r="A274" s="12" t="s">
        <v>11652</v>
      </c>
      <c r="B274" s="25" t="str">
        <f>VLOOKUP(A274,policy!B:C,2,0)</f>
        <v>070000170831</v>
      </c>
      <c r="C274" s="11">
        <v>44775</v>
      </c>
      <c r="D274" s="26">
        <f t="shared" si="17"/>
        <v>44775</v>
      </c>
      <c r="E274" s="24" t="s">
        <v>13296</v>
      </c>
      <c r="F274" s="27" t="str">
        <f t="shared" si="16"/>
        <v>insert into ins_premium_det (premium_rcv_code,assorted_code, rec_amount,premium_rcv_detail_code,remaining_amt, payrec, mode_code,coinsurance_code,class_cd,it_remarks) values</v>
      </c>
      <c r="G274" s="28" t="str">
        <f t="shared" si="18"/>
        <v>('30Dec240042','070000170831','44775',(select max(to_number(i.premium_rcv_detail_code))+1
from ins_premium_det i),'44775','44775','02', '11000003','00','Request by Mr. Saqib Saleem 31-Dec-2024 Active');</v>
      </c>
      <c r="H274" s="29" t="str">
        <f t="shared" si="19"/>
        <v>insert into ins_premium_det (premium_rcv_code,assorted_code, rec_amount,premium_rcv_detail_code,remaining_amt, payrec, mode_code,coinsurance_code,class_cd,it_remarks) values('30Dec240042','070000170831','44775',(select max(to_number(i.premium_rcv_detail_code))+1
from ins_premium_det i),'44775','44775','02', '11000003','00','Request by Mr. Saqib Saleem 31-Dec-2024 Active');</v>
      </c>
    </row>
    <row r="275" spans="1:8" ht="105" x14ac:dyDescent="0.25">
      <c r="A275" s="12" t="s">
        <v>11653</v>
      </c>
      <c r="B275" s="25" t="str">
        <f>VLOOKUP(A275,policy!B:C,2,0)</f>
        <v>070000170829</v>
      </c>
      <c r="C275" s="13">
        <v>57680</v>
      </c>
      <c r="D275" s="26">
        <f t="shared" si="17"/>
        <v>57680</v>
      </c>
      <c r="E275" s="24" t="s">
        <v>13296</v>
      </c>
      <c r="F275" s="27" t="str">
        <f t="shared" si="16"/>
        <v>insert into ins_premium_det (premium_rcv_code,assorted_code, rec_amount,premium_rcv_detail_code,remaining_amt, payrec, mode_code,coinsurance_code,class_cd,it_remarks) values</v>
      </c>
      <c r="G275" s="28" t="str">
        <f t="shared" si="18"/>
        <v>('30Dec240042','070000170829','57680',(select max(to_number(i.premium_rcv_detail_code))+1
from ins_premium_det i),'57680','57680','02', '11000003','00','Request by Mr. Saqib Saleem 31-Dec-2024 Active');</v>
      </c>
      <c r="H275" s="29" t="str">
        <f t="shared" si="19"/>
        <v>insert into ins_premium_det (premium_rcv_code,assorted_code, rec_amount,premium_rcv_detail_code,remaining_amt, payrec, mode_code,coinsurance_code,class_cd,it_remarks) values('30Dec240042','070000170829','57680',(select max(to_number(i.premium_rcv_detail_code))+1
from ins_premium_det i),'57680','57680','02', '11000003','00','Request by Mr. Saqib Saleem 31-Dec-2024 Active');</v>
      </c>
    </row>
    <row r="276" spans="1:8" ht="105" x14ac:dyDescent="0.25">
      <c r="A276" s="12" t="s">
        <v>11654</v>
      </c>
      <c r="B276" s="25" t="str">
        <f>VLOOKUP(A276,policy!B:C,2,0)</f>
        <v>070000170827</v>
      </c>
      <c r="C276" s="11">
        <v>61088</v>
      </c>
      <c r="D276" s="26">
        <f t="shared" si="17"/>
        <v>61088</v>
      </c>
      <c r="E276" s="24" t="s">
        <v>13296</v>
      </c>
      <c r="F276" s="27" t="str">
        <f t="shared" si="16"/>
        <v>insert into ins_premium_det (premium_rcv_code,assorted_code, rec_amount,premium_rcv_detail_code,remaining_amt, payrec, mode_code,coinsurance_code,class_cd,it_remarks) values</v>
      </c>
      <c r="G276" s="28" t="str">
        <f t="shared" si="18"/>
        <v>('30Dec240042','070000170827','61088',(select max(to_number(i.premium_rcv_detail_code))+1
from ins_premium_det i),'61088','61088','02', '11000003','00','Request by Mr. Saqib Saleem 31-Dec-2024 Active');</v>
      </c>
      <c r="H276" s="29" t="str">
        <f t="shared" si="19"/>
        <v>insert into ins_premium_det (premium_rcv_code,assorted_code, rec_amount,premium_rcv_detail_code,remaining_amt, payrec, mode_code,coinsurance_code,class_cd,it_remarks) values('30Dec240042','070000170827','61088',(select max(to_number(i.premium_rcv_detail_code))+1
from ins_premium_det i),'61088','61088','02', '11000003','00','Request by Mr. Saqib Saleem 31-Dec-2024 Active');</v>
      </c>
    </row>
    <row r="277" spans="1:8" ht="105" x14ac:dyDescent="0.25">
      <c r="A277" s="12" t="s">
        <v>11655</v>
      </c>
      <c r="B277" s="25" t="str">
        <f>VLOOKUP(A277,policy!B:C,2,0)</f>
        <v>070000170826</v>
      </c>
      <c r="C277" s="13">
        <v>34800</v>
      </c>
      <c r="D277" s="26">
        <f t="shared" si="17"/>
        <v>34800</v>
      </c>
      <c r="E277" s="24" t="s">
        <v>13296</v>
      </c>
      <c r="F277" s="27" t="str">
        <f t="shared" si="16"/>
        <v>insert into ins_premium_det (premium_rcv_code,assorted_code, rec_amount,premium_rcv_detail_code,remaining_amt, payrec, mode_code,coinsurance_code,class_cd,it_remarks) values</v>
      </c>
      <c r="G277" s="28" t="str">
        <f t="shared" si="18"/>
        <v>('30Dec240042','070000170826','34800',(select max(to_number(i.premium_rcv_detail_code))+1
from ins_premium_det i),'34800','34800','02', '11000003','00','Request by Mr. Saqib Saleem 31-Dec-2024 Active');</v>
      </c>
      <c r="H277" s="29" t="str">
        <f t="shared" si="19"/>
        <v>insert into ins_premium_det (premium_rcv_code,assorted_code, rec_amount,premium_rcv_detail_code,remaining_amt, payrec, mode_code,coinsurance_code,class_cd,it_remarks) values('30Dec240042','070000170826','34800',(select max(to_number(i.premium_rcv_detail_code))+1
from ins_premium_det i),'34800','34800','02', '11000003','00','Request by Mr. Saqib Saleem 31-Dec-2024 Active');</v>
      </c>
    </row>
    <row r="278" spans="1:8" ht="105" x14ac:dyDescent="0.25">
      <c r="A278" s="12" t="s">
        <v>11656</v>
      </c>
      <c r="B278" s="25" t="str">
        <f>VLOOKUP(A278,policy!B:C,2,0)</f>
        <v>070000170822</v>
      </c>
      <c r="C278" s="11">
        <v>30538</v>
      </c>
      <c r="D278" s="26">
        <f t="shared" si="17"/>
        <v>30538</v>
      </c>
      <c r="E278" s="24" t="s">
        <v>13296</v>
      </c>
      <c r="F278" s="27" t="str">
        <f t="shared" si="16"/>
        <v>insert into ins_premium_det (premium_rcv_code,assorted_code, rec_amount,premium_rcv_detail_code,remaining_amt, payrec, mode_code,coinsurance_code,class_cd,it_remarks) values</v>
      </c>
      <c r="G278" s="28" t="str">
        <f t="shared" si="18"/>
        <v>('30Dec240042','070000170822','30538',(select max(to_number(i.premium_rcv_detail_code))+1
from ins_premium_det i),'30538','30538','02', '11000003','00','Request by Mr. Saqib Saleem 31-Dec-2024 Active');</v>
      </c>
      <c r="H278" s="29" t="str">
        <f t="shared" si="19"/>
        <v>insert into ins_premium_det (premium_rcv_code,assorted_code, rec_amount,premium_rcv_detail_code,remaining_amt, payrec, mode_code,coinsurance_code,class_cd,it_remarks) values('30Dec240042','070000170822','30538',(select max(to_number(i.premium_rcv_detail_code))+1
from ins_premium_det i),'30538','30538','02', '11000003','00','Request by Mr. Saqib Saleem 31-Dec-2024 Active');</v>
      </c>
    </row>
    <row r="279" spans="1:8" ht="105" x14ac:dyDescent="0.25">
      <c r="A279" s="12" t="s">
        <v>11657</v>
      </c>
      <c r="B279" s="25" t="str">
        <f>VLOOKUP(A279,policy!B:C,2,0)</f>
        <v>070000170821</v>
      </c>
      <c r="C279" s="13">
        <v>24336</v>
      </c>
      <c r="D279" s="26">
        <f t="shared" si="17"/>
        <v>24336</v>
      </c>
      <c r="E279" s="24" t="s">
        <v>13296</v>
      </c>
      <c r="F279" s="27" t="str">
        <f t="shared" si="16"/>
        <v>insert into ins_premium_det (premium_rcv_code,assorted_code, rec_amount,premium_rcv_detail_code,remaining_amt, payrec, mode_code,coinsurance_code,class_cd,it_remarks) values</v>
      </c>
      <c r="G279" s="28" t="str">
        <f t="shared" si="18"/>
        <v>('30Dec240042','070000170821','24336',(select max(to_number(i.premium_rcv_detail_code))+1
from ins_premium_det i),'24336','24336','02', '11000003','00','Request by Mr. Saqib Saleem 31-Dec-2024 Active');</v>
      </c>
      <c r="H279" s="29" t="str">
        <f t="shared" si="19"/>
        <v>insert into ins_premium_det (premium_rcv_code,assorted_code, rec_amount,premium_rcv_detail_code,remaining_amt, payrec, mode_code,coinsurance_code,class_cd,it_remarks) values('30Dec240042','070000170821','24336',(select max(to_number(i.premium_rcv_detail_code))+1
from ins_premium_det i),'24336','24336','02', '11000003','00','Request by Mr. Saqib Saleem 31-Dec-2024 Active');</v>
      </c>
    </row>
    <row r="280" spans="1:8" ht="105" x14ac:dyDescent="0.25">
      <c r="A280" s="12" t="s">
        <v>11658</v>
      </c>
      <c r="B280" s="25" t="str">
        <f>VLOOKUP(A280,policy!B:C,2,0)</f>
        <v>070000170820</v>
      </c>
      <c r="C280" s="11">
        <v>27000</v>
      </c>
      <c r="D280" s="26">
        <f t="shared" si="17"/>
        <v>27000</v>
      </c>
      <c r="E280" s="24" t="s">
        <v>13296</v>
      </c>
      <c r="F280" s="27" t="str">
        <f t="shared" si="16"/>
        <v>insert into ins_premium_det (premium_rcv_code,assorted_code, rec_amount,premium_rcv_detail_code,remaining_amt, payrec, mode_code,coinsurance_code,class_cd,it_remarks) values</v>
      </c>
      <c r="G280" s="28" t="str">
        <f t="shared" si="18"/>
        <v>('30Dec240042','070000170820','27000',(select max(to_number(i.premium_rcv_detail_code))+1
from ins_premium_det i),'27000','27000','02', '11000003','00','Request by Mr. Saqib Saleem 31-Dec-2024 Active');</v>
      </c>
      <c r="H280" s="29" t="str">
        <f t="shared" si="19"/>
        <v>insert into ins_premium_det (premium_rcv_code,assorted_code, rec_amount,premium_rcv_detail_code,remaining_amt, payrec, mode_code,coinsurance_code,class_cd,it_remarks) values('30Dec240042','070000170820','27000',(select max(to_number(i.premium_rcv_detail_code))+1
from ins_premium_det i),'27000','27000','02', '11000003','00','Request by Mr. Saqib Saleem 31-Dec-2024 Active');</v>
      </c>
    </row>
    <row r="281" spans="1:8" ht="105" x14ac:dyDescent="0.25">
      <c r="A281" s="12" t="s">
        <v>11659</v>
      </c>
      <c r="B281" s="25" t="str">
        <f>VLOOKUP(A281,policy!B:C,2,0)</f>
        <v>070000170819</v>
      </c>
      <c r="C281" s="13">
        <v>28500</v>
      </c>
      <c r="D281" s="26">
        <f t="shared" si="17"/>
        <v>28500</v>
      </c>
      <c r="E281" s="24" t="s">
        <v>13296</v>
      </c>
      <c r="F281" s="27" t="str">
        <f t="shared" si="16"/>
        <v>insert into ins_premium_det (premium_rcv_code,assorted_code, rec_amount,premium_rcv_detail_code,remaining_amt, payrec, mode_code,coinsurance_code,class_cd,it_remarks) values</v>
      </c>
      <c r="G281" s="28" t="str">
        <f t="shared" si="18"/>
        <v>('30Dec240042','070000170819','28500',(select max(to_number(i.premium_rcv_detail_code))+1
from ins_premium_det i),'28500','28500','02', '11000003','00','Request by Mr. Saqib Saleem 31-Dec-2024 Active');</v>
      </c>
      <c r="H281" s="29" t="str">
        <f t="shared" si="19"/>
        <v>insert into ins_premium_det (premium_rcv_code,assorted_code, rec_amount,premium_rcv_detail_code,remaining_amt, payrec, mode_code,coinsurance_code,class_cd,it_remarks) values('30Dec240042','070000170819','28500',(select max(to_number(i.premium_rcv_detail_code))+1
from ins_premium_det i),'28500','28500','02', '11000003','00','Request by Mr. Saqib Saleem 31-Dec-2024 Active');</v>
      </c>
    </row>
    <row r="282" spans="1:8" ht="105" x14ac:dyDescent="0.25">
      <c r="A282" s="12" t="s">
        <v>11660</v>
      </c>
      <c r="B282" s="25" t="str">
        <f>VLOOKUP(A282,policy!B:C,2,0)</f>
        <v>070000170818</v>
      </c>
      <c r="C282" s="11">
        <v>25200</v>
      </c>
      <c r="D282" s="26">
        <f t="shared" si="17"/>
        <v>25200</v>
      </c>
      <c r="E282" s="24" t="s">
        <v>13296</v>
      </c>
      <c r="F282" s="27" t="str">
        <f t="shared" si="16"/>
        <v>insert into ins_premium_det (premium_rcv_code,assorted_code, rec_amount,premium_rcv_detail_code,remaining_amt, payrec, mode_code,coinsurance_code,class_cd,it_remarks) values</v>
      </c>
      <c r="G282" s="28" t="str">
        <f t="shared" si="18"/>
        <v>('30Dec240042','070000170818','25200',(select max(to_number(i.premium_rcv_detail_code))+1
from ins_premium_det i),'25200','25200','02', '11000003','00','Request by Mr. Saqib Saleem 31-Dec-2024 Active');</v>
      </c>
      <c r="H282" s="29" t="str">
        <f t="shared" si="19"/>
        <v>insert into ins_premium_det (premium_rcv_code,assorted_code, rec_amount,premium_rcv_detail_code,remaining_amt, payrec, mode_code,coinsurance_code,class_cd,it_remarks) values('30Dec240042','070000170818','25200',(select max(to_number(i.premium_rcv_detail_code))+1
from ins_premium_det i),'25200','25200','02', '11000003','00','Request by Mr. Saqib Saleem 31-Dec-2024 Active');</v>
      </c>
    </row>
    <row r="283" spans="1:8" ht="105" x14ac:dyDescent="0.25">
      <c r="A283" s="12" t="s">
        <v>11661</v>
      </c>
      <c r="B283" s="25" t="str">
        <f>VLOOKUP(A283,policy!B:C,2,0)</f>
        <v>070000170817</v>
      </c>
      <c r="C283" s="13">
        <v>37200</v>
      </c>
      <c r="D283" s="26">
        <f t="shared" si="17"/>
        <v>37200</v>
      </c>
      <c r="E283" s="24" t="s">
        <v>13296</v>
      </c>
      <c r="F283" s="27" t="str">
        <f t="shared" si="16"/>
        <v>insert into ins_premium_det (premium_rcv_code,assorted_code, rec_amount,premium_rcv_detail_code,remaining_amt, payrec, mode_code,coinsurance_code,class_cd,it_remarks) values</v>
      </c>
      <c r="G283" s="28" t="str">
        <f t="shared" si="18"/>
        <v>('30Dec240042','070000170817','37200',(select max(to_number(i.premium_rcv_detail_code))+1
from ins_premium_det i),'37200','37200','02', '11000003','00','Request by Mr. Saqib Saleem 31-Dec-2024 Active');</v>
      </c>
      <c r="H283" s="29" t="str">
        <f t="shared" si="19"/>
        <v>insert into ins_premium_det (premium_rcv_code,assorted_code, rec_amount,premium_rcv_detail_code,remaining_amt, payrec, mode_code,coinsurance_code,class_cd,it_remarks) values('30Dec240042','070000170817','37200',(select max(to_number(i.premium_rcv_detail_code))+1
from ins_premium_det i),'37200','37200','02', '11000003','00','Request by Mr. Saqib Saleem 31-Dec-2024 Active');</v>
      </c>
    </row>
    <row r="284" spans="1:8" ht="105" x14ac:dyDescent="0.25">
      <c r="A284" s="12" t="s">
        <v>11662</v>
      </c>
      <c r="B284" s="25" t="str">
        <f>VLOOKUP(A284,policy!B:C,2,0)</f>
        <v>070000170814</v>
      </c>
      <c r="C284" s="11">
        <v>38400</v>
      </c>
      <c r="D284" s="26">
        <f t="shared" si="17"/>
        <v>38400</v>
      </c>
      <c r="E284" s="24" t="s">
        <v>13296</v>
      </c>
      <c r="F284" s="27" t="str">
        <f t="shared" si="16"/>
        <v>insert into ins_premium_det (premium_rcv_code,assorted_code, rec_amount,premium_rcv_detail_code,remaining_amt, payrec, mode_code,coinsurance_code,class_cd,it_remarks) values</v>
      </c>
      <c r="G284" s="28" t="str">
        <f t="shared" si="18"/>
        <v>('30Dec240042','070000170814','38400',(select max(to_number(i.premium_rcv_detail_code))+1
from ins_premium_det i),'38400','38400','02', '11000003','00','Request by Mr. Saqib Saleem 31-Dec-2024 Active');</v>
      </c>
      <c r="H284" s="29" t="str">
        <f t="shared" si="19"/>
        <v>insert into ins_premium_det (premium_rcv_code,assorted_code, rec_amount,premium_rcv_detail_code,remaining_amt, payrec, mode_code,coinsurance_code,class_cd,it_remarks) values('30Dec240042','070000170814','38400',(select max(to_number(i.premium_rcv_detail_code))+1
from ins_premium_det i),'38400','38400','02', '11000003','00','Request by Mr. Saqib Saleem 31-Dec-2024 Active');</v>
      </c>
    </row>
    <row r="285" spans="1:8" ht="105" x14ac:dyDescent="0.25">
      <c r="A285" s="12" t="s">
        <v>11663</v>
      </c>
      <c r="B285" s="25" t="str">
        <f>VLOOKUP(A285,policy!B:C,2,0)</f>
        <v>070000170810</v>
      </c>
      <c r="C285" s="13">
        <v>109376</v>
      </c>
      <c r="D285" s="26">
        <f t="shared" si="17"/>
        <v>109376</v>
      </c>
      <c r="E285" s="24" t="s">
        <v>13296</v>
      </c>
      <c r="F285" s="27" t="str">
        <f t="shared" si="16"/>
        <v>insert into ins_premium_det (premium_rcv_code,assorted_code, rec_amount,premium_rcv_detail_code,remaining_amt, payrec, mode_code,coinsurance_code,class_cd,it_remarks) values</v>
      </c>
      <c r="G285" s="28" t="str">
        <f t="shared" si="18"/>
        <v>('30Dec240042','070000170810','109376',(select max(to_number(i.premium_rcv_detail_code))+1
from ins_premium_det i),'109376','109376','02', '11000003','00','Request by Mr. Saqib Saleem 31-Dec-2024 Active');</v>
      </c>
      <c r="H285" s="29" t="str">
        <f t="shared" si="19"/>
        <v>insert into ins_premium_det (premium_rcv_code,assorted_code, rec_amount,premium_rcv_detail_code,remaining_amt, payrec, mode_code,coinsurance_code,class_cd,it_remarks) values('30Dec240042','070000170810','109376',(select max(to_number(i.premium_rcv_detail_code))+1
from ins_premium_det i),'109376','109376','02', '11000003','00','Request by Mr. Saqib Saleem 31-Dec-2024 Active');</v>
      </c>
    </row>
    <row r="286" spans="1:8" ht="105" x14ac:dyDescent="0.25">
      <c r="A286" s="12" t="s">
        <v>11664</v>
      </c>
      <c r="B286" s="25" t="str">
        <f>VLOOKUP(A286,policy!B:C,2,0)</f>
        <v>070000168267</v>
      </c>
      <c r="C286" s="11">
        <v>46954</v>
      </c>
      <c r="D286" s="26">
        <f t="shared" si="17"/>
        <v>46954</v>
      </c>
      <c r="E286" s="24" t="s">
        <v>13296</v>
      </c>
      <c r="F286" s="27" t="str">
        <f t="shared" si="16"/>
        <v>insert into ins_premium_det (premium_rcv_code,assorted_code, rec_amount,premium_rcv_detail_code,remaining_amt, payrec, mode_code,coinsurance_code,class_cd,it_remarks) values</v>
      </c>
      <c r="G286" s="28" t="str">
        <f t="shared" si="18"/>
        <v>('30Dec240042','070000168267','46954',(select max(to_number(i.premium_rcv_detail_code))+1
from ins_premium_det i),'46954','46954','02', '11000003','00','Request by Mr. Saqib Saleem 31-Dec-2024 Active');</v>
      </c>
      <c r="H286" s="29" t="str">
        <f t="shared" si="19"/>
        <v>insert into ins_premium_det (premium_rcv_code,assorted_code, rec_amount,premium_rcv_detail_code,remaining_amt, payrec, mode_code,coinsurance_code,class_cd,it_remarks) values('30Dec240042','070000168267','46954',(select max(to_number(i.premium_rcv_detail_code))+1
from ins_premium_det i),'46954','46954','02', '11000003','00','Request by Mr. Saqib Saleem 31-Dec-2024 Active');</v>
      </c>
    </row>
    <row r="287" spans="1:8" ht="105" x14ac:dyDescent="0.25">
      <c r="A287" s="12" t="s">
        <v>11665</v>
      </c>
      <c r="B287" s="25" t="str">
        <f>VLOOKUP(A287,policy!B:C,2,0)</f>
        <v>070000170809</v>
      </c>
      <c r="C287" s="13">
        <v>98438</v>
      </c>
      <c r="D287" s="26">
        <f t="shared" si="17"/>
        <v>98438</v>
      </c>
      <c r="E287" s="24" t="s">
        <v>13296</v>
      </c>
      <c r="F287" s="27" t="str">
        <f t="shared" si="16"/>
        <v>insert into ins_premium_det (premium_rcv_code,assorted_code, rec_amount,premium_rcv_detail_code,remaining_amt, payrec, mode_code,coinsurance_code,class_cd,it_remarks) values</v>
      </c>
      <c r="G287" s="28" t="str">
        <f t="shared" si="18"/>
        <v>('30Dec240042','070000170809','98438',(select max(to_number(i.premium_rcv_detail_code))+1
from ins_premium_det i),'98438','98438','02', '11000003','00','Request by Mr. Saqib Saleem 31-Dec-2024 Active');</v>
      </c>
      <c r="H287" s="29" t="str">
        <f t="shared" si="19"/>
        <v>insert into ins_premium_det (premium_rcv_code,assorted_code, rec_amount,premium_rcv_detail_code,remaining_amt, payrec, mode_code,coinsurance_code,class_cd,it_remarks) values('30Dec240042','070000170809','98438',(select max(to_number(i.premium_rcv_detail_code))+1
from ins_premium_det i),'98438','98438','02', '11000003','00','Request by Mr. Saqib Saleem 31-Dec-2024 Active');</v>
      </c>
    </row>
    <row r="288" spans="1:8" ht="105" x14ac:dyDescent="0.25">
      <c r="A288" s="12" t="s">
        <v>11666</v>
      </c>
      <c r="B288" s="25" t="str">
        <f>VLOOKUP(A288,policy!B:C,2,0)</f>
        <v>070000170808</v>
      </c>
      <c r="C288" s="11">
        <v>25043</v>
      </c>
      <c r="D288" s="26">
        <f t="shared" si="17"/>
        <v>25043</v>
      </c>
      <c r="E288" s="24" t="s">
        <v>13296</v>
      </c>
      <c r="F288" s="27" t="str">
        <f t="shared" si="16"/>
        <v>insert into ins_premium_det (premium_rcv_code,assorted_code, rec_amount,premium_rcv_detail_code,remaining_amt, payrec, mode_code,coinsurance_code,class_cd,it_remarks) values</v>
      </c>
      <c r="G288" s="28" t="str">
        <f t="shared" si="18"/>
        <v>('30Dec240042','070000170808','25043',(select max(to_number(i.premium_rcv_detail_code))+1
from ins_premium_det i),'25043','25043','02', '11000003','00','Request by Mr. Saqib Saleem 31-Dec-2024 Active');</v>
      </c>
      <c r="H288" s="29" t="str">
        <f t="shared" si="19"/>
        <v>insert into ins_premium_det (premium_rcv_code,assorted_code, rec_amount,premium_rcv_detail_code,remaining_amt, payrec, mode_code,coinsurance_code,class_cd,it_remarks) values('30Dec240042','070000170808','25043',(select max(to_number(i.premium_rcv_detail_code))+1
from ins_premium_det i),'25043','25043','02', '11000003','00','Request by Mr. Saqib Saleem 31-Dec-2024 Active');</v>
      </c>
    </row>
    <row r="289" spans="1:8" ht="105" x14ac:dyDescent="0.25">
      <c r="A289" s="12" t="s">
        <v>11664</v>
      </c>
      <c r="B289" s="25" t="str">
        <f>VLOOKUP(A289,policy!B:C,2,0)</f>
        <v>070000168267</v>
      </c>
      <c r="C289" s="13">
        <v>46954</v>
      </c>
      <c r="D289" s="26">
        <f t="shared" si="17"/>
        <v>46954</v>
      </c>
      <c r="E289" s="24" t="s">
        <v>13296</v>
      </c>
      <c r="F289" s="27" t="str">
        <f t="shared" si="16"/>
        <v>insert into ins_premium_det (premium_rcv_code,assorted_code, rec_amount,premium_rcv_detail_code,remaining_amt, payrec, mode_code,coinsurance_code,class_cd,it_remarks) values</v>
      </c>
      <c r="G289" s="28" t="str">
        <f t="shared" si="18"/>
        <v>('30Dec240042','070000168267','46954',(select max(to_number(i.premium_rcv_detail_code))+1
from ins_premium_det i),'46954','46954','02', '11000003','00','Request by Mr. Saqib Saleem 31-Dec-2024 Active');</v>
      </c>
      <c r="H289" s="29" t="str">
        <f t="shared" si="19"/>
        <v>insert into ins_premium_det (premium_rcv_code,assorted_code, rec_amount,premium_rcv_detail_code,remaining_amt, payrec, mode_code,coinsurance_code,class_cd,it_remarks) values('30Dec240042','070000168267','46954',(select max(to_number(i.premium_rcv_detail_code))+1
from ins_premium_det i),'46954','46954','02', '11000003','00','Request by Mr. Saqib Saleem 31-Dec-2024 Active');</v>
      </c>
    </row>
    <row r="290" spans="1:8" ht="105" x14ac:dyDescent="0.25">
      <c r="A290" s="12" t="s">
        <v>11667</v>
      </c>
      <c r="B290" s="25" t="str">
        <f>VLOOKUP(A290,policy!B:C,2,0)</f>
        <v>070000165786</v>
      </c>
      <c r="C290" s="11">
        <v>37031</v>
      </c>
      <c r="D290" s="26">
        <f t="shared" si="17"/>
        <v>37031</v>
      </c>
      <c r="E290" s="24" t="s">
        <v>13296</v>
      </c>
      <c r="F290" s="27" t="str">
        <f t="shared" si="16"/>
        <v>insert into ins_premium_det (premium_rcv_code,assorted_code, rec_amount,premium_rcv_detail_code,remaining_amt, payrec, mode_code,coinsurance_code,class_cd,it_remarks) values</v>
      </c>
      <c r="G290" s="28" t="str">
        <f t="shared" si="18"/>
        <v>('30Dec240042','070000165786','37031',(select max(to_number(i.premium_rcv_detail_code))+1
from ins_premium_det i),'37031','37031','02', '11000003','00','Request by Mr. Saqib Saleem 31-Dec-2024 Active');</v>
      </c>
      <c r="H290" s="29" t="str">
        <f t="shared" si="19"/>
        <v>insert into ins_premium_det (premium_rcv_code,assorted_code, rec_amount,premium_rcv_detail_code,remaining_amt, payrec, mode_code,coinsurance_code,class_cd,it_remarks) values('30Dec240042','070000165786','37031',(select max(to_number(i.premium_rcv_detail_code))+1
from ins_premium_det i),'37031','37031','02', '11000003','00','Request by Mr. Saqib Saleem 31-Dec-2024 Active');</v>
      </c>
    </row>
    <row r="291" spans="1:8" ht="105" x14ac:dyDescent="0.25">
      <c r="A291" s="12" t="s">
        <v>11668</v>
      </c>
      <c r="B291" s="25" t="str">
        <f>VLOOKUP(A291,policy!B:C,2,0)</f>
        <v>070000167979</v>
      </c>
      <c r="C291" s="13">
        <v>31875</v>
      </c>
      <c r="D291" s="26">
        <f t="shared" si="17"/>
        <v>31875</v>
      </c>
      <c r="E291" s="24" t="s">
        <v>13296</v>
      </c>
      <c r="F291" s="27" t="str">
        <f t="shared" si="16"/>
        <v>insert into ins_premium_det (premium_rcv_code,assorted_code, rec_amount,premium_rcv_detail_code,remaining_amt, payrec, mode_code,coinsurance_code,class_cd,it_remarks) values</v>
      </c>
      <c r="G291" s="28" t="str">
        <f t="shared" si="18"/>
        <v>('30Dec240042','070000167979','31875',(select max(to_number(i.premium_rcv_detail_code))+1
from ins_premium_det i),'31875','31875','02', '11000003','00','Request by Mr. Saqib Saleem 31-Dec-2024 Active');</v>
      </c>
      <c r="H291" s="29" t="str">
        <f t="shared" si="19"/>
        <v>insert into ins_premium_det (premium_rcv_code,assorted_code, rec_amount,premium_rcv_detail_code,remaining_amt, payrec, mode_code,coinsurance_code,class_cd,it_remarks) values('30Dec240042','070000167979','31875',(select max(to_number(i.premium_rcv_detail_code))+1
from ins_premium_det i),'31875','31875','02', '11000003','00','Request by Mr. Saqib Saleem 31-Dec-2024 Active');</v>
      </c>
    </row>
    <row r="292" spans="1:8" ht="105" x14ac:dyDescent="0.25">
      <c r="A292" s="12" t="s">
        <v>11669</v>
      </c>
      <c r="B292" s="25" t="str">
        <f>VLOOKUP(A292,policy!B:C,2,0)</f>
        <v>070000168026</v>
      </c>
      <c r="C292" s="11">
        <v>25550</v>
      </c>
      <c r="D292" s="26">
        <f t="shared" si="17"/>
        <v>25550</v>
      </c>
      <c r="E292" s="24" t="s">
        <v>13296</v>
      </c>
      <c r="F292" s="27" t="str">
        <f t="shared" si="16"/>
        <v>insert into ins_premium_det (premium_rcv_code,assorted_code, rec_amount,premium_rcv_detail_code,remaining_amt, payrec, mode_code,coinsurance_code,class_cd,it_remarks) values</v>
      </c>
      <c r="G292" s="28" t="str">
        <f t="shared" si="18"/>
        <v>('30Dec240042','070000168026','25550',(select max(to_number(i.premium_rcv_detail_code))+1
from ins_premium_det i),'25550','25550','02', '11000003','00','Request by Mr. Saqib Saleem 31-Dec-2024 Active');</v>
      </c>
      <c r="H292" s="29" t="str">
        <f t="shared" si="19"/>
        <v>insert into ins_premium_det (premium_rcv_code,assorted_code, rec_amount,premium_rcv_detail_code,remaining_amt, payrec, mode_code,coinsurance_code,class_cd,it_remarks) values('30Dec240042','070000168026','25550',(select max(to_number(i.premium_rcv_detail_code))+1
from ins_premium_det i),'25550','25550','02', '11000003','00','Request by Mr. Saqib Saleem 31-Dec-2024 Active');</v>
      </c>
    </row>
    <row r="293" spans="1:8" ht="105" x14ac:dyDescent="0.25">
      <c r="A293" s="12" t="s">
        <v>11670</v>
      </c>
      <c r="B293" s="25" t="str">
        <f>VLOOKUP(A293,policy!B:C,2,0)</f>
        <v>070000168027</v>
      </c>
      <c r="C293" s="13">
        <v>30538</v>
      </c>
      <c r="D293" s="26">
        <f t="shared" si="17"/>
        <v>30538</v>
      </c>
      <c r="E293" s="24" t="s">
        <v>13296</v>
      </c>
      <c r="F293" s="27" t="str">
        <f t="shared" si="16"/>
        <v>insert into ins_premium_det (premium_rcv_code,assorted_code, rec_amount,premium_rcv_detail_code,remaining_amt, payrec, mode_code,coinsurance_code,class_cd,it_remarks) values</v>
      </c>
      <c r="G293" s="28" t="str">
        <f t="shared" si="18"/>
        <v>('30Dec240042','070000168027','30538',(select max(to_number(i.premium_rcv_detail_code))+1
from ins_premium_det i),'30538','30538','02', '11000003','00','Request by Mr. Saqib Saleem 31-Dec-2024 Active');</v>
      </c>
      <c r="H293" s="29" t="str">
        <f t="shared" si="19"/>
        <v>insert into ins_premium_det (premium_rcv_code,assorted_code, rec_amount,premium_rcv_detail_code,remaining_amt, payrec, mode_code,coinsurance_code,class_cd,it_remarks) values('30Dec240042','070000168027','30538',(select max(to_number(i.premium_rcv_detail_code))+1
from ins_premium_det i),'30538','30538','02', '11000003','00','Request by Mr. Saqib Saleem 31-Dec-2024 Active');</v>
      </c>
    </row>
    <row r="294" spans="1:8" ht="105" x14ac:dyDescent="0.25">
      <c r="A294" s="12" t="s">
        <v>11671</v>
      </c>
      <c r="B294" s="25" t="str">
        <f>VLOOKUP(A294,policy!B:C,2,0)</f>
        <v>070000168034</v>
      </c>
      <c r="C294" s="11">
        <v>12000</v>
      </c>
      <c r="D294" s="26">
        <f t="shared" si="17"/>
        <v>12000</v>
      </c>
      <c r="E294" s="24" t="s">
        <v>13296</v>
      </c>
      <c r="F294" s="27" t="str">
        <f t="shared" si="16"/>
        <v>insert into ins_premium_det (premium_rcv_code,assorted_code, rec_amount,premium_rcv_detail_code,remaining_amt, payrec, mode_code,coinsurance_code,class_cd,it_remarks) values</v>
      </c>
      <c r="G294" s="28" t="str">
        <f t="shared" si="18"/>
        <v>('30Dec240042','070000168034','12000',(select max(to_number(i.premium_rcv_detail_code))+1
from ins_premium_det i),'12000','12000','02', '11000003','00','Request by Mr. Saqib Saleem 31-Dec-2024 Active');</v>
      </c>
      <c r="H294" s="29" t="str">
        <f t="shared" si="19"/>
        <v>insert into ins_premium_det (premium_rcv_code,assorted_code, rec_amount,premium_rcv_detail_code,remaining_amt, payrec, mode_code,coinsurance_code,class_cd,it_remarks) values('30Dec240042','070000168034','12000',(select max(to_number(i.premium_rcv_detail_code))+1
from ins_premium_det i),'12000','12000','02', '11000003','00','Request by Mr. Saqib Saleem 31-Dec-2024 Active');</v>
      </c>
    </row>
    <row r="295" spans="1:8" ht="105" x14ac:dyDescent="0.25">
      <c r="A295" s="12" t="s">
        <v>11672</v>
      </c>
      <c r="B295" s="25" t="str">
        <f>VLOOKUP(A295,policy!B:C,2,0)</f>
        <v>070000170806</v>
      </c>
      <c r="C295" s="13">
        <v>21495</v>
      </c>
      <c r="D295" s="26">
        <f t="shared" si="17"/>
        <v>21495</v>
      </c>
      <c r="E295" s="24" t="s">
        <v>13296</v>
      </c>
      <c r="F295" s="27" t="str">
        <f t="shared" si="16"/>
        <v>insert into ins_premium_det (premium_rcv_code,assorted_code, rec_amount,premium_rcv_detail_code,remaining_amt, payrec, mode_code,coinsurance_code,class_cd,it_remarks) values</v>
      </c>
      <c r="G295" s="28" t="str">
        <f t="shared" si="18"/>
        <v>('30Dec240042','070000170806','21495',(select max(to_number(i.premium_rcv_detail_code))+1
from ins_premium_det i),'21495','21495','02', '11000003','00','Request by Mr. Saqib Saleem 31-Dec-2024 Active');</v>
      </c>
      <c r="H295" s="29" t="str">
        <f t="shared" si="19"/>
        <v>insert into ins_premium_det (premium_rcv_code,assorted_code, rec_amount,premium_rcv_detail_code,remaining_amt, payrec, mode_code,coinsurance_code,class_cd,it_remarks) values('30Dec240042','070000170806','21495',(select max(to_number(i.premium_rcv_detail_code))+1
from ins_premium_det i),'21495','21495','02', '11000003','00','Request by Mr. Saqib Saleem 31-Dec-2024 Active');</v>
      </c>
    </row>
    <row r="296" spans="1:8" ht="105" x14ac:dyDescent="0.25">
      <c r="A296" s="12" t="s">
        <v>11673</v>
      </c>
      <c r="B296" s="25" t="str">
        <f>VLOOKUP(A296,policy!B:C,2,0)</f>
        <v>070000168065</v>
      </c>
      <c r="C296" s="11">
        <v>54513</v>
      </c>
      <c r="D296" s="26">
        <f t="shared" si="17"/>
        <v>54513</v>
      </c>
      <c r="E296" s="24" t="s">
        <v>13296</v>
      </c>
      <c r="F296" s="27" t="str">
        <f t="shared" si="16"/>
        <v>insert into ins_premium_det (premium_rcv_code,assorted_code, rec_amount,premium_rcv_detail_code,remaining_amt, payrec, mode_code,coinsurance_code,class_cd,it_remarks) values</v>
      </c>
      <c r="G296" s="28" t="str">
        <f t="shared" si="18"/>
        <v>('30Dec240042','070000168065','54513',(select max(to_number(i.premium_rcv_detail_code))+1
from ins_premium_det i),'54513','54513','02', '11000003','00','Request by Mr. Saqib Saleem 31-Dec-2024 Active');</v>
      </c>
      <c r="H296" s="29" t="str">
        <f t="shared" si="19"/>
        <v>insert into ins_premium_det (premium_rcv_code,assorted_code, rec_amount,premium_rcv_detail_code,remaining_amt, payrec, mode_code,coinsurance_code,class_cd,it_remarks) values('30Dec240042','070000168065','54513',(select max(to_number(i.premium_rcv_detail_code))+1
from ins_premium_det i),'54513','54513','02', '11000003','00','Request by Mr. Saqib Saleem 31-Dec-2024 Active');</v>
      </c>
    </row>
    <row r="297" spans="1:8" ht="105" x14ac:dyDescent="0.25">
      <c r="A297" s="12" t="s">
        <v>11674</v>
      </c>
      <c r="B297" s="25" t="str">
        <f>VLOOKUP(A297,policy!B:C,2,0)</f>
        <v>070000168067</v>
      </c>
      <c r="C297" s="13">
        <v>21750</v>
      </c>
      <c r="D297" s="26">
        <f t="shared" si="17"/>
        <v>21750</v>
      </c>
      <c r="E297" s="24" t="s">
        <v>13296</v>
      </c>
      <c r="F297" s="27" t="str">
        <f t="shared" si="16"/>
        <v>insert into ins_premium_det (premium_rcv_code,assorted_code, rec_amount,premium_rcv_detail_code,remaining_amt, payrec, mode_code,coinsurance_code,class_cd,it_remarks) values</v>
      </c>
      <c r="G297" s="28" t="str">
        <f t="shared" si="18"/>
        <v>('30Dec240042','070000168067','21750',(select max(to_number(i.premium_rcv_detail_code))+1
from ins_premium_det i),'21750','21750','02', '11000003','00','Request by Mr. Saqib Saleem 31-Dec-2024 Active');</v>
      </c>
      <c r="H297" s="29" t="str">
        <f t="shared" si="19"/>
        <v>insert into ins_premium_det (premium_rcv_code,assorted_code, rec_amount,premium_rcv_detail_code,remaining_amt, payrec, mode_code,coinsurance_code,class_cd,it_remarks) values('30Dec240042','070000168067','21750',(select max(to_number(i.premium_rcv_detail_code))+1
from ins_premium_det i),'21750','21750','02', '11000003','00','Request by Mr. Saqib Saleem 31-Dec-2024 Active');</v>
      </c>
    </row>
    <row r="298" spans="1:8" ht="105" x14ac:dyDescent="0.25">
      <c r="A298" s="12" t="s">
        <v>11675</v>
      </c>
      <c r="B298" s="25" t="str">
        <f>VLOOKUP(A298,policy!B:C,2,0)</f>
        <v>070000168071</v>
      </c>
      <c r="C298" s="11">
        <v>94939</v>
      </c>
      <c r="D298" s="26">
        <f t="shared" si="17"/>
        <v>94939</v>
      </c>
      <c r="E298" s="24" t="s">
        <v>13296</v>
      </c>
      <c r="F298" s="27" t="str">
        <f t="shared" si="16"/>
        <v>insert into ins_premium_det (premium_rcv_code,assorted_code, rec_amount,premium_rcv_detail_code,remaining_amt, payrec, mode_code,coinsurance_code,class_cd,it_remarks) values</v>
      </c>
      <c r="G298" s="28" t="str">
        <f t="shared" si="18"/>
        <v>('30Dec240042','070000168071','94939',(select max(to_number(i.premium_rcv_detail_code))+1
from ins_premium_det i),'94939','94939','02', '11000003','00','Request by Mr. Saqib Saleem 31-Dec-2024 Active');</v>
      </c>
      <c r="H298" s="29" t="str">
        <f t="shared" si="19"/>
        <v>insert into ins_premium_det (premium_rcv_code,assorted_code, rec_amount,premium_rcv_detail_code,remaining_amt, payrec, mode_code,coinsurance_code,class_cd,it_remarks) values('30Dec240042','070000168071','94939',(select max(to_number(i.premium_rcv_detail_code))+1
from ins_premium_det i),'94939','94939','02', '11000003','00','Request by Mr. Saqib Saleem 31-Dec-2024 Active');</v>
      </c>
    </row>
    <row r="299" spans="1:8" ht="105" x14ac:dyDescent="0.25">
      <c r="A299" s="12" t="s">
        <v>11676</v>
      </c>
      <c r="B299" s="25" t="str">
        <f>VLOOKUP(A299,policy!B:C,2,0)</f>
        <v>070000168078</v>
      </c>
      <c r="C299" s="13">
        <v>22890</v>
      </c>
      <c r="D299" s="26">
        <f t="shared" si="17"/>
        <v>22890</v>
      </c>
      <c r="E299" s="24" t="s">
        <v>13296</v>
      </c>
      <c r="F299" s="27" t="str">
        <f t="shared" si="16"/>
        <v>insert into ins_premium_det (premium_rcv_code,assorted_code, rec_amount,premium_rcv_detail_code,remaining_amt, payrec, mode_code,coinsurance_code,class_cd,it_remarks) values</v>
      </c>
      <c r="G299" s="28" t="str">
        <f t="shared" si="18"/>
        <v>('30Dec240042','070000168078','22890',(select max(to_number(i.premium_rcv_detail_code))+1
from ins_premium_det i),'22890','22890','02', '11000003','00','Request by Mr. Saqib Saleem 31-Dec-2024 Active');</v>
      </c>
      <c r="H299" s="29" t="str">
        <f t="shared" si="19"/>
        <v>insert into ins_premium_det (premium_rcv_code,assorted_code, rec_amount,premium_rcv_detail_code,remaining_amt, payrec, mode_code,coinsurance_code,class_cd,it_remarks) values('30Dec240042','070000168078','22890',(select max(to_number(i.premium_rcv_detail_code))+1
from ins_premium_det i),'22890','22890','02', '11000003','00','Request by Mr. Saqib Saleem 31-Dec-2024 Active');</v>
      </c>
    </row>
    <row r="300" spans="1:8" ht="105" x14ac:dyDescent="0.25">
      <c r="A300" s="12" t="s">
        <v>11677</v>
      </c>
      <c r="B300" s="25" t="str">
        <f>VLOOKUP(A300,policy!B:C,2,0)</f>
        <v>070000170804</v>
      </c>
      <c r="C300" s="11">
        <v>65328</v>
      </c>
      <c r="D300" s="26">
        <f t="shared" si="17"/>
        <v>65328</v>
      </c>
      <c r="E300" s="24" t="s">
        <v>13296</v>
      </c>
      <c r="F300" s="27" t="str">
        <f t="shared" si="16"/>
        <v>insert into ins_premium_det (premium_rcv_code,assorted_code, rec_amount,premium_rcv_detail_code,remaining_amt, payrec, mode_code,coinsurance_code,class_cd,it_remarks) values</v>
      </c>
      <c r="G300" s="28" t="str">
        <f t="shared" si="18"/>
        <v>('30Dec240042','070000170804','65328',(select max(to_number(i.premium_rcv_detail_code))+1
from ins_premium_det i),'65328','65328','02', '11000003','00','Request by Mr. Saqib Saleem 31-Dec-2024 Active');</v>
      </c>
      <c r="H300" s="29" t="str">
        <f t="shared" si="19"/>
        <v>insert into ins_premium_det (premium_rcv_code,assorted_code, rec_amount,premium_rcv_detail_code,remaining_amt, payrec, mode_code,coinsurance_code,class_cd,it_remarks) values('30Dec240042','070000170804','65328',(select max(to_number(i.premium_rcv_detail_code))+1
from ins_premium_det i),'65328','65328','02', '11000003','00','Request by Mr. Saqib Saleem 31-Dec-2024 Active');</v>
      </c>
    </row>
    <row r="301" spans="1:8" ht="105" x14ac:dyDescent="0.25">
      <c r="A301" s="12" t="s">
        <v>11678</v>
      </c>
      <c r="B301" s="25" t="str">
        <f>VLOOKUP(A301,policy!B:C,2,0)</f>
        <v>070000170803</v>
      </c>
      <c r="C301" s="13">
        <v>25425</v>
      </c>
      <c r="D301" s="26">
        <f t="shared" si="17"/>
        <v>25425</v>
      </c>
      <c r="E301" s="24" t="s">
        <v>13296</v>
      </c>
      <c r="F301" s="27" t="str">
        <f t="shared" si="16"/>
        <v>insert into ins_premium_det (premium_rcv_code,assorted_code, rec_amount,premium_rcv_detail_code,remaining_amt, payrec, mode_code,coinsurance_code,class_cd,it_remarks) values</v>
      </c>
      <c r="G301" s="28" t="str">
        <f t="shared" si="18"/>
        <v>('30Dec240042','070000170803','25425',(select max(to_number(i.premium_rcv_detail_code))+1
from ins_premium_det i),'25425','25425','02', '11000003','00','Request by Mr. Saqib Saleem 31-Dec-2024 Active');</v>
      </c>
      <c r="H301" s="29" t="str">
        <f t="shared" si="19"/>
        <v>insert into ins_premium_det (premium_rcv_code,assorted_code, rec_amount,premium_rcv_detail_code,remaining_amt, payrec, mode_code,coinsurance_code,class_cd,it_remarks) values('30Dec240042','070000170803','25425',(select max(to_number(i.premium_rcv_detail_code))+1
from ins_premium_det i),'25425','25425','02', '11000003','00','Request by Mr. Saqib Saleem 31-Dec-2024 Active');</v>
      </c>
    </row>
    <row r="302" spans="1:8" ht="105" x14ac:dyDescent="0.25">
      <c r="A302" s="12" t="s">
        <v>11679</v>
      </c>
      <c r="B302" s="25" t="str">
        <f>VLOOKUP(A302,policy!B:C,2,0)</f>
        <v>070000168101</v>
      </c>
      <c r="C302" s="11">
        <v>38610</v>
      </c>
      <c r="D302" s="26">
        <f t="shared" si="17"/>
        <v>38610</v>
      </c>
      <c r="E302" s="24" t="s">
        <v>13296</v>
      </c>
      <c r="F302" s="27" t="str">
        <f t="shared" si="16"/>
        <v>insert into ins_premium_det (premium_rcv_code,assorted_code, rec_amount,premium_rcv_detail_code,remaining_amt, payrec, mode_code,coinsurance_code,class_cd,it_remarks) values</v>
      </c>
      <c r="G302" s="28" t="str">
        <f t="shared" si="18"/>
        <v>('30Dec240042','070000168101','38610',(select max(to_number(i.premium_rcv_detail_code))+1
from ins_premium_det i),'38610','38610','02', '11000003','00','Request by Mr. Saqib Saleem 31-Dec-2024 Active');</v>
      </c>
      <c r="H302" s="29" t="str">
        <f t="shared" si="19"/>
        <v>insert into ins_premium_det (premium_rcv_code,assorted_code, rec_amount,premium_rcv_detail_code,remaining_amt, payrec, mode_code,coinsurance_code,class_cd,it_remarks) values('30Dec240042','070000168101','38610',(select max(to_number(i.premium_rcv_detail_code))+1
from ins_premium_det i),'38610','38610','02', '11000003','00','Request by Mr. Saqib Saleem 31-Dec-2024 Active');</v>
      </c>
    </row>
    <row r="303" spans="1:8" ht="105" x14ac:dyDescent="0.25">
      <c r="A303" s="12" t="s">
        <v>11680</v>
      </c>
      <c r="B303" s="25" t="str">
        <f>VLOOKUP(A303,policy!B:C,2,0)</f>
        <v>070000168105</v>
      </c>
      <c r="C303" s="13">
        <v>25425</v>
      </c>
      <c r="D303" s="26">
        <f t="shared" si="17"/>
        <v>25425</v>
      </c>
      <c r="E303" s="24" t="s">
        <v>13296</v>
      </c>
      <c r="F303" s="27" t="str">
        <f t="shared" si="16"/>
        <v>insert into ins_premium_det (premium_rcv_code,assorted_code, rec_amount,premium_rcv_detail_code,remaining_amt, payrec, mode_code,coinsurance_code,class_cd,it_remarks) values</v>
      </c>
      <c r="G303" s="28" t="str">
        <f t="shared" si="18"/>
        <v>('30Dec240042','070000168105','25425',(select max(to_number(i.premium_rcv_detail_code))+1
from ins_premium_det i),'25425','25425','02', '11000003','00','Request by Mr. Saqib Saleem 31-Dec-2024 Active');</v>
      </c>
      <c r="H303" s="29" t="str">
        <f t="shared" si="19"/>
        <v>insert into ins_premium_det (premium_rcv_code,assorted_code, rec_amount,premium_rcv_detail_code,remaining_amt, payrec, mode_code,coinsurance_code,class_cd,it_remarks) values('30Dec240042','070000168105','25425',(select max(to_number(i.premium_rcv_detail_code))+1
from ins_premium_det i),'25425','25425','02', '11000003','00','Request by Mr. Saqib Saleem 31-Dec-2024 Active');</v>
      </c>
    </row>
    <row r="304" spans="1:8" ht="105" x14ac:dyDescent="0.25">
      <c r="A304" s="12" t="s">
        <v>11681</v>
      </c>
      <c r="B304" s="25" t="str">
        <f>VLOOKUP(A304,policy!B:C,2,0)</f>
        <v>070000168110</v>
      </c>
      <c r="C304" s="11">
        <v>61088</v>
      </c>
      <c r="D304" s="26">
        <f t="shared" si="17"/>
        <v>61088</v>
      </c>
      <c r="E304" s="24" t="s">
        <v>13296</v>
      </c>
      <c r="F304" s="27" t="str">
        <f t="shared" si="16"/>
        <v>insert into ins_premium_det (premium_rcv_code,assorted_code, rec_amount,premium_rcv_detail_code,remaining_amt, payrec, mode_code,coinsurance_code,class_cd,it_remarks) values</v>
      </c>
      <c r="G304" s="28" t="str">
        <f t="shared" si="18"/>
        <v>('30Dec240042','070000168110','61088',(select max(to_number(i.premium_rcv_detail_code))+1
from ins_premium_det i),'61088','61088','02', '11000003','00','Request by Mr. Saqib Saleem 31-Dec-2024 Active');</v>
      </c>
      <c r="H304" s="29" t="str">
        <f t="shared" si="19"/>
        <v>insert into ins_premium_det (premium_rcv_code,assorted_code, rec_amount,premium_rcv_detail_code,remaining_amt, payrec, mode_code,coinsurance_code,class_cd,it_remarks) values('30Dec240042','070000168110','61088',(select max(to_number(i.premium_rcv_detail_code))+1
from ins_premium_det i),'61088','61088','02', '11000003','00','Request by Mr. Saqib Saleem 31-Dec-2024 Active');</v>
      </c>
    </row>
    <row r="305" spans="1:8" ht="105" x14ac:dyDescent="0.25">
      <c r="A305" s="12" t="s">
        <v>11682</v>
      </c>
      <c r="B305" s="25" t="str">
        <f>VLOOKUP(A305,policy!B:C,2,0)</f>
        <v>070000168123</v>
      </c>
      <c r="C305" s="13">
        <v>25425</v>
      </c>
      <c r="D305" s="26">
        <f t="shared" si="17"/>
        <v>25425</v>
      </c>
      <c r="E305" s="24" t="s">
        <v>13296</v>
      </c>
      <c r="F305" s="27" t="str">
        <f t="shared" si="16"/>
        <v>insert into ins_premium_det (premium_rcv_code,assorted_code, rec_amount,premium_rcv_detail_code,remaining_amt, payrec, mode_code,coinsurance_code,class_cd,it_remarks) values</v>
      </c>
      <c r="G305" s="28" t="str">
        <f t="shared" si="18"/>
        <v>('30Dec240042','070000168123','25425',(select max(to_number(i.premium_rcv_detail_code))+1
from ins_premium_det i),'25425','25425','02', '11000003','00','Request by Mr. Saqib Saleem 31-Dec-2024 Active');</v>
      </c>
      <c r="H305" s="29" t="str">
        <f t="shared" si="19"/>
        <v>insert into ins_premium_det (premium_rcv_code,assorted_code, rec_amount,premium_rcv_detail_code,remaining_amt, payrec, mode_code,coinsurance_code,class_cd,it_remarks) values('30Dec240042','070000168123','25425',(select max(to_number(i.premium_rcv_detail_code))+1
from ins_premium_det i),'25425','25425','02', '11000003','00','Request by Mr. Saqib Saleem 31-Dec-2024 Active');</v>
      </c>
    </row>
    <row r="306" spans="1:8" ht="105" x14ac:dyDescent="0.25">
      <c r="A306" s="12" t="s">
        <v>11683</v>
      </c>
      <c r="B306" s="25" t="str">
        <f>VLOOKUP(A306,policy!B:C,2,0)</f>
        <v>070000168150</v>
      </c>
      <c r="C306" s="11">
        <v>59723</v>
      </c>
      <c r="D306" s="26">
        <f t="shared" si="17"/>
        <v>59723</v>
      </c>
      <c r="E306" s="24" t="s">
        <v>13296</v>
      </c>
      <c r="F306" s="27" t="str">
        <f t="shared" si="16"/>
        <v>insert into ins_premium_det (premium_rcv_code,assorted_code, rec_amount,premium_rcv_detail_code,remaining_amt, payrec, mode_code,coinsurance_code,class_cd,it_remarks) values</v>
      </c>
      <c r="G306" s="28" t="str">
        <f t="shared" si="18"/>
        <v>('30Dec240042','070000168150','59723',(select max(to_number(i.premium_rcv_detail_code))+1
from ins_premium_det i),'59723','59723','02', '11000003','00','Request by Mr. Saqib Saleem 31-Dec-2024 Active');</v>
      </c>
      <c r="H306" s="29" t="str">
        <f t="shared" si="19"/>
        <v>insert into ins_premium_det (premium_rcv_code,assorted_code, rec_amount,premium_rcv_detail_code,remaining_amt, payrec, mode_code,coinsurance_code,class_cd,it_remarks) values('30Dec240042','070000168150','59723',(select max(to_number(i.premium_rcv_detail_code))+1
from ins_premium_det i),'59723','59723','02', '11000003','00','Request by Mr. Saqib Saleem 31-Dec-2024 Active');</v>
      </c>
    </row>
    <row r="307" spans="1:8" ht="105" x14ac:dyDescent="0.25">
      <c r="A307" s="12" t="s">
        <v>11684</v>
      </c>
      <c r="B307" s="25" t="str">
        <f>VLOOKUP(A307,policy!B:C,2,0)</f>
        <v>070000170802</v>
      </c>
      <c r="C307" s="13">
        <v>41445</v>
      </c>
      <c r="D307" s="26">
        <f t="shared" si="17"/>
        <v>41445</v>
      </c>
      <c r="E307" s="24" t="s">
        <v>13296</v>
      </c>
      <c r="F307" s="27" t="str">
        <f t="shared" si="16"/>
        <v>insert into ins_premium_det (premium_rcv_code,assorted_code, rec_amount,premium_rcv_detail_code,remaining_amt, payrec, mode_code,coinsurance_code,class_cd,it_remarks) values</v>
      </c>
      <c r="G307" s="28" t="str">
        <f t="shared" si="18"/>
        <v>('30Dec240042','070000170802','41445',(select max(to_number(i.premium_rcv_detail_code))+1
from ins_premium_det i),'41445','41445','02', '11000003','00','Request by Mr. Saqib Saleem 31-Dec-2024 Active');</v>
      </c>
      <c r="H307" s="29" t="str">
        <f t="shared" si="19"/>
        <v>insert into ins_premium_det (premium_rcv_code,assorted_code, rec_amount,premium_rcv_detail_code,remaining_amt, payrec, mode_code,coinsurance_code,class_cd,it_remarks) values('30Dec240042','070000170802','41445',(select max(to_number(i.premium_rcv_detail_code))+1
from ins_premium_det i),'41445','41445','02', '11000003','00','Request by Mr. Saqib Saleem 31-Dec-2024 Active');</v>
      </c>
    </row>
    <row r="308" spans="1:8" ht="105" x14ac:dyDescent="0.25">
      <c r="A308" s="12" t="s">
        <v>11685</v>
      </c>
      <c r="B308" s="25" t="str">
        <f>VLOOKUP(A308,policy!B:C,2,0)</f>
        <v>070000170801</v>
      </c>
      <c r="C308" s="11">
        <v>39675</v>
      </c>
      <c r="D308" s="26">
        <f t="shared" si="17"/>
        <v>39675</v>
      </c>
      <c r="E308" s="24" t="s">
        <v>13296</v>
      </c>
      <c r="F308" s="27" t="str">
        <f t="shared" si="16"/>
        <v>insert into ins_premium_det (premium_rcv_code,assorted_code, rec_amount,premium_rcv_detail_code,remaining_amt, payrec, mode_code,coinsurance_code,class_cd,it_remarks) values</v>
      </c>
      <c r="G308" s="28" t="str">
        <f t="shared" si="18"/>
        <v>('30Dec240042','070000170801','39675',(select max(to_number(i.premium_rcv_detail_code))+1
from ins_premium_det i),'39675','39675','02', '11000003','00','Request by Mr. Saqib Saleem 31-Dec-2024 Active');</v>
      </c>
      <c r="H308" s="29" t="str">
        <f t="shared" si="19"/>
        <v>insert into ins_premium_det (premium_rcv_code,assorted_code, rec_amount,premium_rcv_detail_code,remaining_amt, payrec, mode_code,coinsurance_code,class_cd,it_remarks) values('30Dec240042','070000170801','39675',(select max(to_number(i.premium_rcv_detail_code))+1
from ins_premium_det i),'39675','39675','02', '11000003','00','Request by Mr. Saqib Saleem 31-Dec-2024 Active');</v>
      </c>
    </row>
    <row r="309" spans="1:8" ht="105" x14ac:dyDescent="0.25">
      <c r="A309" s="12" t="s">
        <v>11686</v>
      </c>
      <c r="B309" s="25" t="str">
        <f>VLOOKUP(A309,policy!B:C,2,0)</f>
        <v>070000170800</v>
      </c>
      <c r="C309" s="13">
        <v>49725</v>
      </c>
      <c r="D309" s="26">
        <f t="shared" si="17"/>
        <v>49725</v>
      </c>
      <c r="E309" s="24" t="s">
        <v>13296</v>
      </c>
      <c r="F309" s="27" t="str">
        <f t="shared" si="16"/>
        <v>insert into ins_premium_det (premium_rcv_code,assorted_code, rec_amount,premium_rcv_detail_code,remaining_amt, payrec, mode_code,coinsurance_code,class_cd,it_remarks) values</v>
      </c>
      <c r="G309" s="28" t="str">
        <f t="shared" si="18"/>
        <v>('30Dec240042','070000170800','49725',(select max(to_number(i.premium_rcv_detail_code))+1
from ins_premium_det i),'49725','49725','02', '11000003','00','Request by Mr. Saqib Saleem 31-Dec-2024 Active');</v>
      </c>
      <c r="H309" s="29" t="str">
        <f t="shared" si="19"/>
        <v>insert into ins_premium_det (premium_rcv_code,assorted_code, rec_amount,premium_rcv_detail_code,remaining_amt, payrec, mode_code,coinsurance_code,class_cd,it_remarks) values('30Dec240042','070000170800','49725',(select max(to_number(i.premium_rcv_detail_code))+1
from ins_premium_det i),'49725','49725','02', '11000003','00','Request by Mr. Saqib Saleem 31-Dec-2024 Active');</v>
      </c>
    </row>
    <row r="310" spans="1:8" ht="105" x14ac:dyDescent="0.25">
      <c r="A310" s="12" t="s">
        <v>11687</v>
      </c>
      <c r="B310" s="25" t="str">
        <f>VLOOKUP(A310,policy!B:C,2,0)</f>
        <v>070000168159</v>
      </c>
      <c r="C310" s="11">
        <v>35925</v>
      </c>
      <c r="D310" s="26">
        <f t="shared" si="17"/>
        <v>35925</v>
      </c>
      <c r="E310" s="24" t="s">
        <v>13296</v>
      </c>
      <c r="F310" s="27" t="str">
        <f t="shared" si="16"/>
        <v>insert into ins_premium_det (premium_rcv_code,assorted_code, rec_amount,premium_rcv_detail_code,remaining_amt, payrec, mode_code,coinsurance_code,class_cd,it_remarks) values</v>
      </c>
      <c r="G310" s="28" t="str">
        <f t="shared" si="18"/>
        <v>('30Dec240042','070000168159','35925',(select max(to_number(i.premium_rcv_detail_code))+1
from ins_premium_det i),'35925','35925','02', '11000003','00','Request by Mr. Saqib Saleem 31-Dec-2024 Active');</v>
      </c>
      <c r="H310" s="29" t="str">
        <f t="shared" si="19"/>
        <v>insert into ins_premium_det (premium_rcv_code,assorted_code, rec_amount,premium_rcv_detail_code,remaining_amt, payrec, mode_code,coinsurance_code,class_cd,it_remarks) values('30Dec240042','070000168159','35925',(select max(to_number(i.premium_rcv_detail_code))+1
from ins_premium_det i),'35925','35925','02', '11000003','00','Request by Mr. Saqib Saleem 31-Dec-2024 Active');</v>
      </c>
    </row>
    <row r="311" spans="1:8" ht="105" x14ac:dyDescent="0.25">
      <c r="A311" s="12" t="s">
        <v>11688</v>
      </c>
      <c r="B311" s="25" t="str">
        <f>VLOOKUP(A311,policy!B:C,2,0)</f>
        <v>070000168172</v>
      </c>
      <c r="C311" s="13">
        <v>59723</v>
      </c>
      <c r="D311" s="26">
        <f t="shared" si="17"/>
        <v>59723</v>
      </c>
      <c r="E311" s="24" t="s">
        <v>13296</v>
      </c>
      <c r="F311" s="27" t="str">
        <f t="shared" si="16"/>
        <v>insert into ins_premium_det (premium_rcv_code,assorted_code, rec_amount,premium_rcv_detail_code,remaining_amt, payrec, mode_code,coinsurance_code,class_cd,it_remarks) values</v>
      </c>
      <c r="G311" s="28" t="str">
        <f t="shared" si="18"/>
        <v>('30Dec240042','070000168172','59723',(select max(to_number(i.premium_rcv_detail_code))+1
from ins_premium_det i),'59723','59723','02', '11000003','00','Request by Mr. Saqib Saleem 31-Dec-2024 Active');</v>
      </c>
      <c r="H311" s="29" t="str">
        <f t="shared" si="19"/>
        <v>insert into ins_premium_det (premium_rcv_code,assorted_code, rec_amount,premium_rcv_detail_code,remaining_amt, payrec, mode_code,coinsurance_code,class_cd,it_remarks) values('30Dec240042','070000168172','59723',(select max(to_number(i.premium_rcv_detail_code))+1
from ins_premium_det i),'59723','59723','02', '11000003','00','Request by Mr. Saqib Saleem 31-Dec-2024 Active');</v>
      </c>
    </row>
    <row r="312" spans="1:8" ht="105" x14ac:dyDescent="0.25">
      <c r="A312" s="12" t="s">
        <v>11689</v>
      </c>
      <c r="B312" s="25" t="str">
        <f>VLOOKUP(A312,policy!B:C,2,0)</f>
        <v>070000168188</v>
      </c>
      <c r="C312" s="11">
        <v>14000</v>
      </c>
      <c r="D312" s="26">
        <f t="shared" si="17"/>
        <v>14000</v>
      </c>
      <c r="E312" s="24" t="s">
        <v>13296</v>
      </c>
      <c r="F312" s="27" t="str">
        <f t="shared" si="16"/>
        <v>insert into ins_premium_det (premium_rcv_code,assorted_code, rec_amount,premium_rcv_detail_code,remaining_amt, payrec, mode_code,coinsurance_code,class_cd,it_remarks) values</v>
      </c>
      <c r="G312" s="28" t="str">
        <f t="shared" si="18"/>
        <v>('30Dec240042','070000168188','14000',(select max(to_number(i.premium_rcv_detail_code))+1
from ins_premium_det i),'14000','14000','02', '11000003','00','Request by Mr. Saqib Saleem 31-Dec-2024 Active');</v>
      </c>
      <c r="H312" s="29" t="str">
        <f t="shared" si="19"/>
        <v>insert into ins_premium_det (premium_rcv_code,assorted_code, rec_amount,premium_rcv_detail_code,remaining_amt, payrec, mode_code,coinsurance_code,class_cd,it_remarks) values('30Dec240042','070000168188','14000',(select max(to_number(i.premium_rcv_detail_code))+1
from ins_premium_det i),'14000','14000','02', '11000003','00','Request by Mr. Saqib Saleem 31-Dec-2024 Active');</v>
      </c>
    </row>
    <row r="313" spans="1:8" ht="105" x14ac:dyDescent="0.25">
      <c r="A313" s="12" t="s">
        <v>11690</v>
      </c>
      <c r="B313" s="25" t="str">
        <f>VLOOKUP(A313,policy!B:C,2,0)</f>
        <v>070000170799</v>
      </c>
      <c r="C313" s="13">
        <v>47303</v>
      </c>
      <c r="D313" s="26">
        <f t="shared" si="17"/>
        <v>47303</v>
      </c>
      <c r="E313" s="24" t="s">
        <v>13296</v>
      </c>
      <c r="F313" s="27" t="str">
        <f t="shared" si="16"/>
        <v>insert into ins_premium_det (premium_rcv_code,assorted_code, rec_amount,premium_rcv_detail_code,remaining_amt, payrec, mode_code,coinsurance_code,class_cd,it_remarks) values</v>
      </c>
      <c r="G313" s="28" t="str">
        <f t="shared" si="18"/>
        <v>('30Dec240042','070000170799','47303',(select max(to_number(i.premium_rcv_detail_code))+1
from ins_premium_det i),'47303','47303','02', '11000003','00','Request by Mr. Saqib Saleem 31-Dec-2024 Active');</v>
      </c>
      <c r="H313" s="29" t="str">
        <f t="shared" si="19"/>
        <v>insert into ins_premium_det (premium_rcv_code,assorted_code, rec_amount,premium_rcv_detail_code,remaining_amt, payrec, mode_code,coinsurance_code,class_cd,it_remarks) values('30Dec240042','070000170799','47303',(select max(to_number(i.premium_rcv_detail_code))+1
from ins_premium_det i),'47303','47303','02', '11000003','00','Request by Mr. Saqib Saleem 31-Dec-2024 Active');</v>
      </c>
    </row>
    <row r="314" spans="1:8" ht="105" x14ac:dyDescent="0.25">
      <c r="A314" s="12" t="s">
        <v>11691</v>
      </c>
      <c r="B314" s="25" t="str">
        <f>VLOOKUP(A314,policy!B:C,2,0)</f>
        <v>070000168240</v>
      </c>
      <c r="C314" s="11">
        <v>43248</v>
      </c>
      <c r="D314" s="26">
        <f t="shared" si="17"/>
        <v>43248</v>
      </c>
      <c r="E314" s="24" t="s">
        <v>13296</v>
      </c>
      <c r="F314" s="27" t="str">
        <f t="shared" si="16"/>
        <v>insert into ins_premium_det (premium_rcv_code,assorted_code, rec_amount,premium_rcv_detail_code,remaining_amt, payrec, mode_code,coinsurance_code,class_cd,it_remarks) values</v>
      </c>
      <c r="G314" s="28" t="str">
        <f t="shared" si="18"/>
        <v>('30Dec240042','070000168240','43248',(select max(to_number(i.premium_rcv_detail_code))+1
from ins_premium_det i),'43248','43248','02', '11000003','00','Request by Mr. Saqib Saleem 31-Dec-2024 Active');</v>
      </c>
      <c r="H314" s="29" t="str">
        <f t="shared" si="19"/>
        <v>insert into ins_premium_det (premium_rcv_code,assorted_code, rec_amount,premium_rcv_detail_code,remaining_amt, payrec, mode_code,coinsurance_code,class_cd,it_remarks) values('30Dec240042','070000168240','43248',(select max(to_number(i.premium_rcv_detail_code))+1
from ins_premium_det i),'43248','43248','02', '11000003','00','Request by Mr. Saqib Saleem 31-Dec-2024 Active');</v>
      </c>
    </row>
    <row r="315" spans="1:8" ht="105" x14ac:dyDescent="0.25">
      <c r="A315" s="12" t="s">
        <v>11692</v>
      </c>
      <c r="B315" s="25" t="str">
        <f>VLOOKUP(A315,policy!B:C,2,0)</f>
        <v>070000170798</v>
      </c>
      <c r="C315" s="13">
        <v>58013</v>
      </c>
      <c r="D315" s="26">
        <f t="shared" si="17"/>
        <v>58013</v>
      </c>
      <c r="E315" s="24" t="s">
        <v>13296</v>
      </c>
      <c r="F315" s="27" t="str">
        <f t="shared" si="16"/>
        <v>insert into ins_premium_det (premium_rcv_code,assorted_code, rec_amount,premium_rcv_detail_code,remaining_amt, payrec, mode_code,coinsurance_code,class_cd,it_remarks) values</v>
      </c>
      <c r="G315" s="28" t="str">
        <f t="shared" si="18"/>
        <v>('30Dec240042','070000170798','58013',(select max(to_number(i.premium_rcv_detail_code))+1
from ins_premium_det i),'58013','58013','02', '11000003','00','Request by Mr. Saqib Saleem 31-Dec-2024 Active');</v>
      </c>
      <c r="H315" s="29" t="str">
        <f t="shared" si="19"/>
        <v>insert into ins_premium_det (premium_rcv_code,assorted_code, rec_amount,premium_rcv_detail_code,remaining_amt, payrec, mode_code,coinsurance_code,class_cd,it_remarks) values('30Dec240042','070000170798','58013',(select max(to_number(i.premium_rcv_detail_code))+1
from ins_premium_det i),'58013','58013','02', '11000003','00','Request by Mr. Saqib Saleem 31-Dec-2024 Active');</v>
      </c>
    </row>
    <row r="316" spans="1:8" ht="105" x14ac:dyDescent="0.25">
      <c r="A316" s="12" t="s">
        <v>11693</v>
      </c>
      <c r="B316" s="25" t="str">
        <f>VLOOKUP(A316,policy!B:C,2,0)</f>
        <v>070000171856</v>
      </c>
      <c r="C316" s="11">
        <v>18135</v>
      </c>
      <c r="D316" s="26">
        <f t="shared" si="17"/>
        <v>18135</v>
      </c>
      <c r="E316" s="24" t="s">
        <v>13296</v>
      </c>
      <c r="F316" s="27" t="str">
        <f t="shared" si="16"/>
        <v>insert into ins_premium_det (premium_rcv_code,assorted_code, rec_amount,premium_rcv_detail_code,remaining_amt, payrec, mode_code,coinsurance_code,class_cd,it_remarks) values</v>
      </c>
      <c r="G316" s="28" t="str">
        <f t="shared" si="18"/>
        <v>('30Dec240042','070000171856','18135',(select max(to_number(i.premium_rcv_detail_code))+1
from ins_premium_det i),'18135','18135','02', '11000003','00','Request by Mr. Saqib Saleem 31-Dec-2024 Active');</v>
      </c>
      <c r="H316" s="29" t="str">
        <f t="shared" si="19"/>
        <v>insert into ins_premium_det (premium_rcv_code,assorted_code, rec_amount,premium_rcv_detail_code,remaining_amt, payrec, mode_code,coinsurance_code,class_cd,it_remarks) values('30Dec240042','070000171856','18135',(select max(to_number(i.premium_rcv_detail_code))+1
from ins_premium_det i),'18135','18135','02', '11000003','00','Request by Mr. Saqib Saleem 31-Dec-2024 Active');</v>
      </c>
    </row>
    <row r="317" spans="1:8" ht="105" x14ac:dyDescent="0.25">
      <c r="A317" s="12" t="s">
        <v>11694</v>
      </c>
      <c r="B317" s="25" t="str">
        <f>VLOOKUP(A317,policy!B:C,2,0)</f>
        <v>070000171859</v>
      </c>
      <c r="C317" s="13">
        <v>21281</v>
      </c>
      <c r="D317" s="26">
        <f t="shared" si="17"/>
        <v>21281</v>
      </c>
      <c r="E317" s="24" t="s">
        <v>13296</v>
      </c>
      <c r="F317" s="27" t="str">
        <f t="shared" si="16"/>
        <v>insert into ins_premium_det (premium_rcv_code,assorted_code, rec_amount,premium_rcv_detail_code,remaining_amt, payrec, mode_code,coinsurance_code,class_cd,it_remarks) values</v>
      </c>
      <c r="G317" s="28" t="str">
        <f t="shared" si="18"/>
        <v>('30Dec240042','070000171859','21281',(select max(to_number(i.premium_rcv_detail_code))+1
from ins_premium_det i),'21281','21281','02', '11000003','00','Request by Mr. Saqib Saleem 31-Dec-2024 Active');</v>
      </c>
      <c r="H317" s="29" t="str">
        <f t="shared" si="19"/>
        <v>insert into ins_premium_det (premium_rcv_code,assorted_code, rec_amount,premium_rcv_detail_code,remaining_amt, payrec, mode_code,coinsurance_code,class_cd,it_remarks) values('30Dec240042','070000171859','21281',(select max(to_number(i.premium_rcv_detail_code))+1
from ins_premium_det i),'21281','21281','02', '11000003','00','Request by Mr. Saqib Saleem 31-Dec-2024 Active');</v>
      </c>
    </row>
    <row r="318" spans="1:8" ht="105" x14ac:dyDescent="0.25">
      <c r="A318" s="12" t="s">
        <v>11695</v>
      </c>
      <c r="B318" s="25" t="str">
        <f>VLOOKUP(A318,policy!B:C,2,0)</f>
        <v>070000170797</v>
      </c>
      <c r="C318" s="11">
        <v>49283</v>
      </c>
      <c r="D318" s="26">
        <f t="shared" si="17"/>
        <v>49283</v>
      </c>
      <c r="E318" s="24" t="s">
        <v>13296</v>
      </c>
      <c r="F318" s="27" t="str">
        <f t="shared" si="16"/>
        <v>insert into ins_premium_det (premium_rcv_code,assorted_code, rec_amount,premium_rcv_detail_code,remaining_amt, payrec, mode_code,coinsurance_code,class_cd,it_remarks) values</v>
      </c>
      <c r="G318" s="28" t="str">
        <f t="shared" si="18"/>
        <v>('30Dec240042','070000170797','49283',(select max(to_number(i.premium_rcv_detail_code))+1
from ins_premium_det i),'49283','49283','02', '11000003','00','Request by Mr. Saqib Saleem 31-Dec-2024 Active');</v>
      </c>
      <c r="H318" s="29" t="str">
        <f t="shared" si="19"/>
        <v>insert into ins_premium_det (premium_rcv_code,assorted_code, rec_amount,premium_rcv_detail_code,remaining_amt, payrec, mode_code,coinsurance_code,class_cd,it_remarks) values('30Dec240042','070000170797','49283',(select max(to_number(i.premium_rcv_detail_code))+1
from ins_premium_det i),'49283','49283','02', '11000003','00','Request by Mr. Saqib Saleem 31-Dec-2024 Active');</v>
      </c>
    </row>
    <row r="319" spans="1:8" ht="105" x14ac:dyDescent="0.25">
      <c r="A319" s="12" t="s">
        <v>11696</v>
      </c>
      <c r="B319" s="25" t="str">
        <f>VLOOKUP(A319,policy!B:C,2,0)</f>
        <v>070000172117</v>
      </c>
      <c r="C319" s="13">
        <v>33075</v>
      </c>
      <c r="D319" s="26">
        <f t="shared" si="17"/>
        <v>33075</v>
      </c>
      <c r="E319" s="24" t="s">
        <v>13296</v>
      </c>
      <c r="F319" s="27" t="str">
        <f t="shared" si="16"/>
        <v>insert into ins_premium_det (premium_rcv_code,assorted_code, rec_amount,premium_rcv_detail_code,remaining_amt, payrec, mode_code,coinsurance_code,class_cd,it_remarks) values</v>
      </c>
      <c r="G319" s="28" t="str">
        <f t="shared" si="18"/>
        <v>('30Dec240042','070000172117','33075',(select max(to_number(i.premium_rcv_detail_code))+1
from ins_premium_det i),'33075','33075','02', '11000003','00','Request by Mr. Saqib Saleem 31-Dec-2024 Active');</v>
      </c>
      <c r="H319" s="29" t="str">
        <f t="shared" si="19"/>
        <v>insert into ins_premium_det (premium_rcv_code,assorted_code, rec_amount,premium_rcv_detail_code,remaining_amt, payrec, mode_code,coinsurance_code,class_cd,it_remarks) values('30Dec240042','070000172117','33075',(select max(to_number(i.premium_rcv_detail_code))+1
from ins_premium_det i),'33075','33075','02', '11000003','00','Request by Mr. Saqib Saleem 31-Dec-2024 Active');</v>
      </c>
    </row>
    <row r="320" spans="1:8" ht="105" x14ac:dyDescent="0.25">
      <c r="A320" s="12" t="s">
        <v>11697</v>
      </c>
      <c r="B320" s="25" t="str">
        <f>VLOOKUP(A320,policy!B:C,2,0)</f>
        <v>070000172134</v>
      </c>
      <c r="C320" s="11">
        <v>46226</v>
      </c>
      <c r="D320" s="26">
        <f t="shared" si="17"/>
        <v>46226</v>
      </c>
      <c r="E320" s="24" t="s">
        <v>13296</v>
      </c>
      <c r="F320" s="27" t="str">
        <f t="shared" si="16"/>
        <v>insert into ins_premium_det (premium_rcv_code,assorted_code, rec_amount,premium_rcv_detail_code,remaining_amt, payrec, mode_code,coinsurance_code,class_cd,it_remarks) values</v>
      </c>
      <c r="G320" s="28" t="str">
        <f t="shared" si="18"/>
        <v>('30Dec240042','070000172134','46226',(select max(to_number(i.premium_rcv_detail_code))+1
from ins_premium_det i),'46226','46226','02', '11000003','00','Request by Mr. Saqib Saleem 31-Dec-2024 Active');</v>
      </c>
      <c r="H320" s="29" t="str">
        <f t="shared" si="19"/>
        <v>insert into ins_premium_det (premium_rcv_code,assorted_code, rec_amount,premium_rcv_detail_code,remaining_amt, payrec, mode_code,coinsurance_code,class_cd,it_remarks) values('30Dec240042','070000172134','46226',(select max(to_number(i.premium_rcv_detail_code))+1
from ins_premium_det i),'46226','46226','02', '11000003','00','Request by Mr. Saqib Saleem 31-Dec-2024 Active');</v>
      </c>
    </row>
    <row r="321" spans="1:8" ht="105" x14ac:dyDescent="0.25">
      <c r="A321" s="12" t="s">
        <v>11698</v>
      </c>
      <c r="B321" s="25" t="str">
        <f>VLOOKUP(A321,policy!B:C,2,0)</f>
        <v>070000172136</v>
      </c>
      <c r="C321" s="13">
        <v>29461</v>
      </c>
      <c r="D321" s="26">
        <f t="shared" si="17"/>
        <v>29461</v>
      </c>
      <c r="E321" s="24" t="s">
        <v>13296</v>
      </c>
      <c r="F321" s="27" t="str">
        <f t="shared" si="16"/>
        <v>insert into ins_premium_det (premium_rcv_code,assorted_code, rec_amount,premium_rcv_detail_code,remaining_amt, payrec, mode_code,coinsurance_code,class_cd,it_remarks) values</v>
      </c>
      <c r="G321" s="28" t="str">
        <f t="shared" si="18"/>
        <v>('30Dec240042','070000172136','29461',(select max(to_number(i.premium_rcv_detail_code))+1
from ins_premium_det i),'29461','29461','02', '11000003','00','Request by Mr. Saqib Saleem 31-Dec-2024 Active');</v>
      </c>
      <c r="H321" s="29" t="str">
        <f t="shared" si="19"/>
        <v>insert into ins_premium_det (premium_rcv_code,assorted_code, rec_amount,premium_rcv_detail_code,remaining_amt, payrec, mode_code,coinsurance_code,class_cd,it_remarks) values('30Dec240042','070000172136','29461',(select max(to_number(i.premium_rcv_detail_code))+1
from ins_premium_det i),'29461','29461','02', '11000003','00','Request by Mr. Saqib Saleem 31-Dec-2024 Active');</v>
      </c>
    </row>
    <row r="322" spans="1:8" ht="105" x14ac:dyDescent="0.25">
      <c r="A322" s="12" t="s">
        <v>11699</v>
      </c>
      <c r="B322" s="25" t="str">
        <f>VLOOKUP(A322,policy!B:C,2,0)</f>
        <v>070000172137</v>
      </c>
      <c r="C322" s="11">
        <v>461250</v>
      </c>
      <c r="D322" s="26">
        <f t="shared" si="17"/>
        <v>461250</v>
      </c>
      <c r="E322" s="24" t="s">
        <v>13296</v>
      </c>
      <c r="F322" s="27" t="str">
        <f t="shared" ref="F322:F385" si="2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22" s="28" t="str">
        <f t="shared" si="18"/>
        <v>('30Dec240042','070000172137','461250',(select max(to_number(i.premium_rcv_detail_code))+1
from ins_premium_det i),'461250','461250','02', '11000003','00','Request by Mr. Saqib Saleem 31-Dec-2024 Active');</v>
      </c>
      <c r="H322" s="29" t="str">
        <f t="shared" si="19"/>
        <v>insert into ins_premium_det (premium_rcv_code,assorted_code, rec_amount,premium_rcv_detail_code,remaining_amt, payrec, mode_code,coinsurance_code,class_cd,it_remarks) values('30Dec240042','070000172137','461250',(select max(to_number(i.premium_rcv_detail_code))+1
from ins_premium_det i),'461250','461250','02', '11000003','00','Request by Mr. Saqib Saleem 31-Dec-2024 Active');</v>
      </c>
    </row>
    <row r="323" spans="1:8" ht="105" x14ac:dyDescent="0.25">
      <c r="A323" s="12" t="s">
        <v>11700</v>
      </c>
      <c r="B323" s="25" t="str">
        <f>VLOOKUP(A323,policy!B:C,2,0)</f>
        <v>070000172154</v>
      </c>
      <c r="C323" s="13">
        <v>22200</v>
      </c>
      <c r="D323" s="26">
        <f t="shared" ref="D323:D386" si="21">ROUND(C323,0)</f>
        <v>22200</v>
      </c>
      <c r="E323" s="24" t="s">
        <v>13296</v>
      </c>
      <c r="F323" s="27" t="str">
        <f t="shared" si="20"/>
        <v>insert into ins_premium_det (premium_rcv_code,assorted_code, rec_amount,premium_rcv_detail_code,remaining_amt, payrec, mode_code,coinsurance_code,class_cd,it_remarks) values</v>
      </c>
      <c r="G323" s="28" t="str">
        <f t="shared" ref="G323:G386" si="22">"('"&amp;E323&amp;"','"&amp;B323&amp;"','"&amp;D323&amp;"',(select max(to_number(i.premium_rcv_detail_code))+1
from ins_premium_det i),'"&amp;D323&amp;"','"&amp;D323&amp;"','02', '11000003','00','Request by Mr. Saqib Saleem 31-Dec-2024 Active');"</f>
        <v>('30Dec240042','070000172154','22200',(select max(to_number(i.premium_rcv_detail_code))+1
from ins_premium_det i),'22200','22200','02', '11000003','00','Request by Mr. Saqib Saleem 31-Dec-2024 Active');</v>
      </c>
      <c r="H323" s="29" t="str">
        <f t="shared" ref="H323:H386" si="23">F323&amp;G323</f>
        <v>insert into ins_premium_det (premium_rcv_code,assorted_code, rec_amount,premium_rcv_detail_code,remaining_amt, payrec, mode_code,coinsurance_code,class_cd,it_remarks) values('30Dec240042','070000172154','22200',(select max(to_number(i.premium_rcv_detail_code))+1
from ins_premium_det i),'22200','22200','02', '11000003','00','Request by Mr. Saqib Saleem 31-Dec-2024 Active');</v>
      </c>
    </row>
    <row r="324" spans="1:8" ht="105" x14ac:dyDescent="0.25">
      <c r="A324" s="12" t="s">
        <v>11701</v>
      </c>
      <c r="B324" s="25" t="str">
        <f>VLOOKUP(A324,policy!B:C,2,0)</f>
        <v>070000172167</v>
      </c>
      <c r="C324" s="11">
        <v>28438</v>
      </c>
      <c r="D324" s="26">
        <f t="shared" si="21"/>
        <v>28438</v>
      </c>
      <c r="E324" s="24" t="s">
        <v>13296</v>
      </c>
      <c r="F324" s="27" t="str">
        <f t="shared" si="20"/>
        <v>insert into ins_premium_det (premium_rcv_code,assorted_code, rec_amount,premium_rcv_detail_code,remaining_amt, payrec, mode_code,coinsurance_code,class_cd,it_remarks) values</v>
      </c>
      <c r="G324" s="28" t="str">
        <f t="shared" si="22"/>
        <v>('30Dec240042','070000172167','28438',(select max(to_number(i.premium_rcv_detail_code))+1
from ins_premium_det i),'28438','28438','02', '11000003','00','Request by Mr. Saqib Saleem 31-Dec-2024 Active');</v>
      </c>
      <c r="H324" s="29" t="str">
        <f t="shared" si="23"/>
        <v>insert into ins_premium_det (premium_rcv_code,assorted_code, rec_amount,premium_rcv_detail_code,remaining_amt, payrec, mode_code,coinsurance_code,class_cd,it_remarks) values('30Dec240042','070000172167','28438',(select max(to_number(i.premium_rcv_detail_code))+1
from ins_premium_det i),'28438','28438','02', '11000003','00','Request by Mr. Saqib Saleem 31-Dec-2024 Active');</v>
      </c>
    </row>
    <row r="325" spans="1:8" ht="105" x14ac:dyDescent="0.25">
      <c r="A325" s="12" t="s">
        <v>11702</v>
      </c>
      <c r="B325" s="25" t="str">
        <f>VLOOKUP(A325,policy!B:C,2,0)</f>
        <v>070000170796</v>
      </c>
      <c r="C325" s="13">
        <v>41650</v>
      </c>
      <c r="D325" s="26">
        <f t="shared" si="21"/>
        <v>41650</v>
      </c>
      <c r="E325" s="24" t="s">
        <v>13296</v>
      </c>
      <c r="F325" s="27" t="str">
        <f t="shared" si="20"/>
        <v>insert into ins_premium_det (premium_rcv_code,assorted_code, rec_amount,premium_rcv_detail_code,remaining_amt, payrec, mode_code,coinsurance_code,class_cd,it_remarks) values</v>
      </c>
      <c r="G325" s="28" t="str">
        <f t="shared" si="22"/>
        <v>('30Dec240042','070000170796','41650',(select max(to_number(i.premium_rcv_detail_code))+1
from ins_premium_det i),'41650','41650','02', '11000003','00','Request by Mr. Saqib Saleem 31-Dec-2024 Active');</v>
      </c>
      <c r="H325" s="29" t="str">
        <f t="shared" si="23"/>
        <v>insert into ins_premium_det (premium_rcv_code,assorted_code, rec_amount,premium_rcv_detail_code,remaining_amt, payrec, mode_code,coinsurance_code,class_cd,it_remarks) values('30Dec240042','070000170796','41650',(select max(to_number(i.premium_rcv_detail_code))+1
from ins_premium_det i),'41650','41650','02', '11000003','00','Request by Mr. Saqib Saleem 31-Dec-2024 Active');</v>
      </c>
    </row>
    <row r="326" spans="1:8" ht="105" x14ac:dyDescent="0.25">
      <c r="A326" s="12" t="s">
        <v>11703</v>
      </c>
      <c r="B326" s="25" t="str">
        <f>VLOOKUP(A326,policy!B:C,2,0)</f>
        <v>070000172173</v>
      </c>
      <c r="C326" s="11">
        <v>17850</v>
      </c>
      <c r="D326" s="26">
        <f t="shared" si="21"/>
        <v>17850</v>
      </c>
      <c r="E326" s="24" t="s">
        <v>13296</v>
      </c>
      <c r="F326" s="27" t="str">
        <f t="shared" si="20"/>
        <v>insert into ins_premium_det (premium_rcv_code,assorted_code, rec_amount,premium_rcv_detail_code,remaining_amt, payrec, mode_code,coinsurance_code,class_cd,it_remarks) values</v>
      </c>
      <c r="G326" s="28" t="str">
        <f t="shared" si="22"/>
        <v>('30Dec240042','070000172173','17850',(select max(to_number(i.premium_rcv_detail_code))+1
from ins_premium_det i),'17850','17850','02', '11000003','00','Request by Mr. Saqib Saleem 31-Dec-2024 Active');</v>
      </c>
      <c r="H326" s="29" t="str">
        <f t="shared" si="23"/>
        <v>insert into ins_premium_det (premium_rcv_code,assorted_code, rec_amount,premium_rcv_detail_code,remaining_amt, payrec, mode_code,coinsurance_code,class_cd,it_remarks) values('30Dec240042','070000172173','17850',(select max(to_number(i.premium_rcv_detail_code))+1
from ins_premium_det i),'17850','17850','02', '11000003','00','Request by Mr. Saqib Saleem 31-Dec-2024 Active');</v>
      </c>
    </row>
    <row r="327" spans="1:8" ht="105" x14ac:dyDescent="0.25">
      <c r="A327" s="12" t="s">
        <v>11704</v>
      </c>
      <c r="B327" s="25" t="str">
        <f>VLOOKUP(A327,policy!B:C,2,0)</f>
        <v>070000170795</v>
      </c>
      <c r="C327" s="13">
        <v>33469</v>
      </c>
      <c r="D327" s="26">
        <f t="shared" si="21"/>
        <v>33469</v>
      </c>
      <c r="E327" s="24" t="s">
        <v>13296</v>
      </c>
      <c r="F327" s="27" t="str">
        <f t="shared" si="20"/>
        <v>insert into ins_premium_det (premium_rcv_code,assorted_code, rec_amount,premium_rcv_detail_code,remaining_amt, payrec, mode_code,coinsurance_code,class_cd,it_remarks) values</v>
      </c>
      <c r="G327" s="28" t="str">
        <f t="shared" si="22"/>
        <v>('30Dec240042','070000170795','33469',(select max(to_number(i.premium_rcv_detail_code))+1
from ins_premium_det i),'33469','33469','02', '11000003','00','Request by Mr. Saqib Saleem 31-Dec-2024 Active');</v>
      </c>
      <c r="H327" s="29" t="str">
        <f t="shared" si="23"/>
        <v>insert into ins_premium_det (premium_rcv_code,assorted_code, rec_amount,premium_rcv_detail_code,remaining_amt, payrec, mode_code,coinsurance_code,class_cd,it_remarks) values('30Dec240042','070000170795','33469',(select max(to_number(i.premium_rcv_detail_code))+1
from ins_premium_det i),'33469','33469','02', '11000003','00','Request by Mr. Saqib Saleem 31-Dec-2024 Active');</v>
      </c>
    </row>
    <row r="328" spans="1:8" ht="105" x14ac:dyDescent="0.25">
      <c r="A328" s="12" t="s">
        <v>11705</v>
      </c>
      <c r="B328" s="25" t="str">
        <f>VLOOKUP(A328,policy!B:C,2,0)</f>
        <v>070000172176</v>
      </c>
      <c r="C328" s="11">
        <v>34125</v>
      </c>
      <c r="D328" s="26">
        <f t="shared" si="21"/>
        <v>34125</v>
      </c>
      <c r="E328" s="24" t="s">
        <v>13296</v>
      </c>
      <c r="F328" s="27" t="str">
        <f t="shared" si="20"/>
        <v>insert into ins_premium_det (premium_rcv_code,assorted_code, rec_amount,premium_rcv_detail_code,remaining_amt, payrec, mode_code,coinsurance_code,class_cd,it_remarks) values</v>
      </c>
      <c r="G328" s="28" t="str">
        <f t="shared" si="22"/>
        <v>('30Dec240042','070000172176','34125',(select max(to_number(i.premium_rcv_detail_code))+1
from ins_premium_det i),'34125','34125','02', '11000003','00','Request by Mr. Saqib Saleem 31-Dec-2024 Active');</v>
      </c>
      <c r="H328" s="29" t="str">
        <f t="shared" si="23"/>
        <v>insert into ins_premium_det (premium_rcv_code,assorted_code, rec_amount,premium_rcv_detail_code,remaining_amt, payrec, mode_code,coinsurance_code,class_cd,it_remarks) values('30Dec240042','070000172176','34125',(select max(to_number(i.premium_rcv_detail_code))+1
from ins_premium_det i),'34125','34125','02', '11000003','00','Request by Mr. Saqib Saleem 31-Dec-2024 Active');</v>
      </c>
    </row>
    <row r="329" spans="1:8" ht="105" x14ac:dyDescent="0.25">
      <c r="A329" s="12" t="s">
        <v>11706</v>
      </c>
      <c r="B329" s="25" t="str">
        <f>VLOOKUP(A329,policy!B:C,2,0)</f>
        <v>070000172177</v>
      </c>
      <c r="C329" s="13">
        <v>29775</v>
      </c>
      <c r="D329" s="26">
        <f t="shared" si="21"/>
        <v>29775</v>
      </c>
      <c r="E329" s="24" t="s">
        <v>13296</v>
      </c>
      <c r="F329" s="27" t="str">
        <f t="shared" si="20"/>
        <v>insert into ins_premium_det (premium_rcv_code,assorted_code, rec_amount,premium_rcv_detail_code,remaining_amt, payrec, mode_code,coinsurance_code,class_cd,it_remarks) values</v>
      </c>
      <c r="G329" s="28" t="str">
        <f t="shared" si="22"/>
        <v>('30Dec240042','070000172177','29775',(select max(to_number(i.premium_rcv_detail_code))+1
from ins_premium_det i),'29775','29775','02', '11000003','00','Request by Mr. Saqib Saleem 31-Dec-2024 Active');</v>
      </c>
      <c r="H329" s="29" t="str">
        <f t="shared" si="23"/>
        <v>insert into ins_premium_det (premium_rcv_code,assorted_code, rec_amount,premium_rcv_detail_code,remaining_amt, payrec, mode_code,coinsurance_code,class_cd,it_remarks) values('30Dec240042','070000172177','29775',(select max(to_number(i.premium_rcv_detail_code))+1
from ins_premium_det i),'29775','29775','02', '11000003','00','Request by Mr. Saqib Saleem 31-Dec-2024 Active');</v>
      </c>
    </row>
    <row r="330" spans="1:8" ht="105" x14ac:dyDescent="0.25">
      <c r="A330" s="12" t="s">
        <v>11707</v>
      </c>
      <c r="B330" s="25" t="str">
        <f>VLOOKUP(A330,policy!B:C,2,0)</f>
        <v>070000172180</v>
      </c>
      <c r="C330" s="11">
        <v>22695</v>
      </c>
      <c r="D330" s="26">
        <f t="shared" si="21"/>
        <v>22695</v>
      </c>
      <c r="E330" s="24" t="s">
        <v>13296</v>
      </c>
      <c r="F330" s="27" t="str">
        <f t="shared" si="20"/>
        <v>insert into ins_premium_det (premium_rcv_code,assorted_code, rec_amount,premium_rcv_detail_code,remaining_amt, payrec, mode_code,coinsurance_code,class_cd,it_remarks) values</v>
      </c>
      <c r="G330" s="28" t="str">
        <f t="shared" si="22"/>
        <v>('30Dec240042','070000172180','22695',(select max(to_number(i.premium_rcv_detail_code))+1
from ins_premium_det i),'22695','22695','02', '11000003','00','Request by Mr. Saqib Saleem 31-Dec-2024 Active');</v>
      </c>
      <c r="H330" s="29" t="str">
        <f t="shared" si="23"/>
        <v>insert into ins_premium_det (premium_rcv_code,assorted_code, rec_amount,premium_rcv_detail_code,remaining_amt, payrec, mode_code,coinsurance_code,class_cd,it_remarks) values('30Dec240042','070000172180','22695',(select max(to_number(i.premium_rcv_detail_code))+1
from ins_premium_det i),'22695','22695','02', '11000003','00','Request by Mr. Saqib Saleem 31-Dec-2024 Active');</v>
      </c>
    </row>
    <row r="331" spans="1:8" ht="105" x14ac:dyDescent="0.25">
      <c r="A331" s="12" t="s">
        <v>11708</v>
      </c>
      <c r="B331" s="25" t="str">
        <f>VLOOKUP(A331,policy!B:C,2,0)</f>
        <v>070000170793</v>
      </c>
      <c r="C331" s="13">
        <v>36619</v>
      </c>
      <c r="D331" s="26">
        <f t="shared" si="21"/>
        <v>36619</v>
      </c>
      <c r="E331" s="24" t="s">
        <v>13296</v>
      </c>
      <c r="F331" s="27" t="str">
        <f t="shared" si="20"/>
        <v>insert into ins_premium_det (premium_rcv_code,assorted_code, rec_amount,premium_rcv_detail_code,remaining_amt, payrec, mode_code,coinsurance_code,class_cd,it_remarks) values</v>
      </c>
      <c r="G331" s="28" t="str">
        <f t="shared" si="22"/>
        <v>('30Dec240042','070000170793','36619',(select max(to_number(i.premium_rcv_detail_code))+1
from ins_premium_det i),'36619','36619','02', '11000003','00','Request by Mr. Saqib Saleem 31-Dec-2024 Active');</v>
      </c>
      <c r="H331" s="29" t="str">
        <f t="shared" si="23"/>
        <v>insert into ins_premium_det (premium_rcv_code,assorted_code, rec_amount,premium_rcv_detail_code,remaining_amt, payrec, mode_code,coinsurance_code,class_cd,it_remarks) values('30Dec240042','070000170793','36619',(select max(to_number(i.premium_rcv_detail_code))+1
from ins_premium_det i),'36619','36619','02', '11000003','00','Request by Mr. Saqib Saleem 31-Dec-2024 Active');</v>
      </c>
    </row>
    <row r="332" spans="1:8" ht="105" x14ac:dyDescent="0.25">
      <c r="A332" s="12" t="s">
        <v>11709</v>
      </c>
      <c r="B332" s="25" t="str">
        <f>VLOOKUP(A332,policy!B:C,2,0)</f>
        <v>070000170791</v>
      </c>
      <c r="C332" s="11">
        <v>63788</v>
      </c>
      <c r="D332" s="26">
        <f t="shared" si="21"/>
        <v>63788</v>
      </c>
      <c r="E332" s="24" t="s">
        <v>13296</v>
      </c>
      <c r="F332" s="27" t="str">
        <f t="shared" si="20"/>
        <v>insert into ins_premium_det (premium_rcv_code,assorted_code, rec_amount,premium_rcv_detail_code,remaining_amt, payrec, mode_code,coinsurance_code,class_cd,it_remarks) values</v>
      </c>
      <c r="G332" s="28" t="str">
        <f t="shared" si="22"/>
        <v>('30Dec240042','070000170791','63788',(select max(to_number(i.premium_rcv_detail_code))+1
from ins_premium_det i),'63788','63788','02', '11000003','00','Request by Mr. Saqib Saleem 31-Dec-2024 Active');</v>
      </c>
      <c r="H332" s="29" t="str">
        <f t="shared" si="23"/>
        <v>insert into ins_premium_det (premium_rcv_code,assorted_code, rec_amount,premium_rcv_detail_code,remaining_amt, payrec, mode_code,coinsurance_code,class_cd,it_remarks) values('30Dec240042','070000170791','63788',(select max(to_number(i.premium_rcv_detail_code))+1
from ins_premium_det i),'63788','63788','02', '11000003','00','Request by Mr. Saqib Saleem 31-Dec-2024 Active');</v>
      </c>
    </row>
    <row r="333" spans="1:8" ht="105" x14ac:dyDescent="0.25">
      <c r="A333" s="12" t="s">
        <v>11710</v>
      </c>
      <c r="B333" s="25" t="str">
        <f>VLOOKUP(A333,policy!B:C,2,0)</f>
        <v>070000170790</v>
      </c>
      <c r="C333" s="13">
        <v>32288</v>
      </c>
      <c r="D333" s="26">
        <f t="shared" si="21"/>
        <v>32288</v>
      </c>
      <c r="E333" s="24" t="s">
        <v>13296</v>
      </c>
      <c r="F333" s="27" t="str">
        <f t="shared" si="20"/>
        <v>insert into ins_premium_det (premium_rcv_code,assorted_code, rec_amount,premium_rcv_detail_code,remaining_amt, payrec, mode_code,coinsurance_code,class_cd,it_remarks) values</v>
      </c>
      <c r="G333" s="28" t="str">
        <f t="shared" si="22"/>
        <v>('30Dec240042','070000170790','32288',(select max(to_number(i.premium_rcv_detail_code))+1
from ins_premium_det i),'32288','32288','02', '11000003','00','Request by Mr. Saqib Saleem 31-Dec-2024 Active');</v>
      </c>
      <c r="H333" s="29" t="str">
        <f t="shared" si="23"/>
        <v>insert into ins_premium_det (premium_rcv_code,assorted_code, rec_amount,premium_rcv_detail_code,remaining_amt, payrec, mode_code,coinsurance_code,class_cd,it_remarks) values('30Dec240042','070000170790','32288',(select max(to_number(i.premium_rcv_detail_code))+1
from ins_premium_det i),'32288','32288','02', '11000003','00','Request by Mr. Saqib Saleem 31-Dec-2024 Active');</v>
      </c>
    </row>
    <row r="334" spans="1:8" ht="105" x14ac:dyDescent="0.25">
      <c r="A334" s="12" t="s">
        <v>11711</v>
      </c>
      <c r="B334" s="25" t="str">
        <f>VLOOKUP(A334,policy!B:C,2,0)</f>
        <v>070000170789</v>
      </c>
      <c r="C334" s="11">
        <v>39375</v>
      </c>
      <c r="D334" s="26">
        <f t="shared" si="21"/>
        <v>39375</v>
      </c>
      <c r="E334" s="24" t="s">
        <v>13296</v>
      </c>
      <c r="F334" s="27" t="str">
        <f t="shared" si="20"/>
        <v>insert into ins_premium_det (premium_rcv_code,assorted_code, rec_amount,premium_rcv_detail_code,remaining_amt, payrec, mode_code,coinsurance_code,class_cd,it_remarks) values</v>
      </c>
      <c r="G334" s="28" t="str">
        <f t="shared" si="22"/>
        <v>('30Dec240042','070000170789','39375',(select max(to_number(i.premium_rcv_detail_code))+1
from ins_premium_det i),'39375','39375','02', '11000003','00','Request by Mr. Saqib Saleem 31-Dec-2024 Active');</v>
      </c>
      <c r="H334" s="29" t="str">
        <f t="shared" si="23"/>
        <v>insert into ins_premium_det (premium_rcv_code,assorted_code, rec_amount,premium_rcv_detail_code,remaining_amt, payrec, mode_code,coinsurance_code,class_cd,it_remarks) values('30Dec240042','070000170789','39375',(select max(to_number(i.premium_rcv_detail_code))+1
from ins_premium_det i),'39375','39375','02', '11000003','00','Request by Mr. Saqib Saleem 31-Dec-2024 Active');</v>
      </c>
    </row>
    <row r="335" spans="1:8" ht="105" x14ac:dyDescent="0.25">
      <c r="A335" s="12" t="s">
        <v>11712</v>
      </c>
      <c r="B335" s="25" t="str">
        <f>VLOOKUP(A335,policy!B:C,2,0)</f>
        <v>070000170788</v>
      </c>
      <c r="C335" s="13">
        <v>24495</v>
      </c>
      <c r="D335" s="26">
        <f t="shared" si="21"/>
        <v>24495</v>
      </c>
      <c r="E335" s="24" t="s">
        <v>13296</v>
      </c>
      <c r="F335" s="27" t="str">
        <f t="shared" si="20"/>
        <v>insert into ins_premium_det (premium_rcv_code,assorted_code, rec_amount,premium_rcv_detail_code,remaining_amt, payrec, mode_code,coinsurance_code,class_cd,it_remarks) values</v>
      </c>
      <c r="G335" s="28" t="str">
        <f t="shared" si="22"/>
        <v>('30Dec240042','070000170788','24495',(select max(to_number(i.premium_rcv_detail_code))+1
from ins_premium_det i),'24495','24495','02', '11000003','00','Request by Mr. Saqib Saleem 31-Dec-2024 Active');</v>
      </c>
      <c r="H335" s="29" t="str">
        <f t="shared" si="23"/>
        <v>insert into ins_premium_det (premium_rcv_code,assorted_code, rec_amount,premium_rcv_detail_code,remaining_amt, payrec, mode_code,coinsurance_code,class_cd,it_remarks) values('30Dec240042','070000170788','24495',(select max(to_number(i.premium_rcv_detail_code))+1
from ins_premium_det i),'24495','24495','02', '11000003','00','Request by Mr. Saqib Saleem 31-Dec-2024 Active');</v>
      </c>
    </row>
    <row r="336" spans="1:8" ht="105" x14ac:dyDescent="0.25">
      <c r="A336" s="12" t="s">
        <v>11713</v>
      </c>
      <c r="B336" s="25" t="str">
        <f>VLOOKUP(A336,policy!B:C,2,0)</f>
        <v>070000172187</v>
      </c>
      <c r="C336" s="11">
        <v>21360</v>
      </c>
      <c r="D336" s="26">
        <f t="shared" si="21"/>
        <v>21360</v>
      </c>
      <c r="E336" s="24" t="s">
        <v>13296</v>
      </c>
      <c r="F336" s="27" t="str">
        <f t="shared" si="20"/>
        <v>insert into ins_premium_det (premium_rcv_code,assorted_code, rec_amount,premium_rcv_detail_code,remaining_amt, payrec, mode_code,coinsurance_code,class_cd,it_remarks) values</v>
      </c>
      <c r="G336" s="28" t="str">
        <f t="shared" si="22"/>
        <v>('30Dec240042','070000172187','21360',(select max(to_number(i.premium_rcv_detail_code))+1
from ins_premium_det i),'21360','21360','02', '11000003','00','Request by Mr. Saqib Saleem 31-Dec-2024 Active');</v>
      </c>
      <c r="H336" s="29" t="str">
        <f t="shared" si="23"/>
        <v>insert into ins_premium_det (premium_rcv_code,assorted_code, rec_amount,premium_rcv_detail_code,remaining_amt, payrec, mode_code,coinsurance_code,class_cd,it_remarks) values('30Dec240042','070000172187','21360',(select max(to_number(i.premium_rcv_detail_code))+1
from ins_premium_det i),'21360','21360','02', '11000003','00','Request by Mr. Saqib Saleem 31-Dec-2024 Active');</v>
      </c>
    </row>
    <row r="337" spans="1:8" ht="105" x14ac:dyDescent="0.25">
      <c r="A337" s="12" t="s">
        <v>11714</v>
      </c>
      <c r="B337" s="25" t="str">
        <f>VLOOKUP(A337,policy!B:C,2,0)</f>
        <v>070000170783</v>
      </c>
      <c r="C337" s="13">
        <v>11760</v>
      </c>
      <c r="D337" s="26">
        <f t="shared" si="21"/>
        <v>11760</v>
      </c>
      <c r="E337" s="24" t="s">
        <v>13296</v>
      </c>
      <c r="F337" s="27" t="str">
        <f t="shared" si="20"/>
        <v>insert into ins_premium_det (premium_rcv_code,assorted_code, rec_amount,premium_rcv_detail_code,remaining_amt, payrec, mode_code,coinsurance_code,class_cd,it_remarks) values</v>
      </c>
      <c r="G337" s="28" t="str">
        <f t="shared" si="22"/>
        <v>('30Dec240042','070000170783','11760',(select max(to_number(i.premium_rcv_detail_code))+1
from ins_premium_det i),'11760','11760','02', '11000003','00','Request by Mr. Saqib Saleem 31-Dec-2024 Active');</v>
      </c>
      <c r="H337" s="29" t="str">
        <f t="shared" si="23"/>
        <v>insert into ins_premium_det (premium_rcv_code,assorted_code, rec_amount,premium_rcv_detail_code,remaining_amt, payrec, mode_code,coinsurance_code,class_cd,it_remarks) values('30Dec240042','070000170783','11760',(select max(to_number(i.premium_rcv_detail_code))+1
from ins_premium_det i),'11760','11760','02', '11000003','00','Request by Mr. Saqib Saleem 31-Dec-2024 Active');</v>
      </c>
    </row>
    <row r="338" spans="1:8" ht="105" x14ac:dyDescent="0.25">
      <c r="A338" s="12" t="s">
        <v>11715</v>
      </c>
      <c r="B338" s="25" t="str">
        <f>VLOOKUP(A338,policy!B:C,2,0)</f>
        <v>070000170780</v>
      </c>
      <c r="C338" s="11">
        <v>17400</v>
      </c>
      <c r="D338" s="26">
        <f t="shared" si="21"/>
        <v>17400</v>
      </c>
      <c r="E338" s="24" t="s">
        <v>13296</v>
      </c>
      <c r="F338" s="27" t="str">
        <f t="shared" si="20"/>
        <v>insert into ins_premium_det (premium_rcv_code,assorted_code, rec_amount,premium_rcv_detail_code,remaining_amt, payrec, mode_code,coinsurance_code,class_cd,it_remarks) values</v>
      </c>
      <c r="G338" s="28" t="str">
        <f t="shared" si="22"/>
        <v>('30Dec240042','070000170780','17400',(select max(to_number(i.premium_rcv_detail_code))+1
from ins_premium_det i),'17400','17400','02', '11000003','00','Request by Mr. Saqib Saleem 31-Dec-2024 Active');</v>
      </c>
      <c r="H338" s="29" t="str">
        <f t="shared" si="23"/>
        <v>insert into ins_premium_det (premium_rcv_code,assorted_code, rec_amount,premium_rcv_detail_code,remaining_amt, payrec, mode_code,coinsurance_code,class_cd,it_remarks) values('30Dec240042','070000170780','17400',(select max(to_number(i.premium_rcv_detail_code))+1
from ins_premium_det i),'17400','17400','02', '11000003','00','Request by Mr. Saqib Saleem 31-Dec-2024 Active');</v>
      </c>
    </row>
    <row r="339" spans="1:8" ht="105" x14ac:dyDescent="0.25">
      <c r="A339" s="12" t="s">
        <v>11716</v>
      </c>
      <c r="B339" s="25" t="str">
        <f>VLOOKUP(A339,policy!B:C,2,0)</f>
        <v>070000170779</v>
      </c>
      <c r="C339" s="13">
        <v>24336</v>
      </c>
      <c r="D339" s="26">
        <f t="shared" si="21"/>
        <v>24336</v>
      </c>
      <c r="E339" s="24" t="s">
        <v>13296</v>
      </c>
      <c r="F339" s="27" t="str">
        <f t="shared" si="20"/>
        <v>insert into ins_premium_det (premium_rcv_code,assorted_code, rec_amount,premium_rcv_detail_code,remaining_amt, payrec, mode_code,coinsurance_code,class_cd,it_remarks) values</v>
      </c>
      <c r="G339" s="28" t="str">
        <f t="shared" si="22"/>
        <v>('30Dec240042','070000170779','24336',(select max(to_number(i.premium_rcv_detail_code))+1
from ins_premium_det i),'24336','24336','02', '11000003','00','Request by Mr. Saqib Saleem 31-Dec-2024 Active');</v>
      </c>
      <c r="H339" s="29" t="str">
        <f t="shared" si="23"/>
        <v>insert into ins_premium_det (premium_rcv_code,assorted_code, rec_amount,premium_rcv_detail_code,remaining_amt, payrec, mode_code,coinsurance_code,class_cd,it_remarks) values('30Dec240042','070000170779','24336',(select max(to_number(i.premium_rcv_detail_code))+1
from ins_premium_det i),'24336','24336','02', '11000003','00','Request by Mr. Saqib Saleem 31-Dec-2024 Active');</v>
      </c>
    </row>
    <row r="340" spans="1:8" ht="105" x14ac:dyDescent="0.25">
      <c r="A340" s="12" t="s">
        <v>11717</v>
      </c>
      <c r="B340" s="25" t="str">
        <f>VLOOKUP(A340,policy!B:C,2,0)</f>
        <v>070000170773</v>
      </c>
      <c r="C340" s="11">
        <v>27200</v>
      </c>
      <c r="D340" s="26">
        <f t="shared" si="21"/>
        <v>27200</v>
      </c>
      <c r="E340" s="24" t="s">
        <v>13296</v>
      </c>
      <c r="F340" s="27" t="str">
        <f t="shared" si="20"/>
        <v>insert into ins_premium_det (premium_rcv_code,assorted_code, rec_amount,premium_rcv_detail_code,remaining_amt, payrec, mode_code,coinsurance_code,class_cd,it_remarks) values</v>
      </c>
      <c r="G340" s="28" t="str">
        <f t="shared" si="22"/>
        <v>('30Dec240042','070000170773','27200',(select max(to_number(i.premium_rcv_detail_code))+1
from ins_premium_det i),'27200','27200','02', '11000003','00','Request by Mr. Saqib Saleem 31-Dec-2024 Active');</v>
      </c>
      <c r="H340" s="29" t="str">
        <f t="shared" si="23"/>
        <v>insert into ins_premium_det (premium_rcv_code,assorted_code, rec_amount,premium_rcv_detail_code,remaining_amt, payrec, mode_code,coinsurance_code,class_cd,it_remarks) values('30Dec240042','070000170773','27200',(select max(to_number(i.premium_rcv_detail_code))+1
from ins_premium_det i),'27200','27200','02', '11000003','00','Request by Mr. Saqib Saleem 31-Dec-2024 Active');</v>
      </c>
    </row>
    <row r="341" spans="1:8" ht="105" x14ac:dyDescent="0.25">
      <c r="A341" s="12" t="s">
        <v>11718</v>
      </c>
      <c r="B341" s="25" t="str">
        <f>VLOOKUP(A341,policy!B:C,2,0)</f>
        <v>070000170771</v>
      </c>
      <c r="C341" s="13">
        <v>24336</v>
      </c>
      <c r="D341" s="26">
        <f t="shared" si="21"/>
        <v>24336</v>
      </c>
      <c r="E341" s="24" t="s">
        <v>13296</v>
      </c>
      <c r="F341" s="27" t="str">
        <f t="shared" si="20"/>
        <v>insert into ins_premium_det (premium_rcv_code,assorted_code, rec_amount,premium_rcv_detail_code,remaining_amt, payrec, mode_code,coinsurance_code,class_cd,it_remarks) values</v>
      </c>
      <c r="G341" s="28" t="str">
        <f t="shared" si="22"/>
        <v>('30Dec240042','070000170771','24336',(select max(to_number(i.premium_rcv_detail_code))+1
from ins_premium_det i),'24336','24336','02', '11000003','00','Request by Mr. Saqib Saleem 31-Dec-2024 Active');</v>
      </c>
      <c r="H341" s="29" t="str">
        <f t="shared" si="23"/>
        <v>insert into ins_premium_det (premium_rcv_code,assorted_code, rec_amount,premium_rcv_detail_code,remaining_amt, payrec, mode_code,coinsurance_code,class_cd,it_remarks) values('30Dec240042','070000170771','24336',(select max(to_number(i.premium_rcv_detail_code))+1
from ins_premium_det i),'24336','24336','02', '11000003','00','Request by Mr. Saqib Saleem 31-Dec-2024 Active');</v>
      </c>
    </row>
    <row r="342" spans="1:8" ht="105" x14ac:dyDescent="0.25">
      <c r="A342" s="12" t="s">
        <v>11719</v>
      </c>
      <c r="B342" s="25" t="str">
        <f>VLOOKUP(A342,policy!B:C,2,0)</f>
        <v>070000170768</v>
      </c>
      <c r="C342" s="11">
        <v>41680</v>
      </c>
      <c r="D342" s="26">
        <f t="shared" si="21"/>
        <v>41680</v>
      </c>
      <c r="E342" s="24" t="s">
        <v>13296</v>
      </c>
      <c r="F342" s="27" t="str">
        <f t="shared" si="20"/>
        <v>insert into ins_premium_det (premium_rcv_code,assorted_code, rec_amount,premium_rcv_detail_code,remaining_amt, payrec, mode_code,coinsurance_code,class_cd,it_remarks) values</v>
      </c>
      <c r="G342" s="28" t="str">
        <f t="shared" si="22"/>
        <v>('30Dec240042','070000170768','41680',(select max(to_number(i.premium_rcv_detail_code))+1
from ins_premium_det i),'41680','41680','02', '11000003','00','Request by Mr. Saqib Saleem 31-Dec-2024 Active');</v>
      </c>
      <c r="H342" s="29" t="str">
        <f t="shared" si="23"/>
        <v>insert into ins_premium_det (premium_rcv_code,assorted_code, rec_amount,premium_rcv_detail_code,remaining_amt, payrec, mode_code,coinsurance_code,class_cd,it_remarks) values('30Dec240042','070000170768','41680',(select max(to_number(i.premium_rcv_detail_code))+1
from ins_premium_det i),'41680','41680','02', '11000003','00','Request by Mr. Saqib Saleem 31-Dec-2024 Active');</v>
      </c>
    </row>
    <row r="343" spans="1:8" ht="105" x14ac:dyDescent="0.25">
      <c r="A343" s="12" t="s">
        <v>11720</v>
      </c>
      <c r="B343" s="25" t="str">
        <f>VLOOKUP(A343,policy!B:C,2,0)</f>
        <v>070000170767</v>
      </c>
      <c r="C343" s="13">
        <v>22200</v>
      </c>
      <c r="D343" s="26">
        <f t="shared" si="21"/>
        <v>22200</v>
      </c>
      <c r="E343" s="24" t="s">
        <v>13296</v>
      </c>
      <c r="F343" s="27" t="str">
        <f t="shared" si="20"/>
        <v>insert into ins_premium_det (premium_rcv_code,assorted_code, rec_amount,premium_rcv_detail_code,remaining_amt, payrec, mode_code,coinsurance_code,class_cd,it_remarks) values</v>
      </c>
      <c r="G343" s="28" t="str">
        <f t="shared" si="22"/>
        <v>('30Dec240042','070000170767','22200',(select max(to_number(i.premium_rcv_detail_code))+1
from ins_premium_det i),'22200','22200','02', '11000003','00','Request by Mr. Saqib Saleem 31-Dec-2024 Active');</v>
      </c>
      <c r="H343" s="29" t="str">
        <f t="shared" si="23"/>
        <v>insert into ins_premium_det (premium_rcv_code,assorted_code, rec_amount,premium_rcv_detail_code,remaining_amt, payrec, mode_code,coinsurance_code,class_cd,it_remarks) values('30Dec240042','070000170767','22200',(select max(to_number(i.premium_rcv_detail_code))+1
from ins_premium_det i),'22200','22200','02', '11000003','00','Request by Mr. Saqib Saleem 31-Dec-2024 Active');</v>
      </c>
    </row>
    <row r="344" spans="1:8" ht="105" x14ac:dyDescent="0.25">
      <c r="A344" s="12" t="s">
        <v>11721</v>
      </c>
      <c r="B344" s="25" t="str">
        <f>VLOOKUP(A344,policy!B:C,2,0)</f>
        <v>070000170766</v>
      </c>
      <c r="C344" s="11">
        <v>22800</v>
      </c>
      <c r="D344" s="26">
        <f t="shared" si="21"/>
        <v>22800</v>
      </c>
      <c r="E344" s="24" t="s">
        <v>13296</v>
      </c>
      <c r="F344" s="27" t="str">
        <f t="shared" si="20"/>
        <v>insert into ins_premium_det (premium_rcv_code,assorted_code, rec_amount,premium_rcv_detail_code,remaining_amt, payrec, mode_code,coinsurance_code,class_cd,it_remarks) values</v>
      </c>
      <c r="G344" s="28" t="str">
        <f t="shared" si="22"/>
        <v>('30Dec240042','070000170766','22800',(select max(to_number(i.premium_rcv_detail_code))+1
from ins_premium_det i),'22800','22800','02', '11000003','00','Request by Mr. Saqib Saleem 31-Dec-2024 Active');</v>
      </c>
      <c r="H344" s="29" t="str">
        <f t="shared" si="23"/>
        <v>insert into ins_premium_det (premium_rcv_code,assorted_code, rec_amount,premium_rcv_detail_code,remaining_amt, payrec, mode_code,coinsurance_code,class_cd,it_remarks) values('30Dec240042','070000170766','22800',(select max(to_number(i.premium_rcv_detail_code))+1
from ins_premium_det i),'22800','22800','02', '11000003','00','Request by Mr. Saqib Saleem 31-Dec-2024 Active');</v>
      </c>
    </row>
    <row r="345" spans="1:8" ht="105" x14ac:dyDescent="0.25">
      <c r="A345" s="12" t="s">
        <v>11722</v>
      </c>
      <c r="B345" s="25" t="str">
        <f>VLOOKUP(A345,policy!B:C,2,0)</f>
        <v>070000170765</v>
      </c>
      <c r="C345" s="13">
        <v>22200</v>
      </c>
      <c r="D345" s="26">
        <f t="shared" si="21"/>
        <v>22200</v>
      </c>
      <c r="E345" s="24" t="s">
        <v>13296</v>
      </c>
      <c r="F345" s="27" t="str">
        <f t="shared" si="20"/>
        <v>insert into ins_premium_det (premium_rcv_code,assorted_code, rec_amount,premium_rcv_detail_code,remaining_amt, payrec, mode_code,coinsurance_code,class_cd,it_remarks) values</v>
      </c>
      <c r="G345" s="28" t="str">
        <f t="shared" si="22"/>
        <v>('30Dec240042','070000170765','22200',(select max(to_number(i.premium_rcv_detail_code))+1
from ins_premium_det i),'22200','22200','02', '11000003','00','Request by Mr. Saqib Saleem 31-Dec-2024 Active');</v>
      </c>
      <c r="H345" s="29" t="str">
        <f t="shared" si="23"/>
        <v>insert into ins_premium_det (premium_rcv_code,assorted_code, rec_amount,premium_rcv_detail_code,remaining_amt, payrec, mode_code,coinsurance_code,class_cd,it_remarks) values('30Dec240042','070000170765','22200',(select max(to_number(i.premium_rcv_detail_code))+1
from ins_premium_det i),'22200','22200','02', '11000003','00','Request by Mr. Saqib Saleem 31-Dec-2024 Active');</v>
      </c>
    </row>
    <row r="346" spans="1:8" ht="105" x14ac:dyDescent="0.25">
      <c r="A346" s="12" t="s">
        <v>11723</v>
      </c>
      <c r="B346" s="25" t="str">
        <f>VLOOKUP(A346,policy!B:C,2,0)</f>
        <v>070000170763</v>
      </c>
      <c r="C346" s="11">
        <v>41520</v>
      </c>
      <c r="D346" s="26">
        <f t="shared" si="21"/>
        <v>41520</v>
      </c>
      <c r="E346" s="24" t="s">
        <v>13296</v>
      </c>
      <c r="F346" s="27" t="str">
        <f t="shared" si="20"/>
        <v>insert into ins_premium_det (premium_rcv_code,assorted_code, rec_amount,premium_rcv_detail_code,remaining_amt, payrec, mode_code,coinsurance_code,class_cd,it_remarks) values</v>
      </c>
      <c r="G346" s="28" t="str">
        <f t="shared" si="22"/>
        <v>('30Dec240042','070000170763','41520',(select max(to_number(i.premium_rcv_detail_code))+1
from ins_premium_det i),'41520','41520','02', '11000003','00','Request by Mr. Saqib Saleem 31-Dec-2024 Active');</v>
      </c>
      <c r="H346" s="29" t="str">
        <f t="shared" si="23"/>
        <v>insert into ins_premium_det (premium_rcv_code,assorted_code, rec_amount,premium_rcv_detail_code,remaining_amt, payrec, mode_code,coinsurance_code,class_cd,it_remarks) values('30Dec240042','070000170763','41520',(select max(to_number(i.premium_rcv_detail_code))+1
from ins_premium_det i),'41520','41520','02', '11000003','00','Request by Mr. Saqib Saleem 31-Dec-2024 Active');</v>
      </c>
    </row>
    <row r="347" spans="1:8" ht="105" x14ac:dyDescent="0.25">
      <c r="A347" s="12" t="s">
        <v>11724</v>
      </c>
      <c r="B347" s="25" t="str">
        <f>VLOOKUP(A347,policy!B:C,2,0)</f>
        <v>070000170762</v>
      </c>
      <c r="C347" s="13">
        <v>29632</v>
      </c>
      <c r="D347" s="26">
        <f t="shared" si="21"/>
        <v>29632</v>
      </c>
      <c r="E347" s="24" t="s">
        <v>13296</v>
      </c>
      <c r="F347" s="27" t="str">
        <f t="shared" si="20"/>
        <v>insert into ins_premium_det (premium_rcv_code,assorted_code, rec_amount,premium_rcv_detail_code,remaining_amt, payrec, mode_code,coinsurance_code,class_cd,it_remarks) values</v>
      </c>
      <c r="G347" s="28" t="str">
        <f t="shared" si="22"/>
        <v>('30Dec240042','070000170762','29632',(select max(to_number(i.premium_rcv_detail_code))+1
from ins_premium_det i),'29632','29632','02', '11000003','00','Request by Mr. Saqib Saleem 31-Dec-2024 Active');</v>
      </c>
      <c r="H347" s="29" t="str">
        <f t="shared" si="23"/>
        <v>insert into ins_premium_det (premium_rcv_code,assorted_code, rec_amount,premium_rcv_detail_code,remaining_amt, payrec, mode_code,coinsurance_code,class_cd,it_remarks) values('30Dec240042','070000170762','29632',(select max(to_number(i.premium_rcv_detail_code))+1
from ins_premium_det i),'29632','29632','02', '11000003','00','Request by Mr. Saqib Saleem 31-Dec-2024 Active');</v>
      </c>
    </row>
    <row r="348" spans="1:8" ht="105" x14ac:dyDescent="0.25">
      <c r="A348" s="12" t="s">
        <v>11725</v>
      </c>
      <c r="B348" s="25" t="str">
        <f>VLOOKUP(A348,policy!B:C,2,0)</f>
        <v>070000170755</v>
      </c>
      <c r="C348" s="11">
        <v>43248</v>
      </c>
      <c r="D348" s="26">
        <f t="shared" si="21"/>
        <v>43248</v>
      </c>
      <c r="E348" s="24" t="s">
        <v>13296</v>
      </c>
      <c r="F348" s="27" t="str">
        <f t="shared" si="20"/>
        <v>insert into ins_premium_det (premium_rcv_code,assorted_code, rec_amount,premium_rcv_detail_code,remaining_amt, payrec, mode_code,coinsurance_code,class_cd,it_remarks) values</v>
      </c>
      <c r="G348" s="28" t="str">
        <f t="shared" si="22"/>
        <v>('30Dec240042','070000170755','43248',(select max(to_number(i.premium_rcv_detail_code))+1
from ins_premium_det i),'43248','43248','02', '11000003','00','Request by Mr. Saqib Saleem 31-Dec-2024 Active');</v>
      </c>
      <c r="H348" s="29" t="str">
        <f t="shared" si="23"/>
        <v>insert into ins_premium_det (premium_rcv_code,assorted_code, rec_amount,premium_rcv_detail_code,remaining_amt, payrec, mode_code,coinsurance_code,class_cd,it_remarks) values('30Dec240042','070000170755','43248',(select max(to_number(i.premium_rcv_detail_code))+1
from ins_premium_det i),'43248','43248','02', '11000003','00','Request by Mr. Saqib Saleem 31-Dec-2024 Active');</v>
      </c>
    </row>
    <row r="349" spans="1:8" ht="105" x14ac:dyDescent="0.25">
      <c r="A349" s="12" t="s">
        <v>11726</v>
      </c>
      <c r="B349" s="25" t="str">
        <f>VLOOKUP(A349,policy!B:C,2,0)</f>
        <v>070000170754</v>
      </c>
      <c r="C349" s="13">
        <v>24960</v>
      </c>
      <c r="D349" s="26">
        <f t="shared" si="21"/>
        <v>24960</v>
      </c>
      <c r="E349" s="24" t="s">
        <v>13296</v>
      </c>
      <c r="F349" s="27" t="str">
        <f t="shared" si="20"/>
        <v>insert into ins_premium_det (premium_rcv_code,assorted_code, rec_amount,premium_rcv_detail_code,remaining_amt, payrec, mode_code,coinsurance_code,class_cd,it_remarks) values</v>
      </c>
      <c r="G349" s="28" t="str">
        <f t="shared" si="22"/>
        <v>('30Dec240042','070000170754','24960',(select max(to_number(i.premium_rcv_detail_code))+1
from ins_premium_det i),'24960','24960','02', '11000003','00','Request by Mr. Saqib Saleem 31-Dec-2024 Active');</v>
      </c>
      <c r="H349" s="29" t="str">
        <f t="shared" si="23"/>
        <v>insert into ins_premium_det (premium_rcv_code,assorted_code, rec_amount,premium_rcv_detail_code,remaining_amt, payrec, mode_code,coinsurance_code,class_cd,it_remarks) values('30Dec240042','070000170754','24960',(select max(to_number(i.premium_rcv_detail_code))+1
from ins_premium_det i),'24960','24960','02', '11000003','00','Request by Mr. Saqib Saleem 31-Dec-2024 Active');</v>
      </c>
    </row>
    <row r="350" spans="1:8" ht="105" x14ac:dyDescent="0.25">
      <c r="A350" s="12" t="s">
        <v>11727</v>
      </c>
      <c r="B350" s="25" t="str">
        <f>VLOOKUP(A350,policy!B:C,2,0)</f>
        <v>070000172189</v>
      </c>
      <c r="C350" s="11">
        <v>68103</v>
      </c>
      <c r="D350" s="26">
        <f t="shared" si="21"/>
        <v>68103</v>
      </c>
      <c r="E350" s="24" t="s">
        <v>13296</v>
      </c>
      <c r="F350" s="27" t="str">
        <f t="shared" si="20"/>
        <v>insert into ins_premium_det (premium_rcv_code,assorted_code, rec_amount,premium_rcv_detail_code,remaining_amt, payrec, mode_code,coinsurance_code,class_cd,it_remarks) values</v>
      </c>
      <c r="G350" s="28" t="str">
        <f t="shared" si="22"/>
        <v>('30Dec240042','070000172189','68103',(select max(to_number(i.premium_rcv_detail_code))+1
from ins_premium_det i),'68103','68103','02', '11000003','00','Request by Mr. Saqib Saleem 31-Dec-2024 Active');</v>
      </c>
      <c r="H350" s="29" t="str">
        <f t="shared" si="23"/>
        <v>insert into ins_premium_det (premium_rcv_code,assorted_code, rec_amount,premium_rcv_detail_code,remaining_amt, payrec, mode_code,coinsurance_code,class_cd,it_remarks) values('30Dec240042','070000172189','68103',(select max(to_number(i.premium_rcv_detail_code))+1
from ins_premium_det i),'68103','68103','02', '11000003','00','Request by Mr. Saqib Saleem 31-Dec-2024 Active');</v>
      </c>
    </row>
    <row r="351" spans="1:8" ht="105" x14ac:dyDescent="0.25">
      <c r="A351" s="12" t="s">
        <v>11728</v>
      </c>
      <c r="B351" s="25" t="str">
        <f>VLOOKUP(A351,policy!B:C,2,0)</f>
        <v>070000170753</v>
      </c>
      <c r="C351" s="13">
        <v>46480</v>
      </c>
      <c r="D351" s="26">
        <f t="shared" si="21"/>
        <v>46480</v>
      </c>
      <c r="E351" s="24" t="s">
        <v>13296</v>
      </c>
      <c r="F351" s="27" t="str">
        <f t="shared" si="20"/>
        <v>insert into ins_premium_det (premium_rcv_code,assorted_code, rec_amount,premium_rcv_detail_code,remaining_amt, payrec, mode_code,coinsurance_code,class_cd,it_remarks) values</v>
      </c>
      <c r="G351" s="28" t="str">
        <f t="shared" si="22"/>
        <v>('30Dec240042','070000170753','46480',(select max(to_number(i.premium_rcv_detail_code))+1
from ins_premium_det i),'46480','46480','02', '11000003','00','Request by Mr. Saqib Saleem 31-Dec-2024 Active');</v>
      </c>
      <c r="H351" s="29" t="str">
        <f t="shared" si="23"/>
        <v>insert into ins_premium_det (premium_rcv_code,assorted_code, rec_amount,premium_rcv_detail_code,remaining_amt, payrec, mode_code,coinsurance_code,class_cd,it_remarks) values('30Dec240042','070000170753','46480',(select max(to_number(i.premium_rcv_detail_code))+1
from ins_premium_det i),'46480','46480','02', '11000003','00','Request by Mr. Saqib Saleem 31-Dec-2024 Active');</v>
      </c>
    </row>
    <row r="352" spans="1:8" ht="105" x14ac:dyDescent="0.25">
      <c r="A352" s="12" t="s">
        <v>11729</v>
      </c>
      <c r="B352" s="25" t="str">
        <f>VLOOKUP(A352,policy!B:C,2,0)</f>
        <v>070000172191</v>
      </c>
      <c r="C352" s="11">
        <v>39375</v>
      </c>
      <c r="D352" s="26">
        <f t="shared" si="21"/>
        <v>39375</v>
      </c>
      <c r="E352" s="24" t="s">
        <v>13296</v>
      </c>
      <c r="F352" s="27" t="str">
        <f t="shared" si="20"/>
        <v>insert into ins_premium_det (premium_rcv_code,assorted_code, rec_amount,premium_rcv_detail_code,remaining_amt, payrec, mode_code,coinsurance_code,class_cd,it_remarks) values</v>
      </c>
      <c r="G352" s="28" t="str">
        <f t="shared" si="22"/>
        <v>('30Dec240042','070000172191','39375',(select max(to_number(i.premium_rcv_detail_code))+1
from ins_premium_det i),'39375','39375','02', '11000003','00','Request by Mr. Saqib Saleem 31-Dec-2024 Active');</v>
      </c>
      <c r="H352" s="29" t="str">
        <f t="shared" si="23"/>
        <v>insert into ins_premium_det (premium_rcv_code,assorted_code, rec_amount,premium_rcv_detail_code,remaining_amt, payrec, mode_code,coinsurance_code,class_cd,it_remarks) values('30Dec240042','070000172191','39375',(select max(to_number(i.premium_rcv_detail_code))+1
from ins_premium_det i),'39375','39375','02', '11000003','00','Request by Mr. Saqib Saleem 31-Dec-2024 Active');</v>
      </c>
    </row>
    <row r="353" spans="1:8" ht="105" x14ac:dyDescent="0.25">
      <c r="A353" s="12" t="s">
        <v>11730</v>
      </c>
      <c r="B353" s="25" t="str">
        <f>VLOOKUP(A353,policy!B:C,2,0)</f>
        <v>070000170752</v>
      </c>
      <c r="C353" s="13">
        <v>42320</v>
      </c>
      <c r="D353" s="26">
        <f t="shared" si="21"/>
        <v>42320</v>
      </c>
      <c r="E353" s="24" t="s">
        <v>13296</v>
      </c>
      <c r="F353" s="27" t="str">
        <f t="shared" si="20"/>
        <v>insert into ins_premium_det (premium_rcv_code,assorted_code, rec_amount,premium_rcv_detail_code,remaining_amt, payrec, mode_code,coinsurance_code,class_cd,it_remarks) values</v>
      </c>
      <c r="G353" s="28" t="str">
        <f t="shared" si="22"/>
        <v>('30Dec240042','070000170752','42320',(select max(to_number(i.premium_rcv_detail_code))+1
from ins_premium_det i),'42320','42320','02', '11000003','00','Request by Mr. Saqib Saleem 31-Dec-2024 Active');</v>
      </c>
      <c r="H353" s="29" t="str">
        <f t="shared" si="23"/>
        <v>insert into ins_premium_det (premium_rcv_code,assorted_code, rec_amount,premium_rcv_detail_code,remaining_amt, payrec, mode_code,coinsurance_code,class_cd,it_remarks) values('30Dec240042','070000170752','42320',(select max(to_number(i.premium_rcv_detail_code))+1
from ins_premium_det i),'42320','42320','02', '11000003','00','Request by Mr. Saqib Saleem 31-Dec-2024 Active');</v>
      </c>
    </row>
    <row r="354" spans="1:8" ht="105" x14ac:dyDescent="0.25">
      <c r="A354" s="12" t="s">
        <v>11731</v>
      </c>
      <c r="B354" s="25" t="str">
        <f>VLOOKUP(A354,policy!B:C,2,0)</f>
        <v>070000170750</v>
      </c>
      <c r="C354" s="11">
        <v>43248</v>
      </c>
      <c r="D354" s="26">
        <f t="shared" si="21"/>
        <v>43248</v>
      </c>
      <c r="E354" s="24" t="s">
        <v>13296</v>
      </c>
      <c r="F354" s="27" t="str">
        <f t="shared" si="20"/>
        <v>insert into ins_premium_det (premium_rcv_code,assorted_code, rec_amount,premium_rcv_detail_code,remaining_amt, payrec, mode_code,coinsurance_code,class_cd,it_remarks) values</v>
      </c>
      <c r="G354" s="28" t="str">
        <f t="shared" si="22"/>
        <v>('30Dec240042','070000170750','43248',(select max(to_number(i.premium_rcv_detail_code))+1
from ins_premium_det i),'43248','43248','02', '11000003','00','Request by Mr. Saqib Saleem 31-Dec-2024 Active');</v>
      </c>
      <c r="H354" s="29" t="str">
        <f t="shared" si="23"/>
        <v>insert into ins_premium_det (premium_rcv_code,assorted_code, rec_amount,premium_rcv_detail_code,remaining_amt, payrec, mode_code,coinsurance_code,class_cd,it_remarks) values('30Dec240042','070000170750','43248',(select max(to_number(i.premium_rcv_detail_code))+1
from ins_premium_det i),'43248','43248','02', '11000003','00','Request by Mr. Saqib Saleem 31-Dec-2024 Active');</v>
      </c>
    </row>
    <row r="355" spans="1:8" ht="105" x14ac:dyDescent="0.25">
      <c r="A355" s="12" t="s">
        <v>11732</v>
      </c>
      <c r="B355" s="25" t="str">
        <f>VLOOKUP(A355,policy!B:C,2,0)</f>
        <v>070000170749</v>
      </c>
      <c r="C355" s="13">
        <v>62448</v>
      </c>
      <c r="D355" s="26">
        <f t="shared" si="21"/>
        <v>62448</v>
      </c>
      <c r="E355" s="24" t="s">
        <v>13296</v>
      </c>
      <c r="F355" s="27" t="str">
        <f t="shared" si="20"/>
        <v>insert into ins_premium_det (premium_rcv_code,assorted_code, rec_amount,premium_rcv_detail_code,remaining_amt, payrec, mode_code,coinsurance_code,class_cd,it_remarks) values</v>
      </c>
      <c r="G355" s="28" t="str">
        <f t="shared" si="22"/>
        <v>('30Dec240042','070000170749','62448',(select max(to_number(i.premium_rcv_detail_code))+1
from ins_premium_det i),'62448','62448','02', '11000003','00','Request by Mr. Saqib Saleem 31-Dec-2024 Active');</v>
      </c>
      <c r="H355" s="29" t="str">
        <f t="shared" si="23"/>
        <v>insert into ins_premium_det (premium_rcv_code,assorted_code, rec_amount,premium_rcv_detail_code,remaining_amt, payrec, mode_code,coinsurance_code,class_cd,it_remarks) values('30Dec240042','070000170749','62448',(select max(to_number(i.premium_rcv_detail_code))+1
from ins_premium_det i),'62448','62448','02', '11000003','00','Request by Mr. Saqib Saleem 31-Dec-2024 Active');</v>
      </c>
    </row>
    <row r="356" spans="1:8" ht="105" x14ac:dyDescent="0.25">
      <c r="A356" s="12" t="s">
        <v>11733</v>
      </c>
      <c r="B356" s="25" t="str">
        <f>VLOOKUP(A356,policy!B:C,2,0)</f>
        <v>070000170748</v>
      </c>
      <c r="C356" s="11">
        <v>64384</v>
      </c>
      <c r="D356" s="26">
        <f t="shared" si="21"/>
        <v>64384</v>
      </c>
      <c r="E356" s="24" t="s">
        <v>13296</v>
      </c>
      <c r="F356" s="27" t="str">
        <f t="shared" si="20"/>
        <v>insert into ins_premium_det (premium_rcv_code,assorted_code, rec_amount,premium_rcv_detail_code,remaining_amt, payrec, mode_code,coinsurance_code,class_cd,it_remarks) values</v>
      </c>
      <c r="G356" s="28" t="str">
        <f t="shared" si="22"/>
        <v>('30Dec240042','070000170748','64384',(select max(to_number(i.premium_rcv_detail_code))+1
from ins_premium_det i),'64384','64384','02', '11000003','00','Request by Mr. Saqib Saleem 31-Dec-2024 Active');</v>
      </c>
      <c r="H356" s="29" t="str">
        <f t="shared" si="23"/>
        <v>insert into ins_premium_det (premium_rcv_code,assorted_code, rec_amount,premium_rcv_detail_code,remaining_amt, payrec, mode_code,coinsurance_code,class_cd,it_remarks) values('30Dec240042','070000170748','64384',(select max(to_number(i.premium_rcv_detail_code))+1
from ins_premium_det i),'64384','64384','02', '11000003','00','Request by Mr. Saqib Saleem 31-Dec-2024 Active');</v>
      </c>
    </row>
    <row r="357" spans="1:8" ht="105" x14ac:dyDescent="0.25">
      <c r="A357" s="12" t="s">
        <v>11734</v>
      </c>
      <c r="B357" s="25" t="str">
        <f>VLOOKUP(A357,policy!B:C,2,0)</f>
        <v>070000170747</v>
      </c>
      <c r="C357" s="13">
        <v>64384</v>
      </c>
      <c r="D357" s="26">
        <f t="shared" si="21"/>
        <v>64384</v>
      </c>
      <c r="E357" s="24" t="s">
        <v>13296</v>
      </c>
      <c r="F357" s="27" t="str">
        <f t="shared" si="20"/>
        <v>insert into ins_premium_det (premium_rcv_code,assorted_code, rec_amount,premium_rcv_detail_code,remaining_amt, payrec, mode_code,coinsurance_code,class_cd,it_remarks) values</v>
      </c>
      <c r="G357" s="28" t="str">
        <f t="shared" si="22"/>
        <v>('30Dec240042','070000170747','64384',(select max(to_number(i.premium_rcv_detail_code))+1
from ins_premium_det i),'64384','64384','02', '11000003','00','Request by Mr. Saqib Saleem 31-Dec-2024 Active');</v>
      </c>
      <c r="H357" s="29" t="str">
        <f t="shared" si="23"/>
        <v>insert into ins_premium_det (premium_rcv_code,assorted_code, rec_amount,premium_rcv_detail_code,remaining_amt, payrec, mode_code,coinsurance_code,class_cd,it_remarks) values('30Dec240042','070000170747','64384',(select max(to_number(i.premium_rcv_detail_code))+1
from ins_premium_det i),'64384','64384','02', '11000003','00','Request by Mr. Saqib Saleem 31-Dec-2024 Active');</v>
      </c>
    </row>
    <row r="358" spans="1:8" ht="105" x14ac:dyDescent="0.25">
      <c r="A358" s="12" t="s">
        <v>11735</v>
      </c>
      <c r="B358" s="25" t="str">
        <f>VLOOKUP(A358,policy!B:C,2,0)</f>
        <v>070000170744</v>
      </c>
      <c r="C358" s="11">
        <v>15960</v>
      </c>
      <c r="D358" s="26">
        <f t="shared" si="21"/>
        <v>15960</v>
      </c>
      <c r="E358" s="24" t="s">
        <v>13296</v>
      </c>
      <c r="F358" s="27" t="str">
        <f t="shared" si="20"/>
        <v>insert into ins_premium_det (premium_rcv_code,assorted_code, rec_amount,premium_rcv_detail_code,remaining_amt, payrec, mode_code,coinsurance_code,class_cd,it_remarks) values</v>
      </c>
      <c r="G358" s="28" t="str">
        <f t="shared" si="22"/>
        <v>('30Dec240042','070000170744','15960',(select max(to_number(i.premium_rcv_detail_code))+1
from ins_premium_det i),'15960','15960','02', '11000003','00','Request by Mr. Saqib Saleem 31-Dec-2024 Active');</v>
      </c>
      <c r="H358" s="29" t="str">
        <f t="shared" si="23"/>
        <v>insert into ins_premium_det (premium_rcv_code,assorted_code, rec_amount,premium_rcv_detail_code,remaining_amt, payrec, mode_code,coinsurance_code,class_cd,it_remarks) values('30Dec240042','070000170744','15960',(select max(to_number(i.premium_rcv_detail_code))+1
from ins_premium_det i),'15960','15960','02', '11000003','00','Request by Mr. Saqib Saleem 31-Dec-2024 Active');</v>
      </c>
    </row>
    <row r="359" spans="1:8" ht="105" x14ac:dyDescent="0.25">
      <c r="A359" s="12" t="s">
        <v>11736</v>
      </c>
      <c r="B359" s="25" t="str">
        <f>VLOOKUP(A359,policy!B:C,2,0)</f>
        <v>070000172197</v>
      </c>
      <c r="C359" s="13">
        <v>36000</v>
      </c>
      <c r="D359" s="26">
        <f t="shared" si="21"/>
        <v>36000</v>
      </c>
      <c r="E359" s="24" t="s">
        <v>13296</v>
      </c>
      <c r="F359" s="27" t="str">
        <f t="shared" si="20"/>
        <v>insert into ins_premium_det (premium_rcv_code,assorted_code, rec_amount,premium_rcv_detail_code,remaining_amt, payrec, mode_code,coinsurance_code,class_cd,it_remarks) values</v>
      </c>
      <c r="G359" s="28" t="str">
        <f t="shared" si="22"/>
        <v>('30Dec240042','070000172197','36000',(select max(to_number(i.premium_rcv_detail_code))+1
from ins_premium_det i),'36000','36000','02', '11000003','00','Request by Mr. Saqib Saleem 31-Dec-2024 Active');</v>
      </c>
      <c r="H359" s="29" t="str">
        <f t="shared" si="23"/>
        <v>insert into ins_premium_det (premium_rcv_code,assorted_code, rec_amount,premium_rcv_detail_code,remaining_amt, payrec, mode_code,coinsurance_code,class_cd,it_remarks) values('30Dec240042','070000172197','36000',(select max(to_number(i.premium_rcv_detail_code))+1
from ins_premium_det i),'36000','36000','02', '11000003','00','Request by Mr. Saqib Saleem 31-Dec-2024 Active');</v>
      </c>
    </row>
    <row r="360" spans="1:8" ht="105" x14ac:dyDescent="0.25">
      <c r="A360" s="12" t="s">
        <v>11737</v>
      </c>
      <c r="B360" s="25" t="str">
        <f>VLOOKUP(A360,policy!B:C,2,0)</f>
        <v>070000172205</v>
      </c>
      <c r="C360" s="11">
        <v>46908</v>
      </c>
      <c r="D360" s="26">
        <f t="shared" si="21"/>
        <v>46908</v>
      </c>
      <c r="E360" s="24" t="s">
        <v>13296</v>
      </c>
      <c r="F360" s="27" t="str">
        <f t="shared" si="20"/>
        <v>insert into ins_premium_det (premium_rcv_code,assorted_code, rec_amount,premium_rcv_detail_code,remaining_amt, payrec, mode_code,coinsurance_code,class_cd,it_remarks) values</v>
      </c>
      <c r="G360" s="28" t="str">
        <f t="shared" si="22"/>
        <v>('30Dec240042','070000172205','46908',(select max(to_number(i.premium_rcv_detail_code))+1
from ins_premium_det i),'46908','46908','02', '11000003','00','Request by Mr. Saqib Saleem 31-Dec-2024 Active');</v>
      </c>
      <c r="H360" s="29" t="str">
        <f t="shared" si="23"/>
        <v>insert into ins_premium_det (premium_rcv_code,assorted_code, rec_amount,premium_rcv_detail_code,remaining_amt, payrec, mode_code,coinsurance_code,class_cd,it_remarks) values('30Dec240042','070000172205','46908',(select max(to_number(i.premium_rcv_detail_code))+1
from ins_premium_det i),'46908','46908','02', '11000003','00','Request by Mr. Saqib Saleem 31-Dec-2024 Active');</v>
      </c>
    </row>
    <row r="361" spans="1:8" ht="105" x14ac:dyDescent="0.25">
      <c r="A361" s="12" t="s">
        <v>11738</v>
      </c>
      <c r="B361" s="25" t="str">
        <f>VLOOKUP(A361,policy!B:C,2,0)</f>
        <v>070000170743</v>
      </c>
      <c r="C361" s="13">
        <v>30494</v>
      </c>
      <c r="D361" s="26">
        <f t="shared" si="21"/>
        <v>30494</v>
      </c>
      <c r="E361" s="24" t="s">
        <v>13296</v>
      </c>
      <c r="F361" s="27" t="str">
        <f t="shared" si="20"/>
        <v>insert into ins_premium_det (premium_rcv_code,assorted_code, rec_amount,premium_rcv_detail_code,remaining_amt, payrec, mode_code,coinsurance_code,class_cd,it_remarks) values</v>
      </c>
      <c r="G361" s="28" t="str">
        <f t="shared" si="22"/>
        <v>('30Dec240042','070000170743','30494',(select max(to_number(i.premium_rcv_detail_code))+1
from ins_premium_det i),'30494','30494','02', '11000003','00','Request by Mr. Saqib Saleem 31-Dec-2024 Active');</v>
      </c>
      <c r="H361" s="29" t="str">
        <f t="shared" si="23"/>
        <v>insert into ins_premium_det (premium_rcv_code,assorted_code, rec_amount,premium_rcv_detail_code,remaining_amt, payrec, mode_code,coinsurance_code,class_cd,it_remarks) values('30Dec240042','070000170743','30494',(select max(to_number(i.premium_rcv_detail_code))+1
from ins_premium_det i),'30494','30494','02', '11000003','00','Request by Mr. Saqib Saleem 31-Dec-2024 Active');</v>
      </c>
    </row>
    <row r="362" spans="1:8" ht="105" x14ac:dyDescent="0.25">
      <c r="A362" s="12" t="s">
        <v>11739</v>
      </c>
      <c r="B362" s="25" t="str">
        <f>VLOOKUP(A362,policy!B:C,2,0)</f>
        <v>070000172208</v>
      </c>
      <c r="C362" s="11">
        <v>30000</v>
      </c>
      <c r="D362" s="26">
        <f t="shared" si="21"/>
        <v>30000</v>
      </c>
      <c r="E362" s="24" t="s">
        <v>13296</v>
      </c>
      <c r="F362" s="27" t="str">
        <f t="shared" si="20"/>
        <v>insert into ins_premium_det (premium_rcv_code,assorted_code, rec_amount,premium_rcv_detail_code,remaining_amt, payrec, mode_code,coinsurance_code,class_cd,it_remarks) values</v>
      </c>
      <c r="G362" s="28" t="str">
        <f t="shared" si="22"/>
        <v>('30Dec240042','070000172208','30000',(select max(to_number(i.premium_rcv_detail_code))+1
from ins_premium_det i),'30000','30000','02', '11000003','00','Request by Mr. Saqib Saleem 31-Dec-2024 Active');</v>
      </c>
      <c r="H362" s="29" t="str">
        <f t="shared" si="23"/>
        <v>insert into ins_premium_det (premium_rcv_code,assorted_code, rec_amount,premium_rcv_detail_code,remaining_amt, payrec, mode_code,coinsurance_code,class_cd,it_remarks) values('30Dec240042','070000172208','30000',(select max(to_number(i.premium_rcv_detail_code))+1
from ins_premium_det i),'30000','30000','02', '11000003','00','Request by Mr. Saqib Saleem 31-Dec-2024 Active');</v>
      </c>
    </row>
    <row r="363" spans="1:8" ht="105" x14ac:dyDescent="0.25">
      <c r="A363" s="12" t="s">
        <v>11740</v>
      </c>
      <c r="B363" s="25" t="str">
        <f>VLOOKUP(A363,policy!B:C,2,0)</f>
        <v>070000172209</v>
      </c>
      <c r="C363" s="13">
        <v>27420</v>
      </c>
      <c r="D363" s="26">
        <f t="shared" si="21"/>
        <v>27420</v>
      </c>
      <c r="E363" s="24" t="s">
        <v>13296</v>
      </c>
      <c r="F363" s="27" t="str">
        <f t="shared" si="20"/>
        <v>insert into ins_premium_det (premium_rcv_code,assorted_code, rec_amount,premium_rcv_detail_code,remaining_amt, payrec, mode_code,coinsurance_code,class_cd,it_remarks) values</v>
      </c>
      <c r="G363" s="28" t="str">
        <f t="shared" si="22"/>
        <v>('30Dec240042','070000172209','27420',(select max(to_number(i.premium_rcv_detail_code))+1
from ins_premium_det i),'27420','27420','02', '11000003','00','Request by Mr. Saqib Saleem 31-Dec-2024 Active');</v>
      </c>
      <c r="H363" s="29" t="str">
        <f t="shared" si="23"/>
        <v>insert into ins_premium_det (premium_rcv_code,assorted_code, rec_amount,premium_rcv_detail_code,remaining_amt, payrec, mode_code,coinsurance_code,class_cd,it_remarks) values('30Dec240042','070000172209','27420',(select max(to_number(i.premium_rcv_detail_code))+1
from ins_premium_det i),'27420','27420','02', '11000003','00','Request by Mr. Saqib Saleem 31-Dec-2024 Active');</v>
      </c>
    </row>
    <row r="364" spans="1:8" ht="105" x14ac:dyDescent="0.25">
      <c r="A364" s="12" t="s">
        <v>11741</v>
      </c>
      <c r="B364" s="25" t="str">
        <f>VLOOKUP(A364,policy!B:C,2,0)</f>
        <v>070000172210</v>
      </c>
      <c r="C364" s="11">
        <v>33680</v>
      </c>
      <c r="D364" s="26">
        <f t="shared" si="21"/>
        <v>33680</v>
      </c>
      <c r="E364" s="24" t="s">
        <v>13296</v>
      </c>
      <c r="F364" s="27" t="str">
        <f t="shared" si="20"/>
        <v>insert into ins_premium_det (premium_rcv_code,assorted_code, rec_amount,premium_rcv_detail_code,remaining_amt, payrec, mode_code,coinsurance_code,class_cd,it_remarks) values</v>
      </c>
      <c r="G364" s="28" t="str">
        <f t="shared" si="22"/>
        <v>('30Dec240042','070000172210','33680',(select max(to_number(i.premium_rcv_detail_code))+1
from ins_premium_det i),'33680','33680','02', '11000003','00','Request by Mr. Saqib Saleem 31-Dec-2024 Active');</v>
      </c>
      <c r="H364" s="29" t="str">
        <f t="shared" si="23"/>
        <v>insert into ins_premium_det (premium_rcv_code,assorted_code, rec_amount,premium_rcv_detail_code,remaining_amt, payrec, mode_code,coinsurance_code,class_cd,it_remarks) values('30Dec240042','070000172210','33680',(select max(to_number(i.premium_rcv_detail_code))+1
from ins_premium_det i),'33680','33680','02', '11000003','00','Request by Mr. Saqib Saleem 31-Dec-2024 Active');</v>
      </c>
    </row>
    <row r="365" spans="1:8" ht="105" x14ac:dyDescent="0.25">
      <c r="A365" s="12" t="s">
        <v>11742</v>
      </c>
      <c r="B365" s="25" t="str">
        <f>VLOOKUP(A365,policy!B:C,2,0)</f>
        <v>070000170738</v>
      </c>
      <c r="C365" s="13">
        <v>26031</v>
      </c>
      <c r="D365" s="26">
        <f t="shared" si="21"/>
        <v>26031</v>
      </c>
      <c r="E365" s="24" t="s">
        <v>13296</v>
      </c>
      <c r="F365" s="27" t="str">
        <f t="shared" si="20"/>
        <v>insert into ins_premium_det (premium_rcv_code,assorted_code, rec_amount,premium_rcv_detail_code,remaining_amt, payrec, mode_code,coinsurance_code,class_cd,it_remarks) values</v>
      </c>
      <c r="G365" s="28" t="str">
        <f t="shared" si="22"/>
        <v>('30Dec240042','070000170738','26031',(select max(to_number(i.premium_rcv_detail_code))+1
from ins_premium_det i),'26031','26031','02', '11000003','00','Request by Mr. Saqib Saleem 31-Dec-2024 Active');</v>
      </c>
      <c r="H365" s="29" t="str">
        <f t="shared" si="23"/>
        <v>insert into ins_premium_det (premium_rcv_code,assorted_code, rec_amount,premium_rcv_detail_code,remaining_amt, payrec, mode_code,coinsurance_code,class_cd,it_remarks) values('30Dec240042','070000170738','26031',(select max(to_number(i.premium_rcv_detail_code))+1
from ins_premium_det i),'26031','26031','02', '11000003','00','Request by Mr. Saqib Saleem 31-Dec-2024 Active');</v>
      </c>
    </row>
    <row r="366" spans="1:8" ht="105" x14ac:dyDescent="0.25">
      <c r="A366" s="12" t="s">
        <v>11743</v>
      </c>
      <c r="B366" s="25" t="str">
        <f>VLOOKUP(A366,policy!B:C,2,0)</f>
        <v>070000172215</v>
      </c>
      <c r="C366" s="11">
        <v>25200</v>
      </c>
      <c r="D366" s="26">
        <f t="shared" si="21"/>
        <v>25200</v>
      </c>
      <c r="E366" s="24" t="s">
        <v>13296</v>
      </c>
      <c r="F366" s="27" t="str">
        <f t="shared" si="20"/>
        <v>insert into ins_premium_det (premium_rcv_code,assorted_code, rec_amount,premium_rcv_detail_code,remaining_amt, payrec, mode_code,coinsurance_code,class_cd,it_remarks) values</v>
      </c>
      <c r="G366" s="28" t="str">
        <f t="shared" si="22"/>
        <v>('30Dec240042','070000172215','25200',(select max(to_number(i.premium_rcv_detail_code))+1
from ins_premium_det i),'25200','25200','02', '11000003','00','Request by Mr. Saqib Saleem 31-Dec-2024 Active');</v>
      </c>
      <c r="H366" s="29" t="str">
        <f t="shared" si="23"/>
        <v>insert into ins_premium_det (premium_rcv_code,assorted_code, rec_amount,premium_rcv_detail_code,remaining_amt, payrec, mode_code,coinsurance_code,class_cd,it_remarks) values('30Dec240042','070000172215','25200',(select max(to_number(i.premium_rcv_detail_code))+1
from ins_premium_det i),'25200','25200','02', '11000003','00','Request by Mr. Saqib Saleem 31-Dec-2024 Active');</v>
      </c>
    </row>
    <row r="367" spans="1:8" ht="105" x14ac:dyDescent="0.25">
      <c r="A367" s="12" t="s">
        <v>11744</v>
      </c>
      <c r="B367" s="25" t="str">
        <f>VLOOKUP(A367,policy!B:C,2,0)</f>
        <v>070000172218</v>
      </c>
      <c r="C367" s="13">
        <v>20400</v>
      </c>
      <c r="D367" s="26">
        <f t="shared" si="21"/>
        <v>20400</v>
      </c>
      <c r="E367" s="24" t="s">
        <v>13296</v>
      </c>
      <c r="F367" s="27" t="str">
        <f t="shared" si="20"/>
        <v>insert into ins_premium_det (premium_rcv_code,assorted_code, rec_amount,premium_rcv_detail_code,remaining_amt, payrec, mode_code,coinsurance_code,class_cd,it_remarks) values</v>
      </c>
      <c r="G367" s="28" t="str">
        <f t="shared" si="22"/>
        <v>('30Dec240042','070000172218','20400',(select max(to_number(i.premium_rcv_detail_code))+1
from ins_premium_det i),'20400','20400','02', '11000003','00','Request by Mr. Saqib Saleem 31-Dec-2024 Active');</v>
      </c>
      <c r="H367" s="29" t="str">
        <f t="shared" si="23"/>
        <v>insert into ins_premium_det (premium_rcv_code,assorted_code, rec_amount,premium_rcv_detail_code,remaining_amt, payrec, mode_code,coinsurance_code,class_cd,it_remarks) values('30Dec240042','070000172218','20400',(select max(to_number(i.premium_rcv_detail_code))+1
from ins_premium_det i),'20400','20400','02', '11000003','00','Request by Mr. Saqib Saleem 31-Dec-2024 Active');</v>
      </c>
    </row>
    <row r="368" spans="1:8" ht="105" x14ac:dyDescent="0.25">
      <c r="A368" s="12" t="s">
        <v>11745</v>
      </c>
      <c r="B368" s="25" t="str">
        <f>VLOOKUP(A368,policy!B:C,2,0)</f>
        <v>070000172219</v>
      </c>
      <c r="C368" s="11">
        <v>20040</v>
      </c>
      <c r="D368" s="26">
        <f t="shared" si="21"/>
        <v>20040</v>
      </c>
      <c r="E368" s="24" t="s">
        <v>13296</v>
      </c>
      <c r="F368" s="27" t="str">
        <f t="shared" si="20"/>
        <v>insert into ins_premium_det (premium_rcv_code,assorted_code, rec_amount,premium_rcv_detail_code,remaining_amt, payrec, mode_code,coinsurance_code,class_cd,it_remarks) values</v>
      </c>
      <c r="G368" s="28" t="str">
        <f t="shared" si="22"/>
        <v>('30Dec240042','070000172219','20040',(select max(to_number(i.premium_rcv_detail_code))+1
from ins_premium_det i),'20040','20040','02', '11000003','00','Request by Mr. Saqib Saleem 31-Dec-2024 Active');</v>
      </c>
      <c r="H368" s="29" t="str">
        <f t="shared" si="23"/>
        <v>insert into ins_premium_det (premium_rcv_code,assorted_code, rec_amount,premium_rcv_detail_code,remaining_amt, payrec, mode_code,coinsurance_code,class_cd,it_remarks) values('30Dec240042','070000172219','20040',(select max(to_number(i.premium_rcv_detail_code))+1
from ins_premium_det i),'20040','20040','02', '11000003','00','Request by Mr. Saqib Saleem 31-Dec-2024 Active');</v>
      </c>
    </row>
    <row r="369" spans="1:8" ht="105" x14ac:dyDescent="0.25">
      <c r="A369" s="12" t="s">
        <v>11746</v>
      </c>
      <c r="B369" s="25" t="str">
        <f>VLOOKUP(A369,policy!B:C,2,0)</f>
        <v>070000172223</v>
      </c>
      <c r="C369" s="13">
        <v>22500</v>
      </c>
      <c r="D369" s="26">
        <f t="shared" si="21"/>
        <v>22500</v>
      </c>
      <c r="E369" s="24" t="s">
        <v>13296</v>
      </c>
      <c r="F369" s="27" t="str">
        <f t="shared" si="20"/>
        <v>insert into ins_premium_det (premium_rcv_code,assorted_code, rec_amount,premium_rcv_detail_code,remaining_amt, payrec, mode_code,coinsurance_code,class_cd,it_remarks) values</v>
      </c>
      <c r="G369" s="28" t="str">
        <f t="shared" si="22"/>
        <v>('30Dec240042','070000172223','22500',(select max(to_number(i.premium_rcv_detail_code))+1
from ins_premium_det i),'22500','22500','02', '11000003','00','Request by Mr. Saqib Saleem 31-Dec-2024 Active');</v>
      </c>
      <c r="H369" s="29" t="str">
        <f t="shared" si="23"/>
        <v>insert into ins_premium_det (premium_rcv_code,assorted_code, rec_amount,premium_rcv_detail_code,remaining_amt, payrec, mode_code,coinsurance_code,class_cd,it_remarks) values('30Dec240042','070000172223','22500',(select max(to_number(i.premium_rcv_detail_code))+1
from ins_premium_det i),'22500','22500','02', '11000003','00','Request by Mr. Saqib Saleem 31-Dec-2024 Active');</v>
      </c>
    </row>
    <row r="370" spans="1:8" ht="105" x14ac:dyDescent="0.25">
      <c r="A370" s="12" t="s">
        <v>11747</v>
      </c>
      <c r="B370" s="25" t="str">
        <f>VLOOKUP(A370,policy!B:C,2,0)</f>
        <v>070000172226</v>
      </c>
      <c r="C370" s="11">
        <v>78120</v>
      </c>
      <c r="D370" s="26">
        <f t="shared" si="21"/>
        <v>78120</v>
      </c>
      <c r="E370" s="24" t="s">
        <v>13296</v>
      </c>
      <c r="F370" s="27" t="str">
        <f t="shared" si="20"/>
        <v>insert into ins_premium_det (premium_rcv_code,assorted_code, rec_amount,premium_rcv_detail_code,remaining_amt, payrec, mode_code,coinsurance_code,class_cd,it_remarks) values</v>
      </c>
      <c r="G370" s="28" t="str">
        <f t="shared" si="22"/>
        <v>('30Dec240042','070000172226','78120',(select max(to_number(i.premium_rcv_detail_code))+1
from ins_premium_det i),'78120','78120','02', '11000003','00','Request by Mr. Saqib Saleem 31-Dec-2024 Active');</v>
      </c>
      <c r="H370" s="29" t="str">
        <f t="shared" si="23"/>
        <v>insert into ins_premium_det (premium_rcv_code,assorted_code, rec_amount,premium_rcv_detail_code,remaining_amt, payrec, mode_code,coinsurance_code,class_cd,it_remarks) values('30Dec240042','070000172226','78120',(select max(to_number(i.premium_rcv_detail_code))+1
from ins_premium_det i),'78120','78120','02', '11000003','00','Request by Mr. Saqib Saleem 31-Dec-2024 Active');</v>
      </c>
    </row>
    <row r="371" spans="1:8" ht="105" x14ac:dyDescent="0.25">
      <c r="A371" s="12" t="s">
        <v>11748</v>
      </c>
      <c r="B371" s="25" t="str">
        <f>VLOOKUP(A371,policy!B:C,2,0)</f>
        <v>070000172228</v>
      </c>
      <c r="C371" s="13">
        <v>48825</v>
      </c>
      <c r="D371" s="26">
        <f t="shared" si="21"/>
        <v>48825</v>
      </c>
      <c r="E371" s="24" t="s">
        <v>13296</v>
      </c>
      <c r="F371" s="27" t="str">
        <f t="shared" si="20"/>
        <v>insert into ins_premium_det (premium_rcv_code,assorted_code, rec_amount,premium_rcv_detail_code,remaining_amt, payrec, mode_code,coinsurance_code,class_cd,it_remarks) values</v>
      </c>
      <c r="G371" s="28" t="str">
        <f t="shared" si="22"/>
        <v>('30Dec240042','070000172228','48825',(select max(to_number(i.premium_rcv_detail_code))+1
from ins_premium_det i),'48825','48825','02', '11000003','00','Request by Mr. Saqib Saleem 31-Dec-2024 Active');</v>
      </c>
      <c r="H371" s="29" t="str">
        <f t="shared" si="23"/>
        <v>insert into ins_premium_det (premium_rcv_code,assorted_code, rec_amount,premium_rcv_detail_code,remaining_amt, payrec, mode_code,coinsurance_code,class_cd,it_remarks) values('30Dec240042','070000172228','48825',(select max(to_number(i.premium_rcv_detail_code))+1
from ins_premium_det i),'48825','48825','02', '11000003','00','Request by Mr. Saqib Saleem 31-Dec-2024 Active');</v>
      </c>
    </row>
    <row r="372" spans="1:8" ht="105" x14ac:dyDescent="0.25">
      <c r="A372" s="12" t="s">
        <v>11749</v>
      </c>
      <c r="B372" s="25" t="str">
        <f>VLOOKUP(A372,policy!B:C,2,0)</f>
        <v>070000172231</v>
      </c>
      <c r="C372" s="11">
        <v>77648</v>
      </c>
      <c r="D372" s="26">
        <f t="shared" si="21"/>
        <v>77648</v>
      </c>
      <c r="E372" s="24" t="s">
        <v>13296</v>
      </c>
      <c r="F372" s="27" t="str">
        <f t="shared" si="20"/>
        <v>insert into ins_premium_det (premium_rcv_code,assorted_code, rec_amount,premium_rcv_detail_code,remaining_amt, payrec, mode_code,coinsurance_code,class_cd,it_remarks) values</v>
      </c>
      <c r="G372" s="28" t="str">
        <f t="shared" si="22"/>
        <v>('30Dec240042','070000172231','77648',(select max(to_number(i.premium_rcv_detail_code))+1
from ins_premium_det i),'77648','77648','02', '11000003','00','Request by Mr. Saqib Saleem 31-Dec-2024 Active');</v>
      </c>
      <c r="H372" s="29" t="str">
        <f t="shared" si="23"/>
        <v>insert into ins_premium_det (premium_rcv_code,assorted_code, rec_amount,premium_rcv_detail_code,remaining_amt, payrec, mode_code,coinsurance_code,class_cd,it_remarks) values('30Dec240042','070000172231','77648',(select max(to_number(i.premium_rcv_detail_code))+1
from ins_premium_det i),'77648','77648','02', '11000003','00','Request by Mr. Saqib Saleem 31-Dec-2024 Active');</v>
      </c>
    </row>
    <row r="373" spans="1:8" ht="105" x14ac:dyDescent="0.25">
      <c r="A373" s="12" t="s">
        <v>11750</v>
      </c>
      <c r="B373" s="25" t="str">
        <f>VLOOKUP(A373,policy!B:C,2,0)</f>
        <v>070000172232</v>
      </c>
      <c r="C373" s="13">
        <v>43200</v>
      </c>
      <c r="D373" s="26">
        <f t="shared" si="21"/>
        <v>43200</v>
      </c>
      <c r="E373" s="24" t="s">
        <v>13296</v>
      </c>
      <c r="F373" s="27" t="str">
        <f t="shared" si="20"/>
        <v>insert into ins_premium_det (premium_rcv_code,assorted_code, rec_amount,premium_rcv_detail_code,remaining_amt, payrec, mode_code,coinsurance_code,class_cd,it_remarks) values</v>
      </c>
      <c r="G373" s="28" t="str">
        <f t="shared" si="22"/>
        <v>('30Dec240042','070000172232','43200',(select max(to_number(i.premium_rcv_detail_code))+1
from ins_premium_det i),'43200','43200','02', '11000003','00','Request by Mr. Saqib Saleem 31-Dec-2024 Active');</v>
      </c>
      <c r="H373" s="29" t="str">
        <f t="shared" si="23"/>
        <v>insert into ins_premium_det (premium_rcv_code,assorted_code, rec_amount,premium_rcv_detail_code,remaining_amt, payrec, mode_code,coinsurance_code,class_cd,it_remarks) values('30Dec240042','070000172232','43200',(select max(to_number(i.premium_rcv_detail_code))+1
from ins_premium_det i),'43200','43200','02', '11000003','00','Request by Mr. Saqib Saleem 31-Dec-2024 Active');</v>
      </c>
    </row>
    <row r="374" spans="1:8" ht="105" x14ac:dyDescent="0.25">
      <c r="A374" s="12" t="s">
        <v>11751</v>
      </c>
      <c r="B374" s="25" t="str">
        <f>VLOOKUP(A374,policy!B:C,2,0)</f>
        <v>070000172233</v>
      </c>
      <c r="C374" s="11">
        <v>40800</v>
      </c>
      <c r="D374" s="26">
        <f t="shared" si="21"/>
        <v>40800</v>
      </c>
      <c r="E374" s="24" t="s">
        <v>13296</v>
      </c>
      <c r="F374" s="27" t="str">
        <f t="shared" si="20"/>
        <v>insert into ins_premium_det (premium_rcv_code,assorted_code, rec_amount,premium_rcv_detail_code,remaining_amt, payrec, mode_code,coinsurance_code,class_cd,it_remarks) values</v>
      </c>
      <c r="G374" s="28" t="str">
        <f t="shared" si="22"/>
        <v>('30Dec240042','070000172233','40800',(select max(to_number(i.premium_rcv_detail_code))+1
from ins_premium_det i),'40800','40800','02', '11000003','00','Request by Mr. Saqib Saleem 31-Dec-2024 Active');</v>
      </c>
      <c r="H374" s="29" t="str">
        <f t="shared" si="23"/>
        <v>insert into ins_premium_det (premium_rcv_code,assorted_code, rec_amount,premium_rcv_detail_code,remaining_amt, payrec, mode_code,coinsurance_code,class_cd,it_remarks) values('30Dec240042','070000172233','40800',(select max(to_number(i.premium_rcv_detail_code))+1
from ins_premium_det i),'40800','40800','02', '11000003','00','Request by Mr. Saqib Saleem 31-Dec-2024 Active');</v>
      </c>
    </row>
    <row r="375" spans="1:8" ht="105" x14ac:dyDescent="0.25">
      <c r="A375" s="12" t="s">
        <v>11752</v>
      </c>
      <c r="B375" s="25" t="str">
        <f>VLOOKUP(A375,policy!B:C,2,0)</f>
        <v>070000172240</v>
      </c>
      <c r="C375" s="13">
        <v>28200</v>
      </c>
      <c r="D375" s="26">
        <f t="shared" si="21"/>
        <v>28200</v>
      </c>
      <c r="E375" s="24" t="s">
        <v>13296</v>
      </c>
      <c r="F375" s="27" t="str">
        <f t="shared" si="20"/>
        <v>insert into ins_premium_det (premium_rcv_code,assorted_code, rec_amount,premium_rcv_detail_code,remaining_amt, payrec, mode_code,coinsurance_code,class_cd,it_remarks) values</v>
      </c>
      <c r="G375" s="28" t="str">
        <f t="shared" si="22"/>
        <v>('30Dec240042','070000172240','28200',(select max(to_number(i.premium_rcv_detail_code))+1
from ins_premium_det i),'28200','28200','02', '11000003','00','Request by Mr. Saqib Saleem 31-Dec-2024 Active');</v>
      </c>
      <c r="H375" s="29" t="str">
        <f t="shared" si="23"/>
        <v>insert into ins_premium_det (premium_rcv_code,assorted_code, rec_amount,premium_rcv_detail_code,remaining_amt, payrec, mode_code,coinsurance_code,class_cd,it_remarks) values('30Dec240042','070000172240','28200',(select max(to_number(i.premium_rcv_detail_code))+1
from ins_premium_det i),'28200','28200','02', '11000003','00','Request by Mr. Saqib Saleem 31-Dec-2024 Active');</v>
      </c>
    </row>
    <row r="376" spans="1:8" ht="105" x14ac:dyDescent="0.25">
      <c r="A376" s="12" t="s">
        <v>11753</v>
      </c>
      <c r="B376" s="25" t="str">
        <f>VLOOKUP(A376,policy!B:C,2,0)</f>
        <v>070000172244</v>
      </c>
      <c r="C376" s="11">
        <v>26400</v>
      </c>
      <c r="D376" s="26">
        <f t="shared" si="21"/>
        <v>26400</v>
      </c>
      <c r="E376" s="24" t="s">
        <v>13296</v>
      </c>
      <c r="F376" s="27" t="str">
        <f t="shared" si="20"/>
        <v>insert into ins_premium_det (premium_rcv_code,assorted_code, rec_amount,premium_rcv_detail_code,remaining_amt, payrec, mode_code,coinsurance_code,class_cd,it_remarks) values</v>
      </c>
      <c r="G376" s="28" t="str">
        <f t="shared" si="22"/>
        <v>('30Dec240042','070000172244','26400',(select max(to_number(i.premium_rcv_detail_code))+1
from ins_premium_det i),'26400','26400','02', '11000003','00','Request by Mr. Saqib Saleem 31-Dec-2024 Active');</v>
      </c>
      <c r="H376" s="29" t="str">
        <f t="shared" si="23"/>
        <v>insert into ins_premium_det (premium_rcv_code,assorted_code, rec_amount,premium_rcv_detail_code,remaining_amt, payrec, mode_code,coinsurance_code,class_cd,it_remarks) values('30Dec240042','070000172244','26400',(select max(to_number(i.premium_rcv_detail_code))+1
from ins_premium_det i),'26400','26400','02', '11000003','00','Request by Mr. Saqib Saleem 31-Dec-2024 Active');</v>
      </c>
    </row>
    <row r="377" spans="1:8" ht="105" x14ac:dyDescent="0.25">
      <c r="A377" s="12" t="s">
        <v>11754</v>
      </c>
      <c r="B377" s="25" t="str">
        <f>VLOOKUP(A377,policy!B:C,2,0)</f>
        <v>070000172245</v>
      </c>
      <c r="C377" s="13">
        <v>24128</v>
      </c>
      <c r="D377" s="26">
        <f t="shared" si="21"/>
        <v>24128</v>
      </c>
      <c r="E377" s="24" t="s">
        <v>13296</v>
      </c>
      <c r="F377" s="27" t="str">
        <f t="shared" si="20"/>
        <v>insert into ins_premium_det (premium_rcv_code,assorted_code, rec_amount,premium_rcv_detail_code,remaining_amt, payrec, mode_code,coinsurance_code,class_cd,it_remarks) values</v>
      </c>
      <c r="G377" s="28" t="str">
        <f t="shared" si="22"/>
        <v>('30Dec240042','070000172245','24128',(select max(to_number(i.premium_rcv_detail_code))+1
from ins_premium_det i),'24128','24128','02', '11000003','00','Request by Mr. Saqib Saleem 31-Dec-2024 Active');</v>
      </c>
      <c r="H377" s="29" t="str">
        <f t="shared" si="23"/>
        <v>insert into ins_premium_det (premium_rcv_code,assorted_code, rec_amount,premium_rcv_detail_code,remaining_amt, payrec, mode_code,coinsurance_code,class_cd,it_remarks) values('30Dec240042','070000172245','24128',(select max(to_number(i.premium_rcv_detail_code))+1
from ins_premium_det i),'24128','24128','02', '11000003','00','Request by Mr. Saqib Saleem 31-Dec-2024 Active');</v>
      </c>
    </row>
    <row r="378" spans="1:8" ht="105" x14ac:dyDescent="0.25">
      <c r="A378" s="12" t="s">
        <v>11755</v>
      </c>
      <c r="B378" s="25" t="str">
        <f>VLOOKUP(A378,policy!B:C,2,0)</f>
        <v>070000170734</v>
      </c>
      <c r="C378" s="11">
        <v>16538</v>
      </c>
      <c r="D378" s="26">
        <f t="shared" si="21"/>
        <v>16538</v>
      </c>
      <c r="E378" s="24" t="s">
        <v>13296</v>
      </c>
      <c r="F378" s="27" t="str">
        <f t="shared" si="20"/>
        <v>insert into ins_premium_det (premium_rcv_code,assorted_code, rec_amount,premium_rcv_detail_code,remaining_amt, payrec, mode_code,coinsurance_code,class_cd,it_remarks) values</v>
      </c>
      <c r="G378" s="28" t="str">
        <f t="shared" si="22"/>
        <v>('30Dec240042','070000170734','16538',(select max(to_number(i.premium_rcv_detail_code))+1
from ins_premium_det i),'16538','16538','02', '11000003','00','Request by Mr. Saqib Saleem 31-Dec-2024 Active');</v>
      </c>
      <c r="H378" s="29" t="str">
        <f t="shared" si="23"/>
        <v>insert into ins_premium_det (premium_rcv_code,assorted_code, rec_amount,premium_rcv_detail_code,remaining_amt, payrec, mode_code,coinsurance_code,class_cd,it_remarks) values('30Dec240042','070000170734','16538',(select max(to_number(i.premium_rcv_detail_code))+1
from ins_premium_det i),'16538','16538','02', '11000003','00','Request by Mr. Saqib Saleem 31-Dec-2024 Active');</v>
      </c>
    </row>
    <row r="379" spans="1:8" ht="105" x14ac:dyDescent="0.25">
      <c r="A379" s="12" t="s">
        <v>11756</v>
      </c>
      <c r="B379" s="25" t="str">
        <f>VLOOKUP(A379,policy!B:C,2,0)</f>
        <v>070000170733</v>
      </c>
      <c r="C379" s="13">
        <v>33075</v>
      </c>
      <c r="D379" s="26">
        <f t="shared" si="21"/>
        <v>33075</v>
      </c>
      <c r="E379" s="24" t="s">
        <v>13296</v>
      </c>
      <c r="F379" s="27" t="str">
        <f t="shared" si="20"/>
        <v>insert into ins_premium_det (premium_rcv_code,assorted_code, rec_amount,premium_rcv_detail_code,remaining_amt, payrec, mode_code,coinsurance_code,class_cd,it_remarks) values</v>
      </c>
      <c r="G379" s="28" t="str">
        <f t="shared" si="22"/>
        <v>('30Dec240042','070000170733','33075',(select max(to_number(i.premium_rcv_detail_code))+1
from ins_premium_det i),'33075','33075','02', '11000003','00','Request by Mr. Saqib Saleem 31-Dec-2024 Active');</v>
      </c>
      <c r="H379" s="29" t="str">
        <f t="shared" si="23"/>
        <v>insert into ins_premium_det (premium_rcv_code,assorted_code, rec_amount,premium_rcv_detail_code,remaining_amt, payrec, mode_code,coinsurance_code,class_cd,it_remarks) values('30Dec240042','070000170733','33075',(select max(to_number(i.premium_rcv_detail_code))+1
from ins_premium_det i),'33075','33075','02', '11000003','00','Request by Mr. Saqib Saleem 31-Dec-2024 Active');</v>
      </c>
    </row>
    <row r="380" spans="1:8" ht="105" x14ac:dyDescent="0.25">
      <c r="A380" s="12" t="s">
        <v>11757</v>
      </c>
      <c r="B380" s="25" t="str">
        <f>VLOOKUP(A380,policy!B:C,2,0)</f>
        <v>070000172246</v>
      </c>
      <c r="C380" s="11">
        <v>18600</v>
      </c>
      <c r="D380" s="26">
        <f t="shared" si="21"/>
        <v>18600</v>
      </c>
      <c r="E380" s="24" t="s">
        <v>13296</v>
      </c>
      <c r="F380" s="27" t="str">
        <f t="shared" si="20"/>
        <v>insert into ins_premium_det (premium_rcv_code,assorted_code, rec_amount,premium_rcv_detail_code,remaining_amt, payrec, mode_code,coinsurance_code,class_cd,it_remarks) values</v>
      </c>
      <c r="G380" s="28" t="str">
        <f t="shared" si="22"/>
        <v>('30Dec240042','070000172246','18600',(select max(to_number(i.premium_rcv_detail_code))+1
from ins_premium_det i),'18600','18600','02', '11000003','00','Request by Mr. Saqib Saleem 31-Dec-2024 Active');</v>
      </c>
      <c r="H380" s="29" t="str">
        <f t="shared" si="23"/>
        <v>insert into ins_premium_det (premium_rcv_code,assorted_code, rec_amount,premium_rcv_detail_code,remaining_amt, payrec, mode_code,coinsurance_code,class_cd,it_remarks) values('30Dec240042','070000172246','18600',(select max(to_number(i.premium_rcv_detail_code))+1
from ins_premium_det i),'18600','18600','02', '11000003','00','Request by Mr. Saqib Saleem 31-Dec-2024 Active');</v>
      </c>
    </row>
    <row r="381" spans="1:8" ht="105" x14ac:dyDescent="0.25">
      <c r="A381" s="12" t="s">
        <v>11758</v>
      </c>
      <c r="B381" s="25" t="str">
        <f>VLOOKUP(A381,policy!B:C,2,0)</f>
        <v>070000172247</v>
      </c>
      <c r="C381" s="13">
        <v>18384</v>
      </c>
      <c r="D381" s="26">
        <f t="shared" si="21"/>
        <v>18384</v>
      </c>
      <c r="E381" s="24" t="s">
        <v>13296</v>
      </c>
      <c r="F381" s="27" t="str">
        <f t="shared" si="20"/>
        <v>insert into ins_premium_det (premium_rcv_code,assorted_code, rec_amount,premium_rcv_detail_code,remaining_amt, payrec, mode_code,coinsurance_code,class_cd,it_remarks) values</v>
      </c>
      <c r="G381" s="28" t="str">
        <f t="shared" si="22"/>
        <v>('30Dec240042','070000172247','18384',(select max(to_number(i.premium_rcv_detail_code))+1
from ins_premium_det i),'18384','18384','02', '11000003','00','Request by Mr. Saqib Saleem 31-Dec-2024 Active');</v>
      </c>
      <c r="H381" s="29" t="str">
        <f t="shared" si="23"/>
        <v>insert into ins_premium_det (premium_rcv_code,assorted_code, rec_amount,premium_rcv_detail_code,remaining_amt, payrec, mode_code,coinsurance_code,class_cd,it_remarks) values('30Dec240042','070000172247','18384',(select max(to_number(i.premium_rcv_detail_code))+1
from ins_premium_det i),'18384','18384','02', '11000003','00','Request by Mr. Saqib Saleem 31-Dec-2024 Active');</v>
      </c>
    </row>
    <row r="382" spans="1:8" ht="105" x14ac:dyDescent="0.25">
      <c r="A382" s="12" t="s">
        <v>11759</v>
      </c>
      <c r="B382" s="25" t="str">
        <f>VLOOKUP(A382,policy!B:C,2,0)</f>
        <v>070000170729</v>
      </c>
      <c r="C382" s="11">
        <v>41424</v>
      </c>
      <c r="D382" s="26">
        <f t="shared" si="21"/>
        <v>41424</v>
      </c>
      <c r="E382" s="24" t="s">
        <v>13296</v>
      </c>
      <c r="F382" s="27" t="str">
        <f t="shared" si="20"/>
        <v>insert into ins_premium_det (premium_rcv_code,assorted_code, rec_amount,premium_rcv_detail_code,remaining_amt, payrec, mode_code,coinsurance_code,class_cd,it_remarks) values</v>
      </c>
      <c r="G382" s="28" t="str">
        <f t="shared" si="22"/>
        <v>('30Dec240042','070000170729','41424',(select max(to_number(i.premium_rcv_detail_code))+1
from ins_premium_det i),'41424','41424','02', '11000003','00','Request by Mr. Saqib Saleem 31-Dec-2024 Active');</v>
      </c>
      <c r="H382" s="29" t="str">
        <f t="shared" si="23"/>
        <v>insert into ins_premium_det (premium_rcv_code,assorted_code, rec_amount,premium_rcv_detail_code,remaining_amt, payrec, mode_code,coinsurance_code,class_cd,it_remarks) values('30Dec240042','070000170729','41424',(select max(to_number(i.premium_rcv_detail_code))+1
from ins_premium_det i),'41424','41424','02', '11000003','00','Request by Mr. Saqib Saleem 31-Dec-2024 Active');</v>
      </c>
    </row>
    <row r="383" spans="1:8" ht="105" x14ac:dyDescent="0.25">
      <c r="A383" s="12" t="s">
        <v>11760</v>
      </c>
      <c r="B383" s="25" t="str">
        <f>VLOOKUP(A383,policy!B:C,2,0)</f>
        <v>070000172248</v>
      </c>
      <c r="C383" s="13">
        <v>70875</v>
      </c>
      <c r="D383" s="26">
        <f t="shared" si="21"/>
        <v>70875</v>
      </c>
      <c r="E383" s="24" t="s">
        <v>13296</v>
      </c>
      <c r="F383" s="27" t="str">
        <f t="shared" si="20"/>
        <v>insert into ins_premium_det (premium_rcv_code,assorted_code, rec_amount,premium_rcv_detail_code,remaining_amt, payrec, mode_code,coinsurance_code,class_cd,it_remarks) values</v>
      </c>
      <c r="G383" s="28" t="str">
        <f t="shared" si="22"/>
        <v>('30Dec240042','070000172248','70875',(select max(to_number(i.premium_rcv_detail_code))+1
from ins_premium_det i),'70875','70875','02', '11000003','00','Request by Mr. Saqib Saleem 31-Dec-2024 Active');</v>
      </c>
      <c r="H383" s="29" t="str">
        <f t="shared" si="23"/>
        <v>insert into ins_premium_det (premium_rcv_code,assorted_code, rec_amount,premium_rcv_detail_code,remaining_amt, payrec, mode_code,coinsurance_code,class_cd,it_remarks) values('30Dec240042','070000172248','70875',(select max(to_number(i.premium_rcv_detail_code))+1
from ins_premium_det i),'70875','70875','02', '11000003','00','Request by Mr. Saqib Saleem 31-Dec-2024 Active');</v>
      </c>
    </row>
    <row r="384" spans="1:8" ht="105" x14ac:dyDescent="0.25">
      <c r="A384" s="12" t="s">
        <v>11761</v>
      </c>
      <c r="B384" s="25" t="str">
        <f>VLOOKUP(A384,policy!B:C,2,0)</f>
        <v>070000172249</v>
      </c>
      <c r="C384" s="11">
        <v>46226</v>
      </c>
      <c r="D384" s="26">
        <f t="shared" si="21"/>
        <v>46226</v>
      </c>
      <c r="E384" s="24" t="s">
        <v>13296</v>
      </c>
      <c r="F384" s="27" t="str">
        <f t="shared" si="20"/>
        <v>insert into ins_premium_det (premium_rcv_code,assorted_code, rec_amount,premium_rcv_detail_code,remaining_amt, payrec, mode_code,coinsurance_code,class_cd,it_remarks) values</v>
      </c>
      <c r="G384" s="28" t="str">
        <f t="shared" si="22"/>
        <v>('30Dec240042','070000172249','46226',(select max(to_number(i.premium_rcv_detail_code))+1
from ins_premium_det i),'46226','46226','02', '11000003','00','Request by Mr. Saqib Saleem 31-Dec-2024 Active');</v>
      </c>
      <c r="H384" s="29" t="str">
        <f t="shared" si="23"/>
        <v>insert into ins_premium_det (premium_rcv_code,assorted_code, rec_amount,premium_rcv_detail_code,remaining_amt, payrec, mode_code,coinsurance_code,class_cd,it_remarks) values('30Dec240042','070000172249','46226',(select max(to_number(i.premium_rcv_detail_code))+1
from ins_premium_det i),'46226','46226','02', '11000003','00','Request by Mr. Saqib Saleem 31-Dec-2024 Active');</v>
      </c>
    </row>
    <row r="385" spans="1:8" ht="105" x14ac:dyDescent="0.25">
      <c r="A385" s="12" t="s">
        <v>11762</v>
      </c>
      <c r="B385" s="25" t="str">
        <f>VLOOKUP(A385,policy!B:C,2,0)</f>
        <v>070000172250</v>
      </c>
      <c r="C385" s="13">
        <v>53944</v>
      </c>
      <c r="D385" s="26">
        <f t="shared" si="21"/>
        <v>53944</v>
      </c>
      <c r="E385" s="24" t="s">
        <v>13296</v>
      </c>
      <c r="F385" s="27" t="str">
        <f t="shared" si="20"/>
        <v>insert into ins_premium_det (premium_rcv_code,assorted_code, rec_amount,premium_rcv_detail_code,remaining_amt, payrec, mode_code,coinsurance_code,class_cd,it_remarks) values</v>
      </c>
      <c r="G385" s="28" t="str">
        <f t="shared" si="22"/>
        <v>('30Dec240042','070000172250','53944',(select max(to_number(i.premium_rcv_detail_code))+1
from ins_premium_det i),'53944','53944','02', '11000003','00','Request by Mr. Saqib Saleem 31-Dec-2024 Active');</v>
      </c>
      <c r="H385" s="29" t="str">
        <f t="shared" si="23"/>
        <v>insert into ins_premium_det (premium_rcv_code,assorted_code, rec_amount,premium_rcv_detail_code,remaining_amt, payrec, mode_code,coinsurance_code,class_cd,it_remarks) values('30Dec240042','070000172250','53944',(select max(to_number(i.premium_rcv_detail_code))+1
from ins_premium_det i),'53944','53944','02', '11000003','00','Request by Mr. Saqib Saleem 31-Dec-2024 Active');</v>
      </c>
    </row>
    <row r="386" spans="1:8" ht="105" x14ac:dyDescent="0.25">
      <c r="A386" s="12" t="s">
        <v>11763</v>
      </c>
      <c r="B386" s="25" t="str">
        <f>VLOOKUP(A386,policy!B:C,2,0)</f>
        <v>070000172252</v>
      </c>
      <c r="C386" s="11">
        <v>18806</v>
      </c>
      <c r="D386" s="26">
        <f t="shared" si="21"/>
        <v>18806</v>
      </c>
      <c r="E386" s="24" t="s">
        <v>13296</v>
      </c>
      <c r="F386" s="27" t="str">
        <f t="shared" ref="F386:F449" si="2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386" s="28" t="str">
        <f t="shared" si="22"/>
        <v>('30Dec240042','070000172252','18806',(select max(to_number(i.premium_rcv_detail_code))+1
from ins_premium_det i),'18806','18806','02', '11000003','00','Request by Mr. Saqib Saleem 31-Dec-2024 Active');</v>
      </c>
      <c r="H386" s="29" t="str">
        <f t="shared" si="23"/>
        <v>insert into ins_premium_det (premium_rcv_code,assorted_code, rec_amount,premium_rcv_detail_code,remaining_amt, payrec, mode_code,coinsurance_code,class_cd,it_remarks) values('30Dec240042','070000172252','18806',(select max(to_number(i.premium_rcv_detail_code))+1
from ins_premium_det i),'18806','18806','02', '11000003','00','Request by Mr. Saqib Saleem 31-Dec-2024 Active');</v>
      </c>
    </row>
    <row r="387" spans="1:8" ht="105" x14ac:dyDescent="0.25">
      <c r="A387" s="12" t="s">
        <v>11764</v>
      </c>
      <c r="B387" s="25" t="str">
        <f>VLOOKUP(A387,policy!B:C,2,0)</f>
        <v>070000170726</v>
      </c>
      <c r="C387" s="13">
        <v>21875</v>
      </c>
      <c r="D387" s="26">
        <f t="shared" ref="D387:D450" si="25">ROUND(C387,0)</f>
        <v>21875</v>
      </c>
      <c r="E387" s="24" t="s">
        <v>13296</v>
      </c>
      <c r="F387" s="27" t="str">
        <f t="shared" si="24"/>
        <v>insert into ins_premium_det (premium_rcv_code,assorted_code, rec_amount,premium_rcv_detail_code,remaining_amt, payrec, mode_code,coinsurance_code,class_cd,it_remarks) values</v>
      </c>
      <c r="G387" s="28" t="str">
        <f t="shared" ref="G387:G450" si="26">"('"&amp;E387&amp;"','"&amp;B387&amp;"','"&amp;D387&amp;"',(select max(to_number(i.premium_rcv_detail_code))+1
from ins_premium_det i),'"&amp;D387&amp;"','"&amp;D387&amp;"','02', '11000003','00','Request by Mr. Saqib Saleem 31-Dec-2024 Active');"</f>
        <v>('30Dec240042','070000170726','21875',(select max(to_number(i.premium_rcv_detail_code))+1
from ins_premium_det i),'21875','21875','02', '11000003','00','Request by Mr. Saqib Saleem 31-Dec-2024 Active');</v>
      </c>
      <c r="H387" s="29" t="str">
        <f t="shared" ref="H387:H450" si="27">F387&amp;G387</f>
        <v>insert into ins_premium_det (premium_rcv_code,assorted_code, rec_amount,premium_rcv_detail_code,remaining_amt, payrec, mode_code,coinsurance_code,class_cd,it_remarks) values('30Dec240042','070000170726','21875',(select max(to_number(i.premium_rcv_detail_code))+1
from ins_premium_det i),'21875','21875','02', '11000003','00','Request by Mr. Saqib Saleem 31-Dec-2024 Active');</v>
      </c>
    </row>
    <row r="388" spans="1:8" ht="105" x14ac:dyDescent="0.25">
      <c r="A388" s="12" t="s">
        <v>11765</v>
      </c>
      <c r="B388" s="25" t="str">
        <f>VLOOKUP(A388,policy!B:C,2,0)</f>
        <v>070000170722</v>
      </c>
      <c r="C388" s="11">
        <v>10200</v>
      </c>
      <c r="D388" s="26">
        <f t="shared" si="25"/>
        <v>10200</v>
      </c>
      <c r="E388" s="24" t="s">
        <v>13296</v>
      </c>
      <c r="F388" s="27" t="str">
        <f t="shared" si="24"/>
        <v>insert into ins_premium_det (premium_rcv_code,assorted_code, rec_amount,premium_rcv_detail_code,remaining_amt, payrec, mode_code,coinsurance_code,class_cd,it_remarks) values</v>
      </c>
      <c r="G388" s="28" t="str">
        <f t="shared" si="26"/>
        <v>('30Dec240042','070000170722','10200',(select max(to_number(i.premium_rcv_detail_code))+1
from ins_premium_det i),'10200','10200','02', '11000003','00','Request by Mr. Saqib Saleem 31-Dec-2024 Active');</v>
      </c>
      <c r="H388" s="29" t="str">
        <f t="shared" si="27"/>
        <v>insert into ins_premium_det (premium_rcv_code,assorted_code, rec_amount,premium_rcv_detail_code,remaining_amt, payrec, mode_code,coinsurance_code,class_cd,it_remarks) values('30Dec240042','070000170722','10200',(select max(to_number(i.premium_rcv_detail_code))+1
from ins_premium_det i),'10200','10200','02', '11000003','00','Request by Mr. Saqib Saleem 31-Dec-2024 Active');</v>
      </c>
    </row>
    <row r="389" spans="1:8" ht="105" x14ac:dyDescent="0.25">
      <c r="A389" s="12" t="s">
        <v>11766</v>
      </c>
      <c r="B389" s="25" t="str">
        <f>VLOOKUP(A389,policy!B:C,2,0)</f>
        <v>070000170719</v>
      </c>
      <c r="C389" s="13">
        <v>34255</v>
      </c>
      <c r="D389" s="26">
        <f t="shared" si="25"/>
        <v>34255</v>
      </c>
      <c r="E389" s="24" t="s">
        <v>13296</v>
      </c>
      <c r="F389" s="27" t="str">
        <f t="shared" si="24"/>
        <v>insert into ins_premium_det (premium_rcv_code,assorted_code, rec_amount,premium_rcv_detail_code,remaining_amt, payrec, mode_code,coinsurance_code,class_cd,it_remarks) values</v>
      </c>
      <c r="G389" s="28" t="str">
        <f t="shared" si="26"/>
        <v>('30Dec240042','070000170719','34255',(select max(to_number(i.premium_rcv_detail_code))+1
from ins_premium_det i),'34255','34255','02', '11000003','00','Request by Mr. Saqib Saleem 31-Dec-2024 Active');</v>
      </c>
      <c r="H389" s="29" t="str">
        <f t="shared" si="27"/>
        <v>insert into ins_premium_det (premium_rcv_code,assorted_code, rec_amount,premium_rcv_detail_code,remaining_amt, payrec, mode_code,coinsurance_code,class_cd,it_remarks) values('30Dec240042','070000170719','34255',(select max(to_number(i.premium_rcv_detail_code))+1
from ins_premium_det i),'34255','34255','02', '11000003','00','Request by Mr. Saqib Saleem 31-Dec-2024 Active');</v>
      </c>
    </row>
    <row r="390" spans="1:8" ht="105" x14ac:dyDescent="0.25">
      <c r="A390" s="12" t="s">
        <v>11767</v>
      </c>
      <c r="B390" s="25" t="str">
        <f>VLOOKUP(A390,policy!B:C,2,0)</f>
        <v>070000172255</v>
      </c>
      <c r="C390" s="11">
        <v>31200</v>
      </c>
      <c r="D390" s="26">
        <f t="shared" si="25"/>
        <v>31200</v>
      </c>
      <c r="E390" s="24" t="s">
        <v>13296</v>
      </c>
      <c r="F390" s="27" t="str">
        <f t="shared" si="24"/>
        <v>insert into ins_premium_det (premium_rcv_code,assorted_code, rec_amount,premium_rcv_detail_code,remaining_amt, payrec, mode_code,coinsurance_code,class_cd,it_remarks) values</v>
      </c>
      <c r="G390" s="28" t="str">
        <f t="shared" si="26"/>
        <v>('30Dec240042','070000172255','31200',(select max(to_number(i.premium_rcv_detail_code))+1
from ins_premium_det i),'31200','31200','02', '11000003','00','Request by Mr. Saqib Saleem 31-Dec-2024 Active');</v>
      </c>
      <c r="H390" s="29" t="str">
        <f t="shared" si="27"/>
        <v>insert into ins_premium_det (premium_rcv_code,assorted_code, rec_amount,premium_rcv_detail_code,remaining_amt, payrec, mode_code,coinsurance_code,class_cd,it_remarks) values('30Dec240042','070000172255','31200',(select max(to_number(i.premium_rcv_detail_code))+1
from ins_premium_det i),'31200','31200','02', '11000003','00','Request by Mr. Saqib Saleem 31-Dec-2024 Active');</v>
      </c>
    </row>
    <row r="391" spans="1:8" ht="105" x14ac:dyDescent="0.25">
      <c r="A391" s="12" t="s">
        <v>11768</v>
      </c>
      <c r="B391" s="25" t="str">
        <f>VLOOKUP(A391,policy!B:C,2,0)</f>
        <v>070000172259</v>
      </c>
      <c r="C391" s="13">
        <v>30832</v>
      </c>
      <c r="D391" s="26">
        <f t="shared" si="25"/>
        <v>30832</v>
      </c>
      <c r="E391" s="24" t="s">
        <v>13296</v>
      </c>
      <c r="F391" s="27" t="str">
        <f t="shared" si="24"/>
        <v>insert into ins_premium_det (premium_rcv_code,assorted_code, rec_amount,premium_rcv_detail_code,remaining_amt, payrec, mode_code,coinsurance_code,class_cd,it_remarks) values</v>
      </c>
      <c r="G391" s="28" t="str">
        <f t="shared" si="26"/>
        <v>('30Dec240042','070000172259','30832',(select max(to_number(i.premium_rcv_detail_code))+1
from ins_premium_det i),'30832','30832','02', '11000003','00','Request by Mr. Saqib Saleem 31-Dec-2024 Active');</v>
      </c>
      <c r="H391" s="29" t="str">
        <f t="shared" si="27"/>
        <v>insert into ins_premium_det (premium_rcv_code,assorted_code, rec_amount,premium_rcv_detail_code,remaining_amt, payrec, mode_code,coinsurance_code,class_cd,it_remarks) values('30Dec240042','070000172259','30832',(select max(to_number(i.premium_rcv_detail_code))+1
from ins_premium_det i),'30832','30832','02', '11000003','00','Request by Mr. Saqib Saleem 31-Dec-2024 Active');</v>
      </c>
    </row>
    <row r="392" spans="1:8" ht="105" x14ac:dyDescent="0.25">
      <c r="A392" s="12" t="s">
        <v>11769</v>
      </c>
      <c r="B392" s="25" t="str">
        <f>VLOOKUP(A392,policy!B:C,2,0)</f>
        <v>070000172260</v>
      </c>
      <c r="C392" s="11">
        <v>21360</v>
      </c>
      <c r="D392" s="26">
        <f t="shared" si="25"/>
        <v>21360</v>
      </c>
      <c r="E392" s="24" t="s">
        <v>13296</v>
      </c>
      <c r="F392" s="27" t="str">
        <f t="shared" si="24"/>
        <v>insert into ins_premium_det (premium_rcv_code,assorted_code, rec_amount,premium_rcv_detail_code,remaining_amt, payrec, mode_code,coinsurance_code,class_cd,it_remarks) values</v>
      </c>
      <c r="G392" s="28" t="str">
        <f t="shared" si="26"/>
        <v>('30Dec240042','070000172260','21360',(select max(to_number(i.premium_rcv_detail_code))+1
from ins_premium_det i),'21360','21360','02', '11000003','00','Request by Mr. Saqib Saleem 31-Dec-2024 Active');</v>
      </c>
      <c r="H392" s="29" t="str">
        <f t="shared" si="27"/>
        <v>insert into ins_premium_det (premium_rcv_code,assorted_code, rec_amount,premium_rcv_detail_code,remaining_amt, payrec, mode_code,coinsurance_code,class_cd,it_remarks) values('30Dec240042','070000172260','21360',(select max(to_number(i.premium_rcv_detail_code))+1
from ins_premium_det i),'21360','21360','02', '11000003','00','Request by Mr. Saqib Saleem 31-Dec-2024 Active');</v>
      </c>
    </row>
    <row r="393" spans="1:8" ht="105" x14ac:dyDescent="0.25">
      <c r="A393" s="12" t="s">
        <v>11770</v>
      </c>
      <c r="B393" s="25" t="str">
        <f>VLOOKUP(A393,policy!B:C,2,0)</f>
        <v>070000170714</v>
      </c>
      <c r="C393" s="13">
        <v>29632</v>
      </c>
      <c r="D393" s="26">
        <f t="shared" si="25"/>
        <v>29632</v>
      </c>
      <c r="E393" s="24" t="s">
        <v>13296</v>
      </c>
      <c r="F393" s="27" t="str">
        <f t="shared" si="24"/>
        <v>insert into ins_premium_det (premium_rcv_code,assorted_code, rec_amount,premium_rcv_detail_code,remaining_amt, payrec, mode_code,coinsurance_code,class_cd,it_remarks) values</v>
      </c>
      <c r="G393" s="28" t="str">
        <f t="shared" si="26"/>
        <v>('30Dec240042','070000170714','29632',(select max(to_number(i.premium_rcv_detail_code))+1
from ins_premium_det i),'29632','29632','02', '11000003','00','Request by Mr. Saqib Saleem 31-Dec-2024 Active');</v>
      </c>
      <c r="H393" s="29" t="str">
        <f t="shared" si="27"/>
        <v>insert into ins_premium_det (premium_rcv_code,assorted_code, rec_amount,premium_rcv_detail_code,remaining_amt, payrec, mode_code,coinsurance_code,class_cd,it_remarks) values('30Dec240042','070000170714','29632',(select max(to_number(i.premium_rcv_detail_code))+1
from ins_premium_det i),'29632','29632','02', '11000003','00','Request by Mr. Saqib Saleem 31-Dec-2024 Active');</v>
      </c>
    </row>
    <row r="394" spans="1:8" ht="105" x14ac:dyDescent="0.25">
      <c r="A394" s="12" t="s">
        <v>11771</v>
      </c>
      <c r="B394" s="25" t="str">
        <f>VLOOKUP(A394,policy!B:C,2,0)</f>
        <v>070000172262</v>
      </c>
      <c r="C394" s="11">
        <v>18384</v>
      </c>
      <c r="D394" s="26">
        <f t="shared" si="25"/>
        <v>18384</v>
      </c>
      <c r="E394" s="24" t="s">
        <v>13296</v>
      </c>
      <c r="F394" s="27" t="str">
        <f t="shared" si="24"/>
        <v>insert into ins_premium_det (premium_rcv_code,assorted_code, rec_amount,premium_rcv_detail_code,remaining_amt, payrec, mode_code,coinsurance_code,class_cd,it_remarks) values</v>
      </c>
      <c r="G394" s="28" t="str">
        <f t="shared" si="26"/>
        <v>('30Dec240042','070000172262','18384',(select max(to_number(i.premium_rcv_detail_code))+1
from ins_premium_det i),'18384','18384','02', '11000003','00','Request by Mr. Saqib Saleem 31-Dec-2024 Active');</v>
      </c>
      <c r="H394" s="29" t="str">
        <f t="shared" si="27"/>
        <v>insert into ins_premium_det (premium_rcv_code,assorted_code, rec_amount,premium_rcv_detail_code,remaining_amt, payrec, mode_code,coinsurance_code,class_cd,it_remarks) values('30Dec240042','070000172262','18384',(select max(to_number(i.premium_rcv_detail_code))+1
from ins_premium_det i),'18384','18384','02', '11000003','00','Request by Mr. Saqib Saleem 31-Dec-2024 Active');</v>
      </c>
    </row>
    <row r="395" spans="1:8" ht="105" x14ac:dyDescent="0.25">
      <c r="A395" s="12" t="s">
        <v>11772</v>
      </c>
      <c r="B395" s="25" t="str">
        <f>VLOOKUP(A395,policy!B:C,2,0)</f>
        <v>070000172264</v>
      </c>
      <c r="C395" s="13">
        <v>42525</v>
      </c>
      <c r="D395" s="26">
        <f t="shared" si="25"/>
        <v>42525</v>
      </c>
      <c r="E395" s="24" t="s">
        <v>13296</v>
      </c>
      <c r="F395" s="27" t="str">
        <f t="shared" si="24"/>
        <v>insert into ins_premium_det (premium_rcv_code,assorted_code, rec_amount,premium_rcv_detail_code,remaining_amt, payrec, mode_code,coinsurance_code,class_cd,it_remarks) values</v>
      </c>
      <c r="G395" s="28" t="str">
        <f t="shared" si="26"/>
        <v>('30Dec240042','070000172264','42525',(select max(to_number(i.premium_rcv_detail_code))+1
from ins_premium_det i),'42525','42525','02', '11000003','00','Request by Mr. Saqib Saleem 31-Dec-2024 Active');</v>
      </c>
      <c r="H395" s="29" t="str">
        <f t="shared" si="27"/>
        <v>insert into ins_premium_det (premium_rcv_code,assorted_code, rec_amount,premium_rcv_detail_code,remaining_amt, payrec, mode_code,coinsurance_code,class_cd,it_remarks) values('30Dec240042','070000172264','42525',(select max(to_number(i.premium_rcv_detail_code))+1
from ins_premium_det i),'42525','42525','02', '11000003','00','Request by Mr. Saqib Saleem 31-Dec-2024 Active');</v>
      </c>
    </row>
    <row r="396" spans="1:8" ht="105" x14ac:dyDescent="0.25">
      <c r="A396" s="12" t="s">
        <v>11773</v>
      </c>
      <c r="B396" s="25" t="str">
        <f>VLOOKUP(A396,policy!B:C,2,0)</f>
        <v>070000170713</v>
      </c>
      <c r="C396" s="11">
        <v>16800</v>
      </c>
      <c r="D396" s="26">
        <f t="shared" si="25"/>
        <v>16800</v>
      </c>
      <c r="E396" s="24" t="s">
        <v>13296</v>
      </c>
      <c r="F396" s="27" t="str">
        <f t="shared" si="24"/>
        <v>insert into ins_premium_det (premium_rcv_code,assorted_code, rec_amount,premium_rcv_detail_code,remaining_amt, payrec, mode_code,coinsurance_code,class_cd,it_remarks) values</v>
      </c>
      <c r="G396" s="28" t="str">
        <f t="shared" si="26"/>
        <v>('30Dec240042','070000170713','16800',(select max(to_number(i.premium_rcv_detail_code))+1
from ins_premium_det i),'16800','16800','02', '11000003','00','Request by Mr. Saqib Saleem 31-Dec-2024 Active');</v>
      </c>
      <c r="H396" s="29" t="str">
        <f t="shared" si="27"/>
        <v>insert into ins_premium_det (premium_rcv_code,assorted_code, rec_amount,premium_rcv_detail_code,remaining_amt, payrec, mode_code,coinsurance_code,class_cd,it_remarks) values('30Dec240042','070000170713','16800',(select max(to_number(i.premium_rcv_detail_code))+1
from ins_premium_det i),'16800','16800','02', '11000003','00','Request by Mr. Saqib Saleem 31-Dec-2024 Active');</v>
      </c>
    </row>
    <row r="397" spans="1:8" ht="105" x14ac:dyDescent="0.25">
      <c r="A397" s="12" t="s">
        <v>11774</v>
      </c>
      <c r="B397" s="25" t="str">
        <f>VLOOKUP(A397,policy!B:C,2,0)</f>
        <v>070000172266</v>
      </c>
      <c r="C397" s="13">
        <v>96075</v>
      </c>
      <c r="D397" s="26">
        <f t="shared" si="25"/>
        <v>96075</v>
      </c>
      <c r="E397" s="24" t="s">
        <v>13296</v>
      </c>
      <c r="F397" s="27" t="str">
        <f t="shared" si="24"/>
        <v>insert into ins_premium_det (premium_rcv_code,assorted_code, rec_amount,premium_rcv_detail_code,remaining_amt, payrec, mode_code,coinsurance_code,class_cd,it_remarks) values</v>
      </c>
      <c r="G397" s="28" t="str">
        <f t="shared" si="26"/>
        <v>('30Dec240042','070000172266','96075',(select max(to_number(i.premium_rcv_detail_code))+1
from ins_premium_det i),'96075','96075','02', '11000003','00','Request by Mr. Saqib Saleem 31-Dec-2024 Active');</v>
      </c>
      <c r="H397" s="29" t="str">
        <f t="shared" si="27"/>
        <v>insert into ins_premium_det (premium_rcv_code,assorted_code, rec_amount,premium_rcv_detail_code,remaining_amt, payrec, mode_code,coinsurance_code,class_cd,it_remarks) values('30Dec240042','070000172266','96075',(select max(to_number(i.premium_rcv_detail_code))+1
from ins_premium_det i),'96075','96075','02', '11000003','00','Request by Mr. Saqib Saleem 31-Dec-2024 Active');</v>
      </c>
    </row>
    <row r="398" spans="1:8" ht="105" x14ac:dyDescent="0.25">
      <c r="A398" s="12" t="s">
        <v>11775</v>
      </c>
      <c r="B398" s="25" t="str">
        <f>VLOOKUP(A398,policy!B:C,2,0)</f>
        <v>070000172268</v>
      </c>
      <c r="C398" s="11">
        <v>47250</v>
      </c>
      <c r="D398" s="26">
        <f t="shared" si="25"/>
        <v>47250</v>
      </c>
      <c r="E398" s="24" t="s">
        <v>13296</v>
      </c>
      <c r="F398" s="27" t="str">
        <f t="shared" si="24"/>
        <v>insert into ins_premium_det (premium_rcv_code,assorted_code, rec_amount,premium_rcv_detail_code,remaining_amt, payrec, mode_code,coinsurance_code,class_cd,it_remarks) values</v>
      </c>
      <c r="G398" s="28" t="str">
        <f t="shared" si="26"/>
        <v>('30Dec240042','070000172268','47250',(select max(to_number(i.premium_rcv_detail_code))+1
from ins_premium_det i),'47250','47250','02', '11000003','00','Request by Mr. Saqib Saleem 31-Dec-2024 Active');</v>
      </c>
      <c r="H398" s="29" t="str">
        <f t="shared" si="27"/>
        <v>insert into ins_premium_det (premium_rcv_code,assorted_code, rec_amount,premium_rcv_detail_code,remaining_amt, payrec, mode_code,coinsurance_code,class_cd,it_remarks) values('30Dec240042','070000172268','47250',(select max(to_number(i.premium_rcv_detail_code))+1
from ins_premium_det i),'47250','47250','02', '11000003','00','Request by Mr. Saqib Saleem 31-Dec-2024 Active');</v>
      </c>
    </row>
    <row r="399" spans="1:8" ht="105" x14ac:dyDescent="0.25">
      <c r="A399" s="12" t="s">
        <v>11776</v>
      </c>
      <c r="B399" s="25" t="str">
        <f>VLOOKUP(A399,policy!B:C,2,0)</f>
        <v>070000170712</v>
      </c>
      <c r="C399" s="13">
        <v>18600</v>
      </c>
      <c r="D399" s="26">
        <f t="shared" si="25"/>
        <v>18600</v>
      </c>
      <c r="E399" s="24" t="s">
        <v>13296</v>
      </c>
      <c r="F399" s="27" t="str">
        <f t="shared" si="24"/>
        <v>insert into ins_premium_det (premium_rcv_code,assorted_code, rec_amount,premium_rcv_detail_code,remaining_amt, payrec, mode_code,coinsurance_code,class_cd,it_remarks) values</v>
      </c>
      <c r="G399" s="28" t="str">
        <f t="shared" si="26"/>
        <v>('30Dec240042','070000170712','18600',(select max(to_number(i.premium_rcv_detail_code))+1
from ins_premium_det i),'18600','18600','02', '11000003','00','Request by Mr. Saqib Saleem 31-Dec-2024 Active');</v>
      </c>
      <c r="H399" s="29" t="str">
        <f t="shared" si="27"/>
        <v>insert into ins_premium_det (premium_rcv_code,assorted_code, rec_amount,premium_rcv_detail_code,remaining_amt, payrec, mode_code,coinsurance_code,class_cd,it_remarks) values('30Dec240042','070000170712','18600',(select max(to_number(i.premium_rcv_detail_code))+1
from ins_premium_det i),'18600','18600','02', '11000003','00','Request by Mr. Saqib Saleem 31-Dec-2024 Active');</v>
      </c>
    </row>
    <row r="400" spans="1:8" ht="105" x14ac:dyDescent="0.25">
      <c r="A400" s="12" t="s">
        <v>11777</v>
      </c>
      <c r="B400" s="25" t="str">
        <f>VLOOKUP(A400,policy!B:C,2,0)</f>
        <v>070000170711</v>
      </c>
      <c r="C400" s="11">
        <v>27000</v>
      </c>
      <c r="D400" s="26">
        <f t="shared" si="25"/>
        <v>27000</v>
      </c>
      <c r="E400" s="24" t="s">
        <v>13296</v>
      </c>
      <c r="F400" s="27" t="str">
        <f t="shared" si="24"/>
        <v>insert into ins_premium_det (premium_rcv_code,assorted_code, rec_amount,premium_rcv_detail_code,remaining_amt, payrec, mode_code,coinsurance_code,class_cd,it_remarks) values</v>
      </c>
      <c r="G400" s="28" t="str">
        <f t="shared" si="26"/>
        <v>('30Dec240042','070000170711','27000',(select max(to_number(i.premium_rcv_detail_code))+1
from ins_premium_det i),'27000','27000','02', '11000003','00','Request by Mr. Saqib Saleem 31-Dec-2024 Active');</v>
      </c>
      <c r="H400" s="29" t="str">
        <f t="shared" si="27"/>
        <v>insert into ins_premium_det (premium_rcv_code,assorted_code, rec_amount,premium_rcv_detail_code,remaining_amt, payrec, mode_code,coinsurance_code,class_cd,it_remarks) values('30Dec240042','070000170711','27000',(select max(to_number(i.premium_rcv_detail_code))+1
from ins_premium_det i),'27000','27000','02', '11000003','00','Request by Mr. Saqib Saleem 31-Dec-2024 Active');</v>
      </c>
    </row>
    <row r="401" spans="1:8" ht="105" x14ac:dyDescent="0.25">
      <c r="A401" s="17" t="s">
        <v>11995</v>
      </c>
      <c r="B401" s="25" t="str">
        <f>VLOOKUP(A401,policy!B:C,2,0)</f>
        <v>070000172270</v>
      </c>
      <c r="C401" s="13">
        <v>44100</v>
      </c>
      <c r="D401" s="26">
        <f t="shared" si="25"/>
        <v>44100</v>
      </c>
      <c r="E401" s="24" t="s">
        <v>13296</v>
      </c>
      <c r="F401" s="27" t="str">
        <f t="shared" si="24"/>
        <v>insert into ins_premium_det (premium_rcv_code,assorted_code, rec_amount,premium_rcv_detail_code,remaining_amt, payrec, mode_code,coinsurance_code,class_cd,it_remarks) values</v>
      </c>
      <c r="G401" s="28" t="str">
        <f t="shared" si="26"/>
        <v>('30Dec240042','070000172270','44100',(select max(to_number(i.premium_rcv_detail_code))+1
from ins_premium_det i),'44100','44100','02', '11000003','00','Request by Mr. Saqib Saleem 31-Dec-2024 Active');</v>
      </c>
      <c r="H401" s="29" t="str">
        <f t="shared" si="27"/>
        <v>insert into ins_premium_det (premium_rcv_code,assorted_code, rec_amount,premium_rcv_detail_code,remaining_amt, payrec, mode_code,coinsurance_code,class_cd,it_remarks) values('30Dec240042','070000172270','44100',(select max(to_number(i.premium_rcv_detail_code))+1
from ins_premium_det i),'44100','44100','02', '11000003','00','Request by Mr. Saqib Saleem 31-Dec-2024 Active');</v>
      </c>
    </row>
    <row r="402" spans="1:8" ht="105" x14ac:dyDescent="0.25">
      <c r="A402" s="12" t="s">
        <v>11778</v>
      </c>
      <c r="B402" s="25" t="str">
        <f>VLOOKUP(A402,policy!B:C,2,0)</f>
        <v>070000170708</v>
      </c>
      <c r="C402" s="11">
        <v>24000</v>
      </c>
      <c r="D402" s="26">
        <f t="shared" si="25"/>
        <v>24000</v>
      </c>
      <c r="E402" s="24" t="s">
        <v>13296</v>
      </c>
      <c r="F402" s="27" t="str">
        <f t="shared" si="24"/>
        <v>insert into ins_premium_det (premium_rcv_code,assorted_code, rec_amount,premium_rcv_detail_code,remaining_amt, payrec, mode_code,coinsurance_code,class_cd,it_remarks) values</v>
      </c>
      <c r="G402" s="28" t="str">
        <f t="shared" si="26"/>
        <v>('30Dec240042','070000170708','24000',(select max(to_number(i.premium_rcv_detail_code))+1
from ins_premium_det i),'24000','24000','02', '11000003','00','Request by Mr. Saqib Saleem 31-Dec-2024 Active');</v>
      </c>
      <c r="H402" s="29" t="str">
        <f t="shared" si="27"/>
        <v>insert into ins_premium_det (premium_rcv_code,assorted_code, rec_amount,premium_rcv_detail_code,remaining_amt, payrec, mode_code,coinsurance_code,class_cd,it_remarks) values('30Dec240042','070000170708','24000',(select max(to_number(i.premium_rcv_detail_code))+1
from ins_premium_det i),'24000','24000','02', '11000003','00','Request by Mr. Saqib Saleem 31-Dec-2024 Active');</v>
      </c>
    </row>
    <row r="403" spans="1:8" ht="105" x14ac:dyDescent="0.25">
      <c r="A403" s="12" t="s">
        <v>11779</v>
      </c>
      <c r="B403" s="25" t="str">
        <f>VLOOKUP(A403,policy!B:C,2,0)</f>
        <v>070000172271</v>
      </c>
      <c r="C403" s="13">
        <v>72450</v>
      </c>
      <c r="D403" s="26">
        <f t="shared" si="25"/>
        <v>72450</v>
      </c>
      <c r="E403" s="24" t="s">
        <v>13296</v>
      </c>
      <c r="F403" s="27" t="str">
        <f t="shared" si="24"/>
        <v>insert into ins_premium_det (premium_rcv_code,assorted_code, rec_amount,premium_rcv_detail_code,remaining_amt, payrec, mode_code,coinsurance_code,class_cd,it_remarks) values</v>
      </c>
      <c r="G403" s="28" t="str">
        <f t="shared" si="26"/>
        <v>('30Dec240042','070000172271','72450',(select max(to_number(i.premium_rcv_detail_code))+1
from ins_premium_det i),'72450','72450','02', '11000003','00','Request by Mr. Saqib Saleem 31-Dec-2024 Active');</v>
      </c>
      <c r="H403" s="29" t="str">
        <f t="shared" si="27"/>
        <v>insert into ins_premium_det (premium_rcv_code,assorted_code, rec_amount,premium_rcv_detail_code,remaining_amt, payrec, mode_code,coinsurance_code,class_cd,it_remarks) values('30Dec240042','070000172271','72450',(select max(to_number(i.premium_rcv_detail_code))+1
from ins_premium_det i),'72450','72450','02', '11000003','00','Request by Mr. Saqib Saleem 31-Dec-2024 Active');</v>
      </c>
    </row>
    <row r="404" spans="1:8" ht="105" x14ac:dyDescent="0.25">
      <c r="A404" s="12" t="s">
        <v>11780</v>
      </c>
      <c r="B404" s="25" t="str">
        <f>VLOOKUP(A404,policy!B:C,2,0)</f>
        <v>070000170707</v>
      </c>
      <c r="C404" s="11">
        <v>34500</v>
      </c>
      <c r="D404" s="26">
        <f t="shared" si="25"/>
        <v>34500</v>
      </c>
      <c r="E404" s="24" t="s">
        <v>13296</v>
      </c>
      <c r="F404" s="27" t="str">
        <f t="shared" si="24"/>
        <v>insert into ins_premium_det (premium_rcv_code,assorted_code, rec_amount,premium_rcv_detail_code,remaining_amt, payrec, mode_code,coinsurance_code,class_cd,it_remarks) values</v>
      </c>
      <c r="G404" s="28" t="str">
        <f t="shared" si="26"/>
        <v>('30Dec240042','070000170707','34500',(select max(to_number(i.premium_rcv_detail_code))+1
from ins_premium_det i),'34500','34500','02', '11000003','00','Request by Mr. Saqib Saleem 31-Dec-2024 Active');</v>
      </c>
      <c r="H404" s="29" t="str">
        <f t="shared" si="27"/>
        <v>insert into ins_premium_det (premium_rcv_code,assorted_code, rec_amount,premium_rcv_detail_code,remaining_amt, payrec, mode_code,coinsurance_code,class_cd,it_remarks) values('30Dec240042','070000170707','34500',(select max(to_number(i.premium_rcv_detail_code))+1
from ins_premium_det i),'34500','34500','02', '11000003','00','Request by Mr. Saqib Saleem 31-Dec-2024 Active');</v>
      </c>
    </row>
    <row r="405" spans="1:8" ht="105" x14ac:dyDescent="0.25">
      <c r="A405" s="12" t="s">
        <v>11781</v>
      </c>
      <c r="B405" s="25" t="str">
        <f>VLOOKUP(A405,policy!B:C,2,0)</f>
        <v>070000170706</v>
      </c>
      <c r="C405" s="13">
        <v>21000</v>
      </c>
      <c r="D405" s="26">
        <f t="shared" si="25"/>
        <v>21000</v>
      </c>
      <c r="E405" s="24" t="s">
        <v>13296</v>
      </c>
      <c r="F405" s="27" t="str">
        <f t="shared" si="24"/>
        <v>insert into ins_premium_det (premium_rcv_code,assorted_code, rec_amount,premium_rcv_detail_code,remaining_amt, payrec, mode_code,coinsurance_code,class_cd,it_remarks) values</v>
      </c>
      <c r="G405" s="28" t="str">
        <f t="shared" si="26"/>
        <v>('30Dec240042','070000170706','21000',(select max(to_number(i.premium_rcv_detail_code))+1
from ins_premium_det i),'21000','21000','02', '11000003','00','Request by Mr. Saqib Saleem 31-Dec-2024 Active');</v>
      </c>
      <c r="H405" s="29" t="str">
        <f t="shared" si="27"/>
        <v>insert into ins_premium_det (premium_rcv_code,assorted_code, rec_amount,premium_rcv_detail_code,remaining_amt, payrec, mode_code,coinsurance_code,class_cd,it_remarks) values('30Dec240042','070000170706','21000',(select max(to_number(i.premium_rcv_detail_code))+1
from ins_premium_det i),'21000','21000','02', '11000003','00','Request by Mr. Saqib Saleem 31-Dec-2024 Active');</v>
      </c>
    </row>
    <row r="406" spans="1:8" ht="105" x14ac:dyDescent="0.25">
      <c r="A406" s="12" t="s">
        <v>11782</v>
      </c>
      <c r="B406" s="25" t="str">
        <f>VLOOKUP(A406,policy!B:C,2,0)</f>
        <v>070000170705</v>
      </c>
      <c r="C406" s="11">
        <v>20100</v>
      </c>
      <c r="D406" s="26">
        <f t="shared" si="25"/>
        <v>20100</v>
      </c>
      <c r="E406" s="24" t="s">
        <v>13296</v>
      </c>
      <c r="F406" s="27" t="str">
        <f t="shared" si="24"/>
        <v>insert into ins_premium_det (premium_rcv_code,assorted_code, rec_amount,premium_rcv_detail_code,remaining_amt, payrec, mode_code,coinsurance_code,class_cd,it_remarks) values</v>
      </c>
      <c r="G406" s="28" t="str">
        <f t="shared" si="26"/>
        <v>('30Dec240042','070000170705','20100',(select max(to_number(i.premium_rcv_detail_code))+1
from ins_premium_det i),'20100','20100','02', '11000003','00','Request by Mr. Saqib Saleem 31-Dec-2024 Active');</v>
      </c>
      <c r="H406" s="29" t="str">
        <f t="shared" si="27"/>
        <v>insert into ins_premium_det (premium_rcv_code,assorted_code, rec_amount,premium_rcv_detail_code,remaining_amt, payrec, mode_code,coinsurance_code,class_cd,it_remarks) values('30Dec240042','070000170705','20100',(select max(to_number(i.premium_rcv_detail_code))+1
from ins_premium_det i),'20100','20100','02', '11000003','00','Request by Mr. Saqib Saleem 31-Dec-2024 Active');</v>
      </c>
    </row>
    <row r="407" spans="1:8" ht="105" x14ac:dyDescent="0.25">
      <c r="A407" s="12" t="s">
        <v>11783</v>
      </c>
      <c r="B407" s="25" t="str">
        <f>VLOOKUP(A407,policy!B:C,2,0)</f>
        <v>070000170704</v>
      </c>
      <c r="C407" s="13">
        <v>20400</v>
      </c>
      <c r="D407" s="26">
        <f t="shared" si="25"/>
        <v>20400</v>
      </c>
      <c r="E407" s="24" t="s">
        <v>13296</v>
      </c>
      <c r="F407" s="27" t="str">
        <f t="shared" si="24"/>
        <v>insert into ins_premium_det (premium_rcv_code,assorted_code, rec_amount,premium_rcv_detail_code,remaining_amt, payrec, mode_code,coinsurance_code,class_cd,it_remarks) values</v>
      </c>
      <c r="G407" s="28" t="str">
        <f t="shared" si="26"/>
        <v>('30Dec240042','070000170704','20400',(select max(to_number(i.premium_rcv_detail_code))+1
from ins_premium_det i),'20400','20400','02', '11000003','00','Request by Mr. Saqib Saleem 31-Dec-2024 Active');</v>
      </c>
      <c r="H407" s="29" t="str">
        <f t="shared" si="27"/>
        <v>insert into ins_premium_det (premium_rcv_code,assorted_code, rec_amount,premium_rcv_detail_code,remaining_amt, payrec, mode_code,coinsurance_code,class_cd,it_remarks) values('30Dec240042','070000170704','20400',(select max(to_number(i.premium_rcv_detail_code))+1
from ins_premium_det i),'20400','20400','02', '11000003','00','Request by Mr. Saqib Saleem 31-Dec-2024 Active');</v>
      </c>
    </row>
    <row r="408" spans="1:8" ht="105" x14ac:dyDescent="0.25">
      <c r="A408" s="12" t="s">
        <v>11784</v>
      </c>
      <c r="B408" s="25" t="str">
        <f>VLOOKUP(A408,policy!B:C,2,0)</f>
        <v>070000170702</v>
      </c>
      <c r="C408" s="11">
        <v>20400</v>
      </c>
      <c r="D408" s="26">
        <f t="shared" si="25"/>
        <v>20400</v>
      </c>
      <c r="E408" s="24" t="s">
        <v>13296</v>
      </c>
      <c r="F408" s="27" t="str">
        <f t="shared" si="24"/>
        <v>insert into ins_premium_det (premium_rcv_code,assorted_code, rec_amount,premium_rcv_detail_code,remaining_amt, payrec, mode_code,coinsurance_code,class_cd,it_remarks) values</v>
      </c>
      <c r="G408" s="28" t="str">
        <f t="shared" si="26"/>
        <v>('30Dec240042','070000170702','20400',(select max(to_number(i.premium_rcv_detail_code))+1
from ins_premium_det i),'20400','20400','02', '11000003','00','Request by Mr. Saqib Saleem 31-Dec-2024 Active');</v>
      </c>
      <c r="H408" s="29" t="str">
        <f t="shared" si="27"/>
        <v>insert into ins_premium_det (premium_rcv_code,assorted_code, rec_amount,premium_rcv_detail_code,remaining_amt, payrec, mode_code,coinsurance_code,class_cd,it_remarks) values('30Dec240042','070000170702','20400',(select max(to_number(i.premium_rcv_detail_code))+1
from ins_premium_det i),'20400','20400','02', '11000003','00','Request by Mr. Saqib Saleem 31-Dec-2024 Active');</v>
      </c>
    </row>
    <row r="409" spans="1:8" ht="105" x14ac:dyDescent="0.25">
      <c r="A409" s="12" t="s">
        <v>11785</v>
      </c>
      <c r="B409" s="25" t="str">
        <f>VLOOKUP(A409,policy!B:C,2,0)</f>
        <v>070000170701</v>
      </c>
      <c r="C409" s="13">
        <v>21000</v>
      </c>
      <c r="D409" s="26">
        <f t="shared" si="25"/>
        <v>21000</v>
      </c>
      <c r="E409" s="24" t="s">
        <v>13296</v>
      </c>
      <c r="F409" s="27" t="str">
        <f t="shared" si="24"/>
        <v>insert into ins_premium_det (premium_rcv_code,assorted_code, rec_amount,premium_rcv_detail_code,remaining_amt, payrec, mode_code,coinsurance_code,class_cd,it_remarks) values</v>
      </c>
      <c r="G409" s="28" t="str">
        <f t="shared" si="26"/>
        <v>('30Dec240042','070000170701','21000',(select max(to_number(i.premium_rcv_detail_code))+1
from ins_premium_det i),'21000','21000','02', '11000003','00','Request by Mr. Saqib Saleem 31-Dec-2024 Active');</v>
      </c>
      <c r="H409" s="29" t="str">
        <f t="shared" si="27"/>
        <v>insert into ins_premium_det (premium_rcv_code,assorted_code, rec_amount,premium_rcv_detail_code,remaining_amt, payrec, mode_code,coinsurance_code,class_cd,it_remarks) values('30Dec240042','070000170701','21000',(select max(to_number(i.premium_rcv_detail_code))+1
from ins_premium_det i),'21000','21000','02', '11000003','00','Request by Mr. Saqib Saleem 31-Dec-2024 Active');</v>
      </c>
    </row>
    <row r="410" spans="1:8" ht="105" x14ac:dyDescent="0.25">
      <c r="A410" s="12" t="s">
        <v>11786</v>
      </c>
      <c r="B410" s="25" t="str">
        <f>VLOOKUP(A410,policy!B:C,2,0)</f>
        <v>070000170700</v>
      </c>
      <c r="C410" s="11">
        <v>33184</v>
      </c>
      <c r="D410" s="26">
        <f t="shared" si="25"/>
        <v>33184</v>
      </c>
      <c r="E410" s="24" t="s">
        <v>13296</v>
      </c>
      <c r="F410" s="27" t="str">
        <f t="shared" si="24"/>
        <v>insert into ins_premium_det (premium_rcv_code,assorted_code, rec_amount,premium_rcv_detail_code,remaining_amt, payrec, mode_code,coinsurance_code,class_cd,it_remarks) values</v>
      </c>
      <c r="G410" s="28" t="str">
        <f t="shared" si="26"/>
        <v>('30Dec240042','070000170700','33184',(select max(to_number(i.premium_rcv_detail_code))+1
from ins_premium_det i),'33184','33184','02', '11000003','00','Request by Mr. Saqib Saleem 31-Dec-2024 Active');</v>
      </c>
      <c r="H410" s="29" t="str">
        <f t="shared" si="27"/>
        <v>insert into ins_premium_det (premium_rcv_code,assorted_code, rec_amount,premium_rcv_detail_code,remaining_amt, payrec, mode_code,coinsurance_code,class_cd,it_remarks) values('30Dec240042','070000170700','33184',(select max(to_number(i.premium_rcv_detail_code))+1
from ins_premium_det i),'33184','33184','02', '11000003','00','Request by Mr. Saqib Saleem 31-Dec-2024 Active');</v>
      </c>
    </row>
    <row r="411" spans="1:8" ht="105" x14ac:dyDescent="0.25">
      <c r="A411" s="12" t="s">
        <v>11787</v>
      </c>
      <c r="B411" s="25" t="str">
        <f>VLOOKUP(A411,policy!B:C,2,0)</f>
        <v>070000170699</v>
      </c>
      <c r="C411" s="13">
        <v>23100</v>
      </c>
      <c r="D411" s="26">
        <f t="shared" si="25"/>
        <v>23100</v>
      </c>
      <c r="E411" s="24" t="s">
        <v>13296</v>
      </c>
      <c r="F411" s="27" t="str">
        <f t="shared" si="24"/>
        <v>insert into ins_premium_det (premium_rcv_code,assorted_code, rec_amount,premium_rcv_detail_code,remaining_amt, payrec, mode_code,coinsurance_code,class_cd,it_remarks) values</v>
      </c>
      <c r="G411" s="28" t="str">
        <f t="shared" si="26"/>
        <v>('30Dec240042','070000170699','23100',(select max(to_number(i.premium_rcv_detail_code))+1
from ins_premium_det i),'23100','23100','02', '11000003','00','Request by Mr. Saqib Saleem 31-Dec-2024 Active');</v>
      </c>
      <c r="H411" s="29" t="str">
        <f t="shared" si="27"/>
        <v>insert into ins_premium_det (premium_rcv_code,assorted_code, rec_amount,premium_rcv_detail_code,remaining_amt, payrec, mode_code,coinsurance_code,class_cd,it_remarks) values('30Dec240042','070000170699','23100',(select max(to_number(i.premium_rcv_detail_code))+1
from ins_premium_det i),'23100','23100','02', '11000003','00','Request by Mr. Saqib Saleem 31-Dec-2024 Active');</v>
      </c>
    </row>
    <row r="412" spans="1:8" ht="105" x14ac:dyDescent="0.25">
      <c r="A412" s="12" t="s">
        <v>11788</v>
      </c>
      <c r="B412" s="25" t="str">
        <f>VLOOKUP(A412,policy!B:C,2,0)</f>
        <v>070000170698</v>
      </c>
      <c r="C412" s="11">
        <v>21900</v>
      </c>
      <c r="D412" s="26">
        <f t="shared" si="25"/>
        <v>21900</v>
      </c>
      <c r="E412" s="24" t="s">
        <v>13296</v>
      </c>
      <c r="F412" s="27" t="str">
        <f t="shared" si="24"/>
        <v>insert into ins_premium_det (premium_rcv_code,assorted_code, rec_amount,premium_rcv_detail_code,remaining_amt, payrec, mode_code,coinsurance_code,class_cd,it_remarks) values</v>
      </c>
      <c r="G412" s="28" t="str">
        <f t="shared" si="26"/>
        <v>('30Dec240042','070000170698','21900',(select max(to_number(i.premium_rcv_detail_code))+1
from ins_premium_det i),'21900','21900','02', '11000003','00','Request by Mr. Saqib Saleem 31-Dec-2024 Active');</v>
      </c>
      <c r="H412" s="29" t="str">
        <f t="shared" si="27"/>
        <v>insert into ins_premium_det (premium_rcv_code,assorted_code, rec_amount,premium_rcv_detail_code,remaining_amt, payrec, mode_code,coinsurance_code,class_cd,it_remarks) values('30Dec240042','070000170698','21900',(select max(to_number(i.premium_rcv_detail_code))+1
from ins_premium_det i),'21900','21900','02', '11000003','00','Request by Mr. Saqib Saleem 31-Dec-2024 Active');</v>
      </c>
    </row>
    <row r="413" spans="1:8" ht="105" x14ac:dyDescent="0.25">
      <c r="A413" s="12" t="s">
        <v>11789</v>
      </c>
      <c r="B413" s="25" t="str">
        <f>VLOOKUP(A413,policy!B:C,2,0)</f>
        <v>070000170697</v>
      </c>
      <c r="C413" s="13">
        <v>29632</v>
      </c>
      <c r="D413" s="26">
        <f t="shared" si="25"/>
        <v>29632</v>
      </c>
      <c r="E413" s="24" t="s">
        <v>13296</v>
      </c>
      <c r="F413" s="27" t="str">
        <f t="shared" si="24"/>
        <v>insert into ins_premium_det (premium_rcv_code,assorted_code, rec_amount,premium_rcv_detail_code,remaining_amt, payrec, mode_code,coinsurance_code,class_cd,it_remarks) values</v>
      </c>
      <c r="G413" s="28" t="str">
        <f t="shared" si="26"/>
        <v>('30Dec240042','070000170697','29632',(select max(to_number(i.premium_rcv_detail_code))+1
from ins_premium_det i),'29632','29632','02', '11000003','00','Request by Mr. Saqib Saleem 31-Dec-2024 Active');</v>
      </c>
      <c r="H413" s="29" t="str">
        <f t="shared" si="27"/>
        <v>insert into ins_premium_det (premium_rcv_code,assorted_code, rec_amount,premium_rcv_detail_code,remaining_amt, payrec, mode_code,coinsurance_code,class_cd,it_remarks) values('30Dec240042','070000170697','29632',(select max(to_number(i.premium_rcv_detail_code))+1
from ins_premium_det i),'29632','29632','02', '11000003','00','Request by Mr. Saqib Saleem 31-Dec-2024 Active');</v>
      </c>
    </row>
    <row r="414" spans="1:8" ht="105" x14ac:dyDescent="0.25">
      <c r="A414" s="12" t="s">
        <v>11790</v>
      </c>
      <c r="B414" s="25" t="str">
        <f>VLOOKUP(A414,policy!B:C,2,0)</f>
        <v>070000170694</v>
      </c>
      <c r="C414" s="11">
        <v>22800</v>
      </c>
      <c r="D414" s="26">
        <f t="shared" si="25"/>
        <v>22800</v>
      </c>
      <c r="E414" s="24" t="s">
        <v>13296</v>
      </c>
      <c r="F414" s="27" t="str">
        <f t="shared" si="24"/>
        <v>insert into ins_premium_det (premium_rcv_code,assorted_code, rec_amount,premium_rcv_detail_code,remaining_amt, payrec, mode_code,coinsurance_code,class_cd,it_remarks) values</v>
      </c>
      <c r="G414" s="28" t="str">
        <f t="shared" si="26"/>
        <v>('30Dec240042','070000170694','22800',(select max(to_number(i.premium_rcv_detail_code))+1
from ins_premium_det i),'22800','22800','02', '11000003','00','Request by Mr. Saqib Saleem 31-Dec-2024 Active');</v>
      </c>
      <c r="H414" s="29" t="str">
        <f t="shared" si="27"/>
        <v>insert into ins_premium_det (premium_rcv_code,assorted_code, rec_amount,premium_rcv_detail_code,remaining_amt, payrec, mode_code,coinsurance_code,class_cd,it_remarks) values('30Dec240042','070000170694','22800',(select max(to_number(i.premium_rcv_detail_code))+1
from ins_premium_det i),'22800','22800','02', '11000003','00','Request by Mr. Saqib Saleem 31-Dec-2024 Active');</v>
      </c>
    </row>
    <row r="415" spans="1:8" ht="105" x14ac:dyDescent="0.25">
      <c r="A415" s="12" t="s">
        <v>11791</v>
      </c>
      <c r="B415" s="25" t="str">
        <f>VLOOKUP(A415,policy!B:C,2,0)</f>
        <v>070000170693</v>
      </c>
      <c r="C415" s="13">
        <v>22620</v>
      </c>
      <c r="D415" s="26">
        <f t="shared" si="25"/>
        <v>22620</v>
      </c>
      <c r="E415" s="24" t="s">
        <v>13296</v>
      </c>
      <c r="F415" s="27" t="str">
        <f t="shared" si="24"/>
        <v>insert into ins_premium_det (premium_rcv_code,assorted_code, rec_amount,premium_rcv_detail_code,remaining_amt, payrec, mode_code,coinsurance_code,class_cd,it_remarks) values</v>
      </c>
      <c r="G415" s="28" t="str">
        <f t="shared" si="26"/>
        <v>('30Dec240042','070000170693','22620',(select max(to_number(i.premium_rcv_detail_code))+1
from ins_premium_det i),'22620','22620','02', '11000003','00','Request by Mr. Saqib Saleem 31-Dec-2024 Active');</v>
      </c>
      <c r="H415" s="29" t="str">
        <f t="shared" si="27"/>
        <v>insert into ins_premium_det (premium_rcv_code,assorted_code, rec_amount,premium_rcv_detail_code,remaining_amt, payrec, mode_code,coinsurance_code,class_cd,it_remarks) values('30Dec240042','070000170693','22620',(select max(to_number(i.premium_rcv_detail_code))+1
from ins_premium_det i),'22620','22620','02', '11000003','00','Request by Mr. Saqib Saleem 31-Dec-2024 Active');</v>
      </c>
    </row>
    <row r="416" spans="1:8" ht="105" x14ac:dyDescent="0.25">
      <c r="A416" s="12" t="s">
        <v>11792</v>
      </c>
      <c r="B416" s="25" t="str">
        <f>VLOOKUP(A416,policy!B:C,2,0)</f>
        <v>070000170690</v>
      </c>
      <c r="C416" s="11">
        <v>45072</v>
      </c>
      <c r="D416" s="26">
        <f t="shared" si="25"/>
        <v>45072</v>
      </c>
      <c r="E416" s="24" t="s">
        <v>13296</v>
      </c>
      <c r="F416" s="27" t="str">
        <f t="shared" si="24"/>
        <v>insert into ins_premium_det (premium_rcv_code,assorted_code, rec_amount,premium_rcv_detail_code,remaining_amt, payrec, mode_code,coinsurance_code,class_cd,it_remarks) values</v>
      </c>
      <c r="G416" s="28" t="str">
        <f t="shared" si="26"/>
        <v>('30Dec240042','070000170690','45072',(select max(to_number(i.premium_rcv_detail_code))+1
from ins_premium_det i),'45072','45072','02', '11000003','00','Request by Mr. Saqib Saleem 31-Dec-2024 Active');</v>
      </c>
      <c r="H416" s="29" t="str">
        <f t="shared" si="27"/>
        <v>insert into ins_premium_det (premium_rcv_code,assorted_code, rec_amount,premium_rcv_detail_code,remaining_amt, payrec, mode_code,coinsurance_code,class_cd,it_remarks) values('30Dec240042','070000170690','45072',(select max(to_number(i.premium_rcv_detail_code))+1
from ins_premium_det i),'45072','45072','02', '11000003','00','Request by Mr. Saqib Saleem 31-Dec-2024 Active');</v>
      </c>
    </row>
    <row r="417" spans="1:8" ht="105" x14ac:dyDescent="0.25">
      <c r="A417" s="12" t="s">
        <v>11793</v>
      </c>
      <c r="B417" s="25" t="str">
        <f>VLOOKUP(A417,policy!B:C,2,0)</f>
        <v>070000172272</v>
      </c>
      <c r="C417" s="13">
        <v>45675</v>
      </c>
      <c r="D417" s="26">
        <f t="shared" si="25"/>
        <v>45675</v>
      </c>
      <c r="E417" s="24" t="s">
        <v>13296</v>
      </c>
      <c r="F417" s="27" t="str">
        <f t="shared" si="24"/>
        <v>insert into ins_premium_det (premium_rcv_code,assorted_code, rec_amount,premium_rcv_detail_code,remaining_amt, payrec, mode_code,coinsurance_code,class_cd,it_remarks) values</v>
      </c>
      <c r="G417" s="28" t="str">
        <f t="shared" si="26"/>
        <v>('30Dec240042','070000172272','45675',(select max(to_number(i.premium_rcv_detail_code))+1
from ins_premium_det i),'45675','45675','02', '11000003','00','Request by Mr. Saqib Saleem 31-Dec-2024 Active');</v>
      </c>
      <c r="H417" s="29" t="str">
        <f t="shared" si="27"/>
        <v>insert into ins_premium_det (premium_rcv_code,assorted_code, rec_amount,premium_rcv_detail_code,remaining_amt, payrec, mode_code,coinsurance_code,class_cd,it_remarks) values('30Dec240042','070000172272','45675',(select max(to_number(i.premium_rcv_detail_code))+1
from ins_premium_det i),'45675','45675','02', '11000003','00','Request by Mr. Saqib Saleem 31-Dec-2024 Active');</v>
      </c>
    </row>
    <row r="418" spans="1:8" ht="105" x14ac:dyDescent="0.25">
      <c r="A418" s="12" t="s">
        <v>11794</v>
      </c>
      <c r="B418" s="25" t="str">
        <f>VLOOKUP(A418,policy!B:C,2,0)</f>
        <v>070000170689</v>
      </c>
      <c r="C418" s="11">
        <v>46928</v>
      </c>
      <c r="D418" s="26">
        <f t="shared" si="25"/>
        <v>46928</v>
      </c>
      <c r="E418" s="24" t="s">
        <v>13296</v>
      </c>
      <c r="F418" s="27" t="str">
        <f t="shared" si="24"/>
        <v>insert into ins_premium_det (premium_rcv_code,assorted_code, rec_amount,premium_rcv_detail_code,remaining_amt, payrec, mode_code,coinsurance_code,class_cd,it_remarks) values</v>
      </c>
      <c r="G418" s="28" t="str">
        <f t="shared" si="26"/>
        <v>('30Dec240042','070000170689','46928',(select max(to_number(i.premium_rcv_detail_code))+1
from ins_premium_det i),'46928','46928','02', '11000003','00','Request by Mr. Saqib Saleem 31-Dec-2024 Active');</v>
      </c>
      <c r="H418" s="29" t="str">
        <f t="shared" si="27"/>
        <v>insert into ins_premium_det (premium_rcv_code,assorted_code, rec_amount,premium_rcv_detail_code,remaining_amt, payrec, mode_code,coinsurance_code,class_cd,it_remarks) values('30Dec240042','070000170689','46928',(select max(to_number(i.premium_rcv_detail_code))+1
from ins_premium_det i),'46928','46928','02', '11000003','00','Request by Mr. Saqib Saleem 31-Dec-2024 Active');</v>
      </c>
    </row>
    <row r="419" spans="1:8" ht="105" x14ac:dyDescent="0.25">
      <c r="A419" s="12" t="s">
        <v>11795</v>
      </c>
      <c r="B419" s="25" t="str">
        <f>VLOOKUP(A419,policy!B:C,2,0)</f>
        <v>070000172273</v>
      </c>
      <c r="C419" s="13">
        <v>44744</v>
      </c>
      <c r="D419" s="26">
        <f t="shared" si="25"/>
        <v>44744</v>
      </c>
      <c r="E419" s="24" t="s">
        <v>13296</v>
      </c>
      <c r="F419" s="27" t="str">
        <f t="shared" si="24"/>
        <v>insert into ins_premium_det (premium_rcv_code,assorted_code, rec_amount,premium_rcv_detail_code,remaining_amt, payrec, mode_code,coinsurance_code,class_cd,it_remarks) values</v>
      </c>
      <c r="G419" s="28" t="str">
        <f t="shared" si="26"/>
        <v>('30Dec240042','070000172273','44744',(select max(to_number(i.premium_rcv_detail_code))+1
from ins_premium_det i),'44744','44744','02', '11000003','00','Request by Mr. Saqib Saleem 31-Dec-2024 Active');</v>
      </c>
      <c r="H419" s="29" t="str">
        <f t="shared" si="27"/>
        <v>insert into ins_premium_det (premium_rcv_code,assorted_code, rec_amount,premium_rcv_detail_code,remaining_amt, payrec, mode_code,coinsurance_code,class_cd,it_remarks) values('30Dec240042','070000172273','44744',(select max(to_number(i.premium_rcv_detail_code))+1
from ins_premium_det i),'44744','44744','02', '11000003','00','Request by Mr. Saqib Saleem 31-Dec-2024 Active');</v>
      </c>
    </row>
    <row r="420" spans="1:8" ht="105" x14ac:dyDescent="0.25">
      <c r="A420" s="12" t="s">
        <v>11796</v>
      </c>
      <c r="B420" s="25" t="str">
        <f>VLOOKUP(A420,policy!B:C,2,0)</f>
        <v>070000172269</v>
      </c>
      <c r="C420" s="11">
        <v>65923</v>
      </c>
      <c r="D420" s="26">
        <f t="shared" si="25"/>
        <v>65923</v>
      </c>
      <c r="E420" s="24" t="s">
        <v>13296</v>
      </c>
      <c r="F420" s="27" t="str">
        <f t="shared" si="24"/>
        <v>insert into ins_premium_det (premium_rcv_code,assorted_code, rec_amount,premium_rcv_detail_code,remaining_amt, payrec, mode_code,coinsurance_code,class_cd,it_remarks) values</v>
      </c>
      <c r="G420" s="28" t="str">
        <f t="shared" si="26"/>
        <v>('30Dec240042','070000172269','65923',(select max(to_number(i.premium_rcv_detail_code))+1
from ins_premium_det i),'65923','65923','02', '11000003','00','Request by Mr. Saqib Saleem 31-Dec-2024 Active');</v>
      </c>
      <c r="H420" s="29" t="str">
        <f t="shared" si="27"/>
        <v>insert into ins_premium_det (premium_rcv_code,assorted_code, rec_amount,premium_rcv_detail_code,remaining_amt, payrec, mode_code,coinsurance_code,class_cd,it_remarks) values('30Dec240042','070000172269','65923',(select max(to_number(i.premium_rcv_detail_code))+1
from ins_premium_det i),'65923','65923','02', '11000003','00','Request by Mr. Saqib Saleem 31-Dec-2024 Active');</v>
      </c>
    </row>
    <row r="421" spans="1:8" ht="105" x14ac:dyDescent="0.25">
      <c r="A421" s="12" t="s">
        <v>11797</v>
      </c>
      <c r="B421" s="25" t="str">
        <f>VLOOKUP(A421,policy!B:C,2,0)</f>
        <v>070000172267</v>
      </c>
      <c r="C421" s="13">
        <v>26240</v>
      </c>
      <c r="D421" s="26">
        <f t="shared" si="25"/>
        <v>26240</v>
      </c>
      <c r="E421" s="24" t="s">
        <v>13296</v>
      </c>
      <c r="F421" s="27" t="str">
        <f t="shared" si="24"/>
        <v>insert into ins_premium_det (premium_rcv_code,assorted_code, rec_amount,premium_rcv_detail_code,remaining_amt, payrec, mode_code,coinsurance_code,class_cd,it_remarks) values</v>
      </c>
      <c r="G421" s="28" t="str">
        <f t="shared" si="26"/>
        <v>('30Dec240042','070000172267','26240',(select max(to_number(i.premium_rcv_detail_code))+1
from ins_premium_det i),'26240','26240','02', '11000003','00','Request by Mr. Saqib Saleem 31-Dec-2024 Active');</v>
      </c>
      <c r="H421" s="29" t="str">
        <f t="shared" si="27"/>
        <v>insert into ins_premium_det (premium_rcv_code,assorted_code, rec_amount,premium_rcv_detail_code,remaining_amt, payrec, mode_code,coinsurance_code,class_cd,it_remarks) values('30Dec240042','070000172267','26240',(select max(to_number(i.premium_rcv_detail_code))+1
from ins_premium_det i),'26240','26240','02', '11000003','00','Request by Mr. Saqib Saleem 31-Dec-2024 Active');</v>
      </c>
    </row>
    <row r="422" spans="1:8" ht="105" x14ac:dyDescent="0.25">
      <c r="A422" s="12" t="s">
        <v>11798</v>
      </c>
      <c r="B422" s="25" t="str">
        <f>VLOOKUP(A422,policy!B:C,2,0)</f>
        <v>070000170688</v>
      </c>
      <c r="C422" s="11">
        <v>27000</v>
      </c>
      <c r="D422" s="26">
        <f t="shared" si="25"/>
        <v>27000</v>
      </c>
      <c r="E422" s="24" t="s">
        <v>13296</v>
      </c>
      <c r="F422" s="27" t="str">
        <f t="shared" si="24"/>
        <v>insert into ins_premium_det (premium_rcv_code,assorted_code, rec_amount,premium_rcv_detail_code,remaining_amt, payrec, mode_code,coinsurance_code,class_cd,it_remarks) values</v>
      </c>
      <c r="G422" s="28" t="str">
        <f t="shared" si="26"/>
        <v>('30Dec240042','070000170688','27000',(select max(to_number(i.premium_rcv_detail_code))+1
from ins_premium_det i),'27000','27000','02', '11000003','00','Request by Mr. Saqib Saleem 31-Dec-2024 Active');</v>
      </c>
      <c r="H422" s="29" t="str">
        <f t="shared" si="27"/>
        <v>insert into ins_premium_det (premium_rcv_code,assorted_code, rec_amount,premium_rcv_detail_code,remaining_amt, payrec, mode_code,coinsurance_code,class_cd,it_remarks) values('30Dec240042','070000170688','27000',(select max(to_number(i.premium_rcv_detail_code))+1
from ins_premium_det i),'27000','27000','02', '11000003','00','Request by Mr. Saqib Saleem 31-Dec-2024 Active');</v>
      </c>
    </row>
    <row r="423" spans="1:8" ht="105" x14ac:dyDescent="0.25">
      <c r="A423" s="12" t="s">
        <v>11799</v>
      </c>
      <c r="B423" s="25" t="str">
        <f>VLOOKUP(A423,policy!B:C,2,0)</f>
        <v>070000170686</v>
      </c>
      <c r="C423" s="13">
        <v>36750</v>
      </c>
      <c r="D423" s="26">
        <f t="shared" si="25"/>
        <v>36750</v>
      </c>
      <c r="E423" s="24" t="s">
        <v>13296</v>
      </c>
      <c r="F423" s="27" t="str">
        <f t="shared" si="24"/>
        <v>insert into ins_premium_det (premium_rcv_code,assorted_code, rec_amount,premium_rcv_detail_code,remaining_amt, payrec, mode_code,coinsurance_code,class_cd,it_remarks) values</v>
      </c>
      <c r="G423" s="28" t="str">
        <f t="shared" si="26"/>
        <v>('30Dec240042','070000170686','36750',(select max(to_number(i.premium_rcv_detail_code))+1
from ins_premium_det i),'36750','36750','02', '11000003','00','Request by Mr. Saqib Saleem 31-Dec-2024 Active');</v>
      </c>
      <c r="H423" s="29" t="str">
        <f t="shared" si="27"/>
        <v>insert into ins_premium_det (premium_rcv_code,assorted_code, rec_amount,premium_rcv_detail_code,remaining_amt, payrec, mode_code,coinsurance_code,class_cd,it_remarks) values('30Dec240042','070000170686','36750',(select max(to_number(i.premium_rcv_detail_code))+1
from ins_premium_det i),'36750','36750','02', '11000003','00','Request by Mr. Saqib Saleem 31-Dec-2024 Active');</v>
      </c>
    </row>
    <row r="424" spans="1:8" ht="105" x14ac:dyDescent="0.25">
      <c r="A424" s="12" t="s">
        <v>11800</v>
      </c>
      <c r="B424" s="25" t="str">
        <f>VLOOKUP(A424,policy!B:C,2,0)</f>
        <v>070000170685</v>
      </c>
      <c r="C424" s="11">
        <v>28500</v>
      </c>
      <c r="D424" s="26">
        <f t="shared" si="25"/>
        <v>28500</v>
      </c>
      <c r="E424" s="24" t="s">
        <v>13296</v>
      </c>
      <c r="F424" s="27" t="str">
        <f t="shared" si="24"/>
        <v>insert into ins_premium_det (premium_rcv_code,assorted_code, rec_amount,premium_rcv_detail_code,remaining_amt, payrec, mode_code,coinsurance_code,class_cd,it_remarks) values</v>
      </c>
      <c r="G424" s="28" t="str">
        <f t="shared" si="26"/>
        <v>('30Dec240042','070000170685','28500',(select max(to_number(i.premium_rcv_detail_code))+1
from ins_premium_det i),'28500','28500','02', '11000003','00','Request by Mr. Saqib Saleem 31-Dec-2024 Active');</v>
      </c>
      <c r="H424" s="29" t="str">
        <f t="shared" si="27"/>
        <v>insert into ins_premium_det (premium_rcv_code,assorted_code, rec_amount,premium_rcv_detail_code,remaining_amt, payrec, mode_code,coinsurance_code,class_cd,it_remarks) values('30Dec240042','070000170685','28500',(select max(to_number(i.premium_rcv_detail_code))+1
from ins_premium_det i),'28500','28500','02', '11000003','00','Request by Mr. Saqib Saleem 31-Dec-2024 Active');</v>
      </c>
    </row>
    <row r="425" spans="1:8" ht="105" x14ac:dyDescent="0.25">
      <c r="A425" s="12" t="s">
        <v>11801</v>
      </c>
      <c r="B425" s="25" t="str">
        <f>VLOOKUP(A425,policy!B:C,2,0)</f>
        <v>070000172263</v>
      </c>
      <c r="C425" s="13">
        <v>61412</v>
      </c>
      <c r="D425" s="26">
        <f t="shared" si="25"/>
        <v>61412</v>
      </c>
      <c r="E425" s="24" t="s">
        <v>13296</v>
      </c>
      <c r="F425" s="27" t="str">
        <f t="shared" si="24"/>
        <v>insert into ins_premium_det (premium_rcv_code,assorted_code, rec_amount,premium_rcv_detail_code,remaining_amt, payrec, mode_code,coinsurance_code,class_cd,it_remarks) values</v>
      </c>
      <c r="G425" s="28" t="str">
        <f t="shared" si="26"/>
        <v>('30Dec240042','070000172263','61412',(select max(to_number(i.premium_rcv_detail_code))+1
from ins_premium_det i),'61412','61412','02', '11000003','00','Request by Mr. Saqib Saleem 31-Dec-2024 Active');</v>
      </c>
      <c r="H425" s="29" t="str">
        <f t="shared" si="27"/>
        <v>insert into ins_premium_det (premium_rcv_code,assorted_code, rec_amount,premium_rcv_detail_code,remaining_amt, payrec, mode_code,coinsurance_code,class_cd,it_remarks) values('30Dec240042','070000172263','61412',(select max(to_number(i.premium_rcv_detail_code))+1
from ins_premium_det i),'61412','61412','02', '11000003','00','Request by Mr. Saqib Saleem 31-Dec-2024 Active');</v>
      </c>
    </row>
    <row r="426" spans="1:8" ht="105" x14ac:dyDescent="0.25">
      <c r="A426" s="12" t="s">
        <v>11802</v>
      </c>
      <c r="B426" s="25" t="str">
        <f>VLOOKUP(A426,policy!B:C,2,0)</f>
        <v>070000170684</v>
      </c>
      <c r="C426" s="11">
        <v>30588</v>
      </c>
      <c r="D426" s="26">
        <f t="shared" si="25"/>
        <v>30588</v>
      </c>
      <c r="E426" s="24" t="s">
        <v>13296</v>
      </c>
      <c r="F426" s="27" t="str">
        <f t="shared" si="24"/>
        <v>insert into ins_premium_det (premium_rcv_code,assorted_code, rec_amount,premium_rcv_detail_code,remaining_amt, payrec, mode_code,coinsurance_code,class_cd,it_remarks) values</v>
      </c>
      <c r="G426" s="28" t="str">
        <f t="shared" si="26"/>
        <v>('30Dec240042','070000170684','30588',(select max(to_number(i.premium_rcv_detail_code))+1
from ins_premium_det i),'30588','30588','02', '11000003','00','Request by Mr. Saqib Saleem 31-Dec-2024 Active');</v>
      </c>
      <c r="H426" s="29" t="str">
        <f t="shared" si="27"/>
        <v>insert into ins_premium_det (premium_rcv_code,assorted_code, rec_amount,premium_rcv_detail_code,remaining_amt, payrec, mode_code,coinsurance_code,class_cd,it_remarks) values('30Dec240042','070000170684','30588',(select max(to_number(i.premium_rcv_detail_code))+1
from ins_premium_det i),'30588','30588','02', '11000003','00','Request by Mr. Saqib Saleem 31-Dec-2024 Active');</v>
      </c>
    </row>
    <row r="427" spans="1:8" ht="105" x14ac:dyDescent="0.25">
      <c r="A427" s="12" t="s">
        <v>11803</v>
      </c>
      <c r="B427" s="25" t="str">
        <f>VLOOKUP(A427,policy!B:C,2,0)</f>
        <v>070000170683</v>
      </c>
      <c r="C427" s="13">
        <v>40848</v>
      </c>
      <c r="D427" s="26">
        <f t="shared" si="25"/>
        <v>40848</v>
      </c>
      <c r="E427" s="24" t="s">
        <v>13296</v>
      </c>
      <c r="F427" s="27" t="str">
        <f t="shared" si="24"/>
        <v>insert into ins_premium_det (premium_rcv_code,assorted_code, rec_amount,premium_rcv_detail_code,remaining_amt, payrec, mode_code,coinsurance_code,class_cd,it_remarks) values</v>
      </c>
      <c r="G427" s="28" t="str">
        <f t="shared" si="26"/>
        <v>('30Dec240042','070000170683','40848',(select max(to_number(i.premium_rcv_detail_code))+1
from ins_premium_det i),'40848','40848','02', '11000003','00','Request by Mr. Saqib Saleem 31-Dec-2024 Active');</v>
      </c>
      <c r="H427" s="29" t="str">
        <f t="shared" si="27"/>
        <v>insert into ins_premium_det (premium_rcv_code,assorted_code, rec_amount,premium_rcv_detail_code,remaining_amt, payrec, mode_code,coinsurance_code,class_cd,it_remarks) values('30Dec240042','070000170683','40848',(select max(to_number(i.premium_rcv_detail_code))+1
from ins_premium_det i),'40848','40848','02', '11000003','00','Request by Mr. Saqib Saleem 31-Dec-2024 Active');</v>
      </c>
    </row>
    <row r="428" spans="1:8" ht="105" x14ac:dyDescent="0.25">
      <c r="A428" s="12" t="s">
        <v>11804</v>
      </c>
      <c r="B428" s="25" t="str">
        <f>VLOOKUP(A428,policy!B:C,2,0)</f>
        <v>070000172261</v>
      </c>
      <c r="C428" s="11">
        <v>34650</v>
      </c>
      <c r="D428" s="26">
        <f t="shared" si="25"/>
        <v>34650</v>
      </c>
      <c r="E428" s="24" t="s">
        <v>13296</v>
      </c>
      <c r="F428" s="27" t="str">
        <f t="shared" si="24"/>
        <v>insert into ins_premium_det (premium_rcv_code,assorted_code, rec_amount,premium_rcv_detail_code,remaining_amt, payrec, mode_code,coinsurance_code,class_cd,it_remarks) values</v>
      </c>
      <c r="G428" s="28" t="str">
        <f t="shared" si="26"/>
        <v>('30Dec240042','070000172261','34650',(select max(to_number(i.premium_rcv_detail_code))+1
from ins_premium_det i),'34650','34650','02', '11000003','00','Request by Mr. Saqib Saleem 31-Dec-2024 Active');</v>
      </c>
      <c r="H428" s="29" t="str">
        <f t="shared" si="27"/>
        <v>insert into ins_premium_det (premium_rcv_code,assorted_code, rec_amount,premium_rcv_detail_code,remaining_amt, payrec, mode_code,coinsurance_code,class_cd,it_remarks) values('30Dec240042','070000172261','34650',(select max(to_number(i.premium_rcv_detail_code))+1
from ins_premium_det i),'34650','34650','02', '11000003','00','Request by Mr. Saqib Saleem 31-Dec-2024 Active');</v>
      </c>
    </row>
    <row r="429" spans="1:8" ht="105" x14ac:dyDescent="0.25">
      <c r="A429" s="12" t="s">
        <v>11805</v>
      </c>
      <c r="B429" s="25" t="str">
        <f>VLOOKUP(A429,policy!B:C,2,0)</f>
        <v>070000170681</v>
      </c>
      <c r="C429" s="13">
        <v>31200</v>
      </c>
      <c r="D429" s="26">
        <f t="shared" si="25"/>
        <v>31200</v>
      </c>
      <c r="E429" s="24" t="s">
        <v>13296</v>
      </c>
      <c r="F429" s="27" t="str">
        <f t="shared" si="24"/>
        <v>insert into ins_premium_det (premium_rcv_code,assorted_code, rec_amount,premium_rcv_detail_code,remaining_amt, payrec, mode_code,coinsurance_code,class_cd,it_remarks) values</v>
      </c>
      <c r="G429" s="28" t="str">
        <f t="shared" si="26"/>
        <v>('30Dec240042','070000170681','31200',(select max(to_number(i.premium_rcv_detail_code))+1
from ins_premium_det i),'31200','31200','02', '11000003','00','Request by Mr. Saqib Saleem 31-Dec-2024 Active');</v>
      </c>
      <c r="H429" s="29" t="str">
        <f t="shared" si="27"/>
        <v>insert into ins_premium_det (premium_rcv_code,assorted_code, rec_amount,premium_rcv_detail_code,remaining_amt, payrec, mode_code,coinsurance_code,class_cd,it_remarks) values('30Dec240042','070000170681','31200',(select max(to_number(i.premium_rcv_detail_code))+1
from ins_premium_det i),'31200','31200','02', '11000003','00','Request by Mr. Saqib Saleem 31-Dec-2024 Active');</v>
      </c>
    </row>
    <row r="430" spans="1:8" ht="105" x14ac:dyDescent="0.25">
      <c r="A430" s="12" t="s">
        <v>11806</v>
      </c>
      <c r="B430" s="25" t="str">
        <f>VLOOKUP(A430,policy!B:C,2,0)</f>
        <v>070000172258</v>
      </c>
      <c r="C430" s="11">
        <v>49725</v>
      </c>
      <c r="D430" s="26">
        <f t="shared" si="25"/>
        <v>49725</v>
      </c>
      <c r="E430" s="24" t="s">
        <v>13296</v>
      </c>
      <c r="F430" s="27" t="str">
        <f t="shared" si="24"/>
        <v>insert into ins_premium_det (premium_rcv_code,assorted_code, rec_amount,premium_rcv_detail_code,remaining_amt, payrec, mode_code,coinsurance_code,class_cd,it_remarks) values</v>
      </c>
      <c r="G430" s="28" t="str">
        <f t="shared" si="26"/>
        <v>('30Dec240042','070000172258','49725',(select max(to_number(i.premium_rcv_detail_code))+1
from ins_premium_det i),'49725','49725','02', '11000003','00','Request by Mr. Saqib Saleem 31-Dec-2024 Active');</v>
      </c>
      <c r="H430" s="29" t="str">
        <f t="shared" si="27"/>
        <v>insert into ins_premium_det (premium_rcv_code,assorted_code, rec_amount,premium_rcv_detail_code,remaining_amt, payrec, mode_code,coinsurance_code,class_cd,it_remarks) values('30Dec240042','070000172258','49725',(select max(to_number(i.premium_rcv_detail_code))+1
from ins_premium_det i),'49725','49725','02', '11000003','00','Request by Mr. Saqib Saleem 31-Dec-2024 Active');</v>
      </c>
    </row>
    <row r="431" spans="1:8" ht="105" x14ac:dyDescent="0.25">
      <c r="A431" s="12" t="s">
        <v>11807</v>
      </c>
      <c r="B431" s="25" t="str">
        <f>VLOOKUP(A431,policy!B:C,2,0)</f>
        <v>070000170677</v>
      </c>
      <c r="C431" s="13">
        <v>33000</v>
      </c>
      <c r="D431" s="26">
        <f t="shared" si="25"/>
        <v>33000</v>
      </c>
      <c r="E431" s="24" t="s">
        <v>13296</v>
      </c>
      <c r="F431" s="27" t="str">
        <f t="shared" si="24"/>
        <v>insert into ins_premium_det (premium_rcv_code,assorted_code, rec_amount,premium_rcv_detail_code,remaining_amt, payrec, mode_code,coinsurance_code,class_cd,it_remarks) values</v>
      </c>
      <c r="G431" s="28" t="str">
        <f t="shared" si="26"/>
        <v>('30Dec240042','070000170677','33000',(select max(to_number(i.premium_rcv_detail_code))+1
from ins_premium_det i),'33000','33000','02', '11000003','00','Request by Mr. Saqib Saleem 31-Dec-2024 Active');</v>
      </c>
      <c r="H431" s="29" t="str">
        <f t="shared" si="27"/>
        <v>insert into ins_premium_det (premium_rcv_code,assorted_code, rec_amount,premium_rcv_detail_code,remaining_amt, payrec, mode_code,coinsurance_code,class_cd,it_remarks) values('30Dec240042','070000170677','33000',(select max(to_number(i.premium_rcv_detail_code))+1
from ins_premium_det i),'33000','33000','02', '11000003','00','Request by Mr. Saqib Saleem 31-Dec-2024 Active');</v>
      </c>
    </row>
    <row r="432" spans="1:8" ht="105" x14ac:dyDescent="0.25">
      <c r="A432" s="12" t="s">
        <v>11808</v>
      </c>
      <c r="B432" s="25" t="str">
        <f>VLOOKUP(A432,policy!B:C,2,0)</f>
        <v>070000170676</v>
      </c>
      <c r="C432" s="11">
        <v>52200</v>
      </c>
      <c r="D432" s="26">
        <f t="shared" si="25"/>
        <v>52200</v>
      </c>
      <c r="E432" s="24" t="s">
        <v>13296</v>
      </c>
      <c r="F432" s="27" t="str">
        <f t="shared" si="24"/>
        <v>insert into ins_premium_det (premium_rcv_code,assorted_code, rec_amount,premium_rcv_detail_code,remaining_amt, payrec, mode_code,coinsurance_code,class_cd,it_remarks) values</v>
      </c>
      <c r="G432" s="28" t="str">
        <f t="shared" si="26"/>
        <v>('30Dec240042','070000170676','52200',(select max(to_number(i.premium_rcv_detail_code))+1
from ins_premium_det i),'52200','52200','02', '11000003','00','Request by Mr. Saqib Saleem 31-Dec-2024 Active');</v>
      </c>
      <c r="H432" s="29" t="str">
        <f t="shared" si="27"/>
        <v>insert into ins_premium_det (premium_rcv_code,assorted_code, rec_amount,premium_rcv_detail_code,remaining_amt, payrec, mode_code,coinsurance_code,class_cd,it_remarks) values('30Dec240042','070000170676','52200',(select max(to_number(i.premium_rcv_detail_code))+1
from ins_premium_det i),'52200','52200','02', '11000003','00','Request by Mr. Saqib Saleem 31-Dec-2024 Active');</v>
      </c>
    </row>
    <row r="433" spans="1:8" ht="105" x14ac:dyDescent="0.25">
      <c r="A433" s="12" t="s">
        <v>11809</v>
      </c>
      <c r="B433" s="25" t="str">
        <f>VLOOKUP(A433,policy!B:C,2,0)</f>
        <v>070000170675</v>
      </c>
      <c r="C433" s="13">
        <v>37200</v>
      </c>
      <c r="D433" s="26">
        <f t="shared" si="25"/>
        <v>37200</v>
      </c>
      <c r="E433" s="24" t="s">
        <v>13296</v>
      </c>
      <c r="F433" s="27" t="str">
        <f t="shared" si="24"/>
        <v>insert into ins_premium_det (premium_rcv_code,assorted_code, rec_amount,premium_rcv_detail_code,remaining_amt, payrec, mode_code,coinsurance_code,class_cd,it_remarks) values</v>
      </c>
      <c r="G433" s="28" t="str">
        <f t="shared" si="26"/>
        <v>('30Dec240042','070000170675','37200',(select max(to_number(i.premium_rcv_detail_code))+1
from ins_premium_det i),'37200','37200','02', '11000003','00','Request by Mr. Saqib Saleem 31-Dec-2024 Active');</v>
      </c>
      <c r="H433" s="29" t="str">
        <f t="shared" si="27"/>
        <v>insert into ins_premium_det (premium_rcv_code,assorted_code, rec_amount,premium_rcv_detail_code,remaining_amt, payrec, mode_code,coinsurance_code,class_cd,it_remarks) values('30Dec240042','070000170675','37200',(select max(to_number(i.premium_rcv_detail_code))+1
from ins_premium_det i),'37200','37200','02', '11000003','00','Request by Mr. Saqib Saleem 31-Dec-2024 Active');</v>
      </c>
    </row>
    <row r="434" spans="1:8" ht="105" x14ac:dyDescent="0.25">
      <c r="A434" s="12" t="s">
        <v>11810</v>
      </c>
      <c r="B434" s="25" t="str">
        <f>VLOOKUP(A434,policy!B:C,2,0)</f>
        <v>070000170672</v>
      </c>
      <c r="C434" s="11">
        <v>46500</v>
      </c>
      <c r="D434" s="26">
        <f t="shared" si="25"/>
        <v>46500</v>
      </c>
      <c r="E434" s="24" t="s">
        <v>13296</v>
      </c>
      <c r="F434" s="27" t="str">
        <f t="shared" si="24"/>
        <v>insert into ins_premium_det (premium_rcv_code,assorted_code, rec_amount,premium_rcv_detail_code,remaining_amt, payrec, mode_code,coinsurance_code,class_cd,it_remarks) values</v>
      </c>
      <c r="G434" s="28" t="str">
        <f t="shared" si="26"/>
        <v>('30Dec240042','070000170672','46500',(select max(to_number(i.premium_rcv_detail_code))+1
from ins_premium_det i),'46500','46500','02', '11000003','00','Request by Mr. Saqib Saleem 31-Dec-2024 Active');</v>
      </c>
      <c r="H434" s="29" t="str">
        <f t="shared" si="27"/>
        <v>insert into ins_premium_det (premium_rcv_code,assorted_code, rec_amount,premium_rcv_detail_code,remaining_amt, payrec, mode_code,coinsurance_code,class_cd,it_remarks) values('30Dec240042','070000170672','46500',(select max(to_number(i.premium_rcv_detail_code))+1
from ins_premium_det i),'46500','46500','02', '11000003','00','Request by Mr. Saqib Saleem 31-Dec-2024 Active');</v>
      </c>
    </row>
    <row r="435" spans="1:8" ht="105" x14ac:dyDescent="0.25">
      <c r="A435" s="12" t="s">
        <v>11811</v>
      </c>
      <c r="B435" s="25" t="str">
        <f>VLOOKUP(A435,policy!B:C,2,0)</f>
        <v>070000170671</v>
      </c>
      <c r="C435" s="13">
        <v>49200</v>
      </c>
      <c r="D435" s="26">
        <f t="shared" si="25"/>
        <v>49200</v>
      </c>
      <c r="E435" s="24" t="s">
        <v>13296</v>
      </c>
      <c r="F435" s="27" t="str">
        <f t="shared" si="24"/>
        <v>insert into ins_premium_det (premium_rcv_code,assorted_code, rec_amount,premium_rcv_detail_code,remaining_amt, payrec, mode_code,coinsurance_code,class_cd,it_remarks) values</v>
      </c>
      <c r="G435" s="28" t="str">
        <f t="shared" si="26"/>
        <v>('30Dec240042','070000170671','49200',(select max(to_number(i.premium_rcv_detail_code))+1
from ins_premium_det i),'49200','49200','02', '11000003','00','Request by Mr. Saqib Saleem 31-Dec-2024 Active');</v>
      </c>
      <c r="H435" s="29" t="str">
        <f t="shared" si="27"/>
        <v>insert into ins_premium_det (premium_rcv_code,assorted_code, rec_amount,premium_rcv_detail_code,remaining_amt, payrec, mode_code,coinsurance_code,class_cd,it_remarks) values('30Dec240042','070000170671','49200',(select max(to_number(i.premium_rcv_detail_code))+1
from ins_premium_det i),'49200','49200','02', '11000003','00','Request by Mr. Saqib Saleem 31-Dec-2024 Active');</v>
      </c>
    </row>
    <row r="436" spans="1:8" ht="105" x14ac:dyDescent="0.25">
      <c r="A436" s="12" t="s">
        <v>11812</v>
      </c>
      <c r="B436" s="25" t="str">
        <f>VLOOKUP(A436,policy!B:C,2,0)</f>
        <v>070000170670</v>
      </c>
      <c r="C436" s="11">
        <v>35700</v>
      </c>
      <c r="D436" s="26">
        <f t="shared" si="25"/>
        <v>35700</v>
      </c>
      <c r="E436" s="24" t="s">
        <v>13296</v>
      </c>
      <c r="F436" s="27" t="str">
        <f t="shared" si="24"/>
        <v>insert into ins_premium_det (premium_rcv_code,assorted_code, rec_amount,premium_rcv_detail_code,remaining_amt, payrec, mode_code,coinsurance_code,class_cd,it_remarks) values</v>
      </c>
      <c r="G436" s="28" t="str">
        <f t="shared" si="26"/>
        <v>('30Dec240042','070000170670','35700',(select max(to_number(i.premium_rcv_detail_code))+1
from ins_premium_det i),'35700','35700','02', '11000003','00','Request by Mr. Saqib Saleem 31-Dec-2024 Active');</v>
      </c>
      <c r="H436" s="29" t="str">
        <f t="shared" si="27"/>
        <v>insert into ins_premium_det (premium_rcv_code,assorted_code, rec_amount,premium_rcv_detail_code,remaining_amt, payrec, mode_code,coinsurance_code,class_cd,it_remarks) values('30Dec240042','070000170670','35700',(select max(to_number(i.premium_rcv_detail_code))+1
from ins_premium_det i),'35700','35700','02', '11000003','00','Request by Mr. Saqib Saleem 31-Dec-2024 Active');</v>
      </c>
    </row>
    <row r="437" spans="1:8" ht="105" x14ac:dyDescent="0.25">
      <c r="A437" s="12" t="s">
        <v>11813</v>
      </c>
      <c r="B437" s="25" t="str">
        <f>VLOOKUP(A437,policy!B:C,2,0)</f>
        <v>070000170669</v>
      </c>
      <c r="C437" s="13">
        <v>47895</v>
      </c>
      <c r="D437" s="26">
        <f t="shared" si="25"/>
        <v>47895</v>
      </c>
      <c r="E437" s="24" t="s">
        <v>13296</v>
      </c>
      <c r="F437" s="27" t="str">
        <f t="shared" si="24"/>
        <v>insert into ins_premium_det (premium_rcv_code,assorted_code, rec_amount,premium_rcv_detail_code,remaining_amt, payrec, mode_code,coinsurance_code,class_cd,it_remarks) values</v>
      </c>
      <c r="G437" s="28" t="str">
        <f t="shared" si="26"/>
        <v>('30Dec240042','070000170669','47895',(select max(to_number(i.premium_rcv_detail_code))+1
from ins_premium_det i),'47895','47895','02', '11000003','00','Request by Mr. Saqib Saleem 31-Dec-2024 Active');</v>
      </c>
      <c r="H437" s="29" t="str">
        <f t="shared" si="27"/>
        <v>insert into ins_premium_det (premium_rcv_code,assorted_code, rec_amount,premium_rcv_detail_code,remaining_amt, payrec, mode_code,coinsurance_code,class_cd,it_remarks) values('30Dec240042','070000170669','47895',(select max(to_number(i.premium_rcv_detail_code))+1
from ins_premium_det i),'47895','47895','02', '11000003','00','Request by Mr. Saqib Saleem 31-Dec-2024 Active');</v>
      </c>
    </row>
    <row r="438" spans="1:8" ht="105" x14ac:dyDescent="0.25">
      <c r="A438" s="12" t="s">
        <v>11814</v>
      </c>
      <c r="B438" s="25" t="str">
        <f>VLOOKUP(A438,policy!B:C,2,0)</f>
        <v>070000170667</v>
      </c>
      <c r="C438" s="11">
        <v>37560</v>
      </c>
      <c r="D438" s="26">
        <f t="shared" si="25"/>
        <v>37560</v>
      </c>
      <c r="E438" s="24" t="s">
        <v>13296</v>
      </c>
      <c r="F438" s="27" t="str">
        <f t="shared" si="24"/>
        <v>insert into ins_premium_det (premium_rcv_code,assorted_code, rec_amount,premium_rcv_detail_code,remaining_amt, payrec, mode_code,coinsurance_code,class_cd,it_remarks) values</v>
      </c>
      <c r="G438" s="28" t="str">
        <f t="shared" si="26"/>
        <v>('30Dec240042','070000170667','37560',(select max(to_number(i.premium_rcv_detail_code))+1
from ins_premium_det i),'37560','37560','02', '11000003','00','Request by Mr. Saqib Saleem 31-Dec-2024 Active');</v>
      </c>
      <c r="H438" s="29" t="str">
        <f t="shared" si="27"/>
        <v>insert into ins_premium_det (premium_rcv_code,assorted_code, rec_amount,premium_rcv_detail_code,remaining_amt, payrec, mode_code,coinsurance_code,class_cd,it_remarks) values('30Dec240042','070000170667','37560',(select max(to_number(i.premium_rcv_detail_code))+1
from ins_premium_det i),'37560','37560','02', '11000003','00','Request by Mr. Saqib Saleem 31-Dec-2024 Active');</v>
      </c>
    </row>
    <row r="439" spans="1:8" ht="105" x14ac:dyDescent="0.25">
      <c r="A439" s="12" t="s">
        <v>11815</v>
      </c>
      <c r="B439" s="25" t="str">
        <f>VLOOKUP(A439,policy!B:C,2,0)</f>
        <v>070000170666</v>
      </c>
      <c r="C439" s="13">
        <v>36900</v>
      </c>
      <c r="D439" s="26">
        <f t="shared" si="25"/>
        <v>36900</v>
      </c>
      <c r="E439" s="24" t="s">
        <v>13296</v>
      </c>
      <c r="F439" s="27" t="str">
        <f t="shared" si="24"/>
        <v>insert into ins_premium_det (premium_rcv_code,assorted_code, rec_amount,premium_rcv_detail_code,remaining_amt, payrec, mode_code,coinsurance_code,class_cd,it_remarks) values</v>
      </c>
      <c r="G439" s="28" t="str">
        <f t="shared" si="26"/>
        <v>('30Dec240042','070000170666','36900',(select max(to_number(i.premium_rcv_detail_code))+1
from ins_premium_det i),'36900','36900','02', '11000003','00','Request by Mr. Saqib Saleem 31-Dec-2024 Active');</v>
      </c>
      <c r="H439" s="29" t="str">
        <f t="shared" si="27"/>
        <v>insert into ins_premium_det (premium_rcv_code,assorted_code, rec_amount,premium_rcv_detail_code,remaining_amt, payrec, mode_code,coinsurance_code,class_cd,it_remarks) values('30Dec240042','070000170666','36900',(select max(to_number(i.premium_rcv_detail_code))+1
from ins_premium_det i),'36900','36900','02', '11000003','00','Request by Mr. Saqib Saleem 31-Dec-2024 Active');</v>
      </c>
    </row>
    <row r="440" spans="1:8" ht="105" x14ac:dyDescent="0.25">
      <c r="A440" s="12" t="s">
        <v>11816</v>
      </c>
      <c r="B440" s="25" t="str">
        <f>VLOOKUP(A440,policy!B:C,2,0)</f>
        <v>070000170660</v>
      </c>
      <c r="C440" s="11">
        <v>40800</v>
      </c>
      <c r="D440" s="26">
        <f t="shared" si="25"/>
        <v>40800</v>
      </c>
      <c r="E440" s="24" t="s">
        <v>13296</v>
      </c>
      <c r="F440" s="27" t="str">
        <f t="shared" si="24"/>
        <v>insert into ins_premium_det (premium_rcv_code,assorted_code, rec_amount,premium_rcv_detail_code,remaining_amt, payrec, mode_code,coinsurance_code,class_cd,it_remarks) values</v>
      </c>
      <c r="G440" s="28" t="str">
        <f t="shared" si="26"/>
        <v>('30Dec240042','070000170660','40800',(select max(to_number(i.premium_rcv_detail_code))+1
from ins_premium_det i),'40800','40800','02', '11000003','00','Request by Mr. Saqib Saleem 31-Dec-2024 Active');</v>
      </c>
      <c r="H440" s="29" t="str">
        <f t="shared" si="27"/>
        <v>insert into ins_premium_det (premium_rcv_code,assorted_code, rec_amount,premium_rcv_detail_code,remaining_amt, payrec, mode_code,coinsurance_code,class_cd,it_remarks) values('30Dec240042','070000170660','40800',(select max(to_number(i.premium_rcv_detail_code))+1
from ins_premium_det i),'40800','40800','02', '11000003','00','Request by Mr. Saqib Saleem 31-Dec-2024 Active');</v>
      </c>
    </row>
    <row r="441" spans="1:8" ht="105" x14ac:dyDescent="0.25">
      <c r="A441" s="12" t="s">
        <v>11817</v>
      </c>
      <c r="B441" s="25" t="str">
        <f>VLOOKUP(A441,policy!B:C,2,0)</f>
        <v>070000172254</v>
      </c>
      <c r="C441" s="13">
        <v>20400</v>
      </c>
      <c r="D441" s="26">
        <f t="shared" si="25"/>
        <v>20400</v>
      </c>
      <c r="E441" s="24" t="s">
        <v>13296</v>
      </c>
      <c r="F441" s="27" t="str">
        <f t="shared" si="24"/>
        <v>insert into ins_premium_det (premium_rcv_code,assorted_code, rec_amount,premium_rcv_detail_code,remaining_amt, payrec, mode_code,coinsurance_code,class_cd,it_remarks) values</v>
      </c>
      <c r="G441" s="28" t="str">
        <f t="shared" si="26"/>
        <v>('30Dec240042','070000172254','20400',(select max(to_number(i.premium_rcv_detail_code))+1
from ins_premium_det i),'20400','20400','02', '11000003','00','Request by Mr. Saqib Saleem 31-Dec-2024 Active');</v>
      </c>
      <c r="H441" s="29" t="str">
        <f t="shared" si="27"/>
        <v>insert into ins_premium_det (premium_rcv_code,assorted_code, rec_amount,premium_rcv_detail_code,remaining_amt, payrec, mode_code,coinsurance_code,class_cd,it_remarks) values('30Dec240042','070000172254','20400',(select max(to_number(i.premium_rcv_detail_code))+1
from ins_premium_det i),'20400','20400','02', '11000003','00','Request by Mr. Saqib Saleem 31-Dec-2024 Active');</v>
      </c>
    </row>
    <row r="442" spans="1:8" ht="105" x14ac:dyDescent="0.25">
      <c r="A442" s="12" t="s">
        <v>11818</v>
      </c>
      <c r="B442" s="25" t="str">
        <f>VLOOKUP(A442,policy!B:C,2,0)</f>
        <v>070000170658</v>
      </c>
      <c r="C442" s="11">
        <v>42360</v>
      </c>
      <c r="D442" s="26">
        <f t="shared" si="25"/>
        <v>42360</v>
      </c>
      <c r="E442" s="24" t="s">
        <v>13296</v>
      </c>
      <c r="F442" s="27" t="str">
        <f t="shared" si="24"/>
        <v>insert into ins_premium_det (premium_rcv_code,assorted_code, rec_amount,premium_rcv_detail_code,remaining_amt, payrec, mode_code,coinsurance_code,class_cd,it_remarks) values</v>
      </c>
      <c r="G442" s="28" t="str">
        <f t="shared" si="26"/>
        <v>('30Dec240042','070000170658','42360',(select max(to_number(i.premium_rcv_detail_code))+1
from ins_premium_det i),'42360','42360','02', '11000003','00','Request by Mr. Saqib Saleem 31-Dec-2024 Active');</v>
      </c>
      <c r="H442" s="29" t="str">
        <f t="shared" si="27"/>
        <v>insert into ins_premium_det (premium_rcv_code,assorted_code, rec_amount,premium_rcv_detail_code,remaining_amt, payrec, mode_code,coinsurance_code,class_cd,it_remarks) values('30Dec240042','070000170658','42360',(select max(to_number(i.premium_rcv_detail_code))+1
from ins_premium_det i),'42360','42360','02', '11000003','00','Request by Mr. Saqib Saleem 31-Dec-2024 Active');</v>
      </c>
    </row>
    <row r="443" spans="1:8" ht="105" x14ac:dyDescent="0.25">
      <c r="A443" s="12" t="s">
        <v>11819</v>
      </c>
      <c r="B443" s="25" t="str">
        <f>VLOOKUP(A443,policy!B:C,2,0)</f>
        <v>070000170657</v>
      </c>
      <c r="C443" s="13">
        <v>50400</v>
      </c>
      <c r="D443" s="26">
        <f t="shared" si="25"/>
        <v>50400</v>
      </c>
      <c r="E443" s="24" t="s">
        <v>13296</v>
      </c>
      <c r="F443" s="27" t="str">
        <f t="shared" si="24"/>
        <v>insert into ins_premium_det (premium_rcv_code,assorted_code, rec_amount,premium_rcv_detail_code,remaining_amt, payrec, mode_code,coinsurance_code,class_cd,it_remarks) values</v>
      </c>
      <c r="G443" s="28" t="str">
        <f t="shared" si="26"/>
        <v>('30Dec240042','070000170657','50400',(select max(to_number(i.premium_rcv_detail_code))+1
from ins_premium_det i),'50400','50400','02', '11000003','00','Request by Mr. Saqib Saleem 31-Dec-2024 Active');</v>
      </c>
      <c r="H443" s="29" t="str">
        <f t="shared" si="27"/>
        <v>insert into ins_premium_det (premium_rcv_code,assorted_code, rec_amount,premium_rcv_detail_code,remaining_amt, payrec, mode_code,coinsurance_code,class_cd,it_remarks) values('30Dec240042','070000170657','50400',(select max(to_number(i.premium_rcv_detail_code))+1
from ins_premium_det i),'50400','50400','02', '11000003','00','Request by Mr. Saqib Saleem 31-Dec-2024 Active');</v>
      </c>
    </row>
    <row r="444" spans="1:8" ht="105" x14ac:dyDescent="0.25">
      <c r="A444" s="12" t="s">
        <v>11820</v>
      </c>
      <c r="B444" s="25" t="str">
        <f>VLOOKUP(A444,policy!B:C,2,0)</f>
        <v>070000172243</v>
      </c>
      <c r="C444" s="11">
        <v>58128</v>
      </c>
      <c r="D444" s="26">
        <f t="shared" si="25"/>
        <v>58128</v>
      </c>
      <c r="E444" s="24" t="s">
        <v>13296</v>
      </c>
      <c r="F444" s="27" t="str">
        <f t="shared" si="24"/>
        <v>insert into ins_premium_det (premium_rcv_code,assorted_code, rec_amount,premium_rcv_detail_code,remaining_amt, payrec, mode_code,coinsurance_code,class_cd,it_remarks) values</v>
      </c>
      <c r="G444" s="28" t="str">
        <f t="shared" si="26"/>
        <v>('30Dec240042','070000172243','58128',(select max(to_number(i.premium_rcv_detail_code))+1
from ins_premium_det i),'58128','58128','02', '11000003','00','Request by Mr. Saqib Saleem 31-Dec-2024 Active');</v>
      </c>
      <c r="H444" s="29" t="str">
        <f t="shared" si="27"/>
        <v>insert into ins_premium_det (premium_rcv_code,assorted_code, rec_amount,premium_rcv_detail_code,remaining_amt, payrec, mode_code,coinsurance_code,class_cd,it_remarks) values('30Dec240042','070000172243','58128',(select max(to_number(i.premium_rcv_detail_code))+1
from ins_premium_det i),'58128','58128','02', '11000003','00','Request by Mr. Saqib Saleem 31-Dec-2024 Active');</v>
      </c>
    </row>
    <row r="445" spans="1:8" ht="105" x14ac:dyDescent="0.25">
      <c r="A445" s="12" t="s">
        <v>11821</v>
      </c>
      <c r="B445" s="25" t="str">
        <f>VLOOKUP(A445,policy!B:C,2,0)</f>
        <v>070000170656</v>
      </c>
      <c r="C445" s="13">
        <v>87064</v>
      </c>
      <c r="D445" s="26">
        <f t="shared" si="25"/>
        <v>87064</v>
      </c>
      <c r="E445" s="24" t="s">
        <v>13296</v>
      </c>
      <c r="F445" s="27" t="str">
        <f t="shared" si="24"/>
        <v>insert into ins_premium_det (premium_rcv_code,assorted_code, rec_amount,premium_rcv_detail_code,remaining_amt, payrec, mode_code,coinsurance_code,class_cd,it_remarks) values</v>
      </c>
      <c r="G445" s="28" t="str">
        <f t="shared" si="26"/>
        <v>('30Dec240042','070000170656','87064',(select max(to_number(i.premium_rcv_detail_code))+1
from ins_premium_det i),'87064','87064','02', '11000003','00','Request by Mr. Saqib Saleem 31-Dec-2024 Active');</v>
      </c>
      <c r="H445" s="29" t="str">
        <f t="shared" si="27"/>
        <v>insert into ins_premium_det (premium_rcv_code,assorted_code, rec_amount,premium_rcv_detail_code,remaining_amt, payrec, mode_code,coinsurance_code,class_cd,it_remarks) values('30Dec240042','070000170656','87064',(select max(to_number(i.premium_rcv_detail_code))+1
from ins_premium_det i),'87064','87064','02', '11000003','00','Request by Mr. Saqib Saleem 31-Dec-2024 Active');</v>
      </c>
    </row>
    <row r="446" spans="1:8" ht="105" x14ac:dyDescent="0.25">
      <c r="A446" s="12" t="s">
        <v>11822</v>
      </c>
      <c r="B446" s="25" t="str">
        <f>VLOOKUP(A446,policy!B:C,2,0)</f>
        <v>070000170655</v>
      </c>
      <c r="C446" s="11">
        <v>66375</v>
      </c>
      <c r="D446" s="26">
        <f t="shared" si="25"/>
        <v>66375</v>
      </c>
      <c r="E446" s="24" t="s">
        <v>13296</v>
      </c>
      <c r="F446" s="27" t="str">
        <f t="shared" si="24"/>
        <v>insert into ins_premium_det (premium_rcv_code,assorted_code, rec_amount,premium_rcv_detail_code,remaining_amt, payrec, mode_code,coinsurance_code,class_cd,it_remarks) values</v>
      </c>
      <c r="G446" s="28" t="str">
        <f t="shared" si="26"/>
        <v>('30Dec240042','070000170655','66375',(select max(to_number(i.premium_rcv_detail_code))+1
from ins_premium_det i),'66375','66375','02', '11000003','00','Request by Mr. Saqib Saleem 31-Dec-2024 Active');</v>
      </c>
      <c r="H446" s="29" t="str">
        <f t="shared" si="27"/>
        <v>insert into ins_premium_det (premium_rcv_code,assorted_code, rec_amount,premium_rcv_detail_code,remaining_amt, payrec, mode_code,coinsurance_code,class_cd,it_remarks) values('30Dec240042','070000170655','66375',(select max(to_number(i.premium_rcv_detail_code))+1
from ins_premium_det i),'66375','66375','02', '11000003','00','Request by Mr. Saqib Saleem 31-Dec-2024 Active');</v>
      </c>
    </row>
    <row r="447" spans="1:8" ht="105" x14ac:dyDescent="0.25">
      <c r="A447" s="12" t="s">
        <v>11823</v>
      </c>
      <c r="B447" s="25" t="str">
        <f>VLOOKUP(A447,policy!B:C,2,0)</f>
        <v>070000172242</v>
      </c>
      <c r="C447" s="13">
        <v>58920</v>
      </c>
      <c r="D447" s="26">
        <f t="shared" si="25"/>
        <v>58920</v>
      </c>
      <c r="E447" s="24" t="s">
        <v>13296</v>
      </c>
      <c r="F447" s="27" t="str">
        <f t="shared" si="24"/>
        <v>insert into ins_premium_det (premium_rcv_code,assorted_code, rec_amount,premium_rcv_detail_code,remaining_amt, payrec, mode_code,coinsurance_code,class_cd,it_remarks) values</v>
      </c>
      <c r="G447" s="28" t="str">
        <f t="shared" si="26"/>
        <v>('30Dec240042','070000172242','58920',(select max(to_number(i.premium_rcv_detail_code))+1
from ins_premium_det i),'58920','58920','02', '11000003','00','Request by Mr. Saqib Saleem 31-Dec-2024 Active');</v>
      </c>
      <c r="H447" s="29" t="str">
        <f t="shared" si="27"/>
        <v>insert into ins_premium_det (premium_rcv_code,assorted_code, rec_amount,premium_rcv_detail_code,remaining_amt, payrec, mode_code,coinsurance_code,class_cd,it_remarks) values('30Dec240042','070000172242','58920',(select max(to_number(i.premium_rcv_detail_code))+1
from ins_premium_det i),'58920','58920','02', '11000003','00','Request by Mr. Saqib Saleem 31-Dec-2024 Active');</v>
      </c>
    </row>
    <row r="448" spans="1:8" ht="105" x14ac:dyDescent="0.25">
      <c r="A448" s="12" t="s">
        <v>11824</v>
      </c>
      <c r="B448" s="25" t="str">
        <f>VLOOKUP(A448,policy!B:C,2,0)</f>
        <v>070000170649</v>
      </c>
      <c r="C448" s="11">
        <v>60739</v>
      </c>
      <c r="D448" s="26">
        <f t="shared" si="25"/>
        <v>60739</v>
      </c>
      <c r="E448" s="24" t="s">
        <v>13296</v>
      </c>
      <c r="F448" s="27" t="str">
        <f t="shared" si="24"/>
        <v>insert into ins_premium_det (premium_rcv_code,assorted_code, rec_amount,premium_rcv_detail_code,remaining_amt, payrec, mode_code,coinsurance_code,class_cd,it_remarks) values</v>
      </c>
      <c r="G448" s="28" t="str">
        <f t="shared" si="26"/>
        <v>('30Dec240042','070000170649','60739',(select max(to_number(i.premium_rcv_detail_code))+1
from ins_premium_det i),'60739','60739','02', '11000003','00','Request by Mr. Saqib Saleem 31-Dec-2024 Active');</v>
      </c>
      <c r="H448" s="29" t="str">
        <f t="shared" si="27"/>
        <v>insert into ins_premium_det (premium_rcv_code,assorted_code, rec_amount,premium_rcv_detail_code,remaining_amt, payrec, mode_code,coinsurance_code,class_cd,it_remarks) values('30Dec240042','070000170649','60739',(select max(to_number(i.premium_rcv_detail_code))+1
from ins_premium_det i),'60739','60739','02', '11000003','00','Request by Mr. Saqib Saleem 31-Dec-2024 Active');</v>
      </c>
    </row>
    <row r="449" spans="1:8" ht="105" x14ac:dyDescent="0.25">
      <c r="A449" s="12" t="s">
        <v>11825</v>
      </c>
      <c r="B449" s="25" t="str">
        <f>VLOOKUP(A449,policy!B:C,2,0)</f>
        <v>070000170647</v>
      </c>
      <c r="C449" s="13">
        <v>130326</v>
      </c>
      <c r="D449" s="26">
        <f t="shared" si="25"/>
        <v>130326</v>
      </c>
      <c r="E449" s="24" t="s">
        <v>13296</v>
      </c>
      <c r="F449" s="27" t="str">
        <f t="shared" si="24"/>
        <v>insert into ins_premium_det (premium_rcv_code,assorted_code, rec_amount,premium_rcv_detail_code,remaining_amt, payrec, mode_code,coinsurance_code,class_cd,it_remarks) values</v>
      </c>
      <c r="G449" s="28" t="str">
        <f t="shared" si="26"/>
        <v>('30Dec240042','070000170647','130326',(select max(to_number(i.premium_rcv_detail_code))+1
from ins_premium_det i),'130326','130326','02', '11000003','00','Request by Mr. Saqib Saleem 31-Dec-2024 Active');</v>
      </c>
      <c r="H449" s="29" t="str">
        <f t="shared" si="27"/>
        <v>insert into ins_premium_det (premium_rcv_code,assorted_code, rec_amount,premium_rcv_detail_code,remaining_amt, payrec, mode_code,coinsurance_code,class_cd,it_remarks) values('30Dec240042','070000170647','130326',(select max(to_number(i.premium_rcv_detail_code))+1
from ins_premium_det i),'130326','130326','02', '11000003','00','Request by Mr. Saqib Saleem 31-Dec-2024 Active');</v>
      </c>
    </row>
    <row r="450" spans="1:8" ht="105" x14ac:dyDescent="0.25">
      <c r="A450" s="12" t="s">
        <v>11826</v>
      </c>
      <c r="B450" s="25" t="str">
        <f>VLOOKUP(A450,policy!B:C,2,0)</f>
        <v>070000172241</v>
      </c>
      <c r="C450" s="11">
        <v>58920</v>
      </c>
      <c r="D450" s="26">
        <f t="shared" si="25"/>
        <v>58920</v>
      </c>
      <c r="E450" s="24" t="s">
        <v>13296</v>
      </c>
      <c r="F450" s="27" t="str">
        <f t="shared" ref="F450:F513" si="2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450" s="28" t="str">
        <f t="shared" si="26"/>
        <v>('30Dec240042','070000172241','58920',(select max(to_number(i.premium_rcv_detail_code))+1
from ins_premium_det i),'58920','58920','02', '11000003','00','Request by Mr. Saqib Saleem 31-Dec-2024 Active');</v>
      </c>
      <c r="H450" s="29" t="str">
        <f t="shared" si="27"/>
        <v>insert into ins_premium_det (premium_rcv_code,assorted_code, rec_amount,premium_rcv_detail_code,remaining_amt, payrec, mode_code,coinsurance_code,class_cd,it_remarks) values('30Dec240042','070000172241','58920',(select max(to_number(i.premium_rcv_detail_code))+1
from ins_premium_det i),'58920','58920','02', '11000003','00','Request by Mr. Saqib Saleem 31-Dec-2024 Active');</v>
      </c>
    </row>
    <row r="451" spans="1:8" ht="105" x14ac:dyDescent="0.25">
      <c r="A451" s="12" t="s">
        <v>11827</v>
      </c>
      <c r="B451" s="25" t="str">
        <f>VLOOKUP(A451,policy!B:C,2,0)</f>
        <v>070000172239</v>
      </c>
      <c r="C451" s="13">
        <v>44475</v>
      </c>
      <c r="D451" s="26">
        <f t="shared" ref="D451:D514" si="29">ROUND(C451,0)</f>
        <v>44475</v>
      </c>
      <c r="E451" s="24" t="s">
        <v>13296</v>
      </c>
      <c r="F451" s="27" t="str">
        <f t="shared" si="28"/>
        <v>insert into ins_premium_det (premium_rcv_code,assorted_code, rec_amount,premium_rcv_detail_code,remaining_amt, payrec, mode_code,coinsurance_code,class_cd,it_remarks) values</v>
      </c>
      <c r="G451" s="28" t="str">
        <f t="shared" ref="G451:G514" si="30">"('"&amp;E451&amp;"','"&amp;B451&amp;"','"&amp;D451&amp;"',(select max(to_number(i.premium_rcv_detail_code))+1
from ins_premium_det i),'"&amp;D451&amp;"','"&amp;D451&amp;"','02', '11000003','00','Request by Mr. Saqib Saleem 31-Dec-2024 Active');"</f>
        <v>('30Dec240042','070000172239','44475',(select max(to_number(i.premium_rcv_detail_code))+1
from ins_premium_det i),'44475','44475','02', '11000003','00','Request by Mr. Saqib Saleem 31-Dec-2024 Active');</v>
      </c>
      <c r="H451" s="29" t="str">
        <f t="shared" ref="H451:H514" si="31">F451&amp;G451</f>
        <v>insert into ins_premium_det (premium_rcv_code,assorted_code, rec_amount,premium_rcv_detail_code,remaining_amt, payrec, mode_code,coinsurance_code,class_cd,it_remarks) values('30Dec240042','070000172239','44475',(select max(to_number(i.premium_rcv_detail_code))+1
from ins_premium_det i),'44475','44475','02', '11000003','00','Request by Mr. Saqib Saleem 31-Dec-2024 Active');</v>
      </c>
    </row>
    <row r="452" spans="1:8" ht="105" x14ac:dyDescent="0.25">
      <c r="A452" s="12" t="s">
        <v>11828</v>
      </c>
      <c r="B452" s="25" t="str">
        <f>VLOOKUP(A452,policy!B:C,2,0)</f>
        <v>070000172236</v>
      </c>
      <c r="C452" s="11">
        <v>30375</v>
      </c>
      <c r="D452" s="26">
        <f t="shared" si="29"/>
        <v>30375</v>
      </c>
      <c r="E452" s="24" t="s">
        <v>13296</v>
      </c>
      <c r="F452" s="27" t="str">
        <f t="shared" si="28"/>
        <v>insert into ins_premium_det (premium_rcv_code,assorted_code, rec_amount,premium_rcv_detail_code,remaining_amt, payrec, mode_code,coinsurance_code,class_cd,it_remarks) values</v>
      </c>
      <c r="G452" s="28" t="str">
        <f t="shared" si="30"/>
        <v>('30Dec240042','070000172236','30375',(select max(to_number(i.premium_rcv_detail_code))+1
from ins_premium_det i),'30375','30375','02', '11000003','00','Request by Mr. Saqib Saleem 31-Dec-2024 Active');</v>
      </c>
      <c r="H452" s="29" t="str">
        <f t="shared" si="31"/>
        <v>insert into ins_premium_det (premium_rcv_code,assorted_code, rec_amount,premium_rcv_detail_code,remaining_amt, payrec, mode_code,coinsurance_code,class_cd,it_remarks) values('30Dec240042','070000172236','30375',(select max(to_number(i.premium_rcv_detail_code))+1
from ins_premium_det i),'30375','30375','02', '11000003','00','Request by Mr. Saqib Saleem 31-Dec-2024 Active');</v>
      </c>
    </row>
    <row r="453" spans="1:8" ht="105" x14ac:dyDescent="0.25">
      <c r="A453" s="12" t="s">
        <v>11829</v>
      </c>
      <c r="B453" s="25" t="str">
        <f>VLOOKUP(A453,policy!B:C,2,0)</f>
        <v>070000170646</v>
      </c>
      <c r="C453" s="13">
        <v>18384</v>
      </c>
      <c r="D453" s="26">
        <f t="shared" si="29"/>
        <v>18384</v>
      </c>
      <c r="E453" s="24" t="s">
        <v>13296</v>
      </c>
      <c r="F453" s="27" t="str">
        <f t="shared" si="28"/>
        <v>insert into ins_premium_det (premium_rcv_code,assorted_code, rec_amount,premium_rcv_detail_code,remaining_amt, payrec, mode_code,coinsurance_code,class_cd,it_remarks) values</v>
      </c>
      <c r="G453" s="28" t="str">
        <f t="shared" si="30"/>
        <v>('30Dec240042','070000170646','18384',(select max(to_number(i.premium_rcv_detail_code))+1
from ins_premium_det i),'18384','18384','02', '11000003','00','Request by Mr. Saqib Saleem 31-Dec-2024 Active');</v>
      </c>
      <c r="H453" s="29" t="str">
        <f t="shared" si="31"/>
        <v>insert into ins_premium_det (premium_rcv_code,assorted_code, rec_amount,premium_rcv_detail_code,remaining_amt, payrec, mode_code,coinsurance_code,class_cd,it_remarks) values('30Dec240042','070000170646','18384',(select max(to_number(i.premium_rcv_detail_code))+1
from ins_premium_det i),'18384','18384','02', '11000003','00','Request by Mr. Saqib Saleem 31-Dec-2024 Active');</v>
      </c>
    </row>
    <row r="454" spans="1:8" ht="105" x14ac:dyDescent="0.25">
      <c r="A454" s="12" t="s">
        <v>11830</v>
      </c>
      <c r="B454" s="25" t="str">
        <f>VLOOKUP(A454,policy!B:C,2,0)</f>
        <v>070000172230</v>
      </c>
      <c r="C454" s="11">
        <v>18600</v>
      </c>
      <c r="D454" s="26">
        <f t="shared" si="29"/>
        <v>18600</v>
      </c>
      <c r="E454" s="24" t="s">
        <v>13296</v>
      </c>
      <c r="F454" s="27" t="str">
        <f t="shared" si="28"/>
        <v>insert into ins_premium_det (premium_rcv_code,assorted_code, rec_amount,premium_rcv_detail_code,remaining_amt, payrec, mode_code,coinsurance_code,class_cd,it_remarks) values</v>
      </c>
      <c r="G454" s="28" t="str">
        <f t="shared" si="30"/>
        <v>('30Dec240042','070000172230','18600',(select max(to_number(i.premium_rcv_detail_code))+1
from ins_premium_det i),'18600','18600','02', '11000003','00','Request by Mr. Saqib Saleem 31-Dec-2024 Active');</v>
      </c>
      <c r="H454" s="29" t="str">
        <f t="shared" si="31"/>
        <v>insert into ins_premium_det (premium_rcv_code,assorted_code, rec_amount,premium_rcv_detail_code,remaining_amt, payrec, mode_code,coinsurance_code,class_cd,it_remarks) values('30Dec240042','070000172230','18600',(select max(to_number(i.premium_rcv_detail_code))+1
from ins_premium_det i),'18600','18600','02', '11000003','00','Request by Mr. Saqib Saleem 31-Dec-2024 Active');</v>
      </c>
    </row>
    <row r="455" spans="1:8" ht="105" x14ac:dyDescent="0.25">
      <c r="A455" s="12" t="s">
        <v>11831</v>
      </c>
      <c r="B455" s="25" t="str">
        <f>VLOOKUP(A455,policy!B:C,2,0)</f>
        <v>070000172229</v>
      </c>
      <c r="C455" s="13">
        <v>20400</v>
      </c>
      <c r="D455" s="26">
        <f t="shared" si="29"/>
        <v>20400</v>
      </c>
      <c r="E455" s="24" t="s">
        <v>13296</v>
      </c>
      <c r="F455" s="27" t="str">
        <f t="shared" si="28"/>
        <v>insert into ins_premium_det (premium_rcv_code,assorted_code, rec_amount,premium_rcv_detail_code,remaining_amt, payrec, mode_code,coinsurance_code,class_cd,it_remarks) values</v>
      </c>
      <c r="G455" s="28" t="str">
        <f t="shared" si="30"/>
        <v>('30Dec240042','070000172229','20400',(select max(to_number(i.premium_rcv_detail_code))+1
from ins_premium_det i),'20400','20400','02', '11000003','00','Request by Mr. Saqib Saleem 31-Dec-2024 Active');</v>
      </c>
      <c r="H455" s="29" t="str">
        <f t="shared" si="31"/>
        <v>insert into ins_premium_det (premium_rcv_code,assorted_code, rec_amount,premium_rcv_detail_code,remaining_amt, payrec, mode_code,coinsurance_code,class_cd,it_remarks) values('30Dec240042','070000172229','20400',(select max(to_number(i.premium_rcv_detail_code))+1
from ins_premium_det i),'20400','20400','02', '11000003','00','Request by Mr. Saqib Saleem 31-Dec-2024 Active');</v>
      </c>
    </row>
    <row r="456" spans="1:8" ht="105" x14ac:dyDescent="0.25">
      <c r="A456" s="12" t="s">
        <v>11832</v>
      </c>
      <c r="B456" s="25" t="str">
        <f>VLOOKUP(A456,policy!B:C,2,0)</f>
        <v>070000172227</v>
      </c>
      <c r="C456" s="11">
        <v>19200</v>
      </c>
      <c r="D456" s="26">
        <f t="shared" si="29"/>
        <v>19200</v>
      </c>
      <c r="E456" s="24" t="s">
        <v>13296</v>
      </c>
      <c r="F456" s="27" t="str">
        <f t="shared" si="28"/>
        <v>insert into ins_premium_det (premium_rcv_code,assorted_code, rec_amount,premium_rcv_detail_code,remaining_amt, payrec, mode_code,coinsurance_code,class_cd,it_remarks) values</v>
      </c>
      <c r="G456" s="28" t="str">
        <f t="shared" si="30"/>
        <v>('30Dec240042','070000172227','19200',(select max(to_number(i.premium_rcv_detail_code))+1
from ins_premium_det i),'19200','19200','02', '11000003','00','Request by Mr. Saqib Saleem 31-Dec-2024 Active');</v>
      </c>
      <c r="H456" s="29" t="str">
        <f t="shared" si="31"/>
        <v>insert into ins_premium_det (premium_rcv_code,assorted_code, rec_amount,premium_rcv_detail_code,remaining_amt, payrec, mode_code,coinsurance_code,class_cd,it_remarks) values('30Dec240042','070000172227','19200',(select max(to_number(i.premium_rcv_detail_code))+1
from ins_premium_det i),'19200','19200','02', '11000003','00','Request by Mr. Saqib Saleem 31-Dec-2024 Active');</v>
      </c>
    </row>
    <row r="457" spans="1:8" ht="105" x14ac:dyDescent="0.25">
      <c r="A457" s="12" t="s">
        <v>11833</v>
      </c>
      <c r="B457" s="25" t="str">
        <f>VLOOKUP(A457,policy!B:C,2,0)</f>
        <v>070000172225</v>
      </c>
      <c r="C457" s="13">
        <v>14880</v>
      </c>
      <c r="D457" s="26">
        <f t="shared" si="29"/>
        <v>14880</v>
      </c>
      <c r="E457" s="24" t="s">
        <v>13296</v>
      </c>
      <c r="F457" s="27" t="str">
        <f t="shared" si="28"/>
        <v>insert into ins_premium_det (premium_rcv_code,assorted_code, rec_amount,premium_rcv_detail_code,remaining_amt, payrec, mode_code,coinsurance_code,class_cd,it_remarks) values</v>
      </c>
      <c r="G457" s="28" t="str">
        <f t="shared" si="30"/>
        <v>('30Dec240042','070000172225','14880',(select max(to_number(i.premium_rcv_detail_code))+1
from ins_premium_det i),'14880','14880','02', '11000003','00','Request by Mr. Saqib Saleem 31-Dec-2024 Active');</v>
      </c>
      <c r="H457" s="29" t="str">
        <f t="shared" si="31"/>
        <v>insert into ins_premium_det (premium_rcv_code,assorted_code, rec_amount,premium_rcv_detail_code,remaining_amt, payrec, mode_code,coinsurance_code,class_cd,it_remarks) values('30Dec240042','070000172225','14880',(select max(to_number(i.premium_rcv_detail_code))+1
from ins_premium_det i),'14880','14880','02', '11000003','00','Request by Mr. Saqib Saleem 31-Dec-2024 Active');</v>
      </c>
    </row>
    <row r="458" spans="1:8" ht="105" x14ac:dyDescent="0.25">
      <c r="A458" s="12" t="s">
        <v>11834</v>
      </c>
      <c r="B458" s="25" t="str">
        <f>VLOOKUP(A458,policy!B:C,2,0)</f>
        <v>070000172220</v>
      </c>
      <c r="C458" s="11">
        <v>22425</v>
      </c>
      <c r="D458" s="26">
        <f t="shared" si="29"/>
        <v>22425</v>
      </c>
      <c r="E458" s="24" t="s">
        <v>13296</v>
      </c>
      <c r="F458" s="27" t="str">
        <f t="shared" si="28"/>
        <v>insert into ins_premium_det (premium_rcv_code,assorted_code, rec_amount,premium_rcv_detail_code,remaining_amt, payrec, mode_code,coinsurance_code,class_cd,it_remarks) values</v>
      </c>
      <c r="G458" s="28" t="str">
        <f t="shared" si="30"/>
        <v>('30Dec240042','070000172220','22425',(select max(to_number(i.premium_rcv_detail_code))+1
from ins_premium_det i),'22425','22425','02', '11000003','00','Request by Mr. Saqib Saleem 31-Dec-2024 Active');</v>
      </c>
      <c r="H458" s="29" t="str">
        <f t="shared" si="31"/>
        <v>insert into ins_premium_det (premium_rcv_code,assorted_code, rec_amount,premium_rcv_detail_code,remaining_amt, payrec, mode_code,coinsurance_code,class_cd,it_remarks) values('30Dec240042','070000172220','22425',(select max(to_number(i.premium_rcv_detail_code))+1
from ins_premium_det i),'22425','22425','02', '11000003','00','Request by Mr. Saqib Saleem 31-Dec-2024 Active');</v>
      </c>
    </row>
    <row r="459" spans="1:8" ht="105" x14ac:dyDescent="0.25">
      <c r="A459" s="12" t="s">
        <v>11835</v>
      </c>
      <c r="B459" s="25" t="str">
        <f>VLOOKUP(A459,policy!B:C,2,0)</f>
        <v>070000172216</v>
      </c>
      <c r="C459" s="13">
        <v>18000</v>
      </c>
      <c r="D459" s="26">
        <f t="shared" si="29"/>
        <v>18000</v>
      </c>
      <c r="E459" s="24" t="s">
        <v>13296</v>
      </c>
      <c r="F459" s="27" t="str">
        <f t="shared" si="28"/>
        <v>insert into ins_premium_det (premium_rcv_code,assorted_code, rec_amount,premium_rcv_detail_code,remaining_amt, payrec, mode_code,coinsurance_code,class_cd,it_remarks) values</v>
      </c>
      <c r="G459" s="28" t="str">
        <f t="shared" si="30"/>
        <v>('30Dec240042','070000172216','18000',(select max(to_number(i.premium_rcv_detail_code))+1
from ins_premium_det i),'18000','18000','02', '11000003','00','Request by Mr. Saqib Saleem 31-Dec-2024 Active');</v>
      </c>
      <c r="H459" s="29" t="str">
        <f t="shared" si="31"/>
        <v>insert into ins_premium_det (premium_rcv_code,assorted_code, rec_amount,premium_rcv_detail_code,remaining_amt, payrec, mode_code,coinsurance_code,class_cd,it_remarks) values('30Dec240042','070000172216','18000',(select max(to_number(i.premium_rcv_detail_code))+1
from ins_premium_det i),'18000','18000','02', '11000003','00','Request by Mr. Saqib Saleem 31-Dec-2024 Active');</v>
      </c>
    </row>
    <row r="460" spans="1:8" ht="105" x14ac:dyDescent="0.25">
      <c r="A460" s="12" t="s">
        <v>11836</v>
      </c>
      <c r="B460" s="25" t="str">
        <f>VLOOKUP(A460,policy!B:C,2,0)</f>
        <v>070000172214</v>
      </c>
      <c r="C460" s="11">
        <v>32062</v>
      </c>
      <c r="D460" s="26">
        <f t="shared" si="29"/>
        <v>32062</v>
      </c>
      <c r="E460" s="24" t="s">
        <v>13296</v>
      </c>
      <c r="F460" s="27" t="str">
        <f t="shared" si="28"/>
        <v>insert into ins_premium_det (premium_rcv_code,assorted_code, rec_amount,premium_rcv_detail_code,remaining_amt, payrec, mode_code,coinsurance_code,class_cd,it_remarks) values</v>
      </c>
      <c r="G460" s="28" t="str">
        <f t="shared" si="30"/>
        <v>('30Dec240042','070000172214','32062',(select max(to_number(i.premium_rcv_detail_code))+1
from ins_premium_det i),'32062','32062','02', '11000003','00','Request by Mr. Saqib Saleem 31-Dec-2024 Active');</v>
      </c>
      <c r="H460" s="29" t="str">
        <f t="shared" si="31"/>
        <v>insert into ins_premium_det (premium_rcv_code,assorted_code, rec_amount,premium_rcv_detail_code,remaining_amt, payrec, mode_code,coinsurance_code,class_cd,it_remarks) values('30Dec240042','070000172214','32062',(select max(to_number(i.premium_rcv_detail_code))+1
from ins_premium_det i),'32062','32062','02', '11000003','00','Request by Mr. Saqib Saleem 31-Dec-2024 Active');</v>
      </c>
    </row>
    <row r="461" spans="1:8" ht="105" x14ac:dyDescent="0.25">
      <c r="A461" s="12" t="s">
        <v>11837</v>
      </c>
      <c r="B461" s="25" t="str">
        <f>VLOOKUP(A461,policy!B:C,2,0)</f>
        <v>070000172212</v>
      </c>
      <c r="C461" s="13">
        <v>29461</v>
      </c>
      <c r="D461" s="26">
        <f t="shared" si="29"/>
        <v>29461</v>
      </c>
      <c r="E461" s="24" t="s">
        <v>13296</v>
      </c>
      <c r="F461" s="27" t="str">
        <f t="shared" si="28"/>
        <v>insert into ins_premium_det (premium_rcv_code,assorted_code, rec_amount,premium_rcv_detail_code,remaining_amt, payrec, mode_code,coinsurance_code,class_cd,it_remarks) values</v>
      </c>
      <c r="G461" s="28" t="str">
        <f t="shared" si="30"/>
        <v>('30Dec240042','070000172212','29461',(select max(to_number(i.premium_rcv_detail_code))+1
from ins_premium_det i),'29461','29461','02', '11000003','00','Request by Mr. Saqib Saleem 31-Dec-2024 Active');</v>
      </c>
      <c r="H461" s="29" t="str">
        <f t="shared" si="31"/>
        <v>insert into ins_premium_det (premium_rcv_code,assorted_code, rec_amount,premium_rcv_detail_code,remaining_amt, payrec, mode_code,coinsurance_code,class_cd,it_remarks) values('30Dec240042','070000172212','29461',(select max(to_number(i.premium_rcv_detail_code))+1
from ins_premium_det i),'29461','29461','02', '11000003','00','Request by Mr. Saqib Saleem 31-Dec-2024 Active');</v>
      </c>
    </row>
    <row r="462" spans="1:8" ht="105" x14ac:dyDescent="0.25">
      <c r="A462" s="12" t="s">
        <v>11838</v>
      </c>
      <c r="B462" s="25" t="str">
        <f>VLOOKUP(A462,policy!B:C,2,0)</f>
        <v>070000172211</v>
      </c>
      <c r="C462" s="11">
        <v>47600</v>
      </c>
      <c r="D462" s="26">
        <f t="shared" si="29"/>
        <v>47600</v>
      </c>
      <c r="E462" s="24" t="s">
        <v>13296</v>
      </c>
      <c r="F462" s="27" t="str">
        <f t="shared" si="28"/>
        <v>insert into ins_premium_det (premium_rcv_code,assorted_code, rec_amount,premium_rcv_detail_code,remaining_amt, payrec, mode_code,coinsurance_code,class_cd,it_remarks) values</v>
      </c>
      <c r="G462" s="28" t="str">
        <f t="shared" si="30"/>
        <v>('30Dec240042','070000172211','47600',(select max(to_number(i.premium_rcv_detail_code))+1
from ins_premium_det i),'47600','47600','02', '11000003','00','Request by Mr. Saqib Saleem 31-Dec-2024 Active');</v>
      </c>
      <c r="H462" s="29" t="str">
        <f t="shared" si="31"/>
        <v>insert into ins_premium_det (premium_rcv_code,assorted_code, rec_amount,premium_rcv_detail_code,remaining_amt, payrec, mode_code,coinsurance_code,class_cd,it_remarks) values('30Dec240042','070000172211','47600',(select max(to_number(i.premium_rcv_detail_code))+1
from ins_premium_det i),'47600','47600','02', '11000003','00','Request by Mr. Saqib Saleem 31-Dec-2024 Active');</v>
      </c>
    </row>
    <row r="463" spans="1:8" ht="105" x14ac:dyDescent="0.25">
      <c r="A463" s="12" t="s">
        <v>11839</v>
      </c>
      <c r="B463" s="25" t="str">
        <f>VLOOKUP(A463,policy!B:C,2,0)</f>
        <v>070000172204</v>
      </c>
      <c r="C463" s="13">
        <v>70672</v>
      </c>
      <c r="D463" s="26">
        <f t="shared" si="29"/>
        <v>70672</v>
      </c>
      <c r="E463" s="24" t="s">
        <v>13296</v>
      </c>
      <c r="F463" s="27" t="str">
        <f t="shared" si="28"/>
        <v>insert into ins_premium_det (premium_rcv_code,assorted_code, rec_amount,premium_rcv_detail_code,remaining_amt, payrec, mode_code,coinsurance_code,class_cd,it_remarks) values</v>
      </c>
      <c r="G463" s="28" t="str">
        <f t="shared" si="30"/>
        <v>('30Dec240042','070000172204','70672',(select max(to_number(i.premium_rcv_detail_code))+1
from ins_premium_det i),'70672','70672','02', '11000003','00','Request by Mr. Saqib Saleem 31-Dec-2024 Active');</v>
      </c>
      <c r="H463" s="29" t="str">
        <f t="shared" si="31"/>
        <v>insert into ins_premium_det (premium_rcv_code,assorted_code, rec_amount,premium_rcv_detail_code,remaining_amt, payrec, mode_code,coinsurance_code,class_cd,it_remarks) values('30Dec240042','070000172204','70672',(select max(to_number(i.premium_rcv_detail_code))+1
from ins_premium_det i),'70672','70672','02', '11000003','00','Request by Mr. Saqib Saleem 31-Dec-2024 Active');</v>
      </c>
    </row>
    <row r="464" spans="1:8" ht="105" x14ac:dyDescent="0.25">
      <c r="A464" s="12" t="s">
        <v>11840</v>
      </c>
      <c r="B464" s="25" t="str">
        <f>VLOOKUP(A464,policy!B:C,2,0)</f>
        <v>070000172203</v>
      </c>
      <c r="C464" s="11">
        <v>40200</v>
      </c>
      <c r="D464" s="26">
        <f t="shared" si="29"/>
        <v>40200</v>
      </c>
      <c r="E464" s="24" t="s">
        <v>13296</v>
      </c>
      <c r="F464" s="27" t="str">
        <f t="shared" si="28"/>
        <v>insert into ins_premium_det (premium_rcv_code,assorted_code, rec_amount,premium_rcv_detail_code,remaining_amt, payrec, mode_code,coinsurance_code,class_cd,it_remarks) values</v>
      </c>
      <c r="G464" s="28" t="str">
        <f t="shared" si="30"/>
        <v>('30Dec240042','070000172203','40200',(select max(to_number(i.premium_rcv_detail_code))+1
from ins_premium_det i),'40200','40200','02', '11000003','00','Request by Mr. Saqib Saleem 31-Dec-2024 Active');</v>
      </c>
      <c r="H464" s="29" t="str">
        <f t="shared" si="31"/>
        <v>insert into ins_premium_det (premium_rcv_code,assorted_code, rec_amount,premium_rcv_detail_code,remaining_amt, payrec, mode_code,coinsurance_code,class_cd,it_remarks) values('30Dec240042','070000172203','40200',(select max(to_number(i.premium_rcv_detail_code))+1
from ins_premium_det i),'40200','40200','02', '11000003','00','Request by Mr. Saqib Saleem 31-Dec-2024 Active');</v>
      </c>
    </row>
    <row r="465" spans="1:8" ht="105" x14ac:dyDescent="0.25">
      <c r="A465" s="12" t="s">
        <v>11841</v>
      </c>
      <c r="B465" s="25" t="str">
        <f>VLOOKUP(A465,policy!B:C,2,0)</f>
        <v>070000172202</v>
      </c>
      <c r="C465" s="13">
        <v>39180</v>
      </c>
      <c r="D465" s="26">
        <f t="shared" si="29"/>
        <v>39180</v>
      </c>
      <c r="E465" s="24" t="s">
        <v>13296</v>
      </c>
      <c r="F465" s="27" t="str">
        <f t="shared" si="28"/>
        <v>insert into ins_premium_det (premium_rcv_code,assorted_code, rec_amount,premium_rcv_detail_code,remaining_amt, payrec, mode_code,coinsurance_code,class_cd,it_remarks) values</v>
      </c>
      <c r="G465" s="28" t="str">
        <f t="shared" si="30"/>
        <v>('30Dec240042','070000172202','39180',(select max(to_number(i.premium_rcv_detail_code))+1
from ins_premium_det i),'39180','39180','02', '11000003','00','Request by Mr. Saqib Saleem 31-Dec-2024 Active');</v>
      </c>
      <c r="H465" s="29" t="str">
        <f t="shared" si="31"/>
        <v>insert into ins_premium_det (premium_rcv_code,assorted_code, rec_amount,premium_rcv_detail_code,remaining_amt, payrec, mode_code,coinsurance_code,class_cd,it_remarks) values('30Dec240042','070000172202','39180',(select max(to_number(i.premium_rcv_detail_code))+1
from ins_premium_det i),'39180','39180','02', '11000003','00','Request by Mr. Saqib Saleem 31-Dec-2024 Active');</v>
      </c>
    </row>
    <row r="466" spans="1:8" ht="105" x14ac:dyDescent="0.25">
      <c r="A466" s="12" t="s">
        <v>11842</v>
      </c>
      <c r="B466" s="25" t="str">
        <f>VLOOKUP(A466,policy!B:C,2,0)</f>
        <v>070000172201</v>
      </c>
      <c r="C466" s="11">
        <v>39855</v>
      </c>
      <c r="D466" s="26">
        <f t="shared" si="29"/>
        <v>39855</v>
      </c>
      <c r="E466" s="24" t="s">
        <v>13296</v>
      </c>
      <c r="F466" s="27" t="str">
        <f t="shared" si="28"/>
        <v>insert into ins_premium_det (premium_rcv_code,assorted_code, rec_amount,premium_rcv_detail_code,remaining_amt, payrec, mode_code,coinsurance_code,class_cd,it_remarks) values</v>
      </c>
      <c r="G466" s="28" t="str">
        <f t="shared" si="30"/>
        <v>('30Dec240042','070000172201','39855',(select max(to_number(i.premium_rcv_detail_code))+1
from ins_premium_det i),'39855','39855','02', '11000003','00','Request by Mr. Saqib Saleem 31-Dec-2024 Active');</v>
      </c>
      <c r="H466" s="29" t="str">
        <f t="shared" si="31"/>
        <v>insert into ins_premium_det (premium_rcv_code,assorted_code, rec_amount,premium_rcv_detail_code,remaining_amt, payrec, mode_code,coinsurance_code,class_cd,it_remarks) values('30Dec240042','070000172201','39855',(select max(to_number(i.premium_rcv_detail_code))+1
from ins_premium_det i),'39855','39855','02', '11000003','00','Request by Mr. Saqib Saleem 31-Dec-2024 Active');</v>
      </c>
    </row>
    <row r="467" spans="1:8" ht="105" x14ac:dyDescent="0.25">
      <c r="A467" s="12" t="s">
        <v>11843</v>
      </c>
      <c r="B467" s="25" t="str">
        <f>VLOOKUP(A467,policy!B:C,2,0)</f>
        <v>070000172199</v>
      </c>
      <c r="C467" s="13">
        <v>46928</v>
      </c>
      <c r="D467" s="26">
        <f t="shared" si="29"/>
        <v>46928</v>
      </c>
      <c r="E467" s="24" t="s">
        <v>13296</v>
      </c>
      <c r="F467" s="27" t="str">
        <f t="shared" si="28"/>
        <v>insert into ins_premium_det (premium_rcv_code,assorted_code, rec_amount,premium_rcv_detail_code,remaining_amt, payrec, mode_code,coinsurance_code,class_cd,it_remarks) values</v>
      </c>
      <c r="G467" s="28" t="str">
        <f t="shared" si="30"/>
        <v>('30Dec240042','070000172199','46928',(select max(to_number(i.premium_rcv_detail_code))+1
from ins_premium_det i),'46928','46928','02', '11000003','00','Request by Mr. Saqib Saleem 31-Dec-2024 Active');</v>
      </c>
      <c r="H467" s="29" t="str">
        <f t="shared" si="31"/>
        <v>insert into ins_premium_det (premium_rcv_code,assorted_code, rec_amount,premium_rcv_detail_code,remaining_amt, payrec, mode_code,coinsurance_code,class_cd,it_remarks) values('30Dec240042','070000172199','46928',(select max(to_number(i.premium_rcv_detail_code))+1
from ins_premium_det i),'46928','46928','02', '11000003','00','Request by Mr. Saqib Saleem 31-Dec-2024 Active');</v>
      </c>
    </row>
    <row r="468" spans="1:8" ht="105" x14ac:dyDescent="0.25">
      <c r="A468" s="12" t="s">
        <v>11844</v>
      </c>
      <c r="B468" s="25" t="str">
        <f>VLOOKUP(A468,policy!B:C,2,0)</f>
        <v>070000172198</v>
      </c>
      <c r="C468" s="11">
        <v>20400</v>
      </c>
      <c r="D468" s="26">
        <f t="shared" si="29"/>
        <v>20400</v>
      </c>
      <c r="E468" s="24" t="s">
        <v>13296</v>
      </c>
      <c r="F468" s="27" t="str">
        <f t="shared" si="28"/>
        <v>insert into ins_premium_det (premium_rcv_code,assorted_code, rec_amount,premium_rcv_detail_code,remaining_amt, payrec, mode_code,coinsurance_code,class_cd,it_remarks) values</v>
      </c>
      <c r="G468" s="28" t="str">
        <f t="shared" si="30"/>
        <v>('30Dec240042','070000172198','20400',(select max(to_number(i.premium_rcv_detail_code))+1
from ins_premium_det i),'20400','20400','02', '11000003','00','Request by Mr. Saqib Saleem 31-Dec-2024 Active');</v>
      </c>
      <c r="H468" s="29" t="str">
        <f t="shared" si="31"/>
        <v>insert into ins_premium_det (premium_rcv_code,assorted_code, rec_amount,premium_rcv_detail_code,remaining_amt, payrec, mode_code,coinsurance_code,class_cd,it_remarks) values('30Dec240042','070000172198','20400',(select max(to_number(i.premium_rcv_detail_code))+1
from ins_premium_det i),'20400','20400','02', '11000003','00','Request by Mr. Saqib Saleem 31-Dec-2024 Active');</v>
      </c>
    </row>
    <row r="469" spans="1:8" ht="105" x14ac:dyDescent="0.25">
      <c r="A469" s="12" t="s">
        <v>11845</v>
      </c>
      <c r="B469" s="25" t="str">
        <f>VLOOKUP(A469,policy!B:C,2,0)</f>
        <v>070000172196</v>
      </c>
      <c r="C469" s="13">
        <v>22200</v>
      </c>
      <c r="D469" s="26">
        <f t="shared" si="29"/>
        <v>22200</v>
      </c>
      <c r="E469" s="24" t="s">
        <v>13296</v>
      </c>
      <c r="F469" s="27" t="str">
        <f t="shared" si="28"/>
        <v>insert into ins_premium_det (premium_rcv_code,assorted_code, rec_amount,premium_rcv_detail_code,remaining_amt, payrec, mode_code,coinsurance_code,class_cd,it_remarks) values</v>
      </c>
      <c r="G469" s="28" t="str">
        <f t="shared" si="30"/>
        <v>('30Dec240042','070000172196','22200',(select max(to_number(i.premium_rcv_detail_code))+1
from ins_premium_det i),'22200','22200','02', '11000003','00','Request by Mr. Saqib Saleem 31-Dec-2024 Active');</v>
      </c>
      <c r="H469" s="29" t="str">
        <f t="shared" si="31"/>
        <v>insert into ins_premium_det (premium_rcv_code,assorted_code, rec_amount,premium_rcv_detail_code,remaining_amt, payrec, mode_code,coinsurance_code,class_cd,it_remarks) values('30Dec240042','070000172196','22200',(select max(to_number(i.premium_rcv_detail_code))+1
from ins_premium_det i),'22200','22200','02', '11000003','00','Request by Mr. Saqib Saleem 31-Dec-2024 Active');</v>
      </c>
    </row>
    <row r="470" spans="1:8" ht="105" x14ac:dyDescent="0.25">
      <c r="A470" s="12" t="s">
        <v>11846</v>
      </c>
      <c r="B470" s="25" t="str">
        <f>VLOOKUP(A470,policy!B:C,2,0)</f>
        <v>070000172195</v>
      </c>
      <c r="C470" s="11">
        <v>43838</v>
      </c>
      <c r="D470" s="26">
        <f t="shared" si="29"/>
        <v>43838</v>
      </c>
      <c r="E470" s="24" t="s">
        <v>13296</v>
      </c>
      <c r="F470" s="27" t="str">
        <f t="shared" si="28"/>
        <v>insert into ins_premium_det (premium_rcv_code,assorted_code, rec_amount,premium_rcv_detail_code,remaining_amt, payrec, mode_code,coinsurance_code,class_cd,it_remarks) values</v>
      </c>
      <c r="G470" s="28" t="str">
        <f t="shared" si="30"/>
        <v>('30Dec240042','070000172195','43838',(select max(to_number(i.premium_rcv_detail_code))+1
from ins_premium_det i),'43838','43838','02', '11000003','00','Request by Mr. Saqib Saleem 31-Dec-2024 Active');</v>
      </c>
      <c r="H470" s="29" t="str">
        <f t="shared" si="31"/>
        <v>insert into ins_premium_det (premium_rcv_code,assorted_code, rec_amount,premium_rcv_detail_code,remaining_amt, payrec, mode_code,coinsurance_code,class_cd,it_remarks) values('30Dec240042','070000172195','43838',(select max(to_number(i.premium_rcv_detail_code))+1
from ins_premium_det i),'43838','43838','02', '11000003','00','Request by Mr. Saqib Saleem 31-Dec-2024 Active');</v>
      </c>
    </row>
    <row r="471" spans="1:8" ht="105" x14ac:dyDescent="0.25">
      <c r="A471" s="12" t="s">
        <v>11847</v>
      </c>
      <c r="B471" s="25" t="str">
        <f>VLOOKUP(A471,policy!B:C,2,0)</f>
        <v>070000172194</v>
      </c>
      <c r="C471" s="13">
        <v>25760</v>
      </c>
      <c r="D471" s="26">
        <f t="shared" si="29"/>
        <v>25760</v>
      </c>
      <c r="E471" s="24" t="s">
        <v>13296</v>
      </c>
      <c r="F471" s="27" t="str">
        <f t="shared" si="28"/>
        <v>insert into ins_premium_det (premium_rcv_code,assorted_code, rec_amount,premium_rcv_detail_code,remaining_amt, payrec, mode_code,coinsurance_code,class_cd,it_remarks) values</v>
      </c>
      <c r="G471" s="28" t="str">
        <f t="shared" si="30"/>
        <v>('30Dec240042','070000172194','25760',(select max(to_number(i.premium_rcv_detail_code))+1
from ins_premium_det i),'25760','25760','02', '11000003','00','Request by Mr. Saqib Saleem 31-Dec-2024 Active');</v>
      </c>
      <c r="H471" s="29" t="str">
        <f t="shared" si="31"/>
        <v>insert into ins_premium_det (premium_rcv_code,assorted_code, rec_amount,premium_rcv_detail_code,remaining_amt, payrec, mode_code,coinsurance_code,class_cd,it_remarks) values('30Dec240042','070000172194','25760',(select max(to_number(i.premium_rcv_detail_code))+1
from ins_premium_det i),'25760','25760','02', '11000003','00','Request by Mr. Saqib Saleem 31-Dec-2024 Active');</v>
      </c>
    </row>
    <row r="472" spans="1:8" ht="105" x14ac:dyDescent="0.25">
      <c r="A472" s="12" t="s">
        <v>11848</v>
      </c>
      <c r="B472" s="25" t="str">
        <f>VLOOKUP(A472,policy!B:C,2,0)</f>
        <v>070000172193</v>
      </c>
      <c r="C472" s="11">
        <v>16800</v>
      </c>
      <c r="D472" s="26">
        <f t="shared" si="29"/>
        <v>16800</v>
      </c>
      <c r="E472" s="24" t="s">
        <v>13296</v>
      </c>
      <c r="F472" s="27" t="str">
        <f t="shared" si="28"/>
        <v>insert into ins_premium_det (premium_rcv_code,assorted_code, rec_amount,premium_rcv_detail_code,remaining_amt, payrec, mode_code,coinsurance_code,class_cd,it_remarks) values</v>
      </c>
      <c r="G472" s="28" t="str">
        <f t="shared" si="30"/>
        <v>('30Dec240042','070000172193','16800',(select max(to_number(i.premium_rcv_detail_code))+1
from ins_premium_det i),'16800','16800','02', '11000003','00','Request by Mr. Saqib Saleem 31-Dec-2024 Active');</v>
      </c>
      <c r="H472" s="29" t="str">
        <f t="shared" si="31"/>
        <v>insert into ins_premium_det (premium_rcv_code,assorted_code, rec_amount,premium_rcv_detail_code,remaining_amt, payrec, mode_code,coinsurance_code,class_cd,it_remarks) values('30Dec240042','070000172193','16800',(select max(to_number(i.premium_rcv_detail_code))+1
from ins_premium_det i),'16800','16800','02', '11000003','00','Request by Mr. Saqib Saleem 31-Dec-2024 Active');</v>
      </c>
    </row>
    <row r="473" spans="1:8" ht="105" x14ac:dyDescent="0.25">
      <c r="A473" s="12" t="s">
        <v>11849</v>
      </c>
      <c r="B473" s="25" t="str">
        <f>VLOOKUP(A473,policy!B:C,2,0)</f>
        <v>070000172192</v>
      </c>
      <c r="C473" s="13">
        <v>18096</v>
      </c>
      <c r="D473" s="26">
        <f t="shared" si="29"/>
        <v>18096</v>
      </c>
      <c r="E473" s="24" t="s">
        <v>13296</v>
      </c>
      <c r="F473" s="27" t="str">
        <f t="shared" si="28"/>
        <v>insert into ins_premium_det (premium_rcv_code,assorted_code, rec_amount,premium_rcv_detail_code,remaining_amt, payrec, mode_code,coinsurance_code,class_cd,it_remarks) values</v>
      </c>
      <c r="G473" s="28" t="str">
        <f t="shared" si="30"/>
        <v>('30Dec240042','070000172192','18096',(select max(to_number(i.premium_rcv_detail_code))+1
from ins_premium_det i),'18096','18096','02', '11000003','00','Request by Mr. Saqib Saleem 31-Dec-2024 Active');</v>
      </c>
      <c r="H473" s="29" t="str">
        <f t="shared" si="31"/>
        <v>insert into ins_premium_det (premium_rcv_code,assorted_code, rec_amount,premium_rcv_detail_code,remaining_amt, payrec, mode_code,coinsurance_code,class_cd,it_remarks) values('30Dec240042','070000172192','18096',(select max(to_number(i.premium_rcv_detail_code))+1
from ins_premium_det i),'18096','18096','02', '11000003','00','Request by Mr. Saqib Saleem 31-Dec-2024 Active');</v>
      </c>
    </row>
    <row r="474" spans="1:8" ht="105" x14ac:dyDescent="0.25">
      <c r="A474" s="12" t="s">
        <v>11850</v>
      </c>
      <c r="B474" s="25" t="str">
        <f>VLOOKUP(A474,policy!B:C,2,0)</f>
        <v>070000172190</v>
      </c>
      <c r="C474" s="11">
        <v>18000</v>
      </c>
      <c r="D474" s="26">
        <f t="shared" si="29"/>
        <v>18000</v>
      </c>
      <c r="E474" s="24" t="s">
        <v>13296</v>
      </c>
      <c r="F474" s="27" t="str">
        <f t="shared" si="28"/>
        <v>insert into ins_premium_det (premium_rcv_code,assorted_code, rec_amount,premium_rcv_detail_code,remaining_amt, payrec, mode_code,coinsurance_code,class_cd,it_remarks) values</v>
      </c>
      <c r="G474" s="28" t="str">
        <f t="shared" si="30"/>
        <v>('30Dec240042','070000172190','18000',(select max(to_number(i.premium_rcv_detail_code))+1
from ins_premium_det i),'18000','18000','02', '11000003','00','Request by Mr. Saqib Saleem 31-Dec-2024 Active');</v>
      </c>
      <c r="H474" s="29" t="str">
        <f t="shared" si="31"/>
        <v>insert into ins_premium_det (premium_rcv_code,assorted_code, rec_amount,premium_rcv_detail_code,remaining_amt, payrec, mode_code,coinsurance_code,class_cd,it_remarks) values('30Dec240042','070000172190','18000',(select max(to_number(i.premium_rcv_detail_code))+1
from ins_premium_det i),'18000','18000','02', '11000003','00','Request by Mr. Saqib Saleem 31-Dec-2024 Active');</v>
      </c>
    </row>
    <row r="475" spans="1:8" ht="105" x14ac:dyDescent="0.25">
      <c r="A475" s="12" t="s">
        <v>11851</v>
      </c>
      <c r="B475" s="25" t="str">
        <f>VLOOKUP(A475,policy!B:C,2,0)</f>
        <v>070000172185</v>
      </c>
      <c r="C475" s="13">
        <v>46226</v>
      </c>
      <c r="D475" s="26">
        <f t="shared" si="29"/>
        <v>46226</v>
      </c>
      <c r="E475" s="24" t="s">
        <v>13296</v>
      </c>
      <c r="F475" s="27" t="str">
        <f t="shared" si="28"/>
        <v>insert into ins_premium_det (premium_rcv_code,assorted_code, rec_amount,premium_rcv_detail_code,remaining_amt, payrec, mode_code,coinsurance_code,class_cd,it_remarks) values</v>
      </c>
      <c r="G475" s="28" t="str">
        <f t="shared" si="30"/>
        <v>('30Dec240042','070000172185','46226',(select max(to_number(i.premium_rcv_detail_code))+1
from ins_premium_det i),'46226','46226','02', '11000003','00','Request by Mr. Saqib Saleem 31-Dec-2024 Active');</v>
      </c>
      <c r="H475" s="29" t="str">
        <f t="shared" si="31"/>
        <v>insert into ins_premium_det (premium_rcv_code,assorted_code, rec_amount,premium_rcv_detail_code,remaining_amt, payrec, mode_code,coinsurance_code,class_cd,it_remarks) values('30Dec240042','070000172185','46226',(select max(to_number(i.premium_rcv_detail_code))+1
from ins_premium_det i),'46226','46226','02', '11000003','00','Request by Mr. Saqib Saleem 31-Dec-2024 Active');</v>
      </c>
    </row>
    <row r="476" spans="1:8" ht="105" x14ac:dyDescent="0.25">
      <c r="A476" s="17" t="s">
        <v>11996</v>
      </c>
      <c r="B476" s="25" t="str">
        <f>VLOOKUP(A476,policy!B:C,2,0)</f>
        <v>070000172184</v>
      </c>
      <c r="C476" s="11">
        <v>78750</v>
      </c>
      <c r="D476" s="26">
        <f t="shared" si="29"/>
        <v>78750</v>
      </c>
      <c r="E476" s="24" t="s">
        <v>13296</v>
      </c>
      <c r="F476" s="27" t="str">
        <f t="shared" si="28"/>
        <v>insert into ins_premium_det (premium_rcv_code,assorted_code, rec_amount,premium_rcv_detail_code,remaining_amt, payrec, mode_code,coinsurance_code,class_cd,it_remarks) values</v>
      </c>
      <c r="G476" s="28" t="str">
        <f t="shared" si="30"/>
        <v>('30Dec240042','070000172184','78750',(select max(to_number(i.premium_rcv_detail_code))+1
from ins_premium_det i),'78750','78750','02', '11000003','00','Request by Mr. Saqib Saleem 31-Dec-2024 Active');</v>
      </c>
      <c r="H476" s="29" t="str">
        <f t="shared" si="31"/>
        <v>insert into ins_premium_det (premium_rcv_code,assorted_code, rec_amount,premium_rcv_detail_code,remaining_amt, payrec, mode_code,coinsurance_code,class_cd,it_remarks) values('30Dec240042','070000172184','78750',(select max(to_number(i.premium_rcv_detail_code))+1
from ins_premium_det i),'78750','78750','02', '11000003','00','Request by Mr. Saqib Saleem 31-Dec-2024 Active');</v>
      </c>
    </row>
    <row r="477" spans="1:8" ht="105" x14ac:dyDescent="0.25">
      <c r="A477" s="12" t="s">
        <v>11852</v>
      </c>
      <c r="B477" s="25" t="str">
        <f>VLOOKUP(A477,policy!B:C,2,0)</f>
        <v>070000170644</v>
      </c>
      <c r="C477" s="13">
        <v>35166</v>
      </c>
      <c r="D477" s="26">
        <f t="shared" si="29"/>
        <v>35166</v>
      </c>
      <c r="E477" s="24" t="s">
        <v>13296</v>
      </c>
      <c r="F477" s="27" t="str">
        <f t="shared" si="28"/>
        <v>insert into ins_premium_det (premium_rcv_code,assorted_code, rec_amount,premium_rcv_detail_code,remaining_amt, payrec, mode_code,coinsurance_code,class_cd,it_remarks) values</v>
      </c>
      <c r="G477" s="28" t="str">
        <f t="shared" si="30"/>
        <v>('30Dec240042','070000170644','35166',(select max(to_number(i.premium_rcv_detail_code))+1
from ins_premium_det i),'35166','35166','02', '11000003','00','Request by Mr. Saqib Saleem 31-Dec-2024 Active');</v>
      </c>
      <c r="H477" s="29" t="str">
        <f t="shared" si="31"/>
        <v>insert into ins_premium_det (premium_rcv_code,assorted_code, rec_amount,premium_rcv_detail_code,remaining_amt, payrec, mode_code,coinsurance_code,class_cd,it_remarks) values('30Dec240042','070000170644','35166',(select max(to_number(i.premium_rcv_detail_code))+1
from ins_premium_det i),'35166','35166','02', '11000003','00','Request by Mr. Saqib Saleem 31-Dec-2024 Active');</v>
      </c>
    </row>
    <row r="478" spans="1:8" ht="105" x14ac:dyDescent="0.25">
      <c r="A478" s="12" t="s">
        <v>11853</v>
      </c>
      <c r="B478" s="25" t="str">
        <f>VLOOKUP(A478,policy!B:C,2,0)</f>
        <v>070000172183</v>
      </c>
      <c r="C478" s="11">
        <v>70875</v>
      </c>
      <c r="D478" s="26">
        <f t="shared" si="29"/>
        <v>70875</v>
      </c>
      <c r="E478" s="24" t="s">
        <v>13296</v>
      </c>
      <c r="F478" s="27" t="str">
        <f t="shared" si="28"/>
        <v>insert into ins_premium_det (premium_rcv_code,assorted_code, rec_amount,premium_rcv_detail_code,remaining_amt, payrec, mode_code,coinsurance_code,class_cd,it_remarks) values</v>
      </c>
      <c r="G478" s="28" t="str">
        <f t="shared" si="30"/>
        <v>('30Dec240042','070000172183','70875',(select max(to_number(i.premium_rcv_detail_code))+1
from ins_premium_det i),'70875','70875','02', '11000003','00','Request by Mr. Saqib Saleem 31-Dec-2024 Active');</v>
      </c>
      <c r="H478" s="29" t="str">
        <f t="shared" si="31"/>
        <v>insert into ins_premium_det (premium_rcv_code,assorted_code, rec_amount,premium_rcv_detail_code,remaining_amt, payrec, mode_code,coinsurance_code,class_cd,it_remarks) values('30Dec240042','070000172183','70875',(select max(to_number(i.premium_rcv_detail_code))+1
from ins_premium_det i),'70875','70875','02', '11000003','00','Request by Mr. Saqib Saleem 31-Dec-2024 Active');</v>
      </c>
    </row>
    <row r="479" spans="1:8" ht="105" x14ac:dyDescent="0.25">
      <c r="A479" s="12" t="s">
        <v>11854</v>
      </c>
      <c r="B479" s="25" t="str">
        <f>VLOOKUP(A479,policy!B:C,2,0)</f>
        <v>070000172182</v>
      </c>
      <c r="C479" s="13">
        <v>43706</v>
      </c>
      <c r="D479" s="26">
        <f t="shared" si="29"/>
        <v>43706</v>
      </c>
      <c r="E479" s="24" t="s">
        <v>13296</v>
      </c>
      <c r="F479" s="27" t="str">
        <f t="shared" si="28"/>
        <v>insert into ins_premium_det (premium_rcv_code,assorted_code, rec_amount,premium_rcv_detail_code,remaining_amt, payrec, mode_code,coinsurance_code,class_cd,it_remarks) values</v>
      </c>
      <c r="G479" s="28" t="str">
        <f t="shared" si="30"/>
        <v>('30Dec240042','070000172182','43706',(select max(to_number(i.premium_rcv_detail_code))+1
from ins_premium_det i),'43706','43706','02', '11000003','00','Request by Mr. Saqib Saleem 31-Dec-2024 Active');</v>
      </c>
      <c r="H479" s="29" t="str">
        <f t="shared" si="31"/>
        <v>insert into ins_premium_det (premium_rcv_code,assorted_code, rec_amount,premium_rcv_detail_code,remaining_amt, payrec, mode_code,coinsurance_code,class_cd,it_remarks) values('30Dec240042','070000172182','43706',(select max(to_number(i.premium_rcv_detail_code))+1
from ins_premium_det i),'43706','43706','02', '11000003','00','Request by Mr. Saqib Saleem 31-Dec-2024 Active');</v>
      </c>
    </row>
    <row r="480" spans="1:8" ht="105" x14ac:dyDescent="0.25">
      <c r="A480" s="12" t="s">
        <v>11855</v>
      </c>
      <c r="B480" s="25" t="str">
        <f>VLOOKUP(A480,policy!B:C,2,0)</f>
        <v>070000172181</v>
      </c>
      <c r="C480" s="11">
        <v>67410</v>
      </c>
      <c r="D480" s="26">
        <f t="shared" si="29"/>
        <v>67410</v>
      </c>
      <c r="E480" s="24" t="s">
        <v>13296</v>
      </c>
      <c r="F480" s="27" t="str">
        <f t="shared" si="28"/>
        <v>insert into ins_premium_det (premium_rcv_code,assorted_code, rec_amount,premium_rcv_detail_code,remaining_amt, payrec, mode_code,coinsurance_code,class_cd,it_remarks) values</v>
      </c>
      <c r="G480" s="28" t="str">
        <f t="shared" si="30"/>
        <v>('30Dec240042','070000172181','67410',(select max(to_number(i.premium_rcv_detail_code))+1
from ins_premium_det i),'67410','67410','02', '11000003','00','Request by Mr. Saqib Saleem 31-Dec-2024 Active');</v>
      </c>
      <c r="H480" s="29" t="str">
        <f t="shared" si="31"/>
        <v>insert into ins_premium_det (premium_rcv_code,assorted_code, rec_amount,premium_rcv_detail_code,remaining_amt, payrec, mode_code,coinsurance_code,class_cd,it_remarks) values('30Dec240042','070000172181','67410',(select max(to_number(i.premium_rcv_detail_code))+1
from ins_premium_det i),'67410','67410','02', '11000003','00','Request by Mr. Saqib Saleem 31-Dec-2024 Active');</v>
      </c>
    </row>
    <row r="481" spans="1:8" ht="105" x14ac:dyDescent="0.25">
      <c r="A481" s="12" t="s">
        <v>11856</v>
      </c>
      <c r="B481" s="25" t="str">
        <f>VLOOKUP(A481,policy!B:C,2,0)</f>
        <v>070000172179</v>
      </c>
      <c r="C481" s="13">
        <v>41139</v>
      </c>
      <c r="D481" s="26">
        <f t="shared" si="29"/>
        <v>41139</v>
      </c>
      <c r="E481" s="24" t="s">
        <v>13296</v>
      </c>
      <c r="F481" s="27" t="str">
        <f t="shared" si="28"/>
        <v>insert into ins_premium_det (premium_rcv_code,assorted_code, rec_amount,premium_rcv_detail_code,remaining_amt, payrec, mode_code,coinsurance_code,class_cd,it_remarks) values</v>
      </c>
      <c r="G481" s="28" t="str">
        <f t="shared" si="30"/>
        <v>('30Dec240042','070000172179','41139',(select max(to_number(i.premium_rcv_detail_code))+1
from ins_premium_det i),'41139','41139','02', '11000003','00','Request by Mr. Saqib Saleem 31-Dec-2024 Active');</v>
      </c>
      <c r="H481" s="29" t="str">
        <f t="shared" si="31"/>
        <v>insert into ins_premium_det (premium_rcv_code,assorted_code, rec_amount,premium_rcv_detail_code,remaining_amt, payrec, mode_code,coinsurance_code,class_cd,it_remarks) values('30Dec240042','070000172179','41139',(select max(to_number(i.premium_rcv_detail_code))+1
from ins_premium_det i),'41139','41139','02', '11000003','00','Request by Mr. Saqib Saleem 31-Dec-2024 Active');</v>
      </c>
    </row>
    <row r="482" spans="1:8" ht="105" x14ac:dyDescent="0.25">
      <c r="A482" s="12" t="s">
        <v>11857</v>
      </c>
      <c r="B482" s="25" t="str">
        <f>VLOOKUP(A482,policy!B:C,2,0)</f>
        <v>070000172168</v>
      </c>
      <c r="C482" s="11">
        <v>70512</v>
      </c>
      <c r="D482" s="26">
        <f t="shared" si="29"/>
        <v>70512</v>
      </c>
      <c r="E482" s="24" t="s">
        <v>13296</v>
      </c>
      <c r="F482" s="27" t="str">
        <f t="shared" si="28"/>
        <v>insert into ins_premium_det (premium_rcv_code,assorted_code, rec_amount,premium_rcv_detail_code,remaining_amt, payrec, mode_code,coinsurance_code,class_cd,it_remarks) values</v>
      </c>
      <c r="G482" s="28" t="str">
        <f t="shared" si="30"/>
        <v>('30Dec240042','070000172168','70512',(select max(to_number(i.premium_rcv_detail_code))+1
from ins_premium_det i),'70512','70512','02', '11000003','00','Request by Mr. Saqib Saleem 31-Dec-2024 Active');</v>
      </c>
      <c r="H482" s="29" t="str">
        <f t="shared" si="31"/>
        <v>insert into ins_premium_det (premium_rcv_code,assorted_code, rec_amount,premium_rcv_detail_code,remaining_amt, payrec, mode_code,coinsurance_code,class_cd,it_remarks) values('30Dec240042','070000172168','70512',(select max(to_number(i.premium_rcv_detail_code))+1
from ins_premium_det i),'70512','70512','02', '11000003','00','Request by Mr. Saqib Saleem 31-Dec-2024 Active');</v>
      </c>
    </row>
    <row r="483" spans="1:8" ht="105" x14ac:dyDescent="0.25">
      <c r="A483" s="12" t="s">
        <v>11858</v>
      </c>
      <c r="B483" s="25" t="str">
        <f>VLOOKUP(A483,policy!B:C,2,0)</f>
        <v>070000172166</v>
      </c>
      <c r="C483" s="13">
        <v>43952</v>
      </c>
      <c r="D483" s="26">
        <f t="shared" si="29"/>
        <v>43952</v>
      </c>
      <c r="E483" s="24" t="s">
        <v>13296</v>
      </c>
      <c r="F483" s="27" t="str">
        <f t="shared" si="28"/>
        <v>insert into ins_premium_det (premium_rcv_code,assorted_code, rec_amount,premium_rcv_detail_code,remaining_amt, payrec, mode_code,coinsurance_code,class_cd,it_remarks) values</v>
      </c>
      <c r="G483" s="28" t="str">
        <f t="shared" si="30"/>
        <v>('30Dec240042','070000172166','43952',(select max(to_number(i.premium_rcv_detail_code))+1
from ins_premium_det i),'43952','43952','02', '11000003','00','Request by Mr. Saqib Saleem 31-Dec-2024 Active');</v>
      </c>
      <c r="H483" s="29" t="str">
        <f t="shared" si="31"/>
        <v>insert into ins_premium_det (premium_rcv_code,assorted_code, rec_amount,premium_rcv_detail_code,remaining_amt, payrec, mode_code,coinsurance_code,class_cd,it_remarks) values('30Dec240042','070000172166','43952',(select max(to_number(i.premium_rcv_detail_code))+1
from ins_premium_det i),'43952','43952','02', '11000003','00','Request by Mr. Saqib Saleem 31-Dec-2024 Active');</v>
      </c>
    </row>
    <row r="484" spans="1:8" ht="105" x14ac:dyDescent="0.25">
      <c r="A484" s="12" t="s">
        <v>11859</v>
      </c>
      <c r="B484" s="25" t="str">
        <f>VLOOKUP(A484,policy!B:C,2,0)</f>
        <v>070000172164</v>
      </c>
      <c r="C484" s="11">
        <v>44895</v>
      </c>
      <c r="D484" s="26">
        <f t="shared" si="29"/>
        <v>44895</v>
      </c>
      <c r="E484" s="24" t="s">
        <v>13296</v>
      </c>
      <c r="F484" s="27" t="str">
        <f t="shared" si="28"/>
        <v>insert into ins_premium_det (premium_rcv_code,assorted_code, rec_amount,premium_rcv_detail_code,remaining_amt, payrec, mode_code,coinsurance_code,class_cd,it_remarks) values</v>
      </c>
      <c r="G484" s="28" t="str">
        <f t="shared" si="30"/>
        <v>('30Dec240042','070000172164','44895',(select max(to_number(i.premium_rcv_detail_code))+1
from ins_premium_det i),'44895','44895','02', '11000003','00','Request by Mr. Saqib Saleem 31-Dec-2024 Active');</v>
      </c>
      <c r="H484" s="29" t="str">
        <f t="shared" si="31"/>
        <v>insert into ins_premium_det (premium_rcv_code,assorted_code, rec_amount,premium_rcv_detail_code,remaining_amt, payrec, mode_code,coinsurance_code,class_cd,it_remarks) values('30Dec240042','070000172164','44895',(select max(to_number(i.premium_rcv_detail_code))+1
from ins_premium_det i),'44895','44895','02', '11000003','00','Request by Mr. Saqib Saleem 31-Dec-2024 Active');</v>
      </c>
    </row>
    <row r="485" spans="1:8" ht="105" x14ac:dyDescent="0.25">
      <c r="A485" s="12" t="s">
        <v>11860</v>
      </c>
      <c r="B485" s="25" t="str">
        <f>VLOOKUP(A485,policy!B:C,2,0)</f>
        <v>070000172159</v>
      </c>
      <c r="C485" s="13">
        <v>28800</v>
      </c>
      <c r="D485" s="26">
        <f t="shared" si="29"/>
        <v>28800</v>
      </c>
      <c r="E485" s="24" t="s">
        <v>13296</v>
      </c>
      <c r="F485" s="27" t="str">
        <f t="shared" si="28"/>
        <v>insert into ins_premium_det (premium_rcv_code,assorted_code, rec_amount,premium_rcv_detail_code,remaining_amt, payrec, mode_code,coinsurance_code,class_cd,it_remarks) values</v>
      </c>
      <c r="G485" s="28" t="str">
        <f t="shared" si="30"/>
        <v>('30Dec240042','070000172159','28800',(select max(to_number(i.premium_rcv_detail_code))+1
from ins_premium_det i),'28800','28800','02', '11000003','00','Request by Mr. Saqib Saleem 31-Dec-2024 Active');</v>
      </c>
      <c r="H485" s="29" t="str">
        <f t="shared" si="31"/>
        <v>insert into ins_premium_det (premium_rcv_code,assorted_code, rec_amount,premium_rcv_detail_code,remaining_amt, payrec, mode_code,coinsurance_code,class_cd,it_remarks) values('30Dec240042','070000172159','28800',(select max(to_number(i.premium_rcv_detail_code))+1
from ins_premium_det i),'28800','28800','02', '11000003','00','Request by Mr. Saqib Saleem 31-Dec-2024 Active');</v>
      </c>
    </row>
    <row r="486" spans="1:8" ht="105" x14ac:dyDescent="0.25">
      <c r="A486" s="12" t="s">
        <v>11861</v>
      </c>
      <c r="B486" s="25" t="str">
        <f>VLOOKUP(A486,policy!B:C,2,0)</f>
        <v>070000172155</v>
      </c>
      <c r="C486" s="11">
        <v>26480</v>
      </c>
      <c r="D486" s="26">
        <f t="shared" si="29"/>
        <v>26480</v>
      </c>
      <c r="E486" s="24" t="s">
        <v>13296</v>
      </c>
      <c r="F486" s="27" t="str">
        <f t="shared" si="28"/>
        <v>insert into ins_premium_det (premium_rcv_code,assorted_code, rec_amount,premium_rcv_detail_code,remaining_amt, payrec, mode_code,coinsurance_code,class_cd,it_remarks) values</v>
      </c>
      <c r="G486" s="28" t="str">
        <f t="shared" si="30"/>
        <v>('30Dec240042','070000172155','26480',(select max(to_number(i.premium_rcv_detail_code))+1
from ins_premium_det i),'26480','26480','02', '11000003','00','Request by Mr. Saqib Saleem 31-Dec-2024 Active');</v>
      </c>
      <c r="H486" s="29" t="str">
        <f t="shared" si="31"/>
        <v>insert into ins_premium_det (premium_rcv_code,assorted_code, rec_amount,premium_rcv_detail_code,remaining_amt, payrec, mode_code,coinsurance_code,class_cd,it_remarks) values('30Dec240042','070000172155','26480',(select max(to_number(i.premium_rcv_detail_code))+1
from ins_premium_det i),'26480','26480','02', '11000003','00','Request by Mr. Saqib Saleem 31-Dec-2024 Active');</v>
      </c>
    </row>
    <row r="487" spans="1:8" ht="105" x14ac:dyDescent="0.25">
      <c r="A487" s="12" t="s">
        <v>11862</v>
      </c>
      <c r="B487" s="25" t="str">
        <f>VLOOKUP(A487,policy!B:C,2,0)</f>
        <v>070000172152</v>
      </c>
      <c r="C487" s="13">
        <v>17220</v>
      </c>
      <c r="D487" s="26">
        <f t="shared" si="29"/>
        <v>17220</v>
      </c>
      <c r="E487" s="24" t="s">
        <v>13296</v>
      </c>
      <c r="F487" s="27" t="str">
        <f t="shared" si="28"/>
        <v>insert into ins_premium_det (premium_rcv_code,assorted_code, rec_amount,premium_rcv_detail_code,remaining_amt, payrec, mode_code,coinsurance_code,class_cd,it_remarks) values</v>
      </c>
      <c r="G487" s="28" t="str">
        <f t="shared" si="30"/>
        <v>('30Dec240042','070000172152','17220',(select max(to_number(i.premium_rcv_detail_code))+1
from ins_premium_det i),'17220','17220','02', '11000003','00','Request by Mr. Saqib Saleem 31-Dec-2024 Active');</v>
      </c>
      <c r="H487" s="29" t="str">
        <f t="shared" si="31"/>
        <v>insert into ins_premium_det (premium_rcv_code,assorted_code, rec_amount,premium_rcv_detail_code,remaining_amt, payrec, mode_code,coinsurance_code,class_cd,it_remarks) values('30Dec240042','070000172152','17220',(select max(to_number(i.premium_rcv_detail_code))+1
from ins_premium_det i),'17220','17220','02', '11000003','00','Request by Mr. Saqib Saleem 31-Dec-2024 Active');</v>
      </c>
    </row>
    <row r="488" spans="1:8" ht="105" x14ac:dyDescent="0.25">
      <c r="A488" s="12" t="s">
        <v>11863</v>
      </c>
      <c r="B488" s="25" t="str">
        <f>VLOOKUP(A488,policy!B:C,2,0)</f>
        <v>070000172151</v>
      </c>
      <c r="C488" s="11">
        <v>21495</v>
      </c>
      <c r="D488" s="26">
        <f t="shared" si="29"/>
        <v>21495</v>
      </c>
      <c r="E488" s="24" t="s">
        <v>13296</v>
      </c>
      <c r="F488" s="27" t="str">
        <f t="shared" si="28"/>
        <v>insert into ins_premium_det (premium_rcv_code,assorted_code, rec_amount,premium_rcv_detail_code,remaining_amt, payrec, mode_code,coinsurance_code,class_cd,it_remarks) values</v>
      </c>
      <c r="G488" s="28" t="str">
        <f t="shared" si="30"/>
        <v>('30Dec240042','070000172151','21495',(select max(to_number(i.premium_rcv_detail_code))+1
from ins_premium_det i),'21495','21495','02', '11000003','00','Request by Mr. Saqib Saleem 31-Dec-2024 Active');</v>
      </c>
      <c r="H488" s="29" t="str">
        <f t="shared" si="31"/>
        <v>insert into ins_premium_det (premium_rcv_code,assorted_code, rec_amount,premium_rcv_detail_code,remaining_amt, payrec, mode_code,coinsurance_code,class_cd,it_remarks) values('30Dec240042','070000172151','21495',(select max(to_number(i.premium_rcv_detail_code))+1
from ins_premium_det i),'21495','21495','02', '11000003','00','Request by Mr. Saqib Saleem 31-Dec-2024 Active');</v>
      </c>
    </row>
    <row r="489" spans="1:8" ht="105" x14ac:dyDescent="0.25">
      <c r="A489" s="12" t="s">
        <v>11864</v>
      </c>
      <c r="B489" s="25" t="str">
        <f>VLOOKUP(A489,policy!B:C,2,0)</f>
        <v>070000172150</v>
      </c>
      <c r="C489" s="13">
        <v>24495</v>
      </c>
      <c r="D489" s="26">
        <f t="shared" si="29"/>
        <v>24495</v>
      </c>
      <c r="E489" s="24" t="s">
        <v>13296</v>
      </c>
      <c r="F489" s="27" t="str">
        <f t="shared" si="28"/>
        <v>insert into ins_premium_det (premium_rcv_code,assorted_code, rec_amount,premium_rcv_detail_code,remaining_amt, payrec, mode_code,coinsurance_code,class_cd,it_remarks) values</v>
      </c>
      <c r="G489" s="28" t="str">
        <f t="shared" si="30"/>
        <v>('30Dec240042','070000172150','24495',(select max(to_number(i.premium_rcv_detail_code))+1
from ins_premium_det i),'24495','24495','02', '11000003','00','Request by Mr. Saqib Saleem 31-Dec-2024 Active');</v>
      </c>
      <c r="H489" s="29" t="str">
        <f t="shared" si="31"/>
        <v>insert into ins_premium_det (premium_rcv_code,assorted_code, rec_amount,premium_rcv_detail_code,remaining_amt, payrec, mode_code,coinsurance_code,class_cd,it_remarks) values('30Dec240042','070000172150','24495',(select max(to_number(i.premium_rcv_detail_code))+1
from ins_premium_det i),'24495','24495','02', '11000003','00','Request by Mr. Saqib Saleem 31-Dec-2024 Active');</v>
      </c>
    </row>
    <row r="490" spans="1:8" ht="105" x14ac:dyDescent="0.25">
      <c r="A490" s="12" t="s">
        <v>11865</v>
      </c>
      <c r="B490" s="25" t="str">
        <f>VLOOKUP(A490,policy!B:C,2,0)</f>
        <v>070000172142</v>
      </c>
      <c r="C490" s="11">
        <v>44888</v>
      </c>
      <c r="D490" s="26">
        <f t="shared" si="29"/>
        <v>44888</v>
      </c>
      <c r="E490" s="24" t="s">
        <v>13296</v>
      </c>
      <c r="F490" s="27" t="str">
        <f t="shared" si="28"/>
        <v>insert into ins_premium_det (premium_rcv_code,assorted_code, rec_amount,premium_rcv_detail_code,remaining_amt, payrec, mode_code,coinsurance_code,class_cd,it_remarks) values</v>
      </c>
      <c r="G490" s="28" t="str">
        <f t="shared" si="30"/>
        <v>('30Dec240042','070000172142','44888',(select max(to_number(i.premium_rcv_detail_code))+1
from ins_premium_det i),'44888','44888','02', '11000003','00','Request by Mr. Saqib Saleem 31-Dec-2024 Active');</v>
      </c>
      <c r="H490" s="29" t="str">
        <f t="shared" si="31"/>
        <v>insert into ins_premium_det (premium_rcv_code,assorted_code, rec_amount,premium_rcv_detail_code,remaining_amt, payrec, mode_code,coinsurance_code,class_cd,it_remarks) values('30Dec240042','070000172142','44888',(select max(to_number(i.premium_rcv_detail_code))+1
from ins_premium_det i),'44888','44888','02', '11000003','00','Request by Mr. Saqib Saleem 31-Dec-2024 Active');</v>
      </c>
    </row>
    <row r="491" spans="1:8" ht="105" x14ac:dyDescent="0.25">
      <c r="A491" s="12" t="s">
        <v>11866</v>
      </c>
      <c r="B491" s="25" t="str">
        <f>VLOOKUP(A491,policy!B:C,2,0)</f>
        <v>070000172141</v>
      </c>
      <c r="C491" s="13">
        <v>46226</v>
      </c>
      <c r="D491" s="26">
        <f t="shared" si="29"/>
        <v>46226</v>
      </c>
      <c r="E491" s="24" t="s">
        <v>13296</v>
      </c>
      <c r="F491" s="27" t="str">
        <f t="shared" si="28"/>
        <v>insert into ins_premium_det (premium_rcv_code,assorted_code, rec_amount,premium_rcv_detail_code,remaining_amt, payrec, mode_code,coinsurance_code,class_cd,it_remarks) values</v>
      </c>
      <c r="G491" s="28" t="str">
        <f t="shared" si="30"/>
        <v>('30Dec240042','070000172141','46226',(select max(to_number(i.premium_rcv_detail_code))+1
from ins_premium_det i),'46226','46226','02', '11000003','00','Request by Mr. Saqib Saleem 31-Dec-2024 Active');</v>
      </c>
      <c r="H491" s="29" t="str">
        <f t="shared" si="31"/>
        <v>insert into ins_premium_det (premium_rcv_code,assorted_code, rec_amount,premium_rcv_detail_code,remaining_amt, payrec, mode_code,coinsurance_code,class_cd,it_remarks) values('30Dec240042','070000172141','46226',(select max(to_number(i.premium_rcv_detail_code))+1
from ins_premium_det i),'46226','46226','02', '11000003','00','Request by Mr. Saqib Saleem 31-Dec-2024 Active');</v>
      </c>
    </row>
    <row r="492" spans="1:8" ht="105" x14ac:dyDescent="0.25">
      <c r="A492" s="12" t="s">
        <v>11867</v>
      </c>
      <c r="B492" s="25" t="str">
        <f>VLOOKUP(A492,policy!B:C,2,0)</f>
        <v>070000172133</v>
      </c>
      <c r="C492" s="11">
        <v>48344</v>
      </c>
      <c r="D492" s="26">
        <f t="shared" si="29"/>
        <v>48344</v>
      </c>
      <c r="E492" s="24" t="s">
        <v>13296</v>
      </c>
      <c r="F492" s="27" t="str">
        <f t="shared" si="28"/>
        <v>insert into ins_premium_det (premium_rcv_code,assorted_code, rec_amount,premium_rcv_detail_code,remaining_amt, payrec, mode_code,coinsurance_code,class_cd,it_remarks) values</v>
      </c>
      <c r="G492" s="28" t="str">
        <f t="shared" si="30"/>
        <v>('30Dec240042','070000172133','48344',(select max(to_number(i.premium_rcv_detail_code))+1
from ins_premium_det i),'48344','48344','02', '11000003','00','Request by Mr. Saqib Saleem 31-Dec-2024 Active');</v>
      </c>
      <c r="H492" s="29" t="str">
        <f t="shared" si="31"/>
        <v>insert into ins_premium_det (premium_rcv_code,assorted_code, rec_amount,premium_rcv_detail_code,remaining_amt, payrec, mode_code,coinsurance_code,class_cd,it_remarks) values('30Dec240042','070000172133','48344',(select max(to_number(i.premium_rcv_detail_code))+1
from ins_premium_det i),'48344','48344','02', '11000003','00','Request by Mr. Saqib Saleem 31-Dec-2024 Active');</v>
      </c>
    </row>
    <row r="493" spans="1:8" ht="105" x14ac:dyDescent="0.25">
      <c r="A493" s="12" t="s">
        <v>11868</v>
      </c>
      <c r="B493" s="25" t="str">
        <f>VLOOKUP(A493,policy!B:C,2,0)</f>
        <v>070000172131</v>
      </c>
      <c r="C493" s="13">
        <v>44934</v>
      </c>
      <c r="D493" s="26">
        <f t="shared" si="29"/>
        <v>44934</v>
      </c>
      <c r="E493" s="24" t="s">
        <v>13296</v>
      </c>
      <c r="F493" s="27" t="str">
        <f t="shared" si="28"/>
        <v>insert into ins_premium_det (premium_rcv_code,assorted_code, rec_amount,premium_rcv_detail_code,remaining_amt, payrec, mode_code,coinsurance_code,class_cd,it_remarks) values</v>
      </c>
      <c r="G493" s="28" t="str">
        <f t="shared" si="30"/>
        <v>('30Dec240042','070000172131','44934',(select max(to_number(i.premium_rcv_detail_code))+1
from ins_premium_det i),'44934','44934','02', '11000003','00','Request by Mr. Saqib Saleem 31-Dec-2024 Active');</v>
      </c>
      <c r="H493" s="29" t="str">
        <f t="shared" si="31"/>
        <v>insert into ins_premium_det (premium_rcv_code,assorted_code, rec_amount,premium_rcv_detail_code,remaining_amt, payrec, mode_code,coinsurance_code,class_cd,it_remarks) values('30Dec240042','070000172131','44934',(select max(to_number(i.premium_rcv_detail_code))+1
from ins_premium_det i),'44934','44934','02', '11000003','00','Request by Mr. Saqib Saleem 31-Dec-2024 Active');</v>
      </c>
    </row>
    <row r="494" spans="1:8" ht="105" x14ac:dyDescent="0.25">
      <c r="A494" s="12" t="s">
        <v>11869</v>
      </c>
      <c r="B494" s="25" t="str">
        <f>VLOOKUP(A494,policy!B:C,2,0)</f>
        <v>070000172124</v>
      </c>
      <c r="C494" s="11">
        <v>36975</v>
      </c>
      <c r="D494" s="26">
        <f t="shared" si="29"/>
        <v>36975</v>
      </c>
      <c r="E494" s="24" t="s">
        <v>13296</v>
      </c>
      <c r="F494" s="27" t="str">
        <f t="shared" si="28"/>
        <v>insert into ins_premium_det (premium_rcv_code,assorted_code, rec_amount,premium_rcv_detail_code,remaining_amt, payrec, mode_code,coinsurance_code,class_cd,it_remarks) values</v>
      </c>
      <c r="G494" s="28" t="str">
        <f t="shared" si="30"/>
        <v>('30Dec240042','070000172124','36975',(select max(to_number(i.premium_rcv_detail_code))+1
from ins_premium_det i),'36975','36975','02', '11000003','00','Request by Mr. Saqib Saleem 31-Dec-2024 Active');</v>
      </c>
      <c r="H494" s="29" t="str">
        <f t="shared" si="31"/>
        <v>insert into ins_premium_det (premium_rcv_code,assorted_code, rec_amount,premium_rcv_detail_code,remaining_amt, payrec, mode_code,coinsurance_code,class_cd,it_remarks) values('30Dec240042','070000172124','36975',(select max(to_number(i.premium_rcv_detail_code))+1
from ins_premium_det i),'36975','36975','02', '11000003','00','Request by Mr. Saqib Saleem 31-Dec-2024 Active');</v>
      </c>
    </row>
    <row r="495" spans="1:8" ht="105" x14ac:dyDescent="0.25">
      <c r="A495" s="12" t="s">
        <v>11870</v>
      </c>
      <c r="B495" s="25" t="str">
        <f>VLOOKUP(A495,policy!B:C,2,0)</f>
        <v>070000170638</v>
      </c>
      <c r="C495" s="13">
        <v>17760</v>
      </c>
      <c r="D495" s="26">
        <f t="shared" si="29"/>
        <v>17760</v>
      </c>
      <c r="E495" s="24" t="s">
        <v>13296</v>
      </c>
      <c r="F495" s="27" t="str">
        <f t="shared" si="28"/>
        <v>insert into ins_premium_det (premium_rcv_code,assorted_code, rec_amount,premium_rcv_detail_code,remaining_amt, payrec, mode_code,coinsurance_code,class_cd,it_remarks) values</v>
      </c>
      <c r="G495" s="28" t="str">
        <f t="shared" si="30"/>
        <v>('30Dec240042','070000170638','17760',(select max(to_number(i.premium_rcv_detail_code))+1
from ins_premium_det i),'17760','17760','02', '11000003','00','Request by Mr. Saqib Saleem 31-Dec-2024 Active');</v>
      </c>
      <c r="H495" s="29" t="str">
        <f t="shared" si="31"/>
        <v>insert into ins_premium_det (premium_rcv_code,assorted_code, rec_amount,premium_rcv_detail_code,remaining_amt, payrec, mode_code,coinsurance_code,class_cd,it_remarks) values('30Dec240042','070000170638','17760',(select max(to_number(i.premium_rcv_detail_code))+1
from ins_premium_det i),'17760','17760','02', '11000003','00','Request by Mr. Saqib Saleem 31-Dec-2024 Active');</v>
      </c>
    </row>
    <row r="496" spans="1:8" ht="105" x14ac:dyDescent="0.25">
      <c r="A496" s="12" t="s">
        <v>11871</v>
      </c>
      <c r="B496" s="25" t="str">
        <f>VLOOKUP(A496,policy!B:C,2,0)</f>
        <v>070000170637</v>
      </c>
      <c r="C496" s="11">
        <v>17100</v>
      </c>
      <c r="D496" s="26">
        <f t="shared" si="29"/>
        <v>17100</v>
      </c>
      <c r="E496" s="24" t="s">
        <v>13296</v>
      </c>
      <c r="F496" s="27" t="str">
        <f t="shared" si="28"/>
        <v>insert into ins_premium_det (premium_rcv_code,assorted_code, rec_amount,premium_rcv_detail_code,remaining_amt, payrec, mode_code,coinsurance_code,class_cd,it_remarks) values</v>
      </c>
      <c r="G496" s="28" t="str">
        <f t="shared" si="30"/>
        <v>('30Dec240042','070000170637','17100',(select max(to_number(i.premium_rcv_detail_code))+1
from ins_premium_det i),'17100','17100','02', '11000003','00','Request by Mr. Saqib Saleem 31-Dec-2024 Active');</v>
      </c>
      <c r="H496" s="29" t="str">
        <f t="shared" si="31"/>
        <v>insert into ins_premium_det (premium_rcv_code,assorted_code, rec_amount,premium_rcv_detail_code,remaining_amt, payrec, mode_code,coinsurance_code,class_cd,it_remarks) values('30Dec240042','070000170637','17100',(select max(to_number(i.premium_rcv_detail_code))+1
from ins_premium_det i),'17100','17100','02', '11000003','00','Request by Mr. Saqib Saleem 31-Dec-2024 Active');</v>
      </c>
    </row>
    <row r="497" spans="1:8" ht="105" x14ac:dyDescent="0.25">
      <c r="A497" s="12" t="s">
        <v>11872</v>
      </c>
      <c r="B497" s="25" t="str">
        <f>VLOOKUP(A497,policy!B:C,2,0)</f>
        <v>070000172120</v>
      </c>
      <c r="C497" s="13">
        <v>13800</v>
      </c>
      <c r="D497" s="26">
        <f t="shared" si="29"/>
        <v>13800</v>
      </c>
      <c r="E497" s="24" t="s">
        <v>13296</v>
      </c>
      <c r="F497" s="27" t="str">
        <f t="shared" si="28"/>
        <v>insert into ins_premium_det (premium_rcv_code,assorted_code, rec_amount,premium_rcv_detail_code,remaining_amt, payrec, mode_code,coinsurance_code,class_cd,it_remarks) values</v>
      </c>
      <c r="G497" s="28" t="str">
        <f t="shared" si="30"/>
        <v>('30Dec240042','070000172120','13800',(select max(to_number(i.premium_rcv_detail_code))+1
from ins_premium_det i),'13800','13800','02', '11000003','00','Request by Mr. Saqib Saleem 31-Dec-2024 Active');</v>
      </c>
      <c r="H497" s="29" t="str">
        <f t="shared" si="31"/>
        <v>insert into ins_premium_det (premium_rcv_code,assorted_code, rec_amount,premium_rcv_detail_code,remaining_amt, payrec, mode_code,coinsurance_code,class_cd,it_remarks) values('30Dec240042','070000172120','13800',(select max(to_number(i.premium_rcv_detail_code))+1
from ins_premium_det i),'13800','13800','02', '11000003','00','Request by Mr. Saqib Saleem 31-Dec-2024 Active');</v>
      </c>
    </row>
    <row r="498" spans="1:8" ht="105" x14ac:dyDescent="0.25">
      <c r="A498" s="12" t="s">
        <v>11873</v>
      </c>
      <c r="B498" s="25" t="str">
        <f>VLOOKUP(A498,policy!B:C,2,0)</f>
        <v>070000172114</v>
      </c>
      <c r="C498" s="11">
        <v>14508</v>
      </c>
      <c r="D498" s="26">
        <f t="shared" si="29"/>
        <v>14508</v>
      </c>
      <c r="E498" s="24" t="s">
        <v>13296</v>
      </c>
      <c r="F498" s="27" t="str">
        <f t="shared" si="28"/>
        <v>insert into ins_premium_det (premium_rcv_code,assorted_code, rec_amount,premium_rcv_detail_code,remaining_amt, payrec, mode_code,coinsurance_code,class_cd,it_remarks) values</v>
      </c>
      <c r="G498" s="28" t="str">
        <f t="shared" si="30"/>
        <v>('30Dec240042','070000172114','14508',(select max(to_number(i.premium_rcv_detail_code))+1
from ins_premium_det i),'14508','14508','02', '11000003','00','Request by Mr. Saqib Saleem 31-Dec-2024 Active');</v>
      </c>
      <c r="H498" s="29" t="str">
        <f t="shared" si="31"/>
        <v>insert into ins_premium_det (premium_rcv_code,assorted_code, rec_amount,premium_rcv_detail_code,remaining_amt, payrec, mode_code,coinsurance_code,class_cd,it_remarks) values('30Dec240042','070000172114','14508',(select max(to_number(i.premium_rcv_detail_code))+1
from ins_premium_det i),'14508','14508','02', '11000003','00','Request by Mr. Saqib Saleem 31-Dec-2024 Active');</v>
      </c>
    </row>
    <row r="499" spans="1:8" ht="105" x14ac:dyDescent="0.25">
      <c r="A499" s="12" t="s">
        <v>11874</v>
      </c>
      <c r="B499" s="25" t="str">
        <f>VLOOKUP(A499,policy!B:C,2,0)</f>
        <v>070000170636</v>
      </c>
      <c r="C499" s="13">
        <v>36360</v>
      </c>
      <c r="D499" s="26">
        <f t="shared" si="29"/>
        <v>36360</v>
      </c>
      <c r="E499" s="24" t="s">
        <v>13296</v>
      </c>
      <c r="F499" s="27" t="str">
        <f t="shared" si="28"/>
        <v>insert into ins_premium_det (premium_rcv_code,assorted_code, rec_amount,premium_rcv_detail_code,remaining_amt, payrec, mode_code,coinsurance_code,class_cd,it_remarks) values</v>
      </c>
      <c r="G499" s="28" t="str">
        <f t="shared" si="30"/>
        <v>('30Dec240042','070000170636','36360',(select max(to_number(i.premium_rcv_detail_code))+1
from ins_premium_det i),'36360','36360','02', '11000003','00','Request by Mr. Saqib Saleem 31-Dec-2024 Active');</v>
      </c>
      <c r="H499" s="29" t="str">
        <f t="shared" si="31"/>
        <v>insert into ins_premium_det (premium_rcv_code,assorted_code, rec_amount,premium_rcv_detail_code,remaining_amt, payrec, mode_code,coinsurance_code,class_cd,it_remarks) values('30Dec240042','070000170636','36360',(select max(to_number(i.premium_rcv_detail_code))+1
from ins_premium_det i),'36360','36360','02', '11000003','00','Request by Mr. Saqib Saleem 31-Dec-2024 Active');</v>
      </c>
    </row>
    <row r="500" spans="1:8" ht="105" x14ac:dyDescent="0.25">
      <c r="A500" s="12" t="s">
        <v>11875</v>
      </c>
      <c r="B500" s="25" t="str">
        <f>VLOOKUP(A500,policy!B:C,2,0)</f>
        <v>070000172112</v>
      </c>
      <c r="C500" s="11">
        <v>16800</v>
      </c>
      <c r="D500" s="26">
        <f t="shared" si="29"/>
        <v>16800</v>
      </c>
      <c r="E500" s="24" t="s">
        <v>13296</v>
      </c>
      <c r="F500" s="27" t="str">
        <f t="shared" si="28"/>
        <v>insert into ins_premium_det (premium_rcv_code,assorted_code, rec_amount,premium_rcv_detail_code,remaining_amt, payrec, mode_code,coinsurance_code,class_cd,it_remarks) values</v>
      </c>
      <c r="G500" s="28" t="str">
        <f t="shared" si="30"/>
        <v>('30Dec240042','070000172112','16800',(select max(to_number(i.premium_rcv_detail_code))+1
from ins_premium_det i),'16800','16800','02', '11000003','00','Request by Mr. Saqib Saleem 31-Dec-2024 Active');</v>
      </c>
      <c r="H500" s="29" t="str">
        <f t="shared" si="31"/>
        <v>insert into ins_premium_det (premium_rcv_code,assorted_code, rec_amount,premium_rcv_detail_code,remaining_amt, payrec, mode_code,coinsurance_code,class_cd,it_remarks) values('30Dec240042','070000172112','16800',(select max(to_number(i.premium_rcv_detail_code))+1
from ins_premium_det i),'16800','16800','02', '11000003','00','Request by Mr. Saqib Saleem 31-Dec-2024 Active');</v>
      </c>
    </row>
    <row r="501" spans="1:8" ht="105" x14ac:dyDescent="0.25">
      <c r="A501" s="12" t="s">
        <v>11876</v>
      </c>
      <c r="B501" s="25" t="str">
        <f>VLOOKUP(A501,policy!B:C,2,0)</f>
        <v>070000170635</v>
      </c>
      <c r="C501" s="13">
        <v>31981</v>
      </c>
      <c r="D501" s="26">
        <f t="shared" si="29"/>
        <v>31981</v>
      </c>
      <c r="E501" s="24" t="s">
        <v>13296</v>
      </c>
      <c r="F501" s="27" t="str">
        <f t="shared" si="28"/>
        <v>insert into ins_premium_det (premium_rcv_code,assorted_code, rec_amount,premium_rcv_detail_code,remaining_amt, payrec, mode_code,coinsurance_code,class_cd,it_remarks) values</v>
      </c>
      <c r="G501" s="28" t="str">
        <f t="shared" si="30"/>
        <v>('30Dec240042','070000170635','31981',(select max(to_number(i.premium_rcv_detail_code))+1
from ins_premium_det i),'31981','31981','02', '11000003','00','Request by Mr. Saqib Saleem 31-Dec-2024 Active');</v>
      </c>
      <c r="H501" s="29" t="str">
        <f t="shared" si="31"/>
        <v>insert into ins_premium_det (premium_rcv_code,assorted_code, rec_amount,premium_rcv_detail_code,remaining_amt, payrec, mode_code,coinsurance_code,class_cd,it_remarks) values('30Dec240042','070000170635','31981',(select max(to_number(i.premium_rcv_detail_code))+1
from ins_premium_det i),'31981','31981','02', '11000003','00','Request by Mr. Saqib Saleem 31-Dec-2024 Active');</v>
      </c>
    </row>
    <row r="502" spans="1:8" ht="105" x14ac:dyDescent="0.25">
      <c r="A502" s="12" t="s">
        <v>11877</v>
      </c>
      <c r="B502" s="25" t="str">
        <f>VLOOKUP(A502,policy!B:C,2,0)</f>
        <v>070000170631</v>
      </c>
      <c r="C502" s="11">
        <v>32025</v>
      </c>
      <c r="D502" s="26">
        <f t="shared" si="29"/>
        <v>32025</v>
      </c>
      <c r="E502" s="24" t="s">
        <v>13296</v>
      </c>
      <c r="F502" s="27" t="str">
        <f t="shared" si="28"/>
        <v>insert into ins_premium_det (premium_rcv_code,assorted_code, rec_amount,premium_rcv_detail_code,remaining_amt, payrec, mode_code,coinsurance_code,class_cd,it_remarks) values</v>
      </c>
      <c r="G502" s="28" t="str">
        <f t="shared" si="30"/>
        <v>('30Dec240042','070000170631','32025',(select max(to_number(i.premium_rcv_detail_code))+1
from ins_premium_det i),'32025','32025','02', '11000003','00','Request by Mr. Saqib Saleem 31-Dec-2024 Active');</v>
      </c>
      <c r="H502" s="29" t="str">
        <f t="shared" si="31"/>
        <v>insert into ins_premium_det (premium_rcv_code,assorted_code, rec_amount,premium_rcv_detail_code,remaining_amt, payrec, mode_code,coinsurance_code,class_cd,it_remarks) values('30Dec240042','070000170631','32025',(select max(to_number(i.premium_rcv_detail_code))+1
from ins_premium_det i),'32025','32025','02', '11000003','00','Request by Mr. Saqib Saleem 31-Dec-2024 Active');</v>
      </c>
    </row>
    <row r="503" spans="1:8" ht="105" x14ac:dyDescent="0.25">
      <c r="A503" s="12" t="s">
        <v>11878</v>
      </c>
      <c r="B503" s="25" t="str">
        <f>VLOOKUP(A503,policy!B:C,2,0)</f>
        <v>070000170630</v>
      </c>
      <c r="C503" s="13">
        <v>31200</v>
      </c>
      <c r="D503" s="26">
        <f t="shared" si="29"/>
        <v>31200</v>
      </c>
      <c r="E503" s="24" t="s">
        <v>13296</v>
      </c>
      <c r="F503" s="27" t="str">
        <f t="shared" si="28"/>
        <v>insert into ins_premium_det (premium_rcv_code,assorted_code, rec_amount,premium_rcv_detail_code,remaining_amt, payrec, mode_code,coinsurance_code,class_cd,it_remarks) values</v>
      </c>
      <c r="G503" s="28" t="str">
        <f t="shared" si="30"/>
        <v>('30Dec240042','070000170630','31200',(select max(to_number(i.premium_rcv_detail_code))+1
from ins_premium_det i),'31200','31200','02', '11000003','00','Request by Mr. Saqib Saleem 31-Dec-2024 Active');</v>
      </c>
      <c r="H503" s="29" t="str">
        <f t="shared" si="31"/>
        <v>insert into ins_premium_det (premium_rcv_code,assorted_code, rec_amount,premium_rcv_detail_code,remaining_amt, payrec, mode_code,coinsurance_code,class_cd,it_remarks) values('30Dec240042','070000170630','31200',(select max(to_number(i.premium_rcv_detail_code))+1
from ins_premium_det i),'31200','31200','02', '11000003','00','Request by Mr. Saqib Saleem 31-Dec-2024 Active');</v>
      </c>
    </row>
    <row r="504" spans="1:8" ht="105" x14ac:dyDescent="0.25">
      <c r="A504" s="12" t="s">
        <v>11879</v>
      </c>
      <c r="B504" s="25" t="str">
        <f>VLOOKUP(A504,policy!B:C,2,0)</f>
        <v>070000172109</v>
      </c>
      <c r="C504" s="11">
        <v>46226</v>
      </c>
      <c r="D504" s="26">
        <f t="shared" si="29"/>
        <v>46226</v>
      </c>
      <c r="E504" s="24" t="s">
        <v>13296</v>
      </c>
      <c r="F504" s="27" t="str">
        <f t="shared" si="28"/>
        <v>insert into ins_premium_det (premium_rcv_code,assorted_code, rec_amount,premium_rcv_detail_code,remaining_amt, payrec, mode_code,coinsurance_code,class_cd,it_remarks) values</v>
      </c>
      <c r="G504" s="28" t="str">
        <f t="shared" si="30"/>
        <v>('30Dec240042','070000172109','46226',(select max(to_number(i.premium_rcv_detail_code))+1
from ins_premium_det i),'46226','46226','02', '11000003','00','Request by Mr. Saqib Saleem 31-Dec-2024 Active');</v>
      </c>
      <c r="H504" s="29" t="str">
        <f t="shared" si="31"/>
        <v>insert into ins_premium_det (premium_rcv_code,assorted_code, rec_amount,premium_rcv_detail_code,remaining_amt, payrec, mode_code,coinsurance_code,class_cd,it_remarks) values('30Dec240042','070000172109','46226',(select max(to_number(i.premium_rcv_detail_code))+1
from ins_premium_det i),'46226','46226','02', '11000003','00','Request by Mr. Saqib Saleem 31-Dec-2024 Active');</v>
      </c>
    </row>
    <row r="505" spans="1:8" ht="105" x14ac:dyDescent="0.25">
      <c r="A505" s="12" t="s">
        <v>11880</v>
      </c>
      <c r="B505" s="25" t="str">
        <f>VLOOKUP(A505,policy!B:C,2,0)</f>
        <v>070000172102</v>
      </c>
      <c r="C505" s="13">
        <v>25075</v>
      </c>
      <c r="D505" s="26">
        <f t="shared" si="29"/>
        <v>25075</v>
      </c>
      <c r="E505" s="24" t="s">
        <v>13296</v>
      </c>
      <c r="F505" s="27" t="str">
        <f t="shared" si="28"/>
        <v>insert into ins_premium_det (premium_rcv_code,assorted_code, rec_amount,premium_rcv_detail_code,remaining_amt, payrec, mode_code,coinsurance_code,class_cd,it_remarks) values</v>
      </c>
      <c r="G505" s="28" t="str">
        <f t="shared" si="30"/>
        <v>('30Dec240042','070000172102','25075',(select max(to_number(i.premium_rcv_detail_code))+1
from ins_premium_det i),'25075','25075','02', '11000003','00','Request by Mr. Saqib Saleem 31-Dec-2024 Active');</v>
      </c>
      <c r="H505" s="29" t="str">
        <f t="shared" si="31"/>
        <v>insert into ins_premium_det (premium_rcv_code,assorted_code, rec_amount,premium_rcv_detail_code,remaining_amt, payrec, mode_code,coinsurance_code,class_cd,it_remarks) values('30Dec240042','070000172102','25075',(select max(to_number(i.premium_rcv_detail_code))+1
from ins_premium_det i),'25075','25075','02', '11000003','00','Request by Mr. Saqib Saleem 31-Dec-2024 Active');</v>
      </c>
    </row>
    <row r="506" spans="1:8" ht="105" x14ac:dyDescent="0.25">
      <c r="A506" s="12" t="s">
        <v>11881</v>
      </c>
      <c r="B506" s="25" t="str">
        <f>VLOOKUP(A506,policy!B:C,2,0)</f>
        <v>070000172094</v>
      </c>
      <c r="C506" s="11">
        <v>46928</v>
      </c>
      <c r="D506" s="26">
        <f t="shared" si="29"/>
        <v>46928</v>
      </c>
      <c r="E506" s="24" t="s">
        <v>13296</v>
      </c>
      <c r="F506" s="27" t="str">
        <f t="shared" si="28"/>
        <v>insert into ins_premium_det (premium_rcv_code,assorted_code, rec_amount,premium_rcv_detail_code,remaining_amt, payrec, mode_code,coinsurance_code,class_cd,it_remarks) values</v>
      </c>
      <c r="G506" s="28" t="str">
        <f t="shared" si="30"/>
        <v>('30Dec240042','070000172094','46928',(select max(to_number(i.premium_rcv_detail_code))+1
from ins_premium_det i),'46928','46928','02', '11000003','00','Request by Mr. Saqib Saleem 31-Dec-2024 Active');</v>
      </c>
      <c r="H506" s="29" t="str">
        <f t="shared" si="31"/>
        <v>insert into ins_premium_det (premium_rcv_code,assorted_code, rec_amount,premium_rcv_detail_code,remaining_amt, payrec, mode_code,coinsurance_code,class_cd,it_remarks) values('30Dec240042','070000172094','46928',(select max(to_number(i.premium_rcv_detail_code))+1
from ins_premium_det i),'46928','46928','02', '11000003','00','Request by Mr. Saqib Saleem 31-Dec-2024 Active');</v>
      </c>
    </row>
    <row r="507" spans="1:8" ht="105" x14ac:dyDescent="0.25">
      <c r="A507" s="12" t="s">
        <v>11882</v>
      </c>
      <c r="B507" s="25" t="str">
        <f>VLOOKUP(A507,policy!B:C,2,0)</f>
        <v>070000170629</v>
      </c>
      <c r="C507" s="13">
        <v>18000</v>
      </c>
      <c r="D507" s="26">
        <f t="shared" si="29"/>
        <v>18000</v>
      </c>
      <c r="E507" s="24" t="s">
        <v>13296</v>
      </c>
      <c r="F507" s="27" t="str">
        <f t="shared" si="28"/>
        <v>insert into ins_premium_det (premium_rcv_code,assorted_code, rec_amount,premium_rcv_detail_code,remaining_amt, payrec, mode_code,coinsurance_code,class_cd,it_remarks) values</v>
      </c>
      <c r="G507" s="28" t="str">
        <f t="shared" si="30"/>
        <v>('30Dec240042','070000170629','18000',(select max(to_number(i.premium_rcv_detail_code))+1
from ins_premium_det i),'18000','18000','02', '11000003','00','Request by Mr. Saqib Saleem 31-Dec-2024 Active');</v>
      </c>
      <c r="H507" s="29" t="str">
        <f t="shared" si="31"/>
        <v>insert into ins_premium_det (premium_rcv_code,assorted_code, rec_amount,premium_rcv_detail_code,remaining_amt, payrec, mode_code,coinsurance_code,class_cd,it_remarks) values('30Dec240042','070000170629','18000',(select max(to_number(i.premium_rcv_detail_code))+1
from ins_premium_det i),'18000','18000','02', '11000003','00','Request by Mr. Saqib Saleem 31-Dec-2024 Active');</v>
      </c>
    </row>
    <row r="508" spans="1:8" ht="105" x14ac:dyDescent="0.25">
      <c r="A508" s="12" t="s">
        <v>11883</v>
      </c>
      <c r="B508" s="25" t="str">
        <f>VLOOKUP(A508,policy!B:C,2,0)</f>
        <v>070000172093</v>
      </c>
      <c r="C508" s="11">
        <v>43760</v>
      </c>
      <c r="D508" s="26">
        <f t="shared" si="29"/>
        <v>43760</v>
      </c>
      <c r="E508" s="24" t="s">
        <v>13296</v>
      </c>
      <c r="F508" s="27" t="str">
        <f t="shared" si="28"/>
        <v>insert into ins_premium_det (premium_rcv_code,assorted_code, rec_amount,premium_rcv_detail_code,remaining_amt, payrec, mode_code,coinsurance_code,class_cd,it_remarks) values</v>
      </c>
      <c r="G508" s="28" t="str">
        <f t="shared" si="30"/>
        <v>('30Dec240042','070000172093','43760',(select max(to_number(i.premium_rcv_detail_code))+1
from ins_premium_det i),'43760','43760','02', '11000003','00','Request by Mr. Saqib Saleem 31-Dec-2024 Active');</v>
      </c>
      <c r="H508" s="29" t="str">
        <f t="shared" si="31"/>
        <v>insert into ins_premium_det (premium_rcv_code,assorted_code, rec_amount,premium_rcv_detail_code,remaining_amt, payrec, mode_code,coinsurance_code,class_cd,it_remarks) values('30Dec240042','070000172093','43760',(select max(to_number(i.premium_rcv_detail_code))+1
from ins_premium_det i),'43760','43760','02', '11000003','00','Request by Mr. Saqib Saleem 31-Dec-2024 Active');</v>
      </c>
    </row>
    <row r="509" spans="1:8" ht="105" x14ac:dyDescent="0.25">
      <c r="A509" s="12" t="s">
        <v>11884</v>
      </c>
      <c r="B509" s="25" t="str">
        <f>VLOOKUP(A509,policy!B:C,2,0)</f>
        <v>070000172091</v>
      </c>
      <c r="C509" s="13">
        <v>41424</v>
      </c>
      <c r="D509" s="26">
        <f t="shared" si="29"/>
        <v>41424</v>
      </c>
      <c r="E509" s="24" t="s">
        <v>13296</v>
      </c>
      <c r="F509" s="27" t="str">
        <f t="shared" si="28"/>
        <v>insert into ins_premium_det (premium_rcv_code,assorted_code, rec_amount,premium_rcv_detail_code,remaining_amt, payrec, mode_code,coinsurance_code,class_cd,it_remarks) values</v>
      </c>
      <c r="G509" s="28" t="str">
        <f t="shared" si="30"/>
        <v>('30Dec240042','070000172091','41424',(select max(to_number(i.premium_rcv_detail_code))+1
from ins_premium_det i),'41424','41424','02', '11000003','00','Request by Mr. Saqib Saleem 31-Dec-2024 Active');</v>
      </c>
      <c r="H509" s="29" t="str">
        <f t="shared" si="31"/>
        <v>insert into ins_premium_det (premium_rcv_code,assorted_code, rec_amount,premium_rcv_detail_code,remaining_amt, payrec, mode_code,coinsurance_code,class_cd,it_remarks) values('30Dec240042','070000172091','41424',(select max(to_number(i.premium_rcv_detail_code))+1
from ins_premium_det i),'41424','41424','02', '11000003','00','Request by Mr. Saqib Saleem 31-Dec-2024 Active');</v>
      </c>
    </row>
    <row r="510" spans="1:8" ht="105" x14ac:dyDescent="0.25">
      <c r="A510" s="12" t="s">
        <v>11885</v>
      </c>
      <c r="B510" s="25" t="str">
        <f>VLOOKUP(A510,policy!B:C,2,0)</f>
        <v>070000172090</v>
      </c>
      <c r="C510" s="11">
        <v>30000</v>
      </c>
      <c r="D510" s="26">
        <f t="shared" si="29"/>
        <v>30000</v>
      </c>
      <c r="E510" s="24" t="s">
        <v>13296</v>
      </c>
      <c r="F510" s="27" t="str">
        <f t="shared" si="28"/>
        <v>insert into ins_premium_det (premium_rcv_code,assorted_code, rec_amount,premium_rcv_detail_code,remaining_amt, payrec, mode_code,coinsurance_code,class_cd,it_remarks) values</v>
      </c>
      <c r="G510" s="28" t="str">
        <f t="shared" si="30"/>
        <v>('30Dec240042','070000172090','30000',(select max(to_number(i.premium_rcv_detail_code))+1
from ins_premium_det i),'30000','30000','02', '11000003','00','Request by Mr. Saqib Saleem 31-Dec-2024 Active');</v>
      </c>
      <c r="H510" s="29" t="str">
        <f t="shared" si="31"/>
        <v>insert into ins_premium_det (premium_rcv_code,assorted_code, rec_amount,premium_rcv_detail_code,remaining_amt, payrec, mode_code,coinsurance_code,class_cd,it_remarks) values('30Dec240042','070000172090','30000',(select max(to_number(i.premium_rcv_detail_code))+1
from ins_premium_det i),'30000','30000','02', '11000003','00','Request by Mr. Saqib Saleem 31-Dec-2024 Active');</v>
      </c>
    </row>
    <row r="511" spans="1:8" ht="105" x14ac:dyDescent="0.25">
      <c r="A511" s="12" t="s">
        <v>11886</v>
      </c>
      <c r="B511" s="25" t="str">
        <f>VLOOKUP(A511,policy!B:C,2,0)</f>
        <v>070000172088</v>
      </c>
      <c r="C511" s="13">
        <v>18600</v>
      </c>
      <c r="D511" s="26">
        <f t="shared" si="29"/>
        <v>18600</v>
      </c>
      <c r="E511" s="24" t="s">
        <v>13296</v>
      </c>
      <c r="F511" s="27" t="str">
        <f t="shared" si="28"/>
        <v>insert into ins_premium_det (premium_rcv_code,assorted_code, rec_amount,premium_rcv_detail_code,remaining_amt, payrec, mode_code,coinsurance_code,class_cd,it_remarks) values</v>
      </c>
      <c r="G511" s="28" t="str">
        <f t="shared" si="30"/>
        <v>('30Dec240042','070000172088','18600',(select max(to_number(i.premium_rcv_detail_code))+1
from ins_premium_det i),'18600','18600','02', '11000003','00','Request by Mr. Saqib Saleem 31-Dec-2024 Active');</v>
      </c>
      <c r="H511" s="29" t="str">
        <f t="shared" si="31"/>
        <v>insert into ins_premium_det (premium_rcv_code,assorted_code, rec_amount,premium_rcv_detail_code,remaining_amt, payrec, mode_code,coinsurance_code,class_cd,it_remarks) values('30Dec240042','070000172088','18600',(select max(to_number(i.premium_rcv_detail_code))+1
from ins_premium_det i),'18600','18600','02', '11000003','00','Request by Mr. Saqib Saleem 31-Dec-2024 Active');</v>
      </c>
    </row>
    <row r="512" spans="1:8" ht="105" x14ac:dyDescent="0.25">
      <c r="A512" s="12" t="s">
        <v>11887</v>
      </c>
      <c r="B512" s="25" t="str">
        <f>VLOOKUP(A512,policy!B:C,2,0)</f>
        <v>070000172087</v>
      </c>
      <c r="C512" s="11">
        <v>18384</v>
      </c>
      <c r="D512" s="26">
        <f t="shared" si="29"/>
        <v>18384</v>
      </c>
      <c r="E512" s="24" t="s">
        <v>13296</v>
      </c>
      <c r="F512" s="27" t="str">
        <f t="shared" si="28"/>
        <v>insert into ins_premium_det (premium_rcv_code,assorted_code, rec_amount,premium_rcv_detail_code,remaining_amt, payrec, mode_code,coinsurance_code,class_cd,it_remarks) values</v>
      </c>
      <c r="G512" s="28" t="str">
        <f t="shared" si="30"/>
        <v>('30Dec240042','070000172087','18384',(select max(to_number(i.premium_rcv_detail_code))+1
from ins_premium_det i),'18384','18384','02', '11000003','00','Request by Mr. Saqib Saleem 31-Dec-2024 Active');</v>
      </c>
      <c r="H512" s="29" t="str">
        <f t="shared" si="31"/>
        <v>insert into ins_premium_det (premium_rcv_code,assorted_code, rec_amount,premium_rcv_detail_code,remaining_amt, payrec, mode_code,coinsurance_code,class_cd,it_remarks) values('30Dec240042','070000172087','18384',(select max(to_number(i.premium_rcv_detail_code))+1
from ins_premium_det i),'18384','18384','02', '11000003','00','Request by Mr. Saqib Saleem 31-Dec-2024 Active');</v>
      </c>
    </row>
    <row r="513" spans="1:8" ht="105" x14ac:dyDescent="0.25">
      <c r="A513" s="17" t="s">
        <v>11997</v>
      </c>
      <c r="B513" s="25" t="str">
        <f>VLOOKUP(A513,policy!B:C,2,0)</f>
        <v>070000172082</v>
      </c>
      <c r="C513" s="13">
        <v>65756</v>
      </c>
      <c r="D513" s="26">
        <f t="shared" si="29"/>
        <v>65756</v>
      </c>
      <c r="E513" s="24" t="s">
        <v>13296</v>
      </c>
      <c r="F513" s="27" t="str">
        <f t="shared" si="28"/>
        <v>insert into ins_premium_det (premium_rcv_code,assorted_code, rec_amount,premium_rcv_detail_code,remaining_amt, payrec, mode_code,coinsurance_code,class_cd,it_remarks) values</v>
      </c>
      <c r="G513" s="28" t="str">
        <f t="shared" si="30"/>
        <v>('30Dec240042','070000172082','65756',(select max(to_number(i.premium_rcv_detail_code))+1
from ins_premium_det i),'65756','65756','02', '11000003','00','Request by Mr. Saqib Saleem 31-Dec-2024 Active');</v>
      </c>
      <c r="H513" s="29" t="str">
        <f t="shared" si="31"/>
        <v>insert into ins_premium_det (premium_rcv_code,assorted_code, rec_amount,premium_rcv_detail_code,remaining_amt, payrec, mode_code,coinsurance_code,class_cd,it_remarks) values('30Dec240042','070000172082','65756',(select max(to_number(i.premium_rcv_detail_code))+1
from ins_premium_det i),'65756','65756','02', '11000003','00','Request by Mr. Saqib Saleem 31-Dec-2024 Active');</v>
      </c>
    </row>
    <row r="514" spans="1:8" ht="105" x14ac:dyDescent="0.25">
      <c r="A514" s="12" t="s">
        <v>11888</v>
      </c>
      <c r="B514" s="25" t="str">
        <f>VLOOKUP(A514,policy!B:C,2,0)</f>
        <v>070000170622</v>
      </c>
      <c r="C514" s="11">
        <v>105525</v>
      </c>
      <c r="D514" s="26">
        <f t="shared" si="29"/>
        <v>105525</v>
      </c>
      <c r="E514" s="24" t="s">
        <v>13296</v>
      </c>
      <c r="F514" s="27" t="str">
        <f t="shared" ref="F514:F577" si="3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14" s="28" t="str">
        <f t="shared" si="30"/>
        <v>('30Dec240042','070000170622','105525',(select max(to_number(i.premium_rcv_detail_code))+1
from ins_premium_det i),'105525','105525','02', '11000003','00','Request by Mr. Saqib Saleem 31-Dec-2024 Active');</v>
      </c>
      <c r="H514" s="29" t="str">
        <f t="shared" si="31"/>
        <v>insert into ins_premium_det (premium_rcv_code,assorted_code, rec_amount,premium_rcv_detail_code,remaining_amt, payrec, mode_code,coinsurance_code,class_cd,it_remarks) values('30Dec240042','070000170622','105525',(select max(to_number(i.premium_rcv_detail_code))+1
from ins_premium_det i),'105525','105525','02', '11000003','00','Request by Mr. Saqib Saleem 31-Dec-2024 Active');</v>
      </c>
    </row>
    <row r="515" spans="1:8" ht="105" x14ac:dyDescent="0.25">
      <c r="A515" s="12" t="s">
        <v>11889</v>
      </c>
      <c r="B515" s="25" t="str">
        <f>VLOOKUP(A515,policy!B:C,2,0)</f>
        <v>070000170621</v>
      </c>
      <c r="C515" s="13">
        <v>32288</v>
      </c>
      <c r="D515" s="26">
        <f t="shared" ref="D515:D578" si="33">ROUND(C515,0)</f>
        <v>32288</v>
      </c>
      <c r="E515" s="24" t="s">
        <v>13296</v>
      </c>
      <c r="F515" s="27" t="str">
        <f t="shared" si="32"/>
        <v>insert into ins_premium_det (premium_rcv_code,assorted_code, rec_amount,premium_rcv_detail_code,remaining_amt, payrec, mode_code,coinsurance_code,class_cd,it_remarks) values</v>
      </c>
      <c r="G515" s="28" t="str">
        <f t="shared" ref="G515:G578" si="34">"('"&amp;E515&amp;"','"&amp;B515&amp;"','"&amp;D515&amp;"',(select max(to_number(i.premium_rcv_detail_code))+1
from ins_premium_det i),'"&amp;D515&amp;"','"&amp;D515&amp;"','02', '11000003','00','Request by Mr. Saqib Saleem 31-Dec-2024 Active');"</f>
        <v>('30Dec240042','070000170621','32288',(select max(to_number(i.premium_rcv_detail_code))+1
from ins_premium_det i),'32288','32288','02', '11000003','00','Request by Mr. Saqib Saleem 31-Dec-2024 Active');</v>
      </c>
      <c r="H515" s="29" t="str">
        <f t="shared" ref="H515:H578" si="35">F515&amp;G515</f>
        <v>insert into ins_premium_det (premium_rcv_code,assorted_code, rec_amount,premium_rcv_detail_code,remaining_amt, payrec, mode_code,coinsurance_code,class_cd,it_remarks) values('30Dec240042','070000170621','32288',(select max(to_number(i.premium_rcv_detail_code))+1
from ins_premium_det i),'32288','32288','02', '11000003','00','Request by Mr. Saqib Saleem 31-Dec-2024 Active');</v>
      </c>
    </row>
    <row r="516" spans="1:8" ht="105" x14ac:dyDescent="0.25">
      <c r="A516" s="12" t="s">
        <v>11890</v>
      </c>
      <c r="B516" s="25" t="str">
        <f>VLOOKUP(A516,policy!B:C,2,0)</f>
        <v>070000170619</v>
      </c>
      <c r="C516" s="11">
        <v>44100</v>
      </c>
      <c r="D516" s="26">
        <f t="shared" si="33"/>
        <v>44100</v>
      </c>
      <c r="E516" s="24" t="s">
        <v>13296</v>
      </c>
      <c r="F516" s="27" t="str">
        <f t="shared" si="32"/>
        <v>insert into ins_premium_det (premium_rcv_code,assorted_code, rec_amount,premium_rcv_detail_code,remaining_amt, payrec, mode_code,coinsurance_code,class_cd,it_remarks) values</v>
      </c>
      <c r="G516" s="28" t="str">
        <f t="shared" si="34"/>
        <v>('30Dec240042','070000170619','44100',(select max(to_number(i.premium_rcv_detail_code))+1
from ins_premium_det i),'44100','44100','02', '11000003','00','Request by Mr. Saqib Saleem 31-Dec-2024 Active');</v>
      </c>
      <c r="H516" s="29" t="str">
        <f t="shared" si="35"/>
        <v>insert into ins_premium_det (premium_rcv_code,assorted_code, rec_amount,premium_rcv_detail_code,remaining_amt, payrec, mode_code,coinsurance_code,class_cd,it_remarks) values('30Dec240042','070000170619','44100',(select max(to_number(i.premium_rcv_detail_code))+1
from ins_premium_det i),'44100','44100','02', '11000003','00','Request by Mr. Saqib Saleem 31-Dec-2024 Active');</v>
      </c>
    </row>
    <row r="517" spans="1:8" ht="105" x14ac:dyDescent="0.25">
      <c r="A517" s="12" t="s">
        <v>11891</v>
      </c>
      <c r="B517" s="25" t="str">
        <f>VLOOKUP(A517,policy!B:C,2,0)</f>
        <v>070000170609</v>
      </c>
      <c r="C517" s="13">
        <v>46226</v>
      </c>
      <c r="D517" s="26">
        <f t="shared" si="33"/>
        <v>46226</v>
      </c>
      <c r="E517" s="24" t="s">
        <v>13296</v>
      </c>
      <c r="F517" s="27" t="str">
        <f t="shared" si="32"/>
        <v>insert into ins_premium_det (premium_rcv_code,assorted_code, rec_amount,premium_rcv_detail_code,remaining_amt, payrec, mode_code,coinsurance_code,class_cd,it_remarks) values</v>
      </c>
      <c r="G517" s="28" t="str">
        <f t="shared" si="34"/>
        <v>('30Dec240042','070000170609','46226',(select max(to_number(i.premium_rcv_detail_code))+1
from ins_premium_det i),'46226','46226','02', '11000003','00','Request by Mr. Saqib Saleem 31-Dec-2024 Active');</v>
      </c>
      <c r="H517" s="29" t="str">
        <f t="shared" si="35"/>
        <v>insert into ins_premium_det (premium_rcv_code,assorted_code, rec_amount,premium_rcv_detail_code,remaining_amt, payrec, mode_code,coinsurance_code,class_cd,it_remarks) values('30Dec240042','070000170609','46226',(select max(to_number(i.premium_rcv_detail_code))+1
from ins_premium_det i),'46226','46226','02', '11000003','00','Request by Mr. Saqib Saleem 31-Dec-2024 Active');</v>
      </c>
    </row>
    <row r="518" spans="1:8" ht="105" x14ac:dyDescent="0.25">
      <c r="A518" s="12" t="s">
        <v>11892</v>
      </c>
      <c r="B518" s="25" t="str">
        <f>VLOOKUP(A518,policy!B:C,2,0)</f>
        <v>070000172074</v>
      </c>
      <c r="C518" s="11">
        <v>74768</v>
      </c>
      <c r="D518" s="26">
        <f t="shared" si="33"/>
        <v>74768</v>
      </c>
      <c r="E518" s="24" t="s">
        <v>13296</v>
      </c>
      <c r="F518" s="27" t="str">
        <f t="shared" si="32"/>
        <v>insert into ins_premium_det (premium_rcv_code,assorted_code, rec_amount,premium_rcv_detail_code,remaining_amt, payrec, mode_code,coinsurance_code,class_cd,it_remarks) values</v>
      </c>
      <c r="G518" s="28" t="str">
        <f t="shared" si="34"/>
        <v>('30Dec240042','070000172074','74768',(select max(to_number(i.premium_rcv_detail_code))+1
from ins_premium_det i),'74768','74768','02', '11000003','00','Request by Mr. Saqib Saleem 31-Dec-2024 Active');</v>
      </c>
      <c r="H518" s="29" t="str">
        <f t="shared" si="35"/>
        <v>insert into ins_premium_det (premium_rcv_code,assorted_code, rec_amount,premium_rcv_detail_code,remaining_amt, payrec, mode_code,coinsurance_code,class_cd,it_remarks) values('30Dec240042','070000172074','74768',(select max(to_number(i.premium_rcv_detail_code))+1
from ins_premium_det i),'74768','74768','02', '11000003','00','Request by Mr. Saqib Saleem 31-Dec-2024 Active');</v>
      </c>
    </row>
    <row r="519" spans="1:8" ht="105" x14ac:dyDescent="0.25">
      <c r="A519" s="12" t="s">
        <v>11893</v>
      </c>
      <c r="B519" s="25" t="str">
        <f>VLOOKUP(A519,policy!B:C,2,0)</f>
        <v>070000172073</v>
      </c>
      <c r="C519" s="13">
        <v>51188</v>
      </c>
      <c r="D519" s="26">
        <f t="shared" si="33"/>
        <v>51188</v>
      </c>
      <c r="E519" s="24" t="s">
        <v>13296</v>
      </c>
      <c r="F519" s="27" t="str">
        <f t="shared" si="32"/>
        <v>insert into ins_premium_det (premium_rcv_code,assorted_code, rec_amount,premium_rcv_detail_code,remaining_amt, payrec, mode_code,coinsurance_code,class_cd,it_remarks) values</v>
      </c>
      <c r="G519" s="28" t="str">
        <f t="shared" si="34"/>
        <v>('30Dec240042','070000172073','51188',(select max(to_number(i.premium_rcv_detail_code))+1
from ins_premium_det i),'51188','51188','02', '11000003','00','Request by Mr. Saqib Saleem 31-Dec-2024 Active');</v>
      </c>
      <c r="H519" s="29" t="str">
        <f t="shared" si="35"/>
        <v>insert into ins_premium_det (premium_rcv_code,assorted_code, rec_amount,premium_rcv_detail_code,remaining_amt, payrec, mode_code,coinsurance_code,class_cd,it_remarks) values('30Dec240042','070000172073','51188',(select max(to_number(i.premium_rcv_detail_code))+1
from ins_premium_det i),'51188','51188','02', '11000003','00','Request by Mr. Saqib Saleem 31-Dec-2024 Active');</v>
      </c>
    </row>
    <row r="520" spans="1:8" ht="105" x14ac:dyDescent="0.25">
      <c r="A520" s="12" t="s">
        <v>11894</v>
      </c>
      <c r="B520" s="25" t="str">
        <f>VLOOKUP(A520,policy!B:C,2,0)</f>
        <v>070000172072</v>
      </c>
      <c r="C520" s="11">
        <v>52275</v>
      </c>
      <c r="D520" s="26">
        <f t="shared" si="33"/>
        <v>52275</v>
      </c>
      <c r="E520" s="24" t="s">
        <v>13296</v>
      </c>
      <c r="F520" s="27" t="str">
        <f t="shared" si="32"/>
        <v>insert into ins_premium_det (premium_rcv_code,assorted_code, rec_amount,premium_rcv_detail_code,remaining_amt, payrec, mode_code,coinsurance_code,class_cd,it_remarks) values</v>
      </c>
      <c r="G520" s="28" t="str">
        <f t="shared" si="34"/>
        <v>('30Dec240042','070000172072','52275',(select max(to_number(i.premium_rcv_detail_code))+1
from ins_premium_det i),'52275','52275','02', '11000003','00','Request by Mr. Saqib Saleem 31-Dec-2024 Active');</v>
      </c>
      <c r="H520" s="29" t="str">
        <f t="shared" si="35"/>
        <v>insert into ins_premium_det (premium_rcv_code,assorted_code, rec_amount,premium_rcv_detail_code,remaining_amt, payrec, mode_code,coinsurance_code,class_cd,it_remarks) values('30Dec240042','070000172072','52275',(select max(to_number(i.premium_rcv_detail_code))+1
from ins_premium_det i),'52275','52275','02', '11000003','00','Request by Mr. Saqib Saleem 31-Dec-2024 Active');</v>
      </c>
    </row>
    <row r="521" spans="1:8" ht="105" x14ac:dyDescent="0.25">
      <c r="A521" s="12" t="s">
        <v>11895</v>
      </c>
      <c r="B521" s="25" t="str">
        <f>VLOOKUP(A521,policy!B:C,2,0)</f>
        <v>070000172068</v>
      </c>
      <c r="C521" s="13">
        <v>25671</v>
      </c>
      <c r="D521" s="26">
        <f t="shared" si="33"/>
        <v>25671</v>
      </c>
      <c r="E521" s="24" t="s">
        <v>13296</v>
      </c>
      <c r="F521" s="27" t="str">
        <f t="shared" si="32"/>
        <v>insert into ins_premium_det (premium_rcv_code,assorted_code, rec_amount,premium_rcv_detail_code,remaining_amt, payrec, mode_code,coinsurance_code,class_cd,it_remarks) values</v>
      </c>
      <c r="G521" s="28" t="str">
        <f t="shared" si="34"/>
        <v>('30Dec240042','070000172068','25671',(select max(to_number(i.premium_rcv_detail_code))+1
from ins_premium_det i),'25671','25671','02', '11000003','00','Request by Mr. Saqib Saleem 31-Dec-2024 Active');</v>
      </c>
      <c r="H521" s="29" t="str">
        <f t="shared" si="35"/>
        <v>insert into ins_premium_det (premium_rcv_code,assorted_code, rec_amount,premium_rcv_detail_code,remaining_amt, payrec, mode_code,coinsurance_code,class_cd,it_remarks) values('30Dec240042','070000172068','25671',(select max(to_number(i.premium_rcv_detail_code))+1
from ins_premium_det i),'25671','25671','02', '11000003','00','Request by Mr. Saqib Saleem 31-Dec-2024 Active');</v>
      </c>
    </row>
    <row r="522" spans="1:8" ht="105" x14ac:dyDescent="0.25">
      <c r="A522" s="12" t="s">
        <v>11896</v>
      </c>
      <c r="B522" s="25" t="str">
        <f>VLOOKUP(A522,policy!B:C,2,0)</f>
        <v>070000172061</v>
      </c>
      <c r="C522" s="11">
        <v>60739</v>
      </c>
      <c r="D522" s="26">
        <f t="shared" si="33"/>
        <v>60739</v>
      </c>
      <c r="E522" s="24" t="s">
        <v>13296</v>
      </c>
      <c r="F522" s="27" t="str">
        <f t="shared" si="32"/>
        <v>insert into ins_premium_det (premium_rcv_code,assorted_code, rec_amount,premium_rcv_detail_code,remaining_amt, payrec, mode_code,coinsurance_code,class_cd,it_remarks) values</v>
      </c>
      <c r="G522" s="28" t="str">
        <f t="shared" si="34"/>
        <v>('30Dec240042','070000172061','60739',(select max(to_number(i.premium_rcv_detail_code))+1
from ins_premium_det i),'60739','60739','02', '11000003','00','Request by Mr. Saqib Saleem 31-Dec-2024 Active');</v>
      </c>
      <c r="H522" s="29" t="str">
        <f t="shared" si="35"/>
        <v>insert into ins_premium_det (premium_rcv_code,assorted_code, rec_amount,premium_rcv_detail_code,remaining_amt, payrec, mode_code,coinsurance_code,class_cd,it_remarks) values('30Dec240042','070000172061','60739',(select max(to_number(i.premium_rcv_detail_code))+1
from ins_premium_det i),'60739','60739','02', '11000003','00','Request by Mr. Saqib Saleem 31-Dec-2024 Active');</v>
      </c>
    </row>
    <row r="523" spans="1:8" ht="105" x14ac:dyDescent="0.25">
      <c r="A523" s="12" t="s">
        <v>11897</v>
      </c>
      <c r="B523" s="25" t="str">
        <f>VLOOKUP(A523,policy!B:C,2,0)</f>
        <v>070000172060</v>
      </c>
      <c r="C523" s="13">
        <v>62448</v>
      </c>
      <c r="D523" s="26">
        <f t="shared" si="33"/>
        <v>62448</v>
      </c>
      <c r="E523" s="24" t="s">
        <v>13296</v>
      </c>
      <c r="F523" s="27" t="str">
        <f t="shared" si="32"/>
        <v>insert into ins_premium_det (premium_rcv_code,assorted_code, rec_amount,premium_rcv_detail_code,remaining_amt, payrec, mode_code,coinsurance_code,class_cd,it_remarks) values</v>
      </c>
      <c r="G523" s="28" t="str">
        <f t="shared" si="34"/>
        <v>('30Dec240042','070000172060','62448',(select max(to_number(i.premium_rcv_detail_code))+1
from ins_premium_det i),'62448','62448','02', '11000003','00','Request by Mr. Saqib Saleem 31-Dec-2024 Active');</v>
      </c>
      <c r="H523" s="29" t="str">
        <f t="shared" si="35"/>
        <v>insert into ins_premium_det (premium_rcv_code,assorted_code, rec_amount,premium_rcv_detail_code,remaining_amt, payrec, mode_code,coinsurance_code,class_cd,it_remarks) values('30Dec240042','070000172060','62448',(select max(to_number(i.premium_rcv_detail_code))+1
from ins_premium_det i),'62448','62448','02', '11000003','00','Request by Mr. Saqib Saleem 31-Dec-2024 Active');</v>
      </c>
    </row>
    <row r="524" spans="1:8" ht="105" x14ac:dyDescent="0.25">
      <c r="A524" s="12" t="s">
        <v>11898</v>
      </c>
      <c r="B524" s="25" t="str">
        <f>VLOOKUP(A524,policy!B:C,2,0)</f>
        <v>070000172057</v>
      </c>
      <c r="C524" s="11">
        <v>66948</v>
      </c>
      <c r="D524" s="26">
        <f t="shared" si="33"/>
        <v>66948</v>
      </c>
      <c r="E524" s="24" t="s">
        <v>13296</v>
      </c>
      <c r="F524" s="27" t="str">
        <f t="shared" si="32"/>
        <v>insert into ins_premium_det (premium_rcv_code,assorted_code, rec_amount,premium_rcv_detail_code,remaining_amt, payrec, mode_code,coinsurance_code,class_cd,it_remarks) values</v>
      </c>
      <c r="G524" s="28" t="str">
        <f t="shared" si="34"/>
        <v>('30Dec240042','070000172057','66948',(select max(to_number(i.premium_rcv_detail_code))+1
from ins_premium_det i),'66948','66948','02', '11000003','00','Request by Mr. Saqib Saleem 31-Dec-2024 Active');</v>
      </c>
      <c r="H524" s="29" t="str">
        <f t="shared" si="35"/>
        <v>insert into ins_premium_det (premium_rcv_code,assorted_code, rec_amount,premium_rcv_detail_code,remaining_amt, payrec, mode_code,coinsurance_code,class_cd,it_remarks) values('30Dec240042','070000172057','66948',(select max(to_number(i.premium_rcv_detail_code))+1
from ins_premium_det i),'66948','66948','02', '11000003','00','Request by Mr. Saqib Saleem 31-Dec-2024 Active');</v>
      </c>
    </row>
    <row r="525" spans="1:8" ht="105" x14ac:dyDescent="0.25">
      <c r="A525" s="12" t="s">
        <v>11899</v>
      </c>
      <c r="B525" s="25" t="str">
        <f>VLOOKUP(A525,policy!B:C,2,0)</f>
        <v>070000172053</v>
      </c>
      <c r="C525" s="13">
        <v>27600</v>
      </c>
      <c r="D525" s="26">
        <f t="shared" si="33"/>
        <v>27600</v>
      </c>
      <c r="E525" s="24" t="s">
        <v>13296</v>
      </c>
      <c r="F525" s="27" t="str">
        <f t="shared" si="32"/>
        <v>insert into ins_premium_det (premium_rcv_code,assorted_code, rec_amount,premium_rcv_detail_code,remaining_amt, payrec, mode_code,coinsurance_code,class_cd,it_remarks) values</v>
      </c>
      <c r="G525" s="28" t="str">
        <f t="shared" si="34"/>
        <v>('30Dec240042','070000172053','27600',(select max(to_number(i.premium_rcv_detail_code))+1
from ins_premium_det i),'27600','27600','02', '11000003','00','Request by Mr. Saqib Saleem 31-Dec-2024 Active');</v>
      </c>
      <c r="H525" s="29" t="str">
        <f t="shared" si="35"/>
        <v>insert into ins_premium_det (premium_rcv_code,assorted_code, rec_amount,premium_rcv_detail_code,remaining_amt, payrec, mode_code,coinsurance_code,class_cd,it_remarks) values('30Dec240042','070000172053','27600',(select max(to_number(i.premium_rcv_detail_code))+1
from ins_premium_det i),'27600','27600','02', '11000003','00','Request by Mr. Saqib Saleem 31-Dec-2024 Active');</v>
      </c>
    </row>
    <row r="526" spans="1:8" ht="105" x14ac:dyDescent="0.25">
      <c r="A526" s="12" t="s">
        <v>11900</v>
      </c>
      <c r="B526" s="25" t="str">
        <f>VLOOKUP(A526,policy!B:C,2,0)</f>
        <v>070000172052</v>
      </c>
      <c r="C526" s="11">
        <v>42000</v>
      </c>
      <c r="D526" s="26">
        <f t="shared" si="33"/>
        <v>42000</v>
      </c>
      <c r="E526" s="24" t="s">
        <v>13296</v>
      </c>
      <c r="F526" s="27" t="str">
        <f t="shared" si="32"/>
        <v>insert into ins_premium_det (premium_rcv_code,assorted_code, rec_amount,premium_rcv_detail_code,remaining_amt, payrec, mode_code,coinsurance_code,class_cd,it_remarks) values</v>
      </c>
      <c r="G526" s="28" t="str">
        <f t="shared" si="34"/>
        <v>('30Dec240042','070000172052','42000',(select max(to_number(i.premium_rcv_detail_code))+1
from ins_premium_det i),'42000','42000','02', '11000003','00','Request by Mr. Saqib Saleem 31-Dec-2024 Active');</v>
      </c>
      <c r="H526" s="29" t="str">
        <f t="shared" si="35"/>
        <v>insert into ins_premium_det (premium_rcv_code,assorted_code, rec_amount,premium_rcv_detail_code,remaining_amt, payrec, mode_code,coinsurance_code,class_cd,it_remarks) values('30Dec240042','070000172052','42000',(select max(to_number(i.premium_rcv_detail_code))+1
from ins_premium_det i),'42000','42000','02', '11000003','00','Request by Mr. Saqib Saleem 31-Dec-2024 Active');</v>
      </c>
    </row>
    <row r="527" spans="1:8" ht="105" x14ac:dyDescent="0.25">
      <c r="A527" s="12" t="s">
        <v>11901</v>
      </c>
      <c r="B527" s="25" t="str">
        <f>VLOOKUP(A527,policy!B:C,2,0)</f>
        <v>070000170606</v>
      </c>
      <c r="C527" s="13">
        <v>62100</v>
      </c>
      <c r="D527" s="26">
        <f t="shared" si="33"/>
        <v>62100</v>
      </c>
      <c r="E527" s="24" t="s">
        <v>13296</v>
      </c>
      <c r="F527" s="27" t="str">
        <f t="shared" si="32"/>
        <v>insert into ins_premium_det (premium_rcv_code,assorted_code, rec_amount,premium_rcv_detail_code,remaining_amt, payrec, mode_code,coinsurance_code,class_cd,it_remarks) values</v>
      </c>
      <c r="G527" s="28" t="str">
        <f t="shared" si="34"/>
        <v>('30Dec240042','070000170606','62100',(select max(to_number(i.premium_rcv_detail_code))+1
from ins_premium_det i),'62100','62100','02', '11000003','00','Request by Mr. Saqib Saleem 31-Dec-2024 Active');</v>
      </c>
      <c r="H527" s="29" t="str">
        <f t="shared" si="35"/>
        <v>insert into ins_premium_det (premium_rcv_code,assorted_code, rec_amount,premium_rcv_detail_code,remaining_amt, payrec, mode_code,coinsurance_code,class_cd,it_remarks) values('30Dec240042','070000170606','62100',(select max(to_number(i.premium_rcv_detail_code))+1
from ins_premium_det i),'62100','62100','02', '11000003','00','Request by Mr. Saqib Saleem 31-Dec-2024 Active');</v>
      </c>
    </row>
    <row r="528" spans="1:8" ht="105" x14ac:dyDescent="0.25">
      <c r="A528" s="12" t="s">
        <v>11902</v>
      </c>
      <c r="B528" s="25" t="str">
        <f>VLOOKUP(A528,policy!B:C,2,0)</f>
        <v>070000172051</v>
      </c>
      <c r="C528" s="11">
        <v>27600</v>
      </c>
      <c r="D528" s="26">
        <f t="shared" si="33"/>
        <v>27600</v>
      </c>
      <c r="E528" s="24" t="s">
        <v>13296</v>
      </c>
      <c r="F528" s="27" t="str">
        <f t="shared" si="32"/>
        <v>insert into ins_premium_det (premium_rcv_code,assorted_code, rec_amount,premium_rcv_detail_code,remaining_amt, payrec, mode_code,coinsurance_code,class_cd,it_remarks) values</v>
      </c>
      <c r="G528" s="28" t="str">
        <f t="shared" si="34"/>
        <v>('30Dec240042','070000172051','27600',(select max(to_number(i.premium_rcv_detail_code))+1
from ins_premium_det i),'27600','27600','02', '11000003','00','Request by Mr. Saqib Saleem 31-Dec-2024 Active');</v>
      </c>
      <c r="H528" s="29" t="str">
        <f t="shared" si="35"/>
        <v>insert into ins_premium_det (premium_rcv_code,assorted_code, rec_amount,premium_rcv_detail_code,remaining_amt, payrec, mode_code,coinsurance_code,class_cd,it_remarks) values('30Dec240042','070000172051','27600',(select max(to_number(i.premium_rcv_detail_code))+1
from ins_premium_det i),'27600','27600','02', '11000003','00','Request by Mr. Saqib Saleem 31-Dec-2024 Active');</v>
      </c>
    </row>
    <row r="529" spans="1:8" ht="105" x14ac:dyDescent="0.25">
      <c r="A529" s="12" t="s">
        <v>11903</v>
      </c>
      <c r="B529" s="25" t="str">
        <f>VLOOKUP(A529,policy!B:C,2,0)</f>
        <v>070000172050</v>
      </c>
      <c r="C529" s="13">
        <v>28800</v>
      </c>
      <c r="D529" s="26">
        <f t="shared" si="33"/>
        <v>28800</v>
      </c>
      <c r="E529" s="24" t="s">
        <v>13296</v>
      </c>
      <c r="F529" s="27" t="str">
        <f t="shared" si="32"/>
        <v>insert into ins_premium_det (premium_rcv_code,assorted_code, rec_amount,premium_rcv_detail_code,remaining_amt, payrec, mode_code,coinsurance_code,class_cd,it_remarks) values</v>
      </c>
      <c r="G529" s="28" t="str">
        <f t="shared" si="34"/>
        <v>('30Dec240042','070000172050','28800',(select max(to_number(i.premium_rcv_detail_code))+1
from ins_premium_det i),'28800','28800','02', '11000003','00','Request by Mr. Saqib Saleem 31-Dec-2024 Active');</v>
      </c>
      <c r="H529" s="29" t="str">
        <f t="shared" si="35"/>
        <v>insert into ins_premium_det (premium_rcv_code,assorted_code, rec_amount,premium_rcv_detail_code,remaining_amt, payrec, mode_code,coinsurance_code,class_cd,it_remarks) values('30Dec240042','070000172050','28800',(select max(to_number(i.premium_rcv_detail_code))+1
from ins_premium_det i),'28800','28800','02', '11000003','00','Request by Mr. Saqib Saleem 31-Dec-2024 Active');</v>
      </c>
    </row>
    <row r="530" spans="1:8" ht="105" x14ac:dyDescent="0.25">
      <c r="A530" s="12" t="s">
        <v>11904</v>
      </c>
      <c r="B530" s="25" t="str">
        <f>VLOOKUP(A530,policy!B:C,2,0)</f>
        <v>070000172048</v>
      </c>
      <c r="C530" s="11">
        <v>28875</v>
      </c>
      <c r="D530" s="26">
        <f t="shared" si="33"/>
        <v>28875</v>
      </c>
      <c r="E530" s="24" t="s">
        <v>13296</v>
      </c>
      <c r="F530" s="27" t="str">
        <f t="shared" si="32"/>
        <v>insert into ins_premium_det (premium_rcv_code,assorted_code, rec_amount,premium_rcv_detail_code,remaining_amt, payrec, mode_code,coinsurance_code,class_cd,it_remarks) values</v>
      </c>
      <c r="G530" s="28" t="str">
        <f t="shared" si="34"/>
        <v>('30Dec240042','070000172048','28875',(select max(to_number(i.premium_rcv_detail_code))+1
from ins_premium_det i),'28875','28875','02', '11000003','00','Request by Mr. Saqib Saleem 31-Dec-2024 Active');</v>
      </c>
      <c r="H530" s="29" t="str">
        <f t="shared" si="35"/>
        <v>insert into ins_premium_det (premium_rcv_code,assorted_code, rec_amount,premium_rcv_detail_code,remaining_amt, payrec, mode_code,coinsurance_code,class_cd,it_remarks) values('30Dec240042','070000172048','28875',(select max(to_number(i.premium_rcv_detail_code))+1
from ins_premium_det i),'28875','28875','02', '11000003','00','Request by Mr. Saqib Saleem 31-Dec-2024 Active');</v>
      </c>
    </row>
    <row r="531" spans="1:8" ht="105" x14ac:dyDescent="0.25">
      <c r="A531" s="12" t="s">
        <v>11905</v>
      </c>
      <c r="B531" s="25" t="str">
        <f>VLOOKUP(A531,policy!B:C,2,0)</f>
        <v>070000170604</v>
      </c>
      <c r="C531" s="13">
        <v>46226</v>
      </c>
      <c r="D531" s="26">
        <f t="shared" si="33"/>
        <v>46226</v>
      </c>
      <c r="E531" s="24" t="s">
        <v>13296</v>
      </c>
      <c r="F531" s="27" t="str">
        <f t="shared" si="32"/>
        <v>insert into ins_premium_det (premium_rcv_code,assorted_code, rec_amount,premium_rcv_detail_code,remaining_amt, payrec, mode_code,coinsurance_code,class_cd,it_remarks) values</v>
      </c>
      <c r="G531" s="28" t="str">
        <f t="shared" si="34"/>
        <v>('30Dec240042','070000170604','46226',(select max(to_number(i.premium_rcv_detail_code))+1
from ins_premium_det i),'46226','46226','02', '11000003','00','Request by Mr. Saqib Saleem 31-Dec-2024 Active');</v>
      </c>
      <c r="H531" s="29" t="str">
        <f t="shared" si="35"/>
        <v>insert into ins_premium_det (premium_rcv_code,assorted_code, rec_amount,premium_rcv_detail_code,remaining_amt, payrec, mode_code,coinsurance_code,class_cd,it_remarks) values('30Dec240042','070000170604','46226',(select max(to_number(i.premium_rcv_detail_code))+1
from ins_premium_det i),'46226','46226','02', '11000003','00','Request by Mr. Saqib Saleem 31-Dec-2024 Active');</v>
      </c>
    </row>
    <row r="532" spans="1:8" ht="105" x14ac:dyDescent="0.25">
      <c r="A532" s="12" t="s">
        <v>11906</v>
      </c>
      <c r="B532" s="25" t="str">
        <f>VLOOKUP(A532,policy!B:C,2,0)</f>
        <v>070000172045</v>
      </c>
      <c r="C532" s="11">
        <v>30000</v>
      </c>
      <c r="D532" s="26">
        <f t="shared" si="33"/>
        <v>30000</v>
      </c>
      <c r="E532" s="24" t="s">
        <v>13296</v>
      </c>
      <c r="F532" s="27" t="str">
        <f t="shared" si="32"/>
        <v>insert into ins_premium_det (premium_rcv_code,assorted_code, rec_amount,premium_rcv_detail_code,remaining_amt, payrec, mode_code,coinsurance_code,class_cd,it_remarks) values</v>
      </c>
      <c r="G532" s="28" t="str">
        <f t="shared" si="34"/>
        <v>('30Dec240042','070000172045','30000',(select max(to_number(i.premium_rcv_detail_code))+1
from ins_premium_det i),'30000','30000','02', '11000003','00','Request by Mr. Saqib Saleem 31-Dec-2024 Active');</v>
      </c>
      <c r="H532" s="29" t="str">
        <f t="shared" si="35"/>
        <v>insert into ins_premium_det (premium_rcv_code,assorted_code, rec_amount,premium_rcv_detail_code,remaining_amt, payrec, mode_code,coinsurance_code,class_cd,it_remarks) values('30Dec240042','070000172045','30000',(select max(to_number(i.premium_rcv_detail_code))+1
from ins_premium_det i),'30000','30000','02', '11000003','00','Request by Mr. Saqib Saleem 31-Dec-2024 Active');</v>
      </c>
    </row>
    <row r="533" spans="1:8" ht="105" x14ac:dyDescent="0.25">
      <c r="A533" s="12" t="s">
        <v>11907</v>
      </c>
      <c r="B533" s="25" t="str">
        <f>VLOOKUP(A533,policy!B:C,2,0)</f>
        <v>070000170598</v>
      </c>
      <c r="C533" s="13">
        <v>16500</v>
      </c>
      <c r="D533" s="26">
        <f t="shared" si="33"/>
        <v>16500</v>
      </c>
      <c r="E533" s="24" t="s">
        <v>13296</v>
      </c>
      <c r="F533" s="27" t="str">
        <f t="shared" si="32"/>
        <v>insert into ins_premium_det (premium_rcv_code,assorted_code, rec_amount,premium_rcv_detail_code,remaining_amt, payrec, mode_code,coinsurance_code,class_cd,it_remarks) values</v>
      </c>
      <c r="G533" s="28" t="str">
        <f t="shared" si="34"/>
        <v>('30Dec240042','070000170598','16500',(select max(to_number(i.premium_rcv_detail_code))+1
from ins_premium_det i),'16500','16500','02', '11000003','00','Request by Mr. Saqib Saleem 31-Dec-2024 Active');</v>
      </c>
      <c r="H533" s="29" t="str">
        <f t="shared" si="35"/>
        <v>insert into ins_premium_det (premium_rcv_code,assorted_code, rec_amount,premium_rcv_detail_code,remaining_amt, payrec, mode_code,coinsurance_code,class_cd,it_remarks) values('30Dec240042','070000170598','16500',(select max(to_number(i.premium_rcv_detail_code))+1
from ins_premium_det i),'16500','16500','02', '11000003','00','Request by Mr. Saqib Saleem 31-Dec-2024 Active');</v>
      </c>
    </row>
    <row r="534" spans="1:8" ht="105" x14ac:dyDescent="0.25">
      <c r="A534" s="12" t="s">
        <v>11908</v>
      </c>
      <c r="B534" s="25" t="str">
        <f>VLOOKUP(A534,policy!B:C,2,0)</f>
        <v>070000172044</v>
      </c>
      <c r="C534" s="11">
        <v>27600</v>
      </c>
      <c r="D534" s="26">
        <f t="shared" si="33"/>
        <v>27600</v>
      </c>
      <c r="E534" s="24" t="s">
        <v>13296</v>
      </c>
      <c r="F534" s="27" t="str">
        <f t="shared" si="32"/>
        <v>insert into ins_premium_det (premium_rcv_code,assorted_code, rec_amount,premium_rcv_detail_code,remaining_amt, payrec, mode_code,coinsurance_code,class_cd,it_remarks) values</v>
      </c>
      <c r="G534" s="28" t="str">
        <f t="shared" si="34"/>
        <v>('30Dec240042','070000172044','27600',(select max(to_number(i.premium_rcv_detail_code))+1
from ins_premium_det i),'27600','27600','02', '11000003','00','Request by Mr. Saqib Saleem 31-Dec-2024 Active');</v>
      </c>
      <c r="H534" s="29" t="str">
        <f t="shared" si="35"/>
        <v>insert into ins_premium_det (premium_rcv_code,assorted_code, rec_amount,premium_rcv_detail_code,remaining_amt, payrec, mode_code,coinsurance_code,class_cd,it_remarks) values('30Dec240042','070000172044','27600',(select max(to_number(i.premium_rcv_detail_code))+1
from ins_premium_det i),'27600','27600','02', '11000003','00','Request by Mr. Saqib Saleem 31-Dec-2024 Active');</v>
      </c>
    </row>
    <row r="535" spans="1:8" ht="105" x14ac:dyDescent="0.25">
      <c r="A535" s="12" t="s">
        <v>11909</v>
      </c>
      <c r="B535" s="25" t="str">
        <f>VLOOKUP(A535,policy!B:C,2,0)</f>
        <v>070000170597</v>
      </c>
      <c r="C535" s="13">
        <v>28200</v>
      </c>
      <c r="D535" s="26">
        <f t="shared" si="33"/>
        <v>28200</v>
      </c>
      <c r="E535" s="24" t="s">
        <v>13296</v>
      </c>
      <c r="F535" s="27" t="str">
        <f t="shared" si="32"/>
        <v>insert into ins_premium_det (premium_rcv_code,assorted_code, rec_amount,premium_rcv_detail_code,remaining_amt, payrec, mode_code,coinsurance_code,class_cd,it_remarks) values</v>
      </c>
      <c r="G535" s="28" t="str">
        <f t="shared" si="34"/>
        <v>('30Dec240042','070000170597','28200',(select max(to_number(i.premium_rcv_detail_code))+1
from ins_premium_det i),'28200','28200','02', '11000003','00','Request by Mr. Saqib Saleem 31-Dec-2024 Active');</v>
      </c>
      <c r="H535" s="29" t="str">
        <f t="shared" si="35"/>
        <v>insert into ins_premium_det (premium_rcv_code,assorted_code, rec_amount,premium_rcv_detail_code,remaining_amt, payrec, mode_code,coinsurance_code,class_cd,it_remarks) values('30Dec240042','070000170597','28200',(select max(to_number(i.premium_rcv_detail_code))+1
from ins_premium_det i),'28200','28200','02', '11000003','00','Request by Mr. Saqib Saleem 31-Dec-2024 Active');</v>
      </c>
    </row>
    <row r="536" spans="1:8" ht="105" x14ac:dyDescent="0.25">
      <c r="A536" s="12" t="s">
        <v>11910</v>
      </c>
      <c r="B536" s="25" t="str">
        <f>VLOOKUP(A536,policy!B:C,2,0)</f>
        <v>070000170596</v>
      </c>
      <c r="C536" s="11">
        <v>52200</v>
      </c>
      <c r="D536" s="26">
        <f t="shared" si="33"/>
        <v>52200</v>
      </c>
      <c r="E536" s="24" t="s">
        <v>13296</v>
      </c>
      <c r="F536" s="27" t="str">
        <f t="shared" si="32"/>
        <v>insert into ins_premium_det (premium_rcv_code,assorted_code, rec_amount,premium_rcv_detail_code,remaining_amt, payrec, mode_code,coinsurance_code,class_cd,it_remarks) values</v>
      </c>
      <c r="G536" s="28" t="str">
        <f t="shared" si="34"/>
        <v>('30Dec240042','070000170596','52200',(select max(to_number(i.premium_rcv_detail_code))+1
from ins_premium_det i),'52200','52200','02', '11000003','00','Request by Mr. Saqib Saleem 31-Dec-2024 Active');</v>
      </c>
      <c r="H536" s="29" t="str">
        <f t="shared" si="35"/>
        <v>insert into ins_premium_det (premium_rcv_code,assorted_code, rec_amount,premium_rcv_detail_code,remaining_amt, payrec, mode_code,coinsurance_code,class_cd,it_remarks) values('30Dec240042','070000170596','52200',(select max(to_number(i.premium_rcv_detail_code))+1
from ins_premium_det i),'52200','52200','02', '11000003','00','Request by Mr. Saqib Saleem 31-Dec-2024 Active');</v>
      </c>
    </row>
    <row r="537" spans="1:8" ht="105" x14ac:dyDescent="0.25">
      <c r="A537" s="12" t="s">
        <v>11911</v>
      </c>
      <c r="B537" s="25" t="str">
        <f>VLOOKUP(A537,policy!B:C,2,0)</f>
        <v>070000170595</v>
      </c>
      <c r="C537" s="13">
        <v>28680</v>
      </c>
      <c r="D537" s="26">
        <f t="shared" si="33"/>
        <v>28680</v>
      </c>
      <c r="E537" s="24" t="s">
        <v>13296</v>
      </c>
      <c r="F537" s="27" t="str">
        <f t="shared" si="32"/>
        <v>insert into ins_premium_det (premium_rcv_code,assorted_code, rec_amount,premium_rcv_detail_code,remaining_amt, payrec, mode_code,coinsurance_code,class_cd,it_remarks) values</v>
      </c>
      <c r="G537" s="28" t="str">
        <f t="shared" si="34"/>
        <v>('30Dec240042','070000170595','28680',(select max(to_number(i.premium_rcv_detail_code))+1
from ins_premium_det i),'28680','28680','02', '11000003','00','Request by Mr. Saqib Saleem 31-Dec-2024 Active');</v>
      </c>
      <c r="H537" s="29" t="str">
        <f t="shared" si="35"/>
        <v>insert into ins_premium_det (premium_rcv_code,assorted_code, rec_amount,premium_rcv_detail_code,remaining_amt, payrec, mode_code,coinsurance_code,class_cd,it_remarks) values('30Dec240042','070000170595','28680',(select max(to_number(i.premium_rcv_detail_code))+1
from ins_premium_det i),'28680','28680','02', '11000003','00','Request by Mr. Saqib Saleem 31-Dec-2024 Active');</v>
      </c>
    </row>
    <row r="538" spans="1:8" ht="105" x14ac:dyDescent="0.25">
      <c r="A538" s="12" t="s">
        <v>11912</v>
      </c>
      <c r="B538" s="25" t="str">
        <f>VLOOKUP(A538,policy!B:C,2,0)</f>
        <v>070000170593</v>
      </c>
      <c r="C538" s="11">
        <v>16680</v>
      </c>
      <c r="D538" s="26">
        <f t="shared" si="33"/>
        <v>16680</v>
      </c>
      <c r="E538" s="24" t="s">
        <v>13296</v>
      </c>
      <c r="F538" s="27" t="str">
        <f t="shared" si="32"/>
        <v>insert into ins_premium_det (premium_rcv_code,assorted_code, rec_amount,premium_rcv_detail_code,remaining_amt, payrec, mode_code,coinsurance_code,class_cd,it_remarks) values</v>
      </c>
      <c r="G538" s="28" t="str">
        <f t="shared" si="34"/>
        <v>('30Dec240042','070000170593','16680',(select max(to_number(i.premium_rcv_detail_code))+1
from ins_premium_det i),'16680','16680','02', '11000003','00','Request by Mr. Saqib Saleem 31-Dec-2024 Active');</v>
      </c>
      <c r="H538" s="29" t="str">
        <f t="shared" si="35"/>
        <v>insert into ins_premium_det (premium_rcv_code,assorted_code, rec_amount,premium_rcv_detail_code,remaining_amt, payrec, mode_code,coinsurance_code,class_cd,it_remarks) values('30Dec240042','070000170593','16680',(select max(to_number(i.premium_rcv_detail_code))+1
from ins_premium_det i),'16680','16680','02', '11000003','00','Request by Mr. Saqib Saleem 31-Dec-2024 Active');</v>
      </c>
    </row>
    <row r="539" spans="1:8" ht="105" x14ac:dyDescent="0.25">
      <c r="A539" s="12" t="s">
        <v>11913</v>
      </c>
      <c r="B539" s="25" t="str">
        <f>VLOOKUP(A539,policy!B:C,2,0)</f>
        <v>070000172043</v>
      </c>
      <c r="C539" s="13">
        <v>28350</v>
      </c>
      <c r="D539" s="26">
        <f t="shared" si="33"/>
        <v>28350</v>
      </c>
      <c r="E539" s="24" t="s">
        <v>13296</v>
      </c>
      <c r="F539" s="27" t="str">
        <f t="shared" si="32"/>
        <v>insert into ins_premium_det (premium_rcv_code,assorted_code, rec_amount,premium_rcv_detail_code,remaining_amt, payrec, mode_code,coinsurance_code,class_cd,it_remarks) values</v>
      </c>
      <c r="G539" s="28" t="str">
        <f t="shared" si="34"/>
        <v>('30Dec240042','070000172043','28350',(select max(to_number(i.premium_rcv_detail_code))+1
from ins_premium_det i),'28350','28350','02', '11000003','00','Request by Mr. Saqib Saleem 31-Dec-2024 Active');</v>
      </c>
      <c r="H539" s="29" t="str">
        <f t="shared" si="35"/>
        <v>insert into ins_premium_det (premium_rcv_code,assorted_code, rec_amount,premium_rcv_detail_code,remaining_amt, payrec, mode_code,coinsurance_code,class_cd,it_remarks) values('30Dec240042','070000172043','28350',(select max(to_number(i.premium_rcv_detail_code))+1
from ins_premium_det i),'28350','28350','02', '11000003','00','Request by Mr. Saqib Saleem 31-Dec-2024 Active');</v>
      </c>
    </row>
    <row r="540" spans="1:8" ht="105" x14ac:dyDescent="0.25">
      <c r="A540" s="12" t="s">
        <v>11914</v>
      </c>
      <c r="B540" s="25" t="str">
        <f>VLOOKUP(A540,policy!B:C,2,0)</f>
        <v>070000170592</v>
      </c>
      <c r="C540" s="11">
        <v>29625</v>
      </c>
      <c r="D540" s="26">
        <f t="shared" si="33"/>
        <v>29625</v>
      </c>
      <c r="E540" s="24" t="s">
        <v>13296</v>
      </c>
      <c r="F540" s="27" t="str">
        <f t="shared" si="32"/>
        <v>insert into ins_premium_det (premium_rcv_code,assorted_code, rec_amount,premium_rcv_detail_code,remaining_amt, payrec, mode_code,coinsurance_code,class_cd,it_remarks) values</v>
      </c>
      <c r="G540" s="28" t="str">
        <f t="shared" si="34"/>
        <v>('30Dec240042','070000170592','29625',(select max(to_number(i.premium_rcv_detail_code))+1
from ins_premium_det i),'29625','29625','02', '11000003','00','Request by Mr. Saqib Saleem 31-Dec-2024 Active');</v>
      </c>
      <c r="H540" s="29" t="str">
        <f t="shared" si="35"/>
        <v>insert into ins_premium_det (premium_rcv_code,assorted_code, rec_amount,premium_rcv_detail_code,remaining_amt, payrec, mode_code,coinsurance_code,class_cd,it_remarks) values('30Dec240042','070000170592','29625',(select max(to_number(i.premium_rcv_detail_code))+1
from ins_premium_det i),'29625','29625','02', '11000003','00','Request by Mr. Saqib Saleem 31-Dec-2024 Active');</v>
      </c>
    </row>
    <row r="541" spans="1:8" ht="105" x14ac:dyDescent="0.25">
      <c r="A541" s="12" t="s">
        <v>11915</v>
      </c>
      <c r="B541" s="25" t="str">
        <f>VLOOKUP(A541,policy!B:C,2,0)</f>
        <v>070000172042</v>
      </c>
      <c r="C541" s="13">
        <v>45744</v>
      </c>
      <c r="D541" s="26">
        <f t="shared" si="33"/>
        <v>45744</v>
      </c>
      <c r="E541" s="24" t="s">
        <v>13296</v>
      </c>
      <c r="F541" s="27" t="str">
        <f t="shared" si="32"/>
        <v>insert into ins_premium_det (premium_rcv_code,assorted_code, rec_amount,premium_rcv_detail_code,remaining_amt, payrec, mode_code,coinsurance_code,class_cd,it_remarks) values</v>
      </c>
      <c r="G541" s="28" t="str">
        <f t="shared" si="34"/>
        <v>('30Dec240042','070000172042','45744',(select max(to_number(i.premium_rcv_detail_code))+1
from ins_premium_det i),'45744','45744','02', '11000003','00','Request by Mr. Saqib Saleem 31-Dec-2024 Active');</v>
      </c>
      <c r="H541" s="29" t="str">
        <f t="shared" si="35"/>
        <v>insert into ins_premium_det (premium_rcv_code,assorted_code, rec_amount,premium_rcv_detail_code,remaining_amt, payrec, mode_code,coinsurance_code,class_cd,it_remarks) values('30Dec240042','070000172042','45744',(select max(to_number(i.premium_rcv_detail_code))+1
from ins_premium_det i),'45744','45744','02', '11000003','00','Request by Mr. Saqib Saleem 31-Dec-2024 Active');</v>
      </c>
    </row>
    <row r="542" spans="1:8" ht="105" x14ac:dyDescent="0.25">
      <c r="A542" s="12" t="s">
        <v>11916</v>
      </c>
      <c r="B542" s="25" t="str">
        <f>VLOOKUP(A542,policy!B:C,2,0)</f>
        <v>070000170590</v>
      </c>
      <c r="C542" s="11">
        <v>64208</v>
      </c>
      <c r="D542" s="26">
        <f t="shared" si="33"/>
        <v>64208</v>
      </c>
      <c r="E542" s="24" t="s">
        <v>13296</v>
      </c>
      <c r="F542" s="27" t="str">
        <f t="shared" si="32"/>
        <v>insert into ins_premium_det (premium_rcv_code,assorted_code, rec_amount,premium_rcv_detail_code,remaining_amt, payrec, mode_code,coinsurance_code,class_cd,it_remarks) values</v>
      </c>
      <c r="G542" s="28" t="str">
        <f t="shared" si="34"/>
        <v>('30Dec240042','070000170590','64208',(select max(to_number(i.premium_rcv_detail_code))+1
from ins_premium_det i),'64208','64208','02', '11000003','00','Request by Mr. Saqib Saleem 31-Dec-2024 Active');</v>
      </c>
      <c r="H542" s="29" t="str">
        <f t="shared" si="35"/>
        <v>insert into ins_premium_det (premium_rcv_code,assorted_code, rec_amount,premium_rcv_detail_code,remaining_amt, payrec, mode_code,coinsurance_code,class_cd,it_remarks) values('30Dec240042','070000170590','64208',(select max(to_number(i.premium_rcv_detail_code))+1
from ins_premium_det i),'64208','64208','02', '11000003','00','Request by Mr. Saqib Saleem 31-Dec-2024 Active');</v>
      </c>
    </row>
    <row r="543" spans="1:8" ht="105" x14ac:dyDescent="0.25">
      <c r="A543" s="12" t="s">
        <v>11917</v>
      </c>
      <c r="B543" s="25" t="str">
        <f>VLOOKUP(A543,policy!B:C,2,0)</f>
        <v>070000170588</v>
      </c>
      <c r="C543" s="13">
        <v>25228</v>
      </c>
      <c r="D543" s="26">
        <f t="shared" si="33"/>
        <v>25228</v>
      </c>
      <c r="E543" s="24" t="s">
        <v>13296</v>
      </c>
      <c r="F543" s="27" t="str">
        <f t="shared" si="32"/>
        <v>insert into ins_premium_det (premium_rcv_code,assorted_code, rec_amount,premium_rcv_detail_code,remaining_amt, payrec, mode_code,coinsurance_code,class_cd,it_remarks) values</v>
      </c>
      <c r="G543" s="28" t="str">
        <f t="shared" si="34"/>
        <v>('30Dec240042','070000170588','25228',(select max(to_number(i.premium_rcv_detail_code))+1
from ins_premium_det i),'25228','25228','02', '11000003','00','Request by Mr. Saqib Saleem 31-Dec-2024 Active');</v>
      </c>
      <c r="H543" s="29" t="str">
        <f t="shared" si="35"/>
        <v>insert into ins_premium_det (premium_rcv_code,assorted_code, rec_amount,premium_rcv_detail_code,remaining_amt, payrec, mode_code,coinsurance_code,class_cd,it_remarks) values('30Dec240042','070000170588','25228',(select max(to_number(i.premium_rcv_detail_code))+1
from ins_premium_det i),'25228','25228','02', '11000003','00','Request by Mr. Saqib Saleem 31-Dec-2024 Active');</v>
      </c>
    </row>
    <row r="544" spans="1:8" ht="105" x14ac:dyDescent="0.25">
      <c r="A544" s="12" t="s">
        <v>11918</v>
      </c>
      <c r="B544" s="25" t="str">
        <f>VLOOKUP(A544,policy!B:C,2,0)</f>
        <v>070000170582</v>
      </c>
      <c r="C544" s="11">
        <v>29461</v>
      </c>
      <c r="D544" s="26">
        <f t="shared" si="33"/>
        <v>29461</v>
      </c>
      <c r="E544" s="24" t="s">
        <v>13296</v>
      </c>
      <c r="F544" s="27" t="str">
        <f t="shared" si="32"/>
        <v>insert into ins_premium_det (premium_rcv_code,assorted_code, rec_amount,premium_rcv_detail_code,remaining_amt, payrec, mode_code,coinsurance_code,class_cd,it_remarks) values</v>
      </c>
      <c r="G544" s="28" t="str">
        <f t="shared" si="34"/>
        <v>('30Dec240042','070000170582','29461',(select max(to_number(i.premium_rcv_detail_code))+1
from ins_premium_det i),'29461','29461','02', '11000003','00','Request by Mr. Saqib Saleem 31-Dec-2024 Active');</v>
      </c>
      <c r="H544" s="29" t="str">
        <f t="shared" si="35"/>
        <v>insert into ins_premium_det (premium_rcv_code,assorted_code, rec_amount,premium_rcv_detail_code,remaining_amt, payrec, mode_code,coinsurance_code,class_cd,it_remarks) values('30Dec240042','070000170582','29461',(select max(to_number(i.premium_rcv_detail_code))+1
from ins_premium_det i),'29461','29461','02', '11000003','00','Request by Mr. Saqib Saleem 31-Dec-2024 Active');</v>
      </c>
    </row>
    <row r="545" spans="1:8" ht="105" x14ac:dyDescent="0.25">
      <c r="A545" s="12" t="s">
        <v>11919</v>
      </c>
      <c r="B545" s="25" t="str">
        <f>VLOOKUP(A545,policy!B:C,2,0)</f>
        <v>070000170581</v>
      </c>
      <c r="C545" s="13">
        <v>25950</v>
      </c>
      <c r="D545" s="26">
        <f t="shared" si="33"/>
        <v>25950</v>
      </c>
      <c r="E545" s="24" t="s">
        <v>13296</v>
      </c>
      <c r="F545" s="27" t="str">
        <f t="shared" si="32"/>
        <v>insert into ins_premium_det (premium_rcv_code,assorted_code, rec_amount,premium_rcv_detail_code,remaining_amt, payrec, mode_code,coinsurance_code,class_cd,it_remarks) values</v>
      </c>
      <c r="G545" s="28" t="str">
        <f t="shared" si="34"/>
        <v>('30Dec240042','070000170581','25950',(select max(to_number(i.premium_rcv_detail_code))+1
from ins_premium_det i),'25950','25950','02', '11000003','00','Request by Mr. Saqib Saleem 31-Dec-2024 Active');</v>
      </c>
      <c r="H545" s="29" t="str">
        <f t="shared" si="35"/>
        <v>insert into ins_premium_det (premium_rcv_code,assorted_code, rec_amount,premium_rcv_detail_code,remaining_amt, payrec, mode_code,coinsurance_code,class_cd,it_remarks) values('30Dec240042','070000170581','25950',(select max(to_number(i.premium_rcv_detail_code))+1
from ins_premium_det i),'25950','25950','02', '11000003','00','Request by Mr. Saqib Saleem 31-Dec-2024 Active');</v>
      </c>
    </row>
    <row r="546" spans="1:8" ht="105" x14ac:dyDescent="0.25">
      <c r="A546" s="12" t="s">
        <v>11920</v>
      </c>
      <c r="B546" s="25" t="str">
        <f>VLOOKUP(A546,policy!B:C,2,0)</f>
        <v>070000172034</v>
      </c>
      <c r="C546" s="11">
        <v>22096</v>
      </c>
      <c r="D546" s="26">
        <f t="shared" si="33"/>
        <v>22096</v>
      </c>
      <c r="E546" s="24" t="s">
        <v>13296</v>
      </c>
      <c r="F546" s="27" t="str">
        <f t="shared" si="32"/>
        <v>insert into ins_premium_det (premium_rcv_code,assorted_code, rec_amount,premium_rcv_detail_code,remaining_amt, payrec, mode_code,coinsurance_code,class_cd,it_remarks) values</v>
      </c>
      <c r="G546" s="28" t="str">
        <f t="shared" si="34"/>
        <v>('30Dec240042','070000172034','22096',(select max(to_number(i.premium_rcv_detail_code))+1
from ins_premium_det i),'22096','22096','02', '11000003','00','Request by Mr. Saqib Saleem 31-Dec-2024 Active');</v>
      </c>
      <c r="H546" s="29" t="str">
        <f t="shared" si="35"/>
        <v>insert into ins_premium_det (premium_rcv_code,assorted_code, rec_amount,premium_rcv_detail_code,remaining_amt, payrec, mode_code,coinsurance_code,class_cd,it_remarks) values('30Dec240042','070000172034','22096',(select max(to_number(i.premium_rcv_detail_code))+1
from ins_premium_det i),'22096','22096','02', '11000003','00','Request by Mr. Saqib Saleem 31-Dec-2024 Active');</v>
      </c>
    </row>
    <row r="547" spans="1:8" ht="105" x14ac:dyDescent="0.25">
      <c r="A547" s="12" t="s">
        <v>11921</v>
      </c>
      <c r="B547" s="25" t="str">
        <f>VLOOKUP(A547,policy!B:C,2,0)</f>
        <v>070000172027</v>
      </c>
      <c r="C547" s="13">
        <v>62768</v>
      </c>
      <c r="D547" s="26">
        <f t="shared" si="33"/>
        <v>62768</v>
      </c>
      <c r="E547" s="24" t="s">
        <v>13296</v>
      </c>
      <c r="F547" s="27" t="str">
        <f t="shared" si="32"/>
        <v>insert into ins_premium_det (premium_rcv_code,assorted_code, rec_amount,premium_rcv_detail_code,remaining_amt, payrec, mode_code,coinsurance_code,class_cd,it_remarks) values</v>
      </c>
      <c r="G547" s="28" t="str">
        <f t="shared" si="34"/>
        <v>('30Dec240042','070000172027','62768',(select max(to_number(i.premium_rcv_detail_code))+1
from ins_premium_det i),'62768','62768','02', '11000003','00','Request by Mr. Saqib Saleem 31-Dec-2024 Active');</v>
      </c>
      <c r="H547" s="29" t="str">
        <f t="shared" si="35"/>
        <v>insert into ins_premium_det (premium_rcv_code,assorted_code, rec_amount,premium_rcv_detail_code,remaining_amt, payrec, mode_code,coinsurance_code,class_cd,it_remarks) values('30Dec240042','070000172027','62768',(select max(to_number(i.premium_rcv_detail_code))+1
from ins_premium_det i),'62768','62768','02', '11000003','00','Request by Mr. Saqib Saleem 31-Dec-2024 Active');</v>
      </c>
    </row>
    <row r="548" spans="1:8" ht="105" x14ac:dyDescent="0.25">
      <c r="A548" s="12" t="s">
        <v>11922</v>
      </c>
      <c r="B548" s="25" t="str">
        <f>VLOOKUP(A548,policy!B:C,2,0)</f>
        <v>070000172026</v>
      </c>
      <c r="C548" s="11">
        <v>68408</v>
      </c>
      <c r="D548" s="26">
        <f t="shared" si="33"/>
        <v>68408</v>
      </c>
      <c r="E548" s="24" t="s">
        <v>13296</v>
      </c>
      <c r="F548" s="27" t="str">
        <f t="shared" si="32"/>
        <v>insert into ins_premium_det (premium_rcv_code,assorted_code, rec_amount,premium_rcv_detail_code,remaining_amt, payrec, mode_code,coinsurance_code,class_cd,it_remarks) values</v>
      </c>
      <c r="G548" s="28" t="str">
        <f t="shared" si="34"/>
        <v>('30Dec240042','070000172026','68408',(select max(to_number(i.premium_rcv_detail_code))+1
from ins_premium_det i),'68408','68408','02', '11000003','00','Request by Mr. Saqib Saleem 31-Dec-2024 Active');</v>
      </c>
      <c r="H548" s="29" t="str">
        <f t="shared" si="35"/>
        <v>insert into ins_premium_det (premium_rcv_code,assorted_code, rec_amount,premium_rcv_detail_code,remaining_amt, payrec, mode_code,coinsurance_code,class_cd,it_remarks) values('30Dec240042','070000172026','68408',(select max(to_number(i.premium_rcv_detail_code))+1
from ins_premium_det i),'68408','68408','02', '11000003','00','Request by Mr. Saqib Saleem 31-Dec-2024 Active');</v>
      </c>
    </row>
    <row r="549" spans="1:8" ht="105" x14ac:dyDescent="0.25">
      <c r="A549" s="12" t="s">
        <v>11923</v>
      </c>
      <c r="B549" s="25" t="str">
        <f>VLOOKUP(A549,policy!B:C,2,0)</f>
        <v>070000172025</v>
      </c>
      <c r="C549" s="13">
        <v>43248</v>
      </c>
      <c r="D549" s="26">
        <f t="shared" si="33"/>
        <v>43248</v>
      </c>
      <c r="E549" s="24" t="s">
        <v>13296</v>
      </c>
      <c r="F549" s="27" t="str">
        <f t="shared" si="32"/>
        <v>insert into ins_premium_det (premium_rcv_code,assorted_code, rec_amount,premium_rcv_detail_code,remaining_amt, payrec, mode_code,coinsurance_code,class_cd,it_remarks) values</v>
      </c>
      <c r="G549" s="28" t="str">
        <f t="shared" si="34"/>
        <v>('30Dec240042','070000172025','43248',(select max(to_number(i.premium_rcv_detail_code))+1
from ins_premium_det i),'43248','43248','02', '11000003','00','Request by Mr. Saqib Saleem 31-Dec-2024 Active');</v>
      </c>
      <c r="H549" s="29" t="str">
        <f t="shared" si="35"/>
        <v>insert into ins_premium_det (premium_rcv_code,assorted_code, rec_amount,premium_rcv_detail_code,remaining_amt, payrec, mode_code,coinsurance_code,class_cd,it_remarks) values('30Dec240042','070000172025','43248',(select max(to_number(i.premium_rcv_detail_code))+1
from ins_premium_det i),'43248','43248','02', '11000003','00','Request by Mr. Saqib Saleem 31-Dec-2024 Active');</v>
      </c>
    </row>
    <row r="550" spans="1:8" ht="105" x14ac:dyDescent="0.25">
      <c r="A550" s="12" t="s">
        <v>11924</v>
      </c>
      <c r="B550" s="25" t="str">
        <f>VLOOKUP(A550,policy!B:C,2,0)</f>
        <v>070000170572</v>
      </c>
      <c r="C550" s="11">
        <v>25671</v>
      </c>
      <c r="D550" s="26">
        <f t="shared" si="33"/>
        <v>25671</v>
      </c>
      <c r="E550" s="24" t="s">
        <v>13296</v>
      </c>
      <c r="F550" s="27" t="str">
        <f t="shared" si="32"/>
        <v>insert into ins_premium_det (premium_rcv_code,assorted_code, rec_amount,premium_rcv_detail_code,remaining_amt, payrec, mode_code,coinsurance_code,class_cd,it_remarks) values</v>
      </c>
      <c r="G550" s="28" t="str">
        <f t="shared" si="34"/>
        <v>('30Dec240042','070000170572','25671',(select max(to_number(i.premium_rcv_detail_code))+1
from ins_premium_det i),'25671','25671','02', '11000003','00','Request by Mr. Saqib Saleem 31-Dec-2024 Active');</v>
      </c>
      <c r="H550" s="29" t="str">
        <f t="shared" si="35"/>
        <v>insert into ins_premium_det (premium_rcv_code,assorted_code, rec_amount,premium_rcv_detail_code,remaining_amt, payrec, mode_code,coinsurance_code,class_cd,it_remarks) values('30Dec240042','070000170572','25671',(select max(to_number(i.premium_rcv_detail_code))+1
from ins_premium_det i),'25671','25671','02', '11000003','00','Request by Mr. Saqib Saleem 31-Dec-2024 Active');</v>
      </c>
    </row>
    <row r="551" spans="1:8" ht="105" x14ac:dyDescent="0.25">
      <c r="A551" s="12" t="s">
        <v>11925</v>
      </c>
      <c r="B551" s="25" t="str">
        <f>VLOOKUP(A551,policy!B:C,2,0)</f>
        <v>070000172024</v>
      </c>
      <c r="C551" s="13">
        <v>50288</v>
      </c>
      <c r="D551" s="26">
        <f t="shared" si="33"/>
        <v>50288</v>
      </c>
      <c r="E551" s="24" t="s">
        <v>13296</v>
      </c>
      <c r="F551" s="27" t="str">
        <f t="shared" si="32"/>
        <v>insert into ins_premium_det (premium_rcv_code,assorted_code, rec_amount,premium_rcv_detail_code,remaining_amt, payrec, mode_code,coinsurance_code,class_cd,it_remarks) values</v>
      </c>
      <c r="G551" s="28" t="str">
        <f t="shared" si="34"/>
        <v>('30Dec240042','070000172024','50288',(select max(to_number(i.premium_rcv_detail_code))+1
from ins_premium_det i),'50288','50288','02', '11000003','00','Request by Mr. Saqib Saleem 31-Dec-2024 Active');</v>
      </c>
      <c r="H551" s="29" t="str">
        <f t="shared" si="35"/>
        <v>insert into ins_premium_det (premium_rcv_code,assorted_code, rec_amount,premium_rcv_detail_code,remaining_amt, payrec, mode_code,coinsurance_code,class_cd,it_remarks) values('30Dec240042','070000172024','50288',(select max(to_number(i.premium_rcv_detail_code))+1
from ins_premium_det i),'50288','50288','02', '11000003','00','Request by Mr. Saqib Saleem 31-Dec-2024 Active');</v>
      </c>
    </row>
    <row r="552" spans="1:8" ht="105" x14ac:dyDescent="0.25">
      <c r="A552" s="12" t="s">
        <v>11926</v>
      </c>
      <c r="B552" s="25" t="str">
        <f>VLOOKUP(A552,policy!B:C,2,0)</f>
        <v>070000171851</v>
      </c>
      <c r="C552" s="11">
        <v>28500</v>
      </c>
      <c r="D552" s="26">
        <f t="shared" si="33"/>
        <v>28500</v>
      </c>
      <c r="E552" s="24" t="s">
        <v>13296</v>
      </c>
      <c r="F552" s="27" t="str">
        <f t="shared" si="32"/>
        <v>insert into ins_premium_det (premium_rcv_code,assorted_code, rec_amount,premium_rcv_detail_code,remaining_amt, payrec, mode_code,coinsurance_code,class_cd,it_remarks) values</v>
      </c>
      <c r="G552" s="28" t="str">
        <f t="shared" si="34"/>
        <v>('30Dec240042','070000171851','28500',(select max(to_number(i.premium_rcv_detail_code))+1
from ins_premium_det i),'28500','28500','02', '11000003','00','Request by Mr. Saqib Saleem 31-Dec-2024 Active');</v>
      </c>
      <c r="H552" s="29" t="str">
        <f t="shared" si="35"/>
        <v>insert into ins_premium_det (premium_rcv_code,assorted_code, rec_amount,premium_rcv_detail_code,remaining_amt, payrec, mode_code,coinsurance_code,class_cd,it_remarks) values('30Dec240042','070000171851','28500',(select max(to_number(i.premium_rcv_detail_code))+1
from ins_premium_det i),'28500','28500','02', '11000003','00','Request by Mr. Saqib Saleem 31-Dec-2024 Active');</v>
      </c>
    </row>
    <row r="553" spans="1:8" ht="105" x14ac:dyDescent="0.25">
      <c r="A553" s="12" t="s">
        <v>11927</v>
      </c>
      <c r="B553" s="25" t="str">
        <f>VLOOKUP(A553,policy!B:C,2,0)</f>
        <v>070000171852</v>
      </c>
      <c r="C553" s="13">
        <v>43125</v>
      </c>
      <c r="D553" s="26">
        <f t="shared" si="33"/>
        <v>43125</v>
      </c>
      <c r="E553" s="24" t="s">
        <v>13296</v>
      </c>
      <c r="F553" s="27" t="str">
        <f t="shared" si="32"/>
        <v>insert into ins_premium_det (premium_rcv_code,assorted_code, rec_amount,premium_rcv_detail_code,remaining_amt, payrec, mode_code,coinsurance_code,class_cd,it_remarks) values</v>
      </c>
      <c r="G553" s="28" t="str">
        <f t="shared" si="34"/>
        <v>('30Dec240042','070000171852','43125',(select max(to_number(i.premium_rcv_detail_code))+1
from ins_premium_det i),'43125','43125','02', '11000003','00','Request by Mr. Saqib Saleem 31-Dec-2024 Active');</v>
      </c>
      <c r="H553" s="29" t="str">
        <f t="shared" si="35"/>
        <v>insert into ins_premium_det (premium_rcv_code,assorted_code, rec_amount,premium_rcv_detail_code,remaining_amt, payrec, mode_code,coinsurance_code,class_cd,it_remarks) values('30Dec240042','070000171852','43125',(select max(to_number(i.premium_rcv_detail_code))+1
from ins_premium_det i),'43125','43125','02', '11000003','00','Request by Mr. Saqib Saleem 31-Dec-2024 Active');</v>
      </c>
    </row>
    <row r="554" spans="1:8" ht="105" x14ac:dyDescent="0.25">
      <c r="A554" s="12" t="s">
        <v>11928</v>
      </c>
      <c r="B554" s="25" t="str">
        <f>VLOOKUP(A554,policy!B:C,2,0)</f>
        <v>070000171853</v>
      </c>
      <c r="C554" s="11">
        <v>50984</v>
      </c>
      <c r="D554" s="26">
        <f t="shared" si="33"/>
        <v>50984</v>
      </c>
      <c r="E554" s="24" t="s">
        <v>13296</v>
      </c>
      <c r="F554" s="27" t="str">
        <f t="shared" si="32"/>
        <v>insert into ins_premium_det (premium_rcv_code,assorted_code, rec_amount,premium_rcv_detail_code,remaining_amt, payrec, mode_code,coinsurance_code,class_cd,it_remarks) values</v>
      </c>
      <c r="G554" s="28" t="str">
        <f t="shared" si="34"/>
        <v>('30Dec240042','070000171853','50984',(select max(to_number(i.premium_rcv_detail_code))+1
from ins_premium_det i),'50984','50984','02', '11000003','00','Request by Mr. Saqib Saleem 31-Dec-2024 Active');</v>
      </c>
      <c r="H554" s="29" t="str">
        <f t="shared" si="35"/>
        <v>insert into ins_premium_det (premium_rcv_code,assorted_code, rec_amount,premium_rcv_detail_code,remaining_amt, payrec, mode_code,coinsurance_code,class_cd,it_remarks) values('30Dec240042','070000171853','50984',(select max(to_number(i.premium_rcv_detail_code))+1
from ins_premium_det i),'50984','50984','02', '11000003','00','Request by Mr. Saqib Saleem 31-Dec-2024 Active');</v>
      </c>
    </row>
    <row r="555" spans="1:8" ht="105" x14ac:dyDescent="0.25">
      <c r="A555" s="12" t="s">
        <v>11929</v>
      </c>
      <c r="B555" s="25" t="str">
        <f>VLOOKUP(A555,policy!B:C,2,0)</f>
        <v>070000172017</v>
      </c>
      <c r="C555" s="13">
        <v>16784</v>
      </c>
      <c r="D555" s="26">
        <f t="shared" si="33"/>
        <v>16784</v>
      </c>
      <c r="E555" s="24" t="s">
        <v>13296</v>
      </c>
      <c r="F555" s="27" t="str">
        <f t="shared" si="32"/>
        <v>insert into ins_premium_det (premium_rcv_code,assorted_code, rec_amount,premium_rcv_detail_code,remaining_amt, payrec, mode_code,coinsurance_code,class_cd,it_remarks) values</v>
      </c>
      <c r="G555" s="28" t="str">
        <f t="shared" si="34"/>
        <v>('30Dec240042','070000172017','16784',(select max(to_number(i.premium_rcv_detail_code))+1
from ins_premium_det i),'16784','16784','02', '11000003','00','Request by Mr. Saqib Saleem 31-Dec-2024 Active');</v>
      </c>
      <c r="H555" s="29" t="str">
        <f t="shared" si="35"/>
        <v>insert into ins_premium_det (premium_rcv_code,assorted_code, rec_amount,premium_rcv_detail_code,remaining_amt, payrec, mode_code,coinsurance_code,class_cd,it_remarks) values('30Dec240042','070000172017','16784',(select max(to_number(i.premium_rcv_detail_code))+1
from ins_premium_det i),'16784','16784','02', '11000003','00','Request by Mr. Saqib Saleem 31-Dec-2024 Active');</v>
      </c>
    </row>
    <row r="556" spans="1:8" ht="105" x14ac:dyDescent="0.25">
      <c r="A556" s="12" t="s">
        <v>11930</v>
      </c>
      <c r="B556" s="25" t="str">
        <f>VLOOKUP(A556,policy!B:C,2,0)</f>
        <v>070000171855</v>
      </c>
      <c r="C556" s="11">
        <v>87962</v>
      </c>
      <c r="D556" s="26">
        <f t="shared" si="33"/>
        <v>87962</v>
      </c>
      <c r="E556" s="24" t="s">
        <v>13296</v>
      </c>
      <c r="F556" s="27" t="str">
        <f t="shared" si="32"/>
        <v>insert into ins_premium_det (premium_rcv_code,assorted_code, rec_amount,premium_rcv_detail_code,remaining_amt, payrec, mode_code,coinsurance_code,class_cd,it_remarks) values</v>
      </c>
      <c r="G556" s="28" t="str">
        <f t="shared" si="34"/>
        <v>('30Dec240042','070000171855','87962',(select max(to_number(i.premium_rcv_detail_code))+1
from ins_premium_det i),'87962','87962','02', '11000003','00','Request by Mr. Saqib Saleem 31-Dec-2024 Active');</v>
      </c>
      <c r="H556" s="29" t="str">
        <f t="shared" si="35"/>
        <v>insert into ins_premium_det (premium_rcv_code,assorted_code, rec_amount,premium_rcv_detail_code,remaining_amt, payrec, mode_code,coinsurance_code,class_cd,it_remarks) values('30Dec240042','070000171855','87962',(select max(to_number(i.premium_rcv_detail_code))+1
from ins_premium_det i),'87962','87962','02', '11000003','00','Request by Mr. Saqib Saleem 31-Dec-2024 Active');</v>
      </c>
    </row>
    <row r="557" spans="1:8" ht="105" x14ac:dyDescent="0.25">
      <c r="A557" s="17" t="s">
        <v>11998</v>
      </c>
      <c r="B557" s="25" t="str">
        <f>VLOOKUP(A557,policy!B:C,2,0)</f>
        <v>070000172015</v>
      </c>
      <c r="C557" s="13">
        <v>49613</v>
      </c>
      <c r="D557" s="26">
        <f t="shared" si="33"/>
        <v>49613</v>
      </c>
      <c r="E557" s="24" t="s">
        <v>13296</v>
      </c>
      <c r="F557" s="27" t="str">
        <f t="shared" si="32"/>
        <v>insert into ins_premium_det (premium_rcv_code,assorted_code, rec_amount,premium_rcv_detail_code,remaining_amt, payrec, mode_code,coinsurance_code,class_cd,it_remarks) values</v>
      </c>
      <c r="G557" s="28" t="str">
        <f t="shared" si="34"/>
        <v>('30Dec240042','070000172015','49613',(select max(to_number(i.premium_rcv_detail_code))+1
from ins_premium_det i),'49613','49613','02', '11000003','00','Request by Mr. Saqib Saleem 31-Dec-2024 Active');</v>
      </c>
      <c r="H557" s="29" t="str">
        <f t="shared" si="35"/>
        <v>insert into ins_premium_det (premium_rcv_code,assorted_code, rec_amount,premium_rcv_detail_code,remaining_amt, payrec, mode_code,coinsurance_code,class_cd,it_remarks) values('30Dec240042','070000172015','49613',(select max(to_number(i.premium_rcv_detail_code))+1
from ins_premium_det i),'49613','49613','02', '11000003','00','Request by Mr. Saqib Saleem 31-Dec-2024 Active');</v>
      </c>
    </row>
    <row r="558" spans="1:8" ht="105" x14ac:dyDescent="0.25">
      <c r="A558" s="12" t="s">
        <v>11931</v>
      </c>
      <c r="B558" s="25" t="str">
        <f>VLOOKUP(A558,policy!B:C,2,0)</f>
        <v>070000172013</v>
      </c>
      <c r="C558" s="11">
        <v>32288</v>
      </c>
      <c r="D558" s="26">
        <f t="shared" si="33"/>
        <v>32288</v>
      </c>
      <c r="E558" s="24" t="s">
        <v>13296</v>
      </c>
      <c r="F558" s="27" t="str">
        <f t="shared" si="32"/>
        <v>insert into ins_premium_det (premium_rcv_code,assorted_code, rec_amount,premium_rcv_detail_code,remaining_amt, payrec, mode_code,coinsurance_code,class_cd,it_remarks) values</v>
      </c>
      <c r="G558" s="28" t="str">
        <f t="shared" si="34"/>
        <v>('30Dec240042','070000172013','32288',(select max(to_number(i.premium_rcv_detail_code))+1
from ins_premium_det i),'32288','32288','02', '11000003','00','Request by Mr. Saqib Saleem 31-Dec-2024 Active');</v>
      </c>
      <c r="H558" s="29" t="str">
        <f t="shared" si="35"/>
        <v>insert into ins_premium_det (premium_rcv_code,assorted_code, rec_amount,premium_rcv_detail_code,remaining_amt, payrec, mode_code,coinsurance_code,class_cd,it_remarks) values('30Dec240042','070000172013','32288',(select max(to_number(i.premium_rcv_detail_code))+1
from ins_premium_det i),'32288','32288','02', '11000003','00','Request by Mr. Saqib Saleem 31-Dec-2024 Active');</v>
      </c>
    </row>
    <row r="559" spans="1:8" ht="105" x14ac:dyDescent="0.25">
      <c r="A559" s="12" t="s">
        <v>11932</v>
      </c>
      <c r="B559" s="25" t="str">
        <f>VLOOKUP(A559,policy!B:C,2,0)</f>
        <v>070000171857</v>
      </c>
      <c r="C559" s="13">
        <v>25075</v>
      </c>
      <c r="D559" s="26">
        <f t="shared" si="33"/>
        <v>25075</v>
      </c>
      <c r="E559" s="24" t="s">
        <v>13296</v>
      </c>
      <c r="F559" s="27" t="str">
        <f t="shared" si="32"/>
        <v>insert into ins_premium_det (premium_rcv_code,assorted_code, rec_amount,premium_rcv_detail_code,remaining_amt, payrec, mode_code,coinsurance_code,class_cd,it_remarks) values</v>
      </c>
      <c r="G559" s="28" t="str">
        <f t="shared" si="34"/>
        <v>('30Dec240042','070000171857','25075',(select max(to_number(i.premium_rcv_detail_code))+1
from ins_premium_det i),'25075','25075','02', '11000003','00','Request by Mr. Saqib Saleem 31-Dec-2024 Active');</v>
      </c>
      <c r="H559" s="29" t="str">
        <f t="shared" si="35"/>
        <v>insert into ins_premium_det (premium_rcv_code,assorted_code, rec_amount,premium_rcv_detail_code,remaining_amt, payrec, mode_code,coinsurance_code,class_cd,it_remarks) values('30Dec240042','070000171857','25075',(select max(to_number(i.premium_rcv_detail_code))+1
from ins_premium_det i),'25075','25075','02', '11000003','00','Request by Mr. Saqib Saleem 31-Dec-2024 Active');</v>
      </c>
    </row>
    <row r="560" spans="1:8" ht="105" x14ac:dyDescent="0.25">
      <c r="A560" s="12" t="s">
        <v>11933</v>
      </c>
      <c r="B560" s="25" t="str">
        <f>VLOOKUP(A560,policy!B:C,2,0)</f>
        <v>070000171858</v>
      </c>
      <c r="C560" s="11">
        <v>29461</v>
      </c>
      <c r="D560" s="26">
        <f t="shared" si="33"/>
        <v>29461</v>
      </c>
      <c r="E560" s="24" t="s">
        <v>13296</v>
      </c>
      <c r="F560" s="27" t="str">
        <f t="shared" si="32"/>
        <v>insert into ins_premium_det (premium_rcv_code,assorted_code, rec_amount,premium_rcv_detail_code,remaining_amt, payrec, mode_code,coinsurance_code,class_cd,it_remarks) values</v>
      </c>
      <c r="G560" s="28" t="str">
        <f t="shared" si="34"/>
        <v>('30Dec240042','070000171858','29461',(select max(to_number(i.premium_rcv_detail_code))+1
from ins_premium_det i),'29461','29461','02', '11000003','00','Request by Mr. Saqib Saleem 31-Dec-2024 Active');</v>
      </c>
      <c r="H560" s="29" t="str">
        <f t="shared" si="35"/>
        <v>insert into ins_premium_det (premium_rcv_code,assorted_code, rec_amount,premium_rcv_detail_code,remaining_amt, payrec, mode_code,coinsurance_code,class_cd,it_remarks) values('30Dec240042','070000171858','29461',(select max(to_number(i.premium_rcv_detail_code))+1
from ins_premium_det i),'29461','29461','02', '11000003','00','Request by Mr. Saqib Saleem 31-Dec-2024 Active');</v>
      </c>
    </row>
    <row r="561" spans="1:8" ht="105" x14ac:dyDescent="0.25">
      <c r="A561" s="12" t="s">
        <v>11934</v>
      </c>
      <c r="B561" s="25" t="str">
        <f>VLOOKUP(A561,policy!B:C,2,0)</f>
        <v>070000172010</v>
      </c>
      <c r="C561" s="13">
        <v>128818</v>
      </c>
      <c r="D561" s="26">
        <f t="shared" si="33"/>
        <v>128818</v>
      </c>
      <c r="E561" s="24" t="s">
        <v>13296</v>
      </c>
      <c r="F561" s="27" t="str">
        <f t="shared" si="32"/>
        <v>insert into ins_premium_det (premium_rcv_code,assorted_code, rec_amount,premium_rcv_detail_code,remaining_amt, payrec, mode_code,coinsurance_code,class_cd,it_remarks) values</v>
      </c>
      <c r="G561" s="28" t="str">
        <f t="shared" si="34"/>
        <v>('30Dec240042','070000172010','128818',(select max(to_number(i.premium_rcv_detail_code))+1
from ins_premium_det i),'128818','128818','02', '11000003','00','Request by Mr. Saqib Saleem 31-Dec-2024 Active');</v>
      </c>
      <c r="H561" s="29" t="str">
        <f t="shared" si="35"/>
        <v>insert into ins_premium_det (premium_rcv_code,assorted_code, rec_amount,premium_rcv_detail_code,remaining_amt, payrec, mode_code,coinsurance_code,class_cd,it_remarks) values('30Dec240042','070000172010','128818',(select max(to_number(i.premium_rcv_detail_code))+1
from ins_premium_det i),'128818','128818','02', '11000003','00','Request by Mr. Saqib Saleem 31-Dec-2024 Active');</v>
      </c>
    </row>
    <row r="562" spans="1:8" ht="105" x14ac:dyDescent="0.25">
      <c r="A562" s="12" t="s">
        <v>11935</v>
      </c>
      <c r="B562" s="25" t="str">
        <f>VLOOKUP(A562,policy!B:C,2,0)</f>
        <v>070000172009</v>
      </c>
      <c r="C562" s="11">
        <v>78183</v>
      </c>
      <c r="D562" s="26">
        <f t="shared" si="33"/>
        <v>78183</v>
      </c>
      <c r="E562" s="24" t="s">
        <v>13296</v>
      </c>
      <c r="F562" s="27" t="str">
        <f t="shared" si="32"/>
        <v>insert into ins_premium_det (premium_rcv_code,assorted_code, rec_amount,premium_rcv_detail_code,remaining_amt, payrec, mode_code,coinsurance_code,class_cd,it_remarks) values</v>
      </c>
      <c r="G562" s="28" t="str">
        <f t="shared" si="34"/>
        <v>('30Dec240042','070000172009','78183',(select max(to_number(i.premium_rcv_detail_code))+1
from ins_premium_det i),'78183','78183','02', '11000003','00','Request by Mr. Saqib Saleem 31-Dec-2024 Active');</v>
      </c>
      <c r="H562" s="29" t="str">
        <f t="shared" si="35"/>
        <v>insert into ins_premium_det (premium_rcv_code,assorted_code, rec_amount,premium_rcv_detail_code,remaining_amt, payrec, mode_code,coinsurance_code,class_cd,it_remarks) values('30Dec240042','070000172009','78183',(select max(to_number(i.premium_rcv_detail_code))+1
from ins_premium_det i),'78183','78183','02', '11000003','00','Request by Mr. Saqib Saleem 31-Dec-2024 Active');</v>
      </c>
    </row>
    <row r="563" spans="1:8" ht="105" x14ac:dyDescent="0.25">
      <c r="A563" s="12" t="s">
        <v>11936</v>
      </c>
      <c r="B563" s="25" t="str">
        <f>VLOOKUP(A563,policy!B:C,2,0)</f>
        <v>070000171860</v>
      </c>
      <c r="C563" s="13">
        <v>33167</v>
      </c>
      <c r="D563" s="26">
        <f t="shared" si="33"/>
        <v>33167</v>
      </c>
      <c r="E563" s="24" t="s">
        <v>13296</v>
      </c>
      <c r="F563" s="27" t="str">
        <f t="shared" si="32"/>
        <v>insert into ins_premium_det (premium_rcv_code,assorted_code, rec_amount,premium_rcv_detail_code,remaining_amt, payrec, mode_code,coinsurance_code,class_cd,it_remarks) values</v>
      </c>
      <c r="G563" s="28" t="str">
        <f t="shared" si="34"/>
        <v>('30Dec240042','070000171860','33167',(select max(to_number(i.premium_rcv_detail_code))+1
from ins_premium_det i),'33167','33167','02', '11000003','00','Request by Mr. Saqib Saleem 31-Dec-2024 Active');</v>
      </c>
      <c r="H563" s="29" t="str">
        <f t="shared" si="35"/>
        <v>insert into ins_premium_det (premium_rcv_code,assorted_code, rec_amount,premium_rcv_detail_code,remaining_amt, payrec, mode_code,coinsurance_code,class_cd,it_remarks) values('30Dec240042','070000171860','33167',(select max(to_number(i.premium_rcv_detail_code))+1
from ins_premium_det i),'33167','33167','02', '11000003','00','Request by Mr. Saqib Saleem 31-Dec-2024 Active');</v>
      </c>
    </row>
    <row r="564" spans="1:8" ht="105" x14ac:dyDescent="0.25">
      <c r="A564" s="17" t="s">
        <v>11999</v>
      </c>
      <c r="B564" s="25" t="str">
        <f>VLOOKUP(A564,policy!B:C,2,0)</f>
        <v>070000171999</v>
      </c>
      <c r="C564" s="11">
        <v>102814</v>
      </c>
      <c r="D564" s="26">
        <f t="shared" si="33"/>
        <v>102814</v>
      </c>
      <c r="E564" s="24" t="s">
        <v>13296</v>
      </c>
      <c r="F564" s="27" t="str">
        <f t="shared" si="32"/>
        <v>insert into ins_premium_det (premium_rcv_code,assorted_code, rec_amount,premium_rcv_detail_code,remaining_amt, payrec, mode_code,coinsurance_code,class_cd,it_remarks) values</v>
      </c>
      <c r="G564" s="28" t="str">
        <f t="shared" si="34"/>
        <v>('30Dec240042','070000171999','102814',(select max(to_number(i.premium_rcv_detail_code))+1
from ins_premium_det i),'102814','102814','02', '11000003','00','Request by Mr. Saqib Saleem 31-Dec-2024 Active');</v>
      </c>
      <c r="H564" s="29" t="str">
        <f t="shared" si="35"/>
        <v>insert into ins_premium_det (premium_rcv_code,assorted_code, rec_amount,premium_rcv_detail_code,remaining_amt, payrec, mode_code,coinsurance_code,class_cd,it_remarks) values('30Dec240042','070000171999','102814',(select max(to_number(i.premium_rcv_detail_code))+1
from ins_premium_det i),'102814','102814','02', '11000003','00','Request by Mr. Saqib Saleem 31-Dec-2024 Active');</v>
      </c>
    </row>
    <row r="565" spans="1:8" ht="105" x14ac:dyDescent="0.25">
      <c r="A565" s="12" t="s">
        <v>11937</v>
      </c>
      <c r="B565" s="25" t="str">
        <f>VLOOKUP(A565,policy!B:C,2,0)</f>
        <v>070000171996</v>
      </c>
      <c r="C565" s="13">
        <v>61920</v>
      </c>
      <c r="D565" s="26">
        <f t="shared" si="33"/>
        <v>61920</v>
      </c>
      <c r="E565" s="24" t="s">
        <v>13296</v>
      </c>
      <c r="F565" s="27" t="str">
        <f t="shared" si="32"/>
        <v>insert into ins_premium_det (premium_rcv_code,assorted_code, rec_amount,premium_rcv_detail_code,remaining_amt, payrec, mode_code,coinsurance_code,class_cd,it_remarks) values</v>
      </c>
      <c r="G565" s="28" t="str">
        <f t="shared" si="34"/>
        <v>('30Dec240042','070000171996','61920',(select max(to_number(i.premium_rcv_detail_code))+1
from ins_premium_det i),'61920','61920','02', '11000003','00','Request by Mr. Saqib Saleem 31-Dec-2024 Active');</v>
      </c>
      <c r="H565" s="29" t="str">
        <f t="shared" si="35"/>
        <v>insert into ins_premium_det (premium_rcv_code,assorted_code, rec_amount,premium_rcv_detail_code,remaining_amt, payrec, mode_code,coinsurance_code,class_cd,it_remarks) values('30Dec240042','070000171996','61920',(select max(to_number(i.premium_rcv_detail_code))+1
from ins_premium_det i),'61920','61920','02', '11000003','00','Request by Mr. Saqib Saleem 31-Dec-2024 Active');</v>
      </c>
    </row>
    <row r="566" spans="1:8" ht="105" x14ac:dyDescent="0.25">
      <c r="A566" s="12" t="s">
        <v>11938</v>
      </c>
      <c r="B566" s="25" t="str">
        <f>VLOOKUP(A566,policy!B:C,2,0)</f>
        <v>070000171992</v>
      </c>
      <c r="C566" s="11">
        <v>37875</v>
      </c>
      <c r="D566" s="26">
        <f t="shared" si="33"/>
        <v>37875</v>
      </c>
      <c r="E566" s="24" t="s">
        <v>13296</v>
      </c>
      <c r="F566" s="27" t="str">
        <f t="shared" si="32"/>
        <v>insert into ins_premium_det (premium_rcv_code,assorted_code, rec_amount,premium_rcv_detail_code,remaining_amt, payrec, mode_code,coinsurance_code,class_cd,it_remarks) values</v>
      </c>
      <c r="G566" s="28" t="str">
        <f t="shared" si="34"/>
        <v>('30Dec240042','070000171992','37875',(select max(to_number(i.premium_rcv_detail_code))+1
from ins_premium_det i),'37875','37875','02', '11000003','00','Request by Mr. Saqib Saleem 31-Dec-2024 Active');</v>
      </c>
      <c r="H566" s="29" t="str">
        <f t="shared" si="35"/>
        <v>insert into ins_premium_det (premium_rcv_code,assorted_code, rec_amount,premium_rcv_detail_code,remaining_amt, payrec, mode_code,coinsurance_code,class_cd,it_remarks) values('30Dec240042','070000171992','37875',(select max(to_number(i.premium_rcv_detail_code))+1
from ins_premium_det i),'37875','37875','02', '11000003','00','Request by Mr. Saqib Saleem 31-Dec-2024 Active');</v>
      </c>
    </row>
    <row r="567" spans="1:8" ht="105" x14ac:dyDescent="0.25">
      <c r="A567" s="12" t="s">
        <v>11939</v>
      </c>
      <c r="B567" s="25" t="str">
        <f>VLOOKUP(A567,policy!B:C,2,0)</f>
        <v>070000171991</v>
      </c>
      <c r="C567" s="13">
        <v>32864</v>
      </c>
      <c r="D567" s="26">
        <f t="shared" si="33"/>
        <v>32864</v>
      </c>
      <c r="E567" s="24" t="s">
        <v>13296</v>
      </c>
      <c r="F567" s="27" t="str">
        <f t="shared" si="32"/>
        <v>insert into ins_premium_det (premium_rcv_code,assorted_code, rec_amount,premium_rcv_detail_code,remaining_amt, payrec, mode_code,coinsurance_code,class_cd,it_remarks) values</v>
      </c>
      <c r="G567" s="28" t="str">
        <f t="shared" si="34"/>
        <v>('30Dec240042','070000171991','32864',(select max(to_number(i.premium_rcv_detail_code))+1
from ins_premium_det i),'32864','32864','02', '11000003','00','Request by Mr. Saqib Saleem 31-Dec-2024 Active');</v>
      </c>
      <c r="H567" s="29" t="str">
        <f t="shared" si="35"/>
        <v>insert into ins_premium_det (premium_rcv_code,assorted_code, rec_amount,premium_rcv_detail_code,remaining_amt, payrec, mode_code,coinsurance_code,class_cd,it_remarks) values('30Dec240042','070000171991','32864',(select max(to_number(i.premium_rcv_detail_code))+1
from ins_premium_det i),'32864','32864','02', '11000003','00','Request by Mr. Saqib Saleem 31-Dec-2024 Active');</v>
      </c>
    </row>
    <row r="568" spans="1:8" ht="105" x14ac:dyDescent="0.25">
      <c r="A568" s="12" t="s">
        <v>11940</v>
      </c>
      <c r="B568" s="25" t="str">
        <f>VLOOKUP(A568,policy!B:C,2,0)</f>
        <v>070000171989</v>
      </c>
      <c r="C568" s="11">
        <v>25760</v>
      </c>
      <c r="D568" s="26">
        <f t="shared" si="33"/>
        <v>25760</v>
      </c>
      <c r="E568" s="24" t="s">
        <v>13296</v>
      </c>
      <c r="F568" s="27" t="str">
        <f t="shared" si="32"/>
        <v>insert into ins_premium_det (premium_rcv_code,assorted_code, rec_amount,premium_rcv_detail_code,remaining_amt, payrec, mode_code,coinsurance_code,class_cd,it_remarks) values</v>
      </c>
      <c r="G568" s="28" t="str">
        <f t="shared" si="34"/>
        <v>('30Dec240042','070000171989','25760',(select max(to_number(i.premium_rcv_detail_code))+1
from ins_premium_det i),'25760','25760','02', '11000003','00','Request by Mr. Saqib Saleem 31-Dec-2024 Active');</v>
      </c>
      <c r="H568" s="29" t="str">
        <f t="shared" si="35"/>
        <v>insert into ins_premium_det (premium_rcv_code,assorted_code, rec_amount,premium_rcv_detail_code,remaining_amt, payrec, mode_code,coinsurance_code,class_cd,it_remarks) values('30Dec240042','070000171989','25760',(select max(to_number(i.premium_rcv_detail_code))+1
from ins_premium_det i),'25760','25760','02', '11000003','00','Request by Mr. Saqib Saleem 31-Dec-2024 Active');</v>
      </c>
    </row>
    <row r="569" spans="1:8" ht="105" x14ac:dyDescent="0.25">
      <c r="A569" s="12" t="s">
        <v>11941</v>
      </c>
      <c r="B569" s="25" t="str">
        <f>VLOOKUP(A569,policy!B:C,2,0)</f>
        <v>070000171866</v>
      </c>
      <c r="C569" s="13">
        <v>26480</v>
      </c>
      <c r="D569" s="26">
        <f t="shared" si="33"/>
        <v>26480</v>
      </c>
      <c r="E569" s="24" t="s">
        <v>13296</v>
      </c>
      <c r="F569" s="27" t="str">
        <f t="shared" si="32"/>
        <v>insert into ins_premium_det (premium_rcv_code,assorted_code, rec_amount,premium_rcv_detail_code,remaining_amt, payrec, mode_code,coinsurance_code,class_cd,it_remarks) values</v>
      </c>
      <c r="G569" s="28" t="str">
        <f t="shared" si="34"/>
        <v>('30Dec240042','070000171866','26480',(select max(to_number(i.premium_rcv_detail_code))+1
from ins_premium_det i),'26480','26480','02', '11000003','00','Request by Mr. Saqib Saleem 31-Dec-2024 Active');</v>
      </c>
      <c r="H569" s="29" t="str">
        <f t="shared" si="35"/>
        <v>insert into ins_premium_det (premium_rcv_code,assorted_code, rec_amount,premium_rcv_detail_code,remaining_amt, payrec, mode_code,coinsurance_code,class_cd,it_remarks) values('30Dec240042','070000171866','26480',(select max(to_number(i.premium_rcv_detail_code))+1
from ins_premium_det i),'26480','26480','02', '11000003','00','Request by Mr. Saqib Saleem 31-Dec-2024 Active');</v>
      </c>
    </row>
    <row r="570" spans="1:8" ht="105" x14ac:dyDescent="0.25">
      <c r="A570" s="12" t="s">
        <v>11942</v>
      </c>
      <c r="B570" s="25" t="str">
        <f>VLOOKUP(A570,policy!B:C,2,0)</f>
        <v>070000171867</v>
      </c>
      <c r="C570" s="11">
        <v>38700</v>
      </c>
      <c r="D570" s="26">
        <f t="shared" si="33"/>
        <v>38700</v>
      </c>
      <c r="E570" s="24" t="s">
        <v>13296</v>
      </c>
      <c r="F570" s="27" t="str">
        <f t="shared" si="32"/>
        <v>insert into ins_premium_det (premium_rcv_code,assorted_code, rec_amount,premium_rcv_detail_code,remaining_amt, payrec, mode_code,coinsurance_code,class_cd,it_remarks) values</v>
      </c>
      <c r="G570" s="28" t="str">
        <f t="shared" si="34"/>
        <v>('30Dec240042','070000171867','38700',(select max(to_number(i.premium_rcv_detail_code))+1
from ins_premium_det i),'38700','38700','02', '11000003','00','Request by Mr. Saqib Saleem 31-Dec-2024 Active');</v>
      </c>
      <c r="H570" s="29" t="str">
        <f t="shared" si="35"/>
        <v>insert into ins_premium_det (premium_rcv_code,assorted_code, rec_amount,premium_rcv_detail_code,remaining_amt, payrec, mode_code,coinsurance_code,class_cd,it_remarks) values('30Dec240042','070000171867','38700',(select max(to_number(i.premium_rcv_detail_code))+1
from ins_premium_det i),'38700','38700','02', '11000003','00','Request by Mr. Saqib Saleem 31-Dec-2024 Active');</v>
      </c>
    </row>
    <row r="571" spans="1:8" ht="105" x14ac:dyDescent="0.25">
      <c r="A571" s="17" t="s">
        <v>12000</v>
      </c>
      <c r="B571" s="25" t="str">
        <f>VLOOKUP(A571,policy!B:C,2,0)</f>
        <v>070000171988</v>
      </c>
      <c r="C571" s="13">
        <v>29985</v>
      </c>
      <c r="D571" s="26">
        <f t="shared" si="33"/>
        <v>29985</v>
      </c>
      <c r="E571" s="24" t="s">
        <v>13296</v>
      </c>
      <c r="F571" s="27" t="str">
        <f t="shared" si="32"/>
        <v>insert into ins_premium_det (premium_rcv_code,assorted_code, rec_amount,premium_rcv_detail_code,remaining_amt, payrec, mode_code,coinsurance_code,class_cd,it_remarks) values</v>
      </c>
      <c r="G571" s="28" t="str">
        <f t="shared" si="34"/>
        <v>('30Dec240042','070000171988','29985',(select max(to_number(i.premium_rcv_detail_code))+1
from ins_premium_det i),'29985','29985','02', '11000003','00','Request by Mr. Saqib Saleem 31-Dec-2024 Active');</v>
      </c>
      <c r="H571" s="29" t="str">
        <f t="shared" si="35"/>
        <v>insert into ins_premium_det (premium_rcv_code,assorted_code, rec_amount,premium_rcv_detail_code,remaining_amt, payrec, mode_code,coinsurance_code,class_cd,it_remarks) values('30Dec240042','070000171988','29985',(select max(to_number(i.premium_rcv_detail_code))+1
from ins_premium_det i),'29985','29985','02', '11000003','00','Request by Mr. Saqib Saleem 31-Dec-2024 Active');</v>
      </c>
    </row>
    <row r="572" spans="1:8" ht="105" x14ac:dyDescent="0.25">
      <c r="A572" s="12" t="s">
        <v>11943</v>
      </c>
      <c r="B572" s="25" t="str">
        <f>VLOOKUP(A572,policy!B:C,2,0)</f>
        <v>070000171869</v>
      </c>
      <c r="C572" s="11">
        <v>44535</v>
      </c>
      <c r="D572" s="26">
        <f t="shared" si="33"/>
        <v>44535</v>
      </c>
      <c r="E572" s="24" t="s">
        <v>13296</v>
      </c>
      <c r="F572" s="27" t="str">
        <f t="shared" si="32"/>
        <v>insert into ins_premium_det (premium_rcv_code,assorted_code, rec_amount,premium_rcv_detail_code,remaining_amt, payrec, mode_code,coinsurance_code,class_cd,it_remarks) values</v>
      </c>
      <c r="G572" s="28" t="str">
        <f t="shared" si="34"/>
        <v>('30Dec240042','070000171869','44535',(select max(to_number(i.premium_rcv_detail_code))+1
from ins_premium_det i),'44535','44535','02', '11000003','00','Request by Mr. Saqib Saleem 31-Dec-2024 Active');</v>
      </c>
      <c r="H572" s="29" t="str">
        <f t="shared" si="35"/>
        <v>insert into ins_premium_det (premium_rcv_code,assorted_code, rec_amount,premium_rcv_detail_code,remaining_amt, payrec, mode_code,coinsurance_code,class_cd,it_remarks) values('30Dec240042','070000171869','44535',(select max(to_number(i.premium_rcv_detail_code))+1
from ins_premium_det i),'44535','44535','02', '11000003','00','Request by Mr. Saqib Saleem 31-Dec-2024 Active');</v>
      </c>
    </row>
    <row r="573" spans="1:8" ht="105" x14ac:dyDescent="0.25">
      <c r="A573" s="12" t="s">
        <v>11944</v>
      </c>
      <c r="B573" s="25" t="str">
        <f>VLOOKUP(A573,policy!B:C,2,0)</f>
        <v>070000171870</v>
      </c>
      <c r="C573" s="13">
        <v>37842</v>
      </c>
      <c r="D573" s="26">
        <f t="shared" si="33"/>
        <v>37842</v>
      </c>
      <c r="E573" s="24" t="s">
        <v>13296</v>
      </c>
      <c r="F573" s="27" t="str">
        <f t="shared" si="32"/>
        <v>insert into ins_premium_det (premium_rcv_code,assorted_code, rec_amount,premium_rcv_detail_code,remaining_amt, payrec, mode_code,coinsurance_code,class_cd,it_remarks) values</v>
      </c>
      <c r="G573" s="28" t="str">
        <f t="shared" si="34"/>
        <v>('30Dec240042','070000171870','37842',(select max(to_number(i.premium_rcv_detail_code))+1
from ins_premium_det i),'37842','37842','02', '11000003','00','Request by Mr. Saqib Saleem 31-Dec-2024 Active');</v>
      </c>
      <c r="H573" s="29" t="str">
        <f t="shared" si="35"/>
        <v>insert into ins_premium_det (premium_rcv_code,assorted_code, rec_amount,premium_rcv_detail_code,remaining_amt, payrec, mode_code,coinsurance_code,class_cd,it_remarks) values('30Dec240042','070000171870','37842',(select max(to_number(i.premium_rcv_detail_code))+1
from ins_premium_det i),'37842','37842','02', '11000003','00','Request by Mr. Saqib Saleem 31-Dec-2024 Active');</v>
      </c>
    </row>
    <row r="574" spans="1:8" ht="105" x14ac:dyDescent="0.25">
      <c r="A574" s="12" t="s">
        <v>11945</v>
      </c>
      <c r="B574" s="25" t="str">
        <f>VLOOKUP(A574,policy!B:C,2,0)</f>
        <v>070000171871</v>
      </c>
      <c r="C574" s="11">
        <v>42400</v>
      </c>
      <c r="D574" s="26">
        <f t="shared" si="33"/>
        <v>42400</v>
      </c>
      <c r="E574" s="24" t="s">
        <v>13296</v>
      </c>
      <c r="F574" s="27" t="str">
        <f t="shared" si="32"/>
        <v>insert into ins_premium_det (premium_rcv_code,assorted_code, rec_amount,premium_rcv_detail_code,remaining_amt, payrec, mode_code,coinsurance_code,class_cd,it_remarks) values</v>
      </c>
      <c r="G574" s="28" t="str">
        <f t="shared" si="34"/>
        <v>('30Dec240042','070000171871','42400',(select max(to_number(i.premium_rcv_detail_code))+1
from ins_premium_det i),'42400','42400','02', '11000003','00','Request by Mr. Saqib Saleem 31-Dec-2024 Active');</v>
      </c>
      <c r="H574" s="29" t="str">
        <f t="shared" si="35"/>
        <v>insert into ins_premium_det (premium_rcv_code,assorted_code, rec_amount,premium_rcv_detail_code,remaining_amt, payrec, mode_code,coinsurance_code,class_cd,it_remarks) values('30Dec240042','070000171871','42400',(select max(to_number(i.premium_rcv_detail_code))+1
from ins_premium_det i),'42400','42400','02', '11000003','00','Request by Mr. Saqib Saleem 31-Dec-2024 Active');</v>
      </c>
    </row>
    <row r="575" spans="1:8" ht="105" x14ac:dyDescent="0.25">
      <c r="A575" s="12" t="s">
        <v>11946</v>
      </c>
      <c r="B575" s="25" t="str">
        <f>VLOOKUP(A575,policy!B:C,2,0)</f>
        <v>070000171872</v>
      </c>
      <c r="C575" s="13">
        <v>62588</v>
      </c>
      <c r="D575" s="26">
        <f t="shared" si="33"/>
        <v>62588</v>
      </c>
      <c r="E575" s="24" t="s">
        <v>13296</v>
      </c>
      <c r="F575" s="27" t="str">
        <f t="shared" si="32"/>
        <v>insert into ins_premium_det (premium_rcv_code,assorted_code, rec_amount,premium_rcv_detail_code,remaining_amt, payrec, mode_code,coinsurance_code,class_cd,it_remarks) values</v>
      </c>
      <c r="G575" s="28" t="str">
        <f t="shared" si="34"/>
        <v>('30Dec240042','070000171872','62588',(select max(to_number(i.premium_rcv_detail_code))+1
from ins_premium_det i),'62588','62588','02', '11000003','00','Request by Mr. Saqib Saleem 31-Dec-2024 Active');</v>
      </c>
      <c r="H575" s="29" t="str">
        <f t="shared" si="35"/>
        <v>insert into ins_premium_det (premium_rcv_code,assorted_code, rec_amount,premium_rcv_detail_code,remaining_amt, payrec, mode_code,coinsurance_code,class_cd,it_remarks) values('30Dec240042','070000171872','62588',(select max(to_number(i.premium_rcv_detail_code))+1
from ins_premium_det i),'62588','62588','02', '11000003','00','Request by Mr. Saqib Saleem 31-Dec-2024 Active');</v>
      </c>
    </row>
    <row r="576" spans="1:8" ht="105" x14ac:dyDescent="0.25">
      <c r="A576" s="12" t="s">
        <v>11947</v>
      </c>
      <c r="B576" s="25" t="str">
        <f>VLOOKUP(A576,policy!B:C,2,0)</f>
        <v>070000171873</v>
      </c>
      <c r="C576" s="11">
        <v>49500</v>
      </c>
      <c r="D576" s="26">
        <f t="shared" si="33"/>
        <v>49500</v>
      </c>
      <c r="E576" s="24" t="s">
        <v>13296</v>
      </c>
      <c r="F576" s="27" t="str">
        <f t="shared" si="32"/>
        <v>insert into ins_premium_det (premium_rcv_code,assorted_code, rec_amount,premium_rcv_detail_code,remaining_amt, payrec, mode_code,coinsurance_code,class_cd,it_remarks) values</v>
      </c>
      <c r="G576" s="28" t="str">
        <f t="shared" si="34"/>
        <v>('30Dec240042','070000171873','49500',(select max(to_number(i.premium_rcv_detail_code))+1
from ins_premium_det i),'49500','49500','02', '11000003','00','Request by Mr. Saqib Saleem 31-Dec-2024 Active');</v>
      </c>
      <c r="H576" s="29" t="str">
        <f t="shared" si="35"/>
        <v>insert into ins_premium_det (premium_rcv_code,assorted_code, rec_amount,premium_rcv_detail_code,remaining_amt, payrec, mode_code,coinsurance_code,class_cd,it_remarks) values('30Dec240042','070000171873','49500',(select max(to_number(i.premium_rcv_detail_code))+1
from ins_premium_det i),'49500','49500','02', '11000003','00','Request by Mr. Saqib Saleem 31-Dec-2024 Active');</v>
      </c>
    </row>
    <row r="577" spans="1:8" ht="105" x14ac:dyDescent="0.25">
      <c r="A577" s="12" t="s">
        <v>11948</v>
      </c>
      <c r="B577" s="25" t="str">
        <f>VLOOKUP(A577,policy!B:C,2,0)</f>
        <v>070000171987</v>
      </c>
      <c r="C577" s="13">
        <v>25760</v>
      </c>
      <c r="D577" s="26">
        <f t="shared" si="33"/>
        <v>25760</v>
      </c>
      <c r="E577" s="24" t="s">
        <v>13296</v>
      </c>
      <c r="F577" s="27" t="str">
        <f t="shared" si="32"/>
        <v>insert into ins_premium_det (premium_rcv_code,assorted_code, rec_amount,premium_rcv_detail_code,remaining_amt, payrec, mode_code,coinsurance_code,class_cd,it_remarks) values</v>
      </c>
      <c r="G577" s="28" t="str">
        <f t="shared" si="34"/>
        <v>('30Dec240042','070000171987','25760',(select max(to_number(i.premium_rcv_detail_code))+1
from ins_premium_det i),'25760','25760','02', '11000003','00','Request by Mr. Saqib Saleem 31-Dec-2024 Active');</v>
      </c>
      <c r="H577" s="29" t="str">
        <f t="shared" si="35"/>
        <v>insert into ins_premium_det (premium_rcv_code,assorted_code, rec_amount,premium_rcv_detail_code,remaining_amt, payrec, mode_code,coinsurance_code,class_cd,it_remarks) values('30Dec240042','070000171987','25760',(select max(to_number(i.premium_rcv_detail_code))+1
from ins_premium_det i),'25760','25760','02', '11000003','00','Request by Mr. Saqib Saleem 31-Dec-2024 Active');</v>
      </c>
    </row>
    <row r="578" spans="1:8" ht="105" x14ac:dyDescent="0.25">
      <c r="A578" s="12" t="s">
        <v>11949</v>
      </c>
      <c r="B578" s="25" t="str">
        <f>VLOOKUP(A578,policy!B:C,2,0)</f>
        <v>070000171875</v>
      </c>
      <c r="C578" s="11">
        <v>39713</v>
      </c>
      <c r="D578" s="26">
        <f t="shared" si="33"/>
        <v>39713</v>
      </c>
      <c r="E578" s="24" t="s">
        <v>13296</v>
      </c>
      <c r="F578" s="27" t="str">
        <f t="shared" ref="F578:F624" si="3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578" s="28" t="str">
        <f t="shared" si="34"/>
        <v>('30Dec240042','070000171875','39713',(select max(to_number(i.premium_rcv_detail_code))+1
from ins_premium_det i),'39713','39713','02', '11000003','00','Request by Mr. Saqib Saleem 31-Dec-2024 Active');</v>
      </c>
      <c r="H578" s="29" t="str">
        <f t="shared" si="35"/>
        <v>insert into ins_premium_det (premium_rcv_code,assorted_code, rec_amount,premium_rcv_detail_code,remaining_amt, payrec, mode_code,coinsurance_code,class_cd,it_remarks) values('30Dec240042','070000171875','39713',(select max(to_number(i.premium_rcv_detail_code))+1
from ins_premium_det i),'39713','39713','02', '11000003','00','Request by Mr. Saqib Saleem 31-Dec-2024 Active');</v>
      </c>
    </row>
    <row r="579" spans="1:8" ht="105" x14ac:dyDescent="0.25">
      <c r="A579" s="12" t="s">
        <v>11950</v>
      </c>
      <c r="B579" s="25" t="str">
        <f>VLOOKUP(A579,policy!B:C,2,0)</f>
        <v>070000171876</v>
      </c>
      <c r="C579" s="13">
        <v>28500</v>
      </c>
      <c r="D579" s="26">
        <f t="shared" ref="D579:D624" si="37">ROUND(C579,0)</f>
        <v>28500</v>
      </c>
      <c r="E579" s="24" t="s">
        <v>13296</v>
      </c>
      <c r="F579" s="27" t="str">
        <f t="shared" si="36"/>
        <v>insert into ins_premium_det (premium_rcv_code,assorted_code, rec_amount,premium_rcv_detail_code,remaining_amt, payrec, mode_code,coinsurance_code,class_cd,it_remarks) values</v>
      </c>
      <c r="G579" s="28" t="str">
        <f t="shared" ref="G579:G624" si="38">"('"&amp;E579&amp;"','"&amp;B579&amp;"','"&amp;D579&amp;"',(select max(to_number(i.premium_rcv_detail_code))+1
from ins_premium_det i),'"&amp;D579&amp;"','"&amp;D579&amp;"','02', '11000003','00','Request by Mr. Saqib Saleem 31-Dec-2024 Active');"</f>
        <v>('30Dec240042','070000171876','28500',(select max(to_number(i.premium_rcv_detail_code))+1
from ins_premium_det i),'28500','28500','02', '11000003','00','Request by Mr. Saqib Saleem 31-Dec-2024 Active');</v>
      </c>
      <c r="H579" s="29" t="str">
        <f t="shared" ref="H579:H624" si="39">F579&amp;G579</f>
        <v>insert into ins_premium_det (premium_rcv_code,assorted_code, rec_amount,premium_rcv_detail_code,remaining_amt, payrec, mode_code,coinsurance_code,class_cd,it_remarks) values('30Dec240042','070000171876','28500',(select max(to_number(i.premium_rcv_detail_code))+1
from ins_premium_det i),'28500','28500','02', '11000003','00','Request by Mr. Saqib Saleem 31-Dec-2024 Active');</v>
      </c>
    </row>
    <row r="580" spans="1:8" ht="105" x14ac:dyDescent="0.25">
      <c r="A580" s="12" t="s">
        <v>11951</v>
      </c>
      <c r="B580" s="25" t="str">
        <f>VLOOKUP(A580,policy!B:C,2,0)</f>
        <v>070000171877</v>
      </c>
      <c r="C580" s="11">
        <v>39000</v>
      </c>
      <c r="D580" s="26">
        <f t="shared" si="37"/>
        <v>39000</v>
      </c>
      <c r="E580" s="24" t="s">
        <v>13296</v>
      </c>
      <c r="F580" s="27" t="str">
        <f t="shared" si="36"/>
        <v>insert into ins_premium_det (premium_rcv_code,assorted_code, rec_amount,premium_rcv_detail_code,remaining_amt, payrec, mode_code,coinsurance_code,class_cd,it_remarks) values</v>
      </c>
      <c r="G580" s="28" t="str">
        <f t="shared" si="38"/>
        <v>('30Dec240042','070000171877','39000',(select max(to_number(i.premium_rcv_detail_code))+1
from ins_premium_det i),'39000','39000','02', '11000003','00','Request by Mr. Saqib Saleem 31-Dec-2024 Active');</v>
      </c>
      <c r="H580" s="29" t="str">
        <f t="shared" si="39"/>
        <v>insert into ins_premium_det (premium_rcv_code,assorted_code, rec_amount,premium_rcv_detail_code,remaining_amt, payrec, mode_code,coinsurance_code,class_cd,it_remarks) values('30Dec240042','070000171877','39000',(select max(to_number(i.premium_rcv_detail_code))+1
from ins_premium_det i),'39000','39000','02', '11000003','00','Request by Mr. Saqib Saleem 31-Dec-2024 Active');</v>
      </c>
    </row>
    <row r="581" spans="1:8" ht="105" x14ac:dyDescent="0.25">
      <c r="A581" s="12" t="s">
        <v>11952</v>
      </c>
      <c r="B581" s="25" t="str">
        <f>VLOOKUP(A581,policy!B:C,2,0)</f>
        <v>070000171982</v>
      </c>
      <c r="C581" s="13">
        <v>43628</v>
      </c>
      <c r="D581" s="26">
        <f t="shared" si="37"/>
        <v>43628</v>
      </c>
      <c r="E581" s="24" t="s">
        <v>13296</v>
      </c>
      <c r="F581" s="27" t="str">
        <f t="shared" si="36"/>
        <v>insert into ins_premium_det (premium_rcv_code,assorted_code, rec_amount,premium_rcv_detail_code,remaining_amt, payrec, mode_code,coinsurance_code,class_cd,it_remarks) values</v>
      </c>
      <c r="G581" s="28" t="str">
        <f t="shared" si="38"/>
        <v>('30Dec240042','070000171982','43628',(select max(to_number(i.premium_rcv_detail_code))+1
from ins_premium_det i),'43628','43628','02', '11000003','00','Request by Mr. Saqib Saleem 31-Dec-2024 Active');</v>
      </c>
      <c r="H581" s="29" t="str">
        <f t="shared" si="39"/>
        <v>insert into ins_premium_det (premium_rcv_code,assorted_code, rec_amount,premium_rcv_detail_code,remaining_amt, payrec, mode_code,coinsurance_code,class_cd,it_remarks) values('30Dec240042','070000171982','43628',(select max(to_number(i.premium_rcv_detail_code))+1
from ins_premium_det i),'43628','43628','02', '11000003','00','Request by Mr. Saqib Saleem 31-Dec-2024 Active');</v>
      </c>
    </row>
    <row r="582" spans="1:8" ht="105" x14ac:dyDescent="0.25">
      <c r="A582" s="12" t="s">
        <v>11953</v>
      </c>
      <c r="B582" s="25" t="str">
        <f>VLOOKUP(A582,policy!B:C,2,0)</f>
        <v>070000171879</v>
      </c>
      <c r="C582" s="11">
        <v>73760</v>
      </c>
      <c r="D582" s="26">
        <f t="shared" si="37"/>
        <v>73760</v>
      </c>
      <c r="E582" s="24" t="s">
        <v>13296</v>
      </c>
      <c r="F582" s="27" t="str">
        <f t="shared" si="36"/>
        <v>insert into ins_premium_det (premium_rcv_code,assorted_code, rec_amount,premium_rcv_detail_code,remaining_amt, payrec, mode_code,coinsurance_code,class_cd,it_remarks) values</v>
      </c>
      <c r="G582" s="28" t="str">
        <f t="shared" si="38"/>
        <v>('30Dec240042','070000171879','73760',(select max(to_number(i.premium_rcv_detail_code))+1
from ins_premium_det i),'73760','73760','02', '11000003','00','Request by Mr. Saqib Saleem 31-Dec-2024 Active');</v>
      </c>
      <c r="H582" s="29" t="str">
        <f t="shared" si="39"/>
        <v>insert into ins_premium_det (premium_rcv_code,assorted_code, rec_amount,premium_rcv_detail_code,remaining_amt, payrec, mode_code,coinsurance_code,class_cd,it_remarks) values('30Dec240042','070000171879','73760',(select max(to_number(i.premium_rcv_detail_code))+1
from ins_premium_det i),'73760','73760','02', '11000003','00','Request by Mr. Saqib Saleem 31-Dec-2024 Active');</v>
      </c>
    </row>
    <row r="583" spans="1:8" ht="105" x14ac:dyDescent="0.25">
      <c r="A583" s="12" t="s">
        <v>11954</v>
      </c>
      <c r="B583" s="25" t="str">
        <f>VLOOKUP(A583,policy!B:C,2,0)</f>
        <v>070000171882</v>
      </c>
      <c r="C583" s="13">
        <v>21495</v>
      </c>
      <c r="D583" s="26">
        <f t="shared" si="37"/>
        <v>21495</v>
      </c>
      <c r="E583" s="24" t="s">
        <v>13296</v>
      </c>
      <c r="F583" s="27" t="str">
        <f t="shared" si="36"/>
        <v>insert into ins_premium_det (premium_rcv_code,assorted_code, rec_amount,premium_rcv_detail_code,remaining_amt, payrec, mode_code,coinsurance_code,class_cd,it_remarks) values</v>
      </c>
      <c r="G583" s="28" t="str">
        <f t="shared" si="38"/>
        <v>('30Dec240042','070000171882','21495',(select max(to_number(i.premium_rcv_detail_code))+1
from ins_premium_det i),'21495','21495','02', '11000003','00','Request by Mr. Saqib Saleem 31-Dec-2024 Active');</v>
      </c>
      <c r="H583" s="29" t="str">
        <f t="shared" si="39"/>
        <v>insert into ins_premium_det (premium_rcv_code,assorted_code, rec_amount,premium_rcv_detail_code,remaining_amt, payrec, mode_code,coinsurance_code,class_cd,it_remarks) values('30Dec240042','070000171882','21495',(select max(to_number(i.premium_rcv_detail_code))+1
from ins_premium_det i),'21495','21495','02', '11000003','00','Request by Mr. Saqib Saleem 31-Dec-2024 Active');</v>
      </c>
    </row>
    <row r="584" spans="1:8" ht="105" x14ac:dyDescent="0.25">
      <c r="A584" s="12" t="s">
        <v>11955</v>
      </c>
      <c r="B584" s="25" t="str">
        <f>VLOOKUP(A584,policy!B:C,2,0)</f>
        <v>070000171980</v>
      </c>
      <c r="C584" s="11">
        <v>41738</v>
      </c>
      <c r="D584" s="26">
        <f t="shared" si="37"/>
        <v>41738</v>
      </c>
      <c r="E584" s="24" t="s">
        <v>13296</v>
      </c>
      <c r="F584" s="27" t="str">
        <f t="shared" si="36"/>
        <v>insert into ins_premium_det (premium_rcv_code,assorted_code, rec_amount,premium_rcv_detail_code,remaining_amt, payrec, mode_code,coinsurance_code,class_cd,it_remarks) values</v>
      </c>
      <c r="G584" s="28" t="str">
        <f t="shared" si="38"/>
        <v>('30Dec240042','070000171980','41738',(select max(to_number(i.premium_rcv_detail_code))+1
from ins_premium_det i),'41738','41738','02', '11000003','00','Request by Mr. Saqib Saleem 31-Dec-2024 Active');</v>
      </c>
      <c r="H584" s="29" t="str">
        <f t="shared" si="39"/>
        <v>insert into ins_premium_det (premium_rcv_code,assorted_code, rec_amount,premium_rcv_detail_code,remaining_amt, payrec, mode_code,coinsurance_code,class_cd,it_remarks) values('30Dec240042','070000171980','41738',(select max(to_number(i.premium_rcv_detail_code))+1
from ins_premium_det i),'41738','41738','02', '11000003','00','Request by Mr. Saqib Saleem 31-Dec-2024 Active');</v>
      </c>
    </row>
    <row r="585" spans="1:8" ht="105" x14ac:dyDescent="0.25">
      <c r="A585" s="12" t="s">
        <v>11956</v>
      </c>
      <c r="B585" s="25" t="str">
        <f>VLOOKUP(A585,policy!B:C,2,0)</f>
        <v>070000171884</v>
      </c>
      <c r="C585" s="13">
        <v>27975</v>
      </c>
      <c r="D585" s="26">
        <f t="shared" si="37"/>
        <v>27975</v>
      </c>
      <c r="E585" s="24" t="s">
        <v>13296</v>
      </c>
      <c r="F585" s="27" t="str">
        <f t="shared" si="36"/>
        <v>insert into ins_premium_det (premium_rcv_code,assorted_code, rec_amount,premium_rcv_detail_code,remaining_amt, payrec, mode_code,coinsurance_code,class_cd,it_remarks) values</v>
      </c>
      <c r="G585" s="28" t="str">
        <f t="shared" si="38"/>
        <v>('30Dec240042','070000171884','27975',(select max(to_number(i.premium_rcv_detail_code))+1
from ins_premium_det i),'27975','27975','02', '11000003','00','Request by Mr. Saqib Saleem 31-Dec-2024 Active');</v>
      </c>
      <c r="H585" s="29" t="str">
        <f t="shared" si="39"/>
        <v>insert into ins_premium_det (premium_rcv_code,assorted_code, rec_amount,premium_rcv_detail_code,remaining_amt, payrec, mode_code,coinsurance_code,class_cd,it_remarks) values('30Dec240042','070000171884','27975',(select max(to_number(i.premium_rcv_detail_code))+1
from ins_premium_det i),'27975','27975','02', '11000003','00','Request by Mr. Saqib Saleem 31-Dec-2024 Active');</v>
      </c>
    </row>
    <row r="586" spans="1:8" ht="105" x14ac:dyDescent="0.25">
      <c r="A586" s="12" t="s">
        <v>11957</v>
      </c>
      <c r="B586" s="25" t="str">
        <f>VLOOKUP(A586,policy!B:C,2,0)</f>
        <v>070000171885</v>
      </c>
      <c r="C586" s="11">
        <v>44760</v>
      </c>
      <c r="D586" s="26">
        <f t="shared" si="37"/>
        <v>44760</v>
      </c>
      <c r="E586" s="24" t="s">
        <v>13296</v>
      </c>
      <c r="F586" s="27" t="str">
        <f t="shared" si="36"/>
        <v>insert into ins_premium_det (premium_rcv_code,assorted_code, rec_amount,premium_rcv_detail_code,remaining_amt, payrec, mode_code,coinsurance_code,class_cd,it_remarks) values</v>
      </c>
      <c r="G586" s="28" t="str">
        <f t="shared" si="38"/>
        <v>('30Dec240042','070000171885','44760',(select max(to_number(i.premium_rcv_detail_code))+1
from ins_premium_det i),'44760','44760','02', '11000003','00','Request by Mr. Saqib Saleem 31-Dec-2024 Active');</v>
      </c>
      <c r="H586" s="29" t="str">
        <f t="shared" si="39"/>
        <v>insert into ins_premium_det (premium_rcv_code,assorted_code, rec_amount,premium_rcv_detail_code,remaining_amt, payrec, mode_code,coinsurance_code,class_cd,it_remarks) values('30Dec240042','070000171885','44760',(select max(to_number(i.premium_rcv_detail_code))+1
from ins_premium_det i),'44760','44760','02', '11000003','00','Request by Mr. Saqib Saleem 31-Dec-2024 Active');</v>
      </c>
    </row>
    <row r="587" spans="1:8" ht="105" x14ac:dyDescent="0.25">
      <c r="A587" s="12" t="s">
        <v>11958</v>
      </c>
      <c r="B587" s="25" t="str">
        <f>VLOOKUP(A587,policy!B:C,2,0)</f>
        <v>070000171886</v>
      </c>
      <c r="C587" s="13">
        <v>55463</v>
      </c>
      <c r="D587" s="26">
        <f t="shared" si="37"/>
        <v>55463</v>
      </c>
      <c r="E587" s="24" t="s">
        <v>13296</v>
      </c>
      <c r="F587" s="27" t="str">
        <f t="shared" si="36"/>
        <v>insert into ins_premium_det (premium_rcv_code,assorted_code, rec_amount,premium_rcv_detail_code,remaining_amt, payrec, mode_code,coinsurance_code,class_cd,it_remarks) values</v>
      </c>
      <c r="G587" s="28" t="str">
        <f t="shared" si="38"/>
        <v>('30Dec240042','070000171886','55463',(select max(to_number(i.premium_rcv_detail_code))+1
from ins_premium_det i),'55463','55463','02', '11000003','00','Request by Mr. Saqib Saleem 31-Dec-2024 Active');</v>
      </c>
      <c r="H587" s="29" t="str">
        <f t="shared" si="39"/>
        <v>insert into ins_premium_det (premium_rcv_code,assorted_code, rec_amount,premium_rcv_detail_code,remaining_amt, payrec, mode_code,coinsurance_code,class_cd,it_remarks) values('30Dec240042','070000171886','55463',(select max(to_number(i.premium_rcv_detail_code))+1
from ins_premium_det i),'55463','55463','02', '11000003','00','Request by Mr. Saqib Saleem 31-Dec-2024 Active');</v>
      </c>
    </row>
    <row r="588" spans="1:8" ht="105" x14ac:dyDescent="0.25">
      <c r="A588" s="12" t="s">
        <v>11959</v>
      </c>
      <c r="B588" s="25" t="str">
        <f>VLOOKUP(A588,policy!B:C,2,0)</f>
        <v>070000171887</v>
      </c>
      <c r="C588" s="11">
        <v>61905</v>
      </c>
      <c r="D588" s="26">
        <f t="shared" si="37"/>
        <v>61905</v>
      </c>
      <c r="E588" s="24" t="s">
        <v>13296</v>
      </c>
      <c r="F588" s="27" t="str">
        <f t="shared" si="36"/>
        <v>insert into ins_premium_det (premium_rcv_code,assorted_code, rec_amount,premium_rcv_detail_code,remaining_amt, payrec, mode_code,coinsurance_code,class_cd,it_remarks) values</v>
      </c>
      <c r="G588" s="28" t="str">
        <f t="shared" si="38"/>
        <v>('30Dec240042','070000171887','61905',(select max(to_number(i.premium_rcv_detail_code))+1
from ins_premium_det i),'61905','61905','02', '11000003','00','Request by Mr. Saqib Saleem 31-Dec-2024 Active');</v>
      </c>
      <c r="H588" s="29" t="str">
        <f t="shared" si="39"/>
        <v>insert into ins_premium_det (premium_rcv_code,assorted_code, rec_amount,premium_rcv_detail_code,remaining_amt, payrec, mode_code,coinsurance_code,class_cd,it_remarks) values('30Dec240042','070000171887','61905',(select max(to_number(i.premium_rcv_detail_code))+1
from ins_premium_det i),'61905','61905','02', '11000003','00','Request by Mr. Saqib Saleem 31-Dec-2024 Active');</v>
      </c>
    </row>
    <row r="589" spans="1:8" ht="105" x14ac:dyDescent="0.25">
      <c r="A589" s="12" t="s">
        <v>11960</v>
      </c>
      <c r="B589" s="25" t="str">
        <f>VLOOKUP(A589,policy!B:C,2,0)</f>
        <v>070000171888</v>
      </c>
      <c r="C589" s="13">
        <v>46429</v>
      </c>
      <c r="D589" s="26">
        <f t="shared" si="37"/>
        <v>46429</v>
      </c>
      <c r="E589" s="24" t="s">
        <v>13296</v>
      </c>
      <c r="F589" s="27" t="str">
        <f t="shared" si="36"/>
        <v>insert into ins_premium_det (premium_rcv_code,assorted_code, rec_amount,premium_rcv_detail_code,remaining_amt, payrec, mode_code,coinsurance_code,class_cd,it_remarks) values</v>
      </c>
      <c r="G589" s="28" t="str">
        <f t="shared" si="38"/>
        <v>('30Dec240042','070000171888','46429',(select max(to_number(i.premium_rcv_detail_code))+1
from ins_premium_det i),'46429','46429','02', '11000003','00','Request by Mr. Saqib Saleem 31-Dec-2024 Active');</v>
      </c>
      <c r="H589" s="29" t="str">
        <f t="shared" si="39"/>
        <v>insert into ins_premium_det (premium_rcv_code,assorted_code, rec_amount,premium_rcv_detail_code,remaining_amt, payrec, mode_code,coinsurance_code,class_cd,it_remarks) values('30Dec240042','070000171888','46429',(select max(to_number(i.premium_rcv_detail_code))+1
from ins_premium_det i),'46429','46429','02', '11000003','00','Request by Mr. Saqib Saleem 31-Dec-2024 Active');</v>
      </c>
    </row>
    <row r="590" spans="1:8" ht="105" x14ac:dyDescent="0.25">
      <c r="A590" s="12" t="s">
        <v>11961</v>
      </c>
      <c r="B590" s="25" t="str">
        <f>VLOOKUP(A590,policy!B:C,2,0)</f>
        <v>070000171889</v>
      </c>
      <c r="C590" s="11">
        <v>80985</v>
      </c>
      <c r="D590" s="26">
        <f t="shared" si="37"/>
        <v>80985</v>
      </c>
      <c r="E590" s="24" t="s">
        <v>13296</v>
      </c>
      <c r="F590" s="27" t="str">
        <f t="shared" si="36"/>
        <v>insert into ins_premium_det (premium_rcv_code,assorted_code, rec_amount,premium_rcv_detail_code,remaining_amt, payrec, mode_code,coinsurance_code,class_cd,it_remarks) values</v>
      </c>
      <c r="G590" s="28" t="str">
        <f t="shared" si="38"/>
        <v>('30Dec240042','070000171889','80985',(select max(to_number(i.premium_rcv_detail_code))+1
from ins_premium_det i),'80985','80985','02', '11000003','00','Request by Mr. Saqib Saleem 31-Dec-2024 Active');</v>
      </c>
      <c r="H590" s="29" t="str">
        <f t="shared" si="39"/>
        <v>insert into ins_premium_det (premium_rcv_code,assorted_code, rec_amount,premium_rcv_detail_code,remaining_amt, payrec, mode_code,coinsurance_code,class_cd,it_remarks) values('30Dec240042','070000171889','80985',(select max(to_number(i.premium_rcv_detail_code))+1
from ins_premium_det i),'80985','80985','02', '11000003','00','Request by Mr. Saqib Saleem 31-Dec-2024 Active');</v>
      </c>
    </row>
    <row r="591" spans="1:8" ht="105" x14ac:dyDescent="0.25">
      <c r="A591" s="12" t="s">
        <v>11962</v>
      </c>
      <c r="B591" s="25" t="str">
        <f>VLOOKUP(A591,policy!B:C,2,0)</f>
        <v>070000171890</v>
      </c>
      <c r="C591" s="13">
        <v>61875</v>
      </c>
      <c r="D591" s="26">
        <f t="shared" si="37"/>
        <v>61875</v>
      </c>
      <c r="E591" s="24" t="s">
        <v>13296</v>
      </c>
      <c r="F591" s="27" t="str">
        <f t="shared" si="36"/>
        <v>insert into ins_premium_det (premium_rcv_code,assorted_code, rec_amount,premium_rcv_detail_code,remaining_amt, payrec, mode_code,coinsurance_code,class_cd,it_remarks) values</v>
      </c>
      <c r="G591" s="28" t="str">
        <f t="shared" si="38"/>
        <v>('30Dec240042','070000171890','61875',(select max(to_number(i.premium_rcv_detail_code))+1
from ins_premium_det i),'61875','61875','02', '11000003','00','Request by Mr. Saqib Saleem 31-Dec-2024 Active');</v>
      </c>
      <c r="H591" s="29" t="str">
        <f t="shared" si="39"/>
        <v>insert into ins_premium_det (premium_rcv_code,assorted_code, rec_amount,premium_rcv_detail_code,remaining_amt, payrec, mode_code,coinsurance_code,class_cd,it_remarks) values('30Dec240042','070000171890','61875',(select max(to_number(i.premium_rcv_detail_code))+1
from ins_premium_det i),'61875','61875','02', '11000003','00','Request by Mr. Saqib Saleem 31-Dec-2024 Active');</v>
      </c>
    </row>
    <row r="592" spans="1:8" ht="105" x14ac:dyDescent="0.25">
      <c r="A592" s="12" t="s">
        <v>11963</v>
      </c>
      <c r="B592" s="25" t="str">
        <f>VLOOKUP(A592,policy!B:C,2,0)</f>
        <v>070000171892</v>
      </c>
      <c r="C592" s="11">
        <v>46226</v>
      </c>
      <c r="D592" s="26">
        <f t="shared" si="37"/>
        <v>46226</v>
      </c>
      <c r="E592" s="24" t="s">
        <v>13296</v>
      </c>
      <c r="F592" s="27" t="str">
        <f t="shared" si="36"/>
        <v>insert into ins_premium_det (premium_rcv_code,assorted_code, rec_amount,premium_rcv_detail_code,remaining_amt, payrec, mode_code,coinsurance_code,class_cd,it_remarks) values</v>
      </c>
      <c r="G592" s="28" t="str">
        <f t="shared" si="38"/>
        <v>('30Dec240042','070000171892','46226',(select max(to_number(i.premium_rcv_detail_code))+1
from ins_premium_det i),'46226','46226','02', '11000003','00','Request by Mr. Saqib Saleem 31-Dec-2024 Active');</v>
      </c>
      <c r="H592" s="29" t="str">
        <f t="shared" si="39"/>
        <v>insert into ins_premium_det (premium_rcv_code,assorted_code, rec_amount,premium_rcv_detail_code,remaining_amt, payrec, mode_code,coinsurance_code,class_cd,it_remarks) values('30Dec240042','070000171892','46226',(select max(to_number(i.premium_rcv_detail_code))+1
from ins_premium_det i),'46226','46226','02', '11000003','00','Request by Mr. Saqib Saleem 31-Dec-2024 Active');</v>
      </c>
    </row>
    <row r="593" spans="1:8" ht="105" x14ac:dyDescent="0.25">
      <c r="A593" s="12" t="s">
        <v>11964</v>
      </c>
      <c r="B593" s="25" t="str">
        <f>VLOOKUP(A593,policy!B:C,2,0)</f>
        <v>070000171894</v>
      </c>
      <c r="C593" s="13">
        <v>19143</v>
      </c>
      <c r="D593" s="26">
        <f t="shared" si="37"/>
        <v>19143</v>
      </c>
      <c r="E593" s="24" t="s">
        <v>13296</v>
      </c>
      <c r="F593" s="27" t="str">
        <f t="shared" si="36"/>
        <v>insert into ins_premium_det (premium_rcv_code,assorted_code, rec_amount,premium_rcv_detail_code,remaining_amt, payrec, mode_code,coinsurance_code,class_cd,it_remarks) values</v>
      </c>
      <c r="G593" s="28" t="str">
        <f t="shared" si="38"/>
        <v>('30Dec240042','070000171894','19143',(select max(to_number(i.premium_rcv_detail_code))+1
from ins_premium_det i),'19143','19143','02', '11000003','00','Request by Mr. Saqib Saleem 31-Dec-2024 Active');</v>
      </c>
      <c r="H593" s="29" t="str">
        <f t="shared" si="39"/>
        <v>insert into ins_premium_det (premium_rcv_code,assorted_code, rec_amount,premium_rcv_detail_code,remaining_amt, payrec, mode_code,coinsurance_code,class_cd,it_remarks) values('30Dec240042','070000171894','19143',(select max(to_number(i.premium_rcv_detail_code))+1
from ins_premium_det i),'19143','19143','02', '11000003','00','Request by Mr. Saqib Saleem 31-Dec-2024 Active');</v>
      </c>
    </row>
    <row r="594" spans="1:8" ht="105" x14ac:dyDescent="0.25">
      <c r="A594" s="12" t="s">
        <v>11965</v>
      </c>
      <c r="B594" s="25" t="str">
        <f>VLOOKUP(A594,policy!B:C,2,0)</f>
        <v>070000171973</v>
      </c>
      <c r="C594" s="11">
        <v>128333</v>
      </c>
      <c r="D594" s="26">
        <f t="shared" si="37"/>
        <v>128333</v>
      </c>
      <c r="E594" s="24" t="s">
        <v>13296</v>
      </c>
      <c r="F594" s="27" t="str">
        <f t="shared" si="36"/>
        <v>insert into ins_premium_det (premium_rcv_code,assorted_code, rec_amount,premium_rcv_detail_code,remaining_amt, payrec, mode_code,coinsurance_code,class_cd,it_remarks) values</v>
      </c>
      <c r="G594" s="28" t="str">
        <f t="shared" si="38"/>
        <v>('30Dec240042','070000171973','128333',(select max(to_number(i.premium_rcv_detail_code))+1
from ins_premium_det i),'128333','128333','02', '11000003','00','Request by Mr. Saqib Saleem 31-Dec-2024 Active');</v>
      </c>
      <c r="H594" s="29" t="str">
        <f t="shared" si="39"/>
        <v>insert into ins_premium_det (premium_rcv_code,assorted_code, rec_amount,premium_rcv_detail_code,remaining_amt, payrec, mode_code,coinsurance_code,class_cd,it_remarks) values('30Dec240042','070000171973','128333',(select max(to_number(i.premium_rcv_detail_code))+1
from ins_premium_det i),'128333','128333','02', '11000003','00','Request by Mr. Saqib Saleem 31-Dec-2024 Active');</v>
      </c>
    </row>
    <row r="595" spans="1:8" ht="105" x14ac:dyDescent="0.25">
      <c r="A595" s="12" t="s">
        <v>11966</v>
      </c>
      <c r="B595" s="25" t="str">
        <f>VLOOKUP(A595,policy!B:C,2,0)</f>
        <v>070000171965</v>
      </c>
      <c r="C595" s="13">
        <v>46932</v>
      </c>
      <c r="D595" s="26">
        <f t="shared" si="37"/>
        <v>46932</v>
      </c>
      <c r="E595" s="24" t="s">
        <v>13296</v>
      </c>
      <c r="F595" s="27" t="str">
        <f t="shared" si="36"/>
        <v>insert into ins_premium_det (premium_rcv_code,assorted_code, rec_amount,premium_rcv_detail_code,remaining_amt, payrec, mode_code,coinsurance_code,class_cd,it_remarks) values</v>
      </c>
      <c r="G595" s="28" t="str">
        <f t="shared" si="38"/>
        <v>('30Dec240042','070000171965','46932',(select max(to_number(i.premium_rcv_detail_code))+1
from ins_premium_det i),'46932','46932','02', '11000003','00','Request by Mr. Saqib Saleem 31-Dec-2024 Active');</v>
      </c>
      <c r="H595" s="29" t="str">
        <f t="shared" si="39"/>
        <v>insert into ins_premium_det (premium_rcv_code,assorted_code, rec_amount,premium_rcv_detail_code,remaining_amt, payrec, mode_code,coinsurance_code,class_cd,it_remarks) values('30Dec240042','070000171965','46932',(select max(to_number(i.premium_rcv_detail_code))+1
from ins_premium_det i),'46932','46932','02', '11000003','00','Request by Mr. Saqib Saleem 31-Dec-2024 Active');</v>
      </c>
    </row>
    <row r="596" spans="1:8" ht="105" x14ac:dyDescent="0.25">
      <c r="A596" s="12" t="s">
        <v>11967</v>
      </c>
      <c r="B596" s="25" t="str">
        <f>VLOOKUP(A596,policy!B:C,2,0)</f>
        <v>070000171964</v>
      </c>
      <c r="C596" s="11">
        <v>50984</v>
      </c>
      <c r="D596" s="26">
        <f t="shared" si="37"/>
        <v>50984</v>
      </c>
      <c r="E596" s="24" t="s">
        <v>13296</v>
      </c>
      <c r="F596" s="27" t="str">
        <f t="shared" si="36"/>
        <v>insert into ins_premium_det (premium_rcv_code,assorted_code, rec_amount,premium_rcv_detail_code,remaining_amt, payrec, mode_code,coinsurance_code,class_cd,it_remarks) values</v>
      </c>
      <c r="G596" s="28" t="str">
        <f t="shared" si="38"/>
        <v>('30Dec240042','070000171964','50984',(select max(to_number(i.premium_rcv_detail_code))+1
from ins_premium_det i),'50984','50984','02', '11000003','00','Request by Mr. Saqib Saleem 31-Dec-2024 Active');</v>
      </c>
      <c r="H596" s="29" t="str">
        <f t="shared" si="39"/>
        <v>insert into ins_premium_det (premium_rcv_code,assorted_code, rec_amount,premium_rcv_detail_code,remaining_amt, payrec, mode_code,coinsurance_code,class_cd,it_remarks) values('30Dec240042','070000171964','50984',(select max(to_number(i.premium_rcv_detail_code))+1
from ins_premium_det i),'50984','50984','02', '11000003','00','Request by Mr. Saqib Saleem 31-Dec-2024 Active');</v>
      </c>
    </row>
    <row r="597" spans="1:8" ht="105" x14ac:dyDescent="0.25">
      <c r="A597" s="12" t="s">
        <v>11968</v>
      </c>
      <c r="B597" s="25" t="str">
        <f>VLOOKUP(A597,policy!B:C,2,0)</f>
        <v>070000171963</v>
      </c>
      <c r="C597" s="13">
        <v>50984</v>
      </c>
      <c r="D597" s="26">
        <f t="shared" si="37"/>
        <v>50984</v>
      </c>
      <c r="E597" s="24" t="s">
        <v>13296</v>
      </c>
      <c r="F597" s="27" t="str">
        <f t="shared" si="36"/>
        <v>insert into ins_premium_det (premium_rcv_code,assorted_code, rec_amount,premium_rcv_detail_code,remaining_amt, payrec, mode_code,coinsurance_code,class_cd,it_remarks) values</v>
      </c>
      <c r="G597" s="28" t="str">
        <f t="shared" si="38"/>
        <v>('30Dec240042','070000171963','50984',(select max(to_number(i.premium_rcv_detail_code))+1
from ins_premium_det i),'50984','50984','02', '11000003','00','Request by Mr. Saqib Saleem 31-Dec-2024 Active');</v>
      </c>
      <c r="H597" s="29" t="str">
        <f t="shared" si="39"/>
        <v>insert into ins_premium_det (premium_rcv_code,assorted_code, rec_amount,premium_rcv_detail_code,remaining_amt, payrec, mode_code,coinsurance_code,class_cd,it_remarks) values('30Dec240042','070000171963','50984',(select max(to_number(i.premium_rcv_detail_code))+1
from ins_premium_det i),'50984','50984','02', '11000003','00','Request by Mr. Saqib Saleem 31-Dec-2024 Active');</v>
      </c>
    </row>
    <row r="598" spans="1:8" ht="105" x14ac:dyDescent="0.25">
      <c r="A598" s="12" t="s">
        <v>11969</v>
      </c>
      <c r="B598" s="25" t="str">
        <f>VLOOKUP(A598,policy!B:C,2,0)</f>
        <v>070000171961</v>
      </c>
      <c r="C598" s="11">
        <v>58995</v>
      </c>
      <c r="D598" s="26">
        <f t="shared" si="37"/>
        <v>58995</v>
      </c>
      <c r="E598" s="24" t="s">
        <v>13296</v>
      </c>
      <c r="F598" s="27" t="str">
        <f t="shared" si="36"/>
        <v>insert into ins_premium_det (premium_rcv_code,assorted_code, rec_amount,premium_rcv_detail_code,remaining_amt, payrec, mode_code,coinsurance_code,class_cd,it_remarks) values</v>
      </c>
      <c r="G598" s="28" t="str">
        <f t="shared" si="38"/>
        <v>('30Dec240042','070000171961','58995',(select max(to_number(i.premium_rcv_detail_code))+1
from ins_premium_det i),'58995','58995','02', '11000003','00','Request by Mr. Saqib Saleem 31-Dec-2024 Active');</v>
      </c>
      <c r="H598" s="29" t="str">
        <f t="shared" si="39"/>
        <v>insert into ins_premium_det (premium_rcv_code,assorted_code, rec_amount,premium_rcv_detail_code,remaining_amt, payrec, mode_code,coinsurance_code,class_cd,it_remarks) values('30Dec240042','070000171961','58995',(select max(to_number(i.premium_rcv_detail_code))+1
from ins_premium_det i),'58995','58995','02', '11000003','00','Request by Mr. Saqib Saleem 31-Dec-2024 Active');</v>
      </c>
    </row>
    <row r="599" spans="1:8" ht="105" x14ac:dyDescent="0.25">
      <c r="A599" s="12" t="s">
        <v>11970</v>
      </c>
      <c r="B599" s="25" t="str">
        <f>VLOOKUP(A599,policy!B:C,2,0)</f>
        <v>070000171959</v>
      </c>
      <c r="C599" s="13">
        <v>43248</v>
      </c>
      <c r="D599" s="26">
        <f t="shared" si="37"/>
        <v>43248</v>
      </c>
      <c r="E599" s="24" t="s">
        <v>13296</v>
      </c>
      <c r="F599" s="27" t="str">
        <f t="shared" si="36"/>
        <v>insert into ins_premium_det (premium_rcv_code,assorted_code, rec_amount,premium_rcv_detail_code,remaining_amt, payrec, mode_code,coinsurance_code,class_cd,it_remarks) values</v>
      </c>
      <c r="G599" s="28" t="str">
        <f t="shared" si="38"/>
        <v>('30Dec240042','070000171959','43248',(select max(to_number(i.premium_rcv_detail_code))+1
from ins_premium_det i),'43248','43248','02', '11000003','00','Request by Mr. Saqib Saleem 31-Dec-2024 Active');</v>
      </c>
      <c r="H599" s="29" t="str">
        <f t="shared" si="39"/>
        <v>insert into ins_premium_det (premium_rcv_code,assorted_code, rec_amount,premium_rcv_detail_code,remaining_amt, payrec, mode_code,coinsurance_code,class_cd,it_remarks) values('30Dec240042','070000171959','43248',(select max(to_number(i.premium_rcv_detail_code))+1
from ins_premium_det i),'43248','43248','02', '11000003','00','Request by Mr. Saqib Saleem 31-Dec-2024 Active');</v>
      </c>
    </row>
    <row r="600" spans="1:8" ht="105" x14ac:dyDescent="0.25">
      <c r="A600" s="12" t="s">
        <v>11971</v>
      </c>
      <c r="B600" s="25" t="str">
        <f>VLOOKUP(A600,policy!B:C,2,0)</f>
        <v>070000171958</v>
      </c>
      <c r="C600" s="11">
        <v>36352</v>
      </c>
      <c r="D600" s="26">
        <f t="shared" si="37"/>
        <v>36352</v>
      </c>
      <c r="E600" s="24" t="s">
        <v>13296</v>
      </c>
      <c r="F600" s="27" t="str">
        <f t="shared" si="36"/>
        <v>insert into ins_premium_det (premium_rcv_code,assorted_code, rec_amount,premium_rcv_detail_code,remaining_amt, payrec, mode_code,coinsurance_code,class_cd,it_remarks) values</v>
      </c>
      <c r="G600" s="28" t="str">
        <f t="shared" si="38"/>
        <v>('30Dec240042','070000171958','36352',(select max(to_number(i.premium_rcv_detail_code))+1
from ins_premium_det i),'36352','36352','02', '11000003','00','Request by Mr. Saqib Saleem 31-Dec-2024 Active');</v>
      </c>
      <c r="H600" s="29" t="str">
        <f t="shared" si="39"/>
        <v>insert into ins_premium_det (premium_rcv_code,assorted_code, rec_amount,premium_rcv_detail_code,remaining_amt, payrec, mode_code,coinsurance_code,class_cd,it_remarks) values('30Dec240042','070000171958','36352',(select max(to_number(i.premium_rcv_detail_code))+1
from ins_premium_det i),'36352','36352','02', '11000003','00','Request by Mr. Saqib Saleem 31-Dec-2024 Active');</v>
      </c>
    </row>
    <row r="601" spans="1:8" ht="105" x14ac:dyDescent="0.25">
      <c r="A601" s="12" t="s">
        <v>11972</v>
      </c>
      <c r="B601" s="25" t="str">
        <f>VLOOKUP(A601,policy!B:C,2,0)</f>
        <v>070000171957</v>
      </c>
      <c r="C601" s="13">
        <v>46928</v>
      </c>
      <c r="D601" s="26">
        <f t="shared" si="37"/>
        <v>46928</v>
      </c>
      <c r="E601" s="24" t="s">
        <v>13296</v>
      </c>
      <c r="F601" s="27" t="str">
        <f t="shared" si="36"/>
        <v>insert into ins_premium_det (premium_rcv_code,assorted_code, rec_amount,premium_rcv_detail_code,remaining_amt, payrec, mode_code,coinsurance_code,class_cd,it_remarks) values</v>
      </c>
      <c r="G601" s="28" t="str">
        <f t="shared" si="38"/>
        <v>('30Dec240042','070000171957','46928',(select max(to_number(i.premium_rcv_detail_code))+1
from ins_premium_det i),'46928','46928','02', '11000003','00','Request by Mr. Saqib Saleem 31-Dec-2024 Active');</v>
      </c>
      <c r="H601" s="29" t="str">
        <f t="shared" si="39"/>
        <v>insert into ins_premium_det (premium_rcv_code,assorted_code, rec_amount,premium_rcv_detail_code,remaining_amt, payrec, mode_code,coinsurance_code,class_cd,it_remarks) values('30Dec240042','070000171957','46928',(select max(to_number(i.premium_rcv_detail_code))+1
from ins_premium_det i),'46928','46928','02', '11000003','00','Request by Mr. Saqib Saleem 31-Dec-2024 Active');</v>
      </c>
    </row>
    <row r="602" spans="1:8" ht="105" x14ac:dyDescent="0.25">
      <c r="A602" s="12" t="s">
        <v>11973</v>
      </c>
      <c r="B602" s="25" t="str">
        <f>VLOOKUP(A602,policy!B:C,2,0)</f>
        <v>070000171954</v>
      </c>
      <c r="C602" s="11">
        <v>27370</v>
      </c>
      <c r="D602" s="26">
        <f t="shared" si="37"/>
        <v>27370</v>
      </c>
      <c r="E602" s="24" t="s">
        <v>13296</v>
      </c>
      <c r="F602" s="27" t="str">
        <f t="shared" si="36"/>
        <v>insert into ins_premium_det (premium_rcv_code,assorted_code, rec_amount,premium_rcv_detail_code,remaining_amt, payrec, mode_code,coinsurance_code,class_cd,it_remarks) values</v>
      </c>
      <c r="G602" s="28" t="str">
        <f t="shared" si="38"/>
        <v>('30Dec240042','070000171954','27370',(select max(to_number(i.premium_rcv_detail_code))+1
from ins_premium_det i),'27370','27370','02', '11000003','00','Request by Mr. Saqib Saleem 31-Dec-2024 Active');</v>
      </c>
      <c r="H602" s="29" t="str">
        <f t="shared" si="39"/>
        <v>insert into ins_premium_det (premium_rcv_code,assorted_code, rec_amount,premium_rcv_detail_code,remaining_amt, payrec, mode_code,coinsurance_code,class_cd,it_remarks) values('30Dec240042','070000171954','27370',(select max(to_number(i.premium_rcv_detail_code))+1
from ins_premium_det i),'27370','27370','02', '11000003','00','Request by Mr. Saqib Saleem 31-Dec-2024 Active');</v>
      </c>
    </row>
    <row r="603" spans="1:8" ht="105" x14ac:dyDescent="0.25">
      <c r="A603" s="12" t="s">
        <v>11974</v>
      </c>
      <c r="B603" s="25" t="str">
        <f>VLOOKUP(A603,policy!B:C,2,0)</f>
        <v>070000171953</v>
      </c>
      <c r="C603" s="13">
        <v>19200</v>
      </c>
      <c r="D603" s="26">
        <f t="shared" si="37"/>
        <v>19200</v>
      </c>
      <c r="E603" s="24" t="s">
        <v>13296</v>
      </c>
      <c r="F603" s="27" t="str">
        <f t="shared" si="36"/>
        <v>insert into ins_premium_det (premium_rcv_code,assorted_code, rec_amount,premium_rcv_detail_code,remaining_amt, payrec, mode_code,coinsurance_code,class_cd,it_remarks) values</v>
      </c>
      <c r="G603" s="28" t="str">
        <f t="shared" si="38"/>
        <v>('30Dec240042','070000171953','19200',(select max(to_number(i.premium_rcv_detail_code))+1
from ins_premium_det i),'19200','19200','02', '11000003','00','Request by Mr. Saqib Saleem 31-Dec-2024 Active');</v>
      </c>
      <c r="H603" s="29" t="str">
        <f t="shared" si="39"/>
        <v>insert into ins_premium_det (premium_rcv_code,assorted_code, rec_amount,premium_rcv_detail_code,remaining_amt, payrec, mode_code,coinsurance_code,class_cd,it_remarks) values('30Dec240042','070000171953','19200',(select max(to_number(i.premium_rcv_detail_code))+1
from ins_premium_det i),'19200','19200','02', '11000003','00','Request by Mr. Saqib Saleem 31-Dec-2024 Active');</v>
      </c>
    </row>
    <row r="604" spans="1:8" ht="105" x14ac:dyDescent="0.25">
      <c r="A604" s="17" t="s">
        <v>12001</v>
      </c>
      <c r="B604" s="25" t="str">
        <f>VLOOKUP(A604,policy!B:C,2,0)</f>
        <v>070000171952</v>
      </c>
      <c r="C604" s="11">
        <v>29985</v>
      </c>
      <c r="D604" s="26">
        <f t="shared" si="37"/>
        <v>29985</v>
      </c>
      <c r="E604" s="24" t="s">
        <v>13296</v>
      </c>
      <c r="F604" s="27" t="str">
        <f t="shared" si="36"/>
        <v>insert into ins_premium_det (premium_rcv_code,assorted_code, rec_amount,premium_rcv_detail_code,remaining_amt, payrec, mode_code,coinsurance_code,class_cd,it_remarks) values</v>
      </c>
      <c r="G604" s="28" t="str">
        <f t="shared" si="38"/>
        <v>('30Dec240042','070000171952','29985',(select max(to_number(i.premium_rcv_detail_code))+1
from ins_premium_det i),'29985','29985','02', '11000003','00','Request by Mr. Saqib Saleem 31-Dec-2024 Active');</v>
      </c>
      <c r="H604" s="29" t="str">
        <f t="shared" si="39"/>
        <v>insert into ins_premium_det (premium_rcv_code,assorted_code, rec_amount,premium_rcv_detail_code,remaining_amt, payrec, mode_code,coinsurance_code,class_cd,it_remarks) values('30Dec240042','070000171952','29985',(select max(to_number(i.premium_rcv_detail_code))+1
from ins_premium_det i),'29985','29985','02', '11000003','00','Request by Mr. Saqib Saleem 31-Dec-2024 Active');</v>
      </c>
    </row>
    <row r="605" spans="1:8" ht="105" x14ac:dyDescent="0.25">
      <c r="A605" s="12" t="s">
        <v>11975</v>
      </c>
      <c r="B605" s="25" t="str">
        <f>VLOOKUP(A605,policy!B:C,2,0)</f>
        <v>070000171951</v>
      </c>
      <c r="C605" s="13">
        <v>21000</v>
      </c>
      <c r="D605" s="26">
        <f t="shared" si="37"/>
        <v>21000</v>
      </c>
      <c r="E605" s="24" t="s">
        <v>13296</v>
      </c>
      <c r="F605" s="27" t="str">
        <f t="shared" si="36"/>
        <v>insert into ins_premium_det (premium_rcv_code,assorted_code, rec_amount,premium_rcv_detail_code,remaining_amt, payrec, mode_code,coinsurance_code,class_cd,it_remarks) values</v>
      </c>
      <c r="G605" s="28" t="str">
        <f t="shared" si="38"/>
        <v>('30Dec240042','070000171951','21000',(select max(to_number(i.premium_rcv_detail_code))+1
from ins_premium_det i),'21000','21000','02', '11000003','00','Request by Mr. Saqib Saleem 31-Dec-2024 Active');</v>
      </c>
      <c r="H605" s="29" t="str">
        <f t="shared" si="39"/>
        <v>insert into ins_premium_det (premium_rcv_code,assorted_code, rec_amount,premium_rcv_detail_code,remaining_amt, payrec, mode_code,coinsurance_code,class_cd,it_remarks) values('30Dec240042','070000171951','21000',(select max(to_number(i.premium_rcv_detail_code))+1
from ins_premium_det i),'21000','21000','02', '11000003','00','Request by Mr. Saqib Saleem 31-Dec-2024 Active');</v>
      </c>
    </row>
    <row r="606" spans="1:8" ht="105" x14ac:dyDescent="0.25">
      <c r="A606" s="12" t="s">
        <v>11976</v>
      </c>
      <c r="B606" s="25" t="str">
        <f>VLOOKUP(A606,policy!B:C,2,0)</f>
        <v>070000171909</v>
      </c>
      <c r="C606" s="11">
        <v>52830</v>
      </c>
      <c r="D606" s="26">
        <f t="shared" si="37"/>
        <v>52830</v>
      </c>
      <c r="E606" s="24" t="s">
        <v>13296</v>
      </c>
      <c r="F606" s="27" t="str">
        <f t="shared" si="36"/>
        <v>insert into ins_premium_det (premium_rcv_code,assorted_code, rec_amount,premium_rcv_detail_code,remaining_amt, payrec, mode_code,coinsurance_code,class_cd,it_remarks) values</v>
      </c>
      <c r="G606" s="28" t="str">
        <f t="shared" si="38"/>
        <v>('30Dec240042','070000171909','52830',(select max(to_number(i.premium_rcv_detail_code))+1
from ins_premium_det i),'52830','52830','02', '11000003','00','Request by Mr. Saqib Saleem 31-Dec-2024 Active');</v>
      </c>
      <c r="H606" s="29" t="str">
        <f t="shared" si="39"/>
        <v>insert into ins_premium_det (premium_rcv_code,assorted_code, rec_amount,premium_rcv_detail_code,remaining_amt, payrec, mode_code,coinsurance_code,class_cd,it_remarks) values('30Dec240042','070000171909','52830',(select max(to_number(i.premium_rcv_detail_code))+1
from ins_premium_det i),'52830','52830','02', '11000003','00','Request by Mr. Saqib Saleem 31-Dec-2024 Active');</v>
      </c>
    </row>
    <row r="607" spans="1:8" ht="105" x14ac:dyDescent="0.25">
      <c r="A607" s="12" t="s">
        <v>11977</v>
      </c>
      <c r="B607" s="25" t="str">
        <f>VLOOKUP(A607,policy!B:C,2,0)</f>
        <v>070000171950</v>
      </c>
      <c r="C607" s="13">
        <v>28160</v>
      </c>
      <c r="D607" s="26">
        <f t="shared" si="37"/>
        <v>28160</v>
      </c>
      <c r="E607" s="24" t="s">
        <v>13296</v>
      </c>
      <c r="F607" s="27" t="str">
        <f t="shared" si="36"/>
        <v>insert into ins_premium_det (premium_rcv_code,assorted_code, rec_amount,premium_rcv_detail_code,remaining_amt, payrec, mode_code,coinsurance_code,class_cd,it_remarks) values</v>
      </c>
      <c r="G607" s="28" t="str">
        <f t="shared" si="38"/>
        <v>('30Dec240042','070000171950','28160',(select max(to_number(i.premium_rcv_detail_code))+1
from ins_premium_det i),'28160','28160','02', '11000003','00','Request by Mr. Saqib Saleem 31-Dec-2024 Active');</v>
      </c>
      <c r="H607" s="29" t="str">
        <f t="shared" si="39"/>
        <v>insert into ins_premium_det (premium_rcv_code,assorted_code, rec_amount,premium_rcv_detail_code,remaining_amt, payrec, mode_code,coinsurance_code,class_cd,it_remarks) values('30Dec240042','070000171950','28160',(select max(to_number(i.premium_rcv_detail_code))+1
from ins_premium_det i),'28160','28160','02', '11000003','00','Request by Mr. Saqib Saleem 31-Dec-2024 Active');</v>
      </c>
    </row>
    <row r="608" spans="1:8" ht="105" x14ac:dyDescent="0.25">
      <c r="A608" s="12" t="s">
        <v>11978</v>
      </c>
      <c r="B608" s="25" t="str">
        <f>VLOOKUP(A608,policy!B:C,2,0)</f>
        <v>070000171912</v>
      </c>
      <c r="C608" s="11">
        <v>18000</v>
      </c>
      <c r="D608" s="26">
        <f t="shared" si="37"/>
        <v>18000</v>
      </c>
      <c r="E608" s="24" t="s">
        <v>13296</v>
      </c>
      <c r="F608" s="27" t="str">
        <f t="shared" si="36"/>
        <v>insert into ins_premium_det (premium_rcv_code,assorted_code, rec_amount,premium_rcv_detail_code,remaining_amt, payrec, mode_code,coinsurance_code,class_cd,it_remarks) values</v>
      </c>
      <c r="G608" s="28" t="str">
        <f t="shared" si="38"/>
        <v>('30Dec240042','070000171912','18000',(select max(to_number(i.premium_rcv_detail_code))+1
from ins_premium_det i),'18000','18000','02', '11000003','00','Request by Mr. Saqib Saleem 31-Dec-2024 Active');</v>
      </c>
      <c r="H608" s="29" t="str">
        <f t="shared" si="39"/>
        <v>insert into ins_premium_det (premium_rcv_code,assorted_code, rec_amount,premium_rcv_detail_code,remaining_amt, payrec, mode_code,coinsurance_code,class_cd,it_remarks) values('30Dec240042','070000171912','18000',(select max(to_number(i.premium_rcv_detail_code))+1
from ins_premium_det i),'18000','18000','02', '11000003','00','Request by Mr. Saqib Saleem 31-Dec-2024 Active');</v>
      </c>
    </row>
    <row r="609" spans="1:8" ht="105" x14ac:dyDescent="0.25">
      <c r="A609" s="12" t="s">
        <v>11979</v>
      </c>
      <c r="B609" s="25" t="str">
        <f>VLOOKUP(A609,policy!B:C,2,0)</f>
        <v>070000171913</v>
      </c>
      <c r="C609" s="13">
        <v>19800</v>
      </c>
      <c r="D609" s="26">
        <f t="shared" si="37"/>
        <v>19800</v>
      </c>
      <c r="E609" s="24" t="s">
        <v>13296</v>
      </c>
      <c r="F609" s="27" t="str">
        <f t="shared" si="36"/>
        <v>insert into ins_premium_det (premium_rcv_code,assorted_code, rec_amount,premium_rcv_detail_code,remaining_amt, payrec, mode_code,coinsurance_code,class_cd,it_remarks) values</v>
      </c>
      <c r="G609" s="28" t="str">
        <f t="shared" si="38"/>
        <v>('30Dec240042','070000171913','19800',(select max(to_number(i.premium_rcv_detail_code))+1
from ins_premium_det i),'19800','19800','02', '11000003','00','Request by Mr. Saqib Saleem 31-Dec-2024 Active');</v>
      </c>
      <c r="H609" s="29" t="str">
        <f t="shared" si="39"/>
        <v>insert into ins_premium_det (premium_rcv_code,assorted_code, rec_amount,premium_rcv_detail_code,remaining_amt, payrec, mode_code,coinsurance_code,class_cd,it_remarks) values('30Dec240042','070000171913','19800',(select max(to_number(i.premium_rcv_detail_code))+1
from ins_premium_det i),'19800','19800','02', '11000003','00','Request by Mr. Saqib Saleem 31-Dec-2024 Active');</v>
      </c>
    </row>
    <row r="610" spans="1:8" ht="105" x14ac:dyDescent="0.25">
      <c r="A610" s="12" t="s">
        <v>11980</v>
      </c>
      <c r="B610" s="25" t="str">
        <f>VLOOKUP(A610,policy!B:C,2,0)</f>
        <v>070000171949</v>
      </c>
      <c r="C610" s="11">
        <v>29775</v>
      </c>
      <c r="D610" s="26">
        <f t="shared" si="37"/>
        <v>29775</v>
      </c>
      <c r="E610" s="24" t="s">
        <v>13296</v>
      </c>
      <c r="F610" s="27" t="str">
        <f t="shared" si="36"/>
        <v>insert into ins_premium_det (premium_rcv_code,assorted_code, rec_amount,premium_rcv_detail_code,remaining_amt, payrec, mode_code,coinsurance_code,class_cd,it_remarks) values</v>
      </c>
      <c r="G610" s="28" t="str">
        <f t="shared" si="38"/>
        <v>('30Dec240042','070000171949','29775',(select max(to_number(i.premium_rcv_detail_code))+1
from ins_premium_det i),'29775','29775','02', '11000003','00','Request by Mr. Saqib Saleem 31-Dec-2024 Active');</v>
      </c>
      <c r="H610" s="29" t="str">
        <f t="shared" si="39"/>
        <v>insert into ins_premium_det (premium_rcv_code,assorted_code, rec_amount,premium_rcv_detail_code,remaining_amt, payrec, mode_code,coinsurance_code,class_cd,it_remarks) values('30Dec240042','070000171949','29775',(select max(to_number(i.premium_rcv_detail_code))+1
from ins_premium_det i),'29775','29775','02', '11000003','00','Request by Mr. Saqib Saleem 31-Dec-2024 Active');</v>
      </c>
    </row>
    <row r="611" spans="1:8" ht="105" x14ac:dyDescent="0.25">
      <c r="A611" s="12" t="s">
        <v>11981</v>
      </c>
      <c r="B611" s="25" t="str">
        <f>VLOOKUP(A611,policy!B:C,2,0)</f>
        <v>070000171915</v>
      </c>
      <c r="C611" s="13">
        <v>39088</v>
      </c>
      <c r="D611" s="26">
        <f t="shared" si="37"/>
        <v>39088</v>
      </c>
      <c r="E611" s="24" t="s">
        <v>13296</v>
      </c>
      <c r="F611" s="27" t="str">
        <f t="shared" si="36"/>
        <v>insert into ins_premium_det (premium_rcv_code,assorted_code, rec_amount,premium_rcv_detail_code,remaining_amt, payrec, mode_code,coinsurance_code,class_cd,it_remarks) values</v>
      </c>
      <c r="G611" s="28" t="str">
        <f t="shared" si="38"/>
        <v>('30Dec240042','070000171915','39088',(select max(to_number(i.premium_rcv_detail_code))+1
from ins_premium_det i),'39088','39088','02', '11000003','00','Request by Mr. Saqib Saleem 31-Dec-2024 Active');</v>
      </c>
      <c r="H611" s="29" t="str">
        <f t="shared" si="39"/>
        <v>insert into ins_premium_det (premium_rcv_code,assorted_code, rec_amount,premium_rcv_detail_code,remaining_amt, payrec, mode_code,coinsurance_code,class_cd,it_remarks) values('30Dec240042','070000171915','39088',(select max(to_number(i.premium_rcv_detail_code))+1
from ins_premium_det i),'39088','39088','02', '11000003','00','Request by Mr. Saqib Saleem 31-Dec-2024 Active');</v>
      </c>
    </row>
    <row r="612" spans="1:8" ht="105" x14ac:dyDescent="0.25">
      <c r="A612" s="12" t="s">
        <v>11982</v>
      </c>
      <c r="B612" s="25" t="str">
        <f>VLOOKUP(A612,policy!B:C,2,0)</f>
        <v>070000171948</v>
      </c>
      <c r="C612" s="11">
        <v>19200</v>
      </c>
      <c r="D612" s="26">
        <f t="shared" si="37"/>
        <v>19200</v>
      </c>
      <c r="E612" s="24" t="s">
        <v>13296</v>
      </c>
      <c r="F612" s="27" t="str">
        <f t="shared" si="36"/>
        <v>insert into ins_premium_det (premium_rcv_code,assorted_code, rec_amount,premium_rcv_detail_code,remaining_amt, payrec, mode_code,coinsurance_code,class_cd,it_remarks) values</v>
      </c>
      <c r="G612" s="28" t="str">
        <f t="shared" si="38"/>
        <v>('30Dec240042','070000171948','19200',(select max(to_number(i.premium_rcv_detail_code))+1
from ins_premium_det i),'19200','19200','02', '11000003','00','Request by Mr. Saqib Saleem 31-Dec-2024 Active');</v>
      </c>
      <c r="H612" s="29" t="str">
        <f t="shared" si="39"/>
        <v>insert into ins_premium_det (premium_rcv_code,assorted_code, rec_amount,premium_rcv_detail_code,remaining_amt, payrec, mode_code,coinsurance_code,class_cd,it_remarks) values('30Dec240042','070000171948','19200',(select max(to_number(i.premium_rcv_detail_code))+1
from ins_premium_det i),'19200','19200','02', '11000003','00','Request by Mr. Saqib Saleem 31-Dec-2024 Active');</v>
      </c>
    </row>
    <row r="613" spans="1:8" ht="105" x14ac:dyDescent="0.25">
      <c r="A613" s="12" t="s">
        <v>11983</v>
      </c>
      <c r="B613" s="25" t="str">
        <f>VLOOKUP(A613,policy!B:C,2,0)</f>
        <v>070000171918</v>
      </c>
      <c r="C613" s="13">
        <v>43248</v>
      </c>
      <c r="D613" s="26">
        <f t="shared" si="37"/>
        <v>43248</v>
      </c>
      <c r="E613" s="24" t="s">
        <v>13296</v>
      </c>
      <c r="F613" s="27" t="str">
        <f t="shared" si="36"/>
        <v>insert into ins_premium_det (premium_rcv_code,assorted_code, rec_amount,premium_rcv_detail_code,remaining_amt, payrec, mode_code,coinsurance_code,class_cd,it_remarks) values</v>
      </c>
      <c r="G613" s="28" t="str">
        <f t="shared" si="38"/>
        <v>('30Dec240042','070000171918','43248',(select max(to_number(i.premium_rcv_detail_code))+1
from ins_premium_det i),'43248','43248','02', '11000003','00','Request by Mr. Saqib Saleem 31-Dec-2024 Active');</v>
      </c>
      <c r="H613" s="29" t="str">
        <f t="shared" si="39"/>
        <v>insert into ins_premium_det (premium_rcv_code,assorted_code, rec_amount,premium_rcv_detail_code,remaining_amt, payrec, mode_code,coinsurance_code,class_cd,it_remarks) values('30Dec240042','070000171918','43248',(select max(to_number(i.premium_rcv_detail_code))+1
from ins_premium_det i),'43248','43248','02', '11000003','00','Request by Mr. Saqib Saleem 31-Dec-2024 Active');</v>
      </c>
    </row>
    <row r="614" spans="1:8" ht="105" x14ac:dyDescent="0.25">
      <c r="A614" s="12" t="s">
        <v>11984</v>
      </c>
      <c r="B614" s="25" t="str">
        <f>VLOOKUP(A614,policy!B:C,2,0)</f>
        <v>070000171946</v>
      </c>
      <c r="C614" s="11">
        <v>27370</v>
      </c>
      <c r="D614" s="26">
        <f t="shared" si="37"/>
        <v>27370</v>
      </c>
      <c r="E614" s="24" t="s">
        <v>13296</v>
      </c>
      <c r="F614" s="27" t="str">
        <f t="shared" si="36"/>
        <v>insert into ins_premium_det (premium_rcv_code,assorted_code, rec_amount,premium_rcv_detail_code,remaining_amt, payrec, mode_code,coinsurance_code,class_cd,it_remarks) values</v>
      </c>
      <c r="G614" s="28" t="str">
        <f t="shared" si="38"/>
        <v>('30Dec240042','070000171946','27370',(select max(to_number(i.premium_rcv_detail_code))+1
from ins_premium_det i),'27370','27370','02', '11000003','00','Request by Mr. Saqib Saleem 31-Dec-2024 Active');</v>
      </c>
      <c r="H614" s="29" t="str">
        <f t="shared" si="39"/>
        <v>insert into ins_premium_det (premium_rcv_code,assorted_code, rec_amount,premium_rcv_detail_code,remaining_amt, payrec, mode_code,coinsurance_code,class_cd,it_remarks) values('30Dec240042','070000171946','27370',(select max(to_number(i.premium_rcv_detail_code))+1
from ins_premium_det i),'27370','27370','02', '11000003','00','Request by Mr. Saqib Saleem 31-Dec-2024 Active');</v>
      </c>
    </row>
    <row r="615" spans="1:8" ht="105" x14ac:dyDescent="0.25">
      <c r="A615" s="12" t="s">
        <v>11985</v>
      </c>
      <c r="B615" s="25" t="str">
        <f>VLOOKUP(A615,policy!B:C,2,0)</f>
        <v>070000171620</v>
      </c>
      <c r="C615" s="13">
        <v>42600</v>
      </c>
      <c r="D615" s="26">
        <f t="shared" si="37"/>
        <v>42600</v>
      </c>
      <c r="E615" s="24" t="s">
        <v>13296</v>
      </c>
      <c r="F615" s="27" t="str">
        <f t="shared" si="36"/>
        <v>insert into ins_premium_det (premium_rcv_code,assorted_code, rec_amount,premium_rcv_detail_code,remaining_amt, payrec, mode_code,coinsurance_code,class_cd,it_remarks) values</v>
      </c>
      <c r="G615" s="28" t="str">
        <f t="shared" si="38"/>
        <v>('30Dec240042','070000171620','42600',(select max(to_number(i.premium_rcv_detail_code))+1
from ins_premium_det i),'42600','42600','02', '11000003','00','Request by Mr. Saqib Saleem 31-Dec-2024 Active');</v>
      </c>
      <c r="H615" s="29" t="str">
        <f t="shared" si="39"/>
        <v>insert into ins_premium_det (premium_rcv_code,assorted_code, rec_amount,premium_rcv_detail_code,remaining_amt, payrec, mode_code,coinsurance_code,class_cd,it_remarks) values('30Dec240042','070000171620','42600',(select max(to_number(i.premium_rcv_detail_code))+1
from ins_premium_det i),'42600','42600','02', '11000003','00','Request by Mr. Saqib Saleem 31-Dec-2024 Active');</v>
      </c>
    </row>
    <row r="616" spans="1:8" ht="105" x14ac:dyDescent="0.25">
      <c r="A616" s="12" t="s">
        <v>11986</v>
      </c>
      <c r="B616" s="25" t="str">
        <f>VLOOKUP(A616,policy!B:C,2,0)</f>
        <v>070000171921</v>
      </c>
      <c r="C616" s="11">
        <v>15300</v>
      </c>
      <c r="D616" s="26">
        <f t="shared" si="37"/>
        <v>15300</v>
      </c>
      <c r="E616" s="24" t="s">
        <v>13296</v>
      </c>
      <c r="F616" s="27" t="str">
        <f t="shared" si="36"/>
        <v>insert into ins_premium_det (premium_rcv_code,assorted_code, rec_amount,premium_rcv_detail_code,remaining_amt, payrec, mode_code,coinsurance_code,class_cd,it_remarks) values</v>
      </c>
      <c r="G616" s="28" t="str">
        <f t="shared" si="38"/>
        <v>('30Dec240042','070000171921','15300',(select max(to_number(i.premium_rcv_detail_code))+1
from ins_premium_det i),'15300','15300','02', '11000003','00','Request by Mr. Saqib Saleem 31-Dec-2024 Active');</v>
      </c>
      <c r="H616" s="29" t="str">
        <f t="shared" si="39"/>
        <v>insert into ins_premium_det (premium_rcv_code,assorted_code, rec_amount,premium_rcv_detail_code,remaining_amt, payrec, mode_code,coinsurance_code,class_cd,it_remarks) values('30Dec240042','070000171921','15300',(select max(to_number(i.premium_rcv_detail_code))+1
from ins_premium_det i),'15300','15300','02', '11000003','00','Request by Mr. Saqib Saleem 31-Dec-2024 Active');</v>
      </c>
    </row>
    <row r="617" spans="1:8" ht="105" x14ac:dyDescent="0.25">
      <c r="A617" s="12" t="s">
        <v>11987</v>
      </c>
      <c r="B617" s="25" t="str">
        <f>VLOOKUP(A617,policy!B:C,2,0)</f>
        <v>070000171944</v>
      </c>
      <c r="C617" s="13">
        <v>40650</v>
      </c>
      <c r="D617" s="26">
        <f t="shared" si="37"/>
        <v>40650</v>
      </c>
      <c r="E617" s="24" t="s">
        <v>13296</v>
      </c>
      <c r="F617" s="27" t="str">
        <f t="shared" si="36"/>
        <v>insert into ins_premium_det (premium_rcv_code,assorted_code, rec_amount,premium_rcv_detail_code,remaining_amt, payrec, mode_code,coinsurance_code,class_cd,it_remarks) values</v>
      </c>
      <c r="G617" s="28" t="str">
        <f t="shared" si="38"/>
        <v>('30Dec240042','070000171944','40650',(select max(to_number(i.premium_rcv_detail_code))+1
from ins_premium_det i),'40650','40650','02', '11000003','00','Request by Mr. Saqib Saleem 31-Dec-2024 Active');</v>
      </c>
      <c r="H617" s="29" t="str">
        <f t="shared" si="39"/>
        <v>insert into ins_premium_det (premium_rcv_code,assorted_code, rec_amount,premium_rcv_detail_code,remaining_amt, payrec, mode_code,coinsurance_code,class_cd,it_remarks) values('30Dec240042','070000171944','40650',(select max(to_number(i.premium_rcv_detail_code))+1
from ins_premium_det i),'40650','40650','02', '11000003','00','Request by Mr. Saqib Saleem 31-Dec-2024 Active');</v>
      </c>
    </row>
    <row r="618" spans="1:8" ht="105" x14ac:dyDescent="0.25">
      <c r="A618" s="12" t="s">
        <v>11988</v>
      </c>
      <c r="B618" s="25" t="str">
        <f>VLOOKUP(A618,policy!B:C,2,0)</f>
        <v>070000171923</v>
      </c>
      <c r="C618" s="11">
        <v>60988</v>
      </c>
      <c r="D618" s="26">
        <f t="shared" si="37"/>
        <v>60988</v>
      </c>
      <c r="E618" s="24" t="s">
        <v>13296</v>
      </c>
      <c r="F618" s="27" t="str">
        <f t="shared" si="36"/>
        <v>insert into ins_premium_det (premium_rcv_code,assorted_code, rec_amount,premium_rcv_detail_code,remaining_amt, payrec, mode_code,coinsurance_code,class_cd,it_remarks) values</v>
      </c>
      <c r="G618" s="28" t="str">
        <f t="shared" si="38"/>
        <v>('30Dec240042','070000171923','60988',(select max(to_number(i.premium_rcv_detail_code))+1
from ins_premium_det i),'60988','60988','02', '11000003','00','Request by Mr. Saqib Saleem 31-Dec-2024 Active');</v>
      </c>
      <c r="H618" s="29" t="str">
        <f t="shared" si="39"/>
        <v>insert into ins_premium_det (premium_rcv_code,assorted_code, rec_amount,premium_rcv_detail_code,remaining_amt, payrec, mode_code,coinsurance_code,class_cd,it_remarks) values('30Dec240042','070000171923','60988',(select max(to_number(i.premium_rcv_detail_code))+1
from ins_premium_det i),'60988','60988','02', '11000003','00','Request by Mr. Saqib Saleem 31-Dec-2024 Active');</v>
      </c>
    </row>
    <row r="619" spans="1:8" ht="105" x14ac:dyDescent="0.25">
      <c r="A619" s="12" t="s">
        <v>11989</v>
      </c>
      <c r="B619" s="25" t="str">
        <f>VLOOKUP(A619,policy!B:C,2,0)</f>
        <v>070000171942</v>
      </c>
      <c r="C619" s="13">
        <v>42525</v>
      </c>
      <c r="D619" s="26">
        <f t="shared" si="37"/>
        <v>42525</v>
      </c>
      <c r="E619" s="24" t="s">
        <v>13296</v>
      </c>
      <c r="F619" s="27" t="str">
        <f t="shared" si="36"/>
        <v>insert into ins_premium_det (premium_rcv_code,assorted_code, rec_amount,premium_rcv_detail_code,remaining_amt, payrec, mode_code,coinsurance_code,class_cd,it_remarks) values</v>
      </c>
      <c r="G619" s="28" t="str">
        <f t="shared" si="38"/>
        <v>('30Dec240042','070000171942','42525',(select max(to_number(i.premium_rcv_detail_code))+1
from ins_premium_det i),'42525','42525','02', '11000003','00','Request by Mr. Saqib Saleem 31-Dec-2024 Active');</v>
      </c>
      <c r="H619" s="29" t="str">
        <f t="shared" si="39"/>
        <v>insert into ins_premium_det (premium_rcv_code,assorted_code, rec_amount,premium_rcv_detail_code,remaining_amt, payrec, mode_code,coinsurance_code,class_cd,it_remarks) values('30Dec240042','070000171942','42525',(select max(to_number(i.premium_rcv_detail_code))+1
from ins_premium_det i),'42525','42525','02', '11000003','00','Request by Mr. Saqib Saleem 31-Dec-2024 Active');</v>
      </c>
    </row>
    <row r="620" spans="1:8" ht="105" x14ac:dyDescent="0.25">
      <c r="A620" s="12" t="s">
        <v>11990</v>
      </c>
      <c r="B620" s="25" t="str">
        <f>VLOOKUP(A620,policy!B:C,2,0)</f>
        <v>070000171925</v>
      </c>
      <c r="C620" s="11">
        <v>46954</v>
      </c>
      <c r="D620" s="26">
        <f t="shared" si="37"/>
        <v>46954</v>
      </c>
      <c r="E620" s="24" t="s">
        <v>13296</v>
      </c>
      <c r="F620" s="27" t="str">
        <f t="shared" si="36"/>
        <v>insert into ins_premium_det (premium_rcv_code,assorted_code, rec_amount,premium_rcv_detail_code,remaining_amt, payrec, mode_code,coinsurance_code,class_cd,it_remarks) values</v>
      </c>
      <c r="G620" s="28" t="str">
        <f t="shared" si="38"/>
        <v>('30Dec240042','070000171925','46954',(select max(to_number(i.premium_rcv_detail_code))+1
from ins_premium_det i),'46954','46954','02', '11000003','00','Request by Mr. Saqib Saleem 31-Dec-2024 Active');</v>
      </c>
      <c r="H620" s="29" t="str">
        <f t="shared" si="39"/>
        <v>insert into ins_premium_det (premium_rcv_code,assorted_code, rec_amount,premium_rcv_detail_code,remaining_amt, payrec, mode_code,coinsurance_code,class_cd,it_remarks) values('30Dec240042','070000171925','46954',(select max(to_number(i.premium_rcv_detail_code))+1
from ins_premium_det i),'46954','46954','02', '11000003','00','Request by Mr. Saqib Saleem 31-Dec-2024 Active');</v>
      </c>
    </row>
    <row r="621" spans="1:8" ht="105" x14ac:dyDescent="0.25">
      <c r="A621" s="12" t="s">
        <v>11991</v>
      </c>
      <c r="B621" s="25" t="str">
        <f>VLOOKUP(A621,policy!B:C,2,0)</f>
        <v>070000171937</v>
      </c>
      <c r="C621" s="13">
        <v>70380</v>
      </c>
      <c r="D621" s="26">
        <f t="shared" si="37"/>
        <v>70380</v>
      </c>
      <c r="E621" s="24" t="s">
        <v>13296</v>
      </c>
      <c r="F621" s="27" t="str">
        <f t="shared" si="36"/>
        <v>insert into ins_premium_det (premium_rcv_code,assorted_code, rec_amount,premium_rcv_detail_code,remaining_amt, payrec, mode_code,coinsurance_code,class_cd,it_remarks) values</v>
      </c>
      <c r="G621" s="28" t="str">
        <f t="shared" si="38"/>
        <v>('30Dec240042','070000171937','70380',(select max(to_number(i.premium_rcv_detail_code))+1
from ins_premium_det i),'70380','70380','02', '11000003','00','Request by Mr. Saqib Saleem 31-Dec-2024 Active');</v>
      </c>
      <c r="H621" s="29" t="str">
        <f t="shared" si="39"/>
        <v>insert into ins_premium_det (premium_rcv_code,assorted_code, rec_amount,premium_rcv_detail_code,remaining_amt, payrec, mode_code,coinsurance_code,class_cd,it_remarks) values('30Dec240042','070000171937','70380',(select max(to_number(i.premium_rcv_detail_code))+1
from ins_premium_det i),'70380','70380','02', '11000003','00','Request by Mr. Saqib Saleem 31-Dec-2024 Active');</v>
      </c>
    </row>
    <row r="622" spans="1:8" ht="105" x14ac:dyDescent="0.25">
      <c r="A622" s="12" t="s">
        <v>11992</v>
      </c>
      <c r="B622" s="25" t="str">
        <f>VLOOKUP(A622,policy!B:C,2,0)</f>
        <v>070000171935</v>
      </c>
      <c r="C622" s="11">
        <v>36040</v>
      </c>
      <c r="D622" s="26">
        <f t="shared" si="37"/>
        <v>36040</v>
      </c>
      <c r="E622" s="24" t="s">
        <v>13296</v>
      </c>
      <c r="F622" s="27" t="str">
        <f t="shared" si="36"/>
        <v>insert into ins_premium_det (premium_rcv_code,assorted_code, rec_amount,premium_rcv_detail_code,remaining_amt, payrec, mode_code,coinsurance_code,class_cd,it_remarks) values</v>
      </c>
      <c r="G622" s="28" t="str">
        <f t="shared" si="38"/>
        <v>('30Dec240042','070000171935','36040',(select max(to_number(i.premium_rcv_detail_code))+1
from ins_premium_det i),'36040','36040','02', '11000003','00','Request by Mr. Saqib Saleem 31-Dec-2024 Active');</v>
      </c>
      <c r="H622" s="29" t="str">
        <f t="shared" si="39"/>
        <v>insert into ins_premium_det (premium_rcv_code,assorted_code, rec_amount,premium_rcv_detail_code,remaining_amt, payrec, mode_code,coinsurance_code,class_cd,it_remarks) values('30Dec240042','070000171935','36040',(select max(to_number(i.premium_rcv_detail_code))+1
from ins_premium_det i),'36040','36040','02', '11000003','00','Request by Mr. Saqib Saleem 31-Dec-2024 Active');</v>
      </c>
    </row>
    <row r="623" spans="1:8" ht="105" x14ac:dyDescent="0.25">
      <c r="A623" s="12" t="s">
        <v>11993</v>
      </c>
      <c r="B623" s="25" t="str">
        <f>VLOOKUP(A623,policy!B:C,2,0)</f>
        <v>070000171934</v>
      </c>
      <c r="C623" s="13">
        <v>23217</v>
      </c>
      <c r="D623" s="26">
        <f t="shared" si="37"/>
        <v>23217</v>
      </c>
      <c r="E623" s="24" t="s">
        <v>13296</v>
      </c>
      <c r="F623" s="27" t="str">
        <f t="shared" si="36"/>
        <v>insert into ins_premium_det (premium_rcv_code,assorted_code, rec_amount,premium_rcv_detail_code,remaining_amt, payrec, mode_code,coinsurance_code,class_cd,it_remarks) values</v>
      </c>
      <c r="G623" s="28" t="str">
        <f t="shared" si="38"/>
        <v>('30Dec240042','070000171934','23217',(select max(to_number(i.premium_rcv_detail_code))+1
from ins_premium_det i),'23217','23217','02', '11000003','00','Request by Mr. Saqib Saleem 31-Dec-2024 Active');</v>
      </c>
      <c r="H623" s="29" t="str">
        <f t="shared" si="39"/>
        <v>insert into ins_premium_det (premium_rcv_code,assorted_code, rec_amount,premium_rcv_detail_code,remaining_amt, payrec, mode_code,coinsurance_code,class_cd,it_remarks) values('30Dec240042','070000171934','23217',(select max(to_number(i.premium_rcv_detail_code))+1
from ins_premium_det i),'23217','23217','02', '11000003','00','Request by Mr. Saqib Saleem 31-Dec-2024 Active');</v>
      </c>
    </row>
    <row r="624" spans="1:8" ht="105" x14ac:dyDescent="0.25">
      <c r="A624" s="12" t="s">
        <v>11994</v>
      </c>
      <c r="B624" s="25" t="str">
        <f>VLOOKUP(A624,policy!B:C,2,0)</f>
        <v>070000171931</v>
      </c>
      <c r="C624" s="11">
        <v>53873</v>
      </c>
      <c r="D624" s="26">
        <f t="shared" si="37"/>
        <v>53873</v>
      </c>
      <c r="E624" s="24" t="s">
        <v>13296</v>
      </c>
      <c r="F624" s="27" t="str">
        <f t="shared" si="36"/>
        <v>insert into ins_premium_det (premium_rcv_code,assorted_code, rec_amount,premium_rcv_detail_code,remaining_amt, payrec, mode_code,coinsurance_code,class_cd,it_remarks) values</v>
      </c>
      <c r="G624" s="28" t="str">
        <f t="shared" si="38"/>
        <v>('30Dec240042','070000171931','53873',(select max(to_number(i.premium_rcv_detail_code))+1
from ins_premium_det i),'53873','53873','02', '11000003','00','Request by Mr. Saqib Saleem 31-Dec-2024 Active');</v>
      </c>
      <c r="H624" s="29" t="str">
        <f t="shared" si="39"/>
        <v>insert into ins_premium_det (premium_rcv_code,assorted_code, rec_amount,premium_rcv_detail_code,remaining_amt, payrec, mode_code,coinsurance_code,class_cd,it_remarks) values('30Dec240042','070000171931','53873',(select max(to_number(i.premium_rcv_detail_code))+1
from ins_premium_det i),'53873','53873','02', '11000003','00','Request by Mr. Saqib Saleem 31-Dec-2024 Active');</v>
      </c>
    </row>
    <row r="625" spans="3:4" x14ac:dyDescent="0.25">
      <c r="C625" s="30">
        <f>SUM(C2:C624)</f>
        <v>27413325</v>
      </c>
      <c r="D625" s="30">
        <f>SUM(D2:D624)</f>
        <v>27413325</v>
      </c>
    </row>
  </sheetData>
  <conditionalFormatting sqref="A1">
    <cfRule type="duplicateValues" dxfId="7" priority="1"/>
  </conditionalFormatting>
  <conditionalFormatting sqref="A2:B2 B3:B624">
    <cfRule type="duplicateValues" dxfId="6" priority="2"/>
    <cfRule type="duplicateValues" dxfId="5" priority="3"/>
    <cfRule type="duplicateValues" dxfId="4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CBC9-5481-4C32-83B9-C07670345F31}">
  <dimension ref="A1:J624"/>
  <sheetViews>
    <sheetView workbookViewId="0">
      <selection activeCell="J2" sqref="J2"/>
    </sheetView>
  </sheetViews>
  <sheetFormatPr defaultRowHeight="15" x14ac:dyDescent="0.25"/>
  <cols>
    <col min="1" max="1" width="44.28515625" bestFit="1" customWidth="1"/>
  </cols>
  <sheetData>
    <row r="1" spans="1:10" x14ac:dyDescent="0.25">
      <c r="H1" t="s">
        <v>12252</v>
      </c>
    </row>
    <row r="2" spans="1:10" x14ac:dyDescent="0.25">
      <c r="A2" s="12" t="s">
        <v>11381</v>
      </c>
      <c r="B2" t="s">
        <v>12248</v>
      </c>
      <c r="H2">
        <v>102086</v>
      </c>
      <c r="I2" t="s">
        <v>12253</v>
      </c>
      <c r="J2" t="str">
        <f>"ia.assorted_string like '%"&amp;H2&amp;"-"&amp;I2&amp;B2&amp;"%' or"</f>
        <v>ia.assorted_string like '%102086-00002-11-2024%' or</v>
      </c>
    </row>
    <row r="3" spans="1:10" x14ac:dyDescent="0.25">
      <c r="A3" s="12" t="s">
        <v>11382</v>
      </c>
      <c r="B3" t="s">
        <v>12248</v>
      </c>
      <c r="H3">
        <v>102086</v>
      </c>
      <c r="I3" t="s">
        <v>12254</v>
      </c>
      <c r="J3" t="str">
        <f t="shared" ref="J3:J66" si="0">"ia.assorted_string like '%"&amp;H3&amp;"-"&amp;I3&amp;B3&amp;"%' or"</f>
        <v>ia.assorted_string like '%102086-00003-11-2024%' or</v>
      </c>
    </row>
    <row r="4" spans="1:10" x14ac:dyDescent="0.25">
      <c r="A4" s="12" t="s">
        <v>11383</v>
      </c>
      <c r="B4" t="s">
        <v>12248</v>
      </c>
      <c r="H4">
        <v>102086</v>
      </c>
      <c r="I4" t="s">
        <v>12255</v>
      </c>
      <c r="J4" t="str">
        <f t="shared" si="0"/>
        <v>ia.assorted_string like '%102086-00005-11-2024%' or</v>
      </c>
    </row>
    <row r="5" spans="1:10" x14ac:dyDescent="0.25">
      <c r="A5" s="12" t="s">
        <v>11384</v>
      </c>
      <c r="B5" t="s">
        <v>12248</v>
      </c>
      <c r="H5">
        <v>102086</v>
      </c>
      <c r="I5" t="s">
        <v>12256</v>
      </c>
      <c r="J5" t="str">
        <f t="shared" si="0"/>
        <v>ia.assorted_string like '%102086-00006-11-2024%' or</v>
      </c>
    </row>
    <row r="6" spans="1:10" x14ac:dyDescent="0.25">
      <c r="A6" s="12" t="s">
        <v>11385</v>
      </c>
      <c r="B6" t="s">
        <v>12248</v>
      </c>
      <c r="H6">
        <v>102086</v>
      </c>
      <c r="I6" t="s">
        <v>12257</v>
      </c>
      <c r="J6" t="str">
        <f t="shared" si="0"/>
        <v>ia.assorted_string like '%102086-00007-11-2024%' or</v>
      </c>
    </row>
    <row r="7" spans="1:10" x14ac:dyDescent="0.25">
      <c r="A7" s="12" t="s">
        <v>11386</v>
      </c>
      <c r="B7" t="s">
        <v>12248</v>
      </c>
      <c r="H7">
        <v>102086</v>
      </c>
      <c r="I7" t="s">
        <v>12258</v>
      </c>
      <c r="J7" t="str">
        <f t="shared" si="0"/>
        <v>ia.assorted_string like '%102086-00008-11-2024%' or</v>
      </c>
    </row>
    <row r="8" spans="1:10" x14ac:dyDescent="0.25">
      <c r="A8" s="12" t="s">
        <v>11387</v>
      </c>
      <c r="B8" t="s">
        <v>12248</v>
      </c>
      <c r="H8">
        <v>102086</v>
      </c>
      <c r="I8" t="s">
        <v>12259</v>
      </c>
      <c r="J8" t="str">
        <f t="shared" si="0"/>
        <v>ia.assorted_string like '%102086-00010-11-2024%' or</v>
      </c>
    </row>
    <row r="9" spans="1:10" x14ac:dyDescent="0.25">
      <c r="A9" s="12" t="s">
        <v>11388</v>
      </c>
      <c r="B9" t="s">
        <v>12248</v>
      </c>
      <c r="H9">
        <v>102086</v>
      </c>
      <c r="I9" t="s">
        <v>12260</v>
      </c>
      <c r="J9" t="str">
        <f t="shared" si="0"/>
        <v>ia.assorted_string like '%102086-00011-11-2024%' or</v>
      </c>
    </row>
    <row r="10" spans="1:10" x14ac:dyDescent="0.25">
      <c r="A10" s="12" t="s">
        <v>11389</v>
      </c>
      <c r="B10" t="s">
        <v>12248</v>
      </c>
      <c r="H10">
        <v>102086</v>
      </c>
      <c r="I10" t="s">
        <v>12261</v>
      </c>
      <c r="J10" t="str">
        <f t="shared" si="0"/>
        <v>ia.assorted_string like '%102086-00012-11-2024%' or</v>
      </c>
    </row>
    <row r="11" spans="1:10" x14ac:dyDescent="0.25">
      <c r="A11" s="12" t="s">
        <v>11390</v>
      </c>
      <c r="B11" t="s">
        <v>12248</v>
      </c>
      <c r="H11">
        <v>102086</v>
      </c>
      <c r="I11" t="s">
        <v>12262</v>
      </c>
      <c r="J11" t="str">
        <f t="shared" si="0"/>
        <v>ia.assorted_string like '%102086-00013-11-2024%' or</v>
      </c>
    </row>
    <row r="12" spans="1:10" x14ac:dyDescent="0.25">
      <c r="A12" s="12" t="s">
        <v>11391</v>
      </c>
      <c r="B12" t="s">
        <v>12248</v>
      </c>
      <c r="H12">
        <v>102086</v>
      </c>
      <c r="I12" t="s">
        <v>12263</v>
      </c>
      <c r="J12" t="str">
        <f t="shared" si="0"/>
        <v>ia.assorted_string like '%102086-00014-11-2024%' or</v>
      </c>
    </row>
    <row r="13" spans="1:10" x14ac:dyDescent="0.25">
      <c r="A13" s="12" t="s">
        <v>11392</v>
      </c>
      <c r="B13" t="s">
        <v>12248</v>
      </c>
      <c r="H13">
        <v>102086</v>
      </c>
      <c r="I13" t="s">
        <v>12264</v>
      </c>
      <c r="J13" t="str">
        <f t="shared" si="0"/>
        <v>ia.assorted_string like '%102086-00015-11-2024%' or</v>
      </c>
    </row>
    <row r="14" spans="1:10" x14ac:dyDescent="0.25">
      <c r="A14" s="12" t="s">
        <v>11393</v>
      </c>
      <c r="B14" t="s">
        <v>12248</v>
      </c>
      <c r="H14">
        <v>102086</v>
      </c>
      <c r="I14" t="s">
        <v>12265</v>
      </c>
      <c r="J14" t="str">
        <f t="shared" si="0"/>
        <v>ia.assorted_string like '%102086-00016-11-2024%' or</v>
      </c>
    </row>
    <row r="15" spans="1:10" x14ac:dyDescent="0.25">
      <c r="A15" s="12" t="s">
        <v>11394</v>
      </c>
      <c r="B15" t="s">
        <v>12248</v>
      </c>
      <c r="H15">
        <v>102086</v>
      </c>
      <c r="I15" t="s">
        <v>12266</v>
      </c>
      <c r="J15" t="str">
        <f t="shared" si="0"/>
        <v>ia.assorted_string like '%102086-00017-11-2024%' or</v>
      </c>
    </row>
    <row r="16" spans="1:10" x14ac:dyDescent="0.25">
      <c r="A16" s="12" t="s">
        <v>11395</v>
      </c>
      <c r="B16" t="s">
        <v>12248</v>
      </c>
      <c r="H16">
        <v>102086</v>
      </c>
      <c r="I16" t="s">
        <v>12267</v>
      </c>
      <c r="J16" t="str">
        <f t="shared" si="0"/>
        <v>ia.assorted_string like '%102086-00020-11-2024%' or</v>
      </c>
    </row>
    <row r="17" spans="1:10" x14ac:dyDescent="0.25">
      <c r="A17" s="12" t="s">
        <v>11396</v>
      </c>
      <c r="B17" t="s">
        <v>12248</v>
      </c>
      <c r="H17">
        <v>102086</v>
      </c>
      <c r="I17" t="s">
        <v>12268</v>
      </c>
      <c r="J17" t="str">
        <f t="shared" si="0"/>
        <v>ia.assorted_string like '%102086-00021-11-2024%' or</v>
      </c>
    </row>
    <row r="18" spans="1:10" x14ac:dyDescent="0.25">
      <c r="A18" s="12" t="s">
        <v>11397</v>
      </c>
      <c r="B18" t="s">
        <v>12248</v>
      </c>
      <c r="H18">
        <v>102086</v>
      </c>
      <c r="I18" t="s">
        <v>12269</v>
      </c>
      <c r="J18" t="str">
        <f t="shared" si="0"/>
        <v>ia.assorted_string like '%102086-00022-11-2024%' or</v>
      </c>
    </row>
    <row r="19" spans="1:10" x14ac:dyDescent="0.25">
      <c r="A19" s="12" t="s">
        <v>11398</v>
      </c>
      <c r="B19" t="s">
        <v>12248</v>
      </c>
      <c r="H19">
        <v>102086</v>
      </c>
      <c r="I19" t="s">
        <v>12270</v>
      </c>
      <c r="J19" t="str">
        <f t="shared" si="0"/>
        <v>ia.assorted_string like '%102086-00023-11-2024%' or</v>
      </c>
    </row>
    <row r="20" spans="1:10" x14ac:dyDescent="0.25">
      <c r="A20" s="12" t="s">
        <v>11399</v>
      </c>
      <c r="B20" t="s">
        <v>12248</v>
      </c>
      <c r="H20">
        <v>102086</v>
      </c>
      <c r="I20" t="s">
        <v>12271</v>
      </c>
      <c r="J20" t="str">
        <f t="shared" si="0"/>
        <v>ia.assorted_string like '%102086-00024-11-2024%' or</v>
      </c>
    </row>
    <row r="21" spans="1:10" x14ac:dyDescent="0.25">
      <c r="A21" s="12" t="s">
        <v>11400</v>
      </c>
      <c r="B21" t="s">
        <v>12248</v>
      </c>
      <c r="H21">
        <v>102086</v>
      </c>
      <c r="I21" t="s">
        <v>12272</v>
      </c>
      <c r="J21" t="str">
        <f t="shared" si="0"/>
        <v>ia.assorted_string like '%102086-00026-11-2024%' or</v>
      </c>
    </row>
    <row r="22" spans="1:10" x14ac:dyDescent="0.25">
      <c r="A22" s="12" t="s">
        <v>11401</v>
      </c>
      <c r="B22" t="s">
        <v>12248</v>
      </c>
      <c r="H22">
        <v>102086</v>
      </c>
      <c r="I22" t="s">
        <v>12273</v>
      </c>
      <c r="J22" t="str">
        <f t="shared" si="0"/>
        <v>ia.assorted_string like '%102086-00028-11-2024%' or</v>
      </c>
    </row>
    <row r="23" spans="1:10" x14ac:dyDescent="0.25">
      <c r="A23" s="12" t="s">
        <v>11402</v>
      </c>
      <c r="B23" t="s">
        <v>12248</v>
      </c>
      <c r="H23">
        <v>102086</v>
      </c>
      <c r="I23" t="s">
        <v>12274</v>
      </c>
      <c r="J23" t="str">
        <f t="shared" si="0"/>
        <v>ia.assorted_string like '%102086-00031-11-2024%' or</v>
      </c>
    </row>
    <row r="24" spans="1:10" x14ac:dyDescent="0.25">
      <c r="A24" s="12" t="s">
        <v>11403</v>
      </c>
      <c r="B24" t="s">
        <v>12248</v>
      </c>
      <c r="H24">
        <v>102086</v>
      </c>
      <c r="I24" t="s">
        <v>12275</v>
      </c>
      <c r="J24" t="str">
        <f t="shared" si="0"/>
        <v>ia.assorted_string like '%102086-00036-11-2024%' or</v>
      </c>
    </row>
    <row r="25" spans="1:10" x14ac:dyDescent="0.25">
      <c r="A25" s="12" t="s">
        <v>11404</v>
      </c>
      <c r="B25" t="s">
        <v>12248</v>
      </c>
      <c r="H25">
        <v>102086</v>
      </c>
      <c r="I25" t="s">
        <v>12276</v>
      </c>
      <c r="J25" t="str">
        <f t="shared" si="0"/>
        <v>ia.assorted_string like '%102086-00037-11-2024%' or</v>
      </c>
    </row>
    <row r="26" spans="1:10" x14ac:dyDescent="0.25">
      <c r="A26" s="12" t="s">
        <v>11405</v>
      </c>
      <c r="B26" t="s">
        <v>12248</v>
      </c>
      <c r="H26">
        <v>102086</v>
      </c>
      <c r="I26" t="s">
        <v>12277</v>
      </c>
      <c r="J26" t="str">
        <f t="shared" si="0"/>
        <v>ia.assorted_string like '%102086-00038-11-2024%' or</v>
      </c>
    </row>
    <row r="27" spans="1:10" x14ac:dyDescent="0.25">
      <c r="A27" s="12" t="s">
        <v>11406</v>
      </c>
      <c r="B27" t="s">
        <v>12248</v>
      </c>
      <c r="H27">
        <v>102086</v>
      </c>
      <c r="I27" t="s">
        <v>12278</v>
      </c>
      <c r="J27" t="str">
        <f t="shared" si="0"/>
        <v>ia.assorted_string like '%102086-00039-11-2024%' or</v>
      </c>
    </row>
    <row r="28" spans="1:10" x14ac:dyDescent="0.25">
      <c r="A28" s="12" t="s">
        <v>11407</v>
      </c>
      <c r="B28" t="s">
        <v>12248</v>
      </c>
      <c r="H28">
        <v>102086</v>
      </c>
      <c r="I28" t="s">
        <v>12279</v>
      </c>
      <c r="J28" t="str">
        <f t="shared" si="0"/>
        <v>ia.assorted_string like '%102086-00040-11-2024%' or</v>
      </c>
    </row>
    <row r="29" spans="1:10" x14ac:dyDescent="0.25">
      <c r="A29" s="12" t="s">
        <v>11408</v>
      </c>
      <c r="B29" t="s">
        <v>12248</v>
      </c>
      <c r="H29">
        <v>102086</v>
      </c>
      <c r="I29" t="s">
        <v>12280</v>
      </c>
      <c r="J29" t="str">
        <f t="shared" si="0"/>
        <v>ia.assorted_string like '%102086-00042-11-2024%' or</v>
      </c>
    </row>
    <row r="30" spans="1:10" x14ac:dyDescent="0.25">
      <c r="A30" s="12" t="s">
        <v>11409</v>
      </c>
      <c r="B30" t="s">
        <v>12248</v>
      </c>
      <c r="H30">
        <v>102086</v>
      </c>
      <c r="I30" t="s">
        <v>12281</v>
      </c>
      <c r="J30" t="str">
        <f t="shared" si="0"/>
        <v>ia.assorted_string like '%102086-00044-11-2024%' or</v>
      </c>
    </row>
    <row r="31" spans="1:10" x14ac:dyDescent="0.25">
      <c r="A31" s="12" t="s">
        <v>11410</v>
      </c>
      <c r="B31" t="s">
        <v>12248</v>
      </c>
      <c r="H31">
        <v>102086</v>
      </c>
      <c r="I31" t="s">
        <v>12282</v>
      </c>
      <c r="J31" t="str">
        <f t="shared" si="0"/>
        <v>ia.assorted_string like '%102086-00045-11-2024%' or</v>
      </c>
    </row>
    <row r="32" spans="1:10" x14ac:dyDescent="0.25">
      <c r="A32" s="12" t="s">
        <v>11411</v>
      </c>
      <c r="B32" t="s">
        <v>12248</v>
      </c>
      <c r="H32">
        <v>102086</v>
      </c>
      <c r="I32" t="s">
        <v>12283</v>
      </c>
      <c r="J32" t="str">
        <f t="shared" si="0"/>
        <v>ia.assorted_string like '%102086-00047-11-2024%' or</v>
      </c>
    </row>
    <row r="33" spans="1:10" x14ac:dyDescent="0.25">
      <c r="A33" s="12" t="s">
        <v>11412</v>
      </c>
      <c r="B33" t="s">
        <v>12248</v>
      </c>
      <c r="H33">
        <v>102086</v>
      </c>
      <c r="I33" t="s">
        <v>12284</v>
      </c>
      <c r="J33" t="str">
        <f t="shared" si="0"/>
        <v>ia.assorted_string like '%102086-00048-11-2024%' or</v>
      </c>
    </row>
    <row r="34" spans="1:10" x14ac:dyDescent="0.25">
      <c r="A34" s="12" t="s">
        <v>11413</v>
      </c>
      <c r="B34" t="s">
        <v>12248</v>
      </c>
      <c r="H34">
        <v>102086</v>
      </c>
      <c r="I34" t="s">
        <v>12285</v>
      </c>
      <c r="J34" t="str">
        <f t="shared" si="0"/>
        <v>ia.assorted_string like '%102086-00049-11-2024%' or</v>
      </c>
    </row>
    <row r="35" spans="1:10" x14ac:dyDescent="0.25">
      <c r="A35" s="12" t="s">
        <v>11414</v>
      </c>
      <c r="B35" t="s">
        <v>12248</v>
      </c>
      <c r="H35">
        <v>102086</v>
      </c>
      <c r="I35" t="s">
        <v>12286</v>
      </c>
      <c r="J35" t="str">
        <f t="shared" si="0"/>
        <v>ia.assorted_string like '%102086-00050-11-2024%' or</v>
      </c>
    </row>
    <row r="36" spans="1:10" x14ac:dyDescent="0.25">
      <c r="A36" s="12" t="s">
        <v>11415</v>
      </c>
      <c r="B36" t="s">
        <v>12248</v>
      </c>
      <c r="H36">
        <v>102086</v>
      </c>
      <c r="I36" t="s">
        <v>12287</v>
      </c>
      <c r="J36" t="str">
        <f t="shared" si="0"/>
        <v>ia.assorted_string like '%102086-00051-11-2024%' or</v>
      </c>
    </row>
    <row r="37" spans="1:10" x14ac:dyDescent="0.25">
      <c r="A37" s="12" t="s">
        <v>11416</v>
      </c>
      <c r="B37" t="s">
        <v>12248</v>
      </c>
      <c r="H37">
        <v>102086</v>
      </c>
      <c r="I37" t="s">
        <v>12288</v>
      </c>
      <c r="J37" t="str">
        <f t="shared" si="0"/>
        <v>ia.assorted_string like '%102086-00052-11-2024%' or</v>
      </c>
    </row>
    <row r="38" spans="1:10" x14ac:dyDescent="0.25">
      <c r="A38" s="12" t="s">
        <v>11417</v>
      </c>
      <c r="B38" t="s">
        <v>12248</v>
      </c>
      <c r="H38">
        <v>102086</v>
      </c>
      <c r="I38" t="s">
        <v>12289</v>
      </c>
      <c r="J38" t="str">
        <f t="shared" si="0"/>
        <v>ia.assorted_string like '%102086-00053-11-2024%' or</v>
      </c>
    </row>
    <row r="39" spans="1:10" x14ac:dyDescent="0.25">
      <c r="A39" s="12" t="s">
        <v>11418</v>
      </c>
      <c r="B39" t="s">
        <v>12248</v>
      </c>
      <c r="H39">
        <v>102086</v>
      </c>
      <c r="I39" t="s">
        <v>12290</v>
      </c>
      <c r="J39" t="str">
        <f t="shared" si="0"/>
        <v>ia.assorted_string like '%102086-00054-11-2024%' or</v>
      </c>
    </row>
    <row r="40" spans="1:10" x14ac:dyDescent="0.25">
      <c r="A40" s="12" t="s">
        <v>11419</v>
      </c>
      <c r="B40" t="s">
        <v>12248</v>
      </c>
      <c r="H40">
        <v>102086</v>
      </c>
      <c r="I40" t="s">
        <v>12291</v>
      </c>
      <c r="J40" t="str">
        <f t="shared" si="0"/>
        <v>ia.assorted_string like '%102086-00055-11-2024%' or</v>
      </c>
    </row>
    <row r="41" spans="1:10" s="20" customFormat="1" x14ac:dyDescent="0.25">
      <c r="A41" s="19" t="s">
        <v>11420</v>
      </c>
      <c r="B41" s="20" t="s">
        <v>12249</v>
      </c>
      <c r="H41" s="20">
        <v>103649</v>
      </c>
      <c r="I41">
        <v>12</v>
      </c>
      <c r="J41" t="s">
        <v>12668</v>
      </c>
    </row>
    <row r="42" spans="1:10" x14ac:dyDescent="0.25">
      <c r="A42" s="12" t="s">
        <v>11421</v>
      </c>
      <c r="B42" t="s">
        <v>12248</v>
      </c>
      <c r="H42">
        <v>102086</v>
      </c>
      <c r="I42" t="s">
        <v>12292</v>
      </c>
      <c r="J42" t="str">
        <f t="shared" si="0"/>
        <v>ia.assorted_string like '%102086-00407-11-2024%' or</v>
      </c>
    </row>
    <row r="43" spans="1:10" x14ac:dyDescent="0.25">
      <c r="A43" s="12" t="s">
        <v>11422</v>
      </c>
      <c r="B43" t="s">
        <v>12248</v>
      </c>
      <c r="H43">
        <v>102086</v>
      </c>
      <c r="I43" t="s">
        <v>12293</v>
      </c>
      <c r="J43" t="str">
        <f t="shared" si="0"/>
        <v>ia.assorted_string like '%102086-00060-11-2024%' or</v>
      </c>
    </row>
    <row r="44" spans="1:10" x14ac:dyDescent="0.25">
      <c r="A44" s="12" t="s">
        <v>11423</v>
      </c>
      <c r="B44" t="s">
        <v>12248</v>
      </c>
      <c r="H44">
        <v>102086</v>
      </c>
      <c r="I44" t="s">
        <v>12294</v>
      </c>
      <c r="J44" t="str">
        <f t="shared" si="0"/>
        <v>ia.assorted_string like '%102086-00061-11-2024%' or</v>
      </c>
    </row>
    <row r="45" spans="1:10" x14ac:dyDescent="0.25">
      <c r="A45" s="12" t="s">
        <v>11424</v>
      </c>
      <c r="B45" t="s">
        <v>12248</v>
      </c>
      <c r="H45">
        <v>102086</v>
      </c>
      <c r="I45" t="s">
        <v>12295</v>
      </c>
      <c r="J45" t="str">
        <f t="shared" si="0"/>
        <v>ia.assorted_string like '%102086-00062-11-2024%' or</v>
      </c>
    </row>
    <row r="46" spans="1:10" x14ac:dyDescent="0.25">
      <c r="A46" s="12" t="s">
        <v>11425</v>
      </c>
      <c r="B46" t="s">
        <v>12248</v>
      </c>
      <c r="H46">
        <v>102086</v>
      </c>
      <c r="I46" t="s">
        <v>12296</v>
      </c>
      <c r="J46" t="str">
        <f t="shared" si="0"/>
        <v>ia.assorted_string like '%102086-00063-11-2024%' or</v>
      </c>
    </row>
    <row r="47" spans="1:10" x14ac:dyDescent="0.25">
      <c r="A47" s="12" t="s">
        <v>11426</v>
      </c>
      <c r="B47" t="s">
        <v>12248</v>
      </c>
      <c r="H47">
        <v>102086</v>
      </c>
      <c r="I47" t="s">
        <v>12297</v>
      </c>
      <c r="J47" t="str">
        <f t="shared" si="0"/>
        <v>ia.assorted_string like '%102086-00067-11-2024%' or</v>
      </c>
    </row>
    <row r="48" spans="1:10" x14ac:dyDescent="0.25">
      <c r="A48" s="12" t="s">
        <v>11427</v>
      </c>
      <c r="B48" t="s">
        <v>12248</v>
      </c>
      <c r="H48">
        <v>102086</v>
      </c>
      <c r="I48" t="s">
        <v>12298</v>
      </c>
      <c r="J48" t="str">
        <f t="shared" si="0"/>
        <v>ia.assorted_string like '%102086-00068-11-2024%' or</v>
      </c>
    </row>
    <row r="49" spans="1:10" x14ac:dyDescent="0.25">
      <c r="A49" s="12" t="s">
        <v>11428</v>
      </c>
      <c r="B49" t="s">
        <v>12248</v>
      </c>
      <c r="H49">
        <v>102086</v>
      </c>
      <c r="I49" t="s">
        <v>12299</v>
      </c>
      <c r="J49" t="str">
        <f t="shared" si="0"/>
        <v>ia.assorted_string like '%102086-00069-11-2024%' or</v>
      </c>
    </row>
    <row r="50" spans="1:10" x14ac:dyDescent="0.25">
      <c r="A50" s="12" t="s">
        <v>11429</v>
      </c>
      <c r="B50" t="s">
        <v>12248</v>
      </c>
      <c r="H50">
        <v>102086</v>
      </c>
      <c r="I50" t="s">
        <v>12300</v>
      </c>
      <c r="J50" t="str">
        <f t="shared" si="0"/>
        <v>ia.assorted_string like '%102086-00074-11-2024%' or</v>
      </c>
    </row>
    <row r="51" spans="1:10" x14ac:dyDescent="0.25">
      <c r="A51" s="12" t="s">
        <v>11430</v>
      </c>
      <c r="B51" t="s">
        <v>12248</v>
      </c>
      <c r="H51">
        <v>102086</v>
      </c>
      <c r="I51" t="s">
        <v>12301</v>
      </c>
      <c r="J51" t="str">
        <f t="shared" si="0"/>
        <v>ia.assorted_string like '%102086-00075-11-2024%' or</v>
      </c>
    </row>
    <row r="52" spans="1:10" x14ac:dyDescent="0.25">
      <c r="A52" s="12" t="s">
        <v>11431</v>
      </c>
      <c r="B52" t="s">
        <v>12248</v>
      </c>
      <c r="H52">
        <v>102086</v>
      </c>
      <c r="I52" t="s">
        <v>12302</v>
      </c>
      <c r="J52" t="str">
        <f t="shared" si="0"/>
        <v>ia.assorted_string like '%102086-00076-11-2024%' or</v>
      </c>
    </row>
    <row r="53" spans="1:10" x14ac:dyDescent="0.25">
      <c r="A53" s="12" t="s">
        <v>11432</v>
      </c>
      <c r="B53" t="s">
        <v>12248</v>
      </c>
      <c r="H53">
        <v>102086</v>
      </c>
      <c r="I53" t="s">
        <v>12303</v>
      </c>
      <c r="J53" t="str">
        <f t="shared" si="0"/>
        <v>ia.assorted_string like '%102086-00077-11-2024%' or</v>
      </c>
    </row>
    <row r="54" spans="1:10" x14ac:dyDescent="0.25">
      <c r="A54" s="12" t="s">
        <v>11433</v>
      </c>
      <c r="B54" t="s">
        <v>12248</v>
      </c>
      <c r="H54">
        <v>102086</v>
      </c>
      <c r="I54" t="s">
        <v>12304</v>
      </c>
      <c r="J54" t="str">
        <f t="shared" si="0"/>
        <v>ia.assorted_string like '%102086-00078-11-2024%' or</v>
      </c>
    </row>
    <row r="55" spans="1:10" x14ac:dyDescent="0.25">
      <c r="A55" s="12" t="s">
        <v>11434</v>
      </c>
      <c r="B55" t="s">
        <v>12248</v>
      </c>
      <c r="H55">
        <v>102086</v>
      </c>
      <c r="I55" t="s">
        <v>12305</v>
      </c>
      <c r="J55" t="str">
        <f t="shared" si="0"/>
        <v>ia.assorted_string like '%102086-00080-11-2024%' or</v>
      </c>
    </row>
    <row r="56" spans="1:10" x14ac:dyDescent="0.25">
      <c r="A56" s="12" t="s">
        <v>11435</v>
      </c>
      <c r="B56" t="s">
        <v>12248</v>
      </c>
      <c r="H56">
        <v>102086</v>
      </c>
      <c r="I56" t="s">
        <v>12306</v>
      </c>
      <c r="J56" t="str">
        <f t="shared" si="0"/>
        <v>ia.assorted_string like '%102086-00083-11-2024%' or</v>
      </c>
    </row>
    <row r="57" spans="1:10" x14ac:dyDescent="0.25">
      <c r="A57" s="12" t="s">
        <v>11436</v>
      </c>
      <c r="B57" t="s">
        <v>12248</v>
      </c>
      <c r="H57">
        <v>102086</v>
      </c>
      <c r="I57" t="s">
        <v>12307</v>
      </c>
      <c r="J57" t="str">
        <f t="shared" si="0"/>
        <v>ia.assorted_string like '%102086-00085-11-2024%' or</v>
      </c>
    </row>
    <row r="58" spans="1:10" x14ac:dyDescent="0.25">
      <c r="A58" s="12" t="s">
        <v>11437</v>
      </c>
      <c r="B58" t="s">
        <v>12248</v>
      </c>
      <c r="H58">
        <v>102086</v>
      </c>
      <c r="I58" t="s">
        <v>12308</v>
      </c>
      <c r="J58" t="str">
        <f t="shared" si="0"/>
        <v>ia.assorted_string like '%102086-00086-11-2024%' or</v>
      </c>
    </row>
    <row r="59" spans="1:10" x14ac:dyDescent="0.25">
      <c r="A59" s="12" t="s">
        <v>11438</v>
      </c>
      <c r="B59" t="s">
        <v>12248</v>
      </c>
      <c r="H59">
        <v>102086</v>
      </c>
      <c r="I59" t="s">
        <v>12309</v>
      </c>
      <c r="J59" t="str">
        <f t="shared" si="0"/>
        <v>ia.assorted_string like '%102086-00087-11-2024%' or</v>
      </c>
    </row>
    <row r="60" spans="1:10" x14ac:dyDescent="0.25">
      <c r="A60" s="12" t="s">
        <v>11439</v>
      </c>
      <c r="B60" t="s">
        <v>12248</v>
      </c>
      <c r="H60">
        <v>102086</v>
      </c>
      <c r="I60" t="s">
        <v>12310</v>
      </c>
      <c r="J60" t="str">
        <f t="shared" si="0"/>
        <v>ia.assorted_string like '%102086-00088-11-2024%' or</v>
      </c>
    </row>
    <row r="61" spans="1:10" x14ac:dyDescent="0.25">
      <c r="A61" s="12" t="s">
        <v>11440</v>
      </c>
      <c r="B61" t="s">
        <v>12248</v>
      </c>
      <c r="H61">
        <v>102086</v>
      </c>
      <c r="I61" t="s">
        <v>12311</v>
      </c>
      <c r="J61" t="str">
        <f t="shared" si="0"/>
        <v>ia.assorted_string like '%102086-00089-11-2024%' or</v>
      </c>
    </row>
    <row r="62" spans="1:10" x14ac:dyDescent="0.25">
      <c r="A62" s="12" t="s">
        <v>11441</v>
      </c>
      <c r="B62" t="s">
        <v>12248</v>
      </c>
      <c r="H62">
        <v>102086</v>
      </c>
      <c r="I62" t="s">
        <v>12312</v>
      </c>
      <c r="J62" t="str">
        <f t="shared" si="0"/>
        <v>ia.assorted_string like '%102086-00094-11-2024%' or</v>
      </c>
    </row>
    <row r="63" spans="1:10" x14ac:dyDescent="0.25">
      <c r="A63" s="12" t="s">
        <v>11442</v>
      </c>
      <c r="B63" t="s">
        <v>12248</v>
      </c>
      <c r="H63">
        <v>102086</v>
      </c>
      <c r="I63" t="s">
        <v>12313</v>
      </c>
      <c r="J63" t="str">
        <f t="shared" si="0"/>
        <v>ia.assorted_string like '%102086-00096-11-2024%' or</v>
      </c>
    </row>
    <row r="64" spans="1:10" x14ac:dyDescent="0.25">
      <c r="A64" s="12" t="s">
        <v>11443</v>
      </c>
      <c r="B64" t="s">
        <v>12248</v>
      </c>
      <c r="H64">
        <v>102086</v>
      </c>
      <c r="I64" t="s">
        <v>12314</v>
      </c>
      <c r="J64" t="str">
        <f t="shared" si="0"/>
        <v>ia.assorted_string like '%102086-00097-11-2024%' or</v>
      </c>
    </row>
    <row r="65" spans="1:10" x14ac:dyDescent="0.25">
      <c r="A65" s="12" t="s">
        <v>11444</v>
      </c>
      <c r="B65" t="s">
        <v>12248</v>
      </c>
      <c r="H65">
        <v>102086</v>
      </c>
      <c r="I65" t="s">
        <v>12315</v>
      </c>
      <c r="J65" t="str">
        <f t="shared" si="0"/>
        <v>ia.assorted_string like '%102086-00098-11-2024%' or</v>
      </c>
    </row>
    <row r="66" spans="1:10" x14ac:dyDescent="0.25">
      <c r="A66" s="12" t="s">
        <v>11445</v>
      </c>
      <c r="B66" t="s">
        <v>12248</v>
      </c>
      <c r="H66">
        <v>102086</v>
      </c>
      <c r="I66" t="s">
        <v>12316</v>
      </c>
      <c r="J66" t="str">
        <f t="shared" si="0"/>
        <v>ia.assorted_string like '%102086-00099-11-2024%' or</v>
      </c>
    </row>
    <row r="67" spans="1:10" x14ac:dyDescent="0.25">
      <c r="A67" s="12" t="s">
        <v>11446</v>
      </c>
      <c r="B67" t="s">
        <v>12248</v>
      </c>
      <c r="H67">
        <v>102086</v>
      </c>
      <c r="I67" t="s">
        <v>12317</v>
      </c>
      <c r="J67" t="str">
        <f t="shared" ref="J67:J130" si="1">"ia.assorted_string like '%"&amp;H67&amp;"-"&amp;I67&amp;B67&amp;"%' or"</f>
        <v>ia.assorted_string like '%102086-00100-11-2024%' or</v>
      </c>
    </row>
    <row r="68" spans="1:10" x14ac:dyDescent="0.25">
      <c r="A68" s="12" t="s">
        <v>11447</v>
      </c>
      <c r="B68" t="s">
        <v>12248</v>
      </c>
      <c r="H68">
        <v>102086</v>
      </c>
      <c r="I68" t="s">
        <v>12318</v>
      </c>
      <c r="J68" t="str">
        <f t="shared" si="1"/>
        <v>ia.assorted_string like '%102086-00103-11-2024%' or</v>
      </c>
    </row>
    <row r="69" spans="1:10" x14ac:dyDescent="0.25">
      <c r="A69" s="12" t="s">
        <v>11448</v>
      </c>
      <c r="B69" t="s">
        <v>12248</v>
      </c>
      <c r="H69">
        <v>102086</v>
      </c>
      <c r="I69" t="s">
        <v>12319</v>
      </c>
      <c r="J69" t="str">
        <f t="shared" si="1"/>
        <v>ia.assorted_string like '%102086-00108-11-2024%' or</v>
      </c>
    </row>
    <row r="70" spans="1:10" x14ac:dyDescent="0.25">
      <c r="A70" s="12" t="s">
        <v>11449</v>
      </c>
      <c r="B70" t="s">
        <v>12248</v>
      </c>
      <c r="H70">
        <v>102086</v>
      </c>
      <c r="I70" t="s">
        <v>12320</v>
      </c>
      <c r="J70" t="str">
        <f t="shared" si="1"/>
        <v>ia.assorted_string like '%102086-00109-11-2024%' or</v>
      </c>
    </row>
    <row r="71" spans="1:10" x14ac:dyDescent="0.25">
      <c r="A71" s="12" t="s">
        <v>11450</v>
      </c>
      <c r="B71" t="s">
        <v>12248</v>
      </c>
      <c r="H71">
        <v>102086</v>
      </c>
      <c r="I71" t="s">
        <v>12321</v>
      </c>
      <c r="J71" t="str">
        <f t="shared" si="1"/>
        <v>ia.assorted_string like '%102086-00113-11-2024%' or</v>
      </c>
    </row>
    <row r="72" spans="1:10" x14ac:dyDescent="0.25">
      <c r="A72" s="12" t="s">
        <v>11451</v>
      </c>
      <c r="B72" t="s">
        <v>12248</v>
      </c>
      <c r="H72">
        <v>102086</v>
      </c>
      <c r="I72" t="s">
        <v>12322</v>
      </c>
      <c r="J72" t="str">
        <f t="shared" si="1"/>
        <v>ia.assorted_string like '%102086-00114-11-2024%' or</v>
      </c>
    </row>
    <row r="73" spans="1:10" x14ac:dyDescent="0.25">
      <c r="A73" s="12" t="s">
        <v>11452</v>
      </c>
      <c r="B73" t="s">
        <v>12248</v>
      </c>
      <c r="H73">
        <v>102086</v>
      </c>
      <c r="I73" t="s">
        <v>12323</v>
      </c>
      <c r="J73" t="str">
        <f t="shared" si="1"/>
        <v>ia.assorted_string like '%102086-00115-11-2024%' or</v>
      </c>
    </row>
    <row r="74" spans="1:10" x14ac:dyDescent="0.25">
      <c r="A74" s="12" t="s">
        <v>11453</v>
      </c>
      <c r="B74" t="s">
        <v>12248</v>
      </c>
      <c r="H74">
        <v>102086</v>
      </c>
      <c r="I74" t="s">
        <v>12324</v>
      </c>
      <c r="J74" t="str">
        <f t="shared" si="1"/>
        <v>ia.assorted_string like '%102086-00117-11-2024%' or</v>
      </c>
    </row>
    <row r="75" spans="1:10" x14ac:dyDescent="0.25">
      <c r="A75" s="12" t="s">
        <v>11454</v>
      </c>
      <c r="B75" t="s">
        <v>12248</v>
      </c>
      <c r="H75">
        <v>102086</v>
      </c>
      <c r="I75" t="s">
        <v>12325</v>
      </c>
      <c r="J75" t="str">
        <f t="shared" si="1"/>
        <v>ia.assorted_string like '%102086-00122-11-2024%' or</v>
      </c>
    </row>
    <row r="76" spans="1:10" x14ac:dyDescent="0.25">
      <c r="A76" s="12" t="s">
        <v>11455</v>
      </c>
      <c r="B76" t="s">
        <v>12248</v>
      </c>
      <c r="H76">
        <v>102086</v>
      </c>
      <c r="I76" t="s">
        <v>12326</v>
      </c>
      <c r="J76" t="str">
        <f t="shared" si="1"/>
        <v>ia.assorted_string like '%102086-00126-11-2024%' or</v>
      </c>
    </row>
    <row r="77" spans="1:10" x14ac:dyDescent="0.25">
      <c r="A77" s="12" t="s">
        <v>11456</v>
      </c>
      <c r="B77" t="s">
        <v>12248</v>
      </c>
      <c r="H77">
        <v>102086</v>
      </c>
      <c r="I77" t="s">
        <v>12327</v>
      </c>
      <c r="J77" t="str">
        <f t="shared" si="1"/>
        <v>ia.assorted_string like '%102086-00127-11-2024%' or</v>
      </c>
    </row>
    <row r="78" spans="1:10" x14ac:dyDescent="0.25">
      <c r="A78" s="12" t="s">
        <v>11457</v>
      </c>
      <c r="B78" t="s">
        <v>12248</v>
      </c>
      <c r="H78">
        <v>102086</v>
      </c>
      <c r="I78" t="s">
        <v>12328</v>
      </c>
      <c r="J78" t="str">
        <f t="shared" si="1"/>
        <v>ia.assorted_string like '%102086-00130-11-2024%' or</v>
      </c>
    </row>
    <row r="79" spans="1:10" x14ac:dyDescent="0.25">
      <c r="A79" s="12" t="s">
        <v>11458</v>
      </c>
      <c r="B79" t="s">
        <v>12248</v>
      </c>
      <c r="H79">
        <v>102086</v>
      </c>
      <c r="I79" t="s">
        <v>12329</v>
      </c>
      <c r="J79" t="str">
        <f t="shared" si="1"/>
        <v>ia.assorted_string like '%102086-00131-11-2024%' or</v>
      </c>
    </row>
    <row r="80" spans="1:10" x14ac:dyDescent="0.25">
      <c r="A80" s="12" t="s">
        <v>11459</v>
      </c>
      <c r="B80" t="s">
        <v>12248</v>
      </c>
      <c r="H80">
        <v>102086</v>
      </c>
      <c r="I80" t="s">
        <v>12330</v>
      </c>
      <c r="J80" t="str">
        <f t="shared" si="1"/>
        <v>ia.assorted_string like '%102086-00138-11-2024%' or</v>
      </c>
    </row>
    <row r="81" spans="1:10" x14ac:dyDescent="0.25">
      <c r="A81" s="12" t="s">
        <v>11460</v>
      </c>
      <c r="B81" t="s">
        <v>12248</v>
      </c>
      <c r="H81">
        <v>102086</v>
      </c>
      <c r="I81" t="s">
        <v>12331</v>
      </c>
      <c r="J81" t="str">
        <f t="shared" si="1"/>
        <v>ia.assorted_string like '%102086-00144-11-2024%' or</v>
      </c>
    </row>
    <row r="82" spans="1:10" x14ac:dyDescent="0.25">
      <c r="A82" s="12" t="s">
        <v>11461</v>
      </c>
      <c r="B82" t="s">
        <v>12248</v>
      </c>
      <c r="H82">
        <v>102086</v>
      </c>
      <c r="I82" t="s">
        <v>12332</v>
      </c>
      <c r="J82" t="str">
        <f t="shared" si="1"/>
        <v>ia.assorted_string like '%102086-00145-11-2024%' or</v>
      </c>
    </row>
    <row r="83" spans="1:10" x14ac:dyDescent="0.25">
      <c r="A83" s="12" t="s">
        <v>11462</v>
      </c>
      <c r="B83" t="s">
        <v>12248</v>
      </c>
      <c r="H83">
        <v>102086</v>
      </c>
      <c r="I83" t="s">
        <v>12333</v>
      </c>
      <c r="J83" t="str">
        <f t="shared" si="1"/>
        <v>ia.assorted_string like '%102086-00150-11-2024%' or</v>
      </c>
    </row>
    <row r="84" spans="1:10" x14ac:dyDescent="0.25">
      <c r="A84" s="12" t="s">
        <v>11463</v>
      </c>
      <c r="B84" t="s">
        <v>12248</v>
      </c>
      <c r="H84">
        <v>102086</v>
      </c>
      <c r="I84" t="s">
        <v>12334</v>
      </c>
      <c r="J84" t="str">
        <f t="shared" si="1"/>
        <v>ia.assorted_string like '%102086-00151-11-2024%' or</v>
      </c>
    </row>
    <row r="85" spans="1:10" x14ac:dyDescent="0.25">
      <c r="A85" s="12" t="s">
        <v>11464</v>
      </c>
      <c r="B85" t="s">
        <v>12248</v>
      </c>
      <c r="H85">
        <v>102086</v>
      </c>
      <c r="I85" t="s">
        <v>12335</v>
      </c>
      <c r="J85" t="str">
        <f t="shared" si="1"/>
        <v>ia.assorted_string like '%102086-00152-11-2024%' or</v>
      </c>
    </row>
    <row r="86" spans="1:10" x14ac:dyDescent="0.25">
      <c r="A86" s="12" t="s">
        <v>11465</v>
      </c>
      <c r="B86" t="s">
        <v>12248</v>
      </c>
      <c r="H86">
        <v>102086</v>
      </c>
      <c r="I86" t="s">
        <v>12336</v>
      </c>
      <c r="J86" t="str">
        <f t="shared" si="1"/>
        <v>ia.assorted_string like '%102086-00153-11-2024%' or</v>
      </c>
    </row>
    <row r="87" spans="1:10" x14ac:dyDescent="0.25">
      <c r="A87" s="12" t="s">
        <v>11466</v>
      </c>
      <c r="B87" t="s">
        <v>12248</v>
      </c>
      <c r="H87">
        <v>102086</v>
      </c>
      <c r="I87" t="s">
        <v>12337</v>
      </c>
      <c r="J87" t="str">
        <f t="shared" si="1"/>
        <v>ia.assorted_string like '%102086-00155-11-2024%' or</v>
      </c>
    </row>
    <row r="88" spans="1:10" x14ac:dyDescent="0.25">
      <c r="A88" s="12" t="s">
        <v>11467</v>
      </c>
      <c r="B88" t="s">
        <v>12248</v>
      </c>
      <c r="H88">
        <v>102086</v>
      </c>
      <c r="I88" t="s">
        <v>12338</v>
      </c>
      <c r="J88" t="str">
        <f t="shared" si="1"/>
        <v>ia.assorted_string like '%102086-00156-11-2024%' or</v>
      </c>
    </row>
    <row r="89" spans="1:10" x14ac:dyDescent="0.25">
      <c r="A89" s="12" t="s">
        <v>11468</v>
      </c>
      <c r="B89" t="s">
        <v>12248</v>
      </c>
      <c r="H89">
        <v>102086</v>
      </c>
      <c r="I89" t="s">
        <v>12339</v>
      </c>
      <c r="J89" t="str">
        <f t="shared" si="1"/>
        <v>ia.assorted_string like '%102086-00158-11-2024%' or</v>
      </c>
    </row>
    <row r="90" spans="1:10" x14ac:dyDescent="0.25">
      <c r="A90" s="12" t="s">
        <v>11469</v>
      </c>
      <c r="B90" t="s">
        <v>12248</v>
      </c>
      <c r="H90">
        <v>102086</v>
      </c>
      <c r="I90" t="s">
        <v>12340</v>
      </c>
      <c r="J90" t="str">
        <f t="shared" si="1"/>
        <v>ia.assorted_string like '%102086-00159-11-2024%' or</v>
      </c>
    </row>
    <row r="91" spans="1:10" x14ac:dyDescent="0.25">
      <c r="A91" s="12" t="s">
        <v>11470</v>
      </c>
      <c r="B91" t="s">
        <v>12248</v>
      </c>
      <c r="H91">
        <v>102086</v>
      </c>
      <c r="I91" t="s">
        <v>12341</v>
      </c>
      <c r="J91" t="str">
        <f t="shared" si="1"/>
        <v>ia.assorted_string like '%102086-00160-11-2024%' or</v>
      </c>
    </row>
    <row r="92" spans="1:10" x14ac:dyDescent="0.25">
      <c r="A92" s="12" t="s">
        <v>11471</v>
      </c>
      <c r="B92" t="s">
        <v>12249</v>
      </c>
      <c r="H92">
        <v>104052</v>
      </c>
      <c r="I92" t="s">
        <v>12342</v>
      </c>
      <c r="J92" t="str">
        <f t="shared" si="1"/>
        <v>ia.assorted_string like '%104052-00001-12-2024%' or</v>
      </c>
    </row>
    <row r="93" spans="1:10" x14ac:dyDescent="0.25">
      <c r="A93" s="12" t="s">
        <v>11472</v>
      </c>
      <c r="B93" t="s">
        <v>12248</v>
      </c>
      <c r="H93">
        <v>102086</v>
      </c>
      <c r="I93" t="s">
        <v>12343</v>
      </c>
      <c r="J93" t="str">
        <f t="shared" si="1"/>
        <v>ia.assorted_string like '%102086-00162-11-2024%' or</v>
      </c>
    </row>
    <row r="94" spans="1:10" x14ac:dyDescent="0.25">
      <c r="A94" s="12" t="s">
        <v>11473</v>
      </c>
      <c r="B94" t="s">
        <v>12248</v>
      </c>
      <c r="H94">
        <v>102086</v>
      </c>
      <c r="I94" t="s">
        <v>12344</v>
      </c>
      <c r="J94" t="str">
        <f t="shared" si="1"/>
        <v>ia.assorted_string like '%102086-00165-11-2024%' or</v>
      </c>
    </row>
    <row r="95" spans="1:10" x14ac:dyDescent="0.25">
      <c r="A95" s="12" t="s">
        <v>11474</v>
      </c>
      <c r="B95" t="s">
        <v>12248</v>
      </c>
      <c r="H95">
        <v>102086</v>
      </c>
      <c r="I95" t="s">
        <v>12345</v>
      </c>
      <c r="J95" t="str">
        <f t="shared" si="1"/>
        <v>ia.assorted_string like '%102086-00166-11-2024%' or</v>
      </c>
    </row>
    <row r="96" spans="1:10" x14ac:dyDescent="0.25">
      <c r="A96" s="12" t="s">
        <v>11475</v>
      </c>
      <c r="B96" t="s">
        <v>12248</v>
      </c>
      <c r="H96">
        <v>102086</v>
      </c>
      <c r="I96" t="s">
        <v>12346</v>
      </c>
      <c r="J96" t="str">
        <f t="shared" si="1"/>
        <v>ia.assorted_string like '%102086-00167-11-2024%' or</v>
      </c>
    </row>
    <row r="97" spans="1:10" x14ac:dyDescent="0.25">
      <c r="A97" s="12" t="s">
        <v>11476</v>
      </c>
      <c r="B97" t="s">
        <v>12248</v>
      </c>
      <c r="H97">
        <v>102086</v>
      </c>
      <c r="I97" t="s">
        <v>12347</v>
      </c>
      <c r="J97" t="str">
        <f t="shared" si="1"/>
        <v>ia.assorted_string like '%102086-00170-11-2024%' or</v>
      </c>
    </row>
    <row r="98" spans="1:10" x14ac:dyDescent="0.25">
      <c r="A98" s="12" t="s">
        <v>11477</v>
      </c>
      <c r="B98" t="s">
        <v>12248</v>
      </c>
      <c r="H98">
        <v>102086</v>
      </c>
      <c r="I98" t="s">
        <v>12348</v>
      </c>
      <c r="J98" t="str">
        <f t="shared" si="1"/>
        <v>ia.assorted_string like '%102086-00171-11-2024%' or</v>
      </c>
    </row>
    <row r="99" spans="1:10" x14ac:dyDescent="0.25">
      <c r="A99" s="12" t="s">
        <v>11478</v>
      </c>
      <c r="B99" t="s">
        <v>12248</v>
      </c>
      <c r="H99">
        <v>102086</v>
      </c>
      <c r="I99" t="s">
        <v>12349</v>
      </c>
      <c r="J99" t="str">
        <f t="shared" si="1"/>
        <v>ia.assorted_string like '%102086-00172-11-2024%' or</v>
      </c>
    </row>
    <row r="100" spans="1:10" x14ac:dyDescent="0.25">
      <c r="A100" s="12" t="s">
        <v>11479</v>
      </c>
      <c r="B100" t="s">
        <v>12248</v>
      </c>
      <c r="H100">
        <v>102086</v>
      </c>
      <c r="I100" t="s">
        <v>12350</v>
      </c>
      <c r="J100" t="str">
        <f t="shared" si="1"/>
        <v>ia.assorted_string like '%102086-00175-11-2024%' or</v>
      </c>
    </row>
    <row r="101" spans="1:10" x14ac:dyDescent="0.25">
      <c r="A101" s="12" t="s">
        <v>11480</v>
      </c>
      <c r="B101" t="s">
        <v>12248</v>
      </c>
      <c r="H101">
        <v>102086</v>
      </c>
      <c r="I101" t="s">
        <v>12351</v>
      </c>
      <c r="J101" t="str">
        <f t="shared" si="1"/>
        <v>ia.assorted_string like '%102086-00176-11-2024%' or</v>
      </c>
    </row>
    <row r="102" spans="1:10" x14ac:dyDescent="0.25">
      <c r="A102" s="12" t="s">
        <v>11481</v>
      </c>
      <c r="B102" t="s">
        <v>12248</v>
      </c>
      <c r="H102">
        <v>102086</v>
      </c>
      <c r="I102" t="s">
        <v>12352</v>
      </c>
      <c r="J102" t="str">
        <f t="shared" si="1"/>
        <v>ia.assorted_string like '%102086-00177-11-2024%' or</v>
      </c>
    </row>
    <row r="103" spans="1:10" x14ac:dyDescent="0.25">
      <c r="A103" s="12" t="s">
        <v>11482</v>
      </c>
      <c r="B103" t="s">
        <v>12248</v>
      </c>
      <c r="H103">
        <v>102086</v>
      </c>
      <c r="I103" t="s">
        <v>12342</v>
      </c>
      <c r="J103" t="str">
        <f t="shared" si="1"/>
        <v>ia.assorted_string like '%102086-00001-11-2024%' or</v>
      </c>
    </row>
    <row r="104" spans="1:10" x14ac:dyDescent="0.25">
      <c r="A104" s="12" t="s">
        <v>11483</v>
      </c>
      <c r="B104" t="s">
        <v>12248</v>
      </c>
      <c r="H104">
        <v>102086</v>
      </c>
      <c r="I104" t="s">
        <v>12353</v>
      </c>
      <c r="J104" t="str">
        <f t="shared" si="1"/>
        <v>ia.assorted_string like '%102086-00181-11-2024%' or</v>
      </c>
    </row>
    <row r="105" spans="1:10" x14ac:dyDescent="0.25">
      <c r="A105" s="12" t="s">
        <v>11484</v>
      </c>
      <c r="B105" t="s">
        <v>12248</v>
      </c>
      <c r="H105">
        <v>102086</v>
      </c>
      <c r="I105" t="s">
        <v>12354</v>
      </c>
      <c r="J105" t="str">
        <f t="shared" si="1"/>
        <v>ia.assorted_string like '%102086-00186-11-2024%' or</v>
      </c>
    </row>
    <row r="106" spans="1:10" x14ac:dyDescent="0.25">
      <c r="A106" s="12" t="s">
        <v>11485</v>
      </c>
      <c r="B106" t="s">
        <v>12248</v>
      </c>
      <c r="H106">
        <v>102086</v>
      </c>
      <c r="I106" t="s">
        <v>12355</v>
      </c>
      <c r="J106" t="str">
        <f t="shared" si="1"/>
        <v>ia.assorted_string like '%102086-00191-11-2024%' or</v>
      </c>
    </row>
    <row r="107" spans="1:10" x14ac:dyDescent="0.25">
      <c r="A107" s="12" t="s">
        <v>11486</v>
      </c>
      <c r="B107" t="s">
        <v>12248</v>
      </c>
      <c r="H107">
        <v>102086</v>
      </c>
      <c r="I107" t="s">
        <v>12356</v>
      </c>
      <c r="J107" t="str">
        <f t="shared" si="1"/>
        <v>ia.assorted_string like '%102086-00193-11-2024%' or</v>
      </c>
    </row>
    <row r="108" spans="1:10" x14ac:dyDescent="0.25">
      <c r="A108" s="12" t="s">
        <v>11487</v>
      </c>
      <c r="B108" t="s">
        <v>12248</v>
      </c>
      <c r="H108">
        <v>102086</v>
      </c>
      <c r="I108" t="s">
        <v>12357</v>
      </c>
      <c r="J108" t="str">
        <f t="shared" si="1"/>
        <v>ia.assorted_string like '%102086-00194-11-2024%' or</v>
      </c>
    </row>
    <row r="109" spans="1:10" x14ac:dyDescent="0.25">
      <c r="A109" s="12" t="s">
        <v>11488</v>
      </c>
      <c r="B109" t="s">
        <v>12248</v>
      </c>
      <c r="H109">
        <v>102086</v>
      </c>
      <c r="I109" t="s">
        <v>12358</v>
      </c>
      <c r="J109" t="str">
        <f t="shared" si="1"/>
        <v>ia.assorted_string like '%102086-00195-11-2024%' or</v>
      </c>
    </row>
    <row r="110" spans="1:10" x14ac:dyDescent="0.25">
      <c r="A110" s="12" t="s">
        <v>11489</v>
      </c>
      <c r="B110" t="s">
        <v>12248</v>
      </c>
      <c r="H110">
        <v>102086</v>
      </c>
      <c r="I110" t="s">
        <v>12359</v>
      </c>
      <c r="J110" t="str">
        <f t="shared" si="1"/>
        <v>ia.assorted_string like '%102086-00204-11-2024%' or</v>
      </c>
    </row>
    <row r="111" spans="1:10" x14ac:dyDescent="0.25">
      <c r="A111" s="12" t="s">
        <v>11490</v>
      </c>
      <c r="B111" t="s">
        <v>12248</v>
      </c>
      <c r="H111">
        <v>102086</v>
      </c>
      <c r="I111" t="s">
        <v>12360</v>
      </c>
      <c r="J111" t="str">
        <f t="shared" si="1"/>
        <v>ia.assorted_string like '%102086-00205-11-2024%' or</v>
      </c>
    </row>
    <row r="112" spans="1:10" x14ac:dyDescent="0.25">
      <c r="A112" s="12" t="s">
        <v>11491</v>
      </c>
      <c r="B112" t="s">
        <v>12248</v>
      </c>
      <c r="H112">
        <v>102086</v>
      </c>
      <c r="I112" t="s">
        <v>12361</v>
      </c>
      <c r="J112" t="str">
        <f t="shared" si="1"/>
        <v>ia.assorted_string like '%102086-00207-11-2024%' or</v>
      </c>
    </row>
    <row r="113" spans="1:10" x14ac:dyDescent="0.25">
      <c r="A113" s="12" t="s">
        <v>11492</v>
      </c>
      <c r="B113" t="s">
        <v>12248</v>
      </c>
      <c r="H113">
        <v>102086</v>
      </c>
      <c r="I113" t="s">
        <v>12362</v>
      </c>
      <c r="J113" t="str">
        <f t="shared" si="1"/>
        <v>ia.assorted_string like '%102086-00209-11-2024%' or</v>
      </c>
    </row>
    <row r="114" spans="1:10" x14ac:dyDescent="0.25">
      <c r="A114" s="12" t="s">
        <v>11493</v>
      </c>
      <c r="B114" t="s">
        <v>12248</v>
      </c>
      <c r="H114">
        <v>102086</v>
      </c>
      <c r="I114" t="s">
        <v>12363</v>
      </c>
      <c r="J114" t="str">
        <f t="shared" si="1"/>
        <v>ia.assorted_string like '%102086-00210-11-2024%' or</v>
      </c>
    </row>
    <row r="115" spans="1:10" x14ac:dyDescent="0.25">
      <c r="A115" s="12" t="s">
        <v>11494</v>
      </c>
      <c r="B115" t="s">
        <v>12248</v>
      </c>
      <c r="H115">
        <v>102086</v>
      </c>
      <c r="I115" t="s">
        <v>12364</v>
      </c>
      <c r="J115" t="str">
        <f t="shared" si="1"/>
        <v>ia.assorted_string like '%102086-00211-11-2024%' or</v>
      </c>
    </row>
    <row r="116" spans="1:10" x14ac:dyDescent="0.25">
      <c r="A116" s="12" t="s">
        <v>11495</v>
      </c>
      <c r="B116" t="s">
        <v>12248</v>
      </c>
      <c r="H116">
        <v>102086</v>
      </c>
      <c r="I116" t="s">
        <v>12365</v>
      </c>
      <c r="J116" t="str">
        <f t="shared" si="1"/>
        <v>ia.assorted_string like '%102086-00212-11-2024%' or</v>
      </c>
    </row>
    <row r="117" spans="1:10" x14ac:dyDescent="0.25">
      <c r="A117" s="12" t="s">
        <v>11496</v>
      </c>
      <c r="B117" t="s">
        <v>12248</v>
      </c>
      <c r="H117">
        <v>102086</v>
      </c>
      <c r="I117" t="s">
        <v>12366</v>
      </c>
      <c r="J117" t="str">
        <f t="shared" si="1"/>
        <v>ia.assorted_string like '%102086-00216-11-2024%' or</v>
      </c>
    </row>
    <row r="118" spans="1:10" x14ac:dyDescent="0.25">
      <c r="A118" s="12" t="s">
        <v>11497</v>
      </c>
      <c r="B118" t="s">
        <v>12248</v>
      </c>
      <c r="H118">
        <v>102086</v>
      </c>
      <c r="I118" t="s">
        <v>12367</v>
      </c>
      <c r="J118" t="str">
        <f t="shared" si="1"/>
        <v>ia.assorted_string like '%102086-00217-11-2024%' or</v>
      </c>
    </row>
    <row r="119" spans="1:10" x14ac:dyDescent="0.25">
      <c r="A119" s="12" t="s">
        <v>11498</v>
      </c>
      <c r="B119" t="s">
        <v>12248</v>
      </c>
      <c r="H119">
        <v>102086</v>
      </c>
      <c r="I119" t="s">
        <v>12368</v>
      </c>
      <c r="J119" t="str">
        <f t="shared" si="1"/>
        <v>ia.assorted_string like '%102086-00219-11-2024%' or</v>
      </c>
    </row>
    <row r="120" spans="1:10" x14ac:dyDescent="0.25">
      <c r="A120" s="12" t="s">
        <v>11499</v>
      </c>
      <c r="B120" t="s">
        <v>12248</v>
      </c>
      <c r="H120">
        <v>102086</v>
      </c>
      <c r="I120" t="s">
        <v>12369</v>
      </c>
      <c r="J120" t="str">
        <f t="shared" si="1"/>
        <v>ia.assorted_string like '%102086-00220-11-2024%' or</v>
      </c>
    </row>
    <row r="121" spans="1:10" x14ac:dyDescent="0.25">
      <c r="A121" s="12" t="s">
        <v>11500</v>
      </c>
      <c r="B121" t="s">
        <v>12248</v>
      </c>
      <c r="H121">
        <v>102086</v>
      </c>
      <c r="I121" t="s">
        <v>12370</v>
      </c>
      <c r="J121" t="str">
        <f t="shared" si="1"/>
        <v>ia.assorted_string like '%102086-00221-11-2024%' or</v>
      </c>
    </row>
    <row r="122" spans="1:10" x14ac:dyDescent="0.25">
      <c r="A122" s="12" t="s">
        <v>11501</v>
      </c>
      <c r="B122" t="s">
        <v>12248</v>
      </c>
      <c r="H122">
        <v>102086</v>
      </c>
      <c r="I122" t="s">
        <v>12371</v>
      </c>
      <c r="J122" t="str">
        <f t="shared" si="1"/>
        <v>ia.assorted_string like '%102086-00222-11-2024%' or</v>
      </c>
    </row>
    <row r="123" spans="1:10" x14ac:dyDescent="0.25">
      <c r="A123" s="12" t="s">
        <v>11502</v>
      </c>
      <c r="B123" t="s">
        <v>12248</v>
      </c>
      <c r="H123">
        <v>102086</v>
      </c>
      <c r="I123" t="s">
        <v>12372</v>
      </c>
      <c r="J123" t="str">
        <f t="shared" si="1"/>
        <v>ia.assorted_string like '%102086-00227-11-2024%' or</v>
      </c>
    </row>
    <row r="124" spans="1:10" x14ac:dyDescent="0.25">
      <c r="A124" s="12" t="s">
        <v>11503</v>
      </c>
      <c r="B124" t="s">
        <v>12248</v>
      </c>
      <c r="H124">
        <v>102086</v>
      </c>
      <c r="I124" t="s">
        <v>12373</v>
      </c>
      <c r="J124" t="str">
        <f t="shared" si="1"/>
        <v>ia.assorted_string like '%102086-00229-11-2024%' or</v>
      </c>
    </row>
    <row r="125" spans="1:10" x14ac:dyDescent="0.25">
      <c r="A125" s="12" t="s">
        <v>11504</v>
      </c>
      <c r="B125" t="s">
        <v>12248</v>
      </c>
      <c r="H125">
        <v>102086</v>
      </c>
      <c r="I125" t="s">
        <v>12374</v>
      </c>
      <c r="J125" t="str">
        <f t="shared" si="1"/>
        <v>ia.assorted_string like '%102086-00240-11-2024%' or</v>
      </c>
    </row>
    <row r="126" spans="1:10" x14ac:dyDescent="0.25">
      <c r="A126" s="12" t="s">
        <v>11505</v>
      </c>
      <c r="B126" t="s">
        <v>12248</v>
      </c>
      <c r="H126">
        <v>102086</v>
      </c>
      <c r="I126" t="s">
        <v>12375</v>
      </c>
      <c r="J126" t="str">
        <f t="shared" si="1"/>
        <v>ia.assorted_string like '%102086-00242-11-2024%' or</v>
      </c>
    </row>
    <row r="127" spans="1:10" x14ac:dyDescent="0.25">
      <c r="A127" s="12" t="s">
        <v>11506</v>
      </c>
      <c r="B127" t="s">
        <v>12248</v>
      </c>
      <c r="H127">
        <v>102086</v>
      </c>
      <c r="I127" t="s">
        <v>12376</v>
      </c>
      <c r="J127" t="str">
        <f t="shared" si="1"/>
        <v>ia.assorted_string like '%102086-00246-11-2024%' or</v>
      </c>
    </row>
    <row r="128" spans="1:10" x14ac:dyDescent="0.25">
      <c r="A128" s="12" t="s">
        <v>11507</v>
      </c>
      <c r="B128" t="s">
        <v>12248</v>
      </c>
      <c r="H128">
        <v>102086</v>
      </c>
      <c r="I128" t="s">
        <v>12377</v>
      </c>
      <c r="J128" t="str">
        <f t="shared" si="1"/>
        <v>ia.assorted_string like '%102086-00247-11-2024%' or</v>
      </c>
    </row>
    <row r="129" spans="1:10" x14ac:dyDescent="0.25">
      <c r="A129" s="12" t="s">
        <v>11508</v>
      </c>
      <c r="B129" t="s">
        <v>12248</v>
      </c>
      <c r="H129">
        <v>102086</v>
      </c>
      <c r="I129" t="s">
        <v>12378</v>
      </c>
      <c r="J129" t="str">
        <f t="shared" si="1"/>
        <v>ia.assorted_string like '%102086-00248-11-2024%' or</v>
      </c>
    </row>
    <row r="130" spans="1:10" x14ac:dyDescent="0.25">
      <c r="A130" s="12" t="s">
        <v>11509</v>
      </c>
      <c r="B130" t="s">
        <v>12248</v>
      </c>
      <c r="H130">
        <v>102086</v>
      </c>
      <c r="I130" t="s">
        <v>12379</v>
      </c>
      <c r="J130" t="str">
        <f t="shared" si="1"/>
        <v>ia.assorted_string like '%102086-00250-11-2024%' or</v>
      </c>
    </row>
    <row r="131" spans="1:10" x14ac:dyDescent="0.25">
      <c r="A131" s="12" t="s">
        <v>11510</v>
      </c>
      <c r="B131" t="s">
        <v>12248</v>
      </c>
      <c r="H131">
        <v>102086</v>
      </c>
      <c r="I131" t="s">
        <v>12380</v>
      </c>
      <c r="J131" t="str">
        <f t="shared" ref="J131:J194" si="2">"ia.assorted_string like '%"&amp;H131&amp;"-"&amp;I131&amp;B131&amp;"%' or"</f>
        <v>ia.assorted_string like '%102086-00251-11-2024%' or</v>
      </c>
    </row>
    <row r="132" spans="1:10" x14ac:dyDescent="0.25">
      <c r="A132" s="12" t="s">
        <v>11511</v>
      </c>
      <c r="B132" t="s">
        <v>12248</v>
      </c>
      <c r="H132">
        <v>102086</v>
      </c>
      <c r="I132" t="s">
        <v>12381</v>
      </c>
      <c r="J132" t="str">
        <f t="shared" si="2"/>
        <v>ia.assorted_string like '%102086-00258-11-2024%' or</v>
      </c>
    </row>
    <row r="133" spans="1:10" x14ac:dyDescent="0.25">
      <c r="A133" s="12" t="s">
        <v>11512</v>
      </c>
      <c r="B133" t="s">
        <v>12248</v>
      </c>
      <c r="H133">
        <v>102086</v>
      </c>
      <c r="I133" t="s">
        <v>12382</v>
      </c>
      <c r="J133" t="str">
        <f t="shared" si="2"/>
        <v>ia.assorted_string like '%102086-00259-11-2024%' or</v>
      </c>
    </row>
    <row r="134" spans="1:10" x14ac:dyDescent="0.25">
      <c r="A134" s="12" t="s">
        <v>11513</v>
      </c>
      <c r="B134" t="s">
        <v>12248</v>
      </c>
      <c r="H134">
        <v>102086</v>
      </c>
      <c r="I134" t="s">
        <v>12383</v>
      </c>
      <c r="J134" t="str">
        <f t="shared" si="2"/>
        <v>ia.assorted_string like '%102086-00260-11-2024%' or</v>
      </c>
    </row>
    <row r="135" spans="1:10" x14ac:dyDescent="0.25">
      <c r="A135" s="12" t="s">
        <v>11514</v>
      </c>
      <c r="B135" t="s">
        <v>12248</v>
      </c>
      <c r="H135">
        <v>102086</v>
      </c>
      <c r="I135" t="s">
        <v>12384</v>
      </c>
      <c r="J135" t="str">
        <f t="shared" si="2"/>
        <v>ia.assorted_string like '%102086-00263-11-2024%' or</v>
      </c>
    </row>
    <row r="136" spans="1:10" x14ac:dyDescent="0.25">
      <c r="A136" s="12" t="s">
        <v>11515</v>
      </c>
      <c r="B136" t="s">
        <v>12248</v>
      </c>
      <c r="H136">
        <v>102086</v>
      </c>
      <c r="I136" t="s">
        <v>12385</v>
      </c>
      <c r="J136" t="str">
        <f t="shared" si="2"/>
        <v>ia.assorted_string like '%102086-00265-11-2024%' or</v>
      </c>
    </row>
    <row r="137" spans="1:10" x14ac:dyDescent="0.25">
      <c r="A137" s="12" t="s">
        <v>11516</v>
      </c>
      <c r="B137" t="s">
        <v>12248</v>
      </c>
      <c r="H137">
        <v>102086</v>
      </c>
      <c r="I137" t="s">
        <v>12386</v>
      </c>
      <c r="J137" t="str">
        <f t="shared" si="2"/>
        <v>ia.assorted_string like '%102086-00268-11-2024%' or</v>
      </c>
    </row>
    <row r="138" spans="1:10" x14ac:dyDescent="0.25">
      <c r="A138" s="12" t="s">
        <v>11517</v>
      </c>
      <c r="B138" t="s">
        <v>12248</v>
      </c>
      <c r="H138">
        <v>102086</v>
      </c>
      <c r="I138" t="s">
        <v>12387</v>
      </c>
      <c r="J138" t="str">
        <f t="shared" si="2"/>
        <v>ia.assorted_string like '%102086-00270-11-2024%' or</v>
      </c>
    </row>
    <row r="139" spans="1:10" x14ac:dyDescent="0.25">
      <c r="A139" s="12" t="s">
        <v>11518</v>
      </c>
      <c r="B139" t="s">
        <v>12248</v>
      </c>
      <c r="H139">
        <v>102086</v>
      </c>
      <c r="I139" t="s">
        <v>12388</v>
      </c>
      <c r="J139" t="str">
        <f t="shared" si="2"/>
        <v>ia.assorted_string like '%102086-00273-11-2024%' or</v>
      </c>
    </row>
    <row r="140" spans="1:10" x14ac:dyDescent="0.25">
      <c r="A140" s="12" t="s">
        <v>11519</v>
      </c>
      <c r="B140" t="s">
        <v>12248</v>
      </c>
      <c r="H140">
        <v>102086</v>
      </c>
      <c r="I140" t="s">
        <v>12389</v>
      </c>
      <c r="J140" t="str">
        <f t="shared" si="2"/>
        <v>ia.assorted_string like '%102086-00277-11-2024%' or</v>
      </c>
    </row>
    <row r="141" spans="1:10" x14ac:dyDescent="0.25">
      <c r="A141" s="12" t="s">
        <v>11520</v>
      </c>
      <c r="B141" t="s">
        <v>12248</v>
      </c>
      <c r="H141">
        <v>102086</v>
      </c>
      <c r="I141" t="s">
        <v>12390</v>
      </c>
      <c r="J141" t="str">
        <f t="shared" si="2"/>
        <v>ia.assorted_string like '%102086-00278-11-2024%' or</v>
      </c>
    </row>
    <row r="142" spans="1:10" x14ac:dyDescent="0.25">
      <c r="A142" s="12" t="s">
        <v>11521</v>
      </c>
      <c r="B142" t="s">
        <v>12248</v>
      </c>
      <c r="H142">
        <v>102086</v>
      </c>
      <c r="I142" t="s">
        <v>12391</v>
      </c>
      <c r="J142" t="str">
        <f t="shared" si="2"/>
        <v>ia.assorted_string like '%102086-00282-11-2024%' or</v>
      </c>
    </row>
    <row r="143" spans="1:10" x14ac:dyDescent="0.25">
      <c r="A143" s="12" t="s">
        <v>11522</v>
      </c>
      <c r="B143" t="s">
        <v>12248</v>
      </c>
      <c r="H143">
        <v>102086</v>
      </c>
      <c r="I143" t="s">
        <v>12392</v>
      </c>
      <c r="J143" t="str">
        <f t="shared" si="2"/>
        <v>ia.assorted_string like '%102086-00283-11-2024%' or</v>
      </c>
    </row>
    <row r="144" spans="1:10" x14ac:dyDescent="0.25">
      <c r="A144" s="12" t="s">
        <v>11523</v>
      </c>
      <c r="B144" t="s">
        <v>12248</v>
      </c>
      <c r="H144">
        <v>102086</v>
      </c>
      <c r="I144" t="s">
        <v>12393</v>
      </c>
      <c r="J144" t="str">
        <f t="shared" si="2"/>
        <v>ia.assorted_string like '%102086-00284-11-2024%' or</v>
      </c>
    </row>
    <row r="145" spans="1:10" x14ac:dyDescent="0.25">
      <c r="A145" s="12" t="s">
        <v>11524</v>
      </c>
      <c r="B145" t="s">
        <v>12248</v>
      </c>
      <c r="H145">
        <v>102086</v>
      </c>
      <c r="I145" t="s">
        <v>12394</v>
      </c>
      <c r="J145" t="str">
        <f t="shared" si="2"/>
        <v>ia.assorted_string like '%102086-00285-11-2024%' or</v>
      </c>
    </row>
    <row r="146" spans="1:10" x14ac:dyDescent="0.25">
      <c r="A146" s="12" t="s">
        <v>11525</v>
      </c>
      <c r="B146" t="s">
        <v>12248</v>
      </c>
      <c r="H146">
        <v>102086</v>
      </c>
      <c r="I146" t="s">
        <v>12395</v>
      </c>
      <c r="J146" t="str">
        <f t="shared" si="2"/>
        <v>ia.assorted_string like '%102086-00286-11-2024%' or</v>
      </c>
    </row>
    <row r="147" spans="1:10" x14ac:dyDescent="0.25">
      <c r="A147" s="12" t="s">
        <v>11526</v>
      </c>
      <c r="B147" t="s">
        <v>12248</v>
      </c>
      <c r="H147">
        <v>102086</v>
      </c>
      <c r="I147" t="s">
        <v>12396</v>
      </c>
      <c r="J147" t="str">
        <f t="shared" si="2"/>
        <v>ia.assorted_string like '%102086-00287-11-2024%' or</v>
      </c>
    </row>
    <row r="148" spans="1:10" x14ac:dyDescent="0.25">
      <c r="A148" s="12" t="s">
        <v>11527</v>
      </c>
      <c r="B148" t="s">
        <v>12248</v>
      </c>
      <c r="H148">
        <v>102086</v>
      </c>
      <c r="I148" t="s">
        <v>12397</v>
      </c>
      <c r="J148" t="str">
        <f t="shared" si="2"/>
        <v>ia.assorted_string like '%102086-00292-11-2024%' or</v>
      </c>
    </row>
    <row r="149" spans="1:10" x14ac:dyDescent="0.25">
      <c r="A149" s="12" t="s">
        <v>11528</v>
      </c>
      <c r="B149" t="s">
        <v>12248</v>
      </c>
      <c r="H149">
        <v>102086</v>
      </c>
      <c r="I149" t="s">
        <v>12398</v>
      </c>
      <c r="J149" t="str">
        <f t="shared" si="2"/>
        <v>ia.assorted_string like '%102086-00295-11-2024%' or</v>
      </c>
    </row>
    <row r="150" spans="1:10" x14ac:dyDescent="0.25">
      <c r="A150" s="12" t="s">
        <v>11529</v>
      </c>
      <c r="B150" t="s">
        <v>12248</v>
      </c>
      <c r="H150">
        <v>102086</v>
      </c>
      <c r="I150" t="s">
        <v>12399</v>
      </c>
      <c r="J150" t="str">
        <f t="shared" si="2"/>
        <v>ia.assorted_string like '%102086-00296-11-2024%' or</v>
      </c>
    </row>
    <row r="151" spans="1:10" x14ac:dyDescent="0.25">
      <c r="A151" s="12" t="s">
        <v>11530</v>
      </c>
      <c r="B151" t="s">
        <v>12248</v>
      </c>
      <c r="H151">
        <v>102086</v>
      </c>
      <c r="I151" t="s">
        <v>12400</v>
      </c>
      <c r="J151" t="str">
        <f t="shared" si="2"/>
        <v>ia.assorted_string like '%102086-00305-11-2024%' or</v>
      </c>
    </row>
    <row r="152" spans="1:10" x14ac:dyDescent="0.25">
      <c r="A152" s="12" t="s">
        <v>11531</v>
      </c>
      <c r="B152" t="s">
        <v>12248</v>
      </c>
      <c r="H152">
        <v>102086</v>
      </c>
      <c r="I152" t="s">
        <v>12401</v>
      </c>
      <c r="J152" t="str">
        <f t="shared" si="2"/>
        <v>ia.assorted_string like '%102086-00311-11-2024%' or</v>
      </c>
    </row>
    <row r="153" spans="1:10" x14ac:dyDescent="0.25">
      <c r="A153" s="12" t="s">
        <v>11532</v>
      </c>
      <c r="B153" t="s">
        <v>12248</v>
      </c>
      <c r="H153">
        <v>102086</v>
      </c>
      <c r="I153" t="s">
        <v>12402</v>
      </c>
      <c r="J153" t="str">
        <f t="shared" si="2"/>
        <v>ia.assorted_string like '%102086-00313-11-2024%' or</v>
      </c>
    </row>
    <row r="154" spans="1:10" x14ac:dyDescent="0.25">
      <c r="A154" s="12" t="s">
        <v>11533</v>
      </c>
      <c r="B154" t="s">
        <v>12248</v>
      </c>
      <c r="H154">
        <v>102086</v>
      </c>
      <c r="I154" t="s">
        <v>12403</v>
      </c>
      <c r="J154" t="str">
        <f t="shared" si="2"/>
        <v>ia.assorted_string like '%102086-00314-11-2024%' or</v>
      </c>
    </row>
    <row r="155" spans="1:10" x14ac:dyDescent="0.25">
      <c r="A155" s="12" t="s">
        <v>11534</v>
      </c>
      <c r="B155" t="s">
        <v>12248</v>
      </c>
      <c r="H155">
        <v>102086</v>
      </c>
      <c r="I155" t="s">
        <v>12404</v>
      </c>
      <c r="J155" t="str">
        <f t="shared" si="2"/>
        <v>ia.assorted_string like '%102086-00315-11-2024%' or</v>
      </c>
    </row>
    <row r="156" spans="1:10" x14ac:dyDescent="0.25">
      <c r="A156" s="12" t="s">
        <v>11535</v>
      </c>
      <c r="B156" t="s">
        <v>12248</v>
      </c>
      <c r="H156">
        <v>102086</v>
      </c>
      <c r="I156" t="s">
        <v>12405</v>
      </c>
      <c r="J156" t="str">
        <f t="shared" si="2"/>
        <v>ia.assorted_string like '%102086-00317-11-2024%' or</v>
      </c>
    </row>
    <row r="157" spans="1:10" x14ac:dyDescent="0.25">
      <c r="A157" s="12" t="s">
        <v>11536</v>
      </c>
      <c r="B157" t="s">
        <v>12248</v>
      </c>
      <c r="H157">
        <v>102086</v>
      </c>
      <c r="I157" t="s">
        <v>12406</v>
      </c>
      <c r="J157" t="str">
        <f t="shared" si="2"/>
        <v>ia.assorted_string like '%102086-00318-11-2024%' or</v>
      </c>
    </row>
    <row r="158" spans="1:10" x14ac:dyDescent="0.25">
      <c r="A158" s="12" t="s">
        <v>11537</v>
      </c>
      <c r="B158" t="s">
        <v>12248</v>
      </c>
      <c r="H158">
        <v>102086</v>
      </c>
      <c r="I158" t="s">
        <v>12407</v>
      </c>
      <c r="J158" t="str">
        <f t="shared" si="2"/>
        <v>ia.assorted_string like '%102086-00319-11-2024%' or</v>
      </c>
    </row>
    <row r="159" spans="1:10" x14ac:dyDescent="0.25">
      <c r="A159" s="12" t="s">
        <v>11538</v>
      </c>
      <c r="B159" t="s">
        <v>12248</v>
      </c>
      <c r="H159">
        <v>102086</v>
      </c>
      <c r="I159" t="s">
        <v>12408</v>
      </c>
      <c r="J159" t="str">
        <f t="shared" si="2"/>
        <v>ia.assorted_string like '%102086-00320-11-2024%' or</v>
      </c>
    </row>
    <row r="160" spans="1:10" x14ac:dyDescent="0.25">
      <c r="A160" s="12" t="s">
        <v>11539</v>
      </c>
      <c r="B160" t="s">
        <v>12248</v>
      </c>
      <c r="H160">
        <v>102086</v>
      </c>
      <c r="I160" t="s">
        <v>12409</v>
      </c>
      <c r="J160" t="str">
        <f t="shared" si="2"/>
        <v>ia.assorted_string like '%102086-00321-11-2024%' or</v>
      </c>
    </row>
    <row r="161" spans="1:10" x14ac:dyDescent="0.25">
      <c r="A161" s="12" t="s">
        <v>11540</v>
      </c>
      <c r="B161" t="s">
        <v>12248</v>
      </c>
      <c r="H161">
        <v>102086</v>
      </c>
      <c r="I161" t="s">
        <v>12410</v>
      </c>
      <c r="J161" t="str">
        <f t="shared" si="2"/>
        <v>ia.assorted_string like '%102086-00322-11-2024%' or</v>
      </c>
    </row>
    <row r="162" spans="1:10" x14ac:dyDescent="0.25">
      <c r="A162" s="12" t="s">
        <v>11541</v>
      </c>
      <c r="B162" t="s">
        <v>12248</v>
      </c>
      <c r="H162">
        <v>102086</v>
      </c>
      <c r="I162" t="s">
        <v>12411</v>
      </c>
      <c r="J162" t="str">
        <f t="shared" si="2"/>
        <v>ia.assorted_string like '%102086-00323-11-2024%' or</v>
      </c>
    </row>
    <row r="163" spans="1:10" x14ac:dyDescent="0.25">
      <c r="A163" s="12" t="s">
        <v>11542</v>
      </c>
      <c r="B163" t="s">
        <v>12248</v>
      </c>
      <c r="H163">
        <v>102086</v>
      </c>
      <c r="I163" t="s">
        <v>12412</v>
      </c>
      <c r="J163" t="str">
        <f t="shared" si="2"/>
        <v>ia.assorted_string like '%102086-00327-11-2024%' or</v>
      </c>
    </row>
    <row r="164" spans="1:10" x14ac:dyDescent="0.25">
      <c r="A164" s="12" t="s">
        <v>11543</v>
      </c>
      <c r="B164" t="s">
        <v>12248</v>
      </c>
      <c r="H164">
        <v>102086</v>
      </c>
      <c r="I164" t="s">
        <v>12413</v>
      </c>
      <c r="J164" t="str">
        <f t="shared" si="2"/>
        <v>ia.assorted_string like '%102086-00328-11-2024%' or</v>
      </c>
    </row>
    <row r="165" spans="1:10" x14ac:dyDescent="0.25">
      <c r="A165" s="12" t="s">
        <v>11544</v>
      </c>
      <c r="B165" t="s">
        <v>12248</v>
      </c>
      <c r="H165">
        <v>102086</v>
      </c>
      <c r="I165" t="s">
        <v>12414</v>
      </c>
      <c r="J165" t="str">
        <f t="shared" si="2"/>
        <v>ia.assorted_string like '%102086-00338-11-2024%' or</v>
      </c>
    </row>
    <row r="166" spans="1:10" x14ac:dyDescent="0.25">
      <c r="A166" s="12" t="s">
        <v>11545</v>
      </c>
      <c r="B166" t="s">
        <v>12248</v>
      </c>
      <c r="H166">
        <v>102086</v>
      </c>
      <c r="I166" t="s">
        <v>12415</v>
      </c>
      <c r="J166" t="str">
        <f t="shared" si="2"/>
        <v>ia.assorted_string like '%102086-00341-11-2024%' or</v>
      </c>
    </row>
    <row r="167" spans="1:10" x14ac:dyDescent="0.25">
      <c r="A167" s="12" t="s">
        <v>11546</v>
      </c>
      <c r="B167" t="s">
        <v>12248</v>
      </c>
      <c r="H167">
        <v>102086</v>
      </c>
      <c r="I167" t="s">
        <v>12416</v>
      </c>
      <c r="J167" t="str">
        <f t="shared" si="2"/>
        <v>ia.assorted_string like '%102086-00342-11-2024%' or</v>
      </c>
    </row>
    <row r="168" spans="1:10" x14ac:dyDescent="0.25">
      <c r="A168" s="12" t="s">
        <v>11547</v>
      </c>
      <c r="B168" t="s">
        <v>12248</v>
      </c>
      <c r="H168">
        <v>102086</v>
      </c>
      <c r="I168" t="s">
        <v>12417</v>
      </c>
      <c r="J168" t="str">
        <f t="shared" si="2"/>
        <v>ia.assorted_string like '%102086-00345-11-2024%' or</v>
      </c>
    </row>
    <row r="169" spans="1:10" x14ac:dyDescent="0.25">
      <c r="A169" s="12" t="s">
        <v>11548</v>
      </c>
      <c r="B169" t="s">
        <v>12248</v>
      </c>
      <c r="H169">
        <v>102086</v>
      </c>
      <c r="I169" t="s">
        <v>12418</v>
      </c>
      <c r="J169" t="str">
        <f t="shared" si="2"/>
        <v>ia.assorted_string like '%102086-00346-11-2024%' or</v>
      </c>
    </row>
    <row r="170" spans="1:10" x14ac:dyDescent="0.25">
      <c r="A170" s="12" t="s">
        <v>11549</v>
      </c>
      <c r="B170" t="s">
        <v>12248</v>
      </c>
      <c r="H170">
        <v>102086</v>
      </c>
      <c r="I170" t="s">
        <v>12419</v>
      </c>
      <c r="J170" t="str">
        <f t="shared" si="2"/>
        <v>ia.assorted_string like '%102086-00347-11-2024%' or</v>
      </c>
    </row>
    <row r="171" spans="1:10" x14ac:dyDescent="0.25">
      <c r="A171" s="12" t="s">
        <v>11550</v>
      </c>
      <c r="B171" t="s">
        <v>12248</v>
      </c>
      <c r="H171">
        <v>102086</v>
      </c>
      <c r="I171" t="s">
        <v>12420</v>
      </c>
      <c r="J171" t="str">
        <f t="shared" si="2"/>
        <v>ia.assorted_string like '%102086-00352-11-2024%' or</v>
      </c>
    </row>
    <row r="172" spans="1:10" x14ac:dyDescent="0.25">
      <c r="A172" s="12" t="s">
        <v>11551</v>
      </c>
      <c r="B172" t="s">
        <v>12248</v>
      </c>
      <c r="H172">
        <v>102086</v>
      </c>
      <c r="I172" t="s">
        <v>12421</v>
      </c>
      <c r="J172" t="str">
        <f t="shared" si="2"/>
        <v>ia.assorted_string like '%102086-00360-11-2024%' or</v>
      </c>
    </row>
    <row r="173" spans="1:10" x14ac:dyDescent="0.25">
      <c r="A173" s="12" t="s">
        <v>11552</v>
      </c>
      <c r="B173" t="s">
        <v>12248</v>
      </c>
      <c r="H173">
        <v>102086</v>
      </c>
      <c r="I173" t="s">
        <v>12422</v>
      </c>
      <c r="J173" t="str">
        <f t="shared" si="2"/>
        <v>ia.assorted_string like '%102086-00366-11-2024%' or</v>
      </c>
    </row>
    <row r="174" spans="1:10" x14ac:dyDescent="0.25">
      <c r="A174" s="12" t="s">
        <v>11553</v>
      </c>
      <c r="B174" t="s">
        <v>12248</v>
      </c>
      <c r="H174">
        <v>102086</v>
      </c>
      <c r="I174" t="s">
        <v>12423</v>
      </c>
      <c r="J174" t="str">
        <f t="shared" si="2"/>
        <v>ia.assorted_string like '%102086-00367-11-2024%' or</v>
      </c>
    </row>
    <row r="175" spans="1:10" x14ac:dyDescent="0.25">
      <c r="A175" s="12" t="s">
        <v>11554</v>
      </c>
      <c r="B175" t="s">
        <v>12248</v>
      </c>
      <c r="H175">
        <v>102086</v>
      </c>
      <c r="I175" t="s">
        <v>12424</v>
      </c>
      <c r="J175" t="str">
        <f t="shared" si="2"/>
        <v>ia.assorted_string like '%102086-00369-11-2024%' or</v>
      </c>
    </row>
    <row r="176" spans="1:10" x14ac:dyDescent="0.25">
      <c r="A176" s="12" t="s">
        <v>11555</v>
      </c>
      <c r="B176" t="s">
        <v>12248</v>
      </c>
      <c r="H176">
        <v>102086</v>
      </c>
      <c r="I176" t="s">
        <v>12425</v>
      </c>
      <c r="J176" t="str">
        <f t="shared" si="2"/>
        <v>ia.assorted_string like '%102086-00370-11-2024%' or</v>
      </c>
    </row>
    <row r="177" spans="1:10" x14ac:dyDescent="0.25">
      <c r="A177" s="12" t="s">
        <v>11556</v>
      </c>
      <c r="B177" t="s">
        <v>12248</v>
      </c>
      <c r="H177">
        <v>102086</v>
      </c>
      <c r="I177" t="s">
        <v>12426</v>
      </c>
      <c r="J177" t="str">
        <f t="shared" si="2"/>
        <v>ia.assorted_string like '%102086-00371-11-2024%' or</v>
      </c>
    </row>
    <row r="178" spans="1:10" x14ac:dyDescent="0.25">
      <c r="A178" s="12" t="s">
        <v>11557</v>
      </c>
      <c r="B178" t="s">
        <v>12248</v>
      </c>
      <c r="H178">
        <v>102086</v>
      </c>
      <c r="I178" t="s">
        <v>12427</v>
      </c>
      <c r="J178" t="str">
        <f t="shared" si="2"/>
        <v>ia.assorted_string like '%102086-00372-11-2024%' or</v>
      </c>
    </row>
    <row r="179" spans="1:10" x14ac:dyDescent="0.25">
      <c r="A179" s="12" t="s">
        <v>11558</v>
      </c>
      <c r="B179" t="s">
        <v>12248</v>
      </c>
      <c r="H179">
        <v>102086</v>
      </c>
      <c r="I179" t="s">
        <v>12428</v>
      </c>
      <c r="J179" t="str">
        <f t="shared" si="2"/>
        <v>ia.assorted_string like '%102086-00374-11-2024%' or</v>
      </c>
    </row>
    <row r="180" spans="1:10" x14ac:dyDescent="0.25">
      <c r="A180" s="12" t="s">
        <v>11559</v>
      </c>
      <c r="B180" t="s">
        <v>12248</v>
      </c>
      <c r="H180">
        <v>102086</v>
      </c>
      <c r="I180" t="s">
        <v>12429</v>
      </c>
      <c r="J180" t="str">
        <f t="shared" si="2"/>
        <v>ia.assorted_string like '%102086-00376-11-2024%' or</v>
      </c>
    </row>
    <row r="181" spans="1:10" x14ac:dyDescent="0.25">
      <c r="A181" s="12" t="s">
        <v>11560</v>
      </c>
      <c r="B181" t="s">
        <v>12248</v>
      </c>
      <c r="H181">
        <v>102086</v>
      </c>
      <c r="I181" t="s">
        <v>12430</v>
      </c>
      <c r="J181" t="str">
        <f t="shared" si="2"/>
        <v>ia.assorted_string like '%102086-00378-11-2024%' or</v>
      </c>
    </row>
    <row r="182" spans="1:10" x14ac:dyDescent="0.25">
      <c r="A182" s="12" t="s">
        <v>11561</v>
      </c>
      <c r="B182" t="s">
        <v>12248</v>
      </c>
      <c r="H182">
        <v>102086</v>
      </c>
      <c r="I182" t="s">
        <v>12431</v>
      </c>
      <c r="J182" t="str">
        <f t="shared" si="2"/>
        <v>ia.assorted_string like '%102086-00379-11-2024%' or</v>
      </c>
    </row>
    <row r="183" spans="1:10" x14ac:dyDescent="0.25">
      <c r="A183" s="12" t="s">
        <v>11562</v>
      </c>
      <c r="B183" t="s">
        <v>12248</v>
      </c>
      <c r="H183">
        <v>102086</v>
      </c>
      <c r="I183" t="s">
        <v>12432</v>
      </c>
      <c r="J183" t="str">
        <f t="shared" si="2"/>
        <v>ia.assorted_string like '%102086-00381-11-2024%' or</v>
      </c>
    </row>
    <row r="184" spans="1:10" x14ac:dyDescent="0.25">
      <c r="A184" s="12" t="s">
        <v>11563</v>
      </c>
      <c r="B184" t="s">
        <v>12248</v>
      </c>
      <c r="H184">
        <v>102086</v>
      </c>
      <c r="I184" t="s">
        <v>12433</v>
      </c>
      <c r="J184" t="str">
        <f t="shared" si="2"/>
        <v>ia.assorted_string like '%102086-00384-11-2024%' or</v>
      </c>
    </row>
    <row r="185" spans="1:10" x14ac:dyDescent="0.25">
      <c r="A185" s="12" t="s">
        <v>11564</v>
      </c>
      <c r="B185" t="s">
        <v>12248</v>
      </c>
      <c r="H185">
        <v>102086</v>
      </c>
      <c r="I185" t="s">
        <v>12434</v>
      </c>
      <c r="J185" t="str">
        <f t="shared" si="2"/>
        <v>ia.assorted_string like '%102086-00386-11-2024%' or</v>
      </c>
    </row>
    <row r="186" spans="1:10" x14ac:dyDescent="0.25">
      <c r="A186" s="12" t="s">
        <v>11565</v>
      </c>
      <c r="B186" t="s">
        <v>12248</v>
      </c>
      <c r="H186">
        <v>102086</v>
      </c>
      <c r="I186" t="s">
        <v>12435</v>
      </c>
      <c r="J186" t="str">
        <f t="shared" si="2"/>
        <v>ia.assorted_string like '%102086-00390-11-2024%' or</v>
      </c>
    </row>
    <row r="187" spans="1:10" x14ac:dyDescent="0.25">
      <c r="A187" s="12" t="s">
        <v>11566</v>
      </c>
      <c r="B187" t="s">
        <v>12248</v>
      </c>
      <c r="H187">
        <v>102086</v>
      </c>
      <c r="I187" t="s">
        <v>12436</v>
      </c>
      <c r="J187" t="str">
        <f t="shared" si="2"/>
        <v>ia.assorted_string like '%102086-00391-11-2024%' or</v>
      </c>
    </row>
    <row r="188" spans="1:10" x14ac:dyDescent="0.25">
      <c r="A188" s="12" t="s">
        <v>11567</v>
      </c>
      <c r="B188" t="s">
        <v>12248</v>
      </c>
      <c r="H188">
        <v>102086</v>
      </c>
      <c r="I188" t="s">
        <v>12437</v>
      </c>
      <c r="J188" t="str">
        <f t="shared" si="2"/>
        <v>ia.assorted_string like '%102086-00392-11-2024%' or</v>
      </c>
    </row>
    <row r="189" spans="1:10" x14ac:dyDescent="0.25">
      <c r="A189" s="12" t="s">
        <v>11568</v>
      </c>
      <c r="B189" t="s">
        <v>12248</v>
      </c>
      <c r="H189">
        <v>102086</v>
      </c>
      <c r="I189" t="s">
        <v>12438</v>
      </c>
      <c r="J189" t="str">
        <f t="shared" si="2"/>
        <v>ia.assorted_string like '%102086-00393-11-2024%' or</v>
      </c>
    </row>
    <row r="190" spans="1:10" x14ac:dyDescent="0.25">
      <c r="A190" s="12" t="s">
        <v>11569</v>
      </c>
      <c r="B190" t="s">
        <v>12248</v>
      </c>
      <c r="H190">
        <v>102086</v>
      </c>
      <c r="I190" t="s">
        <v>12439</v>
      </c>
      <c r="J190" t="str">
        <f t="shared" si="2"/>
        <v>ia.assorted_string like '%102086-00394-11-2024%' or</v>
      </c>
    </row>
    <row r="191" spans="1:10" x14ac:dyDescent="0.25">
      <c r="A191" s="12" t="s">
        <v>11570</v>
      </c>
      <c r="B191" t="s">
        <v>12248</v>
      </c>
      <c r="H191">
        <v>102086</v>
      </c>
      <c r="I191" t="s">
        <v>12440</v>
      </c>
      <c r="J191" t="str">
        <f t="shared" si="2"/>
        <v>ia.assorted_string like '%102086-00396-11-2024%' or</v>
      </c>
    </row>
    <row r="192" spans="1:10" x14ac:dyDescent="0.25">
      <c r="A192" s="12" t="s">
        <v>11571</v>
      </c>
      <c r="B192" t="s">
        <v>12248</v>
      </c>
      <c r="H192">
        <v>102086</v>
      </c>
      <c r="I192" t="s">
        <v>12441</v>
      </c>
      <c r="J192" t="str">
        <f t="shared" si="2"/>
        <v>ia.assorted_string like '%102086-00401-11-2024%' or</v>
      </c>
    </row>
    <row r="193" spans="1:10" x14ac:dyDescent="0.25">
      <c r="A193" s="12" t="s">
        <v>11572</v>
      </c>
      <c r="B193" t="s">
        <v>12248</v>
      </c>
      <c r="H193">
        <v>102086</v>
      </c>
      <c r="I193" t="s">
        <v>12442</v>
      </c>
      <c r="J193" t="str">
        <f t="shared" si="2"/>
        <v>ia.assorted_string like '%102086-00402-11-2024%' or</v>
      </c>
    </row>
    <row r="194" spans="1:10" x14ac:dyDescent="0.25">
      <c r="A194" s="12" t="s">
        <v>11573</v>
      </c>
      <c r="B194" t="s">
        <v>12248</v>
      </c>
      <c r="H194">
        <v>102086</v>
      </c>
      <c r="I194" t="s">
        <v>12443</v>
      </c>
      <c r="J194" t="str">
        <f t="shared" si="2"/>
        <v>ia.assorted_string like '%102086-00405-11-2024%' or</v>
      </c>
    </row>
    <row r="195" spans="1:10" x14ac:dyDescent="0.25">
      <c r="A195" s="12" t="s">
        <v>11574</v>
      </c>
      <c r="B195" t="s">
        <v>12248</v>
      </c>
      <c r="H195">
        <v>102086</v>
      </c>
      <c r="I195" t="s">
        <v>12444</v>
      </c>
      <c r="J195" t="str">
        <f t="shared" ref="J195:J258" si="3">"ia.assorted_string like '%"&amp;H195&amp;"-"&amp;I195&amp;B195&amp;"%' or"</f>
        <v>ia.assorted_string like '%102086-00406-11-2024%' or</v>
      </c>
    </row>
    <row r="196" spans="1:10" x14ac:dyDescent="0.25">
      <c r="A196" s="12" t="s">
        <v>11575</v>
      </c>
      <c r="B196" t="s">
        <v>12248</v>
      </c>
      <c r="H196">
        <v>102086</v>
      </c>
      <c r="I196" t="s">
        <v>12445</v>
      </c>
      <c r="J196" t="str">
        <f t="shared" si="3"/>
        <v>ia.assorted_string like '%102086-00404-11-2024%' or</v>
      </c>
    </row>
    <row r="197" spans="1:10" x14ac:dyDescent="0.25">
      <c r="A197" s="12" t="s">
        <v>11576</v>
      </c>
      <c r="B197" t="s">
        <v>12248</v>
      </c>
      <c r="H197">
        <v>102086</v>
      </c>
      <c r="I197" t="s">
        <v>12446</v>
      </c>
      <c r="J197" t="str">
        <f t="shared" si="3"/>
        <v>ia.assorted_string like '%102086-00403-11-2024%' or</v>
      </c>
    </row>
    <row r="198" spans="1:10" x14ac:dyDescent="0.25">
      <c r="A198" s="12" t="s">
        <v>11577</v>
      </c>
      <c r="B198" t="s">
        <v>12248</v>
      </c>
      <c r="H198">
        <v>102086</v>
      </c>
      <c r="I198" t="s">
        <v>12447</v>
      </c>
      <c r="J198" t="str">
        <f t="shared" si="3"/>
        <v>ia.assorted_string like '%102086-00400-11-2024%' or</v>
      </c>
    </row>
    <row r="199" spans="1:10" x14ac:dyDescent="0.25">
      <c r="A199" s="12" t="s">
        <v>11578</v>
      </c>
      <c r="B199" t="s">
        <v>12248</v>
      </c>
      <c r="H199">
        <v>102086</v>
      </c>
      <c r="I199" t="s">
        <v>12448</v>
      </c>
      <c r="J199" t="str">
        <f t="shared" si="3"/>
        <v>ia.assorted_string like '%102086-00399-11-2024%' or</v>
      </c>
    </row>
    <row r="200" spans="1:10" x14ac:dyDescent="0.25">
      <c r="A200" s="12" t="s">
        <v>11579</v>
      </c>
      <c r="B200" t="s">
        <v>12248</v>
      </c>
      <c r="H200">
        <v>102086</v>
      </c>
      <c r="I200" t="s">
        <v>12449</v>
      </c>
      <c r="J200" t="str">
        <f t="shared" si="3"/>
        <v>ia.assorted_string like '%102086-00398-11-2024%' or</v>
      </c>
    </row>
    <row r="201" spans="1:10" x14ac:dyDescent="0.25">
      <c r="A201" s="12" t="s">
        <v>11580</v>
      </c>
      <c r="B201" t="s">
        <v>12248</v>
      </c>
      <c r="H201">
        <v>102086</v>
      </c>
      <c r="I201" t="s">
        <v>12450</v>
      </c>
      <c r="J201" t="str">
        <f t="shared" si="3"/>
        <v>ia.assorted_string like '%102086-00397-11-2024%' or</v>
      </c>
    </row>
    <row r="202" spans="1:10" x14ac:dyDescent="0.25">
      <c r="A202" s="12" t="s">
        <v>11581</v>
      </c>
      <c r="B202" t="s">
        <v>12248</v>
      </c>
      <c r="H202">
        <v>102086</v>
      </c>
      <c r="I202" t="s">
        <v>12451</v>
      </c>
      <c r="J202" t="str">
        <f t="shared" si="3"/>
        <v>ia.assorted_string like '%102086-00395-11-2024%' or</v>
      </c>
    </row>
    <row r="203" spans="1:10" x14ac:dyDescent="0.25">
      <c r="A203" s="12" t="s">
        <v>11582</v>
      </c>
      <c r="B203" t="s">
        <v>12248</v>
      </c>
      <c r="H203">
        <v>102086</v>
      </c>
      <c r="I203" t="s">
        <v>12452</v>
      </c>
      <c r="J203" t="str">
        <f t="shared" si="3"/>
        <v>ia.assorted_string like '%102086-00389-11-2024%' or</v>
      </c>
    </row>
    <row r="204" spans="1:10" x14ac:dyDescent="0.25">
      <c r="A204" s="12" t="s">
        <v>11583</v>
      </c>
      <c r="B204" t="s">
        <v>12248</v>
      </c>
      <c r="H204">
        <v>102086</v>
      </c>
      <c r="I204" t="s">
        <v>12453</v>
      </c>
      <c r="J204" t="str">
        <f t="shared" si="3"/>
        <v>ia.assorted_string like '%102086-00388-11-2024%' or</v>
      </c>
    </row>
    <row r="205" spans="1:10" x14ac:dyDescent="0.25">
      <c r="A205" s="12" t="s">
        <v>11584</v>
      </c>
      <c r="B205" t="s">
        <v>12248</v>
      </c>
      <c r="H205">
        <v>102086</v>
      </c>
      <c r="I205" t="s">
        <v>12454</v>
      </c>
      <c r="J205" t="str">
        <f t="shared" si="3"/>
        <v>ia.assorted_string like '%102086-00387-11-2024%' or</v>
      </c>
    </row>
    <row r="206" spans="1:10" x14ac:dyDescent="0.25">
      <c r="A206" s="12" t="s">
        <v>11585</v>
      </c>
      <c r="B206" t="s">
        <v>12248</v>
      </c>
      <c r="H206">
        <v>102086</v>
      </c>
      <c r="I206" t="s">
        <v>12455</v>
      </c>
      <c r="J206" t="str">
        <f t="shared" si="3"/>
        <v>ia.assorted_string like '%102086-00385-11-2024%' or</v>
      </c>
    </row>
    <row r="207" spans="1:10" x14ac:dyDescent="0.25">
      <c r="A207" s="12" t="s">
        <v>11586</v>
      </c>
      <c r="B207" t="s">
        <v>12248</v>
      </c>
      <c r="H207">
        <v>102086</v>
      </c>
      <c r="I207" t="s">
        <v>12456</v>
      </c>
      <c r="J207" t="str">
        <f t="shared" si="3"/>
        <v>ia.assorted_string like '%102086-00383-11-2024%' or</v>
      </c>
    </row>
    <row r="208" spans="1:10" x14ac:dyDescent="0.25">
      <c r="A208" s="12" t="s">
        <v>11587</v>
      </c>
      <c r="B208" t="s">
        <v>12248</v>
      </c>
      <c r="H208">
        <v>102086</v>
      </c>
      <c r="I208" t="s">
        <v>12457</v>
      </c>
      <c r="J208" t="str">
        <f t="shared" si="3"/>
        <v>ia.assorted_string like '%102086-00382-11-2024%' or</v>
      </c>
    </row>
    <row r="209" spans="1:10" x14ac:dyDescent="0.25">
      <c r="A209" s="12" t="s">
        <v>11588</v>
      </c>
      <c r="B209" t="s">
        <v>12248</v>
      </c>
      <c r="H209">
        <v>102086</v>
      </c>
      <c r="I209" t="s">
        <v>12458</v>
      </c>
      <c r="J209" t="str">
        <f t="shared" si="3"/>
        <v>ia.assorted_string like '%102086-00380-11-2024%' or</v>
      </c>
    </row>
    <row r="210" spans="1:10" x14ac:dyDescent="0.25">
      <c r="A210" s="12" t="s">
        <v>11589</v>
      </c>
      <c r="B210" t="s">
        <v>12248</v>
      </c>
      <c r="H210">
        <v>102086</v>
      </c>
      <c r="I210" t="s">
        <v>12459</v>
      </c>
      <c r="J210" t="str">
        <f t="shared" si="3"/>
        <v>ia.assorted_string like '%102086-00377-11-2024%' or</v>
      </c>
    </row>
    <row r="211" spans="1:10" x14ac:dyDescent="0.25">
      <c r="A211" s="12" t="s">
        <v>11590</v>
      </c>
      <c r="B211" t="s">
        <v>12248</v>
      </c>
      <c r="H211">
        <v>102086</v>
      </c>
      <c r="I211" t="s">
        <v>12460</v>
      </c>
      <c r="J211" t="str">
        <f t="shared" si="3"/>
        <v>ia.assorted_string like '%102086-00375-11-2024%' or</v>
      </c>
    </row>
    <row r="212" spans="1:10" x14ac:dyDescent="0.25">
      <c r="A212" s="12" t="s">
        <v>11591</v>
      </c>
      <c r="B212" t="s">
        <v>12248</v>
      </c>
      <c r="H212">
        <v>102086</v>
      </c>
      <c r="I212" t="s">
        <v>12461</v>
      </c>
      <c r="J212" t="str">
        <f t="shared" si="3"/>
        <v>ia.assorted_string like '%102086-00373-11-2024%' or</v>
      </c>
    </row>
    <row r="213" spans="1:10" x14ac:dyDescent="0.25">
      <c r="A213" s="12" t="s">
        <v>11592</v>
      </c>
      <c r="B213" t="s">
        <v>12248</v>
      </c>
      <c r="H213">
        <v>102086</v>
      </c>
      <c r="I213" t="s">
        <v>12462</v>
      </c>
      <c r="J213" t="str">
        <f t="shared" si="3"/>
        <v>ia.assorted_string like '%102086-00368-11-2024%' or</v>
      </c>
    </row>
    <row r="214" spans="1:10" x14ac:dyDescent="0.25">
      <c r="A214" s="12" t="s">
        <v>11593</v>
      </c>
      <c r="B214" t="s">
        <v>12248</v>
      </c>
      <c r="H214">
        <v>102086</v>
      </c>
      <c r="I214" t="s">
        <v>12463</v>
      </c>
      <c r="J214" t="str">
        <f t="shared" si="3"/>
        <v>ia.assorted_string like '%102086-00365-11-2024%' or</v>
      </c>
    </row>
    <row r="215" spans="1:10" x14ac:dyDescent="0.25">
      <c r="A215" s="12" t="s">
        <v>11594</v>
      </c>
      <c r="B215" t="s">
        <v>12248</v>
      </c>
      <c r="H215">
        <v>102086</v>
      </c>
      <c r="I215" t="s">
        <v>12464</v>
      </c>
      <c r="J215" t="str">
        <f t="shared" si="3"/>
        <v>ia.assorted_string like '%102086-00364-11-2024%' or</v>
      </c>
    </row>
    <row r="216" spans="1:10" x14ac:dyDescent="0.25">
      <c r="A216" s="12" t="s">
        <v>11595</v>
      </c>
      <c r="B216" t="s">
        <v>12248</v>
      </c>
      <c r="H216">
        <v>102086</v>
      </c>
      <c r="I216" t="s">
        <v>12465</v>
      </c>
      <c r="J216" t="str">
        <f t="shared" si="3"/>
        <v>ia.assorted_string like '%102086-00362-11-2024%' or</v>
      </c>
    </row>
    <row r="217" spans="1:10" x14ac:dyDescent="0.25">
      <c r="A217" s="12" t="s">
        <v>11596</v>
      </c>
      <c r="B217" t="s">
        <v>12248</v>
      </c>
      <c r="H217">
        <v>102086</v>
      </c>
      <c r="I217" t="s">
        <v>12466</v>
      </c>
      <c r="J217" t="str">
        <f t="shared" si="3"/>
        <v>ia.assorted_string like '%102086-00361-11-2024%' or</v>
      </c>
    </row>
    <row r="218" spans="1:10" x14ac:dyDescent="0.25">
      <c r="A218" s="12" t="s">
        <v>11597</v>
      </c>
      <c r="B218" t="s">
        <v>12248</v>
      </c>
      <c r="H218">
        <v>102086</v>
      </c>
      <c r="I218" t="s">
        <v>12467</v>
      </c>
      <c r="J218" t="str">
        <f t="shared" si="3"/>
        <v>ia.assorted_string like '%102086-00359-11-2024%' or</v>
      </c>
    </row>
    <row r="219" spans="1:10" x14ac:dyDescent="0.25">
      <c r="A219" s="12" t="s">
        <v>11598</v>
      </c>
      <c r="B219" t="s">
        <v>12248</v>
      </c>
      <c r="H219">
        <v>102086</v>
      </c>
      <c r="I219" t="s">
        <v>12468</v>
      </c>
      <c r="J219" t="str">
        <f t="shared" si="3"/>
        <v>ia.assorted_string like '%102086-00358-11-2024%' or</v>
      </c>
    </row>
    <row r="220" spans="1:10" x14ac:dyDescent="0.25">
      <c r="A220" s="12" t="s">
        <v>11599</v>
      </c>
      <c r="B220" t="s">
        <v>12248</v>
      </c>
      <c r="H220">
        <v>102086</v>
      </c>
      <c r="I220" t="s">
        <v>12469</v>
      </c>
      <c r="J220" t="str">
        <f t="shared" si="3"/>
        <v>ia.assorted_string like '%102086-00357-11-2024%' or</v>
      </c>
    </row>
    <row r="221" spans="1:10" x14ac:dyDescent="0.25">
      <c r="A221" s="12" t="s">
        <v>11600</v>
      </c>
      <c r="B221" t="s">
        <v>12248</v>
      </c>
      <c r="H221">
        <v>102086</v>
      </c>
      <c r="I221" t="s">
        <v>12470</v>
      </c>
      <c r="J221" t="str">
        <f t="shared" si="3"/>
        <v>ia.assorted_string like '%102086-00356-11-2024%' or</v>
      </c>
    </row>
    <row r="222" spans="1:10" x14ac:dyDescent="0.25">
      <c r="A222" s="12" t="s">
        <v>11601</v>
      </c>
      <c r="B222" t="s">
        <v>12248</v>
      </c>
      <c r="H222">
        <v>102086</v>
      </c>
      <c r="I222" t="s">
        <v>12471</v>
      </c>
      <c r="J222" t="str">
        <f t="shared" si="3"/>
        <v>ia.assorted_string like '%102086-00355-11-2024%' or</v>
      </c>
    </row>
    <row r="223" spans="1:10" x14ac:dyDescent="0.25">
      <c r="A223" s="12" t="s">
        <v>11602</v>
      </c>
      <c r="B223" t="s">
        <v>12248</v>
      </c>
      <c r="H223">
        <v>102086</v>
      </c>
      <c r="I223" t="s">
        <v>12472</v>
      </c>
      <c r="J223" t="str">
        <f t="shared" si="3"/>
        <v>ia.assorted_string like '%102086-00354-11-2024%' or</v>
      </c>
    </row>
    <row r="224" spans="1:10" x14ac:dyDescent="0.25">
      <c r="A224" s="12" t="s">
        <v>11603</v>
      </c>
      <c r="B224" t="s">
        <v>12248</v>
      </c>
      <c r="H224">
        <v>102086</v>
      </c>
      <c r="I224" t="s">
        <v>12473</v>
      </c>
      <c r="J224" t="str">
        <f t="shared" si="3"/>
        <v>ia.assorted_string like '%102086-00353-11-2024%' or</v>
      </c>
    </row>
    <row r="225" spans="1:10" x14ac:dyDescent="0.25">
      <c r="A225" s="12" t="s">
        <v>11604</v>
      </c>
      <c r="B225" t="s">
        <v>12248</v>
      </c>
      <c r="H225">
        <v>102086</v>
      </c>
      <c r="I225" t="s">
        <v>12474</v>
      </c>
      <c r="J225" t="str">
        <f t="shared" si="3"/>
        <v>ia.assorted_string like '%102086-00351-11-2024%' or</v>
      </c>
    </row>
    <row r="226" spans="1:10" x14ac:dyDescent="0.25">
      <c r="A226" s="12" t="s">
        <v>11605</v>
      </c>
      <c r="B226" t="s">
        <v>12248</v>
      </c>
      <c r="H226">
        <v>102086</v>
      </c>
      <c r="I226" t="s">
        <v>12475</v>
      </c>
      <c r="J226" t="str">
        <f t="shared" si="3"/>
        <v>ia.assorted_string like '%102086-00350-11-2024%' or</v>
      </c>
    </row>
    <row r="227" spans="1:10" x14ac:dyDescent="0.25">
      <c r="A227" s="12" t="s">
        <v>11606</v>
      </c>
      <c r="B227" t="s">
        <v>12248</v>
      </c>
      <c r="H227">
        <v>102086</v>
      </c>
      <c r="I227" t="s">
        <v>12476</v>
      </c>
      <c r="J227" t="str">
        <f t="shared" si="3"/>
        <v>ia.assorted_string like '%102086-00349-11-2024%' or</v>
      </c>
    </row>
    <row r="228" spans="1:10" x14ac:dyDescent="0.25">
      <c r="A228" s="12" t="s">
        <v>11607</v>
      </c>
      <c r="B228" t="s">
        <v>12248</v>
      </c>
      <c r="H228">
        <v>102086</v>
      </c>
      <c r="I228" t="s">
        <v>12477</v>
      </c>
      <c r="J228" t="str">
        <f t="shared" si="3"/>
        <v>ia.assorted_string like '%102086-00344-11-2024%' or</v>
      </c>
    </row>
    <row r="229" spans="1:10" x14ac:dyDescent="0.25">
      <c r="A229" s="12" t="s">
        <v>11608</v>
      </c>
      <c r="B229" t="s">
        <v>12248</v>
      </c>
      <c r="H229">
        <v>102086</v>
      </c>
      <c r="I229" t="s">
        <v>12478</v>
      </c>
      <c r="J229" t="str">
        <f t="shared" si="3"/>
        <v>ia.assorted_string like '%102086-00343-11-2024%' or</v>
      </c>
    </row>
    <row r="230" spans="1:10" x14ac:dyDescent="0.25">
      <c r="A230" s="12" t="s">
        <v>11609</v>
      </c>
      <c r="B230" t="s">
        <v>12248</v>
      </c>
      <c r="H230">
        <v>102086</v>
      </c>
      <c r="I230" t="s">
        <v>12479</v>
      </c>
      <c r="J230" t="str">
        <f t="shared" si="3"/>
        <v>ia.assorted_string like '%102086-00340-11-2024%' or</v>
      </c>
    </row>
    <row r="231" spans="1:10" x14ac:dyDescent="0.25">
      <c r="A231" s="12" t="s">
        <v>11610</v>
      </c>
      <c r="B231" t="s">
        <v>12248</v>
      </c>
      <c r="H231">
        <v>102086</v>
      </c>
      <c r="I231" t="s">
        <v>12480</v>
      </c>
      <c r="J231" t="str">
        <f t="shared" si="3"/>
        <v>ia.assorted_string like '%102086-00339-11-2024%' or</v>
      </c>
    </row>
    <row r="232" spans="1:10" x14ac:dyDescent="0.25">
      <c r="A232" s="12" t="s">
        <v>11611</v>
      </c>
      <c r="B232" t="s">
        <v>12248</v>
      </c>
      <c r="H232">
        <v>102086</v>
      </c>
      <c r="I232" t="s">
        <v>12481</v>
      </c>
      <c r="J232" t="str">
        <f t="shared" si="3"/>
        <v>ia.assorted_string like '%102086-00337-11-2024%' or</v>
      </c>
    </row>
    <row r="233" spans="1:10" x14ac:dyDescent="0.25">
      <c r="A233" s="12" t="s">
        <v>11612</v>
      </c>
      <c r="B233" t="s">
        <v>12248</v>
      </c>
      <c r="H233">
        <v>102086</v>
      </c>
      <c r="I233" t="s">
        <v>12482</v>
      </c>
      <c r="J233" t="str">
        <f t="shared" si="3"/>
        <v>ia.assorted_string like '%102086-00336-11-2024%' or</v>
      </c>
    </row>
    <row r="234" spans="1:10" x14ac:dyDescent="0.25">
      <c r="A234" s="12" t="s">
        <v>11613</v>
      </c>
      <c r="B234" t="s">
        <v>12248</v>
      </c>
      <c r="H234">
        <v>102086</v>
      </c>
      <c r="I234" t="s">
        <v>12483</v>
      </c>
      <c r="J234" t="str">
        <f t="shared" si="3"/>
        <v>ia.assorted_string like '%102086-00335-11-2024%' or</v>
      </c>
    </row>
    <row r="235" spans="1:10" x14ac:dyDescent="0.25">
      <c r="A235" s="12" t="s">
        <v>11614</v>
      </c>
      <c r="B235" t="s">
        <v>12248</v>
      </c>
      <c r="H235">
        <v>102086</v>
      </c>
      <c r="I235" t="s">
        <v>12484</v>
      </c>
      <c r="J235" t="str">
        <f t="shared" si="3"/>
        <v>ia.assorted_string like '%102086-00334-11-2024%' or</v>
      </c>
    </row>
    <row r="236" spans="1:10" x14ac:dyDescent="0.25">
      <c r="A236" s="12" t="s">
        <v>11615</v>
      </c>
      <c r="B236" t="s">
        <v>12248</v>
      </c>
      <c r="H236">
        <v>102086</v>
      </c>
      <c r="I236" t="s">
        <v>12485</v>
      </c>
      <c r="J236" t="str">
        <f t="shared" si="3"/>
        <v>ia.assorted_string like '%102086-00333-11-2024%' or</v>
      </c>
    </row>
    <row r="237" spans="1:10" x14ac:dyDescent="0.25">
      <c r="A237" s="12" t="s">
        <v>11616</v>
      </c>
      <c r="B237" t="s">
        <v>12248</v>
      </c>
      <c r="H237">
        <v>102086</v>
      </c>
      <c r="I237" t="s">
        <v>12486</v>
      </c>
      <c r="J237" t="str">
        <f t="shared" si="3"/>
        <v>ia.assorted_string like '%102086-00332-11-2024%' or</v>
      </c>
    </row>
    <row r="238" spans="1:10" x14ac:dyDescent="0.25">
      <c r="A238" s="12" t="s">
        <v>11617</v>
      </c>
      <c r="B238" t="s">
        <v>12248</v>
      </c>
      <c r="H238">
        <v>102086</v>
      </c>
      <c r="I238" t="s">
        <v>12487</v>
      </c>
      <c r="J238" t="str">
        <f t="shared" si="3"/>
        <v>ia.assorted_string like '%102086-00331-11-2024%' or</v>
      </c>
    </row>
    <row r="239" spans="1:10" x14ac:dyDescent="0.25">
      <c r="A239" s="12" t="s">
        <v>11618</v>
      </c>
      <c r="B239" t="s">
        <v>12248</v>
      </c>
      <c r="H239">
        <v>102086</v>
      </c>
      <c r="I239" t="s">
        <v>12488</v>
      </c>
      <c r="J239" t="str">
        <f t="shared" si="3"/>
        <v>ia.assorted_string like '%102086-00330-11-2024%' or</v>
      </c>
    </row>
    <row r="240" spans="1:10" x14ac:dyDescent="0.25">
      <c r="A240" s="12" t="s">
        <v>11619</v>
      </c>
      <c r="B240" t="s">
        <v>12248</v>
      </c>
      <c r="H240">
        <v>102086</v>
      </c>
      <c r="I240" t="s">
        <v>12489</v>
      </c>
      <c r="J240" t="str">
        <f t="shared" si="3"/>
        <v>ia.assorted_string like '%102086-00329-11-2024%' or</v>
      </c>
    </row>
    <row r="241" spans="1:10" x14ac:dyDescent="0.25">
      <c r="A241" s="17" t="s">
        <v>12002</v>
      </c>
      <c r="B241" t="s">
        <v>12249</v>
      </c>
      <c r="H241">
        <v>104052</v>
      </c>
      <c r="I241" t="s">
        <v>12253</v>
      </c>
      <c r="J241" t="str">
        <f t="shared" si="3"/>
        <v>ia.assorted_string like '%104052-00002-12-2024%' or</v>
      </c>
    </row>
    <row r="242" spans="1:10" x14ac:dyDescent="0.25">
      <c r="A242" s="12" t="s">
        <v>11620</v>
      </c>
      <c r="B242" t="s">
        <v>12248</v>
      </c>
      <c r="H242">
        <v>102086</v>
      </c>
      <c r="I242" t="s">
        <v>12490</v>
      </c>
      <c r="J242" t="str">
        <f t="shared" si="3"/>
        <v>ia.assorted_string like '%102086-00326-11-2024%' or</v>
      </c>
    </row>
    <row r="243" spans="1:10" x14ac:dyDescent="0.25">
      <c r="A243" s="12" t="s">
        <v>11621</v>
      </c>
      <c r="B243" t="s">
        <v>12248</v>
      </c>
      <c r="H243">
        <v>102086</v>
      </c>
      <c r="I243" t="s">
        <v>12491</v>
      </c>
      <c r="J243" t="str">
        <f t="shared" si="3"/>
        <v>ia.assorted_string like '%102086-00325-11-2024%' or</v>
      </c>
    </row>
    <row r="244" spans="1:10" x14ac:dyDescent="0.25">
      <c r="A244" s="12" t="s">
        <v>11622</v>
      </c>
      <c r="B244" t="s">
        <v>12248</v>
      </c>
      <c r="H244">
        <v>102086</v>
      </c>
      <c r="I244" t="s">
        <v>12492</v>
      </c>
      <c r="J244" t="str">
        <f t="shared" si="3"/>
        <v>ia.assorted_string like '%102086-00324-11-2024%' or</v>
      </c>
    </row>
    <row r="245" spans="1:10" x14ac:dyDescent="0.25">
      <c r="A245" s="12" t="s">
        <v>11623</v>
      </c>
      <c r="B245" t="s">
        <v>12248</v>
      </c>
      <c r="H245">
        <v>102086</v>
      </c>
      <c r="I245" t="s">
        <v>12493</v>
      </c>
      <c r="J245" t="str">
        <f t="shared" si="3"/>
        <v>ia.assorted_string like '%102086-00316-11-2024%' or</v>
      </c>
    </row>
    <row r="246" spans="1:10" x14ac:dyDescent="0.25">
      <c r="A246" s="12" t="s">
        <v>11624</v>
      </c>
      <c r="B246" t="s">
        <v>12248</v>
      </c>
      <c r="H246">
        <v>102086</v>
      </c>
      <c r="I246" t="s">
        <v>12494</v>
      </c>
      <c r="J246" t="str">
        <f t="shared" si="3"/>
        <v>ia.assorted_string like '%102086-00310-11-2024%' or</v>
      </c>
    </row>
    <row r="247" spans="1:10" x14ac:dyDescent="0.25">
      <c r="A247" s="12" t="s">
        <v>11625</v>
      </c>
      <c r="B247" t="s">
        <v>12248</v>
      </c>
      <c r="H247">
        <v>102086</v>
      </c>
      <c r="I247" t="s">
        <v>12495</v>
      </c>
      <c r="J247" t="str">
        <f t="shared" si="3"/>
        <v>ia.assorted_string like '%102086-00309-11-2024%' or</v>
      </c>
    </row>
    <row r="248" spans="1:10" x14ac:dyDescent="0.25">
      <c r="A248" s="12" t="s">
        <v>11626</v>
      </c>
      <c r="B248" t="s">
        <v>12248</v>
      </c>
      <c r="H248">
        <v>102086</v>
      </c>
      <c r="I248" t="s">
        <v>12496</v>
      </c>
      <c r="J248" t="str">
        <f t="shared" si="3"/>
        <v>ia.assorted_string like '%102086-00308-11-2024%' or</v>
      </c>
    </row>
    <row r="249" spans="1:10" x14ac:dyDescent="0.25">
      <c r="A249" s="12" t="s">
        <v>11627</v>
      </c>
      <c r="B249" t="s">
        <v>12248</v>
      </c>
      <c r="H249">
        <v>102086</v>
      </c>
      <c r="I249" t="s">
        <v>12497</v>
      </c>
      <c r="J249" t="str">
        <f t="shared" si="3"/>
        <v>ia.assorted_string like '%102086-00307-11-2024%' or</v>
      </c>
    </row>
    <row r="250" spans="1:10" x14ac:dyDescent="0.25">
      <c r="A250" s="12" t="s">
        <v>11628</v>
      </c>
      <c r="B250" t="s">
        <v>12248</v>
      </c>
      <c r="H250">
        <v>102086</v>
      </c>
      <c r="I250" t="s">
        <v>12498</v>
      </c>
      <c r="J250" t="str">
        <f t="shared" si="3"/>
        <v>ia.assorted_string like '%102086-00306-11-2024%' or</v>
      </c>
    </row>
    <row r="251" spans="1:10" x14ac:dyDescent="0.25">
      <c r="A251" s="12" t="s">
        <v>11629</v>
      </c>
      <c r="B251" t="s">
        <v>12248</v>
      </c>
      <c r="H251">
        <v>102086</v>
      </c>
      <c r="I251" t="s">
        <v>12499</v>
      </c>
      <c r="J251" t="str">
        <f t="shared" si="3"/>
        <v>ia.assorted_string like '%102086-00304-11-2024%' or</v>
      </c>
    </row>
    <row r="252" spans="1:10" x14ac:dyDescent="0.25">
      <c r="A252" s="12" t="s">
        <v>11630</v>
      </c>
      <c r="B252" t="s">
        <v>12248</v>
      </c>
      <c r="H252">
        <v>102086</v>
      </c>
      <c r="I252" t="s">
        <v>12500</v>
      </c>
      <c r="J252" t="str">
        <f t="shared" si="3"/>
        <v>ia.assorted_string like '%102086-00303-11-2024%' or</v>
      </c>
    </row>
    <row r="253" spans="1:10" x14ac:dyDescent="0.25">
      <c r="A253" s="12" t="s">
        <v>11631</v>
      </c>
      <c r="B253" t="s">
        <v>12248</v>
      </c>
      <c r="H253">
        <v>102086</v>
      </c>
      <c r="I253" t="s">
        <v>12501</v>
      </c>
      <c r="J253" t="str">
        <f t="shared" si="3"/>
        <v>ia.assorted_string like '%102086-00302-11-2024%' or</v>
      </c>
    </row>
    <row r="254" spans="1:10" x14ac:dyDescent="0.25">
      <c r="A254" s="12" t="s">
        <v>11632</v>
      </c>
      <c r="B254" t="s">
        <v>12248</v>
      </c>
      <c r="H254">
        <v>102086</v>
      </c>
      <c r="I254" t="s">
        <v>12502</v>
      </c>
      <c r="J254" t="str">
        <f t="shared" si="3"/>
        <v>ia.assorted_string like '%102086-00301-11-2024%' or</v>
      </c>
    </row>
    <row r="255" spans="1:10" x14ac:dyDescent="0.25">
      <c r="A255" s="12" t="s">
        <v>11633</v>
      </c>
      <c r="B255" t="s">
        <v>12248</v>
      </c>
      <c r="H255">
        <v>102086</v>
      </c>
      <c r="I255" t="s">
        <v>12503</v>
      </c>
      <c r="J255" t="str">
        <f t="shared" si="3"/>
        <v>ia.assorted_string like '%102086-00300-11-2024%' or</v>
      </c>
    </row>
    <row r="256" spans="1:10" x14ac:dyDescent="0.25">
      <c r="A256" s="12" t="s">
        <v>11634</v>
      </c>
      <c r="B256" t="s">
        <v>12248</v>
      </c>
      <c r="H256">
        <v>102086</v>
      </c>
      <c r="I256" t="s">
        <v>12504</v>
      </c>
      <c r="J256" t="str">
        <f t="shared" si="3"/>
        <v>ia.assorted_string like '%102086-00299-11-2024%' or</v>
      </c>
    </row>
    <row r="257" spans="1:10" x14ac:dyDescent="0.25">
      <c r="A257" s="12" t="s">
        <v>11635</v>
      </c>
      <c r="B257" t="s">
        <v>12248</v>
      </c>
      <c r="H257">
        <v>102086</v>
      </c>
      <c r="I257" t="s">
        <v>12505</v>
      </c>
      <c r="J257" t="str">
        <f t="shared" si="3"/>
        <v>ia.assorted_string like '%102086-00297-11-2024%' or</v>
      </c>
    </row>
    <row r="258" spans="1:10" x14ac:dyDescent="0.25">
      <c r="A258" s="12" t="s">
        <v>11636</v>
      </c>
      <c r="B258" t="s">
        <v>12248</v>
      </c>
      <c r="H258">
        <v>102086</v>
      </c>
      <c r="I258" t="s">
        <v>12506</v>
      </c>
      <c r="J258" t="str">
        <f t="shared" si="3"/>
        <v>ia.assorted_string like '%102086-00294-11-2024%' or</v>
      </c>
    </row>
    <row r="259" spans="1:10" x14ac:dyDescent="0.25">
      <c r="A259" s="12" t="s">
        <v>11637</v>
      </c>
      <c r="B259" t="s">
        <v>12248</v>
      </c>
      <c r="H259">
        <v>102086</v>
      </c>
      <c r="I259" t="s">
        <v>12507</v>
      </c>
      <c r="J259" t="str">
        <f t="shared" ref="J259:J322" si="4">"ia.assorted_string like '%"&amp;H259&amp;"-"&amp;I259&amp;B259&amp;"%' or"</f>
        <v>ia.assorted_string like '%102086-00293-11-2024%' or</v>
      </c>
    </row>
    <row r="260" spans="1:10" x14ac:dyDescent="0.25">
      <c r="A260" s="12" t="s">
        <v>11638</v>
      </c>
      <c r="B260" t="s">
        <v>12248</v>
      </c>
      <c r="H260">
        <v>102086</v>
      </c>
      <c r="I260" t="s">
        <v>12508</v>
      </c>
      <c r="J260" t="str">
        <f t="shared" si="4"/>
        <v>ia.assorted_string like '%102086-00291-11-2024%' or</v>
      </c>
    </row>
    <row r="261" spans="1:10" x14ac:dyDescent="0.25">
      <c r="A261" s="12" t="s">
        <v>11639</v>
      </c>
      <c r="B261" t="s">
        <v>12248</v>
      </c>
      <c r="H261">
        <v>102086</v>
      </c>
      <c r="I261" t="s">
        <v>12509</v>
      </c>
      <c r="J261" t="str">
        <f t="shared" si="4"/>
        <v>ia.assorted_string like '%102086-00290-11-2024%' or</v>
      </c>
    </row>
    <row r="262" spans="1:10" x14ac:dyDescent="0.25">
      <c r="A262" s="12" t="s">
        <v>11640</v>
      </c>
      <c r="B262" t="s">
        <v>12248</v>
      </c>
      <c r="H262">
        <v>102086</v>
      </c>
      <c r="I262" t="s">
        <v>12510</v>
      </c>
      <c r="J262" t="str">
        <f t="shared" si="4"/>
        <v>ia.assorted_string like '%102086-00289-11-2024%' or</v>
      </c>
    </row>
    <row r="263" spans="1:10" x14ac:dyDescent="0.25">
      <c r="A263" s="12" t="s">
        <v>11641</v>
      </c>
      <c r="B263" t="s">
        <v>12248</v>
      </c>
      <c r="H263">
        <v>102086</v>
      </c>
      <c r="I263" t="s">
        <v>12511</v>
      </c>
      <c r="J263" t="str">
        <f t="shared" si="4"/>
        <v>ia.assorted_string like '%102086-00288-11-2024%' or</v>
      </c>
    </row>
    <row r="264" spans="1:10" x14ac:dyDescent="0.25">
      <c r="A264" s="12" t="s">
        <v>11642</v>
      </c>
      <c r="B264" t="s">
        <v>12248</v>
      </c>
      <c r="H264">
        <v>102086</v>
      </c>
      <c r="I264" t="s">
        <v>12512</v>
      </c>
      <c r="J264" t="str">
        <f t="shared" si="4"/>
        <v>ia.assorted_string like '%102086-00281-11-2024%' or</v>
      </c>
    </row>
    <row r="265" spans="1:10" x14ac:dyDescent="0.25">
      <c r="A265" s="12" t="s">
        <v>11643</v>
      </c>
      <c r="B265" t="s">
        <v>12248</v>
      </c>
      <c r="H265">
        <v>102086</v>
      </c>
      <c r="I265" t="s">
        <v>12513</v>
      </c>
      <c r="J265" t="str">
        <f t="shared" si="4"/>
        <v>ia.assorted_string like '%102086-00280-11-2024%' or</v>
      </c>
    </row>
    <row r="266" spans="1:10" x14ac:dyDescent="0.25">
      <c r="A266" s="12" t="s">
        <v>11644</v>
      </c>
      <c r="B266" t="s">
        <v>12248</v>
      </c>
      <c r="H266">
        <v>102086</v>
      </c>
      <c r="I266" t="s">
        <v>12514</v>
      </c>
      <c r="J266" t="str">
        <f t="shared" si="4"/>
        <v>ia.assorted_string like '%102086-00279-11-2024%' or</v>
      </c>
    </row>
    <row r="267" spans="1:10" x14ac:dyDescent="0.25">
      <c r="A267" s="12" t="s">
        <v>11645</v>
      </c>
      <c r="B267" t="s">
        <v>12248</v>
      </c>
      <c r="H267">
        <v>102086</v>
      </c>
      <c r="I267" t="s">
        <v>12515</v>
      </c>
      <c r="J267" t="str">
        <f t="shared" si="4"/>
        <v>ia.assorted_string like '%102086-00276-11-2024%' or</v>
      </c>
    </row>
    <row r="268" spans="1:10" x14ac:dyDescent="0.25">
      <c r="A268" s="12" t="s">
        <v>11646</v>
      </c>
      <c r="B268" t="s">
        <v>12248</v>
      </c>
      <c r="H268">
        <v>102086</v>
      </c>
      <c r="I268" t="s">
        <v>12516</v>
      </c>
      <c r="J268" t="str">
        <f t="shared" si="4"/>
        <v>ia.assorted_string like '%102086-00275-11-2024%' or</v>
      </c>
    </row>
    <row r="269" spans="1:10" x14ac:dyDescent="0.25">
      <c r="A269" s="12" t="s">
        <v>11647</v>
      </c>
      <c r="B269" t="s">
        <v>12248</v>
      </c>
      <c r="H269">
        <v>102086</v>
      </c>
      <c r="I269" t="s">
        <v>12517</v>
      </c>
      <c r="J269" t="str">
        <f t="shared" si="4"/>
        <v>ia.assorted_string like '%102086-00274-11-2024%' or</v>
      </c>
    </row>
    <row r="270" spans="1:10" x14ac:dyDescent="0.25">
      <c r="A270" s="12" t="s">
        <v>11648</v>
      </c>
      <c r="B270" t="s">
        <v>12248</v>
      </c>
      <c r="H270">
        <v>102086</v>
      </c>
      <c r="I270" t="s">
        <v>12518</v>
      </c>
      <c r="J270" t="str">
        <f t="shared" si="4"/>
        <v>ia.assorted_string like '%102086-00272-11-2024%' or</v>
      </c>
    </row>
    <row r="271" spans="1:10" x14ac:dyDescent="0.25">
      <c r="A271" s="12" t="s">
        <v>11649</v>
      </c>
      <c r="B271" t="s">
        <v>12248</v>
      </c>
      <c r="H271">
        <v>102086</v>
      </c>
      <c r="I271" t="s">
        <v>12519</v>
      </c>
      <c r="J271" t="str">
        <f t="shared" si="4"/>
        <v>ia.assorted_string like '%102086-00271-11-2024%' or</v>
      </c>
    </row>
    <row r="272" spans="1:10" x14ac:dyDescent="0.25">
      <c r="A272" s="12" t="s">
        <v>11650</v>
      </c>
      <c r="B272" t="s">
        <v>12248</v>
      </c>
      <c r="H272">
        <v>102086</v>
      </c>
      <c r="I272" t="s">
        <v>12520</v>
      </c>
      <c r="J272" t="str">
        <f t="shared" si="4"/>
        <v>ia.assorted_string like '%102086-00269-11-2024%' or</v>
      </c>
    </row>
    <row r="273" spans="1:10" x14ac:dyDescent="0.25">
      <c r="A273" s="12" t="s">
        <v>11651</v>
      </c>
      <c r="B273" t="s">
        <v>12248</v>
      </c>
      <c r="H273">
        <v>102086</v>
      </c>
      <c r="I273" t="s">
        <v>12521</v>
      </c>
      <c r="J273" t="str">
        <f t="shared" si="4"/>
        <v>ia.assorted_string like '%102086-00267-11-2024%' or</v>
      </c>
    </row>
    <row r="274" spans="1:10" x14ac:dyDescent="0.25">
      <c r="A274" s="12" t="s">
        <v>11652</v>
      </c>
      <c r="B274" t="s">
        <v>12248</v>
      </c>
      <c r="H274">
        <v>102086</v>
      </c>
      <c r="I274" t="s">
        <v>12522</v>
      </c>
      <c r="J274" t="str">
        <f t="shared" si="4"/>
        <v>ia.assorted_string like '%102086-00266-11-2024%' or</v>
      </c>
    </row>
    <row r="275" spans="1:10" x14ac:dyDescent="0.25">
      <c r="A275" s="12" t="s">
        <v>11653</v>
      </c>
      <c r="B275" t="s">
        <v>12248</v>
      </c>
      <c r="H275">
        <v>102086</v>
      </c>
      <c r="I275" t="s">
        <v>12523</v>
      </c>
      <c r="J275" t="str">
        <f t="shared" si="4"/>
        <v>ia.assorted_string like '%102086-00264-11-2024%' or</v>
      </c>
    </row>
    <row r="276" spans="1:10" x14ac:dyDescent="0.25">
      <c r="A276" s="12" t="s">
        <v>11654</v>
      </c>
      <c r="B276" t="s">
        <v>12248</v>
      </c>
      <c r="H276">
        <v>102086</v>
      </c>
      <c r="I276" t="s">
        <v>12524</v>
      </c>
      <c r="J276" t="str">
        <f t="shared" si="4"/>
        <v>ia.assorted_string like '%102086-00262-11-2024%' or</v>
      </c>
    </row>
    <row r="277" spans="1:10" x14ac:dyDescent="0.25">
      <c r="A277" s="12" t="s">
        <v>11655</v>
      </c>
      <c r="B277" t="s">
        <v>12248</v>
      </c>
      <c r="H277">
        <v>102086</v>
      </c>
      <c r="I277" t="s">
        <v>12525</v>
      </c>
      <c r="J277" t="str">
        <f t="shared" si="4"/>
        <v>ia.assorted_string like '%102086-00261-11-2024%' or</v>
      </c>
    </row>
    <row r="278" spans="1:10" x14ac:dyDescent="0.25">
      <c r="A278" s="12" t="s">
        <v>11656</v>
      </c>
      <c r="B278" t="s">
        <v>12248</v>
      </c>
      <c r="H278">
        <v>102086</v>
      </c>
      <c r="I278" t="s">
        <v>12526</v>
      </c>
      <c r="J278" t="str">
        <f t="shared" si="4"/>
        <v>ia.assorted_string like '%102086-00257-11-2024%' or</v>
      </c>
    </row>
    <row r="279" spans="1:10" x14ac:dyDescent="0.25">
      <c r="A279" s="12" t="s">
        <v>11657</v>
      </c>
      <c r="B279" t="s">
        <v>12248</v>
      </c>
      <c r="H279">
        <v>102086</v>
      </c>
      <c r="I279" t="s">
        <v>12527</v>
      </c>
      <c r="J279" t="str">
        <f t="shared" si="4"/>
        <v>ia.assorted_string like '%102086-00256-11-2024%' or</v>
      </c>
    </row>
    <row r="280" spans="1:10" x14ac:dyDescent="0.25">
      <c r="A280" s="12" t="s">
        <v>11658</v>
      </c>
      <c r="B280" t="s">
        <v>12248</v>
      </c>
      <c r="H280">
        <v>102086</v>
      </c>
      <c r="I280" t="s">
        <v>12528</v>
      </c>
      <c r="J280" t="str">
        <f t="shared" si="4"/>
        <v>ia.assorted_string like '%102086-00255-11-2024%' or</v>
      </c>
    </row>
    <row r="281" spans="1:10" x14ac:dyDescent="0.25">
      <c r="A281" s="12" t="s">
        <v>11659</v>
      </c>
      <c r="B281" t="s">
        <v>12248</v>
      </c>
      <c r="H281">
        <v>102086</v>
      </c>
      <c r="I281" t="s">
        <v>12529</v>
      </c>
      <c r="J281" t="str">
        <f t="shared" si="4"/>
        <v>ia.assorted_string like '%102086-00254-11-2024%' or</v>
      </c>
    </row>
    <row r="282" spans="1:10" x14ac:dyDescent="0.25">
      <c r="A282" s="12" t="s">
        <v>11660</v>
      </c>
      <c r="B282" t="s">
        <v>12248</v>
      </c>
      <c r="H282">
        <v>102086</v>
      </c>
      <c r="I282" t="s">
        <v>12530</v>
      </c>
      <c r="J282" t="str">
        <f t="shared" si="4"/>
        <v>ia.assorted_string like '%102086-00253-11-2024%' or</v>
      </c>
    </row>
    <row r="283" spans="1:10" x14ac:dyDescent="0.25">
      <c r="A283" s="12" t="s">
        <v>11661</v>
      </c>
      <c r="B283" t="s">
        <v>12248</v>
      </c>
      <c r="H283">
        <v>102086</v>
      </c>
      <c r="I283" t="s">
        <v>12531</v>
      </c>
      <c r="J283" t="str">
        <f t="shared" si="4"/>
        <v>ia.assorted_string like '%102086-00252-11-2024%' or</v>
      </c>
    </row>
    <row r="284" spans="1:10" x14ac:dyDescent="0.25">
      <c r="A284" s="12" t="s">
        <v>11662</v>
      </c>
      <c r="B284" t="s">
        <v>12248</v>
      </c>
      <c r="H284">
        <v>102086</v>
      </c>
      <c r="I284" t="s">
        <v>12532</v>
      </c>
      <c r="J284" t="str">
        <f t="shared" si="4"/>
        <v>ia.assorted_string like '%102086-00249-11-2024%' or</v>
      </c>
    </row>
    <row r="285" spans="1:10" x14ac:dyDescent="0.25">
      <c r="A285" s="12" t="s">
        <v>11663</v>
      </c>
      <c r="B285" t="s">
        <v>12248</v>
      </c>
      <c r="H285">
        <v>102086</v>
      </c>
      <c r="I285" t="s">
        <v>12533</v>
      </c>
      <c r="J285" t="str">
        <f t="shared" si="4"/>
        <v>ia.assorted_string like '%102086-00245-11-2024%' or</v>
      </c>
    </row>
    <row r="286" spans="1:10" x14ac:dyDescent="0.25">
      <c r="A286" s="12" t="s">
        <v>11664</v>
      </c>
      <c r="B286" t="s">
        <v>12250</v>
      </c>
      <c r="H286">
        <v>99821</v>
      </c>
      <c r="I286" t="s">
        <v>12508</v>
      </c>
      <c r="J286" t="str">
        <f t="shared" si="4"/>
        <v>ia.assorted_string like '%99821-00291-10-2024%' or</v>
      </c>
    </row>
    <row r="287" spans="1:10" x14ac:dyDescent="0.25">
      <c r="A287" s="12" t="s">
        <v>11665</v>
      </c>
      <c r="B287" t="s">
        <v>12248</v>
      </c>
      <c r="H287">
        <v>102086</v>
      </c>
      <c r="I287" t="s">
        <v>12534</v>
      </c>
      <c r="J287" t="str">
        <f t="shared" si="4"/>
        <v>ia.assorted_string like '%102086-00244-11-2024%' or</v>
      </c>
    </row>
    <row r="288" spans="1:10" x14ac:dyDescent="0.25">
      <c r="A288" s="12" t="s">
        <v>11666</v>
      </c>
      <c r="B288" t="s">
        <v>12248</v>
      </c>
      <c r="H288">
        <v>102086</v>
      </c>
      <c r="I288" t="s">
        <v>12535</v>
      </c>
      <c r="J288" t="str">
        <f t="shared" si="4"/>
        <v>ia.assorted_string like '%102086-00243-11-2024%' or</v>
      </c>
    </row>
    <row r="289" spans="1:10" x14ac:dyDescent="0.25">
      <c r="A289" s="12" t="s">
        <v>11664</v>
      </c>
      <c r="B289" t="s">
        <v>12250</v>
      </c>
      <c r="H289">
        <v>99821</v>
      </c>
      <c r="I289" t="s">
        <v>12508</v>
      </c>
      <c r="J289" t="str">
        <f t="shared" si="4"/>
        <v>ia.assorted_string like '%99821-00291-10-2024%' or</v>
      </c>
    </row>
    <row r="290" spans="1:10" x14ac:dyDescent="0.25">
      <c r="A290" s="12" t="s">
        <v>11667</v>
      </c>
      <c r="B290" t="s">
        <v>12251</v>
      </c>
      <c r="H290">
        <v>97805</v>
      </c>
      <c r="I290" t="s">
        <v>12260</v>
      </c>
      <c r="J290" t="str">
        <f t="shared" si="4"/>
        <v>ia.assorted_string like '%97805-00011-09-2024%' or</v>
      </c>
    </row>
    <row r="291" spans="1:10" x14ac:dyDescent="0.25">
      <c r="A291" s="12" t="s">
        <v>11668</v>
      </c>
      <c r="B291" t="s">
        <v>12250</v>
      </c>
      <c r="H291">
        <v>99821</v>
      </c>
      <c r="I291" t="s">
        <v>12254</v>
      </c>
      <c r="J291" t="str">
        <f t="shared" si="4"/>
        <v>ia.assorted_string like '%99821-00003-10-2024%' or</v>
      </c>
    </row>
    <row r="292" spans="1:10" x14ac:dyDescent="0.25">
      <c r="A292" s="12" t="s">
        <v>11669</v>
      </c>
      <c r="B292" t="s">
        <v>12250</v>
      </c>
      <c r="H292">
        <v>99821</v>
      </c>
      <c r="I292" t="s">
        <v>12286</v>
      </c>
      <c r="J292" t="str">
        <f t="shared" si="4"/>
        <v>ia.assorted_string like '%99821-00050-10-2024%' or</v>
      </c>
    </row>
    <row r="293" spans="1:10" x14ac:dyDescent="0.25">
      <c r="A293" s="12" t="s">
        <v>11670</v>
      </c>
      <c r="B293" t="s">
        <v>12250</v>
      </c>
      <c r="H293">
        <v>99821</v>
      </c>
      <c r="I293" t="s">
        <v>12287</v>
      </c>
      <c r="J293" t="str">
        <f t="shared" si="4"/>
        <v>ia.assorted_string like '%99821-00051-10-2024%' or</v>
      </c>
    </row>
    <row r="294" spans="1:10" x14ac:dyDescent="0.25">
      <c r="A294" s="12" t="s">
        <v>11671</v>
      </c>
      <c r="B294" t="s">
        <v>12250</v>
      </c>
      <c r="H294">
        <v>99821</v>
      </c>
      <c r="I294" t="s">
        <v>12536</v>
      </c>
      <c r="J294" t="str">
        <f t="shared" si="4"/>
        <v>ia.assorted_string like '%99821-00058-10-2024%' or</v>
      </c>
    </row>
    <row r="295" spans="1:10" x14ac:dyDescent="0.25">
      <c r="A295" s="12" t="s">
        <v>11672</v>
      </c>
      <c r="B295" t="s">
        <v>12248</v>
      </c>
      <c r="H295">
        <v>102086</v>
      </c>
      <c r="I295" t="s">
        <v>12537</v>
      </c>
      <c r="J295" t="str">
        <f t="shared" si="4"/>
        <v>ia.assorted_string like '%102086-00241-11-2024%' or</v>
      </c>
    </row>
    <row r="296" spans="1:10" x14ac:dyDescent="0.25">
      <c r="A296" s="12" t="s">
        <v>11673</v>
      </c>
      <c r="B296" t="s">
        <v>12250</v>
      </c>
      <c r="H296">
        <v>99821</v>
      </c>
      <c r="I296" t="s">
        <v>12311</v>
      </c>
      <c r="J296" t="str">
        <f t="shared" si="4"/>
        <v>ia.assorted_string like '%99821-00089-10-2024%' or</v>
      </c>
    </row>
    <row r="297" spans="1:10" x14ac:dyDescent="0.25">
      <c r="A297" s="12" t="s">
        <v>11674</v>
      </c>
      <c r="B297" t="s">
        <v>12250</v>
      </c>
      <c r="H297">
        <v>99821</v>
      </c>
      <c r="I297" t="s">
        <v>12538</v>
      </c>
      <c r="J297" t="str">
        <f t="shared" si="4"/>
        <v>ia.assorted_string like '%99821-00091-10-2024%' or</v>
      </c>
    </row>
    <row r="298" spans="1:10" x14ac:dyDescent="0.25">
      <c r="A298" s="12" t="s">
        <v>11675</v>
      </c>
      <c r="B298" t="s">
        <v>12250</v>
      </c>
      <c r="H298">
        <v>99821</v>
      </c>
      <c r="I298" t="s">
        <v>12539</v>
      </c>
      <c r="J298" t="str">
        <f t="shared" si="4"/>
        <v>ia.assorted_string like '%99821-00095-10-2024%' or</v>
      </c>
    </row>
    <row r="299" spans="1:10" x14ac:dyDescent="0.25">
      <c r="A299" s="12" t="s">
        <v>11676</v>
      </c>
      <c r="B299" t="s">
        <v>12250</v>
      </c>
      <c r="H299">
        <v>99821</v>
      </c>
      <c r="I299" t="s">
        <v>12540</v>
      </c>
      <c r="J299" t="str">
        <f t="shared" si="4"/>
        <v>ia.assorted_string like '%99821-00102-10-2024%' or</v>
      </c>
    </row>
    <row r="300" spans="1:10" x14ac:dyDescent="0.25">
      <c r="A300" s="12" t="s">
        <v>11677</v>
      </c>
      <c r="B300" t="s">
        <v>12248</v>
      </c>
      <c r="H300">
        <v>102086</v>
      </c>
      <c r="I300" t="s">
        <v>12541</v>
      </c>
      <c r="J300" t="str">
        <f t="shared" si="4"/>
        <v>ia.assorted_string like '%102086-00239-11-2024%' or</v>
      </c>
    </row>
    <row r="301" spans="1:10" x14ac:dyDescent="0.25">
      <c r="A301" s="12" t="s">
        <v>11678</v>
      </c>
      <c r="B301" t="s">
        <v>12248</v>
      </c>
      <c r="H301">
        <v>102086</v>
      </c>
      <c r="I301" t="s">
        <v>12542</v>
      </c>
      <c r="J301" t="str">
        <f t="shared" si="4"/>
        <v>ia.assorted_string like '%102086-00238-11-2024%' or</v>
      </c>
    </row>
    <row r="302" spans="1:10" x14ac:dyDescent="0.25">
      <c r="A302" s="12" t="s">
        <v>11679</v>
      </c>
      <c r="B302" t="s">
        <v>12250</v>
      </c>
      <c r="H302">
        <v>99821</v>
      </c>
      <c r="I302" t="s">
        <v>12543</v>
      </c>
      <c r="J302" t="str">
        <f t="shared" si="4"/>
        <v>ia.assorted_string like '%99821-00125-10-2024%' or</v>
      </c>
    </row>
    <row r="303" spans="1:10" x14ac:dyDescent="0.25">
      <c r="A303" s="12" t="s">
        <v>11680</v>
      </c>
      <c r="B303" t="s">
        <v>12250</v>
      </c>
      <c r="H303">
        <v>99821</v>
      </c>
      <c r="I303" t="s">
        <v>12544</v>
      </c>
      <c r="J303" t="str">
        <f t="shared" si="4"/>
        <v>ia.assorted_string like '%99821-00129-10-2024%' or</v>
      </c>
    </row>
    <row r="304" spans="1:10" x14ac:dyDescent="0.25">
      <c r="A304" s="12" t="s">
        <v>11681</v>
      </c>
      <c r="B304" t="s">
        <v>12250</v>
      </c>
      <c r="H304">
        <v>99821</v>
      </c>
      <c r="I304" t="s">
        <v>12545</v>
      </c>
      <c r="J304" t="str">
        <f t="shared" si="4"/>
        <v>ia.assorted_string like '%99821-00134-10-2024%' or</v>
      </c>
    </row>
    <row r="305" spans="1:10" x14ac:dyDescent="0.25">
      <c r="A305" s="12" t="s">
        <v>11682</v>
      </c>
      <c r="B305" t="s">
        <v>12250</v>
      </c>
      <c r="H305">
        <v>99821</v>
      </c>
      <c r="I305" t="s">
        <v>12546</v>
      </c>
      <c r="J305" t="str">
        <f t="shared" si="4"/>
        <v>ia.assorted_string like '%99821-00147-10-2024%' or</v>
      </c>
    </row>
    <row r="306" spans="1:10" x14ac:dyDescent="0.25">
      <c r="A306" s="12" t="s">
        <v>11683</v>
      </c>
      <c r="B306" t="s">
        <v>12250</v>
      </c>
      <c r="H306">
        <v>99821</v>
      </c>
      <c r="I306" t="s">
        <v>12547</v>
      </c>
      <c r="J306" t="str">
        <f t="shared" si="4"/>
        <v>ia.assorted_string like '%99821-00174-10-2024%' or</v>
      </c>
    </row>
    <row r="307" spans="1:10" x14ac:dyDescent="0.25">
      <c r="A307" s="12" t="s">
        <v>11684</v>
      </c>
      <c r="B307" t="s">
        <v>12248</v>
      </c>
      <c r="H307">
        <v>102086</v>
      </c>
      <c r="I307" t="s">
        <v>12548</v>
      </c>
      <c r="J307" t="str">
        <f t="shared" si="4"/>
        <v>ia.assorted_string like '%102086-00237-11-2024%' or</v>
      </c>
    </row>
    <row r="308" spans="1:10" x14ac:dyDescent="0.25">
      <c r="A308" s="12" t="s">
        <v>11685</v>
      </c>
      <c r="B308" t="s">
        <v>12248</v>
      </c>
      <c r="H308">
        <v>102086</v>
      </c>
      <c r="I308" t="s">
        <v>12549</v>
      </c>
      <c r="J308" t="str">
        <f t="shared" si="4"/>
        <v>ia.assorted_string like '%102086-00236-11-2024%' or</v>
      </c>
    </row>
    <row r="309" spans="1:10" x14ac:dyDescent="0.25">
      <c r="A309" s="12" t="s">
        <v>11686</v>
      </c>
      <c r="B309" t="s">
        <v>12248</v>
      </c>
      <c r="H309">
        <v>102086</v>
      </c>
      <c r="I309" t="s">
        <v>12550</v>
      </c>
      <c r="J309" t="str">
        <f t="shared" si="4"/>
        <v>ia.assorted_string like '%102086-00235-11-2024%' or</v>
      </c>
    </row>
    <row r="310" spans="1:10" x14ac:dyDescent="0.25">
      <c r="A310" s="12" t="s">
        <v>11687</v>
      </c>
      <c r="B310" t="s">
        <v>12250</v>
      </c>
      <c r="H310">
        <v>99821</v>
      </c>
      <c r="I310" t="s">
        <v>12551</v>
      </c>
      <c r="J310" t="str">
        <f t="shared" si="4"/>
        <v>ia.assorted_string like '%99821-00183-10-2024%' or</v>
      </c>
    </row>
    <row r="311" spans="1:10" x14ac:dyDescent="0.25">
      <c r="A311" s="12" t="s">
        <v>11688</v>
      </c>
      <c r="B311" t="s">
        <v>12250</v>
      </c>
      <c r="H311">
        <v>99821</v>
      </c>
      <c r="I311" t="s">
        <v>12552</v>
      </c>
      <c r="J311" t="str">
        <f t="shared" si="4"/>
        <v>ia.assorted_string like '%99821-00196-10-2024%' or</v>
      </c>
    </row>
    <row r="312" spans="1:10" x14ac:dyDescent="0.25">
      <c r="A312" s="12" t="s">
        <v>11689</v>
      </c>
      <c r="B312" t="s">
        <v>12250</v>
      </c>
      <c r="H312">
        <v>99821</v>
      </c>
      <c r="I312" t="s">
        <v>12365</v>
      </c>
      <c r="J312" t="str">
        <f t="shared" si="4"/>
        <v>ia.assorted_string like '%99821-00212-10-2024%' or</v>
      </c>
    </row>
    <row r="313" spans="1:10" x14ac:dyDescent="0.25">
      <c r="A313" s="12" t="s">
        <v>11690</v>
      </c>
      <c r="B313" t="s">
        <v>12248</v>
      </c>
      <c r="H313">
        <v>102086</v>
      </c>
      <c r="I313" t="s">
        <v>12553</v>
      </c>
      <c r="J313" t="str">
        <f t="shared" si="4"/>
        <v>ia.assorted_string like '%102086-00234-11-2024%' or</v>
      </c>
    </row>
    <row r="314" spans="1:10" x14ac:dyDescent="0.25">
      <c r="A314" s="12" t="s">
        <v>11691</v>
      </c>
      <c r="B314" t="s">
        <v>12250</v>
      </c>
      <c r="H314">
        <v>99821</v>
      </c>
      <c r="I314" t="s">
        <v>12523</v>
      </c>
      <c r="J314" t="str">
        <f t="shared" si="4"/>
        <v>ia.assorted_string like '%99821-00264-10-2024%' or</v>
      </c>
    </row>
    <row r="315" spans="1:10" x14ac:dyDescent="0.25">
      <c r="A315" s="12" t="s">
        <v>11692</v>
      </c>
      <c r="B315" t="s">
        <v>12248</v>
      </c>
      <c r="H315">
        <v>102086</v>
      </c>
      <c r="I315" t="s">
        <v>12554</v>
      </c>
      <c r="J315" t="str">
        <f t="shared" si="4"/>
        <v>ia.assorted_string like '%102086-00233-11-2024%' or</v>
      </c>
    </row>
    <row r="316" spans="1:10" x14ac:dyDescent="0.25">
      <c r="A316" s="12" t="s">
        <v>11693</v>
      </c>
      <c r="B316" t="s">
        <v>12249</v>
      </c>
      <c r="H316">
        <v>103702</v>
      </c>
      <c r="I316" t="s">
        <v>12257</v>
      </c>
      <c r="J316" t="str">
        <f t="shared" si="4"/>
        <v>ia.assorted_string like '%103702-00007-12-2024%' or</v>
      </c>
    </row>
    <row r="317" spans="1:10" x14ac:dyDescent="0.25">
      <c r="A317" s="12" t="s">
        <v>11694</v>
      </c>
      <c r="B317" t="s">
        <v>12249</v>
      </c>
      <c r="H317">
        <v>103702</v>
      </c>
      <c r="I317" t="s">
        <v>12259</v>
      </c>
      <c r="J317" t="str">
        <f t="shared" si="4"/>
        <v>ia.assorted_string like '%103702-00010-12-2024%' or</v>
      </c>
    </row>
    <row r="318" spans="1:10" x14ac:dyDescent="0.25">
      <c r="A318" s="12" t="s">
        <v>11695</v>
      </c>
      <c r="B318" t="s">
        <v>12248</v>
      </c>
      <c r="H318">
        <v>102086</v>
      </c>
      <c r="I318" t="s">
        <v>12555</v>
      </c>
      <c r="J318" t="str">
        <f t="shared" si="4"/>
        <v>ia.assorted_string like '%102086-00232-11-2024%' or</v>
      </c>
    </row>
    <row r="319" spans="1:10" x14ac:dyDescent="0.25">
      <c r="A319" s="12" t="s">
        <v>11696</v>
      </c>
      <c r="B319" t="s">
        <v>12249</v>
      </c>
      <c r="H319">
        <v>103702</v>
      </c>
      <c r="I319" t="s">
        <v>12386</v>
      </c>
      <c r="J319" t="str">
        <f t="shared" si="4"/>
        <v>ia.assorted_string like '%103702-00268-12-2024%' or</v>
      </c>
    </row>
    <row r="320" spans="1:10" x14ac:dyDescent="0.25">
      <c r="A320" s="12" t="s">
        <v>11697</v>
      </c>
      <c r="B320" t="s">
        <v>12249</v>
      </c>
      <c r="H320">
        <v>103702</v>
      </c>
      <c r="I320" t="s">
        <v>12394</v>
      </c>
      <c r="J320" t="str">
        <f t="shared" si="4"/>
        <v>ia.assorted_string like '%103702-00285-12-2024%' or</v>
      </c>
    </row>
    <row r="321" spans="1:10" x14ac:dyDescent="0.25">
      <c r="A321" s="12" t="s">
        <v>11698</v>
      </c>
      <c r="B321" t="s">
        <v>12249</v>
      </c>
      <c r="H321">
        <v>103702</v>
      </c>
      <c r="I321" t="s">
        <v>12396</v>
      </c>
      <c r="J321" t="str">
        <f t="shared" si="4"/>
        <v>ia.assorted_string like '%103702-00287-12-2024%' or</v>
      </c>
    </row>
    <row r="322" spans="1:10" x14ac:dyDescent="0.25">
      <c r="A322" s="12" t="s">
        <v>11699</v>
      </c>
      <c r="B322" t="s">
        <v>12249</v>
      </c>
      <c r="H322">
        <v>103702</v>
      </c>
      <c r="I322" t="s">
        <v>12511</v>
      </c>
      <c r="J322" t="str">
        <f t="shared" si="4"/>
        <v>ia.assorted_string like '%103702-00288-12-2024%' or</v>
      </c>
    </row>
    <row r="323" spans="1:10" x14ac:dyDescent="0.25">
      <c r="A323" s="12" t="s">
        <v>11700</v>
      </c>
      <c r="B323" t="s">
        <v>12249</v>
      </c>
      <c r="H323">
        <v>103702</v>
      </c>
      <c r="I323" t="s">
        <v>12400</v>
      </c>
      <c r="J323" t="str">
        <f t="shared" ref="J323:J386" si="5">"ia.assorted_string like '%"&amp;H323&amp;"-"&amp;I323&amp;B323&amp;"%' or"</f>
        <v>ia.assorted_string like '%103702-00305-12-2024%' or</v>
      </c>
    </row>
    <row r="324" spans="1:10" x14ac:dyDescent="0.25">
      <c r="A324" s="12" t="s">
        <v>11701</v>
      </c>
      <c r="B324" t="s">
        <v>12249</v>
      </c>
      <c r="H324">
        <v>103702</v>
      </c>
      <c r="I324" t="s">
        <v>12406</v>
      </c>
      <c r="J324" t="str">
        <f t="shared" si="5"/>
        <v>ia.assorted_string like '%103702-00318-12-2024%' or</v>
      </c>
    </row>
    <row r="325" spans="1:10" x14ac:dyDescent="0.25">
      <c r="A325" s="12" t="s">
        <v>11702</v>
      </c>
      <c r="B325" t="s">
        <v>12248</v>
      </c>
      <c r="H325">
        <v>102086</v>
      </c>
      <c r="I325" t="s">
        <v>12556</v>
      </c>
      <c r="J325" t="str">
        <f t="shared" si="5"/>
        <v>ia.assorted_string like '%102086-00231-11-2024%' or</v>
      </c>
    </row>
    <row r="326" spans="1:10" x14ac:dyDescent="0.25">
      <c r="A326" s="12" t="s">
        <v>11703</v>
      </c>
      <c r="B326" t="s">
        <v>12249</v>
      </c>
      <c r="H326">
        <v>103702</v>
      </c>
      <c r="I326" t="s">
        <v>12492</v>
      </c>
      <c r="J326" t="str">
        <f t="shared" si="5"/>
        <v>ia.assorted_string like '%103702-00324-12-2024%' or</v>
      </c>
    </row>
    <row r="327" spans="1:10" x14ac:dyDescent="0.25">
      <c r="A327" s="12" t="s">
        <v>11704</v>
      </c>
      <c r="B327" t="s">
        <v>12248</v>
      </c>
      <c r="H327">
        <v>102086</v>
      </c>
      <c r="I327" t="s">
        <v>12557</v>
      </c>
      <c r="J327" t="str">
        <f t="shared" si="5"/>
        <v>ia.assorted_string like '%102086-00230-11-2024%' or</v>
      </c>
    </row>
    <row r="328" spans="1:10" x14ac:dyDescent="0.25">
      <c r="A328" s="12" t="s">
        <v>11705</v>
      </c>
      <c r="B328" t="s">
        <v>12249</v>
      </c>
      <c r="H328">
        <v>103702</v>
      </c>
      <c r="I328" t="s">
        <v>12412</v>
      </c>
      <c r="J328" t="str">
        <f t="shared" si="5"/>
        <v>ia.assorted_string like '%103702-00327-12-2024%' or</v>
      </c>
    </row>
    <row r="329" spans="1:10" x14ac:dyDescent="0.25">
      <c r="A329" s="12" t="s">
        <v>11706</v>
      </c>
      <c r="B329" t="s">
        <v>12249</v>
      </c>
      <c r="H329">
        <v>103702</v>
      </c>
      <c r="I329" t="s">
        <v>12413</v>
      </c>
      <c r="J329" t="str">
        <f t="shared" si="5"/>
        <v>ia.assorted_string like '%103702-00328-12-2024%' or</v>
      </c>
    </row>
    <row r="330" spans="1:10" x14ac:dyDescent="0.25">
      <c r="A330" s="12" t="s">
        <v>11707</v>
      </c>
      <c r="B330" t="s">
        <v>12249</v>
      </c>
      <c r="H330">
        <v>103702</v>
      </c>
      <c r="I330" t="s">
        <v>12487</v>
      </c>
      <c r="J330" t="str">
        <f t="shared" si="5"/>
        <v>ia.assorted_string like '%103702-00331-12-2024%' or</v>
      </c>
    </row>
    <row r="331" spans="1:10" x14ac:dyDescent="0.25">
      <c r="A331" s="12" t="s">
        <v>11708</v>
      </c>
      <c r="B331" t="s">
        <v>12248</v>
      </c>
      <c r="H331">
        <v>102086</v>
      </c>
      <c r="I331" t="s">
        <v>12558</v>
      </c>
      <c r="J331" t="str">
        <f t="shared" si="5"/>
        <v>ia.assorted_string like '%102086-00228-11-2024%' or</v>
      </c>
    </row>
    <row r="332" spans="1:10" x14ac:dyDescent="0.25">
      <c r="A332" s="12" t="s">
        <v>11709</v>
      </c>
      <c r="B332" t="s">
        <v>12248</v>
      </c>
      <c r="H332">
        <v>102086</v>
      </c>
      <c r="I332" t="s">
        <v>12559</v>
      </c>
      <c r="J332" t="str">
        <f t="shared" si="5"/>
        <v>ia.assorted_string like '%102086-00226-11-2024%' or</v>
      </c>
    </row>
    <row r="333" spans="1:10" x14ac:dyDescent="0.25">
      <c r="A333" s="12" t="s">
        <v>11710</v>
      </c>
      <c r="B333" t="s">
        <v>12248</v>
      </c>
      <c r="H333">
        <v>102086</v>
      </c>
      <c r="I333" t="s">
        <v>12560</v>
      </c>
      <c r="J333" t="str">
        <f t="shared" si="5"/>
        <v>ia.assorted_string like '%102086-00225-11-2024%' or</v>
      </c>
    </row>
    <row r="334" spans="1:10" x14ac:dyDescent="0.25">
      <c r="A334" s="12" t="s">
        <v>11711</v>
      </c>
      <c r="B334" t="s">
        <v>12248</v>
      </c>
      <c r="H334">
        <v>102086</v>
      </c>
      <c r="I334" t="s">
        <v>12561</v>
      </c>
      <c r="J334" t="str">
        <f t="shared" si="5"/>
        <v>ia.assorted_string like '%102086-00224-11-2024%' or</v>
      </c>
    </row>
    <row r="335" spans="1:10" x14ac:dyDescent="0.25">
      <c r="A335" s="12" t="s">
        <v>11712</v>
      </c>
      <c r="B335" t="s">
        <v>12248</v>
      </c>
      <c r="H335">
        <v>102086</v>
      </c>
      <c r="I335" t="s">
        <v>12562</v>
      </c>
      <c r="J335" t="str">
        <f t="shared" si="5"/>
        <v>ia.assorted_string like '%102086-00223-11-2024%' or</v>
      </c>
    </row>
    <row r="336" spans="1:10" x14ac:dyDescent="0.25">
      <c r="A336" s="12" t="s">
        <v>11713</v>
      </c>
      <c r="B336" t="s">
        <v>12249</v>
      </c>
      <c r="H336">
        <v>103702</v>
      </c>
      <c r="I336" t="s">
        <v>12414</v>
      </c>
      <c r="J336" t="str">
        <f t="shared" si="5"/>
        <v>ia.assorted_string like '%103702-00338-12-2024%' or</v>
      </c>
    </row>
    <row r="337" spans="1:10" x14ac:dyDescent="0.25">
      <c r="A337" s="12" t="s">
        <v>11714</v>
      </c>
      <c r="B337" t="s">
        <v>12248</v>
      </c>
      <c r="H337">
        <v>102086</v>
      </c>
      <c r="I337" t="s">
        <v>12563</v>
      </c>
      <c r="J337" t="str">
        <f t="shared" si="5"/>
        <v>ia.assorted_string like '%102086-00218-11-2024%' or</v>
      </c>
    </row>
    <row r="338" spans="1:10" x14ac:dyDescent="0.25">
      <c r="A338" s="12" t="s">
        <v>11715</v>
      </c>
      <c r="B338" t="s">
        <v>12248</v>
      </c>
      <c r="H338">
        <v>102086</v>
      </c>
      <c r="I338" t="s">
        <v>12564</v>
      </c>
      <c r="J338" t="str">
        <f t="shared" si="5"/>
        <v>ia.assorted_string like '%102086-00215-11-2024%' or</v>
      </c>
    </row>
    <row r="339" spans="1:10" x14ac:dyDescent="0.25">
      <c r="A339" s="12" t="s">
        <v>11716</v>
      </c>
      <c r="B339" t="s">
        <v>12248</v>
      </c>
      <c r="H339">
        <v>102086</v>
      </c>
      <c r="I339" t="s">
        <v>12565</v>
      </c>
      <c r="J339" t="str">
        <f t="shared" si="5"/>
        <v>ia.assorted_string like '%102086-00214-11-2024%' or</v>
      </c>
    </row>
    <row r="340" spans="1:10" x14ac:dyDescent="0.25">
      <c r="A340" s="12" t="s">
        <v>11717</v>
      </c>
      <c r="B340" t="s">
        <v>12248</v>
      </c>
      <c r="H340">
        <v>102086</v>
      </c>
      <c r="I340" t="s">
        <v>12566</v>
      </c>
      <c r="J340" t="str">
        <f t="shared" si="5"/>
        <v>ia.assorted_string like '%102086-00208-11-2024%' or</v>
      </c>
    </row>
    <row r="341" spans="1:10" x14ac:dyDescent="0.25">
      <c r="A341" s="12" t="s">
        <v>11718</v>
      </c>
      <c r="B341" t="s">
        <v>12248</v>
      </c>
      <c r="H341">
        <v>102086</v>
      </c>
      <c r="I341" t="s">
        <v>12567</v>
      </c>
      <c r="J341" t="str">
        <f t="shared" si="5"/>
        <v>ia.assorted_string like '%102086-00206-11-2024%' or</v>
      </c>
    </row>
    <row r="342" spans="1:10" x14ac:dyDescent="0.25">
      <c r="A342" s="12" t="s">
        <v>11719</v>
      </c>
      <c r="B342" t="s">
        <v>12248</v>
      </c>
      <c r="H342">
        <v>102086</v>
      </c>
      <c r="I342" t="s">
        <v>12568</v>
      </c>
      <c r="J342" t="str">
        <f t="shared" si="5"/>
        <v>ia.assorted_string like '%102086-00203-11-2024%' or</v>
      </c>
    </row>
    <row r="343" spans="1:10" x14ac:dyDescent="0.25">
      <c r="A343" s="12" t="s">
        <v>11720</v>
      </c>
      <c r="B343" t="s">
        <v>12248</v>
      </c>
      <c r="H343">
        <v>102086</v>
      </c>
      <c r="I343" t="s">
        <v>12569</v>
      </c>
      <c r="J343" t="str">
        <f t="shared" si="5"/>
        <v>ia.assorted_string like '%102086-00202-11-2024%' or</v>
      </c>
    </row>
    <row r="344" spans="1:10" x14ac:dyDescent="0.25">
      <c r="A344" s="12" t="s">
        <v>11721</v>
      </c>
      <c r="B344" t="s">
        <v>12248</v>
      </c>
      <c r="H344">
        <v>102086</v>
      </c>
      <c r="I344" t="s">
        <v>12570</v>
      </c>
      <c r="J344" t="str">
        <f t="shared" si="5"/>
        <v>ia.assorted_string like '%102086-00201-11-2024%' or</v>
      </c>
    </row>
    <row r="345" spans="1:10" x14ac:dyDescent="0.25">
      <c r="A345" s="12" t="s">
        <v>11722</v>
      </c>
      <c r="B345" t="s">
        <v>12248</v>
      </c>
      <c r="H345">
        <v>102086</v>
      </c>
      <c r="I345" t="s">
        <v>12571</v>
      </c>
      <c r="J345" t="str">
        <f t="shared" si="5"/>
        <v>ia.assorted_string like '%102086-00200-11-2024%' or</v>
      </c>
    </row>
    <row r="346" spans="1:10" x14ac:dyDescent="0.25">
      <c r="A346" s="12" t="s">
        <v>11723</v>
      </c>
      <c r="B346" t="s">
        <v>12248</v>
      </c>
      <c r="H346">
        <v>102086</v>
      </c>
      <c r="I346" t="s">
        <v>12572</v>
      </c>
      <c r="J346" t="str">
        <f t="shared" si="5"/>
        <v>ia.assorted_string like '%102086-00198-11-2024%' or</v>
      </c>
    </row>
    <row r="347" spans="1:10" x14ac:dyDescent="0.25">
      <c r="A347" s="12" t="s">
        <v>11724</v>
      </c>
      <c r="B347" t="s">
        <v>12248</v>
      </c>
      <c r="H347">
        <v>102086</v>
      </c>
      <c r="I347" t="s">
        <v>12573</v>
      </c>
      <c r="J347" t="str">
        <f t="shared" si="5"/>
        <v>ia.assorted_string like '%102086-00197-11-2024%' or</v>
      </c>
    </row>
    <row r="348" spans="1:10" x14ac:dyDescent="0.25">
      <c r="A348" s="12" t="s">
        <v>11725</v>
      </c>
      <c r="B348" t="s">
        <v>12248</v>
      </c>
      <c r="H348">
        <v>102086</v>
      </c>
      <c r="I348" t="s">
        <v>12574</v>
      </c>
      <c r="J348" t="str">
        <f t="shared" si="5"/>
        <v>ia.assorted_string like '%102086-00190-11-2024%' or</v>
      </c>
    </row>
    <row r="349" spans="1:10" x14ac:dyDescent="0.25">
      <c r="A349" s="12" t="s">
        <v>11726</v>
      </c>
      <c r="B349" t="s">
        <v>12248</v>
      </c>
      <c r="H349">
        <v>102086</v>
      </c>
      <c r="I349" t="s">
        <v>12575</v>
      </c>
      <c r="J349" t="str">
        <f t="shared" si="5"/>
        <v>ia.assorted_string like '%102086-00189-11-2024%' or</v>
      </c>
    </row>
    <row r="350" spans="1:10" x14ac:dyDescent="0.25">
      <c r="A350" s="12" t="s">
        <v>11727</v>
      </c>
      <c r="B350" t="s">
        <v>12249</v>
      </c>
      <c r="H350">
        <v>103702</v>
      </c>
      <c r="I350" t="s">
        <v>12479</v>
      </c>
      <c r="J350" t="str">
        <f t="shared" si="5"/>
        <v>ia.assorted_string like '%103702-00340-12-2024%' or</v>
      </c>
    </row>
    <row r="351" spans="1:10" x14ac:dyDescent="0.25">
      <c r="A351" s="12" t="s">
        <v>11728</v>
      </c>
      <c r="B351" t="s">
        <v>12248</v>
      </c>
      <c r="H351">
        <v>102086</v>
      </c>
      <c r="I351" t="s">
        <v>12576</v>
      </c>
      <c r="J351" t="str">
        <f t="shared" si="5"/>
        <v>ia.assorted_string like '%102086-00188-11-2024%' or</v>
      </c>
    </row>
    <row r="352" spans="1:10" x14ac:dyDescent="0.25">
      <c r="A352" s="12" t="s">
        <v>11729</v>
      </c>
      <c r="B352" t="s">
        <v>12249</v>
      </c>
      <c r="H352">
        <v>103702</v>
      </c>
      <c r="I352" t="s">
        <v>12416</v>
      </c>
      <c r="J352" t="str">
        <f t="shared" si="5"/>
        <v>ia.assorted_string like '%103702-00342-12-2024%' or</v>
      </c>
    </row>
    <row r="353" spans="1:10" x14ac:dyDescent="0.25">
      <c r="A353" s="12" t="s">
        <v>11730</v>
      </c>
      <c r="B353" t="s">
        <v>12248</v>
      </c>
      <c r="H353">
        <v>102086</v>
      </c>
      <c r="I353" t="s">
        <v>12577</v>
      </c>
      <c r="J353" t="str">
        <f t="shared" si="5"/>
        <v>ia.assorted_string like '%102086-00187-11-2024%' or</v>
      </c>
    </row>
    <row r="354" spans="1:10" x14ac:dyDescent="0.25">
      <c r="A354" s="12" t="s">
        <v>11731</v>
      </c>
      <c r="B354" t="s">
        <v>12248</v>
      </c>
      <c r="H354">
        <v>102086</v>
      </c>
      <c r="I354" t="s">
        <v>12578</v>
      </c>
      <c r="J354" t="str">
        <f t="shared" si="5"/>
        <v>ia.assorted_string like '%102086-00185-11-2024%' or</v>
      </c>
    </row>
    <row r="355" spans="1:10" x14ac:dyDescent="0.25">
      <c r="A355" s="12" t="s">
        <v>11732</v>
      </c>
      <c r="B355" t="s">
        <v>12248</v>
      </c>
      <c r="H355">
        <v>102086</v>
      </c>
      <c r="I355" t="s">
        <v>12579</v>
      </c>
      <c r="J355" t="str">
        <f t="shared" si="5"/>
        <v>ia.assorted_string like '%102086-00184-11-2024%' or</v>
      </c>
    </row>
    <row r="356" spans="1:10" x14ac:dyDescent="0.25">
      <c r="A356" s="12" t="s">
        <v>11733</v>
      </c>
      <c r="B356" t="s">
        <v>12248</v>
      </c>
      <c r="H356">
        <v>102086</v>
      </c>
      <c r="I356" t="s">
        <v>12551</v>
      </c>
      <c r="J356" t="str">
        <f t="shared" si="5"/>
        <v>ia.assorted_string like '%102086-00183-11-2024%' or</v>
      </c>
    </row>
    <row r="357" spans="1:10" x14ac:dyDescent="0.25">
      <c r="A357" s="12" t="s">
        <v>11734</v>
      </c>
      <c r="B357" t="s">
        <v>12248</v>
      </c>
      <c r="H357">
        <v>102086</v>
      </c>
      <c r="I357" t="s">
        <v>12580</v>
      </c>
      <c r="J357" t="str">
        <f t="shared" si="5"/>
        <v>ia.assorted_string like '%102086-00182-11-2024%' or</v>
      </c>
    </row>
    <row r="358" spans="1:10" x14ac:dyDescent="0.25">
      <c r="A358" s="12" t="s">
        <v>11735</v>
      </c>
      <c r="B358" t="s">
        <v>12248</v>
      </c>
      <c r="H358">
        <v>102086</v>
      </c>
      <c r="I358" t="s">
        <v>12581</v>
      </c>
      <c r="J358" t="str">
        <f t="shared" si="5"/>
        <v>ia.assorted_string like '%102086-00179-11-2024%' or</v>
      </c>
    </row>
    <row r="359" spans="1:10" x14ac:dyDescent="0.25">
      <c r="A359" s="12" t="s">
        <v>11736</v>
      </c>
      <c r="B359" t="s">
        <v>12249</v>
      </c>
      <c r="H359">
        <v>103702</v>
      </c>
      <c r="I359" t="s">
        <v>12582</v>
      </c>
      <c r="J359" t="str">
        <f t="shared" si="5"/>
        <v>ia.assorted_string like '%103702-00348-12-2024%' or</v>
      </c>
    </row>
    <row r="360" spans="1:10" x14ac:dyDescent="0.25">
      <c r="A360" s="12" t="s">
        <v>11737</v>
      </c>
      <c r="B360" t="s">
        <v>12249</v>
      </c>
      <c r="H360">
        <v>103702</v>
      </c>
      <c r="I360" t="s">
        <v>12470</v>
      </c>
      <c r="J360" t="str">
        <f t="shared" si="5"/>
        <v>ia.assorted_string like '%103702-00356-12-2024%' or</v>
      </c>
    </row>
    <row r="361" spans="1:10" x14ac:dyDescent="0.25">
      <c r="A361" s="12" t="s">
        <v>11738</v>
      </c>
      <c r="B361" t="s">
        <v>12248</v>
      </c>
      <c r="H361">
        <v>102086</v>
      </c>
      <c r="I361" t="s">
        <v>12583</v>
      </c>
      <c r="J361" t="str">
        <f t="shared" si="5"/>
        <v>ia.assorted_string like '%102086-00178-11-2024%' or</v>
      </c>
    </row>
    <row r="362" spans="1:10" x14ac:dyDescent="0.25">
      <c r="A362" s="12" t="s">
        <v>11739</v>
      </c>
      <c r="B362" t="s">
        <v>12249</v>
      </c>
      <c r="H362">
        <v>103702</v>
      </c>
      <c r="I362" t="s">
        <v>12467</v>
      </c>
      <c r="J362" t="str">
        <f t="shared" si="5"/>
        <v>ia.assorted_string like '%103702-00359-12-2024%' or</v>
      </c>
    </row>
    <row r="363" spans="1:10" x14ac:dyDescent="0.25">
      <c r="A363" s="12" t="s">
        <v>11740</v>
      </c>
      <c r="B363" t="s">
        <v>12249</v>
      </c>
      <c r="H363">
        <v>103702</v>
      </c>
      <c r="I363" t="s">
        <v>12421</v>
      </c>
      <c r="J363" t="str">
        <f t="shared" si="5"/>
        <v>ia.assorted_string like '%103702-00360-12-2024%' or</v>
      </c>
    </row>
    <row r="364" spans="1:10" x14ac:dyDescent="0.25">
      <c r="A364" s="12" t="s">
        <v>11741</v>
      </c>
      <c r="B364" t="s">
        <v>12249</v>
      </c>
      <c r="H364">
        <v>103702</v>
      </c>
      <c r="I364" t="s">
        <v>12466</v>
      </c>
      <c r="J364" t="str">
        <f t="shared" si="5"/>
        <v>ia.assorted_string like '%103702-00361-12-2024%' or</v>
      </c>
    </row>
    <row r="365" spans="1:10" x14ac:dyDescent="0.25">
      <c r="A365" s="12" t="s">
        <v>11742</v>
      </c>
      <c r="B365" t="s">
        <v>12248</v>
      </c>
      <c r="H365">
        <v>102086</v>
      </c>
      <c r="I365" t="s">
        <v>12584</v>
      </c>
      <c r="J365" t="str">
        <f t="shared" si="5"/>
        <v>ia.assorted_string like '%102086-00173-11-2024%' or</v>
      </c>
    </row>
    <row r="366" spans="1:10" x14ac:dyDescent="0.25">
      <c r="A366" s="12" t="s">
        <v>11743</v>
      </c>
      <c r="B366" t="s">
        <v>12249</v>
      </c>
      <c r="H366">
        <v>103702</v>
      </c>
      <c r="I366" t="s">
        <v>12422</v>
      </c>
      <c r="J366" t="str">
        <f t="shared" si="5"/>
        <v>ia.assorted_string like '%103702-00366-12-2024%' or</v>
      </c>
    </row>
    <row r="367" spans="1:10" x14ac:dyDescent="0.25">
      <c r="A367" s="12" t="s">
        <v>11744</v>
      </c>
      <c r="B367" t="s">
        <v>12249</v>
      </c>
      <c r="H367">
        <v>103702</v>
      </c>
      <c r="I367" t="s">
        <v>12424</v>
      </c>
      <c r="J367" t="str">
        <f t="shared" si="5"/>
        <v>ia.assorted_string like '%103702-00369-12-2024%' or</v>
      </c>
    </row>
    <row r="368" spans="1:10" x14ac:dyDescent="0.25">
      <c r="A368" s="12" t="s">
        <v>11745</v>
      </c>
      <c r="B368" t="s">
        <v>12249</v>
      </c>
      <c r="H368">
        <v>103702</v>
      </c>
      <c r="I368" t="s">
        <v>12425</v>
      </c>
      <c r="J368" t="str">
        <f t="shared" si="5"/>
        <v>ia.assorted_string like '%103702-00370-12-2024%' or</v>
      </c>
    </row>
    <row r="369" spans="1:10" x14ac:dyDescent="0.25">
      <c r="A369" s="12" t="s">
        <v>11746</v>
      </c>
      <c r="B369" t="s">
        <v>12249</v>
      </c>
      <c r="H369">
        <v>103702</v>
      </c>
      <c r="I369" t="s">
        <v>12428</v>
      </c>
      <c r="J369" t="str">
        <f t="shared" si="5"/>
        <v>ia.assorted_string like '%103702-00374-12-2024%' or</v>
      </c>
    </row>
    <row r="370" spans="1:10" x14ac:dyDescent="0.25">
      <c r="A370" s="12" t="s">
        <v>11747</v>
      </c>
      <c r="B370" t="s">
        <v>12249</v>
      </c>
      <c r="H370">
        <v>103702</v>
      </c>
      <c r="I370" t="s">
        <v>12459</v>
      </c>
      <c r="J370" t="str">
        <f t="shared" si="5"/>
        <v>ia.assorted_string like '%103702-00377-12-2024%' or</v>
      </c>
    </row>
    <row r="371" spans="1:10" x14ac:dyDescent="0.25">
      <c r="A371" s="12" t="s">
        <v>11748</v>
      </c>
      <c r="B371" t="s">
        <v>12249</v>
      </c>
      <c r="H371">
        <v>103702</v>
      </c>
      <c r="I371" t="s">
        <v>12431</v>
      </c>
      <c r="J371" t="str">
        <f t="shared" si="5"/>
        <v>ia.assorted_string like '%103702-00379-12-2024%' or</v>
      </c>
    </row>
    <row r="372" spans="1:10" x14ac:dyDescent="0.25">
      <c r="A372" s="12" t="s">
        <v>11749</v>
      </c>
      <c r="B372" t="s">
        <v>12249</v>
      </c>
      <c r="H372">
        <v>103702</v>
      </c>
      <c r="I372" t="s">
        <v>12457</v>
      </c>
      <c r="J372" t="str">
        <f t="shared" si="5"/>
        <v>ia.assorted_string like '%103702-00382-12-2024%' or</v>
      </c>
    </row>
    <row r="373" spans="1:10" x14ac:dyDescent="0.25">
      <c r="A373" s="12" t="s">
        <v>11750</v>
      </c>
      <c r="B373" t="s">
        <v>12249</v>
      </c>
      <c r="H373">
        <v>103702</v>
      </c>
      <c r="I373" t="s">
        <v>12456</v>
      </c>
      <c r="J373" t="str">
        <f t="shared" si="5"/>
        <v>ia.assorted_string like '%103702-00383-12-2024%' or</v>
      </c>
    </row>
    <row r="374" spans="1:10" x14ac:dyDescent="0.25">
      <c r="A374" s="12" t="s">
        <v>11751</v>
      </c>
      <c r="B374" t="s">
        <v>12249</v>
      </c>
      <c r="H374">
        <v>103702</v>
      </c>
      <c r="I374" t="s">
        <v>12433</v>
      </c>
      <c r="J374" t="str">
        <f t="shared" si="5"/>
        <v>ia.assorted_string like '%103702-00384-12-2024%' or</v>
      </c>
    </row>
    <row r="375" spans="1:10" x14ac:dyDescent="0.25">
      <c r="A375" s="12" t="s">
        <v>11752</v>
      </c>
      <c r="B375" t="s">
        <v>12249</v>
      </c>
      <c r="H375">
        <v>103702</v>
      </c>
      <c r="I375" t="s">
        <v>12436</v>
      </c>
      <c r="J375" t="str">
        <f t="shared" si="5"/>
        <v>ia.assorted_string like '%103702-00391-12-2024%' or</v>
      </c>
    </row>
    <row r="376" spans="1:10" x14ac:dyDescent="0.25">
      <c r="A376" s="12" t="s">
        <v>11753</v>
      </c>
      <c r="B376" t="s">
        <v>12249</v>
      </c>
      <c r="H376">
        <v>103702</v>
      </c>
      <c r="I376" t="s">
        <v>12451</v>
      </c>
      <c r="J376" t="str">
        <f t="shared" si="5"/>
        <v>ia.assorted_string like '%103702-00395-12-2024%' or</v>
      </c>
    </row>
    <row r="377" spans="1:10" x14ac:dyDescent="0.25">
      <c r="A377" s="12" t="s">
        <v>11754</v>
      </c>
      <c r="B377" t="s">
        <v>12249</v>
      </c>
      <c r="H377">
        <v>103702</v>
      </c>
      <c r="I377" t="s">
        <v>12440</v>
      </c>
      <c r="J377" t="str">
        <f t="shared" si="5"/>
        <v>ia.assorted_string like '%103702-00396-12-2024%' or</v>
      </c>
    </row>
    <row r="378" spans="1:10" x14ac:dyDescent="0.25">
      <c r="A378" s="12" t="s">
        <v>11755</v>
      </c>
      <c r="B378" t="s">
        <v>12248</v>
      </c>
      <c r="H378">
        <v>102086</v>
      </c>
      <c r="I378" t="s">
        <v>12585</v>
      </c>
      <c r="J378" t="str">
        <f t="shared" si="5"/>
        <v>ia.assorted_string like '%102086-00169-11-2024%' or</v>
      </c>
    </row>
    <row r="379" spans="1:10" x14ac:dyDescent="0.25">
      <c r="A379" s="12" t="s">
        <v>11756</v>
      </c>
      <c r="B379" t="s">
        <v>12248</v>
      </c>
      <c r="H379">
        <v>102086</v>
      </c>
      <c r="I379" t="s">
        <v>12586</v>
      </c>
      <c r="J379" t="str">
        <f t="shared" si="5"/>
        <v>ia.assorted_string like '%102086-00168-11-2024%' or</v>
      </c>
    </row>
    <row r="380" spans="1:10" x14ac:dyDescent="0.25">
      <c r="A380" s="12" t="s">
        <v>11757</v>
      </c>
      <c r="B380" t="s">
        <v>12249</v>
      </c>
      <c r="H380">
        <v>103702</v>
      </c>
      <c r="I380" t="s">
        <v>12450</v>
      </c>
      <c r="J380" t="str">
        <f t="shared" si="5"/>
        <v>ia.assorted_string like '%103702-00397-12-2024%' or</v>
      </c>
    </row>
    <row r="381" spans="1:10" x14ac:dyDescent="0.25">
      <c r="A381" s="12" t="s">
        <v>11758</v>
      </c>
      <c r="B381" t="s">
        <v>12249</v>
      </c>
      <c r="H381">
        <v>103702</v>
      </c>
      <c r="I381" t="s">
        <v>12449</v>
      </c>
      <c r="J381" t="str">
        <f t="shared" si="5"/>
        <v>ia.assorted_string like '%103702-00398-12-2024%' or</v>
      </c>
    </row>
    <row r="382" spans="1:10" x14ac:dyDescent="0.25">
      <c r="A382" s="12" t="s">
        <v>11759</v>
      </c>
      <c r="B382" t="s">
        <v>12248</v>
      </c>
      <c r="H382">
        <v>102086</v>
      </c>
      <c r="I382" t="s">
        <v>12587</v>
      </c>
      <c r="J382" t="str">
        <f t="shared" si="5"/>
        <v>ia.assorted_string like '%102086-00164-11-2024%' or</v>
      </c>
    </row>
    <row r="383" spans="1:10" x14ac:dyDescent="0.25">
      <c r="A383" s="12" t="s">
        <v>11760</v>
      </c>
      <c r="B383" t="s">
        <v>12249</v>
      </c>
      <c r="H383">
        <v>103702</v>
      </c>
      <c r="I383" t="s">
        <v>12448</v>
      </c>
      <c r="J383" t="str">
        <f t="shared" si="5"/>
        <v>ia.assorted_string like '%103702-00399-12-2024%' or</v>
      </c>
    </row>
    <row r="384" spans="1:10" x14ac:dyDescent="0.25">
      <c r="A384" s="12" t="s">
        <v>11761</v>
      </c>
      <c r="B384" t="s">
        <v>12249</v>
      </c>
      <c r="H384">
        <v>103702</v>
      </c>
      <c r="I384" t="s">
        <v>12447</v>
      </c>
      <c r="J384" t="str">
        <f t="shared" si="5"/>
        <v>ia.assorted_string like '%103702-00400-12-2024%' or</v>
      </c>
    </row>
    <row r="385" spans="1:10" x14ac:dyDescent="0.25">
      <c r="A385" s="12" t="s">
        <v>11762</v>
      </c>
      <c r="B385" t="s">
        <v>12249</v>
      </c>
      <c r="H385">
        <v>103702</v>
      </c>
      <c r="I385" t="s">
        <v>12441</v>
      </c>
      <c r="J385" t="str">
        <f t="shared" si="5"/>
        <v>ia.assorted_string like '%103702-00401-12-2024%' or</v>
      </c>
    </row>
    <row r="386" spans="1:10" x14ac:dyDescent="0.25">
      <c r="A386" s="12" t="s">
        <v>11763</v>
      </c>
      <c r="B386" t="s">
        <v>12249</v>
      </c>
      <c r="H386">
        <v>103702</v>
      </c>
      <c r="I386" t="s">
        <v>12446</v>
      </c>
      <c r="J386" t="str">
        <f t="shared" si="5"/>
        <v>ia.assorted_string like '%103702-00403-12-2024%' or</v>
      </c>
    </row>
    <row r="387" spans="1:10" x14ac:dyDescent="0.25">
      <c r="A387" s="12" t="s">
        <v>11764</v>
      </c>
      <c r="B387" t="s">
        <v>12248</v>
      </c>
      <c r="H387">
        <v>102086</v>
      </c>
      <c r="I387" t="s">
        <v>12588</v>
      </c>
      <c r="J387" t="str">
        <f t="shared" ref="J387:J450" si="6">"ia.assorted_string like '%"&amp;H387&amp;"-"&amp;I387&amp;B387&amp;"%' or"</f>
        <v>ia.assorted_string like '%102086-00161-11-2024%' or</v>
      </c>
    </row>
    <row r="388" spans="1:10" x14ac:dyDescent="0.25">
      <c r="A388" s="12" t="s">
        <v>11765</v>
      </c>
      <c r="B388" t="s">
        <v>12248</v>
      </c>
      <c r="H388">
        <v>102086</v>
      </c>
      <c r="I388" t="s">
        <v>12589</v>
      </c>
      <c r="J388" t="str">
        <f t="shared" si="6"/>
        <v>ia.assorted_string like '%102086-00157-11-2024%' or</v>
      </c>
    </row>
    <row r="389" spans="1:10" x14ac:dyDescent="0.25">
      <c r="A389" s="12" t="s">
        <v>11766</v>
      </c>
      <c r="B389" t="s">
        <v>12248</v>
      </c>
      <c r="H389">
        <v>102086</v>
      </c>
      <c r="I389" t="s">
        <v>12590</v>
      </c>
      <c r="J389" t="str">
        <f t="shared" si="6"/>
        <v>ia.assorted_string like '%102086-00154-11-2024%' or</v>
      </c>
    </row>
    <row r="390" spans="1:10" x14ac:dyDescent="0.25">
      <c r="A390" s="12" t="s">
        <v>11767</v>
      </c>
      <c r="B390" t="s">
        <v>12249</v>
      </c>
      <c r="H390">
        <v>103702</v>
      </c>
      <c r="I390" t="s">
        <v>12444</v>
      </c>
      <c r="J390" t="str">
        <f t="shared" si="6"/>
        <v>ia.assorted_string like '%103702-00406-12-2024%' or</v>
      </c>
    </row>
    <row r="391" spans="1:10" x14ac:dyDescent="0.25">
      <c r="A391" s="12" t="s">
        <v>11768</v>
      </c>
      <c r="B391" t="s">
        <v>12249</v>
      </c>
      <c r="H391">
        <v>103702</v>
      </c>
      <c r="I391" t="s">
        <v>12591</v>
      </c>
      <c r="J391" t="str">
        <f t="shared" si="6"/>
        <v>ia.assorted_string like '%103702-00410-12-2024%' or</v>
      </c>
    </row>
    <row r="392" spans="1:10" x14ac:dyDescent="0.25">
      <c r="A392" s="12" t="s">
        <v>11769</v>
      </c>
      <c r="B392" t="s">
        <v>12249</v>
      </c>
      <c r="H392">
        <v>103702</v>
      </c>
      <c r="I392" t="s">
        <v>12592</v>
      </c>
      <c r="J392" t="str">
        <f t="shared" si="6"/>
        <v>ia.assorted_string like '%103702-00411-12-2024%' or</v>
      </c>
    </row>
    <row r="393" spans="1:10" x14ac:dyDescent="0.25">
      <c r="A393" s="12" t="s">
        <v>11770</v>
      </c>
      <c r="B393" t="s">
        <v>12248</v>
      </c>
      <c r="H393">
        <v>102086</v>
      </c>
      <c r="I393" t="s">
        <v>12593</v>
      </c>
      <c r="J393" t="str">
        <f t="shared" si="6"/>
        <v>ia.assorted_string like '%102086-00149-11-2024%' or</v>
      </c>
    </row>
    <row r="394" spans="1:10" x14ac:dyDescent="0.25">
      <c r="A394" s="12" t="s">
        <v>11771</v>
      </c>
      <c r="B394" t="s">
        <v>12249</v>
      </c>
      <c r="H394">
        <v>103702</v>
      </c>
      <c r="I394" t="s">
        <v>12594</v>
      </c>
      <c r="J394" t="str">
        <f t="shared" si="6"/>
        <v>ia.assorted_string like '%103702-00413-12-2024%' or</v>
      </c>
    </row>
    <row r="395" spans="1:10" x14ac:dyDescent="0.25">
      <c r="A395" s="12" t="s">
        <v>11772</v>
      </c>
      <c r="B395" t="s">
        <v>12249</v>
      </c>
      <c r="H395">
        <v>103702</v>
      </c>
      <c r="I395" t="s">
        <v>12595</v>
      </c>
      <c r="J395" t="str">
        <f t="shared" si="6"/>
        <v>ia.assorted_string like '%103702-00415-12-2024%' or</v>
      </c>
    </row>
    <row r="396" spans="1:10" x14ac:dyDescent="0.25">
      <c r="A396" s="12" t="s">
        <v>11773</v>
      </c>
      <c r="B396" t="s">
        <v>12248</v>
      </c>
      <c r="H396">
        <v>102086</v>
      </c>
      <c r="I396" t="s">
        <v>12596</v>
      </c>
      <c r="J396" t="str">
        <f t="shared" si="6"/>
        <v>ia.assorted_string like '%102086-00148-11-2024%' or</v>
      </c>
    </row>
    <row r="397" spans="1:10" x14ac:dyDescent="0.25">
      <c r="A397" s="12" t="s">
        <v>11774</v>
      </c>
      <c r="B397" t="s">
        <v>12249</v>
      </c>
      <c r="H397">
        <v>103702</v>
      </c>
      <c r="I397" t="s">
        <v>12597</v>
      </c>
      <c r="J397" t="str">
        <f t="shared" si="6"/>
        <v>ia.assorted_string like '%103702-00417-12-2024%' or</v>
      </c>
    </row>
    <row r="398" spans="1:10" x14ac:dyDescent="0.25">
      <c r="A398" s="12" t="s">
        <v>11775</v>
      </c>
      <c r="B398" t="s">
        <v>12249</v>
      </c>
      <c r="H398">
        <v>103702</v>
      </c>
      <c r="I398" t="s">
        <v>12598</v>
      </c>
      <c r="J398" t="str">
        <f t="shared" si="6"/>
        <v>ia.assorted_string like '%103702-00419-12-2024%' or</v>
      </c>
    </row>
    <row r="399" spans="1:10" x14ac:dyDescent="0.25">
      <c r="A399" s="12" t="s">
        <v>11776</v>
      </c>
      <c r="B399" t="s">
        <v>12248</v>
      </c>
      <c r="H399">
        <v>102086</v>
      </c>
      <c r="I399" t="s">
        <v>12546</v>
      </c>
      <c r="J399" t="str">
        <f t="shared" si="6"/>
        <v>ia.assorted_string like '%102086-00147-11-2024%' or</v>
      </c>
    </row>
    <row r="400" spans="1:10" x14ac:dyDescent="0.25">
      <c r="A400" s="12" t="s">
        <v>11777</v>
      </c>
      <c r="B400" t="s">
        <v>12248</v>
      </c>
      <c r="H400">
        <v>102086</v>
      </c>
      <c r="I400" t="s">
        <v>12599</v>
      </c>
      <c r="J400" t="str">
        <f t="shared" si="6"/>
        <v>ia.assorted_string like '%102086-00146-11-2024%' or</v>
      </c>
    </row>
    <row r="401" spans="1:10" x14ac:dyDescent="0.25">
      <c r="A401" s="17" t="s">
        <v>11995</v>
      </c>
      <c r="B401" t="s">
        <v>12249</v>
      </c>
      <c r="H401">
        <v>103702</v>
      </c>
      <c r="I401" t="s">
        <v>12600</v>
      </c>
      <c r="J401" t="str">
        <f t="shared" si="6"/>
        <v>ia.assorted_string like '%103702-00421-12-2024%' or</v>
      </c>
    </row>
    <row r="402" spans="1:10" x14ac:dyDescent="0.25">
      <c r="A402" s="12" t="s">
        <v>11778</v>
      </c>
      <c r="B402" t="s">
        <v>12248</v>
      </c>
      <c r="H402">
        <v>102086</v>
      </c>
      <c r="I402" t="s">
        <v>12601</v>
      </c>
      <c r="J402" t="str">
        <f t="shared" si="6"/>
        <v>ia.assorted_string like '%102086-00143-11-2024%' or</v>
      </c>
    </row>
    <row r="403" spans="1:10" x14ac:dyDescent="0.25">
      <c r="A403" s="12" t="s">
        <v>11779</v>
      </c>
      <c r="B403" t="s">
        <v>12249</v>
      </c>
      <c r="H403">
        <v>103702</v>
      </c>
      <c r="I403" t="s">
        <v>12602</v>
      </c>
      <c r="J403" t="str">
        <f t="shared" si="6"/>
        <v>ia.assorted_string like '%103702-00422-12-2024%' or</v>
      </c>
    </row>
    <row r="404" spans="1:10" x14ac:dyDescent="0.25">
      <c r="A404" s="12" t="s">
        <v>11780</v>
      </c>
      <c r="B404" t="s">
        <v>12248</v>
      </c>
      <c r="H404">
        <v>102086</v>
      </c>
      <c r="I404" t="s">
        <v>12603</v>
      </c>
      <c r="J404" t="str">
        <f t="shared" si="6"/>
        <v>ia.assorted_string like '%102086-00142-11-2024%' or</v>
      </c>
    </row>
    <row r="405" spans="1:10" x14ac:dyDescent="0.25">
      <c r="A405" s="12" t="s">
        <v>11781</v>
      </c>
      <c r="B405" t="s">
        <v>12248</v>
      </c>
      <c r="H405">
        <v>102086</v>
      </c>
      <c r="I405" t="s">
        <v>12604</v>
      </c>
      <c r="J405" t="str">
        <f t="shared" si="6"/>
        <v>ia.assorted_string like '%102086-00141-11-2024%' or</v>
      </c>
    </row>
    <row r="406" spans="1:10" x14ac:dyDescent="0.25">
      <c r="A406" s="12" t="s">
        <v>11782</v>
      </c>
      <c r="B406" t="s">
        <v>12248</v>
      </c>
      <c r="H406">
        <v>102086</v>
      </c>
      <c r="I406" t="s">
        <v>12605</v>
      </c>
      <c r="J406" t="str">
        <f t="shared" si="6"/>
        <v>ia.assorted_string like '%102086-00140-11-2024%' or</v>
      </c>
    </row>
    <row r="407" spans="1:10" x14ac:dyDescent="0.25">
      <c r="A407" s="12" t="s">
        <v>11783</v>
      </c>
      <c r="B407" t="s">
        <v>12248</v>
      </c>
      <c r="H407">
        <v>102086</v>
      </c>
      <c r="I407" t="s">
        <v>12606</v>
      </c>
      <c r="J407" t="str">
        <f t="shared" si="6"/>
        <v>ia.assorted_string like '%102086-00139-11-2024%' or</v>
      </c>
    </row>
    <row r="408" spans="1:10" x14ac:dyDescent="0.25">
      <c r="A408" s="12" t="s">
        <v>11784</v>
      </c>
      <c r="B408" t="s">
        <v>12248</v>
      </c>
      <c r="H408">
        <v>102086</v>
      </c>
      <c r="I408" t="s">
        <v>12607</v>
      </c>
      <c r="J408" t="str">
        <f t="shared" si="6"/>
        <v>ia.assorted_string like '%102086-00137-11-2024%' or</v>
      </c>
    </row>
    <row r="409" spans="1:10" x14ac:dyDescent="0.25">
      <c r="A409" s="12" t="s">
        <v>11785</v>
      </c>
      <c r="B409" t="s">
        <v>12248</v>
      </c>
      <c r="H409">
        <v>102086</v>
      </c>
      <c r="I409" t="s">
        <v>12608</v>
      </c>
      <c r="J409" t="str">
        <f t="shared" si="6"/>
        <v>ia.assorted_string like '%102086-00136-11-2024%' or</v>
      </c>
    </row>
    <row r="410" spans="1:10" x14ac:dyDescent="0.25">
      <c r="A410" s="12" t="s">
        <v>11786</v>
      </c>
      <c r="B410" t="s">
        <v>12248</v>
      </c>
      <c r="H410">
        <v>102086</v>
      </c>
      <c r="I410" t="s">
        <v>12609</v>
      </c>
      <c r="J410" t="str">
        <f t="shared" si="6"/>
        <v>ia.assorted_string like '%102086-00135-11-2024%' or</v>
      </c>
    </row>
    <row r="411" spans="1:10" x14ac:dyDescent="0.25">
      <c r="A411" s="12" t="s">
        <v>11787</v>
      </c>
      <c r="B411" t="s">
        <v>12248</v>
      </c>
      <c r="H411">
        <v>102086</v>
      </c>
      <c r="I411" t="s">
        <v>12545</v>
      </c>
      <c r="J411" t="str">
        <f t="shared" si="6"/>
        <v>ia.assorted_string like '%102086-00134-11-2024%' or</v>
      </c>
    </row>
    <row r="412" spans="1:10" x14ac:dyDescent="0.25">
      <c r="A412" s="12" t="s">
        <v>11788</v>
      </c>
      <c r="B412" t="s">
        <v>12248</v>
      </c>
      <c r="H412">
        <v>102086</v>
      </c>
      <c r="I412" t="s">
        <v>12610</v>
      </c>
      <c r="J412" t="str">
        <f t="shared" si="6"/>
        <v>ia.assorted_string like '%102086-00133-11-2024%' or</v>
      </c>
    </row>
    <row r="413" spans="1:10" x14ac:dyDescent="0.25">
      <c r="A413" s="12" t="s">
        <v>11789</v>
      </c>
      <c r="B413" t="s">
        <v>12248</v>
      </c>
      <c r="H413">
        <v>102086</v>
      </c>
      <c r="I413" t="s">
        <v>12611</v>
      </c>
      <c r="J413" t="str">
        <f t="shared" si="6"/>
        <v>ia.assorted_string like '%102086-00132-11-2024%' or</v>
      </c>
    </row>
    <row r="414" spans="1:10" x14ac:dyDescent="0.25">
      <c r="A414" s="12" t="s">
        <v>11790</v>
      </c>
      <c r="B414" t="s">
        <v>12248</v>
      </c>
      <c r="H414">
        <v>102086</v>
      </c>
      <c r="I414" t="s">
        <v>12544</v>
      </c>
      <c r="J414" t="str">
        <f t="shared" si="6"/>
        <v>ia.assorted_string like '%102086-00129-11-2024%' or</v>
      </c>
    </row>
    <row r="415" spans="1:10" x14ac:dyDescent="0.25">
      <c r="A415" s="12" t="s">
        <v>11791</v>
      </c>
      <c r="B415" t="s">
        <v>12248</v>
      </c>
      <c r="H415">
        <v>102086</v>
      </c>
      <c r="I415" t="s">
        <v>12612</v>
      </c>
      <c r="J415" t="str">
        <f t="shared" si="6"/>
        <v>ia.assorted_string like '%102086-00128-11-2024%' or</v>
      </c>
    </row>
    <row r="416" spans="1:10" x14ac:dyDescent="0.25">
      <c r="A416" s="12" t="s">
        <v>11792</v>
      </c>
      <c r="B416" t="s">
        <v>12248</v>
      </c>
      <c r="H416">
        <v>102086</v>
      </c>
      <c r="I416" t="s">
        <v>12543</v>
      </c>
      <c r="J416" t="str">
        <f t="shared" si="6"/>
        <v>ia.assorted_string like '%102086-00125-11-2024%' or</v>
      </c>
    </row>
    <row r="417" spans="1:10" x14ac:dyDescent="0.25">
      <c r="A417" s="12" t="s">
        <v>11793</v>
      </c>
      <c r="B417" t="s">
        <v>12249</v>
      </c>
      <c r="H417">
        <v>103702</v>
      </c>
      <c r="I417" t="s">
        <v>12613</v>
      </c>
      <c r="J417" t="str">
        <f t="shared" si="6"/>
        <v>ia.assorted_string like '%103702-00423-12-2024%' or</v>
      </c>
    </row>
    <row r="418" spans="1:10" x14ac:dyDescent="0.25">
      <c r="A418" s="12" t="s">
        <v>11794</v>
      </c>
      <c r="B418" t="s">
        <v>12248</v>
      </c>
      <c r="H418">
        <v>102086</v>
      </c>
      <c r="I418" t="s">
        <v>12614</v>
      </c>
      <c r="J418" t="str">
        <f t="shared" si="6"/>
        <v>ia.assorted_string like '%102086-00124-11-2024%' or</v>
      </c>
    </row>
    <row r="419" spans="1:10" x14ac:dyDescent="0.25">
      <c r="A419" s="12" t="s">
        <v>11795</v>
      </c>
      <c r="B419" t="s">
        <v>12249</v>
      </c>
      <c r="H419">
        <v>103702</v>
      </c>
      <c r="I419" t="s">
        <v>12615</v>
      </c>
      <c r="J419" t="str">
        <f t="shared" si="6"/>
        <v>ia.assorted_string like '%103702-00424-12-2024%' or</v>
      </c>
    </row>
    <row r="420" spans="1:10" x14ac:dyDescent="0.25">
      <c r="A420" s="12" t="s">
        <v>11796</v>
      </c>
      <c r="B420" t="s">
        <v>12249</v>
      </c>
      <c r="H420">
        <v>103702</v>
      </c>
      <c r="I420" t="s">
        <v>12616</v>
      </c>
      <c r="J420" t="str">
        <f t="shared" si="6"/>
        <v>ia.assorted_string like '%103702-00420-12-2024%' or</v>
      </c>
    </row>
    <row r="421" spans="1:10" x14ac:dyDescent="0.25">
      <c r="A421" s="12" t="s">
        <v>11797</v>
      </c>
      <c r="B421" t="s">
        <v>12249</v>
      </c>
      <c r="H421">
        <v>103702</v>
      </c>
      <c r="I421" t="s">
        <v>12617</v>
      </c>
      <c r="J421" t="str">
        <f t="shared" si="6"/>
        <v>ia.assorted_string like '%103702-00418-12-2024%' or</v>
      </c>
    </row>
    <row r="422" spans="1:10" x14ac:dyDescent="0.25">
      <c r="A422" s="12" t="s">
        <v>11798</v>
      </c>
      <c r="B422" t="s">
        <v>12248</v>
      </c>
      <c r="H422">
        <v>102086</v>
      </c>
      <c r="I422" t="s">
        <v>12618</v>
      </c>
      <c r="J422" t="str">
        <f t="shared" si="6"/>
        <v>ia.assorted_string like '%102086-00123-11-2024%' or</v>
      </c>
    </row>
    <row r="423" spans="1:10" x14ac:dyDescent="0.25">
      <c r="A423" s="12" t="s">
        <v>11799</v>
      </c>
      <c r="B423" t="s">
        <v>12248</v>
      </c>
      <c r="H423">
        <v>102086</v>
      </c>
      <c r="I423" t="s">
        <v>12619</v>
      </c>
      <c r="J423" t="str">
        <f t="shared" si="6"/>
        <v>ia.assorted_string like '%102086-00121-11-2024%' or</v>
      </c>
    </row>
    <row r="424" spans="1:10" x14ac:dyDescent="0.25">
      <c r="A424" s="12" t="s">
        <v>11800</v>
      </c>
      <c r="B424" t="s">
        <v>12248</v>
      </c>
      <c r="H424">
        <v>102086</v>
      </c>
      <c r="I424" t="s">
        <v>12620</v>
      </c>
      <c r="J424" t="str">
        <f t="shared" si="6"/>
        <v>ia.assorted_string like '%102086-00120-11-2024%' or</v>
      </c>
    </row>
    <row r="425" spans="1:10" x14ac:dyDescent="0.25">
      <c r="A425" s="12" t="s">
        <v>11801</v>
      </c>
      <c r="B425" t="s">
        <v>12249</v>
      </c>
      <c r="H425">
        <v>103702</v>
      </c>
      <c r="I425" t="s">
        <v>12621</v>
      </c>
      <c r="J425" t="str">
        <f t="shared" si="6"/>
        <v>ia.assorted_string like '%103702-00414-12-2024%' or</v>
      </c>
    </row>
    <row r="426" spans="1:10" x14ac:dyDescent="0.25">
      <c r="A426" s="12" t="s">
        <v>11802</v>
      </c>
      <c r="B426" t="s">
        <v>12248</v>
      </c>
      <c r="H426">
        <v>102086</v>
      </c>
      <c r="I426" t="s">
        <v>12622</v>
      </c>
      <c r="J426" t="str">
        <f t="shared" si="6"/>
        <v>ia.assorted_string like '%102086-00119-11-2024%' or</v>
      </c>
    </row>
    <row r="427" spans="1:10" x14ac:dyDescent="0.25">
      <c r="A427" s="12" t="s">
        <v>11803</v>
      </c>
      <c r="B427" t="s">
        <v>12248</v>
      </c>
      <c r="H427">
        <v>102086</v>
      </c>
      <c r="I427" t="s">
        <v>12623</v>
      </c>
      <c r="J427" t="str">
        <f t="shared" si="6"/>
        <v>ia.assorted_string like '%102086-00118-11-2024%' or</v>
      </c>
    </row>
    <row r="428" spans="1:10" x14ac:dyDescent="0.25">
      <c r="A428" s="12" t="s">
        <v>11804</v>
      </c>
      <c r="B428" t="s">
        <v>12249</v>
      </c>
      <c r="H428">
        <v>103702</v>
      </c>
      <c r="I428" t="s">
        <v>12624</v>
      </c>
      <c r="J428" t="str">
        <f t="shared" si="6"/>
        <v>ia.assorted_string like '%103702-00412-12-2024%' or</v>
      </c>
    </row>
    <row r="429" spans="1:10" x14ac:dyDescent="0.25">
      <c r="A429" s="12" t="s">
        <v>11805</v>
      </c>
      <c r="B429" t="s">
        <v>12248</v>
      </c>
      <c r="H429">
        <v>102086</v>
      </c>
      <c r="I429" t="s">
        <v>12625</v>
      </c>
      <c r="J429" t="str">
        <f t="shared" si="6"/>
        <v>ia.assorted_string like '%102086-00116-11-2024%' or</v>
      </c>
    </row>
    <row r="430" spans="1:10" x14ac:dyDescent="0.25">
      <c r="A430" s="12" t="s">
        <v>11806</v>
      </c>
      <c r="B430" t="s">
        <v>12249</v>
      </c>
      <c r="H430">
        <v>103702</v>
      </c>
      <c r="I430" t="s">
        <v>12626</v>
      </c>
      <c r="J430" t="str">
        <f t="shared" si="6"/>
        <v>ia.assorted_string like '%103702-00409-12-2024%' or</v>
      </c>
    </row>
    <row r="431" spans="1:10" x14ac:dyDescent="0.25">
      <c r="A431" s="12" t="s">
        <v>11807</v>
      </c>
      <c r="B431" t="s">
        <v>12248</v>
      </c>
      <c r="H431">
        <v>102086</v>
      </c>
      <c r="I431" t="s">
        <v>12627</v>
      </c>
      <c r="J431" t="str">
        <f t="shared" si="6"/>
        <v>ia.assorted_string like '%102086-00112-11-2024%' or</v>
      </c>
    </row>
    <row r="432" spans="1:10" x14ac:dyDescent="0.25">
      <c r="A432" s="12" t="s">
        <v>11808</v>
      </c>
      <c r="B432" t="s">
        <v>12248</v>
      </c>
      <c r="H432">
        <v>102086</v>
      </c>
      <c r="I432" t="s">
        <v>12628</v>
      </c>
      <c r="J432" t="str">
        <f t="shared" si="6"/>
        <v>ia.assorted_string like '%102086-00111-11-2024%' or</v>
      </c>
    </row>
    <row r="433" spans="1:10" x14ac:dyDescent="0.25">
      <c r="A433" s="12" t="s">
        <v>11809</v>
      </c>
      <c r="B433" t="s">
        <v>12248</v>
      </c>
      <c r="H433">
        <v>102086</v>
      </c>
      <c r="I433" t="s">
        <v>12629</v>
      </c>
      <c r="J433" t="str">
        <f t="shared" si="6"/>
        <v>ia.assorted_string like '%102086-00110-11-2024%' or</v>
      </c>
    </row>
    <row r="434" spans="1:10" x14ac:dyDescent="0.25">
      <c r="A434" s="12" t="s">
        <v>11810</v>
      </c>
      <c r="B434" t="s">
        <v>12248</v>
      </c>
      <c r="H434">
        <v>102086</v>
      </c>
      <c r="I434" t="s">
        <v>12630</v>
      </c>
      <c r="J434" t="str">
        <f t="shared" si="6"/>
        <v>ia.assorted_string like '%102086-00107-11-2024%' or</v>
      </c>
    </row>
    <row r="435" spans="1:10" x14ac:dyDescent="0.25">
      <c r="A435" s="12" t="s">
        <v>11811</v>
      </c>
      <c r="B435" t="s">
        <v>12248</v>
      </c>
      <c r="H435">
        <v>102086</v>
      </c>
      <c r="I435" t="s">
        <v>12631</v>
      </c>
      <c r="J435" t="str">
        <f t="shared" si="6"/>
        <v>ia.assorted_string like '%102086-00106-11-2024%' or</v>
      </c>
    </row>
    <row r="436" spans="1:10" x14ac:dyDescent="0.25">
      <c r="A436" s="12" t="s">
        <v>11812</v>
      </c>
      <c r="B436" t="s">
        <v>12248</v>
      </c>
      <c r="H436">
        <v>102086</v>
      </c>
      <c r="I436" t="s">
        <v>12632</v>
      </c>
      <c r="J436" t="str">
        <f t="shared" si="6"/>
        <v>ia.assorted_string like '%102086-00105-11-2024%' or</v>
      </c>
    </row>
    <row r="437" spans="1:10" x14ac:dyDescent="0.25">
      <c r="A437" s="12" t="s">
        <v>11813</v>
      </c>
      <c r="B437" t="s">
        <v>12248</v>
      </c>
      <c r="H437">
        <v>102086</v>
      </c>
      <c r="I437" t="s">
        <v>12633</v>
      </c>
      <c r="J437" t="str">
        <f t="shared" si="6"/>
        <v>ia.assorted_string like '%102086-00104-11-2024%' or</v>
      </c>
    </row>
    <row r="438" spans="1:10" x14ac:dyDescent="0.25">
      <c r="A438" s="12" t="s">
        <v>11814</v>
      </c>
      <c r="B438" t="s">
        <v>12248</v>
      </c>
      <c r="H438">
        <v>102086</v>
      </c>
      <c r="I438" t="s">
        <v>12540</v>
      </c>
      <c r="J438" t="str">
        <f t="shared" si="6"/>
        <v>ia.assorted_string like '%102086-00102-11-2024%' or</v>
      </c>
    </row>
    <row r="439" spans="1:10" x14ac:dyDescent="0.25">
      <c r="A439" s="12" t="s">
        <v>11815</v>
      </c>
      <c r="B439" t="s">
        <v>12248</v>
      </c>
      <c r="H439">
        <v>102086</v>
      </c>
      <c r="I439" t="s">
        <v>12634</v>
      </c>
      <c r="J439" t="str">
        <f t="shared" si="6"/>
        <v>ia.assorted_string like '%102086-00101-11-2024%' or</v>
      </c>
    </row>
    <row r="440" spans="1:10" x14ac:dyDescent="0.25">
      <c r="A440" s="12" t="s">
        <v>11816</v>
      </c>
      <c r="B440" t="s">
        <v>12248</v>
      </c>
      <c r="H440">
        <v>102086</v>
      </c>
      <c r="I440" t="s">
        <v>12539</v>
      </c>
      <c r="J440" t="str">
        <f t="shared" si="6"/>
        <v>ia.assorted_string like '%102086-00095-11-2024%' or</v>
      </c>
    </row>
    <row r="441" spans="1:10" x14ac:dyDescent="0.25">
      <c r="A441" s="12" t="s">
        <v>11817</v>
      </c>
      <c r="B441" t="s">
        <v>12249</v>
      </c>
      <c r="H441">
        <v>103702</v>
      </c>
      <c r="I441" t="s">
        <v>12443</v>
      </c>
      <c r="J441" t="str">
        <f t="shared" si="6"/>
        <v>ia.assorted_string like '%103702-00405-12-2024%' or</v>
      </c>
    </row>
    <row r="442" spans="1:10" x14ac:dyDescent="0.25">
      <c r="A442" s="12" t="s">
        <v>11818</v>
      </c>
      <c r="B442" t="s">
        <v>12248</v>
      </c>
      <c r="H442">
        <v>102086</v>
      </c>
      <c r="I442" t="s">
        <v>12635</v>
      </c>
      <c r="J442" t="str">
        <f t="shared" si="6"/>
        <v>ia.assorted_string like '%102086-00093-11-2024%' or</v>
      </c>
    </row>
    <row r="443" spans="1:10" x14ac:dyDescent="0.25">
      <c r="A443" s="12" t="s">
        <v>11819</v>
      </c>
      <c r="B443" t="s">
        <v>12248</v>
      </c>
      <c r="H443">
        <v>102086</v>
      </c>
      <c r="I443" t="s">
        <v>12636</v>
      </c>
      <c r="J443" t="str">
        <f t="shared" si="6"/>
        <v>ia.assorted_string like '%102086-00092-11-2024%' or</v>
      </c>
    </row>
    <row r="444" spans="1:10" x14ac:dyDescent="0.25">
      <c r="A444" s="12" t="s">
        <v>11820</v>
      </c>
      <c r="B444" t="s">
        <v>12249</v>
      </c>
      <c r="H444">
        <v>103702</v>
      </c>
      <c r="I444" t="s">
        <v>12439</v>
      </c>
      <c r="J444" t="str">
        <f t="shared" si="6"/>
        <v>ia.assorted_string like '%103702-00394-12-2024%' or</v>
      </c>
    </row>
    <row r="445" spans="1:10" x14ac:dyDescent="0.25">
      <c r="A445" s="12" t="s">
        <v>11821</v>
      </c>
      <c r="B445" t="s">
        <v>12248</v>
      </c>
      <c r="H445">
        <v>102086</v>
      </c>
      <c r="I445" t="s">
        <v>12538</v>
      </c>
      <c r="J445" t="str">
        <f t="shared" si="6"/>
        <v>ia.assorted_string like '%102086-00091-11-2024%' or</v>
      </c>
    </row>
    <row r="446" spans="1:10" x14ac:dyDescent="0.25">
      <c r="A446" s="12" t="s">
        <v>11822</v>
      </c>
      <c r="B446" t="s">
        <v>12248</v>
      </c>
      <c r="H446">
        <v>102086</v>
      </c>
      <c r="I446" t="s">
        <v>12637</v>
      </c>
      <c r="J446" t="str">
        <f t="shared" si="6"/>
        <v>ia.assorted_string like '%102086-00090-11-2024%' or</v>
      </c>
    </row>
    <row r="447" spans="1:10" x14ac:dyDescent="0.25">
      <c r="A447" s="12" t="s">
        <v>11823</v>
      </c>
      <c r="B447" t="s">
        <v>12249</v>
      </c>
      <c r="H447">
        <v>103702</v>
      </c>
      <c r="I447" t="s">
        <v>12438</v>
      </c>
      <c r="J447" t="str">
        <f t="shared" si="6"/>
        <v>ia.assorted_string like '%103702-00393-12-2024%' or</v>
      </c>
    </row>
    <row r="448" spans="1:10" x14ac:dyDescent="0.25">
      <c r="A448" s="12" t="s">
        <v>11824</v>
      </c>
      <c r="B448" t="s">
        <v>12248</v>
      </c>
      <c r="H448">
        <v>102086</v>
      </c>
      <c r="I448" t="s">
        <v>12638</v>
      </c>
      <c r="J448" t="str">
        <f t="shared" si="6"/>
        <v>ia.assorted_string like '%102086-00084-11-2024%' or</v>
      </c>
    </row>
    <row r="449" spans="1:10" x14ac:dyDescent="0.25">
      <c r="A449" s="12" t="s">
        <v>11825</v>
      </c>
      <c r="B449" t="s">
        <v>12248</v>
      </c>
      <c r="H449">
        <v>102086</v>
      </c>
      <c r="I449" t="s">
        <v>12639</v>
      </c>
      <c r="J449" t="str">
        <f t="shared" si="6"/>
        <v>ia.assorted_string like '%102086-00082-11-2024%' or</v>
      </c>
    </row>
    <row r="450" spans="1:10" x14ac:dyDescent="0.25">
      <c r="A450" s="12" t="s">
        <v>11826</v>
      </c>
      <c r="B450" t="s">
        <v>12249</v>
      </c>
      <c r="H450">
        <v>103702</v>
      </c>
      <c r="I450" t="s">
        <v>12437</v>
      </c>
      <c r="J450" t="str">
        <f t="shared" si="6"/>
        <v>ia.assorted_string like '%103702-00392-12-2024%' or</v>
      </c>
    </row>
    <row r="451" spans="1:10" x14ac:dyDescent="0.25">
      <c r="A451" s="12" t="s">
        <v>11827</v>
      </c>
      <c r="B451" t="s">
        <v>12249</v>
      </c>
      <c r="H451">
        <v>103702</v>
      </c>
      <c r="I451" t="s">
        <v>12435</v>
      </c>
      <c r="J451" t="str">
        <f t="shared" ref="J451:J514" si="7">"ia.assorted_string like '%"&amp;H451&amp;"-"&amp;I451&amp;B451&amp;"%' or"</f>
        <v>ia.assorted_string like '%103702-00390-12-2024%' or</v>
      </c>
    </row>
    <row r="452" spans="1:10" x14ac:dyDescent="0.25">
      <c r="A452" s="12" t="s">
        <v>11828</v>
      </c>
      <c r="B452" t="s">
        <v>12249</v>
      </c>
      <c r="H452">
        <v>103702</v>
      </c>
      <c r="I452" t="s">
        <v>12454</v>
      </c>
      <c r="J452" t="str">
        <f t="shared" si="7"/>
        <v>ia.assorted_string like '%103702-00387-12-2024%' or</v>
      </c>
    </row>
    <row r="453" spans="1:10" x14ac:dyDescent="0.25">
      <c r="A453" s="12" t="s">
        <v>11829</v>
      </c>
      <c r="B453" t="s">
        <v>12248</v>
      </c>
      <c r="H453">
        <v>102086</v>
      </c>
      <c r="I453" t="s">
        <v>12640</v>
      </c>
      <c r="J453" t="str">
        <f t="shared" si="7"/>
        <v>ia.assorted_string like '%102086-00081-11-2024%' or</v>
      </c>
    </row>
    <row r="454" spans="1:10" x14ac:dyDescent="0.25">
      <c r="A454" s="12" t="s">
        <v>11830</v>
      </c>
      <c r="B454" t="s">
        <v>12249</v>
      </c>
      <c r="H454">
        <v>103702</v>
      </c>
      <c r="I454" t="s">
        <v>12432</v>
      </c>
      <c r="J454" t="str">
        <f t="shared" si="7"/>
        <v>ia.assorted_string like '%103702-00381-12-2024%' or</v>
      </c>
    </row>
    <row r="455" spans="1:10" x14ac:dyDescent="0.25">
      <c r="A455" s="12" t="s">
        <v>11831</v>
      </c>
      <c r="B455" t="s">
        <v>12249</v>
      </c>
      <c r="H455">
        <v>103702</v>
      </c>
      <c r="I455" t="s">
        <v>12458</v>
      </c>
      <c r="J455" t="str">
        <f t="shared" si="7"/>
        <v>ia.assorted_string like '%103702-00380-12-2024%' or</v>
      </c>
    </row>
    <row r="456" spans="1:10" x14ac:dyDescent="0.25">
      <c r="A456" s="12" t="s">
        <v>11832</v>
      </c>
      <c r="B456" t="s">
        <v>12249</v>
      </c>
      <c r="H456">
        <v>103702</v>
      </c>
      <c r="I456" t="s">
        <v>12430</v>
      </c>
      <c r="J456" t="str">
        <f t="shared" si="7"/>
        <v>ia.assorted_string like '%103702-00378-12-2024%' or</v>
      </c>
    </row>
    <row r="457" spans="1:10" x14ac:dyDescent="0.25">
      <c r="A457" s="12" t="s">
        <v>11833</v>
      </c>
      <c r="B457" t="s">
        <v>12249</v>
      </c>
      <c r="H457">
        <v>103702</v>
      </c>
      <c r="I457" t="s">
        <v>12429</v>
      </c>
      <c r="J457" t="str">
        <f t="shared" si="7"/>
        <v>ia.assorted_string like '%103702-00376-12-2024%' or</v>
      </c>
    </row>
    <row r="458" spans="1:10" x14ac:dyDescent="0.25">
      <c r="A458" s="12" t="s">
        <v>11834</v>
      </c>
      <c r="B458" t="s">
        <v>12249</v>
      </c>
      <c r="H458">
        <v>103702</v>
      </c>
      <c r="I458" t="s">
        <v>12426</v>
      </c>
      <c r="J458" t="str">
        <f t="shared" si="7"/>
        <v>ia.assorted_string like '%103702-00371-12-2024%' or</v>
      </c>
    </row>
    <row r="459" spans="1:10" x14ac:dyDescent="0.25">
      <c r="A459" s="12" t="s">
        <v>11835</v>
      </c>
      <c r="B459" t="s">
        <v>12249</v>
      </c>
      <c r="H459">
        <v>103702</v>
      </c>
      <c r="I459" t="s">
        <v>12423</v>
      </c>
      <c r="J459" t="str">
        <f t="shared" si="7"/>
        <v>ia.assorted_string like '%103702-00367-12-2024%' or</v>
      </c>
    </row>
    <row r="460" spans="1:10" x14ac:dyDescent="0.25">
      <c r="A460" s="12" t="s">
        <v>11836</v>
      </c>
      <c r="B460" t="s">
        <v>12249</v>
      </c>
      <c r="H460">
        <v>103702</v>
      </c>
      <c r="I460" t="s">
        <v>12463</v>
      </c>
      <c r="J460" t="str">
        <f t="shared" si="7"/>
        <v>ia.assorted_string like '%103702-00365-12-2024%' or</v>
      </c>
    </row>
    <row r="461" spans="1:10" x14ac:dyDescent="0.25">
      <c r="A461" s="12" t="s">
        <v>11837</v>
      </c>
      <c r="B461" t="s">
        <v>12249</v>
      </c>
      <c r="H461">
        <v>103702</v>
      </c>
      <c r="I461" t="s">
        <v>12641</v>
      </c>
      <c r="J461" t="str">
        <f t="shared" si="7"/>
        <v>ia.assorted_string like '%103702-00363-12-2024%' or</v>
      </c>
    </row>
    <row r="462" spans="1:10" x14ac:dyDescent="0.25">
      <c r="A462" s="12" t="s">
        <v>11838</v>
      </c>
      <c r="B462" t="s">
        <v>12249</v>
      </c>
      <c r="H462">
        <v>103702</v>
      </c>
      <c r="I462" t="s">
        <v>12465</v>
      </c>
      <c r="J462" t="str">
        <f t="shared" si="7"/>
        <v>ia.assorted_string like '%103702-00362-12-2024%' or</v>
      </c>
    </row>
    <row r="463" spans="1:10" x14ac:dyDescent="0.25">
      <c r="A463" s="12" t="s">
        <v>11839</v>
      </c>
      <c r="B463" t="s">
        <v>12249</v>
      </c>
      <c r="H463">
        <v>103702</v>
      </c>
      <c r="I463" t="s">
        <v>12471</v>
      </c>
      <c r="J463" t="str">
        <f t="shared" si="7"/>
        <v>ia.assorted_string like '%103702-00355-12-2024%' or</v>
      </c>
    </row>
    <row r="464" spans="1:10" x14ac:dyDescent="0.25">
      <c r="A464" s="12" t="s">
        <v>11840</v>
      </c>
      <c r="B464" t="s">
        <v>12249</v>
      </c>
      <c r="H464">
        <v>103702</v>
      </c>
      <c r="I464" t="s">
        <v>12472</v>
      </c>
      <c r="J464" t="str">
        <f t="shared" si="7"/>
        <v>ia.assorted_string like '%103702-00354-12-2024%' or</v>
      </c>
    </row>
    <row r="465" spans="1:10" x14ac:dyDescent="0.25">
      <c r="A465" s="12" t="s">
        <v>11841</v>
      </c>
      <c r="B465" t="s">
        <v>12249</v>
      </c>
      <c r="H465">
        <v>103702</v>
      </c>
      <c r="I465" t="s">
        <v>12473</v>
      </c>
      <c r="J465" t="str">
        <f t="shared" si="7"/>
        <v>ia.assorted_string like '%103702-00353-12-2024%' or</v>
      </c>
    </row>
    <row r="466" spans="1:10" x14ac:dyDescent="0.25">
      <c r="A466" s="12" t="s">
        <v>11842</v>
      </c>
      <c r="B466" t="s">
        <v>12249</v>
      </c>
      <c r="H466">
        <v>103702</v>
      </c>
      <c r="I466" t="s">
        <v>12420</v>
      </c>
      <c r="J466" t="str">
        <f t="shared" si="7"/>
        <v>ia.assorted_string like '%103702-00352-12-2024%' or</v>
      </c>
    </row>
    <row r="467" spans="1:10" x14ac:dyDescent="0.25">
      <c r="A467" s="12" t="s">
        <v>11843</v>
      </c>
      <c r="B467" t="s">
        <v>12249</v>
      </c>
      <c r="H467">
        <v>103702</v>
      </c>
      <c r="I467" t="s">
        <v>12475</v>
      </c>
      <c r="J467" t="str">
        <f t="shared" si="7"/>
        <v>ia.assorted_string like '%103702-00350-12-2024%' or</v>
      </c>
    </row>
    <row r="468" spans="1:10" x14ac:dyDescent="0.25">
      <c r="A468" s="12" t="s">
        <v>11844</v>
      </c>
      <c r="B468" t="s">
        <v>12249</v>
      </c>
      <c r="H468">
        <v>103702</v>
      </c>
      <c r="I468" t="s">
        <v>12476</v>
      </c>
      <c r="J468" t="str">
        <f t="shared" si="7"/>
        <v>ia.assorted_string like '%103702-00349-12-2024%' or</v>
      </c>
    </row>
    <row r="469" spans="1:10" x14ac:dyDescent="0.25">
      <c r="A469" s="12" t="s">
        <v>11845</v>
      </c>
      <c r="B469" t="s">
        <v>12249</v>
      </c>
      <c r="H469">
        <v>103702</v>
      </c>
      <c r="I469" t="s">
        <v>12419</v>
      </c>
      <c r="J469" t="str">
        <f t="shared" si="7"/>
        <v>ia.assorted_string like '%103702-00347-12-2024%' or</v>
      </c>
    </row>
    <row r="470" spans="1:10" x14ac:dyDescent="0.25">
      <c r="A470" s="12" t="s">
        <v>11846</v>
      </c>
      <c r="B470" t="s">
        <v>12249</v>
      </c>
      <c r="H470">
        <v>103702</v>
      </c>
      <c r="I470" t="s">
        <v>12418</v>
      </c>
      <c r="J470" t="str">
        <f t="shared" si="7"/>
        <v>ia.assorted_string like '%103702-00346-12-2024%' or</v>
      </c>
    </row>
    <row r="471" spans="1:10" x14ac:dyDescent="0.25">
      <c r="A471" s="12" t="s">
        <v>11847</v>
      </c>
      <c r="B471" t="s">
        <v>12249</v>
      </c>
      <c r="H471">
        <v>103702</v>
      </c>
      <c r="I471" t="s">
        <v>12417</v>
      </c>
      <c r="J471" t="str">
        <f t="shared" si="7"/>
        <v>ia.assorted_string like '%103702-00345-12-2024%' or</v>
      </c>
    </row>
    <row r="472" spans="1:10" x14ac:dyDescent="0.25">
      <c r="A472" s="12" t="s">
        <v>11848</v>
      </c>
      <c r="B472" t="s">
        <v>12249</v>
      </c>
      <c r="H472">
        <v>103702</v>
      </c>
      <c r="I472" t="s">
        <v>12477</v>
      </c>
      <c r="J472" t="str">
        <f t="shared" si="7"/>
        <v>ia.assorted_string like '%103702-00344-12-2024%' or</v>
      </c>
    </row>
    <row r="473" spans="1:10" x14ac:dyDescent="0.25">
      <c r="A473" s="12" t="s">
        <v>11849</v>
      </c>
      <c r="B473" t="s">
        <v>12249</v>
      </c>
      <c r="H473">
        <v>103702</v>
      </c>
      <c r="I473" t="s">
        <v>12478</v>
      </c>
      <c r="J473" t="str">
        <f t="shared" si="7"/>
        <v>ia.assorted_string like '%103702-00343-12-2024%' or</v>
      </c>
    </row>
    <row r="474" spans="1:10" x14ac:dyDescent="0.25">
      <c r="A474" s="12" t="s">
        <v>11850</v>
      </c>
      <c r="B474" t="s">
        <v>12249</v>
      </c>
      <c r="H474">
        <v>103702</v>
      </c>
      <c r="I474" t="s">
        <v>12415</v>
      </c>
      <c r="J474" t="str">
        <f t="shared" si="7"/>
        <v>ia.assorted_string like '%103702-00341-12-2024%' or</v>
      </c>
    </row>
    <row r="475" spans="1:10" x14ac:dyDescent="0.25">
      <c r="A475" s="12" t="s">
        <v>11851</v>
      </c>
      <c r="B475" t="s">
        <v>12249</v>
      </c>
      <c r="H475">
        <v>103702</v>
      </c>
      <c r="I475" t="s">
        <v>12482</v>
      </c>
      <c r="J475" t="str">
        <f t="shared" si="7"/>
        <v>ia.assorted_string like '%103702-00336-12-2024%' or</v>
      </c>
    </row>
    <row r="476" spans="1:10" x14ac:dyDescent="0.25">
      <c r="A476" s="17" t="s">
        <v>11996</v>
      </c>
      <c r="B476" t="s">
        <v>12249</v>
      </c>
      <c r="H476">
        <v>103702</v>
      </c>
      <c r="I476" t="s">
        <v>12483</v>
      </c>
      <c r="J476" t="str">
        <f t="shared" si="7"/>
        <v>ia.assorted_string like '%103702-00335-12-2024%' or</v>
      </c>
    </row>
    <row r="477" spans="1:10" x14ac:dyDescent="0.25">
      <c r="A477" s="12" t="s">
        <v>11852</v>
      </c>
      <c r="B477" t="s">
        <v>12248</v>
      </c>
      <c r="H477">
        <v>102086</v>
      </c>
      <c r="I477" t="s">
        <v>12642</v>
      </c>
      <c r="J477" t="str">
        <f t="shared" si="7"/>
        <v>ia.assorted_string like '%102086-00079-11-2024%' or</v>
      </c>
    </row>
    <row r="478" spans="1:10" x14ac:dyDescent="0.25">
      <c r="A478" s="12" t="s">
        <v>11853</v>
      </c>
      <c r="B478" t="s">
        <v>12249</v>
      </c>
      <c r="H478">
        <v>103702</v>
      </c>
      <c r="I478" t="s">
        <v>12484</v>
      </c>
      <c r="J478" t="str">
        <f t="shared" si="7"/>
        <v>ia.assorted_string like '%103702-00334-12-2024%' or</v>
      </c>
    </row>
    <row r="479" spans="1:10" x14ac:dyDescent="0.25">
      <c r="A479" s="12" t="s">
        <v>11854</v>
      </c>
      <c r="B479" t="s">
        <v>12249</v>
      </c>
      <c r="H479">
        <v>103702</v>
      </c>
      <c r="I479" t="s">
        <v>12485</v>
      </c>
      <c r="J479" t="str">
        <f t="shared" si="7"/>
        <v>ia.assorted_string like '%103702-00333-12-2024%' or</v>
      </c>
    </row>
    <row r="480" spans="1:10" x14ac:dyDescent="0.25">
      <c r="A480" s="12" t="s">
        <v>11855</v>
      </c>
      <c r="B480" t="s">
        <v>12249</v>
      </c>
      <c r="H480">
        <v>103702</v>
      </c>
      <c r="I480" t="s">
        <v>12486</v>
      </c>
      <c r="J480" t="str">
        <f t="shared" si="7"/>
        <v>ia.assorted_string like '%103702-00332-12-2024%' or</v>
      </c>
    </row>
    <row r="481" spans="1:10" x14ac:dyDescent="0.25">
      <c r="A481" s="12" t="s">
        <v>11856</v>
      </c>
      <c r="B481" t="s">
        <v>12249</v>
      </c>
      <c r="H481">
        <v>103702</v>
      </c>
      <c r="I481" t="s">
        <v>12488</v>
      </c>
      <c r="J481" t="str">
        <f t="shared" si="7"/>
        <v>ia.assorted_string like '%103702-00330-12-2024%' or</v>
      </c>
    </row>
    <row r="482" spans="1:10" x14ac:dyDescent="0.25">
      <c r="A482" s="12" t="s">
        <v>11857</v>
      </c>
      <c r="B482" t="s">
        <v>12249</v>
      </c>
      <c r="H482">
        <v>103702</v>
      </c>
      <c r="I482" t="s">
        <v>12407</v>
      </c>
      <c r="J482" t="str">
        <f t="shared" si="7"/>
        <v>ia.assorted_string like '%103702-00319-12-2024%' or</v>
      </c>
    </row>
    <row r="483" spans="1:10" x14ac:dyDescent="0.25">
      <c r="A483" s="12" t="s">
        <v>11858</v>
      </c>
      <c r="B483" t="s">
        <v>12249</v>
      </c>
      <c r="H483">
        <v>103702</v>
      </c>
      <c r="I483" t="s">
        <v>12405</v>
      </c>
      <c r="J483" t="str">
        <f t="shared" si="7"/>
        <v>ia.assorted_string like '%103702-00317-12-2024%' or</v>
      </c>
    </row>
    <row r="484" spans="1:10" x14ac:dyDescent="0.25">
      <c r="A484" s="12" t="s">
        <v>11859</v>
      </c>
      <c r="B484" t="s">
        <v>12249</v>
      </c>
      <c r="H484">
        <v>103702</v>
      </c>
      <c r="I484" t="s">
        <v>12404</v>
      </c>
      <c r="J484" t="str">
        <f t="shared" si="7"/>
        <v>ia.assorted_string like '%103702-00315-12-2024%' or</v>
      </c>
    </row>
    <row r="485" spans="1:10" x14ac:dyDescent="0.25">
      <c r="A485" s="12" t="s">
        <v>11860</v>
      </c>
      <c r="B485" t="s">
        <v>12249</v>
      </c>
      <c r="H485">
        <v>103702</v>
      </c>
      <c r="I485" t="s">
        <v>12494</v>
      </c>
      <c r="J485" t="str">
        <f t="shared" si="7"/>
        <v>ia.assorted_string like '%103702-00310-12-2024%' or</v>
      </c>
    </row>
    <row r="486" spans="1:10" x14ac:dyDescent="0.25">
      <c r="A486" s="12" t="s">
        <v>11861</v>
      </c>
      <c r="B486" t="s">
        <v>12249</v>
      </c>
      <c r="H486">
        <v>103702</v>
      </c>
      <c r="I486" t="s">
        <v>12498</v>
      </c>
      <c r="J486" t="str">
        <f t="shared" si="7"/>
        <v>ia.assorted_string like '%103702-00306-12-2024%' or</v>
      </c>
    </row>
    <row r="487" spans="1:10" x14ac:dyDescent="0.25">
      <c r="A487" s="12" t="s">
        <v>11862</v>
      </c>
      <c r="B487" t="s">
        <v>12249</v>
      </c>
      <c r="H487">
        <v>103702</v>
      </c>
      <c r="I487" t="s">
        <v>12500</v>
      </c>
      <c r="J487" t="str">
        <f t="shared" si="7"/>
        <v>ia.assorted_string like '%103702-00303-12-2024%' or</v>
      </c>
    </row>
    <row r="488" spans="1:10" x14ac:dyDescent="0.25">
      <c r="A488" s="12" t="s">
        <v>11863</v>
      </c>
      <c r="B488" t="s">
        <v>12249</v>
      </c>
      <c r="H488">
        <v>103702</v>
      </c>
      <c r="I488" t="s">
        <v>12501</v>
      </c>
      <c r="J488" t="str">
        <f t="shared" si="7"/>
        <v>ia.assorted_string like '%103702-00302-12-2024%' or</v>
      </c>
    </row>
    <row r="489" spans="1:10" x14ac:dyDescent="0.25">
      <c r="A489" s="12" t="s">
        <v>11864</v>
      </c>
      <c r="B489" t="s">
        <v>12249</v>
      </c>
      <c r="H489">
        <v>103702</v>
      </c>
      <c r="I489" t="s">
        <v>12502</v>
      </c>
      <c r="J489" t="str">
        <f t="shared" si="7"/>
        <v>ia.assorted_string like '%103702-00301-12-2024%' or</v>
      </c>
    </row>
    <row r="490" spans="1:10" x14ac:dyDescent="0.25">
      <c r="A490" s="12" t="s">
        <v>11865</v>
      </c>
      <c r="B490" t="s">
        <v>12249</v>
      </c>
      <c r="H490">
        <v>103702</v>
      </c>
      <c r="I490" t="s">
        <v>12507</v>
      </c>
      <c r="J490" t="str">
        <f t="shared" si="7"/>
        <v>ia.assorted_string like '%103702-00293-12-2024%' or</v>
      </c>
    </row>
    <row r="491" spans="1:10" x14ac:dyDescent="0.25">
      <c r="A491" s="12" t="s">
        <v>11866</v>
      </c>
      <c r="B491" t="s">
        <v>12249</v>
      </c>
      <c r="H491">
        <v>103702</v>
      </c>
      <c r="I491" t="s">
        <v>12397</v>
      </c>
      <c r="J491" t="str">
        <f t="shared" si="7"/>
        <v>ia.assorted_string like '%103702-00292-12-2024%' or</v>
      </c>
    </row>
    <row r="492" spans="1:10" x14ac:dyDescent="0.25">
      <c r="A492" s="12" t="s">
        <v>11867</v>
      </c>
      <c r="B492" t="s">
        <v>12249</v>
      </c>
      <c r="H492">
        <v>103702</v>
      </c>
      <c r="I492" t="s">
        <v>12393</v>
      </c>
      <c r="J492" t="str">
        <f t="shared" si="7"/>
        <v>ia.assorted_string like '%103702-00284-12-2024%' or</v>
      </c>
    </row>
    <row r="493" spans="1:10" x14ac:dyDescent="0.25">
      <c r="A493" s="12" t="s">
        <v>11868</v>
      </c>
      <c r="B493" t="s">
        <v>12249</v>
      </c>
      <c r="H493">
        <v>103702</v>
      </c>
      <c r="I493" t="s">
        <v>12391</v>
      </c>
      <c r="J493" t="str">
        <f t="shared" si="7"/>
        <v>ia.assorted_string like '%103702-00282-12-2024%' or</v>
      </c>
    </row>
    <row r="494" spans="1:10" x14ac:dyDescent="0.25">
      <c r="A494" s="12" t="s">
        <v>11869</v>
      </c>
      <c r="B494" t="s">
        <v>12249</v>
      </c>
      <c r="H494">
        <v>103702</v>
      </c>
      <c r="I494" t="s">
        <v>12516</v>
      </c>
      <c r="J494" t="str">
        <f t="shared" si="7"/>
        <v>ia.assorted_string like '%103702-00275-12-2024%' or</v>
      </c>
    </row>
    <row r="495" spans="1:10" x14ac:dyDescent="0.25">
      <c r="A495" s="12" t="s">
        <v>11870</v>
      </c>
      <c r="B495" t="s">
        <v>12248</v>
      </c>
      <c r="H495">
        <v>102086</v>
      </c>
      <c r="I495" t="s">
        <v>12643</v>
      </c>
      <c r="J495" t="str">
        <f t="shared" si="7"/>
        <v>ia.assorted_string like '%102086-00073-11-2024%' or</v>
      </c>
    </row>
    <row r="496" spans="1:10" x14ac:dyDescent="0.25">
      <c r="A496" s="12" t="s">
        <v>11871</v>
      </c>
      <c r="B496" t="s">
        <v>12248</v>
      </c>
      <c r="H496">
        <v>102086</v>
      </c>
      <c r="I496" t="s">
        <v>12644</v>
      </c>
      <c r="J496" t="str">
        <f t="shared" si="7"/>
        <v>ia.assorted_string like '%102086-00072-11-2024%' or</v>
      </c>
    </row>
    <row r="497" spans="1:10" x14ac:dyDescent="0.25">
      <c r="A497" s="12" t="s">
        <v>11872</v>
      </c>
      <c r="B497" t="s">
        <v>12249</v>
      </c>
      <c r="H497">
        <v>103702</v>
      </c>
      <c r="I497" t="s">
        <v>12519</v>
      </c>
      <c r="J497" t="str">
        <f t="shared" si="7"/>
        <v>ia.assorted_string like '%103702-00271-12-2024%' or</v>
      </c>
    </row>
    <row r="498" spans="1:10" x14ac:dyDescent="0.25">
      <c r="A498" s="12" t="s">
        <v>11873</v>
      </c>
      <c r="B498" t="s">
        <v>12249</v>
      </c>
      <c r="H498">
        <v>103702</v>
      </c>
      <c r="I498" t="s">
        <v>12385</v>
      </c>
      <c r="J498" t="str">
        <f t="shared" si="7"/>
        <v>ia.assorted_string like '%103702-00265-12-2024%' or</v>
      </c>
    </row>
    <row r="499" spans="1:10" x14ac:dyDescent="0.25">
      <c r="A499" s="12" t="s">
        <v>11874</v>
      </c>
      <c r="B499" t="s">
        <v>12248</v>
      </c>
      <c r="H499">
        <v>102086</v>
      </c>
      <c r="I499" t="s">
        <v>12645</v>
      </c>
      <c r="J499" t="str">
        <f t="shared" si="7"/>
        <v>ia.assorted_string like '%102086-00071-11-2024%' or</v>
      </c>
    </row>
    <row r="500" spans="1:10" x14ac:dyDescent="0.25">
      <c r="A500" s="12" t="s">
        <v>11875</v>
      </c>
      <c r="B500" t="s">
        <v>12249</v>
      </c>
      <c r="H500">
        <v>103702</v>
      </c>
      <c r="I500" t="s">
        <v>12384</v>
      </c>
      <c r="J500" t="str">
        <f t="shared" si="7"/>
        <v>ia.assorted_string like '%103702-00263-12-2024%' or</v>
      </c>
    </row>
    <row r="501" spans="1:10" x14ac:dyDescent="0.25">
      <c r="A501" s="12" t="s">
        <v>11876</v>
      </c>
      <c r="B501" t="s">
        <v>12248</v>
      </c>
      <c r="H501">
        <v>102086</v>
      </c>
      <c r="I501" t="s">
        <v>12646</v>
      </c>
      <c r="J501" t="str">
        <f t="shared" si="7"/>
        <v>ia.assorted_string like '%102086-00070-11-2024%' or</v>
      </c>
    </row>
    <row r="502" spans="1:10" x14ac:dyDescent="0.25">
      <c r="A502" s="12" t="s">
        <v>11877</v>
      </c>
      <c r="B502" t="s">
        <v>12248</v>
      </c>
      <c r="H502">
        <v>102086</v>
      </c>
      <c r="I502" t="s">
        <v>12647</v>
      </c>
      <c r="J502" t="str">
        <f t="shared" si="7"/>
        <v>ia.assorted_string like '%102086-00066-11-2024%' or</v>
      </c>
    </row>
    <row r="503" spans="1:10" x14ac:dyDescent="0.25">
      <c r="A503" s="12" t="s">
        <v>11878</v>
      </c>
      <c r="B503" t="s">
        <v>12248</v>
      </c>
      <c r="H503">
        <v>102086</v>
      </c>
      <c r="I503" t="s">
        <v>12648</v>
      </c>
      <c r="J503" t="str">
        <f t="shared" si="7"/>
        <v>ia.assorted_string like '%102086-00065-11-2024%' or</v>
      </c>
    </row>
    <row r="504" spans="1:10" x14ac:dyDescent="0.25">
      <c r="A504" s="12" t="s">
        <v>11879</v>
      </c>
      <c r="B504" t="s">
        <v>12249</v>
      </c>
      <c r="H504">
        <v>103702</v>
      </c>
      <c r="I504" t="s">
        <v>12383</v>
      </c>
      <c r="J504" t="str">
        <f t="shared" si="7"/>
        <v>ia.assorted_string like '%103702-00260-12-2024%' or</v>
      </c>
    </row>
    <row r="505" spans="1:10" x14ac:dyDescent="0.25">
      <c r="A505" s="12" t="s">
        <v>11880</v>
      </c>
      <c r="B505" t="s">
        <v>12249</v>
      </c>
      <c r="H505">
        <v>103702</v>
      </c>
      <c r="I505" t="s">
        <v>12530</v>
      </c>
      <c r="J505" t="str">
        <f t="shared" si="7"/>
        <v>ia.assorted_string like '%103702-00253-12-2024%' or</v>
      </c>
    </row>
    <row r="506" spans="1:10" x14ac:dyDescent="0.25">
      <c r="A506" s="12" t="s">
        <v>11881</v>
      </c>
      <c r="B506" t="s">
        <v>12249</v>
      </c>
      <c r="H506">
        <v>103702</v>
      </c>
      <c r="I506" t="s">
        <v>12533</v>
      </c>
      <c r="J506" t="str">
        <f t="shared" si="7"/>
        <v>ia.assorted_string like '%103702-00245-12-2024%' or</v>
      </c>
    </row>
    <row r="507" spans="1:10" x14ac:dyDescent="0.25">
      <c r="A507" s="12" t="s">
        <v>11882</v>
      </c>
      <c r="B507" t="s">
        <v>12248</v>
      </c>
      <c r="H507">
        <v>102086</v>
      </c>
      <c r="I507" t="s">
        <v>12649</v>
      </c>
      <c r="J507" t="str">
        <f t="shared" si="7"/>
        <v>ia.assorted_string like '%102086-00064-11-2024%' or</v>
      </c>
    </row>
    <row r="508" spans="1:10" x14ac:dyDescent="0.25">
      <c r="A508" s="12" t="s">
        <v>11883</v>
      </c>
      <c r="B508" t="s">
        <v>12249</v>
      </c>
      <c r="H508">
        <v>103702</v>
      </c>
      <c r="I508" t="s">
        <v>12534</v>
      </c>
      <c r="J508" t="str">
        <f t="shared" si="7"/>
        <v>ia.assorted_string like '%103702-00244-12-2024%' or</v>
      </c>
    </row>
    <row r="509" spans="1:10" x14ac:dyDescent="0.25">
      <c r="A509" s="12" t="s">
        <v>11884</v>
      </c>
      <c r="B509" t="s">
        <v>12249</v>
      </c>
      <c r="H509">
        <v>103702</v>
      </c>
      <c r="I509" t="s">
        <v>12375</v>
      </c>
      <c r="J509" t="str">
        <f t="shared" si="7"/>
        <v>ia.assorted_string like '%103702-00242-12-2024%' or</v>
      </c>
    </row>
    <row r="510" spans="1:10" x14ac:dyDescent="0.25">
      <c r="A510" s="12" t="s">
        <v>11885</v>
      </c>
      <c r="B510" t="s">
        <v>12249</v>
      </c>
      <c r="H510">
        <v>103702</v>
      </c>
      <c r="I510" t="s">
        <v>12537</v>
      </c>
      <c r="J510" t="str">
        <f t="shared" si="7"/>
        <v>ia.assorted_string like '%103702-00241-12-2024%' or</v>
      </c>
    </row>
    <row r="511" spans="1:10" x14ac:dyDescent="0.25">
      <c r="A511" s="12" t="s">
        <v>11886</v>
      </c>
      <c r="B511" t="s">
        <v>12249</v>
      </c>
      <c r="H511">
        <v>103702</v>
      </c>
      <c r="I511" t="s">
        <v>12541</v>
      </c>
      <c r="J511" t="str">
        <f t="shared" si="7"/>
        <v>ia.assorted_string like '%103702-00239-12-2024%' or</v>
      </c>
    </row>
    <row r="512" spans="1:10" x14ac:dyDescent="0.25">
      <c r="A512" s="12" t="s">
        <v>11887</v>
      </c>
      <c r="B512" t="s">
        <v>12249</v>
      </c>
      <c r="H512">
        <v>103702</v>
      </c>
      <c r="I512" t="s">
        <v>12542</v>
      </c>
      <c r="J512" t="str">
        <f t="shared" si="7"/>
        <v>ia.assorted_string like '%103702-00238-12-2024%' or</v>
      </c>
    </row>
    <row r="513" spans="1:10" x14ac:dyDescent="0.25">
      <c r="A513" s="17" t="s">
        <v>11997</v>
      </c>
      <c r="B513" t="s">
        <v>12249</v>
      </c>
      <c r="H513">
        <v>103702</v>
      </c>
      <c r="I513" t="s">
        <v>12554</v>
      </c>
      <c r="J513" t="str">
        <f t="shared" si="7"/>
        <v>ia.assorted_string like '%103702-00233-12-2024%' or</v>
      </c>
    </row>
    <row r="514" spans="1:10" x14ac:dyDescent="0.25">
      <c r="A514" s="12" t="s">
        <v>11888</v>
      </c>
      <c r="B514" t="s">
        <v>12248</v>
      </c>
      <c r="H514">
        <v>102086</v>
      </c>
      <c r="I514" t="s">
        <v>12650</v>
      </c>
      <c r="J514" t="str">
        <f t="shared" si="7"/>
        <v>ia.assorted_string like '%102086-00059-11-2024%' or</v>
      </c>
    </row>
    <row r="515" spans="1:10" x14ac:dyDescent="0.25">
      <c r="A515" s="12" t="s">
        <v>11889</v>
      </c>
      <c r="B515" t="s">
        <v>12248</v>
      </c>
      <c r="H515">
        <v>102086</v>
      </c>
      <c r="I515" t="s">
        <v>12536</v>
      </c>
      <c r="J515" t="str">
        <f t="shared" ref="J515:J578" si="8">"ia.assorted_string like '%"&amp;H515&amp;"-"&amp;I515&amp;B515&amp;"%' or"</f>
        <v>ia.assorted_string like '%102086-00058-11-2024%' or</v>
      </c>
    </row>
    <row r="516" spans="1:10" x14ac:dyDescent="0.25">
      <c r="A516" s="12" t="s">
        <v>11890</v>
      </c>
      <c r="B516" t="s">
        <v>12248</v>
      </c>
      <c r="H516">
        <v>102086</v>
      </c>
      <c r="I516" t="s">
        <v>12651</v>
      </c>
      <c r="J516" t="str">
        <f t="shared" si="8"/>
        <v>ia.assorted_string like '%102086-00056-11-2024%' or</v>
      </c>
    </row>
    <row r="517" spans="1:10" x14ac:dyDescent="0.25">
      <c r="A517" s="12" t="s">
        <v>11891</v>
      </c>
      <c r="B517" t="s">
        <v>12248</v>
      </c>
      <c r="H517">
        <v>102086</v>
      </c>
      <c r="I517" t="s">
        <v>12652</v>
      </c>
      <c r="J517" t="str">
        <f t="shared" si="8"/>
        <v>ia.assorted_string like '%102086-00046-11-2024%' or</v>
      </c>
    </row>
    <row r="518" spans="1:10" x14ac:dyDescent="0.25">
      <c r="A518" s="12" t="s">
        <v>11892</v>
      </c>
      <c r="B518" t="s">
        <v>12249</v>
      </c>
      <c r="H518">
        <v>103702</v>
      </c>
      <c r="I518" t="s">
        <v>12560</v>
      </c>
      <c r="J518" t="str">
        <f t="shared" si="8"/>
        <v>ia.assorted_string like '%103702-00225-12-2024%' or</v>
      </c>
    </row>
    <row r="519" spans="1:10" x14ac:dyDescent="0.25">
      <c r="A519" s="12" t="s">
        <v>11893</v>
      </c>
      <c r="B519" t="s">
        <v>12249</v>
      </c>
      <c r="H519">
        <v>103702</v>
      </c>
      <c r="I519" t="s">
        <v>12561</v>
      </c>
      <c r="J519" t="str">
        <f t="shared" si="8"/>
        <v>ia.assorted_string like '%103702-00224-12-2024%' or</v>
      </c>
    </row>
    <row r="520" spans="1:10" x14ac:dyDescent="0.25">
      <c r="A520" s="12" t="s">
        <v>11894</v>
      </c>
      <c r="B520" t="s">
        <v>12249</v>
      </c>
      <c r="H520">
        <v>103702</v>
      </c>
      <c r="I520" t="s">
        <v>12562</v>
      </c>
      <c r="J520" t="str">
        <f t="shared" si="8"/>
        <v>ia.assorted_string like '%103702-00223-12-2024%' or</v>
      </c>
    </row>
    <row r="521" spans="1:10" x14ac:dyDescent="0.25">
      <c r="A521" s="12" t="s">
        <v>11895</v>
      </c>
      <c r="B521" t="s">
        <v>12249</v>
      </c>
      <c r="H521">
        <v>103702</v>
      </c>
      <c r="I521" t="s">
        <v>12368</v>
      </c>
      <c r="J521" t="str">
        <f t="shared" si="8"/>
        <v>ia.assorted_string like '%103702-00219-12-2024%' or</v>
      </c>
    </row>
    <row r="522" spans="1:10" x14ac:dyDescent="0.25">
      <c r="A522" s="12" t="s">
        <v>11896</v>
      </c>
      <c r="B522" t="s">
        <v>12249</v>
      </c>
      <c r="H522">
        <v>103702</v>
      </c>
      <c r="I522" t="s">
        <v>12365</v>
      </c>
      <c r="J522" t="str">
        <f t="shared" si="8"/>
        <v>ia.assorted_string like '%103702-00212-12-2024%' or</v>
      </c>
    </row>
    <row r="523" spans="1:10" x14ac:dyDescent="0.25">
      <c r="A523" s="12" t="s">
        <v>11897</v>
      </c>
      <c r="B523" t="s">
        <v>12249</v>
      </c>
      <c r="H523">
        <v>103702</v>
      </c>
      <c r="I523" t="s">
        <v>12364</v>
      </c>
      <c r="J523" t="str">
        <f t="shared" si="8"/>
        <v>ia.assorted_string like '%103702-00211-12-2024%' or</v>
      </c>
    </row>
    <row r="524" spans="1:10" x14ac:dyDescent="0.25">
      <c r="A524" s="12" t="s">
        <v>11898</v>
      </c>
      <c r="B524" t="s">
        <v>12249</v>
      </c>
      <c r="H524">
        <v>103702</v>
      </c>
      <c r="I524" t="s">
        <v>12566</v>
      </c>
      <c r="J524" t="str">
        <f t="shared" si="8"/>
        <v>ia.assorted_string like '%103702-00208-12-2024%' or</v>
      </c>
    </row>
    <row r="525" spans="1:10" x14ac:dyDescent="0.25">
      <c r="A525" s="12" t="s">
        <v>11899</v>
      </c>
      <c r="B525" t="s">
        <v>12249</v>
      </c>
      <c r="H525">
        <v>103702</v>
      </c>
      <c r="I525" t="s">
        <v>12359</v>
      </c>
      <c r="J525" t="str">
        <f t="shared" si="8"/>
        <v>ia.assorted_string like '%103702-00204-12-2024%' or</v>
      </c>
    </row>
    <row r="526" spans="1:10" x14ac:dyDescent="0.25">
      <c r="A526" s="12" t="s">
        <v>11900</v>
      </c>
      <c r="B526" t="s">
        <v>12249</v>
      </c>
      <c r="H526">
        <v>103702</v>
      </c>
      <c r="I526" t="s">
        <v>12568</v>
      </c>
      <c r="J526" t="str">
        <f t="shared" si="8"/>
        <v>ia.assorted_string like '%103702-00203-12-2024%' or</v>
      </c>
    </row>
    <row r="527" spans="1:10" x14ac:dyDescent="0.25">
      <c r="A527" s="12" t="s">
        <v>11901</v>
      </c>
      <c r="B527" t="s">
        <v>12248</v>
      </c>
      <c r="H527">
        <v>102086</v>
      </c>
      <c r="I527" t="s">
        <v>12653</v>
      </c>
      <c r="J527" t="str">
        <f t="shared" si="8"/>
        <v>ia.assorted_string like '%102086-00043-11-2024%' or</v>
      </c>
    </row>
    <row r="528" spans="1:10" x14ac:dyDescent="0.25">
      <c r="A528" s="12" t="s">
        <v>11902</v>
      </c>
      <c r="B528" t="s">
        <v>12249</v>
      </c>
      <c r="H528">
        <v>103702</v>
      </c>
      <c r="I528" t="s">
        <v>12569</v>
      </c>
      <c r="J528" t="str">
        <f t="shared" si="8"/>
        <v>ia.assorted_string like '%103702-00202-12-2024%' or</v>
      </c>
    </row>
    <row r="529" spans="1:10" x14ac:dyDescent="0.25">
      <c r="A529" s="12" t="s">
        <v>11903</v>
      </c>
      <c r="B529" t="s">
        <v>12249</v>
      </c>
      <c r="H529">
        <v>103702</v>
      </c>
      <c r="I529" t="s">
        <v>12570</v>
      </c>
      <c r="J529" t="str">
        <f t="shared" si="8"/>
        <v>ia.assorted_string like '%103702-00201-12-2024%' or</v>
      </c>
    </row>
    <row r="530" spans="1:10" x14ac:dyDescent="0.25">
      <c r="A530" s="12" t="s">
        <v>11904</v>
      </c>
      <c r="B530" t="s">
        <v>12249</v>
      </c>
      <c r="H530">
        <v>103702</v>
      </c>
      <c r="I530" t="s">
        <v>12654</v>
      </c>
      <c r="J530" t="str">
        <f t="shared" si="8"/>
        <v>ia.assorted_string like '%103702-00199-12-2024%' or</v>
      </c>
    </row>
    <row r="531" spans="1:10" x14ac:dyDescent="0.25">
      <c r="A531" s="12" t="s">
        <v>11905</v>
      </c>
      <c r="B531" t="s">
        <v>12248</v>
      </c>
      <c r="H531">
        <v>102086</v>
      </c>
      <c r="I531" t="s">
        <v>12655</v>
      </c>
      <c r="J531" t="str">
        <f t="shared" si="8"/>
        <v>ia.assorted_string like '%102086-00041-11-2024%' or</v>
      </c>
    </row>
    <row r="532" spans="1:10" x14ac:dyDescent="0.25">
      <c r="A532" s="12" t="s">
        <v>11906</v>
      </c>
      <c r="B532" t="s">
        <v>12249</v>
      </c>
      <c r="H532">
        <v>103702</v>
      </c>
      <c r="I532" t="s">
        <v>12552</v>
      </c>
      <c r="J532" t="str">
        <f t="shared" si="8"/>
        <v>ia.assorted_string like '%103702-00196-12-2024%' or</v>
      </c>
    </row>
    <row r="533" spans="1:10" x14ac:dyDescent="0.25">
      <c r="A533" s="12" t="s">
        <v>11907</v>
      </c>
      <c r="B533" t="s">
        <v>12248</v>
      </c>
      <c r="H533">
        <v>102086</v>
      </c>
      <c r="I533" t="s">
        <v>12656</v>
      </c>
      <c r="J533" t="str">
        <f t="shared" si="8"/>
        <v>ia.assorted_string like '%102086-00035-11-2024%' or</v>
      </c>
    </row>
    <row r="534" spans="1:10" x14ac:dyDescent="0.25">
      <c r="A534" s="12" t="s">
        <v>11908</v>
      </c>
      <c r="B534" t="s">
        <v>12249</v>
      </c>
      <c r="H534">
        <v>103702</v>
      </c>
      <c r="I534" t="s">
        <v>12358</v>
      </c>
      <c r="J534" t="str">
        <f t="shared" si="8"/>
        <v>ia.assorted_string like '%103702-00195-12-2024%' or</v>
      </c>
    </row>
    <row r="535" spans="1:10" x14ac:dyDescent="0.25">
      <c r="A535" s="12" t="s">
        <v>11909</v>
      </c>
      <c r="B535" t="s">
        <v>12248</v>
      </c>
      <c r="H535">
        <v>102086</v>
      </c>
      <c r="I535" t="s">
        <v>12657</v>
      </c>
      <c r="J535" t="str">
        <f t="shared" si="8"/>
        <v>ia.assorted_string like '%102086-00034-11-2024%' or</v>
      </c>
    </row>
    <row r="536" spans="1:10" x14ac:dyDescent="0.25">
      <c r="A536" s="12" t="s">
        <v>11910</v>
      </c>
      <c r="B536" t="s">
        <v>12248</v>
      </c>
      <c r="H536">
        <v>102086</v>
      </c>
      <c r="I536" t="s">
        <v>12658</v>
      </c>
      <c r="J536" t="str">
        <f t="shared" si="8"/>
        <v>ia.assorted_string like '%102086-00033-11-2024%' or</v>
      </c>
    </row>
    <row r="537" spans="1:10" x14ac:dyDescent="0.25">
      <c r="A537" s="12" t="s">
        <v>11911</v>
      </c>
      <c r="B537" t="s">
        <v>12248</v>
      </c>
      <c r="H537">
        <v>102086</v>
      </c>
      <c r="I537" t="s">
        <v>12659</v>
      </c>
      <c r="J537" t="str">
        <f t="shared" si="8"/>
        <v>ia.assorted_string like '%102086-00032-11-2024%' or</v>
      </c>
    </row>
    <row r="538" spans="1:10" x14ac:dyDescent="0.25">
      <c r="A538" s="12" t="s">
        <v>11912</v>
      </c>
      <c r="B538" t="s">
        <v>12248</v>
      </c>
      <c r="H538">
        <v>102086</v>
      </c>
      <c r="I538" t="s">
        <v>12660</v>
      </c>
      <c r="J538" t="str">
        <f t="shared" si="8"/>
        <v>ia.assorted_string like '%102086-00030-11-2024%' or</v>
      </c>
    </row>
    <row r="539" spans="1:10" x14ac:dyDescent="0.25">
      <c r="A539" s="12" t="s">
        <v>11913</v>
      </c>
      <c r="B539" t="s">
        <v>12249</v>
      </c>
      <c r="H539">
        <v>103702</v>
      </c>
      <c r="I539" t="s">
        <v>12357</v>
      </c>
      <c r="J539" t="str">
        <f t="shared" si="8"/>
        <v>ia.assorted_string like '%103702-00194-12-2024%' or</v>
      </c>
    </row>
    <row r="540" spans="1:10" x14ac:dyDescent="0.25">
      <c r="A540" s="12" t="s">
        <v>11914</v>
      </c>
      <c r="B540" t="s">
        <v>12248</v>
      </c>
      <c r="H540">
        <v>102086</v>
      </c>
      <c r="I540" t="s">
        <v>12661</v>
      </c>
      <c r="J540" t="str">
        <f t="shared" si="8"/>
        <v>ia.assorted_string like '%102086-00029-11-2024%' or</v>
      </c>
    </row>
    <row r="541" spans="1:10" x14ac:dyDescent="0.25">
      <c r="A541" s="12" t="s">
        <v>11915</v>
      </c>
      <c r="B541" t="s">
        <v>12249</v>
      </c>
      <c r="H541">
        <v>103702</v>
      </c>
      <c r="I541" t="s">
        <v>12356</v>
      </c>
      <c r="J541" t="str">
        <f t="shared" si="8"/>
        <v>ia.assorted_string like '%103702-00193-12-2024%' or</v>
      </c>
    </row>
    <row r="542" spans="1:10" x14ac:dyDescent="0.25">
      <c r="A542" s="12" t="s">
        <v>11916</v>
      </c>
      <c r="B542" t="s">
        <v>12248</v>
      </c>
      <c r="H542">
        <v>102086</v>
      </c>
      <c r="I542" t="s">
        <v>12662</v>
      </c>
      <c r="J542" t="str">
        <f t="shared" si="8"/>
        <v>ia.assorted_string like '%102086-00027-11-2024%' or</v>
      </c>
    </row>
    <row r="543" spans="1:10" x14ac:dyDescent="0.25">
      <c r="A543" s="12" t="s">
        <v>11917</v>
      </c>
      <c r="B543" t="s">
        <v>12248</v>
      </c>
      <c r="H543">
        <v>102086</v>
      </c>
      <c r="I543" t="s">
        <v>12663</v>
      </c>
      <c r="J543" t="str">
        <f t="shared" si="8"/>
        <v>ia.assorted_string like '%102086-00025-11-2024%' or</v>
      </c>
    </row>
    <row r="544" spans="1:10" x14ac:dyDescent="0.25">
      <c r="A544" s="12" t="s">
        <v>11918</v>
      </c>
      <c r="B544" t="s">
        <v>12248</v>
      </c>
      <c r="H544">
        <v>102086</v>
      </c>
      <c r="I544" t="s">
        <v>12664</v>
      </c>
      <c r="J544" t="str">
        <f t="shared" si="8"/>
        <v>ia.assorted_string like '%102086-00019-11-2024%' or</v>
      </c>
    </row>
    <row r="545" spans="1:10" x14ac:dyDescent="0.25">
      <c r="A545" s="12" t="s">
        <v>11919</v>
      </c>
      <c r="B545" t="s">
        <v>12248</v>
      </c>
      <c r="H545">
        <v>102086</v>
      </c>
      <c r="I545" t="s">
        <v>12665</v>
      </c>
      <c r="J545" t="str">
        <f t="shared" si="8"/>
        <v>ia.assorted_string like '%102086-00018-11-2024%' or</v>
      </c>
    </row>
    <row r="546" spans="1:10" x14ac:dyDescent="0.25">
      <c r="A546" s="12" t="s">
        <v>11920</v>
      </c>
      <c r="B546" t="s">
        <v>12249</v>
      </c>
      <c r="H546">
        <v>103702</v>
      </c>
      <c r="I546" t="s">
        <v>12578</v>
      </c>
      <c r="J546" t="str">
        <f t="shared" si="8"/>
        <v>ia.assorted_string like '%103702-00185-12-2024%' or</v>
      </c>
    </row>
    <row r="547" spans="1:10" x14ac:dyDescent="0.25">
      <c r="A547" s="12" t="s">
        <v>11921</v>
      </c>
      <c r="B547" t="s">
        <v>12249</v>
      </c>
      <c r="H547">
        <v>103702</v>
      </c>
      <c r="I547" t="s">
        <v>12583</v>
      </c>
      <c r="J547" t="str">
        <f t="shared" si="8"/>
        <v>ia.assorted_string like '%103702-00178-12-2024%' or</v>
      </c>
    </row>
    <row r="548" spans="1:10" x14ac:dyDescent="0.25">
      <c r="A548" s="12" t="s">
        <v>11922</v>
      </c>
      <c r="B548" t="s">
        <v>12249</v>
      </c>
      <c r="H548">
        <v>103702</v>
      </c>
      <c r="I548" t="s">
        <v>12352</v>
      </c>
      <c r="J548" t="str">
        <f t="shared" si="8"/>
        <v>ia.assorted_string like '%103702-00177-12-2024%' or</v>
      </c>
    </row>
    <row r="549" spans="1:10" x14ac:dyDescent="0.25">
      <c r="A549" s="12" t="s">
        <v>11923</v>
      </c>
      <c r="B549" t="s">
        <v>12249</v>
      </c>
      <c r="H549">
        <v>103702</v>
      </c>
      <c r="I549" t="s">
        <v>12351</v>
      </c>
      <c r="J549" t="str">
        <f t="shared" si="8"/>
        <v>ia.assorted_string like '%103702-00176-12-2024%' or</v>
      </c>
    </row>
    <row r="550" spans="1:10" x14ac:dyDescent="0.25">
      <c r="A550" s="12" t="s">
        <v>11924</v>
      </c>
      <c r="B550" t="s">
        <v>12248</v>
      </c>
      <c r="H550">
        <v>102086</v>
      </c>
      <c r="I550" t="s">
        <v>12666</v>
      </c>
      <c r="J550" t="str">
        <f t="shared" si="8"/>
        <v>ia.assorted_string like '%102086-00009-11-2024%' or</v>
      </c>
    </row>
    <row r="551" spans="1:10" x14ac:dyDescent="0.25">
      <c r="A551" s="12" t="s">
        <v>11925</v>
      </c>
      <c r="B551" t="s">
        <v>12249</v>
      </c>
      <c r="H551">
        <v>103702</v>
      </c>
      <c r="I551" t="s">
        <v>12350</v>
      </c>
      <c r="J551" t="str">
        <f t="shared" si="8"/>
        <v>ia.assorted_string like '%103702-00175-12-2024%' or</v>
      </c>
    </row>
    <row r="552" spans="1:10" x14ac:dyDescent="0.25">
      <c r="A552" s="12" t="s">
        <v>11926</v>
      </c>
      <c r="B552" t="s">
        <v>12249</v>
      </c>
      <c r="H552">
        <v>103702</v>
      </c>
      <c r="I552" t="s">
        <v>12253</v>
      </c>
      <c r="J552" t="str">
        <f t="shared" si="8"/>
        <v>ia.assorted_string like '%103702-00002-12-2024%' or</v>
      </c>
    </row>
    <row r="553" spans="1:10" x14ac:dyDescent="0.25">
      <c r="A553" s="12" t="s">
        <v>11927</v>
      </c>
      <c r="B553" t="s">
        <v>12249</v>
      </c>
      <c r="H553">
        <v>103702</v>
      </c>
      <c r="I553" t="s">
        <v>12254</v>
      </c>
      <c r="J553" t="str">
        <f t="shared" si="8"/>
        <v>ia.assorted_string like '%103702-00003-12-2024%' or</v>
      </c>
    </row>
    <row r="554" spans="1:10" x14ac:dyDescent="0.25">
      <c r="A554" s="12" t="s">
        <v>11928</v>
      </c>
      <c r="B554" t="s">
        <v>12249</v>
      </c>
      <c r="H554">
        <v>103702</v>
      </c>
      <c r="I554" t="s">
        <v>12667</v>
      </c>
      <c r="J554" t="str">
        <f t="shared" si="8"/>
        <v>ia.assorted_string like '%103702-00004-12-2024%' or</v>
      </c>
    </row>
    <row r="555" spans="1:10" x14ac:dyDescent="0.25">
      <c r="A555" s="12" t="s">
        <v>11929</v>
      </c>
      <c r="B555" t="s">
        <v>12249</v>
      </c>
      <c r="H555">
        <v>103702</v>
      </c>
      <c r="I555" t="s">
        <v>12586</v>
      </c>
      <c r="J555" t="str">
        <f t="shared" si="8"/>
        <v>ia.assorted_string like '%103702-00168-12-2024%' or</v>
      </c>
    </row>
    <row r="556" spans="1:10" x14ac:dyDescent="0.25">
      <c r="A556" s="12" t="s">
        <v>11930</v>
      </c>
      <c r="B556" t="s">
        <v>12249</v>
      </c>
      <c r="H556">
        <v>103702</v>
      </c>
      <c r="I556" t="s">
        <v>12256</v>
      </c>
      <c r="J556" t="str">
        <f t="shared" si="8"/>
        <v>ia.assorted_string like '%103702-00006-12-2024%' or</v>
      </c>
    </row>
    <row r="557" spans="1:10" x14ac:dyDescent="0.25">
      <c r="A557" s="17" t="s">
        <v>11998</v>
      </c>
      <c r="B557" t="s">
        <v>12249</v>
      </c>
      <c r="H557">
        <v>103702</v>
      </c>
      <c r="I557" t="s">
        <v>12345</v>
      </c>
      <c r="J557" t="str">
        <f t="shared" si="8"/>
        <v>ia.assorted_string like '%103702-00166-12-2024%' or</v>
      </c>
    </row>
    <row r="558" spans="1:10" x14ac:dyDescent="0.25">
      <c r="A558" s="12" t="s">
        <v>11931</v>
      </c>
      <c r="B558" t="s">
        <v>12249</v>
      </c>
      <c r="H558">
        <v>103702</v>
      </c>
      <c r="I558" t="s">
        <v>12587</v>
      </c>
      <c r="J558" t="str">
        <f t="shared" si="8"/>
        <v>ia.assorted_string like '%103702-00164-12-2024%' or</v>
      </c>
    </row>
    <row r="559" spans="1:10" x14ac:dyDescent="0.25">
      <c r="A559" s="12" t="s">
        <v>11932</v>
      </c>
      <c r="B559" t="s">
        <v>12249</v>
      </c>
      <c r="H559">
        <v>103702</v>
      </c>
      <c r="I559" t="s">
        <v>12258</v>
      </c>
      <c r="J559" t="str">
        <f t="shared" si="8"/>
        <v>ia.assorted_string like '%103702-00008-12-2024%' or</v>
      </c>
    </row>
    <row r="560" spans="1:10" x14ac:dyDescent="0.25">
      <c r="A560" s="12" t="s">
        <v>11933</v>
      </c>
      <c r="B560" t="s">
        <v>12249</v>
      </c>
      <c r="H560">
        <v>103702</v>
      </c>
      <c r="I560" t="s">
        <v>12666</v>
      </c>
      <c r="J560" t="str">
        <f t="shared" si="8"/>
        <v>ia.assorted_string like '%103702-00009-12-2024%' or</v>
      </c>
    </row>
    <row r="561" spans="1:10" x14ac:dyDescent="0.25">
      <c r="A561" s="12" t="s">
        <v>11934</v>
      </c>
      <c r="B561" t="s">
        <v>12249</v>
      </c>
      <c r="H561">
        <v>103702</v>
      </c>
      <c r="I561" t="s">
        <v>12588</v>
      </c>
      <c r="J561" t="str">
        <f t="shared" si="8"/>
        <v>ia.assorted_string like '%103702-00161-12-2024%' or</v>
      </c>
    </row>
    <row r="562" spans="1:10" x14ac:dyDescent="0.25">
      <c r="A562" s="12" t="s">
        <v>11935</v>
      </c>
      <c r="B562" t="s">
        <v>12249</v>
      </c>
      <c r="H562">
        <v>103702</v>
      </c>
      <c r="I562" t="s">
        <v>12341</v>
      </c>
      <c r="J562" t="str">
        <f t="shared" si="8"/>
        <v>ia.assorted_string like '%103702-00160-12-2024%' or</v>
      </c>
    </row>
    <row r="563" spans="1:10" x14ac:dyDescent="0.25">
      <c r="A563" s="12" t="s">
        <v>11936</v>
      </c>
      <c r="B563" t="s">
        <v>12249</v>
      </c>
      <c r="H563">
        <v>103702</v>
      </c>
      <c r="I563" t="s">
        <v>12260</v>
      </c>
      <c r="J563" t="str">
        <f t="shared" si="8"/>
        <v>ia.assorted_string like '%103702-00011-12-2024%' or</v>
      </c>
    </row>
    <row r="564" spans="1:10" x14ac:dyDescent="0.25">
      <c r="A564" s="17" t="s">
        <v>11999</v>
      </c>
      <c r="B564" t="s">
        <v>12249</v>
      </c>
      <c r="H564">
        <v>103702</v>
      </c>
      <c r="I564" t="s">
        <v>12333</v>
      </c>
      <c r="J564" t="str">
        <f t="shared" si="8"/>
        <v>ia.assorted_string like '%103702-00150-12-2024%' or</v>
      </c>
    </row>
    <row r="565" spans="1:10" x14ac:dyDescent="0.25">
      <c r="A565" s="12" t="s">
        <v>11937</v>
      </c>
      <c r="B565" t="s">
        <v>12249</v>
      </c>
      <c r="H565">
        <v>103702</v>
      </c>
      <c r="I565" t="s">
        <v>12546</v>
      </c>
      <c r="J565" t="str">
        <f t="shared" si="8"/>
        <v>ia.assorted_string like '%103702-00147-12-2024%' or</v>
      </c>
    </row>
    <row r="566" spans="1:10" x14ac:dyDescent="0.25">
      <c r="A566" s="12" t="s">
        <v>11938</v>
      </c>
      <c r="B566" t="s">
        <v>12249</v>
      </c>
      <c r="H566">
        <v>103702</v>
      </c>
      <c r="I566" t="s">
        <v>12601</v>
      </c>
      <c r="J566" t="str">
        <f t="shared" si="8"/>
        <v>ia.assorted_string like '%103702-00143-12-2024%' or</v>
      </c>
    </row>
    <row r="567" spans="1:10" x14ac:dyDescent="0.25">
      <c r="A567" s="12" t="s">
        <v>11939</v>
      </c>
      <c r="B567" t="s">
        <v>12249</v>
      </c>
      <c r="H567">
        <v>103702</v>
      </c>
      <c r="I567" t="s">
        <v>12603</v>
      </c>
      <c r="J567" t="str">
        <f t="shared" si="8"/>
        <v>ia.assorted_string like '%103702-00142-12-2024%' or</v>
      </c>
    </row>
    <row r="568" spans="1:10" x14ac:dyDescent="0.25">
      <c r="A568" s="12" t="s">
        <v>11940</v>
      </c>
      <c r="B568" t="s">
        <v>12249</v>
      </c>
      <c r="H568">
        <v>103702</v>
      </c>
      <c r="I568" t="s">
        <v>12605</v>
      </c>
      <c r="J568" t="str">
        <f t="shared" si="8"/>
        <v>ia.assorted_string like '%103702-00140-12-2024%' or</v>
      </c>
    </row>
    <row r="569" spans="1:10" x14ac:dyDescent="0.25">
      <c r="A569" s="12" t="s">
        <v>11941</v>
      </c>
      <c r="B569" t="s">
        <v>12249</v>
      </c>
      <c r="H569">
        <v>103702</v>
      </c>
      <c r="I569" t="s">
        <v>12266</v>
      </c>
      <c r="J569" t="str">
        <f t="shared" si="8"/>
        <v>ia.assorted_string like '%103702-00017-12-2024%' or</v>
      </c>
    </row>
    <row r="570" spans="1:10" x14ac:dyDescent="0.25">
      <c r="A570" s="12" t="s">
        <v>11942</v>
      </c>
      <c r="B570" t="s">
        <v>12249</v>
      </c>
      <c r="H570">
        <v>103702</v>
      </c>
      <c r="I570" t="s">
        <v>12665</v>
      </c>
      <c r="J570" t="str">
        <f t="shared" si="8"/>
        <v>ia.assorted_string like '%103702-00018-12-2024%' or</v>
      </c>
    </row>
    <row r="571" spans="1:10" x14ac:dyDescent="0.25">
      <c r="A571" s="17" t="s">
        <v>12000</v>
      </c>
      <c r="B571" t="s">
        <v>12249</v>
      </c>
      <c r="H571">
        <v>103702</v>
      </c>
      <c r="I571" t="s">
        <v>12606</v>
      </c>
      <c r="J571" t="str">
        <f t="shared" si="8"/>
        <v>ia.assorted_string like '%103702-00139-12-2024%' or</v>
      </c>
    </row>
    <row r="572" spans="1:10" x14ac:dyDescent="0.25">
      <c r="A572" s="12" t="s">
        <v>11943</v>
      </c>
      <c r="B572" t="s">
        <v>12249</v>
      </c>
      <c r="H572">
        <v>103702</v>
      </c>
      <c r="I572" t="s">
        <v>12267</v>
      </c>
      <c r="J572" t="str">
        <f t="shared" si="8"/>
        <v>ia.assorted_string like '%103702-00020-12-2024%' or</v>
      </c>
    </row>
    <row r="573" spans="1:10" x14ac:dyDescent="0.25">
      <c r="A573" s="12" t="s">
        <v>11944</v>
      </c>
      <c r="B573" t="s">
        <v>12249</v>
      </c>
      <c r="H573">
        <v>103702</v>
      </c>
      <c r="I573" t="s">
        <v>12268</v>
      </c>
      <c r="J573" t="str">
        <f t="shared" si="8"/>
        <v>ia.assorted_string like '%103702-00021-12-2024%' or</v>
      </c>
    </row>
    <row r="574" spans="1:10" x14ac:dyDescent="0.25">
      <c r="A574" s="12" t="s">
        <v>11945</v>
      </c>
      <c r="B574" t="s">
        <v>12249</v>
      </c>
      <c r="H574">
        <v>103702</v>
      </c>
      <c r="I574" t="s">
        <v>12269</v>
      </c>
      <c r="J574" t="str">
        <f t="shared" si="8"/>
        <v>ia.assorted_string like '%103702-00022-12-2024%' or</v>
      </c>
    </row>
    <row r="575" spans="1:10" x14ac:dyDescent="0.25">
      <c r="A575" s="12" t="s">
        <v>11946</v>
      </c>
      <c r="B575" t="s">
        <v>12249</v>
      </c>
      <c r="H575">
        <v>103702</v>
      </c>
      <c r="I575" t="s">
        <v>12270</v>
      </c>
      <c r="J575" t="str">
        <f t="shared" si="8"/>
        <v>ia.assorted_string like '%103702-00023-12-2024%' or</v>
      </c>
    </row>
    <row r="576" spans="1:10" x14ac:dyDescent="0.25">
      <c r="A576" s="12" t="s">
        <v>11947</v>
      </c>
      <c r="B576" t="s">
        <v>12249</v>
      </c>
      <c r="H576">
        <v>103702</v>
      </c>
      <c r="I576" t="s">
        <v>12271</v>
      </c>
      <c r="J576" t="str">
        <f t="shared" si="8"/>
        <v>ia.assorted_string like '%103702-00024-12-2024%' or</v>
      </c>
    </row>
    <row r="577" spans="1:10" x14ac:dyDescent="0.25">
      <c r="A577" s="12" t="s">
        <v>11948</v>
      </c>
      <c r="B577" t="s">
        <v>12249</v>
      </c>
      <c r="H577">
        <v>103702</v>
      </c>
      <c r="I577" t="s">
        <v>12330</v>
      </c>
      <c r="J577" t="str">
        <f t="shared" si="8"/>
        <v>ia.assorted_string like '%103702-00138-12-2024%' or</v>
      </c>
    </row>
    <row r="578" spans="1:10" x14ac:dyDescent="0.25">
      <c r="A578" s="12" t="s">
        <v>11949</v>
      </c>
      <c r="B578" t="s">
        <v>12249</v>
      </c>
      <c r="H578">
        <v>103702</v>
      </c>
      <c r="I578" t="s">
        <v>12272</v>
      </c>
      <c r="J578" t="str">
        <f t="shared" si="8"/>
        <v>ia.assorted_string like '%103702-00026-12-2024%' or</v>
      </c>
    </row>
    <row r="579" spans="1:10" x14ac:dyDescent="0.25">
      <c r="A579" s="12" t="s">
        <v>11950</v>
      </c>
      <c r="B579" t="s">
        <v>12249</v>
      </c>
      <c r="H579">
        <v>103702</v>
      </c>
      <c r="I579" t="s">
        <v>12662</v>
      </c>
      <c r="J579" t="str">
        <f t="shared" ref="J579:J624" si="9">"ia.assorted_string like '%"&amp;H579&amp;"-"&amp;I579&amp;B579&amp;"%' or"</f>
        <v>ia.assorted_string like '%103702-00027-12-2024%' or</v>
      </c>
    </row>
    <row r="580" spans="1:10" x14ac:dyDescent="0.25">
      <c r="A580" s="12" t="s">
        <v>11951</v>
      </c>
      <c r="B580" t="s">
        <v>12249</v>
      </c>
      <c r="H580">
        <v>103702</v>
      </c>
      <c r="I580" t="s">
        <v>12273</v>
      </c>
      <c r="J580" t="str">
        <f t="shared" si="9"/>
        <v>ia.assorted_string like '%103702-00028-12-2024%' or</v>
      </c>
    </row>
    <row r="581" spans="1:10" x14ac:dyDescent="0.25">
      <c r="A581" s="12" t="s">
        <v>11952</v>
      </c>
      <c r="B581" t="s">
        <v>12249</v>
      </c>
      <c r="H581">
        <v>103702</v>
      </c>
      <c r="I581" t="s">
        <v>12610</v>
      </c>
      <c r="J581" t="str">
        <f t="shared" si="9"/>
        <v>ia.assorted_string like '%103702-00133-12-2024%' or</v>
      </c>
    </row>
    <row r="582" spans="1:10" x14ac:dyDescent="0.25">
      <c r="A582" s="12" t="s">
        <v>11953</v>
      </c>
      <c r="B582" t="s">
        <v>12249</v>
      </c>
      <c r="H582">
        <v>103702</v>
      </c>
      <c r="I582" t="s">
        <v>12660</v>
      </c>
      <c r="J582" t="str">
        <f t="shared" si="9"/>
        <v>ia.assorted_string like '%103702-00030-12-2024%' or</v>
      </c>
    </row>
    <row r="583" spans="1:10" x14ac:dyDescent="0.25">
      <c r="A583" s="12" t="s">
        <v>11954</v>
      </c>
      <c r="B583" t="s">
        <v>12249</v>
      </c>
      <c r="H583">
        <v>103702</v>
      </c>
      <c r="I583" t="s">
        <v>12658</v>
      </c>
      <c r="J583" t="str">
        <f t="shared" si="9"/>
        <v>ia.assorted_string like '%103702-00033-12-2024%' or</v>
      </c>
    </row>
    <row r="584" spans="1:10" x14ac:dyDescent="0.25">
      <c r="A584" s="12" t="s">
        <v>11955</v>
      </c>
      <c r="B584" t="s">
        <v>12249</v>
      </c>
      <c r="H584">
        <v>103702</v>
      </c>
      <c r="I584" t="s">
        <v>12329</v>
      </c>
      <c r="J584" t="str">
        <f t="shared" si="9"/>
        <v>ia.assorted_string like '%103702-00131-12-2024%' or</v>
      </c>
    </row>
    <row r="585" spans="1:10" x14ac:dyDescent="0.25">
      <c r="A585" s="12" t="s">
        <v>11956</v>
      </c>
      <c r="B585" t="s">
        <v>12249</v>
      </c>
      <c r="H585">
        <v>103702</v>
      </c>
      <c r="I585" t="s">
        <v>12656</v>
      </c>
      <c r="J585" t="str">
        <f t="shared" si="9"/>
        <v>ia.assorted_string like '%103702-00035-12-2024%' or</v>
      </c>
    </row>
    <row r="586" spans="1:10" x14ac:dyDescent="0.25">
      <c r="A586" s="12" t="s">
        <v>11957</v>
      </c>
      <c r="B586" t="s">
        <v>12249</v>
      </c>
      <c r="H586">
        <v>103702</v>
      </c>
      <c r="I586" t="s">
        <v>12275</v>
      </c>
      <c r="J586" t="str">
        <f t="shared" si="9"/>
        <v>ia.assorted_string like '%103702-00036-12-2024%' or</v>
      </c>
    </row>
    <row r="587" spans="1:10" x14ac:dyDescent="0.25">
      <c r="A587" s="12" t="s">
        <v>11958</v>
      </c>
      <c r="B587" t="s">
        <v>12249</v>
      </c>
      <c r="H587">
        <v>103702</v>
      </c>
      <c r="I587" t="s">
        <v>12276</v>
      </c>
      <c r="J587" t="str">
        <f t="shared" si="9"/>
        <v>ia.assorted_string like '%103702-00037-12-2024%' or</v>
      </c>
    </row>
    <row r="588" spans="1:10" x14ac:dyDescent="0.25">
      <c r="A588" s="12" t="s">
        <v>11959</v>
      </c>
      <c r="B588" t="s">
        <v>12249</v>
      </c>
      <c r="H588">
        <v>103702</v>
      </c>
      <c r="I588" t="s">
        <v>12277</v>
      </c>
      <c r="J588" t="str">
        <f t="shared" si="9"/>
        <v>ia.assorted_string like '%103702-00038-12-2024%' or</v>
      </c>
    </row>
    <row r="589" spans="1:10" x14ac:dyDescent="0.25">
      <c r="A589" s="12" t="s">
        <v>11960</v>
      </c>
      <c r="B589" t="s">
        <v>12249</v>
      </c>
      <c r="H589">
        <v>103702</v>
      </c>
      <c r="I589" t="s">
        <v>12278</v>
      </c>
      <c r="J589" t="str">
        <f t="shared" si="9"/>
        <v>ia.assorted_string like '%103702-00039-12-2024%' or</v>
      </c>
    </row>
    <row r="590" spans="1:10" x14ac:dyDescent="0.25">
      <c r="A590" s="12" t="s">
        <v>11961</v>
      </c>
      <c r="B590" t="s">
        <v>12249</v>
      </c>
      <c r="H590">
        <v>103702</v>
      </c>
      <c r="I590" t="s">
        <v>12279</v>
      </c>
      <c r="J590" t="str">
        <f t="shared" si="9"/>
        <v>ia.assorted_string like '%103702-00040-12-2024%' or</v>
      </c>
    </row>
    <row r="591" spans="1:10" x14ac:dyDescent="0.25">
      <c r="A591" s="12" t="s">
        <v>11962</v>
      </c>
      <c r="B591" t="s">
        <v>12249</v>
      </c>
      <c r="H591">
        <v>103702</v>
      </c>
      <c r="I591" t="s">
        <v>12655</v>
      </c>
      <c r="J591" t="str">
        <f t="shared" si="9"/>
        <v>ia.assorted_string like '%103702-00041-12-2024%' or</v>
      </c>
    </row>
    <row r="592" spans="1:10" x14ac:dyDescent="0.25">
      <c r="A592" s="12" t="s">
        <v>11963</v>
      </c>
      <c r="B592" t="s">
        <v>12249</v>
      </c>
      <c r="H592">
        <v>103702</v>
      </c>
      <c r="I592" t="s">
        <v>12653</v>
      </c>
      <c r="J592" t="str">
        <f t="shared" si="9"/>
        <v>ia.assorted_string like '%103702-00043-12-2024%' or</v>
      </c>
    </row>
    <row r="593" spans="1:10" x14ac:dyDescent="0.25">
      <c r="A593" s="12" t="s">
        <v>11964</v>
      </c>
      <c r="B593" t="s">
        <v>12249</v>
      </c>
      <c r="H593">
        <v>103702</v>
      </c>
      <c r="I593" t="s">
        <v>12282</v>
      </c>
      <c r="J593" t="str">
        <f t="shared" si="9"/>
        <v>ia.assorted_string like '%103702-00045-12-2024%' or</v>
      </c>
    </row>
    <row r="594" spans="1:10" x14ac:dyDescent="0.25">
      <c r="A594" s="12" t="s">
        <v>11965</v>
      </c>
      <c r="B594" t="s">
        <v>12249</v>
      </c>
      <c r="H594">
        <v>103702</v>
      </c>
      <c r="I594" t="s">
        <v>12614</v>
      </c>
      <c r="J594" t="str">
        <f t="shared" si="9"/>
        <v>ia.assorted_string like '%103702-00124-12-2024%' or</v>
      </c>
    </row>
    <row r="595" spans="1:10" x14ac:dyDescent="0.25">
      <c r="A595" s="12" t="s">
        <v>11966</v>
      </c>
      <c r="B595" t="s">
        <v>12249</v>
      </c>
      <c r="H595">
        <v>103702</v>
      </c>
      <c r="I595" t="s">
        <v>12625</v>
      </c>
      <c r="J595" t="str">
        <f t="shared" si="9"/>
        <v>ia.assorted_string like '%103702-00116-12-2024%' or</v>
      </c>
    </row>
    <row r="596" spans="1:10" x14ac:dyDescent="0.25">
      <c r="A596" s="12" t="s">
        <v>11967</v>
      </c>
      <c r="B596" t="s">
        <v>12249</v>
      </c>
      <c r="H596">
        <v>103702</v>
      </c>
      <c r="I596" t="s">
        <v>12323</v>
      </c>
      <c r="J596" t="str">
        <f t="shared" si="9"/>
        <v>ia.assorted_string like '%103702-00115-12-2024%' or</v>
      </c>
    </row>
    <row r="597" spans="1:10" x14ac:dyDescent="0.25">
      <c r="A597" s="12" t="s">
        <v>11968</v>
      </c>
      <c r="B597" t="s">
        <v>12249</v>
      </c>
      <c r="H597">
        <v>103702</v>
      </c>
      <c r="I597" t="s">
        <v>12322</v>
      </c>
      <c r="J597" t="str">
        <f t="shared" si="9"/>
        <v>ia.assorted_string like '%103702-00114-12-2024%' or</v>
      </c>
    </row>
    <row r="598" spans="1:10" x14ac:dyDescent="0.25">
      <c r="A598" s="12" t="s">
        <v>11969</v>
      </c>
      <c r="B598" t="s">
        <v>12249</v>
      </c>
      <c r="H598">
        <v>103702</v>
      </c>
      <c r="I598" t="s">
        <v>12627</v>
      </c>
      <c r="J598" t="str">
        <f t="shared" si="9"/>
        <v>ia.assorted_string like '%103702-00112-12-2024%' or</v>
      </c>
    </row>
    <row r="599" spans="1:10" x14ac:dyDescent="0.25">
      <c r="A599" s="12" t="s">
        <v>11970</v>
      </c>
      <c r="B599" t="s">
        <v>12249</v>
      </c>
      <c r="H599">
        <v>103702</v>
      </c>
      <c r="I599" t="s">
        <v>12629</v>
      </c>
      <c r="J599" t="str">
        <f t="shared" si="9"/>
        <v>ia.assorted_string like '%103702-00110-12-2024%' or</v>
      </c>
    </row>
    <row r="600" spans="1:10" x14ac:dyDescent="0.25">
      <c r="A600" s="12" t="s">
        <v>11971</v>
      </c>
      <c r="B600" t="s">
        <v>12249</v>
      </c>
      <c r="H600">
        <v>103702</v>
      </c>
      <c r="I600" t="s">
        <v>12320</v>
      </c>
      <c r="J600" t="str">
        <f t="shared" si="9"/>
        <v>ia.assorted_string like '%103702-00109-12-2024%' or</v>
      </c>
    </row>
    <row r="601" spans="1:10" x14ac:dyDescent="0.25">
      <c r="A601" s="12" t="s">
        <v>11972</v>
      </c>
      <c r="B601" t="s">
        <v>12249</v>
      </c>
      <c r="H601">
        <v>103702</v>
      </c>
      <c r="I601" t="s">
        <v>12319</v>
      </c>
      <c r="J601" t="str">
        <f t="shared" si="9"/>
        <v>ia.assorted_string like '%103702-00108-12-2024%' or</v>
      </c>
    </row>
    <row r="602" spans="1:10" x14ac:dyDescent="0.25">
      <c r="A602" s="12" t="s">
        <v>11973</v>
      </c>
      <c r="B602" t="s">
        <v>12249</v>
      </c>
      <c r="H602">
        <v>103702</v>
      </c>
      <c r="I602" t="s">
        <v>12632</v>
      </c>
      <c r="J602" t="str">
        <f t="shared" si="9"/>
        <v>ia.assorted_string like '%103702-00105-12-2024%' or</v>
      </c>
    </row>
    <row r="603" spans="1:10" x14ac:dyDescent="0.25">
      <c r="A603" s="12" t="s">
        <v>11974</v>
      </c>
      <c r="B603" t="s">
        <v>12249</v>
      </c>
      <c r="H603">
        <v>103702</v>
      </c>
      <c r="I603" t="s">
        <v>12633</v>
      </c>
      <c r="J603" t="str">
        <f t="shared" si="9"/>
        <v>ia.assorted_string like '%103702-00104-12-2024%' or</v>
      </c>
    </row>
    <row r="604" spans="1:10" x14ac:dyDescent="0.25">
      <c r="A604" s="17" t="s">
        <v>12001</v>
      </c>
      <c r="B604" t="s">
        <v>12249</v>
      </c>
      <c r="H604">
        <v>103702</v>
      </c>
      <c r="I604" t="s">
        <v>12318</v>
      </c>
      <c r="J604" t="str">
        <f t="shared" si="9"/>
        <v>ia.assorted_string like '%103702-00103-12-2024%' or</v>
      </c>
    </row>
    <row r="605" spans="1:10" x14ac:dyDescent="0.25">
      <c r="A605" s="12" t="s">
        <v>11975</v>
      </c>
      <c r="B605" t="s">
        <v>12249</v>
      </c>
      <c r="H605">
        <v>103702</v>
      </c>
      <c r="I605" t="s">
        <v>12540</v>
      </c>
      <c r="J605" t="str">
        <f t="shared" si="9"/>
        <v>ia.assorted_string like '%103702-00102-12-2024%' or</v>
      </c>
    </row>
    <row r="606" spans="1:10" x14ac:dyDescent="0.25">
      <c r="A606" s="12" t="s">
        <v>11976</v>
      </c>
      <c r="B606" t="s">
        <v>12249</v>
      </c>
      <c r="H606">
        <v>103702</v>
      </c>
      <c r="I606" t="s">
        <v>12293</v>
      </c>
      <c r="J606" t="str">
        <f t="shared" si="9"/>
        <v>ia.assorted_string like '%103702-00060-12-2024%' or</v>
      </c>
    </row>
    <row r="607" spans="1:10" x14ac:dyDescent="0.25">
      <c r="A607" s="12" t="s">
        <v>11977</v>
      </c>
      <c r="B607" t="s">
        <v>12249</v>
      </c>
      <c r="H607">
        <v>103702</v>
      </c>
      <c r="I607" t="s">
        <v>12634</v>
      </c>
      <c r="J607" t="str">
        <f t="shared" si="9"/>
        <v>ia.assorted_string like '%103702-00101-12-2024%' or</v>
      </c>
    </row>
    <row r="608" spans="1:10" x14ac:dyDescent="0.25">
      <c r="A608" s="12" t="s">
        <v>11978</v>
      </c>
      <c r="B608" t="s">
        <v>12249</v>
      </c>
      <c r="H608">
        <v>103702</v>
      </c>
      <c r="I608" t="s">
        <v>12296</v>
      </c>
      <c r="J608" t="str">
        <f t="shared" si="9"/>
        <v>ia.assorted_string like '%103702-00063-12-2024%' or</v>
      </c>
    </row>
    <row r="609" spans="1:10" x14ac:dyDescent="0.25">
      <c r="A609" s="12" t="s">
        <v>11979</v>
      </c>
      <c r="B609" t="s">
        <v>12249</v>
      </c>
      <c r="H609">
        <v>103702</v>
      </c>
      <c r="I609" t="s">
        <v>12649</v>
      </c>
      <c r="J609" t="str">
        <f t="shared" si="9"/>
        <v>ia.assorted_string like '%103702-00064-12-2024%' or</v>
      </c>
    </row>
    <row r="610" spans="1:10" x14ac:dyDescent="0.25">
      <c r="A610" s="12" t="s">
        <v>11980</v>
      </c>
      <c r="B610" t="s">
        <v>12249</v>
      </c>
      <c r="H610">
        <v>103702</v>
      </c>
      <c r="I610" t="s">
        <v>12317</v>
      </c>
      <c r="J610" t="str">
        <f t="shared" si="9"/>
        <v>ia.assorted_string like '%103702-00100-12-2024%' or</v>
      </c>
    </row>
    <row r="611" spans="1:10" x14ac:dyDescent="0.25">
      <c r="A611" s="12" t="s">
        <v>11981</v>
      </c>
      <c r="B611" t="s">
        <v>12249</v>
      </c>
      <c r="H611">
        <v>103702</v>
      </c>
      <c r="I611" t="s">
        <v>12647</v>
      </c>
      <c r="J611" t="str">
        <f t="shared" si="9"/>
        <v>ia.assorted_string like '%103702-00066-12-2024%' or</v>
      </c>
    </row>
    <row r="612" spans="1:10" x14ac:dyDescent="0.25">
      <c r="A612" s="12" t="s">
        <v>11982</v>
      </c>
      <c r="B612" t="s">
        <v>12249</v>
      </c>
      <c r="H612">
        <v>103702</v>
      </c>
      <c r="I612" t="s">
        <v>12316</v>
      </c>
      <c r="J612" t="str">
        <f t="shared" si="9"/>
        <v>ia.assorted_string like '%103702-00099-12-2024%' or</v>
      </c>
    </row>
    <row r="613" spans="1:10" x14ac:dyDescent="0.25">
      <c r="A613" s="12" t="s">
        <v>11983</v>
      </c>
      <c r="B613" t="s">
        <v>12249</v>
      </c>
      <c r="H613">
        <v>103702</v>
      </c>
      <c r="I613" t="s">
        <v>12299</v>
      </c>
      <c r="J613" t="str">
        <f t="shared" si="9"/>
        <v>ia.assorted_string like '%103702-00069-12-2024%' or</v>
      </c>
    </row>
    <row r="614" spans="1:10" x14ac:dyDescent="0.25">
      <c r="A614" s="12" t="s">
        <v>11984</v>
      </c>
      <c r="B614" t="s">
        <v>12249</v>
      </c>
      <c r="H614">
        <v>103702</v>
      </c>
      <c r="I614" t="s">
        <v>12314</v>
      </c>
      <c r="J614" t="str">
        <f t="shared" si="9"/>
        <v>ia.assorted_string like '%103702-00097-12-2024%' or</v>
      </c>
    </row>
    <row r="615" spans="1:10" x14ac:dyDescent="0.25">
      <c r="A615" s="12" t="s">
        <v>11985</v>
      </c>
      <c r="B615" t="s">
        <v>12249</v>
      </c>
      <c r="H615">
        <v>103702</v>
      </c>
      <c r="I615" t="s">
        <v>12342</v>
      </c>
      <c r="J615" t="str">
        <f t="shared" si="9"/>
        <v>ia.assorted_string like '%103702-00001-12-2024%' or</v>
      </c>
    </row>
    <row r="616" spans="1:10" x14ac:dyDescent="0.25">
      <c r="A616" s="12" t="s">
        <v>11986</v>
      </c>
      <c r="B616" t="s">
        <v>12249</v>
      </c>
      <c r="H616">
        <v>103702</v>
      </c>
      <c r="I616" t="s">
        <v>12644</v>
      </c>
      <c r="J616" t="str">
        <f t="shared" si="9"/>
        <v>ia.assorted_string like '%103702-00072-12-2024%' or</v>
      </c>
    </row>
    <row r="617" spans="1:10" x14ac:dyDescent="0.25">
      <c r="A617" s="12" t="s">
        <v>11987</v>
      </c>
      <c r="B617" t="s">
        <v>12249</v>
      </c>
      <c r="H617">
        <v>103702</v>
      </c>
      <c r="I617" t="s">
        <v>12539</v>
      </c>
      <c r="J617" t="str">
        <f t="shared" si="9"/>
        <v>ia.assorted_string like '%103702-00095-12-2024%' or</v>
      </c>
    </row>
    <row r="618" spans="1:10" x14ac:dyDescent="0.25">
      <c r="A618" s="12" t="s">
        <v>11988</v>
      </c>
      <c r="B618" t="s">
        <v>12249</v>
      </c>
      <c r="H618">
        <v>103702</v>
      </c>
      <c r="I618" t="s">
        <v>12300</v>
      </c>
      <c r="J618" t="str">
        <f t="shared" si="9"/>
        <v>ia.assorted_string like '%103702-00074-12-2024%' or</v>
      </c>
    </row>
    <row r="619" spans="1:10" x14ac:dyDescent="0.25">
      <c r="A619" s="12" t="s">
        <v>11989</v>
      </c>
      <c r="B619" t="s">
        <v>12249</v>
      </c>
      <c r="H619">
        <v>103702</v>
      </c>
      <c r="I619" t="s">
        <v>12635</v>
      </c>
      <c r="J619" t="str">
        <f t="shared" si="9"/>
        <v>ia.assorted_string like '%103702-00093-12-2024%' or</v>
      </c>
    </row>
    <row r="620" spans="1:10" x14ac:dyDescent="0.25">
      <c r="A620" s="12" t="s">
        <v>11990</v>
      </c>
      <c r="B620" t="s">
        <v>12249</v>
      </c>
      <c r="H620">
        <v>103702</v>
      </c>
      <c r="I620" t="s">
        <v>12302</v>
      </c>
      <c r="J620" t="str">
        <f t="shared" si="9"/>
        <v>ia.assorted_string like '%103702-00076-12-2024%' or</v>
      </c>
    </row>
    <row r="621" spans="1:10" x14ac:dyDescent="0.25">
      <c r="A621" s="12" t="s">
        <v>11991</v>
      </c>
      <c r="B621" t="s">
        <v>12249</v>
      </c>
      <c r="H621">
        <v>103702</v>
      </c>
      <c r="I621" t="s">
        <v>12310</v>
      </c>
      <c r="J621" t="str">
        <f t="shared" si="9"/>
        <v>ia.assorted_string like '%103702-00088-12-2024%' or</v>
      </c>
    </row>
    <row r="622" spans="1:10" x14ac:dyDescent="0.25">
      <c r="A622" s="12" t="s">
        <v>11992</v>
      </c>
      <c r="B622" t="s">
        <v>12249</v>
      </c>
      <c r="H622">
        <v>103702</v>
      </c>
      <c r="I622" t="s">
        <v>12308</v>
      </c>
      <c r="J622" t="str">
        <f t="shared" si="9"/>
        <v>ia.assorted_string like '%103702-00086-12-2024%' or</v>
      </c>
    </row>
    <row r="623" spans="1:10" x14ac:dyDescent="0.25">
      <c r="A623" s="12" t="s">
        <v>11993</v>
      </c>
      <c r="B623" t="s">
        <v>12249</v>
      </c>
      <c r="H623">
        <v>103702</v>
      </c>
      <c r="I623" t="s">
        <v>12307</v>
      </c>
      <c r="J623" t="str">
        <f t="shared" si="9"/>
        <v>ia.assorted_string like '%103702-00085-12-2024%' or</v>
      </c>
    </row>
    <row r="624" spans="1:10" x14ac:dyDescent="0.25">
      <c r="A624" s="12" t="s">
        <v>11994</v>
      </c>
      <c r="B624" t="s">
        <v>12249</v>
      </c>
      <c r="H624">
        <v>103702</v>
      </c>
      <c r="I624" t="s">
        <v>12639</v>
      </c>
      <c r="J624" t="str">
        <f t="shared" si="9"/>
        <v>ia.assorted_string like '%103702-00082-12-2024%' or</v>
      </c>
    </row>
  </sheetData>
  <autoFilter ref="H1:H624" xr:uid="{1DA1CBC9-5481-4C32-83B9-C07670345F3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DB98-7468-4D7D-ABEB-016420310D16}">
  <dimension ref="A1:C623"/>
  <sheetViews>
    <sheetView topLeftCell="A567" workbookViewId="0">
      <selection activeCell="E590" sqref="E590"/>
    </sheetView>
  </sheetViews>
  <sheetFormatPr defaultColWidth="7.85546875" defaultRowHeight="15" x14ac:dyDescent="0.25"/>
  <cols>
    <col min="1" max="1" width="4" bestFit="1" customWidth="1"/>
    <col min="2" max="2" width="44.28515625" bestFit="1" customWidth="1"/>
    <col min="3" max="3" width="15" bestFit="1" customWidth="1"/>
  </cols>
  <sheetData>
    <row r="1" spans="1:3" s="21" customFormat="1" ht="12" x14ac:dyDescent="0.2">
      <c r="A1" s="21" t="s">
        <v>12669</v>
      </c>
      <c r="B1" s="21" t="s">
        <v>12670</v>
      </c>
      <c r="C1" s="21" t="s">
        <v>12671</v>
      </c>
    </row>
    <row r="2" spans="1:3" x14ac:dyDescent="0.25">
      <c r="A2">
        <v>1</v>
      </c>
      <c r="B2" t="s">
        <v>11679</v>
      </c>
      <c r="C2" t="s">
        <v>12672</v>
      </c>
    </row>
    <row r="3" spans="1:3" x14ac:dyDescent="0.25">
      <c r="A3">
        <v>2</v>
      </c>
      <c r="B3" t="s">
        <v>11680</v>
      </c>
      <c r="C3" t="s">
        <v>12673</v>
      </c>
    </row>
    <row r="4" spans="1:3" x14ac:dyDescent="0.25">
      <c r="A4">
        <v>3</v>
      </c>
      <c r="B4" t="s">
        <v>11682</v>
      </c>
      <c r="C4" t="s">
        <v>12674</v>
      </c>
    </row>
    <row r="5" spans="1:3" x14ac:dyDescent="0.25">
      <c r="A5">
        <v>4</v>
      </c>
      <c r="B5" t="s">
        <v>11683</v>
      </c>
      <c r="C5" t="s">
        <v>12675</v>
      </c>
    </row>
    <row r="6" spans="1:3" x14ac:dyDescent="0.25">
      <c r="A6">
        <v>5</v>
      </c>
      <c r="B6" t="s">
        <v>11687</v>
      </c>
      <c r="C6" t="s">
        <v>12676</v>
      </c>
    </row>
    <row r="7" spans="1:3" x14ac:dyDescent="0.25">
      <c r="A7">
        <v>6</v>
      </c>
      <c r="B7" t="s">
        <v>11688</v>
      </c>
      <c r="C7" t="s">
        <v>12677</v>
      </c>
    </row>
    <row r="8" spans="1:3" x14ac:dyDescent="0.25">
      <c r="A8">
        <v>7</v>
      </c>
      <c r="B8" t="s">
        <v>11689</v>
      </c>
      <c r="C8" t="s">
        <v>12678</v>
      </c>
    </row>
    <row r="9" spans="1:3" x14ac:dyDescent="0.25">
      <c r="A9">
        <v>8</v>
      </c>
      <c r="B9" t="s">
        <v>11691</v>
      </c>
      <c r="C9" t="s">
        <v>12679</v>
      </c>
    </row>
    <row r="10" spans="1:3" x14ac:dyDescent="0.25">
      <c r="A10">
        <v>9</v>
      </c>
      <c r="B10" t="s">
        <v>11664</v>
      </c>
      <c r="C10" t="s">
        <v>12680</v>
      </c>
    </row>
    <row r="11" spans="1:3" x14ac:dyDescent="0.25">
      <c r="A11">
        <v>10</v>
      </c>
      <c r="B11" t="s">
        <v>11668</v>
      </c>
      <c r="C11" t="s">
        <v>12681</v>
      </c>
    </row>
    <row r="12" spans="1:3" x14ac:dyDescent="0.25">
      <c r="A12">
        <v>11</v>
      </c>
      <c r="B12" t="s">
        <v>11669</v>
      </c>
      <c r="C12" t="s">
        <v>12682</v>
      </c>
    </row>
    <row r="13" spans="1:3" x14ac:dyDescent="0.25">
      <c r="A13">
        <v>12</v>
      </c>
      <c r="B13" t="s">
        <v>11670</v>
      </c>
      <c r="C13" t="s">
        <v>12683</v>
      </c>
    </row>
    <row r="14" spans="1:3" x14ac:dyDescent="0.25">
      <c r="A14">
        <v>13</v>
      </c>
      <c r="B14" t="s">
        <v>11671</v>
      </c>
      <c r="C14" t="s">
        <v>12684</v>
      </c>
    </row>
    <row r="15" spans="1:3" x14ac:dyDescent="0.25">
      <c r="A15">
        <v>14</v>
      </c>
      <c r="B15" t="s">
        <v>11673</v>
      </c>
      <c r="C15" t="s">
        <v>12685</v>
      </c>
    </row>
    <row r="16" spans="1:3" x14ac:dyDescent="0.25">
      <c r="A16">
        <v>15</v>
      </c>
      <c r="B16" t="s">
        <v>11674</v>
      </c>
      <c r="C16" t="s">
        <v>12686</v>
      </c>
    </row>
    <row r="17" spans="1:3" x14ac:dyDescent="0.25">
      <c r="A17">
        <v>16</v>
      </c>
      <c r="B17" t="s">
        <v>11675</v>
      </c>
      <c r="C17" t="s">
        <v>12687</v>
      </c>
    </row>
    <row r="18" spans="1:3" x14ac:dyDescent="0.25">
      <c r="A18">
        <v>17</v>
      </c>
      <c r="B18" t="s">
        <v>11676</v>
      </c>
      <c r="C18" t="s">
        <v>12688</v>
      </c>
    </row>
    <row r="19" spans="1:3" x14ac:dyDescent="0.25">
      <c r="A19">
        <v>18</v>
      </c>
      <c r="B19" t="s">
        <v>11667</v>
      </c>
      <c r="C19" t="s">
        <v>12689</v>
      </c>
    </row>
    <row r="20" spans="1:3" x14ac:dyDescent="0.25">
      <c r="A20">
        <v>19</v>
      </c>
      <c r="B20" t="s">
        <v>11681</v>
      </c>
      <c r="C20" t="s">
        <v>12690</v>
      </c>
    </row>
    <row r="21" spans="1:3" x14ac:dyDescent="0.25">
      <c r="A21">
        <v>20</v>
      </c>
      <c r="B21" t="s">
        <v>11446</v>
      </c>
      <c r="C21" t="s">
        <v>12691</v>
      </c>
    </row>
    <row r="22" spans="1:3" x14ac:dyDescent="0.25">
      <c r="A22">
        <v>21</v>
      </c>
      <c r="B22" t="s">
        <v>11815</v>
      </c>
      <c r="C22" t="s">
        <v>12692</v>
      </c>
    </row>
    <row r="23" spans="1:3" x14ac:dyDescent="0.25">
      <c r="A23">
        <v>22</v>
      </c>
      <c r="B23" t="s">
        <v>11814</v>
      </c>
      <c r="C23" t="s">
        <v>12693</v>
      </c>
    </row>
    <row r="24" spans="1:3" x14ac:dyDescent="0.25">
      <c r="A24">
        <v>23</v>
      </c>
      <c r="B24" t="s">
        <v>11447</v>
      </c>
      <c r="C24" t="s">
        <v>12694</v>
      </c>
    </row>
    <row r="25" spans="1:3" x14ac:dyDescent="0.25">
      <c r="A25">
        <v>24</v>
      </c>
      <c r="B25" t="s">
        <v>11813</v>
      </c>
      <c r="C25" t="s">
        <v>12695</v>
      </c>
    </row>
    <row r="26" spans="1:3" x14ac:dyDescent="0.25">
      <c r="A26">
        <v>25</v>
      </c>
      <c r="B26" t="s">
        <v>11812</v>
      </c>
      <c r="C26" t="s">
        <v>12696</v>
      </c>
    </row>
    <row r="27" spans="1:3" x14ac:dyDescent="0.25">
      <c r="A27">
        <v>26</v>
      </c>
      <c r="B27" t="s">
        <v>11811</v>
      </c>
      <c r="C27" t="s">
        <v>12697</v>
      </c>
    </row>
    <row r="28" spans="1:3" x14ac:dyDescent="0.25">
      <c r="A28">
        <v>27</v>
      </c>
      <c r="B28" t="s">
        <v>11448</v>
      </c>
      <c r="C28" t="s">
        <v>12698</v>
      </c>
    </row>
    <row r="29" spans="1:3" x14ac:dyDescent="0.25">
      <c r="A29">
        <v>28</v>
      </c>
      <c r="B29" t="s">
        <v>11449</v>
      </c>
      <c r="C29" t="s">
        <v>12699</v>
      </c>
    </row>
    <row r="30" spans="1:3" x14ac:dyDescent="0.25">
      <c r="A30">
        <v>29</v>
      </c>
      <c r="B30" t="s">
        <v>11809</v>
      </c>
      <c r="C30" t="s">
        <v>12700</v>
      </c>
    </row>
    <row r="31" spans="1:3" x14ac:dyDescent="0.25">
      <c r="A31">
        <v>30</v>
      </c>
      <c r="B31" t="s">
        <v>11807</v>
      </c>
      <c r="C31" t="s">
        <v>12701</v>
      </c>
    </row>
    <row r="32" spans="1:3" x14ac:dyDescent="0.25">
      <c r="A32">
        <v>31</v>
      </c>
      <c r="B32" t="s">
        <v>11450</v>
      </c>
      <c r="C32" t="s">
        <v>12702</v>
      </c>
    </row>
    <row r="33" spans="1:3" x14ac:dyDescent="0.25">
      <c r="A33">
        <v>32</v>
      </c>
      <c r="B33" t="s">
        <v>11452</v>
      </c>
      <c r="C33" t="s">
        <v>12703</v>
      </c>
    </row>
    <row r="34" spans="1:3" x14ac:dyDescent="0.25">
      <c r="A34">
        <v>33</v>
      </c>
      <c r="B34" t="s">
        <v>11805</v>
      </c>
      <c r="C34" t="s">
        <v>12704</v>
      </c>
    </row>
    <row r="35" spans="1:3" x14ac:dyDescent="0.25">
      <c r="A35">
        <v>34</v>
      </c>
      <c r="B35" t="s">
        <v>11453</v>
      </c>
      <c r="C35" t="s">
        <v>12705</v>
      </c>
    </row>
    <row r="36" spans="1:3" x14ac:dyDescent="0.25">
      <c r="A36">
        <v>35</v>
      </c>
      <c r="B36" t="s">
        <v>11802</v>
      </c>
      <c r="C36" t="s">
        <v>12706</v>
      </c>
    </row>
    <row r="37" spans="1:3" x14ac:dyDescent="0.25">
      <c r="A37">
        <v>36</v>
      </c>
      <c r="B37" t="s">
        <v>11800</v>
      </c>
      <c r="C37" t="s">
        <v>12707</v>
      </c>
    </row>
    <row r="38" spans="1:3" x14ac:dyDescent="0.25">
      <c r="A38">
        <v>37</v>
      </c>
      <c r="B38" t="s">
        <v>11454</v>
      </c>
      <c r="C38" t="s">
        <v>12708</v>
      </c>
    </row>
    <row r="39" spans="1:3" x14ac:dyDescent="0.25">
      <c r="A39">
        <v>38</v>
      </c>
      <c r="B39" t="s">
        <v>11798</v>
      </c>
      <c r="C39" t="s">
        <v>12709</v>
      </c>
    </row>
    <row r="40" spans="1:3" x14ac:dyDescent="0.25">
      <c r="A40">
        <v>39</v>
      </c>
      <c r="B40" t="s">
        <v>11792</v>
      </c>
      <c r="C40" t="s">
        <v>12710</v>
      </c>
    </row>
    <row r="41" spans="1:3" x14ac:dyDescent="0.25">
      <c r="A41">
        <v>40</v>
      </c>
      <c r="B41" t="s">
        <v>11455</v>
      </c>
      <c r="C41" t="s">
        <v>12711</v>
      </c>
    </row>
    <row r="42" spans="1:3" x14ac:dyDescent="0.25">
      <c r="A42">
        <v>41</v>
      </c>
      <c r="B42" t="s">
        <v>11420</v>
      </c>
      <c r="C42" t="s">
        <v>12712</v>
      </c>
    </row>
    <row r="43" spans="1:3" x14ac:dyDescent="0.25">
      <c r="A43">
        <v>42</v>
      </c>
      <c r="B43" t="s">
        <v>11456</v>
      </c>
      <c r="C43" t="s">
        <v>12713</v>
      </c>
    </row>
    <row r="44" spans="1:3" x14ac:dyDescent="0.25">
      <c r="A44">
        <v>43</v>
      </c>
      <c r="B44" t="s">
        <v>11791</v>
      </c>
      <c r="C44" t="s">
        <v>12714</v>
      </c>
    </row>
    <row r="45" spans="1:3" x14ac:dyDescent="0.25">
      <c r="A45">
        <v>44</v>
      </c>
      <c r="B45" t="s">
        <v>11790</v>
      </c>
      <c r="C45" t="s">
        <v>12715</v>
      </c>
    </row>
    <row r="46" spans="1:3" x14ac:dyDescent="0.25">
      <c r="A46">
        <v>45</v>
      </c>
      <c r="B46" t="s">
        <v>11457</v>
      </c>
      <c r="C46" t="s">
        <v>12716</v>
      </c>
    </row>
    <row r="47" spans="1:3" x14ac:dyDescent="0.25">
      <c r="A47">
        <v>46</v>
      </c>
      <c r="B47" t="s">
        <v>11458</v>
      </c>
      <c r="C47" t="s">
        <v>12717</v>
      </c>
    </row>
    <row r="48" spans="1:3" x14ac:dyDescent="0.25">
      <c r="A48">
        <v>47</v>
      </c>
      <c r="B48" t="s">
        <v>11789</v>
      </c>
      <c r="C48" t="s">
        <v>12718</v>
      </c>
    </row>
    <row r="49" spans="1:3" x14ac:dyDescent="0.25">
      <c r="A49">
        <v>48</v>
      </c>
      <c r="B49" t="s">
        <v>11788</v>
      </c>
      <c r="C49" t="s">
        <v>12719</v>
      </c>
    </row>
    <row r="50" spans="1:3" x14ac:dyDescent="0.25">
      <c r="A50">
        <v>49</v>
      </c>
      <c r="B50" t="s">
        <v>11786</v>
      </c>
      <c r="C50" t="s">
        <v>12720</v>
      </c>
    </row>
    <row r="51" spans="1:3" x14ac:dyDescent="0.25">
      <c r="A51">
        <v>50</v>
      </c>
      <c r="B51" t="s">
        <v>11785</v>
      </c>
      <c r="C51" t="s">
        <v>12721</v>
      </c>
    </row>
    <row r="52" spans="1:3" x14ac:dyDescent="0.25">
      <c r="A52">
        <v>51</v>
      </c>
      <c r="B52" t="s">
        <v>11784</v>
      </c>
      <c r="C52" t="s">
        <v>12722</v>
      </c>
    </row>
    <row r="53" spans="1:3" x14ac:dyDescent="0.25">
      <c r="A53">
        <v>52</v>
      </c>
      <c r="B53" t="s">
        <v>11783</v>
      </c>
      <c r="C53" t="s">
        <v>12723</v>
      </c>
    </row>
    <row r="54" spans="1:3" x14ac:dyDescent="0.25">
      <c r="A54">
        <v>53</v>
      </c>
      <c r="B54" t="s">
        <v>11782</v>
      </c>
      <c r="C54" t="s">
        <v>12724</v>
      </c>
    </row>
    <row r="55" spans="1:3" x14ac:dyDescent="0.25">
      <c r="A55">
        <v>54</v>
      </c>
      <c r="B55" t="s">
        <v>11780</v>
      </c>
      <c r="C55" t="s">
        <v>12725</v>
      </c>
    </row>
    <row r="56" spans="1:3" x14ac:dyDescent="0.25">
      <c r="A56">
        <v>55</v>
      </c>
      <c r="B56" t="s">
        <v>11778</v>
      </c>
      <c r="C56" t="s">
        <v>12726</v>
      </c>
    </row>
    <row r="57" spans="1:3" x14ac:dyDescent="0.25">
      <c r="A57">
        <v>56</v>
      </c>
      <c r="B57" t="s">
        <v>11460</v>
      </c>
      <c r="C57" t="s">
        <v>12727</v>
      </c>
    </row>
    <row r="58" spans="1:3" x14ac:dyDescent="0.25">
      <c r="A58">
        <v>57</v>
      </c>
      <c r="B58" t="s">
        <v>11777</v>
      </c>
      <c r="C58" t="s">
        <v>12728</v>
      </c>
    </row>
    <row r="59" spans="1:3" x14ac:dyDescent="0.25">
      <c r="A59">
        <v>58</v>
      </c>
      <c r="B59" t="s">
        <v>11776</v>
      </c>
      <c r="C59" t="s">
        <v>12729</v>
      </c>
    </row>
    <row r="60" spans="1:3" x14ac:dyDescent="0.25">
      <c r="A60">
        <v>59</v>
      </c>
      <c r="B60" t="s">
        <v>11770</v>
      </c>
      <c r="C60" t="s">
        <v>12730</v>
      </c>
    </row>
    <row r="61" spans="1:3" x14ac:dyDescent="0.25">
      <c r="A61">
        <v>60</v>
      </c>
      <c r="B61" t="s">
        <v>11462</v>
      </c>
      <c r="C61" t="s">
        <v>12731</v>
      </c>
    </row>
    <row r="62" spans="1:3" x14ac:dyDescent="0.25">
      <c r="A62">
        <v>61</v>
      </c>
      <c r="B62" t="s">
        <v>11464</v>
      </c>
      <c r="C62" t="s">
        <v>12732</v>
      </c>
    </row>
    <row r="63" spans="1:3" x14ac:dyDescent="0.25">
      <c r="A63">
        <v>62</v>
      </c>
      <c r="B63" t="s">
        <v>11465</v>
      </c>
      <c r="C63" t="s">
        <v>12733</v>
      </c>
    </row>
    <row r="64" spans="1:3" x14ac:dyDescent="0.25">
      <c r="A64">
        <v>63</v>
      </c>
      <c r="B64" t="s">
        <v>11427</v>
      </c>
      <c r="C64" t="s">
        <v>12734</v>
      </c>
    </row>
    <row r="65" spans="1:3" x14ac:dyDescent="0.25">
      <c r="A65">
        <v>64</v>
      </c>
      <c r="B65" t="s">
        <v>11874</v>
      </c>
      <c r="C65" t="s">
        <v>12735</v>
      </c>
    </row>
    <row r="66" spans="1:3" x14ac:dyDescent="0.25">
      <c r="A66">
        <v>65</v>
      </c>
      <c r="B66" t="s">
        <v>11434</v>
      </c>
      <c r="C66" t="s">
        <v>12736</v>
      </c>
    </row>
    <row r="67" spans="1:3" x14ac:dyDescent="0.25">
      <c r="A67">
        <v>66</v>
      </c>
      <c r="B67" t="s">
        <v>11824</v>
      </c>
      <c r="C67" t="s">
        <v>12737</v>
      </c>
    </row>
    <row r="68" spans="1:3" x14ac:dyDescent="0.25">
      <c r="A68">
        <v>67</v>
      </c>
      <c r="B68" t="s">
        <v>11438</v>
      </c>
      <c r="C68" t="s">
        <v>12738</v>
      </c>
    </row>
    <row r="69" spans="1:3" x14ac:dyDescent="0.25">
      <c r="A69">
        <v>68</v>
      </c>
      <c r="B69" t="s">
        <v>11821</v>
      </c>
      <c r="C69" t="s">
        <v>12739</v>
      </c>
    </row>
    <row r="70" spans="1:3" x14ac:dyDescent="0.25">
      <c r="A70">
        <v>69</v>
      </c>
      <c r="B70" t="s">
        <v>11441</v>
      </c>
      <c r="C70" t="s">
        <v>12740</v>
      </c>
    </row>
    <row r="71" spans="1:3" x14ac:dyDescent="0.25">
      <c r="A71">
        <v>70</v>
      </c>
      <c r="B71" t="s">
        <v>11443</v>
      </c>
      <c r="C71" t="s">
        <v>12741</v>
      </c>
    </row>
    <row r="72" spans="1:3" x14ac:dyDescent="0.25">
      <c r="A72">
        <v>71</v>
      </c>
      <c r="B72" t="s">
        <v>11810</v>
      </c>
      <c r="C72" t="s">
        <v>12742</v>
      </c>
    </row>
    <row r="73" spans="1:3" x14ac:dyDescent="0.25">
      <c r="A73">
        <v>72</v>
      </c>
      <c r="B73" t="s">
        <v>11808</v>
      </c>
      <c r="C73" t="s">
        <v>12743</v>
      </c>
    </row>
    <row r="74" spans="1:3" x14ac:dyDescent="0.25">
      <c r="A74">
        <v>73</v>
      </c>
      <c r="B74" t="s">
        <v>11451</v>
      </c>
      <c r="C74" t="s">
        <v>12744</v>
      </c>
    </row>
    <row r="75" spans="1:3" x14ac:dyDescent="0.25">
      <c r="A75">
        <v>74</v>
      </c>
      <c r="B75" t="s">
        <v>11766</v>
      </c>
      <c r="C75" t="s">
        <v>12745</v>
      </c>
    </row>
    <row r="76" spans="1:3" x14ac:dyDescent="0.25">
      <c r="A76">
        <v>75</v>
      </c>
      <c r="B76" t="s">
        <v>11466</v>
      </c>
      <c r="C76" t="s">
        <v>12746</v>
      </c>
    </row>
    <row r="77" spans="1:3" x14ac:dyDescent="0.25">
      <c r="A77">
        <v>76</v>
      </c>
      <c r="B77" t="s">
        <v>11467</v>
      </c>
      <c r="C77" t="s">
        <v>12747</v>
      </c>
    </row>
    <row r="78" spans="1:3" x14ac:dyDescent="0.25">
      <c r="A78">
        <v>77</v>
      </c>
      <c r="B78" t="s">
        <v>11765</v>
      </c>
      <c r="C78" t="s">
        <v>12748</v>
      </c>
    </row>
    <row r="79" spans="1:3" x14ac:dyDescent="0.25">
      <c r="A79">
        <v>78</v>
      </c>
      <c r="B79" t="s">
        <v>11468</v>
      </c>
      <c r="C79" t="s">
        <v>12749</v>
      </c>
    </row>
    <row r="80" spans="1:3" x14ac:dyDescent="0.25">
      <c r="A80">
        <v>79</v>
      </c>
      <c r="B80" t="s">
        <v>11469</v>
      </c>
      <c r="C80" t="s">
        <v>12750</v>
      </c>
    </row>
    <row r="81" spans="1:3" x14ac:dyDescent="0.25">
      <c r="A81">
        <v>80</v>
      </c>
      <c r="B81" t="s">
        <v>11470</v>
      </c>
      <c r="C81" t="s">
        <v>12751</v>
      </c>
    </row>
    <row r="82" spans="1:3" x14ac:dyDescent="0.25">
      <c r="A82">
        <v>81</v>
      </c>
      <c r="B82" t="s">
        <v>11472</v>
      </c>
      <c r="C82" t="s">
        <v>12752</v>
      </c>
    </row>
    <row r="83" spans="1:3" x14ac:dyDescent="0.25">
      <c r="A83">
        <v>82</v>
      </c>
      <c r="B83" t="s">
        <v>11759</v>
      </c>
      <c r="C83" t="s">
        <v>12753</v>
      </c>
    </row>
    <row r="84" spans="1:3" x14ac:dyDescent="0.25">
      <c r="A84">
        <v>83</v>
      </c>
      <c r="B84" t="s">
        <v>11474</v>
      </c>
      <c r="C84" t="s">
        <v>12754</v>
      </c>
    </row>
    <row r="85" spans="1:3" x14ac:dyDescent="0.25">
      <c r="A85">
        <v>84</v>
      </c>
      <c r="B85" t="s">
        <v>11475</v>
      </c>
      <c r="C85" t="s">
        <v>12755</v>
      </c>
    </row>
    <row r="86" spans="1:3" x14ac:dyDescent="0.25">
      <c r="A86">
        <v>85</v>
      </c>
      <c r="B86" t="s">
        <v>11755</v>
      </c>
      <c r="C86" t="s">
        <v>12756</v>
      </c>
    </row>
    <row r="87" spans="1:3" x14ac:dyDescent="0.25">
      <c r="A87">
        <v>86</v>
      </c>
      <c r="B87" t="s">
        <v>11476</v>
      </c>
      <c r="C87" t="s">
        <v>12757</v>
      </c>
    </row>
    <row r="88" spans="1:3" x14ac:dyDescent="0.25">
      <c r="A88">
        <v>87</v>
      </c>
      <c r="B88" t="s">
        <v>11477</v>
      </c>
      <c r="C88" t="s">
        <v>12758</v>
      </c>
    </row>
    <row r="89" spans="1:3" x14ac:dyDescent="0.25">
      <c r="A89">
        <v>88</v>
      </c>
      <c r="B89" t="s">
        <v>11742</v>
      </c>
      <c r="C89" t="s">
        <v>12759</v>
      </c>
    </row>
    <row r="90" spans="1:3" x14ac:dyDescent="0.25">
      <c r="A90">
        <v>89</v>
      </c>
      <c r="B90" t="s">
        <v>11480</v>
      </c>
      <c r="C90" t="s">
        <v>12760</v>
      </c>
    </row>
    <row r="91" spans="1:3" x14ac:dyDescent="0.25">
      <c r="A91">
        <v>90</v>
      </c>
      <c r="B91" t="s">
        <v>11481</v>
      </c>
      <c r="C91" t="s">
        <v>12761</v>
      </c>
    </row>
    <row r="92" spans="1:3" x14ac:dyDescent="0.25">
      <c r="A92">
        <v>91</v>
      </c>
      <c r="B92" t="s">
        <v>11735</v>
      </c>
      <c r="C92" t="s">
        <v>12762</v>
      </c>
    </row>
    <row r="93" spans="1:3" x14ac:dyDescent="0.25">
      <c r="A93">
        <v>92</v>
      </c>
      <c r="B93" t="s">
        <v>11803</v>
      </c>
      <c r="C93" t="s">
        <v>12763</v>
      </c>
    </row>
    <row r="94" spans="1:3" x14ac:dyDescent="0.25">
      <c r="A94">
        <v>93</v>
      </c>
      <c r="B94" t="s">
        <v>11799</v>
      </c>
      <c r="C94" t="s">
        <v>12764</v>
      </c>
    </row>
    <row r="95" spans="1:3" x14ac:dyDescent="0.25">
      <c r="A95">
        <v>94</v>
      </c>
      <c r="B95" t="s">
        <v>11794</v>
      </c>
      <c r="C95" t="s">
        <v>12765</v>
      </c>
    </row>
    <row r="96" spans="1:3" x14ac:dyDescent="0.25">
      <c r="A96">
        <v>95</v>
      </c>
      <c r="B96" t="s">
        <v>11787</v>
      </c>
      <c r="C96" t="s">
        <v>12766</v>
      </c>
    </row>
    <row r="97" spans="1:3" x14ac:dyDescent="0.25">
      <c r="A97">
        <v>96</v>
      </c>
      <c r="B97" t="s">
        <v>11459</v>
      </c>
      <c r="C97" t="s">
        <v>12767</v>
      </c>
    </row>
    <row r="98" spans="1:3" x14ac:dyDescent="0.25">
      <c r="A98">
        <v>97</v>
      </c>
      <c r="B98" t="s">
        <v>11781</v>
      </c>
      <c r="C98" t="s">
        <v>12768</v>
      </c>
    </row>
    <row r="99" spans="1:3" x14ac:dyDescent="0.25">
      <c r="A99">
        <v>98</v>
      </c>
      <c r="B99" t="s">
        <v>11461</v>
      </c>
      <c r="C99" t="s">
        <v>12769</v>
      </c>
    </row>
    <row r="100" spans="1:3" x14ac:dyDescent="0.25">
      <c r="A100">
        <v>99</v>
      </c>
      <c r="B100" t="s">
        <v>11773</v>
      </c>
      <c r="C100" t="s">
        <v>12770</v>
      </c>
    </row>
    <row r="101" spans="1:3" x14ac:dyDescent="0.25">
      <c r="A101">
        <v>100</v>
      </c>
      <c r="B101" t="s">
        <v>11463</v>
      </c>
      <c r="C101" t="s">
        <v>12771</v>
      </c>
    </row>
    <row r="102" spans="1:3" x14ac:dyDescent="0.25">
      <c r="A102">
        <v>101</v>
      </c>
      <c r="B102" t="s">
        <v>11764</v>
      </c>
      <c r="C102" t="s">
        <v>12772</v>
      </c>
    </row>
    <row r="103" spans="1:3" x14ac:dyDescent="0.25">
      <c r="A103">
        <v>102</v>
      </c>
      <c r="B103" t="s">
        <v>11473</v>
      </c>
      <c r="C103" t="s">
        <v>12773</v>
      </c>
    </row>
    <row r="104" spans="1:3" x14ac:dyDescent="0.25">
      <c r="A104">
        <v>103</v>
      </c>
      <c r="B104" t="s">
        <v>11756</v>
      </c>
      <c r="C104" t="s">
        <v>12774</v>
      </c>
    </row>
    <row r="105" spans="1:3" x14ac:dyDescent="0.25">
      <c r="A105">
        <v>104</v>
      </c>
      <c r="B105" t="s">
        <v>11478</v>
      </c>
      <c r="C105" t="s">
        <v>12775</v>
      </c>
    </row>
    <row r="106" spans="1:3" x14ac:dyDescent="0.25">
      <c r="A106">
        <v>105</v>
      </c>
      <c r="B106" t="s">
        <v>11479</v>
      </c>
      <c r="C106" t="s">
        <v>12776</v>
      </c>
    </row>
    <row r="107" spans="1:3" x14ac:dyDescent="0.25">
      <c r="A107">
        <v>106</v>
      </c>
      <c r="B107" t="s">
        <v>11738</v>
      </c>
      <c r="C107" t="s">
        <v>12777</v>
      </c>
    </row>
    <row r="108" spans="1:3" x14ac:dyDescent="0.25">
      <c r="A108">
        <v>107</v>
      </c>
      <c r="B108" t="s">
        <v>11728</v>
      </c>
      <c r="C108" t="s">
        <v>12778</v>
      </c>
    </row>
    <row r="109" spans="1:3" x14ac:dyDescent="0.25">
      <c r="A109">
        <v>108</v>
      </c>
      <c r="B109" t="s">
        <v>11599</v>
      </c>
      <c r="C109" t="s">
        <v>12779</v>
      </c>
    </row>
    <row r="110" spans="1:3" x14ac:dyDescent="0.25">
      <c r="A110">
        <v>109</v>
      </c>
      <c r="B110" t="s">
        <v>11596</v>
      </c>
      <c r="C110" t="s">
        <v>12780</v>
      </c>
    </row>
    <row r="111" spans="1:3" x14ac:dyDescent="0.25">
      <c r="A111">
        <v>110</v>
      </c>
      <c r="B111" t="s">
        <v>11594</v>
      </c>
      <c r="C111" t="s">
        <v>12781</v>
      </c>
    </row>
    <row r="112" spans="1:3" x14ac:dyDescent="0.25">
      <c r="A112">
        <v>111</v>
      </c>
      <c r="B112" t="s">
        <v>11483</v>
      </c>
      <c r="C112" t="s">
        <v>12782</v>
      </c>
    </row>
    <row r="113" spans="1:3" x14ac:dyDescent="0.25">
      <c r="A113">
        <v>112</v>
      </c>
      <c r="B113" t="s">
        <v>11734</v>
      </c>
      <c r="C113" t="s">
        <v>12783</v>
      </c>
    </row>
    <row r="114" spans="1:3" x14ac:dyDescent="0.25">
      <c r="A114">
        <v>113</v>
      </c>
      <c r="B114" t="s">
        <v>11733</v>
      </c>
      <c r="C114" t="s">
        <v>12784</v>
      </c>
    </row>
    <row r="115" spans="1:3" x14ac:dyDescent="0.25">
      <c r="A115">
        <v>114</v>
      </c>
      <c r="B115" t="s">
        <v>11732</v>
      </c>
      <c r="C115" t="s">
        <v>12785</v>
      </c>
    </row>
    <row r="116" spans="1:3" x14ac:dyDescent="0.25">
      <c r="A116">
        <v>115</v>
      </c>
      <c r="B116" t="s">
        <v>11731</v>
      </c>
      <c r="C116" t="s">
        <v>12786</v>
      </c>
    </row>
    <row r="117" spans="1:3" x14ac:dyDescent="0.25">
      <c r="A117">
        <v>116</v>
      </c>
      <c r="B117" t="s">
        <v>11484</v>
      </c>
      <c r="C117" t="s">
        <v>12787</v>
      </c>
    </row>
    <row r="118" spans="1:3" x14ac:dyDescent="0.25">
      <c r="A118">
        <v>117</v>
      </c>
      <c r="B118" t="s">
        <v>11730</v>
      </c>
      <c r="C118" t="s">
        <v>12788</v>
      </c>
    </row>
    <row r="119" spans="1:3" x14ac:dyDescent="0.25">
      <c r="A119">
        <v>118</v>
      </c>
      <c r="B119" t="s">
        <v>11726</v>
      </c>
      <c r="C119" t="s">
        <v>12789</v>
      </c>
    </row>
    <row r="120" spans="1:3" x14ac:dyDescent="0.25">
      <c r="A120">
        <v>119</v>
      </c>
      <c r="B120" t="s">
        <v>11725</v>
      </c>
      <c r="C120" t="s">
        <v>12790</v>
      </c>
    </row>
    <row r="121" spans="1:3" x14ac:dyDescent="0.25">
      <c r="A121">
        <v>120</v>
      </c>
      <c r="B121" t="s">
        <v>11485</v>
      </c>
      <c r="C121" t="s">
        <v>12791</v>
      </c>
    </row>
    <row r="122" spans="1:3" x14ac:dyDescent="0.25">
      <c r="A122">
        <v>121</v>
      </c>
      <c r="B122" t="s">
        <v>11486</v>
      </c>
      <c r="C122" t="s">
        <v>12792</v>
      </c>
    </row>
    <row r="123" spans="1:3" x14ac:dyDescent="0.25">
      <c r="A123">
        <v>122</v>
      </c>
      <c r="B123" t="s">
        <v>11487</v>
      </c>
      <c r="C123" t="s">
        <v>12793</v>
      </c>
    </row>
    <row r="124" spans="1:3" x14ac:dyDescent="0.25">
      <c r="A124">
        <v>123</v>
      </c>
      <c r="B124" t="s">
        <v>11724</v>
      </c>
      <c r="C124" t="s">
        <v>12794</v>
      </c>
    </row>
    <row r="125" spans="1:3" x14ac:dyDescent="0.25">
      <c r="A125">
        <v>124</v>
      </c>
      <c r="B125" t="s">
        <v>11723</v>
      </c>
      <c r="C125" t="s">
        <v>12795</v>
      </c>
    </row>
    <row r="126" spans="1:3" x14ac:dyDescent="0.25">
      <c r="A126">
        <v>125</v>
      </c>
      <c r="B126" t="s">
        <v>11722</v>
      </c>
      <c r="C126" t="s">
        <v>12796</v>
      </c>
    </row>
    <row r="127" spans="1:3" x14ac:dyDescent="0.25">
      <c r="A127">
        <v>126</v>
      </c>
      <c r="B127" t="s">
        <v>11721</v>
      </c>
      <c r="C127" t="s">
        <v>12797</v>
      </c>
    </row>
    <row r="128" spans="1:3" x14ac:dyDescent="0.25">
      <c r="A128">
        <v>127</v>
      </c>
      <c r="B128" t="s">
        <v>11719</v>
      </c>
      <c r="C128" t="s">
        <v>12798</v>
      </c>
    </row>
    <row r="129" spans="1:3" x14ac:dyDescent="0.25">
      <c r="A129">
        <v>128</v>
      </c>
      <c r="B129" t="s">
        <v>11489</v>
      </c>
      <c r="C129" t="s">
        <v>12799</v>
      </c>
    </row>
    <row r="130" spans="1:3" x14ac:dyDescent="0.25">
      <c r="A130">
        <v>129</v>
      </c>
      <c r="B130" t="s">
        <v>11718</v>
      </c>
      <c r="C130" t="s">
        <v>12800</v>
      </c>
    </row>
    <row r="131" spans="1:3" x14ac:dyDescent="0.25">
      <c r="A131">
        <v>130</v>
      </c>
      <c r="B131" t="s">
        <v>11491</v>
      </c>
      <c r="C131" t="s">
        <v>12801</v>
      </c>
    </row>
    <row r="132" spans="1:3" x14ac:dyDescent="0.25">
      <c r="A132">
        <v>131</v>
      </c>
      <c r="B132" t="s">
        <v>11488</v>
      </c>
      <c r="C132" t="s">
        <v>12802</v>
      </c>
    </row>
    <row r="133" spans="1:3" x14ac:dyDescent="0.25">
      <c r="A133">
        <v>132</v>
      </c>
      <c r="B133" t="s">
        <v>11720</v>
      </c>
      <c r="C133" t="s">
        <v>12803</v>
      </c>
    </row>
    <row r="134" spans="1:3" x14ac:dyDescent="0.25">
      <c r="A134">
        <v>133</v>
      </c>
      <c r="B134" t="s">
        <v>11490</v>
      </c>
      <c r="C134" t="s">
        <v>12804</v>
      </c>
    </row>
    <row r="135" spans="1:3" x14ac:dyDescent="0.25">
      <c r="A135">
        <v>134</v>
      </c>
      <c r="B135" t="s">
        <v>11715</v>
      </c>
      <c r="C135" t="s">
        <v>12805</v>
      </c>
    </row>
    <row r="136" spans="1:3" x14ac:dyDescent="0.25">
      <c r="A136">
        <v>135</v>
      </c>
      <c r="B136" t="s">
        <v>11498</v>
      </c>
      <c r="C136" t="s">
        <v>12806</v>
      </c>
    </row>
    <row r="137" spans="1:3" x14ac:dyDescent="0.25">
      <c r="A137">
        <v>136</v>
      </c>
      <c r="B137" t="s">
        <v>11501</v>
      </c>
      <c r="C137" t="s">
        <v>12807</v>
      </c>
    </row>
    <row r="138" spans="1:3" x14ac:dyDescent="0.25">
      <c r="A138">
        <v>137</v>
      </c>
      <c r="B138" t="s">
        <v>11709</v>
      </c>
      <c r="C138" t="s">
        <v>12808</v>
      </c>
    </row>
    <row r="139" spans="1:3" x14ac:dyDescent="0.25">
      <c r="A139">
        <v>138</v>
      </c>
      <c r="B139" t="s">
        <v>11503</v>
      </c>
      <c r="C139" t="s">
        <v>12809</v>
      </c>
    </row>
    <row r="140" spans="1:3" x14ac:dyDescent="0.25">
      <c r="A140">
        <v>139</v>
      </c>
      <c r="B140" t="s">
        <v>11695</v>
      </c>
      <c r="C140" t="s">
        <v>12810</v>
      </c>
    </row>
    <row r="141" spans="1:3" x14ac:dyDescent="0.25">
      <c r="A141">
        <v>140</v>
      </c>
      <c r="B141" t="s">
        <v>11505</v>
      </c>
      <c r="C141" t="s">
        <v>12811</v>
      </c>
    </row>
    <row r="142" spans="1:3" x14ac:dyDescent="0.25">
      <c r="A142">
        <v>141</v>
      </c>
      <c r="B142" t="s">
        <v>11506</v>
      </c>
      <c r="C142" t="s">
        <v>12812</v>
      </c>
    </row>
    <row r="143" spans="1:3" x14ac:dyDescent="0.25">
      <c r="A143">
        <v>142</v>
      </c>
      <c r="B143" t="s">
        <v>11662</v>
      </c>
      <c r="C143" t="s">
        <v>12813</v>
      </c>
    </row>
    <row r="144" spans="1:3" x14ac:dyDescent="0.25">
      <c r="A144">
        <v>143</v>
      </c>
      <c r="B144" t="s">
        <v>11660</v>
      </c>
      <c r="C144" t="s">
        <v>12814</v>
      </c>
    </row>
    <row r="145" spans="1:3" x14ac:dyDescent="0.25">
      <c r="A145">
        <v>144</v>
      </c>
      <c r="B145" t="s">
        <v>11657</v>
      </c>
      <c r="C145" t="s">
        <v>12815</v>
      </c>
    </row>
    <row r="146" spans="1:3" x14ac:dyDescent="0.25">
      <c r="A146">
        <v>145</v>
      </c>
      <c r="B146" t="s">
        <v>11512</v>
      </c>
      <c r="C146" t="s">
        <v>12816</v>
      </c>
    </row>
    <row r="147" spans="1:3" x14ac:dyDescent="0.25">
      <c r="A147">
        <v>146</v>
      </c>
      <c r="B147" t="s">
        <v>11650</v>
      </c>
      <c r="C147" t="s">
        <v>12817</v>
      </c>
    </row>
    <row r="148" spans="1:3" x14ac:dyDescent="0.25">
      <c r="A148">
        <v>147</v>
      </c>
      <c r="B148" t="s">
        <v>11518</v>
      </c>
      <c r="C148" t="s">
        <v>12818</v>
      </c>
    </row>
    <row r="149" spans="1:3" x14ac:dyDescent="0.25">
      <c r="A149">
        <v>148</v>
      </c>
      <c r="B149" t="s">
        <v>11553</v>
      </c>
      <c r="C149" t="s">
        <v>12819</v>
      </c>
    </row>
    <row r="150" spans="1:3" x14ac:dyDescent="0.25">
      <c r="A150">
        <v>149</v>
      </c>
      <c r="B150" t="s">
        <v>11589</v>
      </c>
      <c r="C150" t="s">
        <v>12820</v>
      </c>
    </row>
    <row r="151" spans="1:3" x14ac:dyDescent="0.25">
      <c r="A151">
        <v>150</v>
      </c>
      <c r="B151" t="s">
        <v>11562</v>
      </c>
      <c r="C151" t="s">
        <v>12821</v>
      </c>
    </row>
    <row r="152" spans="1:3" x14ac:dyDescent="0.25">
      <c r="A152">
        <v>151</v>
      </c>
      <c r="B152" t="s">
        <v>11563</v>
      </c>
      <c r="C152" t="s">
        <v>12822</v>
      </c>
    </row>
    <row r="153" spans="1:3" x14ac:dyDescent="0.25">
      <c r="A153">
        <v>152</v>
      </c>
      <c r="B153" t="s">
        <v>11583</v>
      </c>
      <c r="C153" t="s">
        <v>12823</v>
      </c>
    </row>
    <row r="154" spans="1:3" x14ac:dyDescent="0.25">
      <c r="A154">
        <v>153</v>
      </c>
      <c r="B154" t="s">
        <v>11566</v>
      </c>
      <c r="C154" t="s">
        <v>12824</v>
      </c>
    </row>
    <row r="155" spans="1:3" x14ac:dyDescent="0.25">
      <c r="A155">
        <v>154</v>
      </c>
      <c r="B155" t="s">
        <v>11569</v>
      </c>
      <c r="C155" t="s">
        <v>12825</v>
      </c>
    </row>
    <row r="156" spans="1:3" x14ac:dyDescent="0.25">
      <c r="A156">
        <v>155</v>
      </c>
      <c r="B156" t="s">
        <v>11572</v>
      </c>
      <c r="C156" t="s">
        <v>12826</v>
      </c>
    </row>
    <row r="157" spans="1:3" x14ac:dyDescent="0.25">
      <c r="A157">
        <v>156</v>
      </c>
      <c r="B157" t="s">
        <v>11573</v>
      </c>
      <c r="C157" t="s">
        <v>12827</v>
      </c>
    </row>
    <row r="158" spans="1:3" x14ac:dyDescent="0.25">
      <c r="A158">
        <v>157</v>
      </c>
      <c r="B158" t="s">
        <v>11717</v>
      </c>
      <c r="C158" t="s">
        <v>12828</v>
      </c>
    </row>
    <row r="159" spans="1:3" x14ac:dyDescent="0.25">
      <c r="A159">
        <v>158</v>
      </c>
      <c r="B159" t="s">
        <v>11492</v>
      </c>
      <c r="C159" t="s">
        <v>12829</v>
      </c>
    </row>
    <row r="160" spans="1:3" x14ac:dyDescent="0.25">
      <c r="A160">
        <v>159</v>
      </c>
      <c r="B160" t="s">
        <v>11493</v>
      </c>
      <c r="C160" t="s">
        <v>12830</v>
      </c>
    </row>
    <row r="161" spans="1:3" x14ac:dyDescent="0.25">
      <c r="A161">
        <v>160</v>
      </c>
      <c r="B161" t="s">
        <v>11494</v>
      </c>
      <c r="C161" t="s">
        <v>12831</v>
      </c>
    </row>
    <row r="162" spans="1:3" x14ac:dyDescent="0.25">
      <c r="A162">
        <v>161</v>
      </c>
      <c r="B162" t="s">
        <v>11495</v>
      </c>
      <c r="C162" t="s">
        <v>12832</v>
      </c>
    </row>
    <row r="163" spans="1:3" x14ac:dyDescent="0.25">
      <c r="A163">
        <v>162</v>
      </c>
      <c r="B163" t="s">
        <v>11716</v>
      </c>
      <c r="C163" t="s">
        <v>12833</v>
      </c>
    </row>
    <row r="164" spans="1:3" x14ac:dyDescent="0.25">
      <c r="A164">
        <v>163</v>
      </c>
      <c r="B164" t="s">
        <v>11496</v>
      </c>
      <c r="C164" t="s">
        <v>12834</v>
      </c>
    </row>
    <row r="165" spans="1:3" x14ac:dyDescent="0.25">
      <c r="A165">
        <v>164</v>
      </c>
      <c r="B165" t="s">
        <v>11497</v>
      </c>
      <c r="C165" t="s">
        <v>12835</v>
      </c>
    </row>
    <row r="166" spans="1:3" x14ac:dyDescent="0.25">
      <c r="A166">
        <v>165</v>
      </c>
      <c r="B166" t="s">
        <v>11714</v>
      </c>
      <c r="C166" t="s">
        <v>12836</v>
      </c>
    </row>
    <row r="167" spans="1:3" x14ac:dyDescent="0.25">
      <c r="A167">
        <v>166</v>
      </c>
      <c r="B167" t="s">
        <v>11499</v>
      </c>
      <c r="C167" t="s">
        <v>12837</v>
      </c>
    </row>
    <row r="168" spans="1:3" x14ac:dyDescent="0.25">
      <c r="A168">
        <v>167</v>
      </c>
      <c r="B168" t="s">
        <v>11500</v>
      </c>
      <c r="C168" t="s">
        <v>12838</v>
      </c>
    </row>
    <row r="169" spans="1:3" x14ac:dyDescent="0.25">
      <c r="A169">
        <v>168</v>
      </c>
      <c r="B169" t="s">
        <v>11712</v>
      </c>
      <c r="C169" t="s">
        <v>12839</v>
      </c>
    </row>
    <row r="170" spans="1:3" x14ac:dyDescent="0.25">
      <c r="A170">
        <v>169</v>
      </c>
      <c r="B170" t="s">
        <v>11711</v>
      </c>
      <c r="C170" t="s">
        <v>12840</v>
      </c>
    </row>
    <row r="171" spans="1:3" x14ac:dyDescent="0.25">
      <c r="A171">
        <v>170</v>
      </c>
      <c r="B171" t="s">
        <v>11710</v>
      </c>
      <c r="C171" t="s">
        <v>12841</v>
      </c>
    </row>
    <row r="172" spans="1:3" x14ac:dyDescent="0.25">
      <c r="A172">
        <v>171</v>
      </c>
      <c r="B172" t="s">
        <v>11502</v>
      </c>
      <c r="C172" t="s">
        <v>12842</v>
      </c>
    </row>
    <row r="173" spans="1:3" x14ac:dyDescent="0.25">
      <c r="A173">
        <v>172</v>
      </c>
      <c r="B173" t="s">
        <v>11708</v>
      </c>
      <c r="C173" t="s">
        <v>12843</v>
      </c>
    </row>
    <row r="174" spans="1:3" x14ac:dyDescent="0.25">
      <c r="A174">
        <v>173</v>
      </c>
      <c r="B174" t="s">
        <v>11704</v>
      </c>
      <c r="C174" t="s">
        <v>12844</v>
      </c>
    </row>
    <row r="175" spans="1:3" x14ac:dyDescent="0.25">
      <c r="A175">
        <v>174</v>
      </c>
      <c r="B175" t="s">
        <v>11702</v>
      </c>
      <c r="C175" t="s">
        <v>12845</v>
      </c>
    </row>
    <row r="176" spans="1:3" x14ac:dyDescent="0.25">
      <c r="A176">
        <v>175</v>
      </c>
      <c r="B176" t="s">
        <v>11692</v>
      </c>
      <c r="C176" t="s">
        <v>12846</v>
      </c>
    </row>
    <row r="177" spans="1:3" x14ac:dyDescent="0.25">
      <c r="A177">
        <v>176</v>
      </c>
      <c r="B177" t="s">
        <v>11690</v>
      </c>
      <c r="C177" t="s">
        <v>12847</v>
      </c>
    </row>
    <row r="178" spans="1:3" x14ac:dyDescent="0.25">
      <c r="A178">
        <v>177</v>
      </c>
      <c r="B178" t="s">
        <v>11645</v>
      </c>
      <c r="C178" t="s">
        <v>12848</v>
      </c>
    </row>
    <row r="179" spans="1:3" x14ac:dyDescent="0.25">
      <c r="A179">
        <v>178</v>
      </c>
      <c r="B179" t="s">
        <v>11643</v>
      </c>
      <c r="C179" t="s">
        <v>12849</v>
      </c>
    </row>
    <row r="180" spans="1:3" x14ac:dyDescent="0.25">
      <c r="A180">
        <v>179</v>
      </c>
      <c r="B180" t="s">
        <v>11522</v>
      </c>
      <c r="C180" t="s">
        <v>12850</v>
      </c>
    </row>
    <row r="181" spans="1:3" x14ac:dyDescent="0.25">
      <c r="A181">
        <v>180</v>
      </c>
      <c r="B181" t="s">
        <v>11525</v>
      </c>
      <c r="C181" t="s">
        <v>12851</v>
      </c>
    </row>
    <row r="182" spans="1:3" x14ac:dyDescent="0.25">
      <c r="A182">
        <v>181</v>
      </c>
      <c r="B182" t="s">
        <v>11529</v>
      </c>
      <c r="C182" t="s">
        <v>12852</v>
      </c>
    </row>
    <row r="183" spans="1:3" x14ac:dyDescent="0.25">
      <c r="A183">
        <v>182</v>
      </c>
      <c r="B183" t="s">
        <v>11633</v>
      </c>
      <c r="C183" t="s">
        <v>12853</v>
      </c>
    </row>
    <row r="184" spans="1:3" x14ac:dyDescent="0.25">
      <c r="A184">
        <v>183</v>
      </c>
      <c r="B184" t="s">
        <v>11630</v>
      </c>
      <c r="C184" t="s">
        <v>12854</v>
      </c>
    </row>
    <row r="185" spans="1:3" x14ac:dyDescent="0.25">
      <c r="A185">
        <v>184</v>
      </c>
      <c r="B185" t="s">
        <v>11627</v>
      </c>
      <c r="C185" t="s">
        <v>12855</v>
      </c>
    </row>
    <row r="186" spans="1:3" x14ac:dyDescent="0.25">
      <c r="A186">
        <v>185</v>
      </c>
      <c r="B186" t="s">
        <v>11624</v>
      </c>
      <c r="C186" t="s">
        <v>12856</v>
      </c>
    </row>
    <row r="187" spans="1:3" x14ac:dyDescent="0.25">
      <c r="A187">
        <v>186</v>
      </c>
      <c r="B187" t="s">
        <v>11532</v>
      </c>
      <c r="C187" t="s">
        <v>12857</v>
      </c>
    </row>
    <row r="188" spans="1:3" x14ac:dyDescent="0.25">
      <c r="A188">
        <v>187</v>
      </c>
      <c r="B188" t="s">
        <v>11541</v>
      </c>
      <c r="C188" t="s">
        <v>12858</v>
      </c>
    </row>
    <row r="189" spans="1:3" x14ac:dyDescent="0.25">
      <c r="A189">
        <v>188</v>
      </c>
      <c r="B189" t="s">
        <v>11542</v>
      </c>
      <c r="C189" t="s">
        <v>12859</v>
      </c>
    </row>
    <row r="190" spans="1:3" x14ac:dyDescent="0.25">
      <c r="A190">
        <v>189</v>
      </c>
      <c r="B190" t="s">
        <v>11618</v>
      </c>
      <c r="C190" t="s">
        <v>12860</v>
      </c>
    </row>
    <row r="191" spans="1:3" x14ac:dyDescent="0.25">
      <c r="A191">
        <v>190</v>
      </c>
      <c r="B191" t="s">
        <v>11614</v>
      </c>
      <c r="C191" t="s">
        <v>12861</v>
      </c>
    </row>
    <row r="192" spans="1:3" x14ac:dyDescent="0.25">
      <c r="A192">
        <v>191</v>
      </c>
      <c r="B192" t="s">
        <v>11611</v>
      </c>
      <c r="C192" t="s">
        <v>12862</v>
      </c>
    </row>
    <row r="193" spans="1:3" x14ac:dyDescent="0.25">
      <c r="A193">
        <v>192</v>
      </c>
      <c r="B193" t="s">
        <v>11609</v>
      </c>
      <c r="C193" t="s">
        <v>12863</v>
      </c>
    </row>
    <row r="194" spans="1:3" x14ac:dyDescent="0.25">
      <c r="A194">
        <v>193</v>
      </c>
      <c r="B194" t="s">
        <v>11605</v>
      </c>
      <c r="C194" t="s">
        <v>12864</v>
      </c>
    </row>
    <row r="195" spans="1:3" x14ac:dyDescent="0.25">
      <c r="A195">
        <v>194</v>
      </c>
      <c r="B195" t="s">
        <v>11602</v>
      </c>
      <c r="C195" t="s">
        <v>12865</v>
      </c>
    </row>
    <row r="196" spans="1:3" x14ac:dyDescent="0.25">
      <c r="A196">
        <v>195</v>
      </c>
      <c r="B196" t="s">
        <v>11686</v>
      </c>
      <c r="C196" t="s">
        <v>12866</v>
      </c>
    </row>
    <row r="197" spans="1:3" x14ac:dyDescent="0.25">
      <c r="A197">
        <v>196</v>
      </c>
      <c r="B197" t="s">
        <v>11685</v>
      </c>
      <c r="C197" t="s">
        <v>12867</v>
      </c>
    </row>
    <row r="198" spans="1:3" x14ac:dyDescent="0.25">
      <c r="A198">
        <v>197</v>
      </c>
      <c r="B198" t="s">
        <v>11684</v>
      </c>
      <c r="C198" t="s">
        <v>12868</v>
      </c>
    </row>
    <row r="199" spans="1:3" x14ac:dyDescent="0.25">
      <c r="A199">
        <v>198</v>
      </c>
      <c r="B199" t="s">
        <v>11678</v>
      </c>
      <c r="C199" t="s">
        <v>12869</v>
      </c>
    </row>
    <row r="200" spans="1:3" x14ac:dyDescent="0.25">
      <c r="A200">
        <v>199</v>
      </c>
      <c r="B200" t="s">
        <v>11677</v>
      </c>
      <c r="C200" t="s">
        <v>12870</v>
      </c>
    </row>
    <row r="201" spans="1:3" x14ac:dyDescent="0.25">
      <c r="A201">
        <v>200</v>
      </c>
      <c r="B201" t="s">
        <v>11504</v>
      </c>
      <c r="C201" t="s">
        <v>12871</v>
      </c>
    </row>
    <row r="202" spans="1:3" x14ac:dyDescent="0.25">
      <c r="A202">
        <v>201</v>
      </c>
      <c r="B202" t="s">
        <v>11672</v>
      </c>
      <c r="C202" t="s">
        <v>12872</v>
      </c>
    </row>
    <row r="203" spans="1:3" x14ac:dyDescent="0.25">
      <c r="A203">
        <v>202</v>
      </c>
      <c r="B203" t="s">
        <v>11666</v>
      </c>
      <c r="C203" t="s">
        <v>12873</v>
      </c>
    </row>
    <row r="204" spans="1:3" x14ac:dyDescent="0.25">
      <c r="A204">
        <v>203</v>
      </c>
      <c r="B204" t="s">
        <v>11665</v>
      </c>
      <c r="C204" t="s">
        <v>12874</v>
      </c>
    </row>
    <row r="205" spans="1:3" x14ac:dyDescent="0.25">
      <c r="A205">
        <v>204</v>
      </c>
      <c r="B205" t="s">
        <v>11663</v>
      </c>
      <c r="C205" t="s">
        <v>12875</v>
      </c>
    </row>
    <row r="206" spans="1:3" x14ac:dyDescent="0.25">
      <c r="A206">
        <v>205</v>
      </c>
      <c r="B206" t="s">
        <v>11507</v>
      </c>
      <c r="C206" t="s">
        <v>12876</v>
      </c>
    </row>
    <row r="207" spans="1:3" x14ac:dyDescent="0.25">
      <c r="A207">
        <v>206</v>
      </c>
      <c r="B207" t="s">
        <v>11508</v>
      </c>
      <c r="C207" t="s">
        <v>12877</v>
      </c>
    </row>
    <row r="208" spans="1:3" x14ac:dyDescent="0.25">
      <c r="A208">
        <v>207</v>
      </c>
      <c r="B208" t="s">
        <v>11509</v>
      </c>
      <c r="C208" t="s">
        <v>12878</v>
      </c>
    </row>
    <row r="209" spans="1:3" x14ac:dyDescent="0.25">
      <c r="A209">
        <v>208</v>
      </c>
      <c r="B209" t="s">
        <v>11510</v>
      </c>
      <c r="C209" t="s">
        <v>12879</v>
      </c>
    </row>
    <row r="210" spans="1:3" x14ac:dyDescent="0.25">
      <c r="A210">
        <v>209</v>
      </c>
      <c r="B210" t="s">
        <v>11661</v>
      </c>
      <c r="C210" t="s">
        <v>12880</v>
      </c>
    </row>
    <row r="211" spans="1:3" x14ac:dyDescent="0.25">
      <c r="A211">
        <v>210</v>
      </c>
      <c r="B211" t="s">
        <v>11659</v>
      </c>
      <c r="C211" t="s">
        <v>12881</v>
      </c>
    </row>
    <row r="212" spans="1:3" x14ac:dyDescent="0.25">
      <c r="A212">
        <v>211</v>
      </c>
      <c r="B212" t="s">
        <v>11658</v>
      </c>
      <c r="C212" t="s">
        <v>12882</v>
      </c>
    </row>
    <row r="213" spans="1:3" x14ac:dyDescent="0.25">
      <c r="A213">
        <v>212</v>
      </c>
      <c r="B213" t="s">
        <v>11656</v>
      </c>
      <c r="C213" t="s">
        <v>12883</v>
      </c>
    </row>
    <row r="214" spans="1:3" x14ac:dyDescent="0.25">
      <c r="A214">
        <v>213</v>
      </c>
      <c r="B214" t="s">
        <v>11511</v>
      </c>
      <c r="C214" t="s">
        <v>12884</v>
      </c>
    </row>
    <row r="215" spans="1:3" x14ac:dyDescent="0.25">
      <c r="A215">
        <v>214</v>
      </c>
      <c r="B215" t="s">
        <v>11513</v>
      </c>
      <c r="C215" t="s">
        <v>12885</v>
      </c>
    </row>
    <row r="216" spans="1:3" x14ac:dyDescent="0.25">
      <c r="A216">
        <v>215</v>
      </c>
      <c r="B216" t="s">
        <v>11655</v>
      </c>
      <c r="C216" t="s">
        <v>12886</v>
      </c>
    </row>
    <row r="217" spans="1:3" x14ac:dyDescent="0.25">
      <c r="A217">
        <v>216</v>
      </c>
      <c r="B217" t="s">
        <v>11654</v>
      </c>
      <c r="C217" t="s">
        <v>12887</v>
      </c>
    </row>
    <row r="218" spans="1:3" x14ac:dyDescent="0.25">
      <c r="A218">
        <v>217</v>
      </c>
      <c r="B218" t="s">
        <v>11514</v>
      </c>
      <c r="C218" t="s">
        <v>12888</v>
      </c>
    </row>
    <row r="219" spans="1:3" x14ac:dyDescent="0.25">
      <c r="A219">
        <v>218</v>
      </c>
      <c r="B219" t="s">
        <v>11653</v>
      </c>
      <c r="C219" t="s">
        <v>12889</v>
      </c>
    </row>
    <row r="220" spans="1:3" x14ac:dyDescent="0.25">
      <c r="A220">
        <v>219</v>
      </c>
      <c r="B220" t="s">
        <v>11515</v>
      </c>
      <c r="C220" t="s">
        <v>12890</v>
      </c>
    </row>
    <row r="221" spans="1:3" x14ac:dyDescent="0.25">
      <c r="A221">
        <v>220</v>
      </c>
      <c r="B221" t="s">
        <v>11652</v>
      </c>
      <c r="C221" t="s">
        <v>12891</v>
      </c>
    </row>
    <row r="222" spans="1:3" x14ac:dyDescent="0.25">
      <c r="A222">
        <v>221</v>
      </c>
      <c r="B222" t="s">
        <v>11651</v>
      </c>
      <c r="C222" t="s">
        <v>12892</v>
      </c>
    </row>
    <row r="223" spans="1:3" x14ac:dyDescent="0.25">
      <c r="A223">
        <v>222</v>
      </c>
      <c r="B223" t="s">
        <v>11516</v>
      </c>
      <c r="C223" t="s">
        <v>12893</v>
      </c>
    </row>
    <row r="224" spans="1:3" x14ac:dyDescent="0.25">
      <c r="A224">
        <v>223</v>
      </c>
      <c r="B224" t="s">
        <v>11517</v>
      </c>
      <c r="C224" t="s">
        <v>12894</v>
      </c>
    </row>
    <row r="225" spans="1:3" x14ac:dyDescent="0.25">
      <c r="A225">
        <v>224</v>
      </c>
      <c r="B225" t="s">
        <v>11649</v>
      </c>
      <c r="C225" t="s">
        <v>12895</v>
      </c>
    </row>
    <row r="226" spans="1:3" x14ac:dyDescent="0.25">
      <c r="A226">
        <v>225</v>
      </c>
      <c r="B226" t="s">
        <v>11648</v>
      </c>
      <c r="C226" t="s">
        <v>12896</v>
      </c>
    </row>
    <row r="227" spans="1:3" x14ac:dyDescent="0.25">
      <c r="A227">
        <v>226</v>
      </c>
      <c r="B227" t="s">
        <v>11647</v>
      </c>
      <c r="C227" t="s">
        <v>12897</v>
      </c>
    </row>
    <row r="228" spans="1:3" x14ac:dyDescent="0.25">
      <c r="A228">
        <v>227</v>
      </c>
      <c r="B228" t="s">
        <v>11646</v>
      </c>
      <c r="C228" t="s">
        <v>12898</v>
      </c>
    </row>
    <row r="229" spans="1:3" x14ac:dyDescent="0.25">
      <c r="A229">
        <v>228</v>
      </c>
      <c r="B229" t="s">
        <v>11519</v>
      </c>
      <c r="C229" t="s">
        <v>12899</v>
      </c>
    </row>
    <row r="230" spans="1:3" x14ac:dyDescent="0.25">
      <c r="A230">
        <v>229</v>
      </c>
      <c r="B230" t="s">
        <v>11520</v>
      </c>
      <c r="C230" t="s">
        <v>12900</v>
      </c>
    </row>
    <row r="231" spans="1:3" x14ac:dyDescent="0.25">
      <c r="A231">
        <v>230</v>
      </c>
      <c r="B231" t="s">
        <v>11644</v>
      </c>
      <c r="C231" t="s">
        <v>12901</v>
      </c>
    </row>
    <row r="232" spans="1:3" x14ac:dyDescent="0.25">
      <c r="A232">
        <v>231</v>
      </c>
      <c r="B232" t="s">
        <v>11642</v>
      </c>
      <c r="C232" t="s">
        <v>12902</v>
      </c>
    </row>
    <row r="233" spans="1:3" x14ac:dyDescent="0.25">
      <c r="A233">
        <v>232</v>
      </c>
      <c r="B233" t="s">
        <v>11521</v>
      </c>
      <c r="C233" t="s">
        <v>12903</v>
      </c>
    </row>
    <row r="234" spans="1:3" x14ac:dyDescent="0.25">
      <c r="A234">
        <v>233</v>
      </c>
      <c r="B234" t="s">
        <v>11523</v>
      </c>
      <c r="C234" t="s">
        <v>12904</v>
      </c>
    </row>
    <row r="235" spans="1:3" x14ac:dyDescent="0.25">
      <c r="A235">
        <v>234</v>
      </c>
      <c r="B235" t="s">
        <v>11524</v>
      </c>
      <c r="C235" t="s">
        <v>12905</v>
      </c>
    </row>
    <row r="236" spans="1:3" x14ac:dyDescent="0.25">
      <c r="A236">
        <v>235</v>
      </c>
      <c r="B236" t="s">
        <v>11526</v>
      </c>
      <c r="C236" t="s">
        <v>12906</v>
      </c>
    </row>
    <row r="237" spans="1:3" x14ac:dyDescent="0.25">
      <c r="A237">
        <v>236</v>
      </c>
      <c r="B237" t="s">
        <v>11641</v>
      </c>
      <c r="C237" t="s">
        <v>12907</v>
      </c>
    </row>
    <row r="238" spans="1:3" x14ac:dyDescent="0.25">
      <c r="A238">
        <v>237</v>
      </c>
      <c r="B238" t="s">
        <v>11640</v>
      </c>
      <c r="C238" t="s">
        <v>12908</v>
      </c>
    </row>
    <row r="239" spans="1:3" x14ac:dyDescent="0.25">
      <c r="A239">
        <v>238</v>
      </c>
      <c r="B239" t="s">
        <v>11639</v>
      </c>
      <c r="C239" t="s">
        <v>12909</v>
      </c>
    </row>
    <row r="240" spans="1:3" x14ac:dyDescent="0.25">
      <c r="A240">
        <v>239</v>
      </c>
      <c r="B240" t="s">
        <v>11638</v>
      </c>
      <c r="C240" t="s">
        <v>12910</v>
      </c>
    </row>
    <row r="241" spans="1:3" x14ac:dyDescent="0.25">
      <c r="A241">
        <v>240</v>
      </c>
      <c r="B241" t="s">
        <v>11527</v>
      </c>
      <c r="C241" t="s">
        <v>12911</v>
      </c>
    </row>
    <row r="242" spans="1:3" x14ac:dyDescent="0.25">
      <c r="A242">
        <v>241</v>
      </c>
      <c r="B242" t="s">
        <v>11637</v>
      </c>
      <c r="C242" t="s">
        <v>12912</v>
      </c>
    </row>
    <row r="243" spans="1:3" x14ac:dyDescent="0.25">
      <c r="A243">
        <v>242</v>
      </c>
      <c r="B243" t="s">
        <v>11636</v>
      </c>
      <c r="C243" t="s">
        <v>12913</v>
      </c>
    </row>
    <row r="244" spans="1:3" x14ac:dyDescent="0.25">
      <c r="A244">
        <v>243</v>
      </c>
      <c r="B244" t="s">
        <v>11528</v>
      </c>
      <c r="C244" t="s">
        <v>12914</v>
      </c>
    </row>
    <row r="245" spans="1:3" x14ac:dyDescent="0.25">
      <c r="A245">
        <v>244</v>
      </c>
      <c r="B245" t="s">
        <v>11635</v>
      </c>
      <c r="C245" t="s">
        <v>12915</v>
      </c>
    </row>
    <row r="246" spans="1:3" x14ac:dyDescent="0.25">
      <c r="A246">
        <v>245</v>
      </c>
      <c r="B246" t="s">
        <v>11634</v>
      </c>
      <c r="C246" t="s">
        <v>12916</v>
      </c>
    </row>
    <row r="247" spans="1:3" x14ac:dyDescent="0.25">
      <c r="A247">
        <v>246</v>
      </c>
      <c r="B247" t="s">
        <v>11632</v>
      </c>
      <c r="C247" t="s">
        <v>12917</v>
      </c>
    </row>
    <row r="248" spans="1:3" x14ac:dyDescent="0.25">
      <c r="A248">
        <v>247</v>
      </c>
      <c r="B248" t="s">
        <v>11631</v>
      </c>
      <c r="C248" t="s">
        <v>12918</v>
      </c>
    </row>
    <row r="249" spans="1:3" x14ac:dyDescent="0.25">
      <c r="A249">
        <v>248</v>
      </c>
      <c r="B249" t="s">
        <v>11629</v>
      </c>
      <c r="C249" t="s">
        <v>12919</v>
      </c>
    </row>
    <row r="250" spans="1:3" x14ac:dyDescent="0.25">
      <c r="A250">
        <v>249</v>
      </c>
      <c r="B250" t="s">
        <v>11530</v>
      </c>
      <c r="C250" t="s">
        <v>12920</v>
      </c>
    </row>
    <row r="251" spans="1:3" x14ac:dyDescent="0.25">
      <c r="A251">
        <v>250</v>
      </c>
      <c r="B251" t="s">
        <v>11628</v>
      </c>
      <c r="C251" t="s">
        <v>12921</v>
      </c>
    </row>
    <row r="252" spans="1:3" x14ac:dyDescent="0.25">
      <c r="A252">
        <v>251</v>
      </c>
      <c r="B252" t="s">
        <v>11626</v>
      </c>
      <c r="C252" t="s">
        <v>12922</v>
      </c>
    </row>
    <row r="253" spans="1:3" x14ac:dyDescent="0.25">
      <c r="A253">
        <v>252</v>
      </c>
      <c r="B253" t="s">
        <v>11625</v>
      </c>
      <c r="C253" t="s">
        <v>12923</v>
      </c>
    </row>
    <row r="254" spans="1:3" x14ac:dyDescent="0.25">
      <c r="A254">
        <v>253</v>
      </c>
      <c r="B254" t="s">
        <v>11531</v>
      </c>
      <c r="C254" t="s">
        <v>12924</v>
      </c>
    </row>
    <row r="255" spans="1:3" x14ac:dyDescent="0.25">
      <c r="A255">
        <v>254</v>
      </c>
      <c r="B255" t="s">
        <v>11533</v>
      </c>
      <c r="C255" t="s">
        <v>12925</v>
      </c>
    </row>
    <row r="256" spans="1:3" x14ac:dyDescent="0.25">
      <c r="A256">
        <v>255</v>
      </c>
      <c r="B256" t="s">
        <v>11534</v>
      </c>
      <c r="C256" t="s">
        <v>12926</v>
      </c>
    </row>
    <row r="257" spans="1:3" x14ac:dyDescent="0.25">
      <c r="A257">
        <v>256</v>
      </c>
      <c r="B257" t="s">
        <v>11623</v>
      </c>
      <c r="C257" t="s">
        <v>12927</v>
      </c>
    </row>
    <row r="258" spans="1:3" x14ac:dyDescent="0.25">
      <c r="A258">
        <v>257</v>
      </c>
      <c r="B258" t="s">
        <v>11535</v>
      </c>
      <c r="C258" t="s">
        <v>12928</v>
      </c>
    </row>
    <row r="259" spans="1:3" x14ac:dyDescent="0.25">
      <c r="A259">
        <v>258</v>
      </c>
      <c r="B259" t="s">
        <v>11536</v>
      </c>
      <c r="C259" t="s">
        <v>12929</v>
      </c>
    </row>
    <row r="260" spans="1:3" x14ac:dyDescent="0.25">
      <c r="A260">
        <v>259</v>
      </c>
      <c r="B260" t="s">
        <v>11537</v>
      </c>
      <c r="C260" t="s">
        <v>12930</v>
      </c>
    </row>
    <row r="261" spans="1:3" x14ac:dyDescent="0.25">
      <c r="A261">
        <v>260</v>
      </c>
      <c r="B261" t="s">
        <v>11538</v>
      </c>
      <c r="C261" t="s">
        <v>12931</v>
      </c>
    </row>
    <row r="262" spans="1:3" x14ac:dyDescent="0.25">
      <c r="A262">
        <v>261</v>
      </c>
      <c r="B262" t="s">
        <v>11539</v>
      </c>
      <c r="C262" t="s">
        <v>12932</v>
      </c>
    </row>
    <row r="263" spans="1:3" x14ac:dyDescent="0.25">
      <c r="A263">
        <v>262</v>
      </c>
      <c r="B263" t="s">
        <v>11540</v>
      </c>
      <c r="C263" t="s">
        <v>12933</v>
      </c>
    </row>
    <row r="264" spans="1:3" x14ac:dyDescent="0.25">
      <c r="A264">
        <v>263</v>
      </c>
      <c r="B264" t="s">
        <v>11622</v>
      </c>
      <c r="C264" t="s">
        <v>12934</v>
      </c>
    </row>
    <row r="265" spans="1:3" x14ac:dyDescent="0.25">
      <c r="A265">
        <v>264</v>
      </c>
      <c r="B265" t="s">
        <v>11621</v>
      </c>
      <c r="C265" t="s">
        <v>12935</v>
      </c>
    </row>
    <row r="266" spans="1:3" x14ac:dyDescent="0.25">
      <c r="A266">
        <v>265</v>
      </c>
      <c r="B266" t="s">
        <v>11620</v>
      </c>
      <c r="C266" t="s">
        <v>12936</v>
      </c>
    </row>
    <row r="267" spans="1:3" x14ac:dyDescent="0.25">
      <c r="A267">
        <v>266</v>
      </c>
      <c r="B267" t="s">
        <v>11543</v>
      </c>
      <c r="C267" t="s">
        <v>12937</v>
      </c>
    </row>
    <row r="268" spans="1:3" x14ac:dyDescent="0.25">
      <c r="A268">
        <v>267</v>
      </c>
      <c r="B268" t="s">
        <v>11619</v>
      </c>
      <c r="C268" t="s">
        <v>12938</v>
      </c>
    </row>
    <row r="269" spans="1:3" x14ac:dyDescent="0.25">
      <c r="A269">
        <v>268</v>
      </c>
      <c r="B269" t="s">
        <v>11617</v>
      </c>
      <c r="C269" t="s">
        <v>12939</v>
      </c>
    </row>
    <row r="270" spans="1:3" x14ac:dyDescent="0.25">
      <c r="A270">
        <v>269</v>
      </c>
      <c r="B270" t="s">
        <v>11616</v>
      </c>
      <c r="C270" t="s">
        <v>12940</v>
      </c>
    </row>
    <row r="271" spans="1:3" x14ac:dyDescent="0.25">
      <c r="A271">
        <v>270</v>
      </c>
      <c r="B271" t="s">
        <v>11615</v>
      </c>
      <c r="C271" t="s">
        <v>12941</v>
      </c>
    </row>
    <row r="272" spans="1:3" x14ac:dyDescent="0.25">
      <c r="A272">
        <v>271</v>
      </c>
      <c r="B272" t="s">
        <v>11613</v>
      </c>
      <c r="C272" t="s">
        <v>12942</v>
      </c>
    </row>
    <row r="273" spans="1:3" x14ac:dyDescent="0.25">
      <c r="A273">
        <v>272</v>
      </c>
      <c r="B273" t="s">
        <v>11612</v>
      </c>
      <c r="C273" t="s">
        <v>12943</v>
      </c>
    </row>
    <row r="274" spans="1:3" x14ac:dyDescent="0.25">
      <c r="A274">
        <v>273</v>
      </c>
      <c r="B274" t="s">
        <v>11544</v>
      </c>
      <c r="C274" t="s">
        <v>12944</v>
      </c>
    </row>
    <row r="275" spans="1:3" x14ac:dyDescent="0.25">
      <c r="A275">
        <v>274</v>
      </c>
      <c r="B275" t="s">
        <v>11610</v>
      </c>
      <c r="C275" t="s">
        <v>12945</v>
      </c>
    </row>
    <row r="276" spans="1:3" x14ac:dyDescent="0.25">
      <c r="A276">
        <v>275</v>
      </c>
      <c r="B276" t="s">
        <v>11545</v>
      </c>
      <c r="C276" t="s">
        <v>12946</v>
      </c>
    </row>
    <row r="277" spans="1:3" x14ac:dyDescent="0.25">
      <c r="A277">
        <v>276</v>
      </c>
      <c r="B277" t="s">
        <v>11546</v>
      </c>
      <c r="C277" t="s">
        <v>12947</v>
      </c>
    </row>
    <row r="278" spans="1:3" x14ac:dyDescent="0.25">
      <c r="A278">
        <v>277</v>
      </c>
      <c r="B278" t="s">
        <v>11608</v>
      </c>
      <c r="C278" t="s">
        <v>12948</v>
      </c>
    </row>
    <row r="279" spans="1:3" x14ac:dyDescent="0.25">
      <c r="A279">
        <v>278</v>
      </c>
      <c r="B279" t="s">
        <v>11607</v>
      </c>
      <c r="C279" t="s">
        <v>12949</v>
      </c>
    </row>
    <row r="280" spans="1:3" x14ac:dyDescent="0.25">
      <c r="A280">
        <v>279</v>
      </c>
      <c r="B280" t="s">
        <v>11547</v>
      </c>
      <c r="C280" t="s">
        <v>12950</v>
      </c>
    </row>
    <row r="281" spans="1:3" x14ac:dyDescent="0.25">
      <c r="A281">
        <v>280</v>
      </c>
      <c r="B281" t="s">
        <v>11548</v>
      </c>
      <c r="C281" t="s">
        <v>12951</v>
      </c>
    </row>
    <row r="282" spans="1:3" x14ac:dyDescent="0.25">
      <c r="A282">
        <v>281</v>
      </c>
      <c r="B282" t="s">
        <v>11549</v>
      </c>
      <c r="C282" t="s">
        <v>12952</v>
      </c>
    </row>
    <row r="283" spans="1:3" x14ac:dyDescent="0.25">
      <c r="A283">
        <v>282</v>
      </c>
      <c r="B283" t="s">
        <v>11606</v>
      </c>
      <c r="C283" t="s">
        <v>12953</v>
      </c>
    </row>
    <row r="284" spans="1:3" x14ac:dyDescent="0.25">
      <c r="A284">
        <v>283</v>
      </c>
      <c r="B284" t="s">
        <v>11604</v>
      </c>
      <c r="C284" t="s">
        <v>12954</v>
      </c>
    </row>
    <row r="285" spans="1:3" x14ac:dyDescent="0.25">
      <c r="A285">
        <v>284</v>
      </c>
      <c r="B285" t="s">
        <v>11550</v>
      </c>
      <c r="C285" t="s">
        <v>12955</v>
      </c>
    </row>
    <row r="286" spans="1:3" x14ac:dyDescent="0.25">
      <c r="A286">
        <v>285</v>
      </c>
      <c r="B286" t="s">
        <v>11603</v>
      </c>
      <c r="C286" t="s">
        <v>12956</v>
      </c>
    </row>
    <row r="287" spans="1:3" x14ac:dyDescent="0.25">
      <c r="A287">
        <v>286</v>
      </c>
      <c r="B287" t="s">
        <v>11601</v>
      </c>
      <c r="C287" t="s">
        <v>12957</v>
      </c>
    </row>
    <row r="288" spans="1:3" x14ac:dyDescent="0.25">
      <c r="A288">
        <v>287</v>
      </c>
      <c r="B288" t="s">
        <v>11600</v>
      </c>
      <c r="C288" t="s">
        <v>12958</v>
      </c>
    </row>
    <row r="289" spans="1:3" x14ac:dyDescent="0.25">
      <c r="A289">
        <v>288</v>
      </c>
      <c r="B289" t="s">
        <v>11598</v>
      </c>
      <c r="C289" t="s">
        <v>12959</v>
      </c>
    </row>
    <row r="290" spans="1:3" x14ac:dyDescent="0.25">
      <c r="A290">
        <v>289</v>
      </c>
      <c r="B290" t="s">
        <v>11597</v>
      </c>
      <c r="C290" t="s">
        <v>12960</v>
      </c>
    </row>
    <row r="291" spans="1:3" x14ac:dyDescent="0.25">
      <c r="A291">
        <v>290</v>
      </c>
      <c r="B291" t="s">
        <v>11551</v>
      </c>
      <c r="C291" t="s">
        <v>12961</v>
      </c>
    </row>
    <row r="292" spans="1:3" x14ac:dyDescent="0.25">
      <c r="A292">
        <v>291</v>
      </c>
      <c r="B292" t="s">
        <v>11595</v>
      </c>
      <c r="C292" t="s">
        <v>12962</v>
      </c>
    </row>
    <row r="293" spans="1:3" x14ac:dyDescent="0.25">
      <c r="A293">
        <v>292</v>
      </c>
      <c r="B293" t="s">
        <v>11593</v>
      </c>
      <c r="C293" t="s">
        <v>12963</v>
      </c>
    </row>
    <row r="294" spans="1:3" x14ac:dyDescent="0.25">
      <c r="A294">
        <v>293</v>
      </c>
      <c r="B294" t="s">
        <v>11552</v>
      </c>
      <c r="C294" t="s">
        <v>12964</v>
      </c>
    </row>
    <row r="295" spans="1:3" x14ac:dyDescent="0.25">
      <c r="A295">
        <v>294</v>
      </c>
      <c r="B295" t="s">
        <v>11592</v>
      </c>
      <c r="C295" t="s">
        <v>12965</v>
      </c>
    </row>
    <row r="296" spans="1:3" x14ac:dyDescent="0.25">
      <c r="A296">
        <v>295</v>
      </c>
      <c r="B296" t="s">
        <v>11554</v>
      </c>
      <c r="C296" t="s">
        <v>12966</v>
      </c>
    </row>
    <row r="297" spans="1:3" x14ac:dyDescent="0.25">
      <c r="A297">
        <v>296</v>
      </c>
      <c r="B297" t="s">
        <v>11555</v>
      </c>
      <c r="C297" t="s">
        <v>12967</v>
      </c>
    </row>
    <row r="298" spans="1:3" x14ac:dyDescent="0.25">
      <c r="A298">
        <v>297</v>
      </c>
      <c r="B298" t="s">
        <v>11556</v>
      </c>
      <c r="C298" t="s">
        <v>12968</v>
      </c>
    </row>
    <row r="299" spans="1:3" x14ac:dyDescent="0.25">
      <c r="A299">
        <v>298</v>
      </c>
      <c r="B299" t="s">
        <v>11557</v>
      </c>
      <c r="C299" t="s">
        <v>12969</v>
      </c>
    </row>
    <row r="300" spans="1:3" x14ac:dyDescent="0.25">
      <c r="A300">
        <v>299</v>
      </c>
      <c r="B300" t="s">
        <v>11591</v>
      </c>
      <c r="C300" t="s">
        <v>12970</v>
      </c>
    </row>
    <row r="301" spans="1:3" x14ac:dyDescent="0.25">
      <c r="A301">
        <v>300</v>
      </c>
      <c r="B301" t="s">
        <v>11558</v>
      </c>
      <c r="C301" t="s">
        <v>12971</v>
      </c>
    </row>
    <row r="302" spans="1:3" x14ac:dyDescent="0.25">
      <c r="A302">
        <v>301</v>
      </c>
      <c r="B302" t="s">
        <v>11590</v>
      </c>
      <c r="C302" t="s">
        <v>12972</v>
      </c>
    </row>
    <row r="303" spans="1:3" x14ac:dyDescent="0.25">
      <c r="A303">
        <v>302</v>
      </c>
      <c r="B303" t="s">
        <v>11559</v>
      </c>
      <c r="C303" t="s">
        <v>12973</v>
      </c>
    </row>
    <row r="304" spans="1:3" x14ac:dyDescent="0.25">
      <c r="A304">
        <v>303</v>
      </c>
      <c r="B304" t="s">
        <v>11560</v>
      </c>
      <c r="C304" t="s">
        <v>12974</v>
      </c>
    </row>
    <row r="305" spans="1:3" x14ac:dyDescent="0.25">
      <c r="A305">
        <v>304</v>
      </c>
      <c r="B305" t="s">
        <v>11561</v>
      </c>
      <c r="C305" t="s">
        <v>12975</v>
      </c>
    </row>
    <row r="306" spans="1:3" x14ac:dyDescent="0.25">
      <c r="A306">
        <v>305</v>
      </c>
      <c r="B306" t="s">
        <v>11588</v>
      </c>
      <c r="C306" t="s">
        <v>12976</v>
      </c>
    </row>
    <row r="307" spans="1:3" x14ac:dyDescent="0.25">
      <c r="A307">
        <v>306</v>
      </c>
      <c r="B307" t="s">
        <v>11587</v>
      </c>
      <c r="C307" t="s">
        <v>12977</v>
      </c>
    </row>
    <row r="308" spans="1:3" x14ac:dyDescent="0.25">
      <c r="A308">
        <v>307</v>
      </c>
      <c r="B308" t="s">
        <v>11586</v>
      </c>
      <c r="C308" t="s">
        <v>12978</v>
      </c>
    </row>
    <row r="309" spans="1:3" x14ac:dyDescent="0.25">
      <c r="A309">
        <v>308</v>
      </c>
      <c r="B309" t="s">
        <v>11585</v>
      </c>
      <c r="C309" t="s">
        <v>12979</v>
      </c>
    </row>
    <row r="310" spans="1:3" x14ac:dyDescent="0.25">
      <c r="A310">
        <v>309</v>
      </c>
      <c r="B310" t="s">
        <v>11564</v>
      </c>
      <c r="C310" t="s">
        <v>12980</v>
      </c>
    </row>
    <row r="311" spans="1:3" x14ac:dyDescent="0.25">
      <c r="A311">
        <v>310</v>
      </c>
      <c r="B311" t="s">
        <v>11584</v>
      </c>
      <c r="C311" t="s">
        <v>12981</v>
      </c>
    </row>
    <row r="312" spans="1:3" x14ac:dyDescent="0.25">
      <c r="A312">
        <v>311</v>
      </c>
      <c r="B312" t="s">
        <v>11582</v>
      </c>
      <c r="C312" t="s">
        <v>12982</v>
      </c>
    </row>
    <row r="313" spans="1:3" x14ac:dyDescent="0.25">
      <c r="A313">
        <v>312</v>
      </c>
      <c r="B313" t="s">
        <v>11565</v>
      </c>
      <c r="C313" t="s">
        <v>12983</v>
      </c>
    </row>
    <row r="314" spans="1:3" x14ac:dyDescent="0.25">
      <c r="A314">
        <v>313</v>
      </c>
      <c r="B314" t="s">
        <v>11567</v>
      </c>
      <c r="C314" t="s">
        <v>12984</v>
      </c>
    </row>
    <row r="315" spans="1:3" x14ac:dyDescent="0.25">
      <c r="A315">
        <v>314</v>
      </c>
      <c r="B315" t="s">
        <v>11568</v>
      </c>
      <c r="C315" t="s">
        <v>12985</v>
      </c>
    </row>
    <row r="316" spans="1:3" x14ac:dyDescent="0.25">
      <c r="A316">
        <v>315</v>
      </c>
      <c r="B316" t="s">
        <v>11581</v>
      </c>
      <c r="C316" t="s">
        <v>12986</v>
      </c>
    </row>
    <row r="317" spans="1:3" x14ac:dyDescent="0.25">
      <c r="A317">
        <v>316</v>
      </c>
      <c r="B317" t="s">
        <v>11570</v>
      </c>
      <c r="C317" t="s">
        <v>12987</v>
      </c>
    </row>
    <row r="318" spans="1:3" x14ac:dyDescent="0.25">
      <c r="A318">
        <v>317</v>
      </c>
      <c r="B318" t="s">
        <v>11580</v>
      </c>
      <c r="C318" t="s">
        <v>12988</v>
      </c>
    </row>
    <row r="319" spans="1:3" x14ac:dyDescent="0.25">
      <c r="A319">
        <v>318</v>
      </c>
      <c r="B319" t="s">
        <v>11579</v>
      </c>
      <c r="C319" t="s">
        <v>12989</v>
      </c>
    </row>
    <row r="320" spans="1:3" x14ac:dyDescent="0.25">
      <c r="A320">
        <v>319</v>
      </c>
      <c r="B320" t="s">
        <v>11578</v>
      </c>
      <c r="C320" t="s">
        <v>12990</v>
      </c>
    </row>
    <row r="321" spans="1:3" x14ac:dyDescent="0.25">
      <c r="A321">
        <v>320</v>
      </c>
      <c r="B321" t="s">
        <v>11577</v>
      </c>
      <c r="C321" t="s">
        <v>12991</v>
      </c>
    </row>
    <row r="322" spans="1:3" x14ac:dyDescent="0.25">
      <c r="A322">
        <v>321</v>
      </c>
      <c r="B322" t="s">
        <v>11571</v>
      </c>
      <c r="C322" t="s">
        <v>12992</v>
      </c>
    </row>
    <row r="323" spans="1:3" x14ac:dyDescent="0.25">
      <c r="A323">
        <v>322</v>
      </c>
      <c r="B323" t="s">
        <v>11576</v>
      </c>
      <c r="C323" t="s">
        <v>12993</v>
      </c>
    </row>
    <row r="324" spans="1:3" x14ac:dyDescent="0.25">
      <c r="A324">
        <v>323</v>
      </c>
      <c r="B324" t="s">
        <v>11575</v>
      </c>
      <c r="C324" t="s">
        <v>12994</v>
      </c>
    </row>
    <row r="325" spans="1:3" x14ac:dyDescent="0.25">
      <c r="A325">
        <v>324</v>
      </c>
      <c r="B325" t="s">
        <v>11574</v>
      </c>
      <c r="C325" t="s">
        <v>12995</v>
      </c>
    </row>
    <row r="326" spans="1:3" x14ac:dyDescent="0.25">
      <c r="A326">
        <v>325</v>
      </c>
      <c r="B326" t="s">
        <v>11422</v>
      </c>
      <c r="C326" t="s">
        <v>12996</v>
      </c>
    </row>
    <row r="327" spans="1:3" x14ac:dyDescent="0.25">
      <c r="A327">
        <v>326</v>
      </c>
      <c r="B327" t="s">
        <v>11423</v>
      </c>
      <c r="C327" t="s">
        <v>12997</v>
      </c>
    </row>
    <row r="328" spans="1:3" x14ac:dyDescent="0.25">
      <c r="A328">
        <v>327</v>
      </c>
      <c r="B328" t="s">
        <v>11424</v>
      </c>
      <c r="C328" t="s">
        <v>12998</v>
      </c>
    </row>
    <row r="329" spans="1:3" x14ac:dyDescent="0.25">
      <c r="A329">
        <v>328</v>
      </c>
      <c r="B329" t="s">
        <v>11425</v>
      </c>
      <c r="C329" t="s">
        <v>12999</v>
      </c>
    </row>
    <row r="330" spans="1:3" x14ac:dyDescent="0.25">
      <c r="A330">
        <v>329</v>
      </c>
      <c r="B330" t="s">
        <v>11882</v>
      </c>
      <c r="C330" t="s">
        <v>13000</v>
      </c>
    </row>
    <row r="331" spans="1:3" x14ac:dyDescent="0.25">
      <c r="A331">
        <v>330</v>
      </c>
      <c r="B331" t="s">
        <v>11878</v>
      </c>
      <c r="C331" t="s">
        <v>13001</v>
      </c>
    </row>
    <row r="332" spans="1:3" x14ac:dyDescent="0.25">
      <c r="A332">
        <v>331</v>
      </c>
      <c r="B332" t="s">
        <v>11877</v>
      </c>
      <c r="C332" t="s">
        <v>13002</v>
      </c>
    </row>
    <row r="333" spans="1:3" x14ac:dyDescent="0.25">
      <c r="A333">
        <v>332</v>
      </c>
      <c r="B333" t="s">
        <v>11426</v>
      </c>
      <c r="C333" t="s">
        <v>13003</v>
      </c>
    </row>
    <row r="334" spans="1:3" x14ac:dyDescent="0.25">
      <c r="A334">
        <v>333</v>
      </c>
      <c r="B334" t="s">
        <v>11428</v>
      </c>
      <c r="C334" t="s">
        <v>13004</v>
      </c>
    </row>
    <row r="335" spans="1:3" x14ac:dyDescent="0.25">
      <c r="A335">
        <v>334</v>
      </c>
      <c r="B335" t="s">
        <v>11876</v>
      </c>
      <c r="C335" t="s">
        <v>13005</v>
      </c>
    </row>
    <row r="336" spans="1:3" x14ac:dyDescent="0.25">
      <c r="A336">
        <v>335</v>
      </c>
      <c r="B336" t="s">
        <v>11871</v>
      </c>
      <c r="C336" t="s">
        <v>13006</v>
      </c>
    </row>
    <row r="337" spans="1:3" x14ac:dyDescent="0.25">
      <c r="A337">
        <v>336</v>
      </c>
      <c r="B337" t="s">
        <v>11870</v>
      </c>
      <c r="C337" t="s">
        <v>13007</v>
      </c>
    </row>
    <row r="338" spans="1:3" x14ac:dyDescent="0.25">
      <c r="A338">
        <v>337</v>
      </c>
      <c r="B338" t="s">
        <v>11429</v>
      </c>
      <c r="C338" t="s">
        <v>13008</v>
      </c>
    </row>
    <row r="339" spans="1:3" x14ac:dyDescent="0.25">
      <c r="A339">
        <v>338</v>
      </c>
      <c r="B339" t="s">
        <v>11430</v>
      </c>
      <c r="C339" t="s">
        <v>13009</v>
      </c>
    </row>
    <row r="340" spans="1:3" x14ac:dyDescent="0.25">
      <c r="A340">
        <v>339</v>
      </c>
      <c r="B340" t="s">
        <v>11431</v>
      </c>
      <c r="C340" t="s">
        <v>13010</v>
      </c>
    </row>
    <row r="341" spans="1:3" x14ac:dyDescent="0.25">
      <c r="A341">
        <v>340</v>
      </c>
      <c r="B341" t="s">
        <v>11432</v>
      </c>
      <c r="C341" t="s">
        <v>13011</v>
      </c>
    </row>
    <row r="342" spans="1:3" x14ac:dyDescent="0.25">
      <c r="A342">
        <v>341</v>
      </c>
      <c r="B342" t="s">
        <v>11433</v>
      </c>
      <c r="C342" t="s">
        <v>13012</v>
      </c>
    </row>
    <row r="343" spans="1:3" x14ac:dyDescent="0.25">
      <c r="A343">
        <v>342</v>
      </c>
      <c r="B343" t="s">
        <v>11852</v>
      </c>
      <c r="C343" t="s">
        <v>13013</v>
      </c>
    </row>
    <row r="344" spans="1:3" x14ac:dyDescent="0.25">
      <c r="A344">
        <v>343</v>
      </c>
      <c r="B344" t="s">
        <v>11829</v>
      </c>
      <c r="C344" t="s">
        <v>13014</v>
      </c>
    </row>
    <row r="345" spans="1:3" x14ac:dyDescent="0.25">
      <c r="A345">
        <v>344</v>
      </c>
      <c r="B345" t="s">
        <v>11825</v>
      </c>
      <c r="C345" t="s">
        <v>13015</v>
      </c>
    </row>
    <row r="346" spans="1:3" x14ac:dyDescent="0.25">
      <c r="A346">
        <v>345</v>
      </c>
      <c r="B346" t="s">
        <v>11435</v>
      </c>
      <c r="C346" t="s">
        <v>13016</v>
      </c>
    </row>
    <row r="347" spans="1:3" x14ac:dyDescent="0.25">
      <c r="A347">
        <v>346</v>
      </c>
      <c r="B347" t="s">
        <v>11436</v>
      </c>
      <c r="C347" t="s">
        <v>13017</v>
      </c>
    </row>
    <row r="348" spans="1:3" x14ac:dyDescent="0.25">
      <c r="A348">
        <v>347</v>
      </c>
      <c r="B348" t="s">
        <v>11437</v>
      </c>
      <c r="C348" t="s">
        <v>13018</v>
      </c>
    </row>
    <row r="349" spans="1:3" x14ac:dyDescent="0.25">
      <c r="A349">
        <v>348</v>
      </c>
      <c r="B349" t="s">
        <v>11439</v>
      </c>
      <c r="C349" t="s">
        <v>13019</v>
      </c>
    </row>
    <row r="350" spans="1:3" x14ac:dyDescent="0.25">
      <c r="A350">
        <v>349</v>
      </c>
      <c r="B350" t="s">
        <v>11440</v>
      </c>
      <c r="C350" t="s">
        <v>13020</v>
      </c>
    </row>
    <row r="351" spans="1:3" x14ac:dyDescent="0.25">
      <c r="A351">
        <v>350</v>
      </c>
      <c r="B351" t="s">
        <v>11822</v>
      </c>
      <c r="C351" t="s">
        <v>13021</v>
      </c>
    </row>
    <row r="352" spans="1:3" x14ac:dyDescent="0.25">
      <c r="A352">
        <v>351</v>
      </c>
      <c r="B352" t="s">
        <v>11819</v>
      </c>
      <c r="C352" t="s">
        <v>13022</v>
      </c>
    </row>
    <row r="353" spans="1:3" x14ac:dyDescent="0.25">
      <c r="A353">
        <v>352</v>
      </c>
      <c r="B353" t="s">
        <v>11818</v>
      </c>
      <c r="C353" t="s">
        <v>13023</v>
      </c>
    </row>
    <row r="354" spans="1:3" x14ac:dyDescent="0.25">
      <c r="A354">
        <v>353</v>
      </c>
      <c r="B354" t="s">
        <v>11816</v>
      </c>
      <c r="C354" t="s">
        <v>13024</v>
      </c>
    </row>
    <row r="355" spans="1:3" x14ac:dyDescent="0.25">
      <c r="A355">
        <v>354</v>
      </c>
      <c r="B355" t="s">
        <v>11442</v>
      </c>
      <c r="C355" t="s">
        <v>13025</v>
      </c>
    </row>
    <row r="356" spans="1:3" x14ac:dyDescent="0.25">
      <c r="A356">
        <v>355</v>
      </c>
      <c r="B356" t="s">
        <v>11444</v>
      </c>
      <c r="C356" t="s">
        <v>13026</v>
      </c>
    </row>
    <row r="357" spans="1:3" x14ac:dyDescent="0.25">
      <c r="A357">
        <v>356</v>
      </c>
      <c r="B357" t="s">
        <v>11445</v>
      </c>
      <c r="C357" t="s">
        <v>13027</v>
      </c>
    </row>
    <row r="358" spans="1:3" x14ac:dyDescent="0.25">
      <c r="A358">
        <v>357</v>
      </c>
      <c r="B358" t="s">
        <v>11976</v>
      </c>
      <c r="C358" t="s">
        <v>13028</v>
      </c>
    </row>
    <row r="359" spans="1:3" x14ac:dyDescent="0.25">
      <c r="A359">
        <v>358</v>
      </c>
      <c r="B359" t="s">
        <v>11978</v>
      </c>
      <c r="C359" t="s">
        <v>13029</v>
      </c>
    </row>
    <row r="360" spans="1:3" x14ac:dyDescent="0.25">
      <c r="A360">
        <v>359</v>
      </c>
      <c r="B360" t="s">
        <v>11981</v>
      </c>
      <c r="C360" t="s">
        <v>13030</v>
      </c>
    </row>
    <row r="361" spans="1:3" x14ac:dyDescent="0.25">
      <c r="A361">
        <v>360</v>
      </c>
      <c r="B361" t="s">
        <v>11983</v>
      </c>
      <c r="C361" t="s">
        <v>13031</v>
      </c>
    </row>
    <row r="362" spans="1:3" x14ac:dyDescent="0.25">
      <c r="A362">
        <v>361</v>
      </c>
      <c r="B362" t="s">
        <v>11986</v>
      </c>
      <c r="C362" t="s">
        <v>13032</v>
      </c>
    </row>
    <row r="363" spans="1:3" x14ac:dyDescent="0.25">
      <c r="A363">
        <v>362</v>
      </c>
      <c r="B363" t="s">
        <v>11990</v>
      </c>
      <c r="C363" t="s">
        <v>13033</v>
      </c>
    </row>
    <row r="364" spans="1:3" x14ac:dyDescent="0.25">
      <c r="A364">
        <v>363</v>
      </c>
      <c r="B364" t="s">
        <v>11994</v>
      </c>
      <c r="C364" t="s">
        <v>13034</v>
      </c>
    </row>
    <row r="365" spans="1:3" x14ac:dyDescent="0.25">
      <c r="A365">
        <v>364</v>
      </c>
      <c r="B365" t="s">
        <v>11993</v>
      </c>
      <c r="C365" t="s">
        <v>13035</v>
      </c>
    </row>
    <row r="366" spans="1:3" x14ac:dyDescent="0.25">
      <c r="A366">
        <v>365</v>
      </c>
      <c r="B366" t="s">
        <v>11992</v>
      </c>
      <c r="C366" t="s">
        <v>13036</v>
      </c>
    </row>
    <row r="367" spans="1:3" x14ac:dyDescent="0.25">
      <c r="A367">
        <v>366</v>
      </c>
      <c r="B367" t="s">
        <v>11991</v>
      </c>
      <c r="C367" t="s">
        <v>13037</v>
      </c>
    </row>
    <row r="368" spans="1:3" x14ac:dyDescent="0.25">
      <c r="A368">
        <v>367</v>
      </c>
      <c r="B368" t="s">
        <v>11989</v>
      </c>
      <c r="C368" t="s">
        <v>13038</v>
      </c>
    </row>
    <row r="369" spans="1:3" x14ac:dyDescent="0.25">
      <c r="A369">
        <v>368</v>
      </c>
      <c r="B369" t="s">
        <v>11987</v>
      </c>
      <c r="C369" t="s">
        <v>13039</v>
      </c>
    </row>
    <row r="370" spans="1:3" x14ac:dyDescent="0.25">
      <c r="A370">
        <v>369</v>
      </c>
      <c r="B370" t="s">
        <v>11984</v>
      </c>
      <c r="C370" t="s">
        <v>13040</v>
      </c>
    </row>
    <row r="371" spans="1:3" x14ac:dyDescent="0.25">
      <c r="A371">
        <v>370</v>
      </c>
      <c r="B371" t="s">
        <v>11982</v>
      </c>
      <c r="C371" t="s">
        <v>13041</v>
      </c>
    </row>
    <row r="372" spans="1:3" x14ac:dyDescent="0.25">
      <c r="A372">
        <v>371</v>
      </c>
      <c r="B372" t="s">
        <v>11980</v>
      </c>
      <c r="C372" t="s">
        <v>13042</v>
      </c>
    </row>
    <row r="373" spans="1:3" x14ac:dyDescent="0.25">
      <c r="A373">
        <v>372</v>
      </c>
      <c r="B373" t="s">
        <v>11975</v>
      </c>
      <c r="C373" t="s">
        <v>13043</v>
      </c>
    </row>
    <row r="374" spans="1:3" x14ac:dyDescent="0.25">
      <c r="A374">
        <v>373</v>
      </c>
      <c r="B374" t="s">
        <v>12001</v>
      </c>
      <c r="C374" t="s">
        <v>13044</v>
      </c>
    </row>
    <row r="375" spans="1:3" x14ac:dyDescent="0.25">
      <c r="A375">
        <v>374</v>
      </c>
      <c r="B375" t="s">
        <v>11974</v>
      </c>
      <c r="C375" t="s">
        <v>13045</v>
      </c>
    </row>
    <row r="376" spans="1:3" x14ac:dyDescent="0.25">
      <c r="A376">
        <v>375</v>
      </c>
      <c r="B376" t="s">
        <v>11971</v>
      </c>
      <c r="C376" t="s">
        <v>13046</v>
      </c>
    </row>
    <row r="377" spans="1:3" x14ac:dyDescent="0.25">
      <c r="A377">
        <v>376</v>
      </c>
      <c r="B377" t="s">
        <v>11970</v>
      </c>
      <c r="C377" t="s">
        <v>13047</v>
      </c>
    </row>
    <row r="378" spans="1:3" x14ac:dyDescent="0.25">
      <c r="A378">
        <v>377</v>
      </c>
      <c r="B378" t="s">
        <v>11969</v>
      </c>
      <c r="C378" t="s">
        <v>13048</v>
      </c>
    </row>
    <row r="379" spans="1:3" x14ac:dyDescent="0.25">
      <c r="A379">
        <v>378</v>
      </c>
      <c r="B379" t="s">
        <v>11968</v>
      </c>
      <c r="C379" t="s">
        <v>13049</v>
      </c>
    </row>
    <row r="380" spans="1:3" x14ac:dyDescent="0.25">
      <c r="A380">
        <v>379</v>
      </c>
      <c r="B380" t="s">
        <v>11967</v>
      </c>
      <c r="C380" t="s">
        <v>13050</v>
      </c>
    </row>
    <row r="381" spans="1:3" x14ac:dyDescent="0.25">
      <c r="A381">
        <v>380</v>
      </c>
      <c r="B381" t="s">
        <v>11966</v>
      </c>
      <c r="C381" t="s">
        <v>13051</v>
      </c>
    </row>
    <row r="382" spans="1:3" x14ac:dyDescent="0.25">
      <c r="A382">
        <v>381</v>
      </c>
      <c r="B382" t="s">
        <v>11965</v>
      </c>
      <c r="C382" t="s">
        <v>13052</v>
      </c>
    </row>
    <row r="383" spans="1:3" x14ac:dyDescent="0.25">
      <c r="A383">
        <v>382</v>
      </c>
      <c r="B383" t="s">
        <v>11955</v>
      </c>
      <c r="C383" t="s">
        <v>13053</v>
      </c>
    </row>
    <row r="384" spans="1:3" x14ac:dyDescent="0.25">
      <c r="A384">
        <v>383</v>
      </c>
      <c r="B384" t="s">
        <v>11952</v>
      </c>
      <c r="C384" t="s">
        <v>13054</v>
      </c>
    </row>
    <row r="385" spans="1:3" x14ac:dyDescent="0.25">
      <c r="A385">
        <v>384</v>
      </c>
      <c r="B385" t="s">
        <v>11948</v>
      </c>
      <c r="C385" t="s">
        <v>13055</v>
      </c>
    </row>
    <row r="386" spans="1:3" x14ac:dyDescent="0.25">
      <c r="A386">
        <v>385</v>
      </c>
      <c r="B386" t="s">
        <v>12000</v>
      </c>
      <c r="C386" t="s">
        <v>13056</v>
      </c>
    </row>
    <row r="387" spans="1:3" x14ac:dyDescent="0.25">
      <c r="A387">
        <v>386</v>
      </c>
      <c r="B387" t="s">
        <v>11940</v>
      </c>
      <c r="C387" t="s">
        <v>13057</v>
      </c>
    </row>
    <row r="388" spans="1:3" x14ac:dyDescent="0.25">
      <c r="A388">
        <v>387</v>
      </c>
      <c r="B388" t="s">
        <v>11939</v>
      </c>
      <c r="C388" t="s">
        <v>13058</v>
      </c>
    </row>
    <row r="389" spans="1:3" x14ac:dyDescent="0.25">
      <c r="A389">
        <v>388</v>
      </c>
      <c r="B389" t="s">
        <v>11938</v>
      </c>
      <c r="C389" t="s">
        <v>13059</v>
      </c>
    </row>
    <row r="390" spans="1:3" x14ac:dyDescent="0.25">
      <c r="A390">
        <v>389</v>
      </c>
      <c r="B390" t="s">
        <v>11937</v>
      </c>
      <c r="C390" t="s">
        <v>13060</v>
      </c>
    </row>
    <row r="391" spans="1:3" x14ac:dyDescent="0.25">
      <c r="A391">
        <v>390</v>
      </c>
      <c r="B391" t="s">
        <v>11999</v>
      </c>
      <c r="C391" t="s">
        <v>13061</v>
      </c>
    </row>
    <row r="392" spans="1:3" x14ac:dyDescent="0.25">
      <c r="A392">
        <v>391</v>
      </c>
      <c r="B392" t="s">
        <v>11935</v>
      </c>
      <c r="C392" t="s">
        <v>13062</v>
      </c>
    </row>
    <row r="393" spans="1:3" x14ac:dyDescent="0.25">
      <c r="A393">
        <v>392</v>
      </c>
      <c r="B393" t="s">
        <v>11934</v>
      </c>
      <c r="C393" t="s">
        <v>13063</v>
      </c>
    </row>
    <row r="394" spans="1:3" x14ac:dyDescent="0.25">
      <c r="A394">
        <v>393</v>
      </c>
      <c r="B394" t="s">
        <v>11694</v>
      </c>
      <c r="C394" t="s">
        <v>13064</v>
      </c>
    </row>
    <row r="395" spans="1:3" x14ac:dyDescent="0.25">
      <c r="A395">
        <v>394</v>
      </c>
      <c r="B395" t="s">
        <v>11958</v>
      </c>
      <c r="C395" t="s">
        <v>13065</v>
      </c>
    </row>
    <row r="396" spans="1:3" x14ac:dyDescent="0.25">
      <c r="A396">
        <v>395</v>
      </c>
      <c r="B396" t="s">
        <v>11961</v>
      </c>
      <c r="C396" t="s">
        <v>13066</v>
      </c>
    </row>
    <row r="397" spans="1:3" x14ac:dyDescent="0.25">
      <c r="A397">
        <v>396</v>
      </c>
      <c r="B397" t="s">
        <v>11979</v>
      </c>
      <c r="C397" t="s">
        <v>13067</v>
      </c>
    </row>
    <row r="398" spans="1:3" x14ac:dyDescent="0.25">
      <c r="A398">
        <v>397</v>
      </c>
      <c r="B398" t="s">
        <v>11988</v>
      </c>
      <c r="C398" t="s">
        <v>13068</v>
      </c>
    </row>
    <row r="399" spans="1:3" x14ac:dyDescent="0.25">
      <c r="A399">
        <v>398</v>
      </c>
      <c r="B399" t="s">
        <v>11860</v>
      </c>
      <c r="C399" t="s">
        <v>13069</v>
      </c>
    </row>
    <row r="400" spans="1:3" x14ac:dyDescent="0.25">
      <c r="A400">
        <v>399</v>
      </c>
      <c r="B400" t="s">
        <v>11977</v>
      </c>
      <c r="C400" t="s">
        <v>13070</v>
      </c>
    </row>
    <row r="401" spans="1:3" x14ac:dyDescent="0.25">
      <c r="A401">
        <v>400</v>
      </c>
      <c r="B401" t="s">
        <v>11973</v>
      </c>
      <c r="C401" t="s">
        <v>13071</v>
      </c>
    </row>
    <row r="402" spans="1:3" x14ac:dyDescent="0.25">
      <c r="A402">
        <v>401</v>
      </c>
      <c r="B402" t="s">
        <v>11972</v>
      </c>
      <c r="C402" t="s">
        <v>13072</v>
      </c>
    </row>
    <row r="403" spans="1:3" x14ac:dyDescent="0.25">
      <c r="A403">
        <v>402</v>
      </c>
      <c r="B403" t="s">
        <v>11931</v>
      </c>
      <c r="C403" t="s">
        <v>13073</v>
      </c>
    </row>
    <row r="404" spans="1:3" x14ac:dyDescent="0.25">
      <c r="A404">
        <v>403</v>
      </c>
      <c r="B404" t="s">
        <v>11998</v>
      </c>
      <c r="C404" t="s">
        <v>13074</v>
      </c>
    </row>
    <row r="405" spans="1:3" x14ac:dyDescent="0.25">
      <c r="A405">
        <v>404</v>
      </c>
      <c r="B405" t="s">
        <v>11929</v>
      </c>
      <c r="C405" t="s">
        <v>13075</v>
      </c>
    </row>
    <row r="406" spans="1:3" x14ac:dyDescent="0.25">
      <c r="A406">
        <v>405</v>
      </c>
      <c r="B406" t="s">
        <v>11923</v>
      </c>
      <c r="C406" t="s">
        <v>13076</v>
      </c>
    </row>
    <row r="407" spans="1:3" x14ac:dyDescent="0.25">
      <c r="A407">
        <v>406</v>
      </c>
      <c r="B407" t="s">
        <v>11922</v>
      </c>
      <c r="C407" t="s">
        <v>13077</v>
      </c>
    </row>
    <row r="408" spans="1:3" x14ac:dyDescent="0.25">
      <c r="A408">
        <v>407</v>
      </c>
      <c r="B408" t="s">
        <v>11921</v>
      </c>
      <c r="C408" t="s">
        <v>13078</v>
      </c>
    </row>
    <row r="409" spans="1:3" x14ac:dyDescent="0.25">
      <c r="A409">
        <v>408</v>
      </c>
      <c r="B409" t="s">
        <v>11920</v>
      </c>
      <c r="C409" t="s">
        <v>13079</v>
      </c>
    </row>
    <row r="410" spans="1:3" x14ac:dyDescent="0.25">
      <c r="A410">
        <v>409</v>
      </c>
      <c r="B410" t="s">
        <v>11925</v>
      </c>
      <c r="C410" t="s">
        <v>13080</v>
      </c>
    </row>
    <row r="411" spans="1:3" x14ac:dyDescent="0.25">
      <c r="A411">
        <v>410</v>
      </c>
      <c r="B411" t="s">
        <v>11902</v>
      </c>
      <c r="C411" t="s">
        <v>13081</v>
      </c>
    </row>
    <row r="412" spans="1:3" x14ac:dyDescent="0.25">
      <c r="A412">
        <v>411</v>
      </c>
      <c r="B412" t="s">
        <v>11698</v>
      </c>
      <c r="C412" t="s">
        <v>13082</v>
      </c>
    </row>
    <row r="413" spans="1:3" x14ac:dyDescent="0.25">
      <c r="A413">
        <v>412</v>
      </c>
      <c r="B413" t="s">
        <v>11858</v>
      </c>
      <c r="C413" t="s">
        <v>13083</v>
      </c>
    </row>
    <row r="414" spans="1:3" x14ac:dyDescent="0.25">
      <c r="A414">
        <v>413</v>
      </c>
      <c r="B414" t="s">
        <v>11904</v>
      </c>
      <c r="C414" t="s">
        <v>13084</v>
      </c>
    </row>
    <row r="415" spans="1:3" x14ac:dyDescent="0.25">
      <c r="A415">
        <v>414</v>
      </c>
      <c r="B415" t="s">
        <v>11997</v>
      </c>
      <c r="C415" t="s">
        <v>13085</v>
      </c>
    </row>
    <row r="416" spans="1:3" x14ac:dyDescent="0.25">
      <c r="A416">
        <v>415</v>
      </c>
      <c r="B416" t="s">
        <v>11880</v>
      </c>
      <c r="C416" t="s">
        <v>13086</v>
      </c>
    </row>
    <row r="417" spans="1:3" x14ac:dyDescent="0.25">
      <c r="A417">
        <v>416</v>
      </c>
      <c r="B417" t="s">
        <v>11879</v>
      </c>
      <c r="C417" t="s">
        <v>13087</v>
      </c>
    </row>
    <row r="418" spans="1:3" x14ac:dyDescent="0.25">
      <c r="A418">
        <v>417</v>
      </c>
      <c r="B418" t="s">
        <v>11875</v>
      </c>
      <c r="C418" t="s">
        <v>13088</v>
      </c>
    </row>
    <row r="419" spans="1:3" x14ac:dyDescent="0.25">
      <c r="A419">
        <v>418</v>
      </c>
      <c r="B419" t="s">
        <v>11915</v>
      </c>
      <c r="C419" t="s">
        <v>13089</v>
      </c>
    </row>
    <row r="420" spans="1:3" x14ac:dyDescent="0.25">
      <c r="A420">
        <v>419</v>
      </c>
      <c r="B420" t="s">
        <v>11913</v>
      </c>
      <c r="C420" t="s">
        <v>13090</v>
      </c>
    </row>
    <row r="421" spans="1:3" x14ac:dyDescent="0.25">
      <c r="A421">
        <v>420</v>
      </c>
      <c r="B421" t="s">
        <v>11908</v>
      </c>
      <c r="C421" t="s">
        <v>13091</v>
      </c>
    </row>
    <row r="422" spans="1:3" x14ac:dyDescent="0.25">
      <c r="A422">
        <v>421</v>
      </c>
      <c r="B422" t="s">
        <v>11906</v>
      </c>
      <c r="C422" t="s">
        <v>13092</v>
      </c>
    </row>
    <row r="423" spans="1:3" x14ac:dyDescent="0.25">
      <c r="A423">
        <v>422</v>
      </c>
      <c r="B423" t="s">
        <v>11903</v>
      </c>
      <c r="C423" t="s">
        <v>13093</v>
      </c>
    </row>
    <row r="424" spans="1:3" x14ac:dyDescent="0.25">
      <c r="A424">
        <v>423</v>
      </c>
      <c r="B424" t="s">
        <v>11900</v>
      </c>
      <c r="C424" t="s">
        <v>13094</v>
      </c>
    </row>
    <row r="425" spans="1:3" x14ac:dyDescent="0.25">
      <c r="A425">
        <v>424</v>
      </c>
      <c r="B425" t="s">
        <v>11899</v>
      </c>
      <c r="C425" t="s">
        <v>13095</v>
      </c>
    </row>
    <row r="426" spans="1:3" x14ac:dyDescent="0.25">
      <c r="A426">
        <v>425</v>
      </c>
      <c r="B426" t="s">
        <v>11898</v>
      </c>
      <c r="C426" t="s">
        <v>13096</v>
      </c>
    </row>
    <row r="427" spans="1:3" x14ac:dyDescent="0.25">
      <c r="A427">
        <v>426</v>
      </c>
      <c r="B427" t="s">
        <v>11897</v>
      </c>
      <c r="C427" t="s">
        <v>13097</v>
      </c>
    </row>
    <row r="428" spans="1:3" x14ac:dyDescent="0.25">
      <c r="A428">
        <v>427</v>
      </c>
      <c r="B428" t="s">
        <v>11896</v>
      </c>
      <c r="C428" t="s">
        <v>13098</v>
      </c>
    </row>
    <row r="429" spans="1:3" x14ac:dyDescent="0.25">
      <c r="A429">
        <v>428</v>
      </c>
      <c r="B429" t="s">
        <v>11703</v>
      </c>
      <c r="C429" t="s">
        <v>13099</v>
      </c>
    </row>
    <row r="430" spans="1:3" x14ac:dyDescent="0.25">
      <c r="A430">
        <v>429</v>
      </c>
      <c r="B430" t="s">
        <v>11853</v>
      </c>
      <c r="C430" t="s">
        <v>13100</v>
      </c>
    </row>
    <row r="431" spans="1:3" x14ac:dyDescent="0.25">
      <c r="A431">
        <v>430</v>
      </c>
      <c r="B431" t="s">
        <v>11850</v>
      </c>
      <c r="C431" t="s">
        <v>13101</v>
      </c>
    </row>
    <row r="432" spans="1:3" x14ac:dyDescent="0.25">
      <c r="A432">
        <v>431</v>
      </c>
      <c r="B432" t="s">
        <v>11848</v>
      </c>
      <c r="C432" t="s">
        <v>13102</v>
      </c>
    </row>
    <row r="433" spans="1:3" x14ac:dyDescent="0.25">
      <c r="A433">
        <v>432</v>
      </c>
      <c r="B433" t="s">
        <v>11736</v>
      </c>
      <c r="C433" t="s">
        <v>13103</v>
      </c>
    </row>
    <row r="434" spans="1:3" x14ac:dyDescent="0.25">
      <c r="A434">
        <v>433</v>
      </c>
      <c r="B434" t="s">
        <v>11741</v>
      </c>
      <c r="C434" t="s">
        <v>13104</v>
      </c>
    </row>
    <row r="435" spans="1:3" x14ac:dyDescent="0.25">
      <c r="A435">
        <v>434</v>
      </c>
      <c r="B435" t="s">
        <v>11832</v>
      </c>
      <c r="C435" t="s">
        <v>13105</v>
      </c>
    </row>
    <row r="436" spans="1:3" x14ac:dyDescent="0.25">
      <c r="A436">
        <v>435</v>
      </c>
      <c r="B436" t="s">
        <v>11817</v>
      </c>
      <c r="C436" t="s">
        <v>13106</v>
      </c>
    </row>
    <row r="437" spans="1:3" x14ac:dyDescent="0.25">
      <c r="A437">
        <v>436</v>
      </c>
      <c r="B437" t="s">
        <v>11772</v>
      </c>
      <c r="C437" t="s">
        <v>13107</v>
      </c>
    </row>
    <row r="438" spans="1:3" x14ac:dyDescent="0.25">
      <c r="A438">
        <v>437</v>
      </c>
      <c r="B438" t="s">
        <v>11834</v>
      </c>
      <c r="C438" t="s">
        <v>13108</v>
      </c>
    </row>
    <row r="439" spans="1:3" x14ac:dyDescent="0.25">
      <c r="A439">
        <v>438</v>
      </c>
      <c r="B439" t="s">
        <v>11752</v>
      </c>
      <c r="C439" t="s">
        <v>13109</v>
      </c>
    </row>
    <row r="440" spans="1:3" x14ac:dyDescent="0.25">
      <c r="A440">
        <v>439</v>
      </c>
      <c r="B440" t="s">
        <v>11753</v>
      </c>
      <c r="C440" t="s">
        <v>13110</v>
      </c>
    </row>
    <row r="441" spans="1:3" x14ac:dyDescent="0.25">
      <c r="A441">
        <v>440</v>
      </c>
      <c r="B441" t="s">
        <v>11758</v>
      </c>
      <c r="C441" t="s">
        <v>13111</v>
      </c>
    </row>
    <row r="442" spans="1:3" x14ac:dyDescent="0.25">
      <c r="A442">
        <v>441</v>
      </c>
      <c r="B442" t="s">
        <v>11775</v>
      </c>
      <c r="C442" t="s">
        <v>13112</v>
      </c>
    </row>
    <row r="443" spans="1:3" x14ac:dyDescent="0.25">
      <c r="A443">
        <v>442</v>
      </c>
      <c r="B443" t="s">
        <v>11779</v>
      </c>
      <c r="C443" t="s">
        <v>13113</v>
      </c>
    </row>
    <row r="444" spans="1:3" x14ac:dyDescent="0.25">
      <c r="A444">
        <v>443</v>
      </c>
      <c r="B444" t="s">
        <v>11895</v>
      </c>
      <c r="C444" t="s">
        <v>13114</v>
      </c>
    </row>
    <row r="445" spans="1:3" x14ac:dyDescent="0.25">
      <c r="A445">
        <v>444</v>
      </c>
      <c r="B445" t="s">
        <v>11894</v>
      </c>
      <c r="C445" t="s">
        <v>13115</v>
      </c>
    </row>
    <row r="446" spans="1:3" x14ac:dyDescent="0.25">
      <c r="A446">
        <v>445</v>
      </c>
      <c r="B446" t="s">
        <v>11893</v>
      </c>
      <c r="C446" t="s">
        <v>13116</v>
      </c>
    </row>
    <row r="447" spans="1:3" x14ac:dyDescent="0.25">
      <c r="A447">
        <v>446</v>
      </c>
      <c r="B447" t="s">
        <v>11892</v>
      </c>
      <c r="C447" t="s">
        <v>13117</v>
      </c>
    </row>
    <row r="448" spans="1:3" x14ac:dyDescent="0.25">
      <c r="A448">
        <v>447</v>
      </c>
      <c r="B448" t="s">
        <v>11887</v>
      </c>
      <c r="C448" t="s">
        <v>13118</v>
      </c>
    </row>
    <row r="449" spans="1:3" x14ac:dyDescent="0.25">
      <c r="A449">
        <v>448</v>
      </c>
      <c r="B449" t="s">
        <v>11886</v>
      </c>
      <c r="C449" t="s">
        <v>13119</v>
      </c>
    </row>
    <row r="450" spans="1:3" x14ac:dyDescent="0.25">
      <c r="A450">
        <v>449</v>
      </c>
      <c r="B450" t="s">
        <v>11885</v>
      </c>
      <c r="C450" t="s">
        <v>13120</v>
      </c>
    </row>
    <row r="451" spans="1:3" x14ac:dyDescent="0.25">
      <c r="A451">
        <v>450</v>
      </c>
      <c r="B451" t="s">
        <v>11884</v>
      </c>
      <c r="C451" t="s">
        <v>13121</v>
      </c>
    </row>
    <row r="452" spans="1:3" x14ac:dyDescent="0.25">
      <c r="A452">
        <v>451</v>
      </c>
      <c r="B452" t="s">
        <v>11883</v>
      </c>
      <c r="C452" t="s">
        <v>13122</v>
      </c>
    </row>
    <row r="453" spans="1:3" x14ac:dyDescent="0.25">
      <c r="A453">
        <v>452</v>
      </c>
      <c r="B453" t="s">
        <v>11881</v>
      </c>
      <c r="C453" t="s">
        <v>13123</v>
      </c>
    </row>
    <row r="454" spans="1:3" x14ac:dyDescent="0.25">
      <c r="A454">
        <v>453</v>
      </c>
      <c r="B454" t="s">
        <v>11873</v>
      </c>
      <c r="C454" t="s">
        <v>13124</v>
      </c>
    </row>
    <row r="455" spans="1:3" x14ac:dyDescent="0.25">
      <c r="A455">
        <v>454</v>
      </c>
      <c r="B455" t="s">
        <v>11696</v>
      </c>
      <c r="C455" t="s">
        <v>13125</v>
      </c>
    </row>
    <row r="456" spans="1:3" x14ac:dyDescent="0.25">
      <c r="A456">
        <v>455</v>
      </c>
      <c r="B456" t="s">
        <v>11872</v>
      </c>
      <c r="C456" t="s">
        <v>13126</v>
      </c>
    </row>
    <row r="457" spans="1:3" x14ac:dyDescent="0.25">
      <c r="A457">
        <v>456</v>
      </c>
      <c r="B457" t="s">
        <v>11869</v>
      </c>
      <c r="C457" t="s">
        <v>13127</v>
      </c>
    </row>
    <row r="458" spans="1:3" x14ac:dyDescent="0.25">
      <c r="A458">
        <v>457</v>
      </c>
      <c r="B458" t="s">
        <v>11868</v>
      </c>
      <c r="C458" t="s">
        <v>13128</v>
      </c>
    </row>
    <row r="459" spans="1:3" x14ac:dyDescent="0.25">
      <c r="A459">
        <v>458</v>
      </c>
      <c r="B459" t="s">
        <v>11867</v>
      </c>
      <c r="C459" t="s">
        <v>13129</v>
      </c>
    </row>
    <row r="460" spans="1:3" x14ac:dyDescent="0.25">
      <c r="A460">
        <v>459</v>
      </c>
      <c r="B460" t="s">
        <v>11697</v>
      </c>
      <c r="C460" t="s">
        <v>13130</v>
      </c>
    </row>
    <row r="461" spans="1:3" x14ac:dyDescent="0.25">
      <c r="A461">
        <v>460</v>
      </c>
      <c r="B461" t="s">
        <v>11699</v>
      </c>
      <c r="C461" t="s">
        <v>13131</v>
      </c>
    </row>
    <row r="462" spans="1:3" x14ac:dyDescent="0.25">
      <c r="A462">
        <v>461</v>
      </c>
      <c r="B462" t="s">
        <v>11866</v>
      </c>
      <c r="C462" t="s">
        <v>13132</v>
      </c>
    </row>
    <row r="463" spans="1:3" x14ac:dyDescent="0.25">
      <c r="A463">
        <v>462</v>
      </c>
      <c r="B463" t="s">
        <v>11865</v>
      </c>
      <c r="C463" t="s">
        <v>13133</v>
      </c>
    </row>
    <row r="464" spans="1:3" x14ac:dyDescent="0.25">
      <c r="A464">
        <v>463</v>
      </c>
      <c r="B464" t="s">
        <v>11864</v>
      </c>
      <c r="C464" t="s">
        <v>13134</v>
      </c>
    </row>
    <row r="465" spans="1:3" x14ac:dyDescent="0.25">
      <c r="A465">
        <v>464</v>
      </c>
      <c r="B465" t="s">
        <v>11863</v>
      </c>
      <c r="C465" t="s">
        <v>13135</v>
      </c>
    </row>
    <row r="466" spans="1:3" x14ac:dyDescent="0.25">
      <c r="A466">
        <v>465</v>
      </c>
      <c r="B466" t="s">
        <v>11862</v>
      </c>
      <c r="C466" t="s">
        <v>13136</v>
      </c>
    </row>
    <row r="467" spans="1:3" x14ac:dyDescent="0.25">
      <c r="A467">
        <v>466</v>
      </c>
      <c r="B467" t="s">
        <v>11700</v>
      </c>
      <c r="C467" t="s">
        <v>13137</v>
      </c>
    </row>
    <row r="468" spans="1:3" x14ac:dyDescent="0.25">
      <c r="A468">
        <v>467</v>
      </c>
      <c r="B468" t="s">
        <v>11861</v>
      </c>
      <c r="C468" t="s">
        <v>13138</v>
      </c>
    </row>
    <row r="469" spans="1:3" x14ac:dyDescent="0.25">
      <c r="A469">
        <v>468</v>
      </c>
      <c r="B469" t="s">
        <v>11859</v>
      </c>
      <c r="C469" t="s">
        <v>13139</v>
      </c>
    </row>
    <row r="470" spans="1:3" x14ac:dyDescent="0.25">
      <c r="A470">
        <v>469</v>
      </c>
      <c r="B470" t="s">
        <v>11701</v>
      </c>
      <c r="C470" t="s">
        <v>13140</v>
      </c>
    </row>
    <row r="471" spans="1:3" x14ac:dyDescent="0.25">
      <c r="A471">
        <v>470</v>
      </c>
      <c r="B471" t="s">
        <v>11857</v>
      </c>
      <c r="C471" t="s">
        <v>13141</v>
      </c>
    </row>
    <row r="472" spans="1:3" x14ac:dyDescent="0.25">
      <c r="A472">
        <v>471</v>
      </c>
      <c r="B472" t="s">
        <v>11705</v>
      </c>
      <c r="C472" t="s">
        <v>13142</v>
      </c>
    </row>
    <row r="473" spans="1:3" x14ac:dyDescent="0.25">
      <c r="A473">
        <v>472</v>
      </c>
      <c r="B473" t="s">
        <v>11706</v>
      </c>
      <c r="C473" t="s">
        <v>13143</v>
      </c>
    </row>
    <row r="474" spans="1:3" x14ac:dyDescent="0.25">
      <c r="A474">
        <v>473</v>
      </c>
      <c r="B474" t="s">
        <v>11856</v>
      </c>
      <c r="C474" t="s">
        <v>13144</v>
      </c>
    </row>
    <row r="475" spans="1:3" x14ac:dyDescent="0.25">
      <c r="A475">
        <v>474</v>
      </c>
      <c r="B475" t="s">
        <v>11707</v>
      </c>
      <c r="C475" t="s">
        <v>13145</v>
      </c>
    </row>
    <row r="476" spans="1:3" x14ac:dyDescent="0.25">
      <c r="A476">
        <v>475</v>
      </c>
      <c r="B476" t="s">
        <v>11855</v>
      </c>
      <c r="C476" t="s">
        <v>13146</v>
      </c>
    </row>
    <row r="477" spans="1:3" x14ac:dyDescent="0.25">
      <c r="A477">
        <v>476</v>
      </c>
      <c r="B477" t="s">
        <v>11854</v>
      </c>
      <c r="C477" t="s">
        <v>13147</v>
      </c>
    </row>
    <row r="478" spans="1:3" x14ac:dyDescent="0.25">
      <c r="A478">
        <v>477</v>
      </c>
      <c r="B478" t="s">
        <v>11996</v>
      </c>
      <c r="C478" t="s">
        <v>13148</v>
      </c>
    </row>
    <row r="479" spans="1:3" x14ac:dyDescent="0.25">
      <c r="A479">
        <v>478</v>
      </c>
      <c r="B479" t="s">
        <v>11851</v>
      </c>
      <c r="C479" t="s">
        <v>13149</v>
      </c>
    </row>
    <row r="480" spans="1:3" x14ac:dyDescent="0.25">
      <c r="A480">
        <v>479</v>
      </c>
      <c r="B480" t="s">
        <v>11713</v>
      </c>
      <c r="C480" t="s">
        <v>13150</v>
      </c>
    </row>
    <row r="481" spans="1:3" x14ac:dyDescent="0.25">
      <c r="A481">
        <v>480</v>
      </c>
      <c r="B481" t="s">
        <v>11727</v>
      </c>
      <c r="C481" t="s">
        <v>13151</v>
      </c>
    </row>
    <row r="482" spans="1:3" x14ac:dyDescent="0.25">
      <c r="A482">
        <v>481</v>
      </c>
      <c r="B482" t="s">
        <v>11729</v>
      </c>
      <c r="C482" t="s">
        <v>13152</v>
      </c>
    </row>
    <row r="483" spans="1:3" x14ac:dyDescent="0.25">
      <c r="A483">
        <v>482</v>
      </c>
      <c r="B483" t="s">
        <v>11849</v>
      </c>
      <c r="C483" t="s">
        <v>13153</v>
      </c>
    </row>
    <row r="484" spans="1:3" x14ac:dyDescent="0.25">
      <c r="A484">
        <v>483</v>
      </c>
      <c r="B484" t="s">
        <v>11847</v>
      </c>
      <c r="C484" t="s">
        <v>13154</v>
      </c>
    </row>
    <row r="485" spans="1:3" x14ac:dyDescent="0.25">
      <c r="A485">
        <v>484</v>
      </c>
      <c r="B485" t="s">
        <v>11846</v>
      </c>
      <c r="C485" t="s">
        <v>13155</v>
      </c>
    </row>
    <row r="486" spans="1:3" x14ac:dyDescent="0.25">
      <c r="A486">
        <v>485</v>
      </c>
      <c r="B486" t="s">
        <v>11845</v>
      </c>
      <c r="C486" t="s">
        <v>13156</v>
      </c>
    </row>
    <row r="487" spans="1:3" x14ac:dyDescent="0.25">
      <c r="A487">
        <v>486</v>
      </c>
      <c r="B487" t="s">
        <v>11844</v>
      </c>
      <c r="C487" t="s">
        <v>13157</v>
      </c>
    </row>
    <row r="488" spans="1:3" x14ac:dyDescent="0.25">
      <c r="A488">
        <v>487</v>
      </c>
      <c r="B488" t="s">
        <v>11843</v>
      </c>
      <c r="C488" t="s">
        <v>13158</v>
      </c>
    </row>
    <row r="489" spans="1:3" x14ac:dyDescent="0.25">
      <c r="A489">
        <v>488</v>
      </c>
      <c r="B489" t="s">
        <v>11842</v>
      </c>
      <c r="C489" t="s">
        <v>13159</v>
      </c>
    </row>
    <row r="490" spans="1:3" x14ac:dyDescent="0.25">
      <c r="A490">
        <v>489</v>
      </c>
      <c r="B490" t="s">
        <v>11841</v>
      </c>
      <c r="C490" t="s">
        <v>13160</v>
      </c>
    </row>
    <row r="491" spans="1:3" x14ac:dyDescent="0.25">
      <c r="A491">
        <v>490</v>
      </c>
      <c r="B491" t="s">
        <v>11840</v>
      </c>
      <c r="C491" t="s">
        <v>13161</v>
      </c>
    </row>
    <row r="492" spans="1:3" x14ac:dyDescent="0.25">
      <c r="A492">
        <v>491</v>
      </c>
      <c r="B492" t="s">
        <v>11839</v>
      </c>
      <c r="C492" t="s">
        <v>13162</v>
      </c>
    </row>
    <row r="493" spans="1:3" x14ac:dyDescent="0.25">
      <c r="A493">
        <v>492</v>
      </c>
      <c r="B493" t="s">
        <v>11737</v>
      </c>
      <c r="C493" t="s">
        <v>13163</v>
      </c>
    </row>
    <row r="494" spans="1:3" x14ac:dyDescent="0.25">
      <c r="A494">
        <v>493</v>
      </c>
      <c r="B494" t="s">
        <v>11739</v>
      </c>
      <c r="C494" t="s">
        <v>13164</v>
      </c>
    </row>
    <row r="495" spans="1:3" x14ac:dyDescent="0.25">
      <c r="A495">
        <v>494</v>
      </c>
      <c r="B495" t="s">
        <v>11740</v>
      </c>
      <c r="C495" t="s">
        <v>13165</v>
      </c>
    </row>
    <row r="496" spans="1:3" x14ac:dyDescent="0.25">
      <c r="A496">
        <v>495</v>
      </c>
      <c r="B496" t="s">
        <v>11838</v>
      </c>
      <c r="C496" t="s">
        <v>13166</v>
      </c>
    </row>
    <row r="497" spans="1:3" x14ac:dyDescent="0.25">
      <c r="A497">
        <v>496</v>
      </c>
      <c r="B497" t="s">
        <v>11837</v>
      </c>
      <c r="C497" t="s">
        <v>13167</v>
      </c>
    </row>
    <row r="498" spans="1:3" x14ac:dyDescent="0.25">
      <c r="A498">
        <v>497</v>
      </c>
      <c r="B498" t="s">
        <v>11836</v>
      </c>
      <c r="C498" t="s">
        <v>13168</v>
      </c>
    </row>
    <row r="499" spans="1:3" x14ac:dyDescent="0.25">
      <c r="A499">
        <v>498</v>
      </c>
      <c r="B499" t="s">
        <v>11743</v>
      </c>
      <c r="C499" t="s">
        <v>13169</v>
      </c>
    </row>
    <row r="500" spans="1:3" x14ac:dyDescent="0.25">
      <c r="A500">
        <v>499</v>
      </c>
      <c r="B500" t="s">
        <v>11835</v>
      </c>
      <c r="C500" t="s">
        <v>13170</v>
      </c>
    </row>
    <row r="501" spans="1:3" x14ac:dyDescent="0.25">
      <c r="A501">
        <v>500</v>
      </c>
      <c r="B501" t="s">
        <v>11744</v>
      </c>
      <c r="C501" t="s">
        <v>13171</v>
      </c>
    </row>
    <row r="502" spans="1:3" x14ac:dyDescent="0.25">
      <c r="A502">
        <v>501</v>
      </c>
      <c r="B502" t="s">
        <v>11745</v>
      </c>
      <c r="C502" t="s">
        <v>13172</v>
      </c>
    </row>
    <row r="503" spans="1:3" x14ac:dyDescent="0.25">
      <c r="A503">
        <v>502</v>
      </c>
      <c r="B503" t="s">
        <v>11746</v>
      </c>
      <c r="C503" t="s">
        <v>13173</v>
      </c>
    </row>
    <row r="504" spans="1:3" x14ac:dyDescent="0.25">
      <c r="A504">
        <v>503</v>
      </c>
      <c r="B504" t="s">
        <v>11833</v>
      </c>
      <c r="C504" t="s">
        <v>13174</v>
      </c>
    </row>
    <row r="505" spans="1:3" x14ac:dyDescent="0.25">
      <c r="A505">
        <v>504</v>
      </c>
      <c r="B505" t="s">
        <v>11747</v>
      </c>
      <c r="C505" t="s">
        <v>13175</v>
      </c>
    </row>
    <row r="506" spans="1:3" x14ac:dyDescent="0.25">
      <c r="A506">
        <v>505</v>
      </c>
      <c r="B506" t="s">
        <v>11748</v>
      </c>
      <c r="C506" t="s">
        <v>13176</v>
      </c>
    </row>
    <row r="507" spans="1:3" x14ac:dyDescent="0.25">
      <c r="A507">
        <v>506</v>
      </c>
      <c r="B507" t="s">
        <v>11831</v>
      </c>
      <c r="C507" t="s">
        <v>13177</v>
      </c>
    </row>
    <row r="508" spans="1:3" x14ac:dyDescent="0.25">
      <c r="A508">
        <v>507</v>
      </c>
      <c r="B508" t="s">
        <v>11830</v>
      </c>
      <c r="C508" t="s">
        <v>13178</v>
      </c>
    </row>
    <row r="509" spans="1:3" x14ac:dyDescent="0.25">
      <c r="A509">
        <v>508</v>
      </c>
      <c r="B509" t="s">
        <v>11749</v>
      </c>
      <c r="C509" t="s">
        <v>13179</v>
      </c>
    </row>
    <row r="510" spans="1:3" x14ac:dyDescent="0.25">
      <c r="A510">
        <v>509</v>
      </c>
      <c r="B510" t="s">
        <v>11750</v>
      </c>
      <c r="C510" t="s">
        <v>13180</v>
      </c>
    </row>
    <row r="511" spans="1:3" x14ac:dyDescent="0.25">
      <c r="A511">
        <v>510</v>
      </c>
      <c r="B511" t="s">
        <v>11751</v>
      </c>
      <c r="C511" t="s">
        <v>13181</v>
      </c>
    </row>
    <row r="512" spans="1:3" x14ac:dyDescent="0.25">
      <c r="A512">
        <v>511</v>
      </c>
      <c r="B512" t="s">
        <v>11828</v>
      </c>
      <c r="C512" t="s">
        <v>13182</v>
      </c>
    </row>
    <row r="513" spans="1:3" x14ac:dyDescent="0.25">
      <c r="A513">
        <v>512</v>
      </c>
      <c r="B513" t="s">
        <v>11827</v>
      </c>
      <c r="C513" t="s">
        <v>13183</v>
      </c>
    </row>
    <row r="514" spans="1:3" x14ac:dyDescent="0.25">
      <c r="A514">
        <v>513</v>
      </c>
      <c r="B514" t="s">
        <v>11826</v>
      </c>
      <c r="C514" t="s">
        <v>13184</v>
      </c>
    </row>
    <row r="515" spans="1:3" x14ac:dyDescent="0.25">
      <c r="A515">
        <v>514</v>
      </c>
      <c r="B515" t="s">
        <v>11823</v>
      </c>
      <c r="C515" t="s">
        <v>13185</v>
      </c>
    </row>
    <row r="516" spans="1:3" x14ac:dyDescent="0.25">
      <c r="A516">
        <v>515</v>
      </c>
      <c r="B516" t="s">
        <v>11820</v>
      </c>
      <c r="C516" t="s">
        <v>13186</v>
      </c>
    </row>
    <row r="517" spans="1:3" x14ac:dyDescent="0.25">
      <c r="A517">
        <v>516</v>
      </c>
      <c r="B517" t="s">
        <v>11754</v>
      </c>
      <c r="C517" t="s">
        <v>13187</v>
      </c>
    </row>
    <row r="518" spans="1:3" x14ac:dyDescent="0.25">
      <c r="A518">
        <v>517</v>
      </c>
      <c r="B518" t="s">
        <v>11757</v>
      </c>
      <c r="C518" t="s">
        <v>13188</v>
      </c>
    </row>
    <row r="519" spans="1:3" x14ac:dyDescent="0.25">
      <c r="A519">
        <v>518</v>
      </c>
      <c r="B519" t="s">
        <v>11760</v>
      </c>
      <c r="C519" t="s">
        <v>13189</v>
      </c>
    </row>
    <row r="520" spans="1:3" x14ac:dyDescent="0.25">
      <c r="A520">
        <v>519</v>
      </c>
      <c r="B520" t="s">
        <v>11761</v>
      </c>
      <c r="C520" t="s">
        <v>13190</v>
      </c>
    </row>
    <row r="521" spans="1:3" x14ac:dyDescent="0.25">
      <c r="A521">
        <v>520</v>
      </c>
      <c r="B521" t="s">
        <v>11762</v>
      </c>
      <c r="C521" t="s">
        <v>13191</v>
      </c>
    </row>
    <row r="522" spans="1:3" x14ac:dyDescent="0.25">
      <c r="A522">
        <v>521</v>
      </c>
      <c r="B522" t="s">
        <v>11763</v>
      </c>
      <c r="C522" t="s">
        <v>13192</v>
      </c>
    </row>
    <row r="523" spans="1:3" x14ac:dyDescent="0.25">
      <c r="A523">
        <v>522</v>
      </c>
      <c r="B523" t="s">
        <v>11767</v>
      </c>
      <c r="C523" t="s">
        <v>13193</v>
      </c>
    </row>
    <row r="524" spans="1:3" x14ac:dyDescent="0.25">
      <c r="A524">
        <v>523</v>
      </c>
      <c r="B524" t="s">
        <v>11806</v>
      </c>
      <c r="C524" t="s">
        <v>13194</v>
      </c>
    </row>
    <row r="525" spans="1:3" x14ac:dyDescent="0.25">
      <c r="A525">
        <v>524</v>
      </c>
      <c r="B525" t="s">
        <v>11768</v>
      </c>
      <c r="C525" t="s">
        <v>13195</v>
      </c>
    </row>
    <row r="526" spans="1:3" x14ac:dyDescent="0.25">
      <c r="A526">
        <v>525</v>
      </c>
      <c r="B526" t="s">
        <v>11769</v>
      </c>
      <c r="C526" t="s">
        <v>13196</v>
      </c>
    </row>
    <row r="527" spans="1:3" x14ac:dyDescent="0.25">
      <c r="A527">
        <v>526</v>
      </c>
      <c r="B527" t="s">
        <v>11804</v>
      </c>
      <c r="C527" t="s">
        <v>13197</v>
      </c>
    </row>
    <row r="528" spans="1:3" x14ac:dyDescent="0.25">
      <c r="A528">
        <v>527</v>
      </c>
      <c r="B528" t="s">
        <v>11771</v>
      </c>
      <c r="C528" t="s">
        <v>13198</v>
      </c>
    </row>
    <row r="529" spans="1:3" x14ac:dyDescent="0.25">
      <c r="A529">
        <v>528</v>
      </c>
      <c r="B529" t="s">
        <v>11801</v>
      </c>
      <c r="C529" t="s">
        <v>13199</v>
      </c>
    </row>
    <row r="530" spans="1:3" x14ac:dyDescent="0.25">
      <c r="A530">
        <v>529</v>
      </c>
      <c r="B530" t="s">
        <v>11774</v>
      </c>
      <c r="C530" t="s">
        <v>13200</v>
      </c>
    </row>
    <row r="531" spans="1:3" x14ac:dyDescent="0.25">
      <c r="A531">
        <v>530</v>
      </c>
      <c r="B531" t="s">
        <v>11797</v>
      </c>
      <c r="C531" t="s">
        <v>13201</v>
      </c>
    </row>
    <row r="532" spans="1:3" x14ac:dyDescent="0.25">
      <c r="A532">
        <v>531</v>
      </c>
      <c r="B532" t="s">
        <v>11796</v>
      </c>
      <c r="C532" t="s">
        <v>13202</v>
      </c>
    </row>
    <row r="533" spans="1:3" x14ac:dyDescent="0.25">
      <c r="A533">
        <v>532</v>
      </c>
      <c r="B533" t="s">
        <v>11995</v>
      </c>
      <c r="C533" t="s">
        <v>13203</v>
      </c>
    </row>
    <row r="534" spans="1:3" x14ac:dyDescent="0.25">
      <c r="A534">
        <v>533</v>
      </c>
      <c r="B534" t="s">
        <v>11793</v>
      </c>
      <c r="C534" t="s">
        <v>13204</v>
      </c>
    </row>
    <row r="535" spans="1:3" x14ac:dyDescent="0.25">
      <c r="A535">
        <v>534</v>
      </c>
      <c r="B535" t="s">
        <v>11795</v>
      </c>
      <c r="C535" t="s">
        <v>13205</v>
      </c>
    </row>
    <row r="536" spans="1:3" x14ac:dyDescent="0.25">
      <c r="A536">
        <v>535</v>
      </c>
      <c r="B536" t="s">
        <v>11926</v>
      </c>
      <c r="C536" t="s">
        <v>13206</v>
      </c>
    </row>
    <row r="537" spans="1:3" x14ac:dyDescent="0.25">
      <c r="A537">
        <v>536</v>
      </c>
      <c r="B537" t="s">
        <v>11927</v>
      </c>
      <c r="C537" t="s">
        <v>13207</v>
      </c>
    </row>
    <row r="538" spans="1:3" x14ac:dyDescent="0.25">
      <c r="A538">
        <v>537</v>
      </c>
      <c r="B538" t="s">
        <v>11928</v>
      </c>
      <c r="C538" t="s">
        <v>13208</v>
      </c>
    </row>
    <row r="539" spans="1:3" x14ac:dyDescent="0.25">
      <c r="A539">
        <v>538</v>
      </c>
      <c r="B539" t="s">
        <v>11930</v>
      </c>
      <c r="C539" t="s">
        <v>13209</v>
      </c>
    </row>
    <row r="540" spans="1:3" x14ac:dyDescent="0.25">
      <c r="A540">
        <v>539</v>
      </c>
      <c r="B540" t="s">
        <v>11693</v>
      </c>
      <c r="C540" t="s">
        <v>13210</v>
      </c>
    </row>
    <row r="541" spans="1:3" x14ac:dyDescent="0.25">
      <c r="A541">
        <v>540</v>
      </c>
      <c r="B541" t="s">
        <v>11932</v>
      </c>
      <c r="C541" t="s">
        <v>13211</v>
      </c>
    </row>
    <row r="542" spans="1:3" x14ac:dyDescent="0.25">
      <c r="A542">
        <v>541</v>
      </c>
      <c r="B542" t="s">
        <v>11933</v>
      </c>
      <c r="C542" t="s">
        <v>13212</v>
      </c>
    </row>
    <row r="543" spans="1:3" x14ac:dyDescent="0.25">
      <c r="A543">
        <v>542</v>
      </c>
      <c r="B543" t="s">
        <v>11936</v>
      </c>
      <c r="C543" t="s">
        <v>13213</v>
      </c>
    </row>
    <row r="544" spans="1:3" x14ac:dyDescent="0.25">
      <c r="A544">
        <v>543</v>
      </c>
      <c r="B544" t="s">
        <v>11942</v>
      </c>
      <c r="C544" t="s">
        <v>13214</v>
      </c>
    </row>
    <row r="545" spans="1:3" x14ac:dyDescent="0.25">
      <c r="A545">
        <v>544</v>
      </c>
      <c r="B545" t="s">
        <v>11944</v>
      </c>
      <c r="C545" t="s">
        <v>13215</v>
      </c>
    </row>
    <row r="546" spans="1:3" x14ac:dyDescent="0.25">
      <c r="A546">
        <v>545</v>
      </c>
      <c r="B546" t="s">
        <v>11945</v>
      </c>
      <c r="C546" t="s">
        <v>13216</v>
      </c>
    </row>
    <row r="547" spans="1:3" x14ac:dyDescent="0.25">
      <c r="A547">
        <v>546</v>
      </c>
      <c r="B547" t="s">
        <v>11946</v>
      </c>
      <c r="C547" t="s">
        <v>13217</v>
      </c>
    </row>
    <row r="548" spans="1:3" x14ac:dyDescent="0.25">
      <c r="A548">
        <v>547</v>
      </c>
      <c r="B548" t="s">
        <v>11949</v>
      </c>
      <c r="C548" t="s">
        <v>13218</v>
      </c>
    </row>
    <row r="549" spans="1:3" x14ac:dyDescent="0.25">
      <c r="A549">
        <v>548</v>
      </c>
      <c r="B549" t="s">
        <v>11951</v>
      </c>
      <c r="C549" t="s">
        <v>13219</v>
      </c>
    </row>
    <row r="550" spans="1:3" x14ac:dyDescent="0.25">
      <c r="A550">
        <v>549</v>
      </c>
      <c r="B550" t="s">
        <v>11953</v>
      </c>
      <c r="C550" t="s">
        <v>13220</v>
      </c>
    </row>
    <row r="551" spans="1:3" x14ac:dyDescent="0.25">
      <c r="A551">
        <v>550</v>
      </c>
      <c r="B551" t="s">
        <v>11954</v>
      </c>
      <c r="C551" t="s">
        <v>13221</v>
      </c>
    </row>
    <row r="552" spans="1:3" x14ac:dyDescent="0.25">
      <c r="A552">
        <v>551</v>
      </c>
      <c r="B552" t="s">
        <v>11956</v>
      </c>
      <c r="C552" t="s">
        <v>13222</v>
      </c>
    </row>
    <row r="553" spans="1:3" x14ac:dyDescent="0.25">
      <c r="A553">
        <v>552</v>
      </c>
      <c r="B553" t="s">
        <v>11957</v>
      </c>
      <c r="C553" t="s">
        <v>13223</v>
      </c>
    </row>
    <row r="554" spans="1:3" x14ac:dyDescent="0.25">
      <c r="A554">
        <v>553</v>
      </c>
      <c r="B554" t="s">
        <v>11959</v>
      </c>
      <c r="C554" t="s">
        <v>13224</v>
      </c>
    </row>
    <row r="555" spans="1:3" x14ac:dyDescent="0.25">
      <c r="A555">
        <v>554</v>
      </c>
      <c r="B555" t="s">
        <v>11960</v>
      </c>
      <c r="C555" t="s">
        <v>13225</v>
      </c>
    </row>
    <row r="556" spans="1:3" x14ac:dyDescent="0.25">
      <c r="A556">
        <v>555</v>
      </c>
      <c r="B556" t="s">
        <v>11962</v>
      </c>
      <c r="C556" t="s">
        <v>13226</v>
      </c>
    </row>
    <row r="557" spans="1:3" x14ac:dyDescent="0.25">
      <c r="A557">
        <v>556</v>
      </c>
      <c r="B557" t="s">
        <v>11963</v>
      </c>
      <c r="C557" t="s">
        <v>13227</v>
      </c>
    </row>
    <row r="558" spans="1:3" x14ac:dyDescent="0.25">
      <c r="A558">
        <v>557</v>
      </c>
      <c r="B558" t="s">
        <v>11964</v>
      </c>
      <c r="C558" t="s">
        <v>13228</v>
      </c>
    </row>
    <row r="559" spans="1:3" x14ac:dyDescent="0.25">
      <c r="A559">
        <v>558</v>
      </c>
      <c r="B559" t="s">
        <v>11941</v>
      </c>
      <c r="C559" t="s">
        <v>13229</v>
      </c>
    </row>
    <row r="560" spans="1:3" x14ac:dyDescent="0.25">
      <c r="A560">
        <v>559</v>
      </c>
      <c r="B560" t="s">
        <v>11943</v>
      </c>
      <c r="C560" t="s">
        <v>13230</v>
      </c>
    </row>
    <row r="561" spans="1:3" x14ac:dyDescent="0.25">
      <c r="A561">
        <v>560</v>
      </c>
      <c r="B561" t="s">
        <v>11947</v>
      </c>
      <c r="C561" t="s">
        <v>13231</v>
      </c>
    </row>
    <row r="562" spans="1:3" x14ac:dyDescent="0.25">
      <c r="A562">
        <v>561</v>
      </c>
      <c r="B562" t="s">
        <v>11950</v>
      </c>
      <c r="C562" t="s">
        <v>13232</v>
      </c>
    </row>
    <row r="563" spans="1:3" x14ac:dyDescent="0.25">
      <c r="A563">
        <v>562</v>
      </c>
      <c r="B563" t="s">
        <v>11985</v>
      </c>
      <c r="C563" t="s">
        <v>13233</v>
      </c>
    </row>
    <row r="564" spans="1:3" x14ac:dyDescent="0.25">
      <c r="A564">
        <v>563</v>
      </c>
      <c r="B564" t="s">
        <v>11482</v>
      </c>
      <c r="C564" t="s">
        <v>13234</v>
      </c>
    </row>
    <row r="565" spans="1:3" x14ac:dyDescent="0.25">
      <c r="A565">
        <v>564</v>
      </c>
      <c r="B565" t="s">
        <v>11421</v>
      </c>
      <c r="C565" t="s">
        <v>13235</v>
      </c>
    </row>
    <row r="566" spans="1:3" x14ac:dyDescent="0.25">
      <c r="A566">
        <v>565</v>
      </c>
      <c r="B566" t="s">
        <v>11471</v>
      </c>
      <c r="C566" t="s">
        <v>13236</v>
      </c>
    </row>
    <row r="567" spans="1:3" x14ac:dyDescent="0.25">
      <c r="A567">
        <v>566</v>
      </c>
      <c r="B567" t="s">
        <v>12002</v>
      </c>
      <c r="C567" t="s">
        <v>13237</v>
      </c>
    </row>
    <row r="568" spans="1:3" x14ac:dyDescent="0.25">
      <c r="A568">
        <v>567</v>
      </c>
      <c r="B568" t="s">
        <v>11381</v>
      </c>
      <c r="C568" t="s">
        <v>13238</v>
      </c>
    </row>
    <row r="569" spans="1:3" x14ac:dyDescent="0.25">
      <c r="A569">
        <v>568</v>
      </c>
      <c r="B569" t="s">
        <v>11382</v>
      </c>
      <c r="C569" t="s">
        <v>13239</v>
      </c>
    </row>
    <row r="570" spans="1:3" x14ac:dyDescent="0.25">
      <c r="A570">
        <v>569</v>
      </c>
      <c r="B570" t="s">
        <v>11383</v>
      </c>
      <c r="C570" t="s">
        <v>13240</v>
      </c>
    </row>
    <row r="571" spans="1:3" x14ac:dyDescent="0.25">
      <c r="A571">
        <v>570</v>
      </c>
      <c r="B571" t="s">
        <v>11384</v>
      </c>
      <c r="C571" t="s">
        <v>13241</v>
      </c>
    </row>
    <row r="572" spans="1:3" x14ac:dyDescent="0.25">
      <c r="A572">
        <v>571</v>
      </c>
      <c r="B572" t="s">
        <v>11385</v>
      </c>
      <c r="C572" t="s">
        <v>13242</v>
      </c>
    </row>
    <row r="573" spans="1:3" x14ac:dyDescent="0.25">
      <c r="A573">
        <v>572</v>
      </c>
      <c r="B573" t="s">
        <v>11386</v>
      </c>
      <c r="C573" t="s">
        <v>13243</v>
      </c>
    </row>
    <row r="574" spans="1:3" x14ac:dyDescent="0.25">
      <c r="A574">
        <v>573</v>
      </c>
      <c r="B574" t="s">
        <v>11924</v>
      </c>
      <c r="C574" t="s">
        <v>13244</v>
      </c>
    </row>
    <row r="575" spans="1:3" x14ac:dyDescent="0.25">
      <c r="A575">
        <v>574</v>
      </c>
      <c r="B575" t="s">
        <v>11388</v>
      </c>
      <c r="C575" t="s">
        <v>13245</v>
      </c>
    </row>
    <row r="576" spans="1:3" x14ac:dyDescent="0.25">
      <c r="A576">
        <v>575</v>
      </c>
      <c r="B576" t="s">
        <v>11389</v>
      </c>
      <c r="C576" t="s">
        <v>13246</v>
      </c>
    </row>
    <row r="577" spans="1:3" x14ac:dyDescent="0.25">
      <c r="A577">
        <v>576</v>
      </c>
      <c r="B577" t="s">
        <v>11391</v>
      </c>
      <c r="C577" t="s">
        <v>13247</v>
      </c>
    </row>
    <row r="578" spans="1:3" x14ac:dyDescent="0.25">
      <c r="A578">
        <v>577</v>
      </c>
      <c r="B578" t="s">
        <v>11392</v>
      </c>
      <c r="C578" t="s">
        <v>13248</v>
      </c>
    </row>
    <row r="579" spans="1:3" x14ac:dyDescent="0.25">
      <c r="A579">
        <v>578</v>
      </c>
      <c r="B579" t="s">
        <v>11393</v>
      </c>
      <c r="C579" t="s">
        <v>13249</v>
      </c>
    </row>
    <row r="580" spans="1:3" x14ac:dyDescent="0.25">
      <c r="A580">
        <v>579</v>
      </c>
      <c r="B580" t="s">
        <v>11919</v>
      </c>
      <c r="C580" t="s">
        <v>13250</v>
      </c>
    </row>
    <row r="581" spans="1:3" x14ac:dyDescent="0.25">
      <c r="A581">
        <v>580</v>
      </c>
      <c r="B581" t="s">
        <v>11918</v>
      </c>
      <c r="C581" t="s">
        <v>13251</v>
      </c>
    </row>
    <row r="582" spans="1:3" x14ac:dyDescent="0.25">
      <c r="A582">
        <v>581</v>
      </c>
      <c r="B582" t="s">
        <v>11396</v>
      </c>
      <c r="C582" t="s">
        <v>13252</v>
      </c>
    </row>
    <row r="583" spans="1:3" x14ac:dyDescent="0.25">
      <c r="A583">
        <v>582</v>
      </c>
      <c r="B583" t="s">
        <v>11397</v>
      </c>
      <c r="C583" t="s">
        <v>13253</v>
      </c>
    </row>
    <row r="584" spans="1:3" x14ac:dyDescent="0.25">
      <c r="A584">
        <v>583</v>
      </c>
      <c r="B584" t="s">
        <v>11399</v>
      </c>
      <c r="C584" t="s">
        <v>13254</v>
      </c>
    </row>
    <row r="585" spans="1:3" x14ac:dyDescent="0.25">
      <c r="A585">
        <v>584</v>
      </c>
      <c r="B585" t="s">
        <v>11917</v>
      </c>
      <c r="C585" t="s">
        <v>13255</v>
      </c>
    </row>
    <row r="586" spans="1:3" x14ac:dyDescent="0.25">
      <c r="A586">
        <v>585</v>
      </c>
      <c r="B586" t="s">
        <v>11400</v>
      </c>
      <c r="C586" t="s">
        <v>13256</v>
      </c>
    </row>
    <row r="587" spans="1:3" x14ac:dyDescent="0.25">
      <c r="A587">
        <v>586</v>
      </c>
      <c r="B587" t="s">
        <v>11401</v>
      </c>
      <c r="C587" t="s">
        <v>13257</v>
      </c>
    </row>
    <row r="588" spans="1:3" x14ac:dyDescent="0.25">
      <c r="A588">
        <v>587</v>
      </c>
      <c r="B588" t="s">
        <v>11914</v>
      </c>
      <c r="C588" t="s">
        <v>13258</v>
      </c>
    </row>
    <row r="589" spans="1:3" x14ac:dyDescent="0.25">
      <c r="A589">
        <v>588</v>
      </c>
      <c r="B589" t="s">
        <v>11912</v>
      </c>
      <c r="C589" t="s">
        <v>13259</v>
      </c>
    </row>
    <row r="590" spans="1:3" x14ac:dyDescent="0.25">
      <c r="A590">
        <v>589</v>
      </c>
      <c r="B590" t="s">
        <v>11402</v>
      </c>
      <c r="C590" t="s">
        <v>13260</v>
      </c>
    </row>
    <row r="591" spans="1:3" x14ac:dyDescent="0.25">
      <c r="A591">
        <v>590</v>
      </c>
      <c r="B591" t="s">
        <v>11911</v>
      </c>
      <c r="C591" t="s">
        <v>13261</v>
      </c>
    </row>
    <row r="592" spans="1:3" x14ac:dyDescent="0.25">
      <c r="A592">
        <v>591</v>
      </c>
      <c r="B592" t="s">
        <v>11910</v>
      </c>
      <c r="C592" t="s">
        <v>13262</v>
      </c>
    </row>
    <row r="593" spans="1:3" x14ac:dyDescent="0.25">
      <c r="A593">
        <v>592</v>
      </c>
      <c r="B593" t="s">
        <v>11909</v>
      </c>
      <c r="C593" t="s">
        <v>13263</v>
      </c>
    </row>
    <row r="594" spans="1:3" x14ac:dyDescent="0.25">
      <c r="A594">
        <v>593</v>
      </c>
      <c r="B594" t="s">
        <v>11403</v>
      </c>
      <c r="C594" t="s">
        <v>13264</v>
      </c>
    </row>
    <row r="595" spans="1:3" x14ac:dyDescent="0.25">
      <c r="A595">
        <v>594</v>
      </c>
      <c r="B595" t="s">
        <v>11404</v>
      </c>
      <c r="C595" t="s">
        <v>13265</v>
      </c>
    </row>
    <row r="596" spans="1:3" x14ac:dyDescent="0.25">
      <c r="A596">
        <v>595</v>
      </c>
      <c r="B596" t="s">
        <v>11405</v>
      </c>
      <c r="C596" t="s">
        <v>13266</v>
      </c>
    </row>
    <row r="597" spans="1:3" x14ac:dyDescent="0.25">
      <c r="A597">
        <v>596</v>
      </c>
      <c r="B597" t="s">
        <v>11407</v>
      </c>
      <c r="C597" t="s">
        <v>13267</v>
      </c>
    </row>
    <row r="598" spans="1:3" x14ac:dyDescent="0.25">
      <c r="A598">
        <v>597</v>
      </c>
      <c r="B598" t="s">
        <v>11905</v>
      </c>
      <c r="C598" t="s">
        <v>13268</v>
      </c>
    </row>
    <row r="599" spans="1:3" x14ac:dyDescent="0.25">
      <c r="A599">
        <v>598</v>
      </c>
      <c r="B599" t="s">
        <v>11901</v>
      </c>
      <c r="C599" t="s">
        <v>13269</v>
      </c>
    </row>
    <row r="600" spans="1:3" x14ac:dyDescent="0.25">
      <c r="A600">
        <v>599</v>
      </c>
      <c r="B600" t="s">
        <v>11409</v>
      </c>
      <c r="C600" t="s">
        <v>13270</v>
      </c>
    </row>
    <row r="601" spans="1:3" x14ac:dyDescent="0.25">
      <c r="A601">
        <v>600</v>
      </c>
      <c r="B601" t="s">
        <v>11410</v>
      </c>
      <c r="C601" t="s">
        <v>13271</v>
      </c>
    </row>
    <row r="602" spans="1:3" x14ac:dyDescent="0.25">
      <c r="A602">
        <v>601</v>
      </c>
      <c r="B602" t="s">
        <v>11411</v>
      </c>
      <c r="C602" t="s">
        <v>13272</v>
      </c>
    </row>
    <row r="603" spans="1:3" x14ac:dyDescent="0.25">
      <c r="A603">
        <v>602</v>
      </c>
      <c r="B603" t="s">
        <v>11412</v>
      </c>
      <c r="C603" t="s">
        <v>13273</v>
      </c>
    </row>
    <row r="604" spans="1:3" x14ac:dyDescent="0.25">
      <c r="A604">
        <v>603</v>
      </c>
      <c r="B604" t="s">
        <v>11414</v>
      </c>
      <c r="C604" t="s">
        <v>13274</v>
      </c>
    </row>
    <row r="605" spans="1:3" x14ac:dyDescent="0.25">
      <c r="A605">
        <v>604</v>
      </c>
      <c r="B605" t="s">
        <v>11415</v>
      </c>
      <c r="C605" t="s">
        <v>13275</v>
      </c>
    </row>
    <row r="606" spans="1:3" x14ac:dyDescent="0.25">
      <c r="A606">
        <v>605</v>
      </c>
      <c r="B606" t="s">
        <v>11417</v>
      </c>
      <c r="C606" t="s">
        <v>13276</v>
      </c>
    </row>
    <row r="607" spans="1:3" x14ac:dyDescent="0.25">
      <c r="A607">
        <v>606</v>
      </c>
      <c r="B607" t="s">
        <v>11418</v>
      </c>
      <c r="C607" t="s">
        <v>13277</v>
      </c>
    </row>
    <row r="608" spans="1:3" x14ac:dyDescent="0.25">
      <c r="A608">
        <v>607</v>
      </c>
      <c r="B608" t="s">
        <v>11419</v>
      </c>
      <c r="C608" t="s">
        <v>13278</v>
      </c>
    </row>
    <row r="609" spans="1:3" x14ac:dyDescent="0.25">
      <c r="A609">
        <v>608</v>
      </c>
      <c r="B609" t="s">
        <v>11890</v>
      </c>
      <c r="C609" t="s">
        <v>13279</v>
      </c>
    </row>
    <row r="610" spans="1:3" x14ac:dyDescent="0.25">
      <c r="A610">
        <v>609</v>
      </c>
      <c r="B610" t="s">
        <v>11889</v>
      </c>
      <c r="C610" t="s">
        <v>13280</v>
      </c>
    </row>
    <row r="611" spans="1:3" x14ac:dyDescent="0.25">
      <c r="A611">
        <v>610</v>
      </c>
      <c r="B611" t="s">
        <v>11888</v>
      </c>
      <c r="C611" t="s">
        <v>13281</v>
      </c>
    </row>
    <row r="612" spans="1:3" x14ac:dyDescent="0.25">
      <c r="A612">
        <v>611</v>
      </c>
      <c r="B612" t="s">
        <v>11387</v>
      </c>
      <c r="C612" t="s">
        <v>13282</v>
      </c>
    </row>
    <row r="613" spans="1:3" x14ac:dyDescent="0.25">
      <c r="A613">
        <v>612</v>
      </c>
      <c r="B613" t="s">
        <v>11390</v>
      </c>
      <c r="C613" t="s">
        <v>13283</v>
      </c>
    </row>
    <row r="614" spans="1:3" x14ac:dyDescent="0.25">
      <c r="A614">
        <v>613</v>
      </c>
      <c r="B614" t="s">
        <v>11394</v>
      </c>
      <c r="C614" t="s">
        <v>13284</v>
      </c>
    </row>
    <row r="615" spans="1:3" x14ac:dyDescent="0.25">
      <c r="A615">
        <v>614</v>
      </c>
      <c r="B615" t="s">
        <v>11395</v>
      </c>
      <c r="C615" t="s">
        <v>13285</v>
      </c>
    </row>
    <row r="616" spans="1:3" x14ac:dyDescent="0.25">
      <c r="A616">
        <v>615</v>
      </c>
      <c r="B616" t="s">
        <v>11398</v>
      </c>
      <c r="C616" t="s">
        <v>13286</v>
      </c>
    </row>
    <row r="617" spans="1:3" x14ac:dyDescent="0.25">
      <c r="A617">
        <v>616</v>
      </c>
      <c r="B617" t="s">
        <v>11916</v>
      </c>
      <c r="C617" t="s">
        <v>13287</v>
      </c>
    </row>
    <row r="618" spans="1:3" x14ac:dyDescent="0.25">
      <c r="A618">
        <v>617</v>
      </c>
      <c r="B618" t="s">
        <v>11907</v>
      </c>
      <c r="C618" t="s">
        <v>13288</v>
      </c>
    </row>
    <row r="619" spans="1:3" x14ac:dyDescent="0.25">
      <c r="A619">
        <v>618</v>
      </c>
      <c r="B619" t="s">
        <v>11406</v>
      </c>
      <c r="C619" t="s">
        <v>13289</v>
      </c>
    </row>
    <row r="620" spans="1:3" x14ac:dyDescent="0.25">
      <c r="A620">
        <v>619</v>
      </c>
      <c r="B620" t="s">
        <v>11408</v>
      </c>
      <c r="C620" t="s">
        <v>13290</v>
      </c>
    </row>
    <row r="621" spans="1:3" x14ac:dyDescent="0.25">
      <c r="A621">
        <v>620</v>
      </c>
      <c r="B621" t="s">
        <v>11891</v>
      </c>
      <c r="C621" t="s">
        <v>13291</v>
      </c>
    </row>
    <row r="622" spans="1:3" x14ac:dyDescent="0.25">
      <c r="A622">
        <v>621</v>
      </c>
      <c r="B622" t="s">
        <v>11413</v>
      </c>
      <c r="C622" t="s">
        <v>13292</v>
      </c>
    </row>
    <row r="623" spans="1:3" x14ac:dyDescent="0.25">
      <c r="A623">
        <v>622</v>
      </c>
      <c r="B623" t="s">
        <v>11416</v>
      </c>
      <c r="C623" t="s">
        <v>13293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AF426-FDE2-4615-87BA-564CB4F9F015}">
  <dimension ref="A1:AN217"/>
  <sheetViews>
    <sheetView topLeftCell="AB197" workbookViewId="0">
      <selection activeCell="AF215" sqref="AF2:AF215"/>
    </sheetView>
  </sheetViews>
  <sheetFormatPr defaultRowHeight="15" x14ac:dyDescent="0.25"/>
  <cols>
    <col min="1" max="1" width="5.42578125" bestFit="1" customWidth="1"/>
    <col min="2" max="2" width="8.42578125" bestFit="1" customWidth="1"/>
    <col min="3" max="3" width="17.7109375" bestFit="1" customWidth="1"/>
    <col min="4" max="4" width="18.28515625" bestFit="1" customWidth="1"/>
    <col min="5" max="5" width="35.5703125" bestFit="1" customWidth="1"/>
    <col min="6" max="6" width="14.7109375" bestFit="1" customWidth="1"/>
    <col min="7" max="7" width="15.42578125" bestFit="1" customWidth="1"/>
    <col min="8" max="8" width="25.7109375" bestFit="1" customWidth="1"/>
    <col min="9" max="9" width="33.7109375" bestFit="1" customWidth="1"/>
    <col min="10" max="10" width="20.7109375" bestFit="1" customWidth="1"/>
    <col min="11" max="11" width="109.85546875" bestFit="1" customWidth="1"/>
    <col min="12" max="12" width="17.140625" bestFit="1" customWidth="1"/>
    <col min="13" max="13" width="10.5703125" bestFit="1" customWidth="1"/>
    <col min="14" max="14" width="31.42578125" bestFit="1" customWidth="1"/>
    <col min="15" max="15" width="16.28515625" bestFit="1" customWidth="1"/>
    <col min="16" max="16" width="20.140625" bestFit="1" customWidth="1"/>
    <col min="17" max="17" width="21" bestFit="1" customWidth="1"/>
    <col min="18" max="18" width="14" bestFit="1" customWidth="1"/>
    <col min="19" max="19" width="13.28515625" bestFit="1" customWidth="1"/>
    <col min="20" max="20" width="32.5703125" bestFit="1" customWidth="1"/>
    <col min="21" max="21" width="8.7109375" bestFit="1" customWidth="1"/>
    <col min="22" max="22" width="22.28515625" bestFit="1" customWidth="1"/>
    <col min="23" max="23" width="20.28515625" bestFit="1" customWidth="1"/>
    <col min="24" max="24" width="22.7109375" bestFit="1" customWidth="1"/>
    <col min="25" max="25" width="19.7109375" bestFit="1" customWidth="1"/>
    <col min="26" max="26" width="10.140625" bestFit="1" customWidth="1"/>
    <col min="27" max="27" width="18.140625" bestFit="1" customWidth="1"/>
    <col min="28" max="28" width="26" bestFit="1" customWidth="1"/>
    <col min="29" max="29" width="23.85546875" bestFit="1" customWidth="1"/>
    <col min="30" max="30" width="7.42578125" bestFit="1" customWidth="1"/>
    <col min="31" max="31" width="14.28515625" bestFit="1" customWidth="1"/>
    <col min="32" max="32" width="12.7109375" bestFit="1" customWidth="1"/>
    <col min="33" max="33" width="17.7109375" bestFit="1" customWidth="1"/>
    <col min="34" max="34" width="11.7109375" bestFit="1" customWidth="1"/>
    <col min="35" max="35" width="12.28515625" bestFit="1" customWidth="1"/>
    <col min="36" max="36" width="42.28515625" bestFit="1" customWidth="1"/>
    <col min="37" max="37" width="11.5703125" bestFit="1" customWidth="1"/>
    <col min="38" max="38" width="6.28515625" bestFit="1" customWidth="1"/>
    <col min="39" max="39" width="9.7109375" bestFit="1" customWidth="1"/>
    <col min="40" max="40" width="7.5703125" bestFit="1" customWidth="1"/>
  </cols>
  <sheetData>
    <row r="1" spans="1:4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11377</v>
      </c>
      <c r="AK1" s="7" t="s">
        <v>11378</v>
      </c>
      <c r="AL1" s="7" t="s">
        <v>12003</v>
      </c>
      <c r="AM1" s="7" t="s">
        <v>11379</v>
      </c>
      <c r="AN1" s="7" t="s">
        <v>11380</v>
      </c>
    </row>
    <row r="2" spans="1:40" x14ac:dyDescent="0.25">
      <c r="A2" s="9">
        <v>666</v>
      </c>
      <c r="B2" s="18" t="s">
        <v>8030</v>
      </c>
      <c r="C2" s="9" t="s">
        <v>8031</v>
      </c>
      <c r="D2" s="9" t="s">
        <v>37</v>
      </c>
      <c r="E2" s="9" t="s">
        <v>8032</v>
      </c>
      <c r="F2" s="9" t="s">
        <v>107</v>
      </c>
      <c r="G2" s="9" t="s">
        <v>8033</v>
      </c>
      <c r="H2" s="9" t="s">
        <v>8034</v>
      </c>
      <c r="I2" s="9" t="s">
        <v>8034</v>
      </c>
      <c r="J2" s="9" t="s">
        <v>8035</v>
      </c>
      <c r="K2" s="9" t="s">
        <v>8036</v>
      </c>
      <c r="L2" s="9">
        <v>750083</v>
      </c>
      <c r="M2" s="9">
        <v>1391000</v>
      </c>
      <c r="N2" s="9" t="s">
        <v>8037</v>
      </c>
      <c r="O2" s="9" t="s">
        <v>68</v>
      </c>
      <c r="P2" s="9" t="s">
        <v>8038</v>
      </c>
      <c r="Q2" s="9" t="s">
        <v>8039</v>
      </c>
      <c r="R2" s="9" t="s">
        <v>47</v>
      </c>
      <c r="S2" s="9" t="s">
        <v>48</v>
      </c>
      <c r="T2" s="9" t="s">
        <v>67</v>
      </c>
      <c r="U2" s="9" t="s">
        <v>335</v>
      </c>
      <c r="V2" s="9">
        <v>44001</v>
      </c>
      <c r="W2" s="9" t="s">
        <v>8040</v>
      </c>
      <c r="X2" s="9" t="s">
        <v>8041</v>
      </c>
      <c r="Y2" s="9" t="s">
        <v>8042</v>
      </c>
      <c r="Z2" s="9">
        <v>4</v>
      </c>
      <c r="AA2" s="9" t="s">
        <v>3923</v>
      </c>
      <c r="AB2" s="9" t="s">
        <v>8043</v>
      </c>
      <c r="AC2" s="9" t="s">
        <v>8044</v>
      </c>
      <c r="AD2" s="9" t="s">
        <v>880</v>
      </c>
      <c r="AE2" s="9">
        <v>834600</v>
      </c>
      <c r="AF2" s="11">
        <v>25873</v>
      </c>
      <c r="AG2" s="9"/>
      <c r="AH2" s="9"/>
      <c r="AI2" s="9"/>
      <c r="AJ2" s="9" t="s">
        <v>12005</v>
      </c>
      <c r="AK2" s="11">
        <v>30185</v>
      </c>
      <c r="AL2" s="12"/>
      <c r="AM2" s="14">
        <f>AF2-AK2</f>
        <v>-4312</v>
      </c>
      <c r="AN2" s="12" t="s">
        <v>12004</v>
      </c>
    </row>
    <row r="3" spans="1:40" x14ac:dyDescent="0.25">
      <c r="A3" s="12">
        <v>667</v>
      </c>
      <c r="B3" s="18" t="s">
        <v>8030</v>
      </c>
      <c r="C3" s="12" t="s">
        <v>8045</v>
      </c>
      <c r="D3" s="12" t="s">
        <v>37</v>
      </c>
      <c r="E3" s="12" t="s">
        <v>8046</v>
      </c>
      <c r="F3" s="12" t="s">
        <v>39</v>
      </c>
      <c r="G3" s="12" t="s">
        <v>8047</v>
      </c>
      <c r="H3" s="12" t="s">
        <v>48</v>
      </c>
      <c r="I3" s="12" t="s">
        <v>8048</v>
      </c>
      <c r="J3" s="12" t="s">
        <v>48</v>
      </c>
      <c r="K3" s="12" t="s">
        <v>8049</v>
      </c>
      <c r="L3" s="12">
        <v>520541</v>
      </c>
      <c r="M3" s="12">
        <v>899000</v>
      </c>
      <c r="N3" s="12" t="s">
        <v>8050</v>
      </c>
      <c r="O3" s="12" t="s">
        <v>8051</v>
      </c>
      <c r="P3" s="12" t="s">
        <v>8052</v>
      </c>
      <c r="Q3" s="12" t="s">
        <v>8053</v>
      </c>
      <c r="R3" s="12" t="s">
        <v>47</v>
      </c>
      <c r="S3" s="12" t="s">
        <v>48</v>
      </c>
      <c r="T3" s="12" t="s">
        <v>8054</v>
      </c>
      <c r="U3" s="12" t="s">
        <v>335</v>
      </c>
      <c r="V3" s="12">
        <v>43998</v>
      </c>
      <c r="W3" s="12" t="s">
        <v>8040</v>
      </c>
      <c r="X3" s="12" t="s">
        <v>8041</v>
      </c>
      <c r="Y3" s="12" t="s">
        <v>8055</v>
      </c>
      <c r="Z3" s="12">
        <v>4</v>
      </c>
      <c r="AA3" s="12" t="s">
        <v>55</v>
      </c>
      <c r="AB3" s="12" t="s">
        <v>8056</v>
      </c>
      <c r="AC3" s="12" t="s">
        <v>8057</v>
      </c>
      <c r="AD3" s="12" t="s">
        <v>880</v>
      </c>
      <c r="AE3" s="12">
        <v>539400</v>
      </c>
      <c r="AF3" s="13">
        <v>16721</v>
      </c>
      <c r="AG3" s="12"/>
      <c r="AH3" s="12"/>
      <c r="AI3" s="12"/>
      <c r="AJ3" s="12" t="s">
        <v>12006</v>
      </c>
      <c r="AK3" s="11">
        <v>19508</v>
      </c>
      <c r="AL3" s="12"/>
      <c r="AM3" s="14">
        <f t="shared" ref="AM3:AM66" si="0">AF3-AK3</f>
        <v>-2787</v>
      </c>
      <c r="AN3" s="12" t="s">
        <v>12004</v>
      </c>
    </row>
    <row r="4" spans="1:40" x14ac:dyDescent="0.25">
      <c r="A4" s="9">
        <v>668</v>
      </c>
      <c r="B4" s="18" t="s">
        <v>8030</v>
      </c>
      <c r="C4" s="9" t="s">
        <v>8058</v>
      </c>
      <c r="D4" s="9" t="s">
        <v>37</v>
      </c>
      <c r="E4" s="9" t="s">
        <v>8059</v>
      </c>
      <c r="F4" s="9" t="s">
        <v>107</v>
      </c>
      <c r="G4" s="9" t="s">
        <v>8060</v>
      </c>
      <c r="H4" s="9" t="s">
        <v>8061</v>
      </c>
      <c r="I4" s="9" t="s">
        <v>8061</v>
      </c>
      <c r="J4" s="9" t="s">
        <v>8061</v>
      </c>
      <c r="K4" s="9" t="s">
        <v>8062</v>
      </c>
      <c r="L4" s="9">
        <v>1508686</v>
      </c>
      <c r="M4" s="9">
        <v>3283000</v>
      </c>
      <c r="N4" s="9" t="s">
        <v>8063</v>
      </c>
      <c r="O4" s="10">
        <v>45586</v>
      </c>
      <c r="P4" s="9" t="s">
        <v>8064</v>
      </c>
      <c r="Q4" s="9" t="s">
        <v>8065</v>
      </c>
      <c r="R4" s="9" t="s">
        <v>47</v>
      </c>
      <c r="S4" s="9" t="s">
        <v>48</v>
      </c>
      <c r="T4" s="9" t="s">
        <v>650</v>
      </c>
      <c r="U4" s="9" t="s">
        <v>50</v>
      </c>
      <c r="V4" s="9" t="s">
        <v>4367</v>
      </c>
      <c r="W4" s="9" t="s">
        <v>287</v>
      </c>
      <c r="X4" s="9" t="s">
        <v>3610</v>
      </c>
      <c r="Y4" s="9" t="s">
        <v>8066</v>
      </c>
      <c r="Z4" s="9">
        <v>5</v>
      </c>
      <c r="AA4" s="9" t="s">
        <v>118</v>
      </c>
      <c r="AB4" s="9" t="s">
        <v>8067</v>
      </c>
      <c r="AC4" s="9" t="s">
        <v>8068</v>
      </c>
      <c r="AD4" s="9" t="s">
        <v>58</v>
      </c>
      <c r="AE4" s="9">
        <v>2626400</v>
      </c>
      <c r="AF4" s="11">
        <v>52528</v>
      </c>
      <c r="AG4" s="9"/>
      <c r="AH4" s="9"/>
      <c r="AI4" s="9"/>
      <c r="AJ4" s="9" t="s">
        <v>12007</v>
      </c>
      <c r="AK4" s="11">
        <v>52528</v>
      </c>
      <c r="AL4" s="12"/>
      <c r="AM4" s="14">
        <f t="shared" si="0"/>
        <v>0</v>
      </c>
      <c r="AN4" s="12" t="s">
        <v>12004</v>
      </c>
    </row>
    <row r="5" spans="1:40" x14ac:dyDescent="0.25">
      <c r="A5" s="12">
        <v>669</v>
      </c>
      <c r="B5" s="18" t="s">
        <v>8030</v>
      </c>
      <c r="C5" s="12" t="s">
        <v>8069</v>
      </c>
      <c r="D5" s="12" t="s">
        <v>37</v>
      </c>
      <c r="E5" s="12" t="s">
        <v>8070</v>
      </c>
      <c r="F5" s="12" t="s">
        <v>245</v>
      </c>
      <c r="G5" s="12" t="s">
        <v>8071</v>
      </c>
      <c r="H5" s="12">
        <v>3228585196</v>
      </c>
      <c r="I5" s="12"/>
      <c r="J5" s="12">
        <v>0</v>
      </c>
      <c r="K5" s="12" t="s">
        <v>8072</v>
      </c>
      <c r="L5" s="12">
        <v>2446500</v>
      </c>
      <c r="M5" s="12">
        <v>3495000</v>
      </c>
      <c r="N5" s="12" t="s">
        <v>8073</v>
      </c>
      <c r="O5" s="16">
        <v>45657</v>
      </c>
      <c r="P5" s="12">
        <v>4803418</v>
      </c>
      <c r="Q5" s="12" t="s">
        <v>8074</v>
      </c>
      <c r="R5" s="12" t="s">
        <v>47</v>
      </c>
      <c r="S5" s="12" t="s">
        <v>48</v>
      </c>
      <c r="T5" s="12" t="s">
        <v>2599</v>
      </c>
      <c r="U5" s="12">
        <v>2021</v>
      </c>
      <c r="V5" s="16">
        <v>44135</v>
      </c>
      <c r="W5" s="12" t="s">
        <v>8075</v>
      </c>
      <c r="X5" s="12" t="s">
        <v>8076</v>
      </c>
      <c r="Y5" s="12" t="s">
        <v>8077</v>
      </c>
      <c r="Z5" s="12">
        <v>5</v>
      </c>
      <c r="AA5" s="12" t="s">
        <v>55</v>
      </c>
      <c r="AB5" s="12" t="s">
        <v>8078</v>
      </c>
      <c r="AC5" s="16">
        <v>44202</v>
      </c>
      <c r="AD5" s="12" t="s">
        <v>58</v>
      </c>
      <c r="AE5" s="12">
        <v>2796000</v>
      </c>
      <c r="AF5" s="13">
        <v>55920</v>
      </c>
      <c r="AG5" s="12"/>
      <c r="AH5" s="12"/>
      <c r="AI5" s="12"/>
      <c r="AJ5" s="17" t="s">
        <v>12215</v>
      </c>
      <c r="AK5" s="11">
        <v>55920</v>
      </c>
      <c r="AL5" s="12"/>
      <c r="AM5" s="14">
        <f t="shared" si="0"/>
        <v>0</v>
      </c>
      <c r="AN5" s="12" t="s">
        <v>12004</v>
      </c>
    </row>
    <row r="6" spans="1:40" x14ac:dyDescent="0.25">
      <c r="A6" s="9">
        <v>670</v>
      </c>
      <c r="B6" s="18" t="s">
        <v>8030</v>
      </c>
      <c r="C6" s="9" t="s">
        <v>8079</v>
      </c>
      <c r="D6" s="9" t="s">
        <v>37</v>
      </c>
      <c r="E6" s="9" t="s">
        <v>8080</v>
      </c>
      <c r="F6" s="9" t="s">
        <v>525</v>
      </c>
      <c r="G6" s="9" t="s">
        <v>8081</v>
      </c>
      <c r="H6" s="9" t="s">
        <v>8082</v>
      </c>
      <c r="I6" s="9" t="s">
        <v>8082</v>
      </c>
      <c r="J6" s="9" t="s">
        <v>141</v>
      </c>
      <c r="K6" s="9" t="s">
        <v>8083</v>
      </c>
      <c r="L6" s="9">
        <v>1040000</v>
      </c>
      <c r="M6" s="9">
        <v>1600000</v>
      </c>
      <c r="N6" s="9" t="s">
        <v>8084</v>
      </c>
      <c r="O6" s="10">
        <v>45656</v>
      </c>
      <c r="P6" s="9" t="s">
        <v>8085</v>
      </c>
      <c r="Q6" s="9" t="s">
        <v>8086</v>
      </c>
      <c r="R6" s="9" t="s">
        <v>146</v>
      </c>
      <c r="S6" s="9" t="s">
        <v>8087</v>
      </c>
      <c r="T6" s="9" t="s">
        <v>2113</v>
      </c>
      <c r="U6" s="9" t="s">
        <v>903</v>
      </c>
      <c r="V6" s="10">
        <v>43830</v>
      </c>
      <c r="W6" s="9" t="s">
        <v>8088</v>
      </c>
      <c r="X6" s="9" t="s">
        <v>7530</v>
      </c>
      <c r="Y6" s="9" t="s">
        <v>8089</v>
      </c>
      <c r="Z6" s="9">
        <v>5</v>
      </c>
      <c r="AA6" s="9" t="s">
        <v>118</v>
      </c>
      <c r="AB6" s="9" t="s">
        <v>8090</v>
      </c>
      <c r="AC6" s="9" t="s">
        <v>8091</v>
      </c>
      <c r="AD6" s="9" t="s">
        <v>171</v>
      </c>
      <c r="AE6" s="9">
        <v>1200000</v>
      </c>
      <c r="AF6" s="11">
        <v>30000</v>
      </c>
      <c r="AG6" s="9"/>
      <c r="AH6" s="9"/>
      <c r="AI6" s="9"/>
      <c r="AJ6" s="9" t="s">
        <v>12008</v>
      </c>
      <c r="AK6" s="11">
        <v>30000</v>
      </c>
      <c r="AL6" s="12"/>
      <c r="AM6" s="14">
        <f t="shared" si="0"/>
        <v>0</v>
      </c>
      <c r="AN6" s="12" t="s">
        <v>12004</v>
      </c>
    </row>
    <row r="7" spans="1:40" x14ac:dyDescent="0.25">
      <c r="A7" s="12">
        <v>671</v>
      </c>
      <c r="B7" s="18" t="s">
        <v>8030</v>
      </c>
      <c r="C7" s="12" t="s">
        <v>8092</v>
      </c>
      <c r="D7" s="12" t="s">
        <v>37</v>
      </c>
      <c r="E7" s="12" t="s">
        <v>8093</v>
      </c>
      <c r="F7" s="12" t="s">
        <v>8094</v>
      </c>
      <c r="G7" s="12" t="s">
        <v>8095</v>
      </c>
      <c r="H7" s="12" t="s">
        <v>48</v>
      </c>
      <c r="I7" s="12" t="s">
        <v>8096</v>
      </c>
      <c r="J7" s="12" t="s">
        <v>48</v>
      </c>
      <c r="K7" s="12" t="s">
        <v>8097</v>
      </c>
      <c r="L7" s="12">
        <v>1540000</v>
      </c>
      <c r="M7" s="12">
        <v>2200000</v>
      </c>
      <c r="N7" s="12" t="s">
        <v>8098</v>
      </c>
      <c r="O7" s="16">
        <v>45656</v>
      </c>
      <c r="P7" s="12" t="s">
        <v>8099</v>
      </c>
      <c r="Q7" s="12" t="s">
        <v>8100</v>
      </c>
      <c r="R7" s="12" t="s">
        <v>146</v>
      </c>
      <c r="S7" s="12" t="s">
        <v>8101</v>
      </c>
      <c r="T7" s="12" t="s">
        <v>1289</v>
      </c>
      <c r="U7" s="12" t="s">
        <v>496</v>
      </c>
      <c r="V7" s="16">
        <v>44561</v>
      </c>
      <c r="W7" s="12" t="s">
        <v>8102</v>
      </c>
      <c r="X7" s="12" t="s">
        <v>8103</v>
      </c>
      <c r="Y7" s="12" t="s">
        <v>8104</v>
      </c>
      <c r="Z7" s="12">
        <v>5</v>
      </c>
      <c r="AA7" s="12" t="s">
        <v>118</v>
      </c>
      <c r="AB7" s="12" t="s">
        <v>8105</v>
      </c>
      <c r="AC7" s="12" t="s">
        <v>8106</v>
      </c>
      <c r="AD7" s="12" t="s">
        <v>299</v>
      </c>
      <c r="AE7" s="12">
        <v>1870000</v>
      </c>
      <c r="AF7" s="13">
        <v>28050</v>
      </c>
      <c r="AG7" s="12"/>
      <c r="AH7" s="12"/>
      <c r="AI7" s="12"/>
      <c r="AJ7" s="12" t="s">
        <v>12009</v>
      </c>
      <c r="AK7" s="11">
        <v>28050</v>
      </c>
      <c r="AL7" s="12"/>
      <c r="AM7" s="14">
        <f t="shared" si="0"/>
        <v>0</v>
      </c>
      <c r="AN7" s="12" t="s">
        <v>12004</v>
      </c>
    </row>
    <row r="8" spans="1:40" x14ac:dyDescent="0.25">
      <c r="A8" s="9">
        <v>672</v>
      </c>
      <c r="B8" s="18" t="s">
        <v>8030</v>
      </c>
      <c r="C8" s="9" t="s">
        <v>8107</v>
      </c>
      <c r="D8" s="9" t="s">
        <v>37</v>
      </c>
      <c r="E8" s="9" t="s">
        <v>5708</v>
      </c>
      <c r="F8" s="9" t="s">
        <v>245</v>
      </c>
      <c r="G8" s="9" t="s">
        <v>8108</v>
      </c>
      <c r="H8" s="9" t="s">
        <v>48</v>
      </c>
      <c r="I8" s="9" t="s">
        <v>8109</v>
      </c>
      <c r="J8" s="9" t="s">
        <v>48</v>
      </c>
      <c r="K8" s="9" t="s">
        <v>8110</v>
      </c>
      <c r="L8" s="9">
        <v>2674400</v>
      </c>
      <c r="M8" s="9">
        <v>3343000</v>
      </c>
      <c r="N8" s="9" t="s">
        <v>8111</v>
      </c>
      <c r="O8" s="10">
        <v>45656</v>
      </c>
      <c r="P8" s="9" t="s">
        <v>8112</v>
      </c>
      <c r="Q8" s="9" t="s">
        <v>8113</v>
      </c>
      <c r="R8" s="9" t="s">
        <v>47</v>
      </c>
      <c r="S8" s="9" t="s">
        <v>48</v>
      </c>
      <c r="T8" s="9" t="s">
        <v>1189</v>
      </c>
      <c r="U8" s="9" t="s">
        <v>98</v>
      </c>
      <c r="V8" s="10">
        <v>44196</v>
      </c>
      <c r="W8" s="9" t="s">
        <v>8114</v>
      </c>
      <c r="X8" s="9" t="s">
        <v>8115</v>
      </c>
      <c r="Y8" s="9" t="s">
        <v>8116</v>
      </c>
      <c r="Z8" s="9">
        <v>5</v>
      </c>
      <c r="AA8" s="9" t="s">
        <v>227</v>
      </c>
      <c r="AB8" s="9" t="s">
        <v>8117</v>
      </c>
      <c r="AC8" s="9" t="s">
        <v>1029</v>
      </c>
      <c r="AD8" s="9" t="s">
        <v>58</v>
      </c>
      <c r="AE8" s="9">
        <v>2674400</v>
      </c>
      <c r="AF8" s="11">
        <v>53488</v>
      </c>
      <c r="AG8" s="9"/>
      <c r="AH8" s="9"/>
      <c r="AI8" s="9"/>
      <c r="AJ8" s="9" t="s">
        <v>12010</v>
      </c>
      <c r="AK8" s="11">
        <v>53488</v>
      </c>
      <c r="AL8" s="12"/>
      <c r="AM8" s="14">
        <f t="shared" si="0"/>
        <v>0</v>
      </c>
      <c r="AN8" s="12" t="s">
        <v>12004</v>
      </c>
    </row>
    <row r="9" spans="1:40" x14ac:dyDescent="0.25">
      <c r="A9" s="12">
        <v>673</v>
      </c>
      <c r="B9" s="18" t="s">
        <v>8030</v>
      </c>
      <c r="C9" s="12" t="s">
        <v>8118</v>
      </c>
      <c r="D9" s="12" t="s">
        <v>37</v>
      </c>
      <c r="E9" s="12" t="s">
        <v>8119</v>
      </c>
      <c r="F9" s="12" t="s">
        <v>39</v>
      </c>
      <c r="G9" s="12" t="s">
        <v>8120</v>
      </c>
      <c r="H9" s="12" t="s">
        <v>8121</v>
      </c>
      <c r="I9" s="12" t="s">
        <v>8122</v>
      </c>
      <c r="J9" s="12" t="s">
        <v>8121</v>
      </c>
      <c r="K9" s="12" t="s">
        <v>8123</v>
      </c>
      <c r="L9" s="12">
        <v>1330000</v>
      </c>
      <c r="M9" s="12">
        <v>1900000</v>
      </c>
      <c r="N9" s="12" t="s">
        <v>8124</v>
      </c>
      <c r="O9" s="16">
        <v>45656</v>
      </c>
      <c r="P9" s="12" t="s">
        <v>8125</v>
      </c>
      <c r="Q9" s="12" t="s">
        <v>8126</v>
      </c>
      <c r="R9" s="12" t="s">
        <v>146</v>
      </c>
      <c r="S9" s="12" t="s">
        <v>8127</v>
      </c>
      <c r="T9" s="12" t="s">
        <v>1323</v>
      </c>
      <c r="U9" s="12" t="s">
        <v>496</v>
      </c>
      <c r="V9" s="16">
        <v>44926</v>
      </c>
      <c r="W9" s="12" t="s">
        <v>8128</v>
      </c>
      <c r="X9" s="12" t="s">
        <v>8129</v>
      </c>
      <c r="Y9" s="12" t="s">
        <v>8130</v>
      </c>
      <c r="Z9" s="12">
        <v>5</v>
      </c>
      <c r="AA9" s="12" t="s">
        <v>152</v>
      </c>
      <c r="AB9" s="12" t="s">
        <v>8131</v>
      </c>
      <c r="AC9" s="12" t="s">
        <v>8132</v>
      </c>
      <c r="AD9" s="12" t="s">
        <v>86</v>
      </c>
      <c r="AE9" s="12">
        <v>1710000</v>
      </c>
      <c r="AF9" s="13">
        <v>29925</v>
      </c>
      <c r="AG9" s="12"/>
      <c r="AH9" s="12"/>
      <c r="AI9" s="12"/>
      <c r="AJ9" s="12" t="s">
        <v>12011</v>
      </c>
      <c r="AK9" s="11">
        <v>29925</v>
      </c>
      <c r="AL9" s="12"/>
      <c r="AM9" s="14">
        <f t="shared" si="0"/>
        <v>0</v>
      </c>
      <c r="AN9" s="12" t="s">
        <v>12004</v>
      </c>
    </row>
    <row r="10" spans="1:40" x14ac:dyDescent="0.25">
      <c r="A10" s="9">
        <v>674</v>
      </c>
      <c r="B10" s="18" t="s">
        <v>8030</v>
      </c>
      <c r="C10" s="9" t="s">
        <v>8133</v>
      </c>
      <c r="D10" s="9" t="s">
        <v>37</v>
      </c>
      <c r="E10" s="9" t="s">
        <v>8134</v>
      </c>
      <c r="F10" s="9" t="s">
        <v>39</v>
      </c>
      <c r="G10" s="9" t="s">
        <v>8135</v>
      </c>
      <c r="H10" s="9" t="s">
        <v>8136</v>
      </c>
      <c r="I10" s="9" t="s">
        <v>8137</v>
      </c>
      <c r="J10" s="9" t="s">
        <v>8136</v>
      </c>
      <c r="K10" s="9" t="s">
        <v>8138</v>
      </c>
      <c r="L10" s="9">
        <v>1190000</v>
      </c>
      <c r="M10" s="9">
        <v>1700000</v>
      </c>
      <c r="N10" s="9" t="s">
        <v>8139</v>
      </c>
      <c r="O10" s="10">
        <v>45656</v>
      </c>
      <c r="P10" s="9" t="s">
        <v>8140</v>
      </c>
      <c r="Q10" s="9" t="s">
        <v>8141</v>
      </c>
      <c r="R10" s="9" t="s">
        <v>146</v>
      </c>
      <c r="S10" s="9" t="s">
        <v>8142</v>
      </c>
      <c r="T10" s="9" t="s">
        <v>321</v>
      </c>
      <c r="U10" s="9" t="s">
        <v>496</v>
      </c>
      <c r="V10" s="10">
        <v>44926</v>
      </c>
      <c r="W10" s="9" t="s">
        <v>8128</v>
      </c>
      <c r="X10" s="9" t="s">
        <v>8129</v>
      </c>
      <c r="Y10" s="9" t="s">
        <v>8143</v>
      </c>
      <c r="Z10" s="9">
        <v>5</v>
      </c>
      <c r="AA10" s="9" t="s">
        <v>118</v>
      </c>
      <c r="AB10" s="9" t="s">
        <v>8144</v>
      </c>
      <c r="AC10" s="9" t="s">
        <v>8132</v>
      </c>
      <c r="AD10" s="9" t="s">
        <v>86</v>
      </c>
      <c r="AE10" s="9">
        <v>1530000</v>
      </c>
      <c r="AF10" s="11">
        <v>26775</v>
      </c>
      <c r="AG10" s="9"/>
      <c r="AH10" s="9"/>
      <c r="AI10" s="9"/>
      <c r="AJ10" s="9" t="s">
        <v>12012</v>
      </c>
      <c r="AK10" s="11">
        <v>26775</v>
      </c>
      <c r="AL10" s="12"/>
      <c r="AM10" s="14">
        <f t="shared" si="0"/>
        <v>0</v>
      </c>
      <c r="AN10" s="12" t="s">
        <v>12004</v>
      </c>
    </row>
    <row r="11" spans="1:40" x14ac:dyDescent="0.25">
      <c r="A11" s="12">
        <v>675</v>
      </c>
      <c r="B11" s="18" t="s">
        <v>8030</v>
      </c>
      <c r="C11" s="12" t="s">
        <v>8145</v>
      </c>
      <c r="D11" s="12" t="s">
        <v>37</v>
      </c>
      <c r="E11" s="12" t="s">
        <v>8146</v>
      </c>
      <c r="F11" s="12" t="s">
        <v>245</v>
      </c>
      <c r="G11" s="12" t="s">
        <v>8147</v>
      </c>
      <c r="H11" s="12" t="s">
        <v>48</v>
      </c>
      <c r="I11" s="12" t="s">
        <v>8148</v>
      </c>
      <c r="J11" s="12" t="s">
        <v>48</v>
      </c>
      <c r="K11" s="12" t="s">
        <v>8149</v>
      </c>
      <c r="L11" s="12">
        <v>3066460</v>
      </c>
      <c r="M11" s="12">
        <v>4509500</v>
      </c>
      <c r="N11" s="12" t="s">
        <v>8150</v>
      </c>
      <c r="O11" s="16">
        <v>45656</v>
      </c>
      <c r="P11" s="12" t="s">
        <v>8151</v>
      </c>
      <c r="Q11" s="12" t="s">
        <v>8152</v>
      </c>
      <c r="R11" s="12" t="s">
        <v>858</v>
      </c>
      <c r="S11" s="12" t="s">
        <v>48</v>
      </c>
      <c r="T11" s="12" t="s">
        <v>348</v>
      </c>
      <c r="U11" s="12" t="s">
        <v>148</v>
      </c>
      <c r="V11" s="16">
        <v>44926</v>
      </c>
      <c r="W11" s="12" t="s">
        <v>8128</v>
      </c>
      <c r="X11" s="12" t="s">
        <v>8153</v>
      </c>
      <c r="Y11" s="12" t="s">
        <v>8154</v>
      </c>
      <c r="Z11" s="12">
        <v>7</v>
      </c>
      <c r="AA11" s="12" t="s">
        <v>323</v>
      </c>
      <c r="AB11" s="12" t="s">
        <v>8155</v>
      </c>
      <c r="AC11" s="12" t="s">
        <v>8132</v>
      </c>
      <c r="AD11" s="12" t="s">
        <v>943</v>
      </c>
      <c r="AE11" s="12">
        <v>4058550</v>
      </c>
      <c r="AF11" s="13">
        <v>56820</v>
      </c>
      <c r="AG11" s="12"/>
      <c r="AH11" s="12"/>
      <c r="AI11" s="12"/>
      <c r="AJ11" s="12" t="s">
        <v>12013</v>
      </c>
      <c r="AK11" s="11">
        <v>56820</v>
      </c>
      <c r="AL11" s="12"/>
      <c r="AM11" s="14">
        <f t="shared" si="0"/>
        <v>0</v>
      </c>
      <c r="AN11" s="12" t="s">
        <v>12004</v>
      </c>
    </row>
    <row r="12" spans="1:40" x14ac:dyDescent="0.25">
      <c r="A12" s="9">
        <v>676</v>
      </c>
      <c r="B12" s="18" t="s">
        <v>8030</v>
      </c>
      <c r="C12" s="9" t="s">
        <v>8156</v>
      </c>
      <c r="D12" s="9" t="s">
        <v>37</v>
      </c>
      <c r="E12" s="9" t="s">
        <v>8157</v>
      </c>
      <c r="F12" s="9" t="s">
        <v>8158</v>
      </c>
      <c r="G12" s="9" t="s">
        <v>8159</v>
      </c>
      <c r="H12" s="9" t="s">
        <v>48</v>
      </c>
      <c r="I12" s="9" t="s">
        <v>8160</v>
      </c>
      <c r="J12" s="9" t="s">
        <v>8161</v>
      </c>
      <c r="K12" s="9" t="s">
        <v>8162</v>
      </c>
      <c r="L12" s="9">
        <v>1885000</v>
      </c>
      <c r="M12" s="9">
        <v>2900000</v>
      </c>
      <c r="N12" s="9" t="s">
        <v>8163</v>
      </c>
      <c r="O12" s="10">
        <v>45656</v>
      </c>
      <c r="P12" s="9" t="s">
        <v>8164</v>
      </c>
      <c r="Q12" s="9" t="s">
        <v>8165</v>
      </c>
      <c r="R12" s="9" t="s">
        <v>146</v>
      </c>
      <c r="S12" s="9" t="s">
        <v>8166</v>
      </c>
      <c r="T12" s="9" t="s">
        <v>8167</v>
      </c>
      <c r="U12" s="9" t="s">
        <v>496</v>
      </c>
      <c r="V12" s="10">
        <v>44565</v>
      </c>
      <c r="W12" s="9" t="s">
        <v>2981</v>
      </c>
      <c r="X12" s="9" t="s">
        <v>2982</v>
      </c>
      <c r="Y12" s="9" t="s">
        <v>8168</v>
      </c>
      <c r="Z12" s="9">
        <v>5</v>
      </c>
      <c r="AA12" s="9" t="s">
        <v>118</v>
      </c>
      <c r="AB12" s="9" t="s">
        <v>8169</v>
      </c>
      <c r="AC12" s="9" t="s">
        <v>8106</v>
      </c>
      <c r="AD12" s="9" t="s">
        <v>299</v>
      </c>
      <c r="AE12" s="9">
        <v>2465000</v>
      </c>
      <c r="AF12" s="11">
        <v>36975</v>
      </c>
      <c r="AG12" s="9"/>
      <c r="AH12" s="9"/>
      <c r="AI12" s="9"/>
      <c r="AJ12" s="9" t="s">
        <v>12014</v>
      </c>
      <c r="AK12" s="11">
        <v>36975</v>
      </c>
      <c r="AL12" s="12"/>
      <c r="AM12" s="14">
        <f t="shared" si="0"/>
        <v>0</v>
      </c>
      <c r="AN12" s="12" t="s">
        <v>12004</v>
      </c>
    </row>
    <row r="13" spans="1:40" x14ac:dyDescent="0.25">
      <c r="A13" s="12">
        <v>677</v>
      </c>
      <c r="B13" s="18" t="s">
        <v>8030</v>
      </c>
      <c r="C13" s="12" t="s">
        <v>8170</v>
      </c>
      <c r="D13" s="12" t="s">
        <v>37</v>
      </c>
      <c r="E13" s="12" t="s">
        <v>8171</v>
      </c>
      <c r="F13" s="12" t="s">
        <v>138</v>
      </c>
      <c r="G13" s="12" t="s">
        <v>8172</v>
      </c>
      <c r="H13" s="12" t="s">
        <v>8173</v>
      </c>
      <c r="I13" s="12" t="s">
        <v>8174</v>
      </c>
      <c r="J13" s="12" t="s">
        <v>141</v>
      </c>
      <c r="K13" s="12" t="s">
        <v>8175</v>
      </c>
      <c r="L13" s="12">
        <v>1237500</v>
      </c>
      <c r="M13" s="12">
        <v>1650000</v>
      </c>
      <c r="N13" s="12" t="s">
        <v>8176</v>
      </c>
      <c r="O13" s="16">
        <v>45656</v>
      </c>
      <c r="P13" s="12" t="s">
        <v>8177</v>
      </c>
      <c r="Q13" s="12" t="s">
        <v>8178</v>
      </c>
      <c r="R13" s="12" t="s">
        <v>1215</v>
      </c>
      <c r="S13" s="12" t="s">
        <v>8179</v>
      </c>
      <c r="T13" s="12" t="s">
        <v>8180</v>
      </c>
      <c r="U13" s="12" t="s">
        <v>651</v>
      </c>
      <c r="V13" s="16">
        <v>44196</v>
      </c>
      <c r="W13" s="12" t="s">
        <v>8114</v>
      </c>
      <c r="X13" s="12" t="s">
        <v>8115</v>
      </c>
      <c r="Y13" s="12" t="s">
        <v>8181</v>
      </c>
      <c r="Z13" s="12">
        <v>5</v>
      </c>
      <c r="AA13" s="12" t="s">
        <v>227</v>
      </c>
      <c r="AB13" s="12" t="s">
        <v>8182</v>
      </c>
      <c r="AC13" s="12" t="s">
        <v>1029</v>
      </c>
      <c r="AD13" s="12" t="s">
        <v>58</v>
      </c>
      <c r="AE13" s="12">
        <v>1320000</v>
      </c>
      <c r="AF13" s="13">
        <v>26400</v>
      </c>
      <c r="AG13" s="12"/>
      <c r="AH13" s="12"/>
      <c r="AI13" s="12"/>
      <c r="AJ13" s="12" t="s">
        <v>12015</v>
      </c>
      <c r="AK13" s="11">
        <v>26400</v>
      </c>
      <c r="AL13" s="12"/>
      <c r="AM13" s="14">
        <f t="shared" si="0"/>
        <v>0</v>
      </c>
      <c r="AN13" s="12" t="s">
        <v>12004</v>
      </c>
    </row>
    <row r="14" spans="1:40" x14ac:dyDescent="0.25">
      <c r="A14" s="9">
        <v>678</v>
      </c>
      <c r="B14" s="18" t="s">
        <v>8030</v>
      </c>
      <c r="C14" s="9" t="s">
        <v>8183</v>
      </c>
      <c r="D14" s="9" t="s">
        <v>37</v>
      </c>
      <c r="E14" s="9" t="s">
        <v>8184</v>
      </c>
      <c r="F14" s="9" t="s">
        <v>138</v>
      </c>
      <c r="G14" s="9" t="s">
        <v>8185</v>
      </c>
      <c r="H14" s="9" t="s">
        <v>8186</v>
      </c>
      <c r="I14" s="9" t="s">
        <v>8186</v>
      </c>
      <c r="J14" s="9" t="s">
        <v>8186</v>
      </c>
      <c r="K14" s="9" t="s">
        <v>8187</v>
      </c>
      <c r="L14" s="9">
        <v>896000</v>
      </c>
      <c r="M14" s="9">
        <v>1280000</v>
      </c>
      <c r="N14" s="9" t="s">
        <v>8188</v>
      </c>
      <c r="O14" s="10">
        <v>45656</v>
      </c>
      <c r="P14" s="9" t="s">
        <v>8189</v>
      </c>
      <c r="Q14" s="9" t="s">
        <v>8190</v>
      </c>
      <c r="R14" s="9" t="s">
        <v>146</v>
      </c>
      <c r="S14" s="9" t="s">
        <v>8191</v>
      </c>
      <c r="T14" s="9" t="s">
        <v>8192</v>
      </c>
      <c r="U14" s="9" t="s">
        <v>335</v>
      </c>
      <c r="V14" s="10">
        <v>44561</v>
      </c>
      <c r="W14" s="9" t="s">
        <v>8102</v>
      </c>
      <c r="X14" s="9" t="s">
        <v>8103</v>
      </c>
      <c r="Y14" s="9" t="s">
        <v>8193</v>
      </c>
      <c r="Z14" s="9">
        <v>5</v>
      </c>
      <c r="AA14" s="9" t="s">
        <v>55</v>
      </c>
      <c r="AB14" s="9" t="s">
        <v>8194</v>
      </c>
      <c r="AC14" s="9" t="s">
        <v>8106</v>
      </c>
      <c r="AD14" s="9" t="s">
        <v>299</v>
      </c>
      <c r="AE14" s="9">
        <v>1088000</v>
      </c>
      <c r="AF14" s="11">
        <v>16320</v>
      </c>
      <c r="AG14" s="9"/>
      <c r="AH14" s="9"/>
      <c r="AI14" s="9"/>
      <c r="AJ14" s="9" t="s">
        <v>12016</v>
      </c>
      <c r="AK14" s="11">
        <v>16320</v>
      </c>
      <c r="AL14" s="12"/>
      <c r="AM14" s="14">
        <f t="shared" si="0"/>
        <v>0</v>
      </c>
      <c r="AN14" s="12" t="s">
        <v>12004</v>
      </c>
    </row>
    <row r="15" spans="1:40" x14ac:dyDescent="0.25">
      <c r="A15" s="12">
        <v>679</v>
      </c>
      <c r="B15" s="18" t="s">
        <v>8030</v>
      </c>
      <c r="C15" s="12" t="s">
        <v>8195</v>
      </c>
      <c r="D15" s="12" t="s">
        <v>37</v>
      </c>
      <c r="E15" s="12" t="s">
        <v>8196</v>
      </c>
      <c r="F15" s="12" t="s">
        <v>39</v>
      </c>
      <c r="G15" s="12" t="s">
        <v>8197</v>
      </c>
      <c r="H15" s="12" t="s">
        <v>8198</v>
      </c>
      <c r="I15" s="12" t="s">
        <v>8199</v>
      </c>
      <c r="J15" s="12" t="s">
        <v>8198</v>
      </c>
      <c r="K15" s="12" t="s">
        <v>8200</v>
      </c>
      <c r="L15" s="12">
        <v>2454010</v>
      </c>
      <c r="M15" s="12">
        <v>5707000</v>
      </c>
      <c r="N15" s="12" t="s">
        <v>8201</v>
      </c>
      <c r="O15" s="16">
        <v>45656</v>
      </c>
      <c r="P15" s="12" t="s">
        <v>8202</v>
      </c>
      <c r="Q15" s="12" t="s">
        <v>8203</v>
      </c>
      <c r="R15" s="12" t="s">
        <v>47</v>
      </c>
      <c r="S15" s="12" t="s">
        <v>48</v>
      </c>
      <c r="T15" s="12" t="s">
        <v>8204</v>
      </c>
      <c r="U15" s="12" t="s">
        <v>148</v>
      </c>
      <c r="V15" s="16">
        <v>44926</v>
      </c>
      <c r="W15" s="12" t="s">
        <v>8128</v>
      </c>
      <c r="X15" s="12" t="s">
        <v>8115</v>
      </c>
      <c r="Y15" s="12" t="s">
        <v>8205</v>
      </c>
      <c r="Z15" s="12">
        <v>3</v>
      </c>
      <c r="AA15" s="12" t="s">
        <v>118</v>
      </c>
      <c r="AB15" s="12" t="s">
        <v>8206</v>
      </c>
      <c r="AC15" s="12" t="s">
        <v>8132</v>
      </c>
      <c r="AD15" s="12" t="s">
        <v>86</v>
      </c>
      <c r="AE15" s="12">
        <v>5136300</v>
      </c>
      <c r="AF15" s="13">
        <v>89885</v>
      </c>
      <c r="AG15" s="12"/>
      <c r="AH15" s="12"/>
      <c r="AI15" s="12"/>
      <c r="AJ15" s="12" t="s">
        <v>12017</v>
      </c>
      <c r="AK15" s="11">
        <v>89885</v>
      </c>
      <c r="AL15" s="12"/>
      <c r="AM15" s="14">
        <f t="shared" si="0"/>
        <v>0</v>
      </c>
      <c r="AN15" s="12" t="s">
        <v>12004</v>
      </c>
    </row>
    <row r="16" spans="1:40" x14ac:dyDescent="0.25">
      <c r="A16" s="9">
        <v>680</v>
      </c>
      <c r="B16" s="18" t="s">
        <v>8030</v>
      </c>
      <c r="C16" s="9" t="s">
        <v>8207</v>
      </c>
      <c r="D16" s="9" t="s">
        <v>37</v>
      </c>
      <c r="E16" s="9" t="s">
        <v>1642</v>
      </c>
      <c r="F16" s="9" t="s">
        <v>39</v>
      </c>
      <c r="G16" s="9" t="s">
        <v>8208</v>
      </c>
      <c r="H16" s="9" t="s">
        <v>48</v>
      </c>
      <c r="I16" s="9" t="s">
        <v>8209</v>
      </c>
      <c r="J16" s="9" t="s">
        <v>48</v>
      </c>
      <c r="K16" s="9" t="s">
        <v>8210</v>
      </c>
      <c r="L16" s="9">
        <v>1540000</v>
      </c>
      <c r="M16" s="9">
        <v>2200000</v>
      </c>
      <c r="N16" s="9" t="s">
        <v>8211</v>
      </c>
      <c r="O16" s="10">
        <v>45656</v>
      </c>
      <c r="P16" s="9" t="s">
        <v>8212</v>
      </c>
      <c r="Q16" s="9" t="s">
        <v>8213</v>
      </c>
      <c r="R16" s="9" t="s">
        <v>146</v>
      </c>
      <c r="S16" s="9" t="s">
        <v>8214</v>
      </c>
      <c r="T16" s="9" t="s">
        <v>673</v>
      </c>
      <c r="U16" s="9" t="s">
        <v>148</v>
      </c>
      <c r="V16" s="10">
        <v>44926</v>
      </c>
      <c r="W16" s="9" t="s">
        <v>8128</v>
      </c>
      <c r="X16" s="9" t="s">
        <v>8115</v>
      </c>
      <c r="Y16" s="9" t="s">
        <v>8215</v>
      </c>
      <c r="Z16" s="9">
        <v>3</v>
      </c>
      <c r="AA16" s="9" t="s">
        <v>152</v>
      </c>
      <c r="AB16" s="9" t="s">
        <v>8216</v>
      </c>
      <c r="AC16" s="9" t="s">
        <v>8132</v>
      </c>
      <c r="AD16" s="9" t="s">
        <v>86</v>
      </c>
      <c r="AE16" s="9">
        <v>1980000</v>
      </c>
      <c r="AF16" s="11">
        <v>34650</v>
      </c>
      <c r="AG16" s="9"/>
      <c r="AH16" s="9"/>
      <c r="AI16" s="9"/>
      <c r="AJ16" s="9" t="s">
        <v>12018</v>
      </c>
      <c r="AK16" s="11">
        <v>34650</v>
      </c>
      <c r="AL16" s="12"/>
      <c r="AM16" s="14">
        <f t="shared" si="0"/>
        <v>0</v>
      </c>
      <c r="AN16" s="12" t="s">
        <v>12004</v>
      </c>
    </row>
    <row r="17" spans="1:40" x14ac:dyDescent="0.25">
      <c r="A17" s="12">
        <v>681</v>
      </c>
      <c r="B17" s="18" t="s">
        <v>8030</v>
      </c>
      <c r="C17" s="12" t="s">
        <v>8217</v>
      </c>
      <c r="D17" s="12" t="s">
        <v>37</v>
      </c>
      <c r="E17" s="12" t="s">
        <v>8218</v>
      </c>
      <c r="F17" s="12" t="s">
        <v>39</v>
      </c>
      <c r="G17" s="12" t="s">
        <v>8219</v>
      </c>
      <c r="H17" s="12" t="s">
        <v>8220</v>
      </c>
      <c r="I17" s="12" t="s">
        <v>8221</v>
      </c>
      <c r="J17" s="12" t="s">
        <v>8220</v>
      </c>
      <c r="K17" s="12" t="s">
        <v>8222</v>
      </c>
      <c r="L17" s="12">
        <v>1368000</v>
      </c>
      <c r="M17" s="12">
        <v>2400000</v>
      </c>
      <c r="N17" s="12" t="s">
        <v>8223</v>
      </c>
      <c r="O17" s="16">
        <v>45656</v>
      </c>
      <c r="P17" s="12" t="s">
        <v>8224</v>
      </c>
      <c r="Q17" s="12" t="s">
        <v>8225</v>
      </c>
      <c r="R17" s="12" t="s">
        <v>146</v>
      </c>
      <c r="S17" s="12" t="s">
        <v>8226</v>
      </c>
      <c r="T17" s="12" t="s">
        <v>1276</v>
      </c>
      <c r="U17" s="12" t="s">
        <v>148</v>
      </c>
      <c r="V17" s="16">
        <v>44926</v>
      </c>
      <c r="W17" s="12" t="s">
        <v>8128</v>
      </c>
      <c r="X17" s="12" t="s">
        <v>8129</v>
      </c>
      <c r="Y17" s="12" t="s">
        <v>8227</v>
      </c>
      <c r="Z17" s="12">
        <v>5</v>
      </c>
      <c r="AA17" s="12" t="s">
        <v>118</v>
      </c>
      <c r="AB17" s="12" t="s">
        <v>8228</v>
      </c>
      <c r="AC17" s="12" t="s">
        <v>8132</v>
      </c>
      <c r="AD17" s="12" t="s">
        <v>86</v>
      </c>
      <c r="AE17" s="12">
        <v>2160000</v>
      </c>
      <c r="AF17" s="13">
        <v>37800</v>
      </c>
      <c r="AG17" s="12"/>
      <c r="AH17" s="12"/>
      <c r="AI17" s="12"/>
      <c r="AJ17" s="12" t="s">
        <v>12019</v>
      </c>
      <c r="AK17" s="11">
        <v>37800</v>
      </c>
      <c r="AL17" s="12"/>
      <c r="AM17" s="14">
        <f t="shared" si="0"/>
        <v>0</v>
      </c>
      <c r="AN17" s="12" t="s">
        <v>12004</v>
      </c>
    </row>
    <row r="18" spans="1:40" x14ac:dyDescent="0.25">
      <c r="A18" s="9">
        <v>682</v>
      </c>
      <c r="B18" s="18" t="s">
        <v>8030</v>
      </c>
      <c r="C18" s="9" t="s">
        <v>8229</v>
      </c>
      <c r="D18" s="9" t="s">
        <v>37</v>
      </c>
      <c r="E18" s="9" t="s">
        <v>8230</v>
      </c>
      <c r="F18" s="9" t="s">
        <v>39</v>
      </c>
      <c r="G18" s="9" t="s">
        <v>8231</v>
      </c>
      <c r="H18" s="9" t="s">
        <v>8232</v>
      </c>
      <c r="I18" s="9" t="s">
        <v>8233</v>
      </c>
      <c r="J18" s="9" t="s">
        <v>8232</v>
      </c>
      <c r="K18" s="9" t="s">
        <v>8234</v>
      </c>
      <c r="L18" s="9">
        <v>1940400</v>
      </c>
      <c r="M18" s="9">
        <v>3234000</v>
      </c>
      <c r="N18" s="9" t="s">
        <v>8235</v>
      </c>
      <c r="O18" s="10">
        <v>45656</v>
      </c>
      <c r="P18" s="9" t="s">
        <v>8236</v>
      </c>
      <c r="Q18" s="9" t="s">
        <v>8237</v>
      </c>
      <c r="R18" s="9" t="s">
        <v>47</v>
      </c>
      <c r="S18" s="9" t="s">
        <v>48</v>
      </c>
      <c r="T18" s="9" t="s">
        <v>3546</v>
      </c>
      <c r="U18" s="9" t="s">
        <v>148</v>
      </c>
      <c r="V18" s="10">
        <v>44926</v>
      </c>
      <c r="W18" s="9" t="s">
        <v>8128</v>
      </c>
      <c r="X18" s="9" t="s">
        <v>8129</v>
      </c>
      <c r="Y18" s="9" t="s">
        <v>8238</v>
      </c>
      <c r="Z18" s="9">
        <v>5</v>
      </c>
      <c r="AA18" s="9" t="s">
        <v>118</v>
      </c>
      <c r="AB18" s="9" t="s">
        <v>8239</v>
      </c>
      <c r="AC18" s="9" t="s">
        <v>8132</v>
      </c>
      <c r="AD18" s="9" t="s">
        <v>86</v>
      </c>
      <c r="AE18" s="9">
        <v>2910600</v>
      </c>
      <c r="AF18" s="11">
        <v>50936</v>
      </c>
      <c r="AG18" s="9"/>
      <c r="AH18" s="9"/>
      <c r="AI18" s="9"/>
      <c r="AJ18" s="9" t="s">
        <v>12020</v>
      </c>
      <c r="AK18" s="11">
        <v>50936</v>
      </c>
      <c r="AL18" s="12"/>
      <c r="AM18" s="14">
        <f t="shared" si="0"/>
        <v>0</v>
      </c>
      <c r="AN18" s="12" t="s">
        <v>12004</v>
      </c>
    </row>
    <row r="19" spans="1:40" x14ac:dyDescent="0.25">
      <c r="A19" s="12">
        <v>683</v>
      </c>
      <c r="B19" s="18" t="s">
        <v>8030</v>
      </c>
      <c r="C19" s="12" t="s">
        <v>8240</v>
      </c>
      <c r="D19" s="12" t="s">
        <v>37</v>
      </c>
      <c r="E19" s="12" t="s">
        <v>8241</v>
      </c>
      <c r="F19" s="12" t="s">
        <v>39</v>
      </c>
      <c r="G19" s="12" t="s">
        <v>8242</v>
      </c>
      <c r="H19" s="12" t="s">
        <v>8243</v>
      </c>
      <c r="I19" s="12" t="s">
        <v>8244</v>
      </c>
      <c r="J19" s="12" t="s">
        <v>8245</v>
      </c>
      <c r="K19" s="12" t="s">
        <v>8246</v>
      </c>
      <c r="L19" s="12">
        <v>2000000</v>
      </c>
      <c r="M19" s="12">
        <v>4000000</v>
      </c>
      <c r="N19" s="12" t="s">
        <v>8247</v>
      </c>
      <c r="O19" s="16">
        <v>45656</v>
      </c>
      <c r="P19" s="12" t="s">
        <v>8248</v>
      </c>
      <c r="Q19" s="12" t="s">
        <v>8249</v>
      </c>
      <c r="R19" s="12" t="s">
        <v>146</v>
      </c>
      <c r="S19" s="12" t="s">
        <v>8250</v>
      </c>
      <c r="T19" s="12" t="s">
        <v>6576</v>
      </c>
      <c r="U19" s="12" t="s">
        <v>335</v>
      </c>
      <c r="V19" s="16">
        <v>44926</v>
      </c>
      <c r="W19" s="12" t="s">
        <v>8128</v>
      </c>
      <c r="X19" s="12" t="s">
        <v>8115</v>
      </c>
      <c r="Y19" s="12" t="s">
        <v>8251</v>
      </c>
      <c r="Z19" s="12">
        <v>3</v>
      </c>
      <c r="AA19" s="12" t="s">
        <v>118</v>
      </c>
      <c r="AB19" s="12" t="s">
        <v>8252</v>
      </c>
      <c r="AC19" s="12" t="s">
        <v>8132</v>
      </c>
      <c r="AD19" s="12" t="s">
        <v>86</v>
      </c>
      <c r="AE19" s="12">
        <v>3600000</v>
      </c>
      <c r="AF19" s="13">
        <v>63000</v>
      </c>
      <c r="AG19" s="12"/>
      <c r="AH19" s="12"/>
      <c r="AI19" s="12"/>
      <c r="AJ19" s="12" t="s">
        <v>12021</v>
      </c>
      <c r="AK19" s="11">
        <v>63000</v>
      </c>
      <c r="AL19" s="12"/>
      <c r="AM19" s="14">
        <f t="shared" si="0"/>
        <v>0</v>
      </c>
      <c r="AN19" s="12" t="s">
        <v>12004</v>
      </c>
    </row>
    <row r="20" spans="1:40" x14ac:dyDescent="0.25">
      <c r="A20" s="9">
        <v>684</v>
      </c>
      <c r="B20" s="18" t="s">
        <v>8030</v>
      </c>
      <c r="C20" s="9" t="s">
        <v>8253</v>
      </c>
      <c r="D20" s="9" t="s">
        <v>37</v>
      </c>
      <c r="E20" s="9" t="s">
        <v>8254</v>
      </c>
      <c r="F20" s="9" t="s">
        <v>525</v>
      </c>
      <c r="G20" s="9" t="s">
        <v>8255</v>
      </c>
      <c r="H20" s="9" t="s">
        <v>48</v>
      </c>
      <c r="I20" s="9" t="s">
        <v>8256</v>
      </c>
      <c r="J20" s="9" t="s">
        <v>48</v>
      </c>
      <c r="K20" s="9" t="s">
        <v>8257</v>
      </c>
      <c r="L20" s="9">
        <v>1890000</v>
      </c>
      <c r="M20" s="9">
        <v>2700000</v>
      </c>
      <c r="N20" s="9" t="s">
        <v>8258</v>
      </c>
      <c r="O20" s="10">
        <v>45656</v>
      </c>
      <c r="P20" s="9" t="s">
        <v>8259</v>
      </c>
      <c r="Q20" s="9" t="s">
        <v>8260</v>
      </c>
      <c r="R20" s="9" t="s">
        <v>146</v>
      </c>
      <c r="S20" s="9" t="s">
        <v>8261</v>
      </c>
      <c r="T20" s="9" t="s">
        <v>6230</v>
      </c>
      <c r="U20" s="9" t="s">
        <v>496</v>
      </c>
      <c r="V20" s="10">
        <v>44561</v>
      </c>
      <c r="W20" s="9" t="s">
        <v>8102</v>
      </c>
      <c r="X20" s="9" t="s">
        <v>8103</v>
      </c>
      <c r="Y20" s="9" t="s">
        <v>8262</v>
      </c>
      <c r="Z20" s="9">
        <v>5</v>
      </c>
      <c r="AA20" s="9" t="s">
        <v>118</v>
      </c>
      <c r="AB20" s="9" t="s">
        <v>8263</v>
      </c>
      <c r="AC20" s="9" t="s">
        <v>8106</v>
      </c>
      <c r="AD20" s="9" t="s">
        <v>299</v>
      </c>
      <c r="AE20" s="9">
        <v>2295000</v>
      </c>
      <c r="AF20" s="11">
        <v>34425</v>
      </c>
      <c r="AG20" s="9"/>
      <c r="AH20" s="9"/>
      <c r="AI20" s="9"/>
      <c r="AJ20" s="9" t="s">
        <v>12022</v>
      </c>
      <c r="AK20" s="11">
        <v>34425</v>
      </c>
      <c r="AL20" s="12"/>
      <c r="AM20" s="14">
        <f t="shared" si="0"/>
        <v>0</v>
      </c>
      <c r="AN20" s="12" t="s">
        <v>12004</v>
      </c>
    </row>
    <row r="21" spans="1:40" x14ac:dyDescent="0.25">
      <c r="A21" s="12">
        <v>685</v>
      </c>
      <c r="B21" s="18" t="s">
        <v>8030</v>
      </c>
      <c r="C21" s="12" t="s">
        <v>8264</v>
      </c>
      <c r="D21" s="12" t="s">
        <v>37</v>
      </c>
      <c r="E21" s="12" t="s">
        <v>6843</v>
      </c>
      <c r="F21" s="12" t="s">
        <v>107</v>
      </c>
      <c r="G21" s="12" t="s">
        <v>8265</v>
      </c>
      <c r="H21" s="12" t="s">
        <v>8266</v>
      </c>
      <c r="I21" s="12" t="s">
        <v>8267</v>
      </c>
      <c r="J21" s="12" t="s">
        <v>8268</v>
      </c>
      <c r="K21" s="12" t="s">
        <v>8269</v>
      </c>
      <c r="L21" s="12">
        <v>3928260</v>
      </c>
      <c r="M21" s="12">
        <v>5611800</v>
      </c>
      <c r="N21" s="12" t="s">
        <v>8270</v>
      </c>
      <c r="O21" s="16">
        <v>45656</v>
      </c>
      <c r="P21" s="12" t="s">
        <v>8271</v>
      </c>
      <c r="Q21" s="12" t="s">
        <v>8272</v>
      </c>
      <c r="R21" s="12" t="s">
        <v>47</v>
      </c>
      <c r="S21" s="12" t="s">
        <v>48</v>
      </c>
      <c r="T21" s="12" t="s">
        <v>577</v>
      </c>
      <c r="U21" s="12" t="s">
        <v>50</v>
      </c>
      <c r="V21" s="16">
        <v>44179</v>
      </c>
      <c r="W21" s="12" t="s">
        <v>2981</v>
      </c>
      <c r="X21" s="12" t="s">
        <v>8273</v>
      </c>
      <c r="Y21" s="12" t="s">
        <v>8274</v>
      </c>
      <c r="Z21" s="12">
        <v>3</v>
      </c>
      <c r="AA21" s="12" t="s">
        <v>55</v>
      </c>
      <c r="AB21" s="12" t="s">
        <v>8275</v>
      </c>
      <c r="AC21" s="12" t="s">
        <v>8106</v>
      </c>
      <c r="AD21" s="12" t="s">
        <v>299</v>
      </c>
      <c r="AE21" s="12">
        <v>4770030</v>
      </c>
      <c r="AF21" s="13">
        <v>71550</v>
      </c>
      <c r="AG21" s="12"/>
      <c r="AH21" s="12"/>
      <c r="AI21" s="12"/>
      <c r="AJ21" s="12" t="s">
        <v>12023</v>
      </c>
      <c r="AK21" s="11">
        <v>71550</v>
      </c>
      <c r="AL21" s="12"/>
      <c r="AM21" s="14">
        <f t="shared" si="0"/>
        <v>0</v>
      </c>
      <c r="AN21" s="12" t="s">
        <v>12004</v>
      </c>
    </row>
    <row r="22" spans="1:40" x14ac:dyDescent="0.25">
      <c r="A22" s="9">
        <v>686</v>
      </c>
      <c r="B22" s="18" t="s">
        <v>8030</v>
      </c>
      <c r="C22" s="9" t="s">
        <v>8276</v>
      </c>
      <c r="D22" s="9" t="s">
        <v>37</v>
      </c>
      <c r="E22" s="9" t="s">
        <v>8277</v>
      </c>
      <c r="F22" s="9" t="s">
        <v>245</v>
      </c>
      <c r="G22" s="9" t="s">
        <v>8278</v>
      </c>
      <c r="H22" s="9" t="s">
        <v>8279</v>
      </c>
      <c r="I22" s="9" t="s">
        <v>48</v>
      </c>
      <c r="J22" s="9" t="s">
        <v>8280</v>
      </c>
      <c r="K22" s="9" t="s">
        <v>8281</v>
      </c>
      <c r="L22" s="9">
        <v>2762500</v>
      </c>
      <c r="M22" s="9">
        <v>4250000</v>
      </c>
      <c r="N22" s="9" t="s">
        <v>8282</v>
      </c>
      <c r="O22" s="10">
        <v>45656</v>
      </c>
      <c r="P22" s="9" t="s">
        <v>8283</v>
      </c>
      <c r="Q22" s="9" t="s">
        <v>8284</v>
      </c>
      <c r="R22" s="9" t="s">
        <v>146</v>
      </c>
      <c r="S22" s="9" t="s">
        <v>8285</v>
      </c>
      <c r="T22" s="9" t="s">
        <v>8286</v>
      </c>
      <c r="U22" s="9" t="s">
        <v>98</v>
      </c>
      <c r="V22" s="10">
        <v>44565</v>
      </c>
      <c r="W22" s="9" t="s">
        <v>2981</v>
      </c>
      <c r="X22" s="9" t="s">
        <v>2982</v>
      </c>
      <c r="Y22" s="9" t="s">
        <v>8287</v>
      </c>
      <c r="Z22" s="9">
        <v>5</v>
      </c>
      <c r="AA22" s="9" t="s">
        <v>118</v>
      </c>
      <c r="AB22" s="9" t="s">
        <v>8288</v>
      </c>
      <c r="AC22" s="9" t="s">
        <v>8106</v>
      </c>
      <c r="AD22" s="9" t="s">
        <v>299</v>
      </c>
      <c r="AE22" s="9">
        <v>3612500</v>
      </c>
      <c r="AF22" s="11">
        <v>54188</v>
      </c>
      <c r="AG22" s="9"/>
      <c r="AH22" s="9"/>
      <c r="AI22" s="9"/>
      <c r="AJ22" s="9" t="s">
        <v>12024</v>
      </c>
      <c r="AK22" s="11">
        <v>54188</v>
      </c>
      <c r="AL22" s="12"/>
      <c r="AM22" s="14">
        <f t="shared" si="0"/>
        <v>0</v>
      </c>
      <c r="AN22" s="12" t="s">
        <v>12004</v>
      </c>
    </row>
    <row r="23" spans="1:40" x14ac:dyDescent="0.25">
      <c r="A23" s="12">
        <v>687</v>
      </c>
      <c r="B23" s="18" t="s">
        <v>8030</v>
      </c>
      <c r="C23" s="12" t="s">
        <v>8289</v>
      </c>
      <c r="D23" s="12" t="s">
        <v>37</v>
      </c>
      <c r="E23" s="12" t="s">
        <v>8290</v>
      </c>
      <c r="F23" s="12" t="s">
        <v>107</v>
      </c>
      <c r="G23" s="12" t="s">
        <v>8291</v>
      </c>
      <c r="H23" s="12" t="s">
        <v>8292</v>
      </c>
      <c r="I23" s="12" t="s">
        <v>8292</v>
      </c>
      <c r="J23" s="12" t="s">
        <v>8292</v>
      </c>
      <c r="K23" s="12" t="s">
        <v>8293</v>
      </c>
      <c r="L23" s="12">
        <v>2407200</v>
      </c>
      <c r="M23" s="12">
        <v>4012000</v>
      </c>
      <c r="N23" s="12" t="s">
        <v>8294</v>
      </c>
      <c r="O23" s="16">
        <v>45656</v>
      </c>
      <c r="P23" s="12" t="s">
        <v>8295</v>
      </c>
      <c r="Q23" s="12" t="s">
        <v>8296</v>
      </c>
      <c r="R23" s="12" t="s">
        <v>47</v>
      </c>
      <c r="S23" s="12" t="s">
        <v>8297</v>
      </c>
      <c r="T23" s="12" t="s">
        <v>1065</v>
      </c>
      <c r="U23" s="12" t="s">
        <v>50</v>
      </c>
      <c r="V23" s="16">
        <v>44449</v>
      </c>
      <c r="W23" s="12" t="s">
        <v>2981</v>
      </c>
      <c r="X23" s="12" t="s">
        <v>2982</v>
      </c>
      <c r="Y23" s="12" t="s">
        <v>8298</v>
      </c>
      <c r="Z23" s="12">
        <v>5</v>
      </c>
      <c r="AA23" s="12" t="s">
        <v>55</v>
      </c>
      <c r="AB23" s="12" t="s">
        <v>8299</v>
      </c>
      <c r="AC23" s="12" t="s">
        <v>8106</v>
      </c>
      <c r="AD23" s="12" t="s">
        <v>58</v>
      </c>
      <c r="AE23" s="12">
        <v>3410200</v>
      </c>
      <c r="AF23" s="13">
        <v>68204</v>
      </c>
      <c r="AG23" s="12"/>
      <c r="AH23" s="12"/>
      <c r="AI23" s="12"/>
      <c r="AJ23" s="12" t="s">
        <v>12025</v>
      </c>
      <c r="AK23" s="11">
        <v>68204</v>
      </c>
      <c r="AL23" s="12"/>
      <c r="AM23" s="14">
        <f t="shared" si="0"/>
        <v>0</v>
      </c>
      <c r="AN23" s="12" t="s">
        <v>12004</v>
      </c>
    </row>
    <row r="24" spans="1:40" x14ac:dyDescent="0.25">
      <c r="A24" s="9">
        <v>688</v>
      </c>
      <c r="B24" s="18" t="s">
        <v>8030</v>
      </c>
      <c r="C24" s="9" t="s">
        <v>8300</v>
      </c>
      <c r="D24" s="9" t="s">
        <v>37</v>
      </c>
      <c r="E24" s="9" t="s">
        <v>8301</v>
      </c>
      <c r="F24" s="9" t="s">
        <v>107</v>
      </c>
      <c r="G24" s="9" t="s">
        <v>8302</v>
      </c>
      <c r="H24" s="9" t="s">
        <v>8303</v>
      </c>
      <c r="I24" s="9" t="s">
        <v>8303</v>
      </c>
      <c r="J24" s="9" t="s">
        <v>8303</v>
      </c>
      <c r="K24" s="9" t="s">
        <v>8304</v>
      </c>
      <c r="L24" s="9">
        <v>2380000</v>
      </c>
      <c r="M24" s="9">
        <v>3400000</v>
      </c>
      <c r="N24" s="9" t="s">
        <v>8305</v>
      </c>
      <c r="O24" s="10">
        <v>45656</v>
      </c>
      <c r="P24" s="9" t="s">
        <v>8306</v>
      </c>
      <c r="Q24" s="9" t="s">
        <v>8307</v>
      </c>
      <c r="R24" s="9" t="s">
        <v>146</v>
      </c>
      <c r="S24" s="9" t="s">
        <v>8308</v>
      </c>
      <c r="T24" s="9" t="s">
        <v>714</v>
      </c>
      <c r="U24" s="9" t="s">
        <v>651</v>
      </c>
      <c r="V24" s="10">
        <v>44565</v>
      </c>
      <c r="W24" s="9" t="s">
        <v>2981</v>
      </c>
      <c r="X24" s="9" t="s">
        <v>2982</v>
      </c>
      <c r="Y24" s="9" t="s">
        <v>8309</v>
      </c>
      <c r="Z24" s="9">
        <v>5</v>
      </c>
      <c r="AA24" s="9" t="s">
        <v>55</v>
      </c>
      <c r="AB24" s="9" t="s">
        <v>8310</v>
      </c>
      <c r="AC24" s="9" t="s">
        <v>8106</v>
      </c>
      <c r="AD24" s="9" t="s">
        <v>299</v>
      </c>
      <c r="AE24" s="9">
        <v>2890000</v>
      </c>
      <c r="AF24" s="11">
        <v>43350</v>
      </c>
      <c r="AG24" s="9"/>
      <c r="AH24" s="9"/>
      <c r="AI24" s="9"/>
      <c r="AJ24" s="9" t="s">
        <v>12026</v>
      </c>
      <c r="AK24" s="11">
        <v>43350</v>
      </c>
      <c r="AL24" s="12"/>
      <c r="AM24" s="14">
        <f t="shared" si="0"/>
        <v>0</v>
      </c>
      <c r="AN24" s="12" t="s">
        <v>12004</v>
      </c>
    </row>
    <row r="25" spans="1:40" x14ac:dyDescent="0.25">
      <c r="A25" s="12">
        <v>689</v>
      </c>
      <c r="B25" s="18" t="s">
        <v>8030</v>
      </c>
      <c r="C25" s="12" t="s">
        <v>8311</v>
      </c>
      <c r="D25" s="12" t="s">
        <v>37</v>
      </c>
      <c r="E25" s="12" t="s">
        <v>2023</v>
      </c>
      <c r="F25" s="12" t="s">
        <v>525</v>
      </c>
      <c r="G25" s="12" t="s">
        <v>8312</v>
      </c>
      <c r="H25" s="12" t="s">
        <v>8313</v>
      </c>
      <c r="I25" s="12" t="s">
        <v>8313</v>
      </c>
      <c r="J25" s="12" t="s">
        <v>8313</v>
      </c>
      <c r="K25" s="12" t="s">
        <v>8314</v>
      </c>
      <c r="L25" s="12">
        <v>2100000</v>
      </c>
      <c r="M25" s="12">
        <v>3000000</v>
      </c>
      <c r="N25" s="12" t="s">
        <v>8315</v>
      </c>
      <c r="O25" s="16">
        <v>45656</v>
      </c>
      <c r="P25" s="12" t="s">
        <v>8316</v>
      </c>
      <c r="Q25" s="12" t="s">
        <v>8317</v>
      </c>
      <c r="R25" s="12" t="s">
        <v>146</v>
      </c>
      <c r="S25" s="12" t="s">
        <v>8318</v>
      </c>
      <c r="T25" s="12" t="s">
        <v>650</v>
      </c>
      <c r="U25" s="12" t="s">
        <v>335</v>
      </c>
      <c r="V25" s="16">
        <v>44561</v>
      </c>
      <c r="W25" s="12" t="s">
        <v>8102</v>
      </c>
      <c r="X25" s="12" t="s">
        <v>8103</v>
      </c>
      <c r="Y25" s="12" t="s">
        <v>8319</v>
      </c>
      <c r="Z25" s="12">
        <v>5</v>
      </c>
      <c r="AA25" s="12" t="s">
        <v>118</v>
      </c>
      <c r="AB25" s="12" t="s">
        <v>8320</v>
      </c>
      <c r="AC25" s="12" t="s">
        <v>8106</v>
      </c>
      <c r="AD25" s="12" t="s">
        <v>299</v>
      </c>
      <c r="AE25" s="12">
        <v>2550000</v>
      </c>
      <c r="AF25" s="13">
        <v>38250</v>
      </c>
      <c r="AG25" s="12"/>
      <c r="AH25" s="12"/>
      <c r="AI25" s="12"/>
      <c r="AJ25" s="12" t="s">
        <v>12027</v>
      </c>
      <c r="AK25" s="11">
        <v>38250</v>
      </c>
      <c r="AL25" s="12"/>
      <c r="AM25" s="14">
        <f t="shared" si="0"/>
        <v>0</v>
      </c>
      <c r="AN25" s="12" t="s">
        <v>12004</v>
      </c>
    </row>
    <row r="26" spans="1:40" x14ac:dyDescent="0.25">
      <c r="A26" s="9">
        <v>690</v>
      </c>
      <c r="B26" s="18" t="s">
        <v>8030</v>
      </c>
      <c r="C26" s="9" t="s">
        <v>8321</v>
      </c>
      <c r="D26" s="9" t="s">
        <v>37</v>
      </c>
      <c r="E26" s="9" t="s">
        <v>8322</v>
      </c>
      <c r="F26" s="9" t="s">
        <v>6583</v>
      </c>
      <c r="G26" s="9" t="s">
        <v>8323</v>
      </c>
      <c r="H26" s="9" t="s">
        <v>8324</v>
      </c>
      <c r="I26" s="9" t="s">
        <v>48</v>
      </c>
      <c r="J26" s="9" t="s">
        <v>141</v>
      </c>
      <c r="K26" s="9" t="s">
        <v>8325</v>
      </c>
      <c r="L26" s="9">
        <v>2054000</v>
      </c>
      <c r="M26" s="9">
        <v>2933000</v>
      </c>
      <c r="N26" s="9" t="s">
        <v>8326</v>
      </c>
      <c r="O26" s="10">
        <v>45656</v>
      </c>
      <c r="P26" s="9" t="s">
        <v>8327</v>
      </c>
      <c r="Q26" s="9" t="s">
        <v>8328</v>
      </c>
      <c r="R26" s="9" t="s">
        <v>47</v>
      </c>
      <c r="S26" s="9" t="s">
        <v>48</v>
      </c>
      <c r="T26" s="9" t="s">
        <v>2357</v>
      </c>
      <c r="U26" s="9" t="s">
        <v>50</v>
      </c>
      <c r="V26" s="10">
        <v>44561</v>
      </c>
      <c r="W26" s="9" t="s">
        <v>8102</v>
      </c>
      <c r="X26" s="9" t="s">
        <v>8103</v>
      </c>
      <c r="Y26" s="9" t="s">
        <v>8329</v>
      </c>
      <c r="Z26" s="9">
        <v>5</v>
      </c>
      <c r="AA26" s="9" t="s">
        <v>55</v>
      </c>
      <c r="AB26" s="9" t="s">
        <v>8330</v>
      </c>
      <c r="AC26" s="9" t="s">
        <v>8106</v>
      </c>
      <c r="AD26" s="9" t="s">
        <v>58</v>
      </c>
      <c r="AE26" s="9">
        <v>2493050</v>
      </c>
      <c r="AF26" s="11">
        <v>49861</v>
      </c>
      <c r="AG26" s="9"/>
      <c r="AH26" s="9"/>
      <c r="AI26" s="9"/>
      <c r="AJ26" s="9" t="s">
        <v>12028</v>
      </c>
      <c r="AK26" s="11">
        <v>49861</v>
      </c>
      <c r="AL26" s="12"/>
      <c r="AM26" s="14">
        <f t="shared" si="0"/>
        <v>0</v>
      </c>
      <c r="AN26" s="12" t="s">
        <v>12004</v>
      </c>
    </row>
    <row r="27" spans="1:40" x14ac:dyDescent="0.25">
      <c r="A27" s="12">
        <v>691</v>
      </c>
      <c r="B27" s="18" t="s">
        <v>8030</v>
      </c>
      <c r="C27" s="12" t="s">
        <v>8331</v>
      </c>
      <c r="D27" s="12" t="s">
        <v>37</v>
      </c>
      <c r="E27" s="12" t="s">
        <v>8332</v>
      </c>
      <c r="F27" s="12" t="s">
        <v>39</v>
      </c>
      <c r="G27" s="12" t="s">
        <v>8333</v>
      </c>
      <c r="H27" s="12" t="s">
        <v>8334</v>
      </c>
      <c r="I27" s="12" t="s">
        <v>8335</v>
      </c>
      <c r="J27" s="12" t="s">
        <v>8334</v>
      </c>
      <c r="K27" s="12" t="s">
        <v>8336</v>
      </c>
      <c r="L27" s="12">
        <v>1872000</v>
      </c>
      <c r="M27" s="12">
        <v>2880000</v>
      </c>
      <c r="N27" s="12" t="s">
        <v>8337</v>
      </c>
      <c r="O27" s="16">
        <v>45656</v>
      </c>
      <c r="P27" s="12" t="s">
        <v>8338</v>
      </c>
      <c r="Q27" s="12" t="s">
        <v>8339</v>
      </c>
      <c r="R27" s="12" t="s">
        <v>146</v>
      </c>
      <c r="S27" s="12" t="s">
        <v>8340</v>
      </c>
      <c r="T27" s="12" t="s">
        <v>8341</v>
      </c>
      <c r="U27" s="12" t="s">
        <v>50</v>
      </c>
      <c r="V27" s="16">
        <v>44565</v>
      </c>
      <c r="W27" s="12" t="s">
        <v>2981</v>
      </c>
      <c r="X27" s="12" t="s">
        <v>2982</v>
      </c>
      <c r="Y27" s="12" t="s">
        <v>8342</v>
      </c>
      <c r="Z27" s="12">
        <v>5</v>
      </c>
      <c r="AA27" s="12" t="s">
        <v>55</v>
      </c>
      <c r="AB27" s="12" t="s">
        <v>8343</v>
      </c>
      <c r="AC27" s="12" t="s">
        <v>8106</v>
      </c>
      <c r="AD27" s="12" t="s">
        <v>299</v>
      </c>
      <c r="AE27" s="12">
        <v>2448000</v>
      </c>
      <c r="AF27" s="13">
        <v>36720</v>
      </c>
      <c r="AG27" s="12"/>
      <c r="AH27" s="12"/>
      <c r="AI27" s="12"/>
      <c r="AJ27" s="12" t="s">
        <v>12029</v>
      </c>
      <c r="AK27" s="11">
        <v>36720</v>
      </c>
      <c r="AL27" s="12"/>
      <c r="AM27" s="14">
        <f t="shared" si="0"/>
        <v>0</v>
      </c>
      <c r="AN27" s="12" t="s">
        <v>12004</v>
      </c>
    </row>
    <row r="28" spans="1:40" x14ac:dyDescent="0.25">
      <c r="A28" s="9">
        <v>692</v>
      </c>
      <c r="B28" s="18" t="s">
        <v>8030</v>
      </c>
      <c r="C28" s="9" t="s">
        <v>8344</v>
      </c>
      <c r="D28" s="9" t="s">
        <v>37</v>
      </c>
      <c r="E28" s="9" t="s">
        <v>8345</v>
      </c>
      <c r="F28" s="9" t="s">
        <v>107</v>
      </c>
      <c r="G28" s="9" t="s">
        <v>8346</v>
      </c>
      <c r="H28" s="9" t="s">
        <v>8347</v>
      </c>
      <c r="I28" s="9" t="s">
        <v>8347</v>
      </c>
      <c r="J28" s="9" t="s">
        <v>8347</v>
      </c>
      <c r="K28" s="9" t="s">
        <v>8348</v>
      </c>
      <c r="L28" s="9">
        <v>1828750</v>
      </c>
      <c r="M28" s="9">
        <v>3325000</v>
      </c>
      <c r="N28" s="9" t="s">
        <v>8349</v>
      </c>
      <c r="O28" s="10">
        <v>45656</v>
      </c>
      <c r="P28" s="9" t="s">
        <v>8350</v>
      </c>
      <c r="Q28" s="9" t="s">
        <v>8351</v>
      </c>
      <c r="R28" s="9" t="s">
        <v>146</v>
      </c>
      <c r="S28" s="9" t="s">
        <v>8352</v>
      </c>
      <c r="T28" s="9" t="s">
        <v>1065</v>
      </c>
      <c r="U28" s="9" t="s">
        <v>651</v>
      </c>
      <c r="V28" s="10">
        <v>44561</v>
      </c>
      <c r="W28" s="9" t="s">
        <v>8102</v>
      </c>
      <c r="X28" s="9" t="s">
        <v>8103</v>
      </c>
      <c r="Y28" s="9" t="s">
        <v>8353</v>
      </c>
      <c r="Z28" s="9">
        <v>5</v>
      </c>
      <c r="AA28" s="9" t="s">
        <v>55</v>
      </c>
      <c r="AB28" s="9" t="s">
        <v>8354</v>
      </c>
      <c r="AC28" s="9" t="s">
        <v>8106</v>
      </c>
      <c r="AD28" s="9" t="s">
        <v>299</v>
      </c>
      <c r="AE28" s="9">
        <v>2826250</v>
      </c>
      <c r="AF28" s="11">
        <v>42394</v>
      </c>
      <c r="AG28" s="9"/>
      <c r="AH28" s="9"/>
      <c r="AI28" s="9"/>
      <c r="AJ28" s="9" t="s">
        <v>12030</v>
      </c>
      <c r="AK28" s="11">
        <v>42394</v>
      </c>
      <c r="AL28" s="12"/>
      <c r="AM28" s="14">
        <f t="shared" si="0"/>
        <v>0</v>
      </c>
      <c r="AN28" s="12" t="s">
        <v>12004</v>
      </c>
    </row>
    <row r="29" spans="1:40" x14ac:dyDescent="0.25">
      <c r="A29" s="12">
        <v>693</v>
      </c>
      <c r="B29" s="18" t="s">
        <v>8030</v>
      </c>
      <c r="C29" s="12" t="s">
        <v>8355</v>
      </c>
      <c r="D29" s="12" t="s">
        <v>37</v>
      </c>
      <c r="E29" s="12" t="s">
        <v>8356</v>
      </c>
      <c r="F29" s="12" t="s">
        <v>245</v>
      </c>
      <c r="G29" s="12" t="s">
        <v>8357</v>
      </c>
      <c r="H29" s="12" t="s">
        <v>48</v>
      </c>
      <c r="I29" s="12" t="s">
        <v>8358</v>
      </c>
      <c r="J29" s="12" t="s">
        <v>48</v>
      </c>
      <c r="K29" s="12" t="s">
        <v>8359</v>
      </c>
      <c r="L29" s="12">
        <v>1812300</v>
      </c>
      <c r="M29" s="12">
        <v>2589000</v>
      </c>
      <c r="N29" s="12" t="s">
        <v>8360</v>
      </c>
      <c r="O29" s="16">
        <v>45656</v>
      </c>
      <c r="P29" s="12" t="s">
        <v>8361</v>
      </c>
      <c r="Q29" s="12" t="s">
        <v>8362</v>
      </c>
      <c r="R29" s="12" t="s">
        <v>47</v>
      </c>
      <c r="S29" s="12" t="s">
        <v>48</v>
      </c>
      <c r="T29" s="12" t="s">
        <v>8363</v>
      </c>
      <c r="U29" s="12" t="s">
        <v>50</v>
      </c>
      <c r="V29" s="16">
        <v>44565</v>
      </c>
      <c r="W29" s="12" t="s">
        <v>2981</v>
      </c>
      <c r="X29" s="12" t="s">
        <v>2982</v>
      </c>
      <c r="Y29" s="12" t="s">
        <v>8364</v>
      </c>
      <c r="Z29" s="12">
        <v>5</v>
      </c>
      <c r="AA29" s="12" t="s">
        <v>118</v>
      </c>
      <c r="AB29" s="12" t="s">
        <v>8365</v>
      </c>
      <c r="AC29" s="12" t="s">
        <v>8106</v>
      </c>
      <c r="AD29" s="12" t="s">
        <v>58</v>
      </c>
      <c r="AE29" s="12">
        <v>2200650</v>
      </c>
      <c r="AF29" s="13">
        <v>44013</v>
      </c>
      <c r="AG29" s="12"/>
      <c r="AH29" s="12"/>
      <c r="AI29" s="12"/>
      <c r="AJ29" s="12" t="s">
        <v>12031</v>
      </c>
      <c r="AK29" s="11">
        <v>44013</v>
      </c>
      <c r="AL29" s="12"/>
      <c r="AM29" s="14">
        <f t="shared" si="0"/>
        <v>0</v>
      </c>
      <c r="AN29" s="12" t="s">
        <v>12004</v>
      </c>
    </row>
    <row r="30" spans="1:40" x14ac:dyDescent="0.25">
      <c r="A30" s="9">
        <v>694</v>
      </c>
      <c r="B30" s="18" t="s">
        <v>8030</v>
      </c>
      <c r="C30" s="9" t="s">
        <v>8366</v>
      </c>
      <c r="D30" s="9" t="s">
        <v>37</v>
      </c>
      <c r="E30" s="9" t="s">
        <v>8367</v>
      </c>
      <c r="F30" s="9" t="s">
        <v>245</v>
      </c>
      <c r="G30" s="9" t="s">
        <v>8368</v>
      </c>
      <c r="H30" s="9" t="s">
        <v>8369</v>
      </c>
      <c r="I30" s="9" t="s">
        <v>48</v>
      </c>
      <c r="J30" s="9" t="s">
        <v>8369</v>
      </c>
      <c r="K30" s="9" t="s">
        <v>8370</v>
      </c>
      <c r="L30" s="9">
        <v>1987500</v>
      </c>
      <c r="M30" s="9">
        <v>2650000</v>
      </c>
      <c r="N30" s="9" t="s">
        <v>8371</v>
      </c>
      <c r="O30" s="10">
        <v>45656</v>
      </c>
      <c r="P30" s="9" t="s">
        <v>8372</v>
      </c>
      <c r="Q30" s="9" t="s">
        <v>8373</v>
      </c>
      <c r="R30" s="9" t="s">
        <v>146</v>
      </c>
      <c r="S30" s="9" t="s">
        <v>8374</v>
      </c>
      <c r="T30" s="9" t="s">
        <v>97</v>
      </c>
      <c r="U30" s="9" t="s">
        <v>903</v>
      </c>
      <c r="V30" s="10">
        <v>44196</v>
      </c>
      <c r="W30" s="9" t="s">
        <v>8114</v>
      </c>
      <c r="X30" s="9" t="s">
        <v>8115</v>
      </c>
      <c r="Y30" s="9" t="s">
        <v>8375</v>
      </c>
      <c r="Z30" s="9">
        <v>5</v>
      </c>
      <c r="AA30" s="9" t="s">
        <v>55</v>
      </c>
      <c r="AB30" s="9" t="s">
        <v>8376</v>
      </c>
      <c r="AC30" s="9" t="s">
        <v>1029</v>
      </c>
      <c r="AD30" s="9" t="s">
        <v>58</v>
      </c>
      <c r="AE30" s="9">
        <v>2120000</v>
      </c>
      <c r="AF30" s="11">
        <v>42400</v>
      </c>
      <c r="AG30" s="9"/>
      <c r="AH30" s="9"/>
      <c r="AI30" s="9"/>
      <c r="AJ30" s="9" t="s">
        <v>12032</v>
      </c>
      <c r="AK30" s="11">
        <v>42400</v>
      </c>
      <c r="AL30" s="12"/>
      <c r="AM30" s="14">
        <f t="shared" si="0"/>
        <v>0</v>
      </c>
      <c r="AN30" s="12" t="s">
        <v>12004</v>
      </c>
    </row>
    <row r="31" spans="1:40" x14ac:dyDescent="0.25">
      <c r="A31" s="12">
        <v>695</v>
      </c>
      <c r="B31" s="18" t="s">
        <v>8030</v>
      </c>
      <c r="C31" s="12" t="s">
        <v>8377</v>
      </c>
      <c r="D31" s="12" t="s">
        <v>37</v>
      </c>
      <c r="E31" s="12" t="s">
        <v>8378</v>
      </c>
      <c r="F31" s="12" t="s">
        <v>138</v>
      </c>
      <c r="G31" s="12" t="s">
        <v>8379</v>
      </c>
      <c r="H31" s="12" t="s">
        <v>8380</v>
      </c>
      <c r="I31" s="12" t="s">
        <v>8380</v>
      </c>
      <c r="J31" s="12" t="s">
        <v>8380</v>
      </c>
      <c r="K31" s="12" t="s">
        <v>8381</v>
      </c>
      <c r="L31" s="12">
        <v>1575000</v>
      </c>
      <c r="M31" s="12">
        <v>2250000</v>
      </c>
      <c r="N31" s="12" t="s">
        <v>8382</v>
      </c>
      <c r="O31" s="16">
        <v>45656</v>
      </c>
      <c r="P31" s="12" t="s">
        <v>8383</v>
      </c>
      <c r="Q31" s="12" t="s">
        <v>8384</v>
      </c>
      <c r="R31" s="12" t="s">
        <v>146</v>
      </c>
      <c r="S31" s="12" t="s">
        <v>8385</v>
      </c>
      <c r="T31" s="12" t="s">
        <v>8386</v>
      </c>
      <c r="U31" s="12" t="s">
        <v>335</v>
      </c>
      <c r="V31" s="16">
        <v>44561</v>
      </c>
      <c r="W31" s="12" t="s">
        <v>8102</v>
      </c>
      <c r="X31" s="12" t="s">
        <v>8103</v>
      </c>
      <c r="Y31" s="12" t="s">
        <v>8387</v>
      </c>
      <c r="Z31" s="12">
        <v>5</v>
      </c>
      <c r="AA31" s="12" t="s">
        <v>55</v>
      </c>
      <c r="AB31" s="12" t="s">
        <v>8388</v>
      </c>
      <c r="AC31" s="12" t="s">
        <v>8106</v>
      </c>
      <c r="AD31" s="12" t="s">
        <v>299</v>
      </c>
      <c r="AE31" s="12">
        <v>1912500</v>
      </c>
      <c r="AF31" s="13">
        <v>28688</v>
      </c>
      <c r="AG31" s="12"/>
      <c r="AH31" s="12"/>
      <c r="AI31" s="12"/>
      <c r="AJ31" s="12" t="s">
        <v>12033</v>
      </c>
      <c r="AK31" s="11">
        <v>28688</v>
      </c>
      <c r="AL31" s="12"/>
      <c r="AM31" s="14">
        <f t="shared" si="0"/>
        <v>0</v>
      </c>
      <c r="AN31" s="12" t="s">
        <v>12004</v>
      </c>
    </row>
    <row r="32" spans="1:40" x14ac:dyDescent="0.25">
      <c r="A32" s="9">
        <v>696</v>
      </c>
      <c r="B32" s="18" t="s">
        <v>8030</v>
      </c>
      <c r="C32" s="9" t="s">
        <v>8389</v>
      </c>
      <c r="D32" s="9" t="s">
        <v>37</v>
      </c>
      <c r="E32" s="9" t="s">
        <v>3203</v>
      </c>
      <c r="F32" s="9" t="s">
        <v>245</v>
      </c>
      <c r="G32" s="9" t="s">
        <v>8390</v>
      </c>
      <c r="H32" s="9" t="s">
        <v>8391</v>
      </c>
      <c r="I32" s="9" t="s">
        <v>48</v>
      </c>
      <c r="J32" s="9" t="s">
        <v>141</v>
      </c>
      <c r="K32" s="9" t="s">
        <v>8392</v>
      </c>
      <c r="L32" s="9">
        <v>1875000</v>
      </c>
      <c r="M32" s="9">
        <v>2500000</v>
      </c>
      <c r="N32" s="9" t="s">
        <v>8393</v>
      </c>
      <c r="O32" s="10">
        <v>45656</v>
      </c>
      <c r="P32" s="9" t="s">
        <v>8394</v>
      </c>
      <c r="Q32" s="9" t="s">
        <v>8395</v>
      </c>
      <c r="R32" s="9" t="s">
        <v>1215</v>
      </c>
      <c r="S32" s="9" t="s">
        <v>48</v>
      </c>
      <c r="T32" s="9" t="s">
        <v>4915</v>
      </c>
      <c r="U32" s="9" t="s">
        <v>335</v>
      </c>
      <c r="V32" s="10">
        <v>44196</v>
      </c>
      <c r="W32" s="9" t="s">
        <v>8114</v>
      </c>
      <c r="X32" s="9" t="s">
        <v>8115</v>
      </c>
      <c r="Y32" s="9" t="s">
        <v>8396</v>
      </c>
      <c r="Z32" s="9">
        <v>5</v>
      </c>
      <c r="AA32" s="9" t="s">
        <v>55</v>
      </c>
      <c r="AB32" s="9" t="s">
        <v>8397</v>
      </c>
      <c r="AC32" s="9" t="s">
        <v>1029</v>
      </c>
      <c r="AD32" s="9" t="s">
        <v>58</v>
      </c>
      <c r="AE32" s="9">
        <v>2000000</v>
      </c>
      <c r="AF32" s="11">
        <v>40000</v>
      </c>
      <c r="AG32" s="9"/>
      <c r="AH32" s="9"/>
      <c r="AI32" s="9"/>
      <c r="AJ32" s="9" t="s">
        <v>12034</v>
      </c>
      <c r="AK32" s="11">
        <v>40000</v>
      </c>
      <c r="AL32" s="12"/>
      <c r="AM32" s="14">
        <f t="shared" si="0"/>
        <v>0</v>
      </c>
      <c r="AN32" s="12" t="s">
        <v>12004</v>
      </c>
    </row>
    <row r="33" spans="1:40" x14ac:dyDescent="0.25">
      <c r="A33" s="12">
        <v>697</v>
      </c>
      <c r="B33" s="18" t="s">
        <v>8030</v>
      </c>
      <c r="C33" s="12" t="s">
        <v>8398</v>
      </c>
      <c r="D33" s="12" t="s">
        <v>37</v>
      </c>
      <c r="E33" s="12" t="s">
        <v>8399</v>
      </c>
      <c r="F33" s="12" t="s">
        <v>107</v>
      </c>
      <c r="G33" s="12" t="s">
        <v>8400</v>
      </c>
      <c r="H33" s="12" t="s">
        <v>8401</v>
      </c>
      <c r="I33" s="12" t="s">
        <v>8401</v>
      </c>
      <c r="J33" s="12" t="s">
        <v>8402</v>
      </c>
      <c r="K33" s="12" t="s">
        <v>8403</v>
      </c>
      <c r="L33" s="12">
        <v>2018100</v>
      </c>
      <c r="M33" s="12">
        <v>2883000</v>
      </c>
      <c r="N33" s="12" t="s">
        <v>8404</v>
      </c>
      <c r="O33" s="16">
        <v>45656</v>
      </c>
      <c r="P33" s="12" t="s">
        <v>8405</v>
      </c>
      <c r="Q33" s="12" t="s">
        <v>8406</v>
      </c>
      <c r="R33" s="12" t="s">
        <v>47</v>
      </c>
      <c r="S33" s="12" t="s">
        <v>8407</v>
      </c>
      <c r="T33" s="12" t="s">
        <v>1141</v>
      </c>
      <c r="U33" s="12" t="s">
        <v>614</v>
      </c>
      <c r="V33" s="16">
        <v>43830</v>
      </c>
      <c r="W33" s="12" t="s">
        <v>8088</v>
      </c>
      <c r="X33" s="12" t="s">
        <v>8115</v>
      </c>
      <c r="Y33" s="12" t="s">
        <v>8408</v>
      </c>
      <c r="Z33" s="12">
        <v>6</v>
      </c>
      <c r="AA33" s="12" t="s">
        <v>227</v>
      </c>
      <c r="AB33" s="12" t="s">
        <v>8409</v>
      </c>
      <c r="AC33" s="12" t="s">
        <v>8091</v>
      </c>
      <c r="AD33" s="12" t="s">
        <v>171</v>
      </c>
      <c r="AE33" s="12">
        <v>2162250</v>
      </c>
      <c r="AF33" s="13">
        <v>54056</v>
      </c>
      <c r="AG33" s="12"/>
      <c r="AH33" s="12"/>
      <c r="AI33" s="12"/>
      <c r="AJ33" s="12" t="s">
        <v>12035</v>
      </c>
      <c r="AK33" s="11">
        <v>54056</v>
      </c>
      <c r="AL33" s="12"/>
      <c r="AM33" s="14">
        <f t="shared" si="0"/>
        <v>0</v>
      </c>
      <c r="AN33" s="12" t="s">
        <v>12004</v>
      </c>
    </row>
    <row r="34" spans="1:40" x14ac:dyDescent="0.25">
      <c r="A34" s="9">
        <v>698</v>
      </c>
      <c r="B34" s="18" t="s">
        <v>8030</v>
      </c>
      <c r="C34" s="9" t="s">
        <v>8410</v>
      </c>
      <c r="D34" s="9" t="s">
        <v>37</v>
      </c>
      <c r="E34" s="9" t="s">
        <v>8411</v>
      </c>
      <c r="F34" s="9" t="s">
        <v>138</v>
      </c>
      <c r="G34" s="9" t="s">
        <v>8412</v>
      </c>
      <c r="H34" s="9" t="s">
        <v>48</v>
      </c>
      <c r="I34" s="9" t="s">
        <v>8413</v>
      </c>
      <c r="J34" s="9" t="s">
        <v>48</v>
      </c>
      <c r="K34" s="9" t="s">
        <v>8414</v>
      </c>
      <c r="L34" s="9">
        <v>1666500</v>
      </c>
      <c r="M34" s="9">
        <v>2525000</v>
      </c>
      <c r="N34" s="9" t="s">
        <v>8415</v>
      </c>
      <c r="O34" s="10">
        <v>45656</v>
      </c>
      <c r="P34" s="9" t="s">
        <v>8416</v>
      </c>
      <c r="Q34" s="9" t="s">
        <v>8417</v>
      </c>
      <c r="R34" s="9" t="s">
        <v>146</v>
      </c>
      <c r="S34" s="9" t="s">
        <v>8418</v>
      </c>
      <c r="T34" s="9" t="s">
        <v>1971</v>
      </c>
      <c r="U34" s="9" t="s">
        <v>496</v>
      </c>
      <c r="V34" s="10">
        <v>44196</v>
      </c>
      <c r="W34" s="9" t="s">
        <v>8114</v>
      </c>
      <c r="X34" s="9" t="s">
        <v>8115</v>
      </c>
      <c r="Y34" s="9" t="s">
        <v>8419</v>
      </c>
      <c r="Z34" s="9">
        <v>5</v>
      </c>
      <c r="AA34" s="9" t="s">
        <v>227</v>
      </c>
      <c r="AB34" s="9" t="s">
        <v>8420</v>
      </c>
      <c r="AC34" s="9" t="s">
        <v>1029</v>
      </c>
      <c r="AD34" s="9" t="s">
        <v>58</v>
      </c>
      <c r="AE34" s="9">
        <v>2020000</v>
      </c>
      <c r="AF34" s="11">
        <v>40400</v>
      </c>
      <c r="AG34" s="9"/>
      <c r="AH34" s="9"/>
      <c r="AI34" s="9"/>
      <c r="AJ34" s="9" t="s">
        <v>12036</v>
      </c>
      <c r="AK34" s="11">
        <v>40400</v>
      </c>
      <c r="AL34" s="12"/>
      <c r="AM34" s="14">
        <f t="shared" si="0"/>
        <v>0</v>
      </c>
      <c r="AN34" s="12" t="s">
        <v>12004</v>
      </c>
    </row>
    <row r="35" spans="1:40" x14ac:dyDescent="0.25">
      <c r="A35" s="12">
        <v>699</v>
      </c>
      <c r="B35" s="18" t="s">
        <v>8030</v>
      </c>
      <c r="C35" s="12" t="s">
        <v>8421</v>
      </c>
      <c r="D35" s="12" t="s">
        <v>37</v>
      </c>
      <c r="E35" s="12" t="s">
        <v>3203</v>
      </c>
      <c r="F35" s="12" t="s">
        <v>39</v>
      </c>
      <c r="G35" s="12" t="s">
        <v>8422</v>
      </c>
      <c r="H35" s="12" t="s">
        <v>8423</v>
      </c>
      <c r="I35" s="12" t="s">
        <v>8424</v>
      </c>
      <c r="J35" s="12" t="s">
        <v>8423</v>
      </c>
      <c r="K35" s="12" t="s">
        <v>8425</v>
      </c>
      <c r="L35" s="12">
        <v>1340000</v>
      </c>
      <c r="M35" s="12">
        <v>1675000</v>
      </c>
      <c r="N35" s="12" t="s">
        <v>8426</v>
      </c>
      <c r="O35" s="16">
        <v>45656</v>
      </c>
      <c r="P35" s="12" t="s">
        <v>8427</v>
      </c>
      <c r="Q35" s="12" t="s">
        <v>8428</v>
      </c>
      <c r="R35" s="12" t="s">
        <v>146</v>
      </c>
      <c r="S35" s="12" t="s">
        <v>8429</v>
      </c>
      <c r="T35" s="12" t="s">
        <v>321</v>
      </c>
      <c r="U35" s="12" t="s">
        <v>614</v>
      </c>
      <c r="V35" s="16">
        <v>44561</v>
      </c>
      <c r="W35" s="12" t="s">
        <v>8102</v>
      </c>
      <c r="X35" s="12" t="s">
        <v>8103</v>
      </c>
      <c r="Y35" s="12" t="s">
        <v>8430</v>
      </c>
      <c r="Z35" s="12">
        <v>5</v>
      </c>
      <c r="AA35" s="12" t="s">
        <v>55</v>
      </c>
      <c r="AB35" s="12" t="s">
        <v>8431</v>
      </c>
      <c r="AC35" s="12" t="s">
        <v>8106</v>
      </c>
      <c r="AD35" s="12" t="s">
        <v>299</v>
      </c>
      <c r="AE35" s="12">
        <v>1423750</v>
      </c>
      <c r="AF35" s="13">
        <v>21356</v>
      </c>
      <c r="AG35" s="12"/>
      <c r="AH35" s="12"/>
      <c r="AI35" s="12"/>
      <c r="AJ35" s="12" t="s">
        <v>12037</v>
      </c>
      <c r="AK35" s="11">
        <v>21356</v>
      </c>
      <c r="AL35" s="12"/>
      <c r="AM35" s="14">
        <f t="shared" si="0"/>
        <v>0</v>
      </c>
      <c r="AN35" s="12" t="s">
        <v>12004</v>
      </c>
    </row>
    <row r="36" spans="1:40" x14ac:dyDescent="0.25">
      <c r="A36" s="9">
        <v>700</v>
      </c>
      <c r="B36" s="18" t="s">
        <v>8030</v>
      </c>
      <c r="C36" s="9" t="s">
        <v>8432</v>
      </c>
      <c r="D36" s="9" t="s">
        <v>37</v>
      </c>
      <c r="E36" s="9" t="s">
        <v>8433</v>
      </c>
      <c r="F36" s="9" t="s">
        <v>39</v>
      </c>
      <c r="G36" s="9" t="s">
        <v>8434</v>
      </c>
      <c r="H36" s="9" t="s">
        <v>48</v>
      </c>
      <c r="I36" s="9" t="s">
        <v>8435</v>
      </c>
      <c r="J36" s="9" t="s">
        <v>48</v>
      </c>
      <c r="K36" s="9" t="s">
        <v>8436</v>
      </c>
      <c r="L36" s="9">
        <v>1330000</v>
      </c>
      <c r="M36" s="9">
        <v>1900000</v>
      </c>
      <c r="N36" s="9" t="s">
        <v>8437</v>
      </c>
      <c r="O36" s="10">
        <v>45656</v>
      </c>
      <c r="P36" s="9" t="s">
        <v>8438</v>
      </c>
      <c r="Q36" s="9" t="s">
        <v>8439</v>
      </c>
      <c r="R36" s="9" t="s">
        <v>146</v>
      </c>
      <c r="S36" s="9" t="s">
        <v>8440</v>
      </c>
      <c r="T36" s="9" t="s">
        <v>8441</v>
      </c>
      <c r="U36" s="9" t="s">
        <v>50</v>
      </c>
      <c r="V36" s="10">
        <v>44565</v>
      </c>
      <c r="W36" s="9" t="s">
        <v>2981</v>
      </c>
      <c r="X36" s="9" t="s">
        <v>2982</v>
      </c>
      <c r="Y36" s="9" t="s">
        <v>8442</v>
      </c>
      <c r="Z36" s="9">
        <v>5</v>
      </c>
      <c r="AA36" s="9" t="s">
        <v>55</v>
      </c>
      <c r="AB36" s="9" t="s">
        <v>8443</v>
      </c>
      <c r="AC36" s="9" t="s">
        <v>8106</v>
      </c>
      <c r="AD36" s="9" t="s">
        <v>299</v>
      </c>
      <c r="AE36" s="9">
        <v>1615000</v>
      </c>
      <c r="AF36" s="11">
        <v>24225</v>
      </c>
      <c r="AG36" s="9"/>
      <c r="AH36" s="9"/>
      <c r="AI36" s="9"/>
      <c r="AJ36" s="9" t="s">
        <v>12038</v>
      </c>
      <c r="AK36" s="11">
        <v>24225</v>
      </c>
      <c r="AL36" s="12"/>
      <c r="AM36" s="14">
        <f t="shared" si="0"/>
        <v>0</v>
      </c>
      <c r="AN36" s="12" t="s">
        <v>12004</v>
      </c>
    </row>
    <row r="37" spans="1:40" x14ac:dyDescent="0.25">
      <c r="A37" s="12">
        <v>701</v>
      </c>
      <c r="B37" s="18" t="s">
        <v>8030</v>
      </c>
      <c r="C37" s="12" t="s">
        <v>8444</v>
      </c>
      <c r="D37" s="12" t="s">
        <v>37</v>
      </c>
      <c r="E37" s="12" t="s">
        <v>8445</v>
      </c>
      <c r="F37" s="12" t="s">
        <v>8446</v>
      </c>
      <c r="G37" s="12" t="s">
        <v>8447</v>
      </c>
      <c r="H37" s="12" t="s">
        <v>8448</v>
      </c>
      <c r="I37" s="12" t="s">
        <v>8449</v>
      </c>
      <c r="J37" s="12" t="s">
        <v>8448</v>
      </c>
      <c r="K37" s="12" t="s">
        <v>8450</v>
      </c>
      <c r="L37" s="12">
        <v>1280000</v>
      </c>
      <c r="M37" s="12">
        <v>1600000</v>
      </c>
      <c r="N37" s="12" t="s">
        <v>8451</v>
      </c>
      <c r="O37" s="16">
        <v>45656</v>
      </c>
      <c r="P37" s="12" t="s">
        <v>8452</v>
      </c>
      <c r="Q37" s="12" t="s">
        <v>8453</v>
      </c>
      <c r="R37" s="12" t="s">
        <v>146</v>
      </c>
      <c r="S37" s="12" t="s">
        <v>8454</v>
      </c>
      <c r="T37" s="12" t="s">
        <v>181</v>
      </c>
      <c r="U37" s="12" t="s">
        <v>496</v>
      </c>
      <c r="V37" s="16">
        <v>44561</v>
      </c>
      <c r="W37" s="12" t="s">
        <v>8102</v>
      </c>
      <c r="X37" s="12" t="s">
        <v>8455</v>
      </c>
      <c r="Y37" s="12" t="s">
        <v>8456</v>
      </c>
      <c r="Z37" s="12">
        <v>7</v>
      </c>
      <c r="AA37" s="12" t="s">
        <v>118</v>
      </c>
      <c r="AB37" s="12" t="s">
        <v>8457</v>
      </c>
      <c r="AC37" s="12" t="s">
        <v>8106</v>
      </c>
      <c r="AD37" s="12" t="s">
        <v>299</v>
      </c>
      <c r="AE37" s="12">
        <v>1360000</v>
      </c>
      <c r="AF37" s="13">
        <v>20400</v>
      </c>
      <c r="AG37" s="12"/>
      <c r="AH37" s="12"/>
      <c r="AI37" s="12"/>
      <c r="AJ37" s="12" t="s">
        <v>12039</v>
      </c>
      <c r="AK37" s="11">
        <v>20400</v>
      </c>
      <c r="AL37" s="12"/>
      <c r="AM37" s="14">
        <f t="shared" si="0"/>
        <v>0</v>
      </c>
      <c r="AN37" s="12" t="s">
        <v>12004</v>
      </c>
    </row>
    <row r="38" spans="1:40" x14ac:dyDescent="0.25">
      <c r="A38" s="9">
        <v>702</v>
      </c>
      <c r="B38" s="18" t="s">
        <v>8030</v>
      </c>
      <c r="C38" s="9" t="s">
        <v>8458</v>
      </c>
      <c r="D38" s="9" t="s">
        <v>37</v>
      </c>
      <c r="E38" s="9" t="s">
        <v>8459</v>
      </c>
      <c r="F38" s="9" t="s">
        <v>245</v>
      </c>
      <c r="G38" s="9" t="s">
        <v>8460</v>
      </c>
      <c r="H38" s="9" t="s">
        <v>8461</v>
      </c>
      <c r="I38" s="9" t="s">
        <v>48</v>
      </c>
      <c r="J38" s="9" t="s">
        <v>8462</v>
      </c>
      <c r="K38" s="9" t="s">
        <v>8463</v>
      </c>
      <c r="L38" s="9">
        <v>1500000</v>
      </c>
      <c r="M38" s="9">
        <v>2000000</v>
      </c>
      <c r="N38" s="9" t="s">
        <v>8464</v>
      </c>
      <c r="O38" s="10">
        <v>45656</v>
      </c>
      <c r="P38" s="9" t="s">
        <v>8465</v>
      </c>
      <c r="Q38" s="9" t="s">
        <v>8466</v>
      </c>
      <c r="R38" s="9" t="s">
        <v>146</v>
      </c>
      <c r="S38" s="9" t="s">
        <v>8467</v>
      </c>
      <c r="T38" s="9" t="s">
        <v>6897</v>
      </c>
      <c r="U38" s="9" t="s">
        <v>903</v>
      </c>
      <c r="V38" s="10">
        <v>44196</v>
      </c>
      <c r="W38" s="9" t="s">
        <v>8114</v>
      </c>
      <c r="X38" s="9" t="s">
        <v>8103</v>
      </c>
      <c r="Y38" s="9" t="s">
        <v>8468</v>
      </c>
      <c r="Z38" s="9">
        <v>6</v>
      </c>
      <c r="AA38" s="9" t="s">
        <v>55</v>
      </c>
      <c r="AB38" s="9" t="s">
        <v>8469</v>
      </c>
      <c r="AC38" s="9" t="s">
        <v>1029</v>
      </c>
      <c r="AD38" s="9" t="s">
        <v>86</v>
      </c>
      <c r="AE38" s="9">
        <v>1600000</v>
      </c>
      <c r="AF38" s="11">
        <v>28000</v>
      </c>
      <c r="AG38" s="9"/>
      <c r="AH38" s="9"/>
      <c r="AI38" s="9"/>
      <c r="AJ38" s="9" t="s">
        <v>12040</v>
      </c>
      <c r="AK38" s="11">
        <v>28000</v>
      </c>
      <c r="AL38" s="12"/>
      <c r="AM38" s="14">
        <f t="shared" si="0"/>
        <v>0</v>
      </c>
      <c r="AN38" s="12" t="s">
        <v>12004</v>
      </c>
    </row>
    <row r="39" spans="1:40" x14ac:dyDescent="0.25">
      <c r="A39" s="12">
        <v>703</v>
      </c>
      <c r="B39" s="18" t="s">
        <v>8030</v>
      </c>
      <c r="C39" s="12" t="s">
        <v>8470</v>
      </c>
      <c r="D39" s="12" t="s">
        <v>37</v>
      </c>
      <c r="E39" s="12" t="s">
        <v>8471</v>
      </c>
      <c r="F39" s="12" t="s">
        <v>107</v>
      </c>
      <c r="G39" s="12" t="s">
        <v>8472</v>
      </c>
      <c r="H39" s="12" t="s">
        <v>48</v>
      </c>
      <c r="I39" s="12" t="s">
        <v>8473</v>
      </c>
      <c r="J39" s="12" t="s">
        <v>48</v>
      </c>
      <c r="K39" s="12" t="s">
        <v>8474</v>
      </c>
      <c r="L39" s="12">
        <v>1275000</v>
      </c>
      <c r="M39" s="12">
        <v>1700000</v>
      </c>
      <c r="N39" s="12" t="s">
        <v>8475</v>
      </c>
      <c r="O39" s="16">
        <v>45656</v>
      </c>
      <c r="P39" s="12" t="s">
        <v>8476</v>
      </c>
      <c r="Q39" s="12" t="s">
        <v>8477</v>
      </c>
      <c r="R39" s="12" t="s">
        <v>146</v>
      </c>
      <c r="S39" s="12" t="s">
        <v>8478</v>
      </c>
      <c r="T39" s="12" t="s">
        <v>4459</v>
      </c>
      <c r="U39" s="12" t="s">
        <v>496</v>
      </c>
      <c r="V39" s="16">
        <v>44561</v>
      </c>
      <c r="W39" s="12" t="s">
        <v>8102</v>
      </c>
      <c r="X39" s="12" t="s">
        <v>8103</v>
      </c>
      <c r="Y39" s="12" t="s">
        <v>8479</v>
      </c>
      <c r="Z39" s="12">
        <v>5</v>
      </c>
      <c r="AA39" s="12" t="s">
        <v>55</v>
      </c>
      <c r="AB39" s="12" t="s">
        <v>8480</v>
      </c>
      <c r="AC39" s="12" t="s">
        <v>8106</v>
      </c>
      <c r="AD39" s="12" t="s">
        <v>299</v>
      </c>
      <c r="AE39" s="12">
        <v>1445000</v>
      </c>
      <c r="AF39" s="13">
        <v>21675</v>
      </c>
      <c r="AG39" s="12"/>
      <c r="AH39" s="12"/>
      <c r="AI39" s="12"/>
      <c r="AJ39" s="12" t="s">
        <v>12041</v>
      </c>
      <c r="AK39" s="11">
        <v>21675</v>
      </c>
      <c r="AL39" s="12"/>
      <c r="AM39" s="14">
        <f t="shared" si="0"/>
        <v>0</v>
      </c>
      <c r="AN39" s="12" t="s">
        <v>12004</v>
      </c>
    </row>
    <row r="40" spans="1:40" x14ac:dyDescent="0.25">
      <c r="A40" s="9">
        <v>704</v>
      </c>
      <c r="B40" s="18" t="s">
        <v>8030</v>
      </c>
      <c r="C40" s="9" t="s">
        <v>8481</v>
      </c>
      <c r="D40" s="9" t="s">
        <v>37</v>
      </c>
      <c r="E40" s="9" t="s">
        <v>8482</v>
      </c>
      <c r="F40" s="9" t="s">
        <v>525</v>
      </c>
      <c r="G40" s="9" t="s">
        <v>8483</v>
      </c>
      <c r="H40" s="9" t="s">
        <v>48</v>
      </c>
      <c r="I40" s="9" t="s">
        <v>8484</v>
      </c>
      <c r="J40" s="9" t="s">
        <v>48</v>
      </c>
      <c r="K40" s="9" t="s">
        <v>8485</v>
      </c>
      <c r="L40" s="9">
        <v>1269800</v>
      </c>
      <c r="M40" s="9">
        <v>1814000</v>
      </c>
      <c r="N40" s="9" t="s">
        <v>8486</v>
      </c>
      <c r="O40" s="10">
        <v>45656</v>
      </c>
      <c r="P40" s="9" t="s">
        <v>8487</v>
      </c>
      <c r="Q40" s="9" t="s">
        <v>8488</v>
      </c>
      <c r="R40" s="9" t="s">
        <v>47</v>
      </c>
      <c r="S40" s="9" t="s">
        <v>48</v>
      </c>
      <c r="T40" s="9" t="s">
        <v>1264</v>
      </c>
      <c r="U40" s="9" t="s">
        <v>50</v>
      </c>
      <c r="V40" s="10">
        <v>44561</v>
      </c>
      <c r="W40" s="9" t="s">
        <v>8102</v>
      </c>
      <c r="X40" s="9" t="s">
        <v>8103</v>
      </c>
      <c r="Y40" s="9" t="s">
        <v>8489</v>
      </c>
      <c r="Z40" s="9">
        <v>5</v>
      </c>
      <c r="AA40" s="9" t="s">
        <v>118</v>
      </c>
      <c r="AB40" s="9" t="s">
        <v>8490</v>
      </c>
      <c r="AC40" s="9" t="s">
        <v>8106</v>
      </c>
      <c r="AD40" s="9" t="s">
        <v>58</v>
      </c>
      <c r="AE40" s="9">
        <v>1541900</v>
      </c>
      <c r="AF40" s="11">
        <v>30838</v>
      </c>
      <c r="AG40" s="9"/>
      <c r="AH40" s="9"/>
      <c r="AI40" s="9"/>
      <c r="AJ40" s="9" t="s">
        <v>12042</v>
      </c>
      <c r="AK40" s="11">
        <v>30838</v>
      </c>
      <c r="AL40" s="12"/>
      <c r="AM40" s="14">
        <f t="shared" si="0"/>
        <v>0</v>
      </c>
      <c r="AN40" s="12" t="s">
        <v>12004</v>
      </c>
    </row>
    <row r="41" spans="1:40" x14ac:dyDescent="0.25">
      <c r="A41" s="12">
        <v>705</v>
      </c>
      <c r="B41" s="18" t="s">
        <v>8030</v>
      </c>
      <c r="C41" s="12" t="s">
        <v>8491</v>
      </c>
      <c r="D41" s="12" t="s">
        <v>37</v>
      </c>
      <c r="E41" s="12" t="s">
        <v>8492</v>
      </c>
      <c r="F41" s="12" t="s">
        <v>107</v>
      </c>
      <c r="G41" s="12" t="s">
        <v>8493</v>
      </c>
      <c r="H41" s="12" t="s">
        <v>48</v>
      </c>
      <c r="I41" s="12" t="s">
        <v>8494</v>
      </c>
      <c r="J41" s="12" t="s">
        <v>48</v>
      </c>
      <c r="K41" s="12" t="s">
        <v>8495</v>
      </c>
      <c r="L41" s="12">
        <v>1245000</v>
      </c>
      <c r="M41" s="12">
        <v>2075000</v>
      </c>
      <c r="N41" s="12" t="s">
        <v>8496</v>
      </c>
      <c r="O41" s="16">
        <v>45656</v>
      </c>
      <c r="P41" s="12" t="s">
        <v>8497</v>
      </c>
      <c r="Q41" s="12" t="s">
        <v>8498</v>
      </c>
      <c r="R41" s="12" t="s">
        <v>146</v>
      </c>
      <c r="S41" s="12" t="s">
        <v>8499</v>
      </c>
      <c r="T41" s="12" t="s">
        <v>5716</v>
      </c>
      <c r="U41" s="12" t="s">
        <v>651</v>
      </c>
      <c r="V41" s="16">
        <v>44565</v>
      </c>
      <c r="W41" s="12" t="s">
        <v>2981</v>
      </c>
      <c r="X41" s="12" t="s">
        <v>2982</v>
      </c>
      <c r="Y41" s="12" t="s">
        <v>8500</v>
      </c>
      <c r="Z41" s="12">
        <v>5</v>
      </c>
      <c r="AA41" s="12" t="s">
        <v>55</v>
      </c>
      <c r="AB41" s="12" t="s">
        <v>8501</v>
      </c>
      <c r="AC41" s="12" t="s">
        <v>8106</v>
      </c>
      <c r="AD41" s="12" t="s">
        <v>299</v>
      </c>
      <c r="AE41" s="12">
        <v>1763750</v>
      </c>
      <c r="AF41" s="13">
        <v>26456</v>
      </c>
      <c r="AG41" s="12"/>
      <c r="AH41" s="12"/>
      <c r="AI41" s="12"/>
      <c r="AJ41" s="12" t="s">
        <v>12043</v>
      </c>
      <c r="AK41" s="11">
        <v>26456</v>
      </c>
      <c r="AL41" s="12"/>
      <c r="AM41" s="14">
        <f t="shared" si="0"/>
        <v>0</v>
      </c>
      <c r="AN41" s="12" t="s">
        <v>12004</v>
      </c>
    </row>
    <row r="42" spans="1:40" x14ac:dyDescent="0.25">
      <c r="A42" s="9">
        <v>706</v>
      </c>
      <c r="B42" s="18" t="s">
        <v>8030</v>
      </c>
      <c r="C42" s="9" t="s">
        <v>8502</v>
      </c>
      <c r="D42" s="9" t="s">
        <v>37</v>
      </c>
      <c r="E42" s="9" t="s">
        <v>8503</v>
      </c>
      <c r="F42" s="9" t="s">
        <v>39</v>
      </c>
      <c r="G42" s="9" t="s">
        <v>8504</v>
      </c>
      <c r="H42" s="9" t="s">
        <v>8505</v>
      </c>
      <c r="I42" s="9" t="s">
        <v>8506</v>
      </c>
      <c r="J42" s="9" t="s">
        <v>8507</v>
      </c>
      <c r="K42" s="9" t="s">
        <v>8508</v>
      </c>
      <c r="L42" s="9">
        <v>1237500</v>
      </c>
      <c r="M42" s="9">
        <v>1650000</v>
      </c>
      <c r="N42" s="9" t="s">
        <v>8509</v>
      </c>
      <c r="O42" s="10">
        <v>45656</v>
      </c>
      <c r="P42" s="9" t="s">
        <v>8510</v>
      </c>
      <c r="Q42" s="9" t="s">
        <v>8511</v>
      </c>
      <c r="R42" s="9" t="s">
        <v>146</v>
      </c>
      <c r="S42" s="9" t="s">
        <v>8512</v>
      </c>
      <c r="T42" s="9" t="s">
        <v>8441</v>
      </c>
      <c r="U42" s="9" t="s">
        <v>496</v>
      </c>
      <c r="V42" s="10">
        <v>44565</v>
      </c>
      <c r="W42" s="9" t="s">
        <v>2981</v>
      </c>
      <c r="X42" s="9" t="s">
        <v>2982</v>
      </c>
      <c r="Y42" s="9" t="s">
        <v>8513</v>
      </c>
      <c r="Z42" s="9">
        <v>5</v>
      </c>
      <c r="AA42" s="9" t="s">
        <v>55</v>
      </c>
      <c r="AB42" s="9" t="s">
        <v>8514</v>
      </c>
      <c r="AC42" s="9" t="s">
        <v>8106</v>
      </c>
      <c r="AD42" s="9" t="s">
        <v>299</v>
      </c>
      <c r="AE42" s="9">
        <v>1402500</v>
      </c>
      <c r="AF42" s="11">
        <v>21038</v>
      </c>
      <c r="AG42" s="9"/>
      <c r="AH42" s="9"/>
      <c r="AI42" s="9"/>
      <c r="AJ42" s="9" t="s">
        <v>12044</v>
      </c>
      <c r="AK42" s="11">
        <v>21038</v>
      </c>
      <c r="AL42" s="12"/>
      <c r="AM42" s="14">
        <f t="shared" si="0"/>
        <v>0</v>
      </c>
      <c r="AN42" s="12" t="s">
        <v>12004</v>
      </c>
    </row>
    <row r="43" spans="1:40" x14ac:dyDescent="0.25">
      <c r="A43" s="12">
        <v>707</v>
      </c>
      <c r="B43" s="18" t="s">
        <v>8030</v>
      </c>
      <c r="C43" s="12" t="s">
        <v>8515</v>
      </c>
      <c r="D43" s="12" t="s">
        <v>37</v>
      </c>
      <c r="E43" s="12" t="s">
        <v>8516</v>
      </c>
      <c r="F43" s="12" t="s">
        <v>138</v>
      </c>
      <c r="G43" s="12" t="s">
        <v>8517</v>
      </c>
      <c r="H43" s="12" t="s">
        <v>8518</v>
      </c>
      <c r="I43" s="12" t="s">
        <v>8518</v>
      </c>
      <c r="J43" s="12" t="s">
        <v>141</v>
      </c>
      <c r="K43" s="12" t="s">
        <v>8519</v>
      </c>
      <c r="L43" s="12">
        <v>1225000</v>
      </c>
      <c r="M43" s="12">
        <v>1750000</v>
      </c>
      <c r="N43" s="12" t="s">
        <v>8520</v>
      </c>
      <c r="O43" s="16">
        <v>45656</v>
      </c>
      <c r="P43" s="12" t="s">
        <v>8521</v>
      </c>
      <c r="Q43" s="12" t="s">
        <v>8522</v>
      </c>
      <c r="R43" s="12" t="s">
        <v>146</v>
      </c>
      <c r="S43" s="12" t="s">
        <v>8523</v>
      </c>
      <c r="T43" s="12" t="s">
        <v>4014</v>
      </c>
      <c r="U43" s="12" t="s">
        <v>651</v>
      </c>
      <c r="V43" s="16">
        <v>44561</v>
      </c>
      <c r="W43" s="12" t="s">
        <v>8102</v>
      </c>
      <c r="X43" s="12" t="s">
        <v>8103</v>
      </c>
      <c r="Y43" s="12" t="s">
        <v>8524</v>
      </c>
      <c r="Z43" s="12">
        <v>5</v>
      </c>
      <c r="AA43" s="12" t="s">
        <v>118</v>
      </c>
      <c r="AB43" s="12" t="s">
        <v>8525</v>
      </c>
      <c r="AC43" s="12" t="s">
        <v>8106</v>
      </c>
      <c r="AD43" s="12" t="s">
        <v>299</v>
      </c>
      <c r="AE43" s="12">
        <v>1487500</v>
      </c>
      <c r="AF43" s="13">
        <v>22313</v>
      </c>
      <c r="AG43" s="12"/>
      <c r="AH43" s="12"/>
      <c r="AI43" s="12"/>
      <c r="AJ43" s="12" t="s">
        <v>12045</v>
      </c>
      <c r="AK43" s="11">
        <v>22313</v>
      </c>
      <c r="AL43" s="12"/>
      <c r="AM43" s="14">
        <f t="shared" si="0"/>
        <v>0</v>
      </c>
      <c r="AN43" s="12" t="s">
        <v>12004</v>
      </c>
    </row>
    <row r="44" spans="1:40" x14ac:dyDescent="0.25">
      <c r="A44" s="9">
        <v>708</v>
      </c>
      <c r="B44" s="18" t="s">
        <v>8030</v>
      </c>
      <c r="C44" s="9" t="s">
        <v>8526</v>
      </c>
      <c r="D44" s="9" t="s">
        <v>37</v>
      </c>
      <c r="E44" s="9" t="s">
        <v>8527</v>
      </c>
      <c r="F44" s="9" t="s">
        <v>39</v>
      </c>
      <c r="G44" s="9" t="s">
        <v>8528</v>
      </c>
      <c r="H44" s="9" t="s">
        <v>8529</v>
      </c>
      <c r="I44" s="9" t="s">
        <v>8530</v>
      </c>
      <c r="J44" s="9" t="s">
        <v>8529</v>
      </c>
      <c r="K44" s="9" t="s">
        <v>8531</v>
      </c>
      <c r="L44" s="9">
        <v>1220000</v>
      </c>
      <c r="M44" s="9">
        <v>1525000</v>
      </c>
      <c r="N44" s="9" t="s">
        <v>8532</v>
      </c>
      <c r="O44" s="10">
        <v>45656</v>
      </c>
      <c r="P44" s="9" t="s">
        <v>8533</v>
      </c>
      <c r="Q44" s="9" t="s">
        <v>8534</v>
      </c>
      <c r="R44" s="9" t="s">
        <v>146</v>
      </c>
      <c r="S44" s="9" t="s">
        <v>8535</v>
      </c>
      <c r="T44" s="9" t="s">
        <v>321</v>
      </c>
      <c r="U44" s="9" t="s">
        <v>496</v>
      </c>
      <c r="V44" s="10">
        <v>44565</v>
      </c>
      <c r="W44" s="9" t="s">
        <v>2981</v>
      </c>
      <c r="X44" s="9" t="s">
        <v>2982</v>
      </c>
      <c r="Y44" s="9" t="s">
        <v>8536</v>
      </c>
      <c r="Z44" s="9">
        <v>5</v>
      </c>
      <c r="AA44" s="9" t="s">
        <v>55</v>
      </c>
      <c r="AB44" s="9" t="s">
        <v>8537</v>
      </c>
      <c r="AC44" s="9" t="s">
        <v>8106</v>
      </c>
      <c r="AD44" s="9" t="s">
        <v>299</v>
      </c>
      <c r="AE44" s="9">
        <v>1296250</v>
      </c>
      <c r="AF44" s="11">
        <v>19444</v>
      </c>
      <c r="AG44" s="9"/>
      <c r="AH44" s="9"/>
      <c r="AI44" s="9"/>
      <c r="AJ44" s="9" t="s">
        <v>12046</v>
      </c>
      <c r="AK44" s="11">
        <v>19444</v>
      </c>
      <c r="AL44" s="12"/>
      <c r="AM44" s="14">
        <f t="shared" si="0"/>
        <v>0</v>
      </c>
      <c r="AN44" s="12" t="s">
        <v>12004</v>
      </c>
    </row>
    <row r="45" spans="1:40" x14ac:dyDescent="0.25">
      <c r="A45" s="12">
        <v>709</v>
      </c>
      <c r="B45" s="18" t="s">
        <v>8030</v>
      </c>
      <c r="C45" s="12" t="s">
        <v>8538</v>
      </c>
      <c r="D45" s="12" t="s">
        <v>37</v>
      </c>
      <c r="E45" s="12" t="s">
        <v>8539</v>
      </c>
      <c r="F45" s="12" t="s">
        <v>138</v>
      </c>
      <c r="G45" s="12" t="s">
        <v>8540</v>
      </c>
      <c r="H45" s="12" t="s">
        <v>8541</v>
      </c>
      <c r="I45" s="12" t="s">
        <v>8542</v>
      </c>
      <c r="J45" s="12" t="s">
        <v>8543</v>
      </c>
      <c r="K45" s="12" t="s">
        <v>8544</v>
      </c>
      <c r="L45" s="12">
        <v>1190000</v>
      </c>
      <c r="M45" s="12">
        <v>1700000</v>
      </c>
      <c r="N45" s="12" t="s">
        <v>8545</v>
      </c>
      <c r="O45" s="16">
        <v>45656</v>
      </c>
      <c r="P45" s="12" t="s">
        <v>8546</v>
      </c>
      <c r="Q45" s="12" t="s">
        <v>8547</v>
      </c>
      <c r="R45" s="12" t="s">
        <v>146</v>
      </c>
      <c r="S45" s="12" t="s">
        <v>8548</v>
      </c>
      <c r="T45" s="12" t="s">
        <v>8549</v>
      </c>
      <c r="U45" s="12" t="s">
        <v>651</v>
      </c>
      <c r="V45" s="16">
        <v>44561</v>
      </c>
      <c r="W45" s="12" t="s">
        <v>8102</v>
      </c>
      <c r="X45" s="12" t="s">
        <v>8103</v>
      </c>
      <c r="Y45" s="12" t="s">
        <v>8550</v>
      </c>
      <c r="Z45" s="12">
        <v>5</v>
      </c>
      <c r="AA45" s="12" t="s">
        <v>55</v>
      </c>
      <c r="AB45" s="12" t="s">
        <v>8551</v>
      </c>
      <c r="AC45" s="12" t="s">
        <v>8106</v>
      </c>
      <c r="AD45" s="12" t="s">
        <v>299</v>
      </c>
      <c r="AE45" s="12">
        <v>1445000</v>
      </c>
      <c r="AF45" s="13">
        <v>21675</v>
      </c>
      <c r="AG45" s="12"/>
      <c r="AH45" s="12"/>
      <c r="AI45" s="12"/>
      <c r="AJ45" s="12" t="s">
        <v>12047</v>
      </c>
      <c r="AK45" s="11">
        <v>21675</v>
      </c>
      <c r="AL45" s="12"/>
      <c r="AM45" s="14">
        <f t="shared" si="0"/>
        <v>0</v>
      </c>
      <c r="AN45" s="12" t="s">
        <v>12004</v>
      </c>
    </row>
    <row r="46" spans="1:40" x14ac:dyDescent="0.25">
      <c r="A46" s="9">
        <v>710</v>
      </c>
      <c r="B46" s="18" t="s">
        <v>8030</v>
      </c>
      <c r="C46" s="9" t="s">
        <v>8552</v>
      </c>
      <c r="D46" s="9" t="s">
        <v>37</v>
      </c>
      <c r="E46" s="9" t="s">
        <v>8553</v>
      </c>
      <c r="F46" s="9" t="s">
        <v>138</v>
      </c>
      <c r="G46" s="9" t="s">
        <v>8554</v>
      </c>
      <c r="H46" s="9" t="s">
        <v>8555</v>
      </c>
      <c r="I46" s="9" t="s">
        <v>8555</v>
      </c>
      <c r="J46" s="9" t="s">
        <v>8555</v>
      </c>
      <c r="K46" s="9" t="s">
        <v>8556</v>
      </c>
      <c r="L46" s="9">
        <v>1160000</v>
      </c>
      <c r="M46" s="9">
        <v>1450000</v>
      </c>
      <c r="N46" s="9" t="s">
        <v>8557</v>
      </c>
      <c r="O46" s="10">
        <v>45656</v>
      </c>
      <c r="P46" s="9" t="s">
        <v>8558</v>
      </c>
      <c r="Q46" s="9" t="s">
        <v>8559</v>
      </c>
      <c r="R46" s="9" t="s">
        <v>146</v>
      </c>
      <c r="S46" s="9" t="s">
        <v>8560</v>
      </c>
      <c r="T46" s="9" t="s">
        <v>321</v>
      </c>
      <c r="U46" s="9" t="s">
        <v>335</v>
      </c>
      <c r="V46" s="10">
        <v>44561</v>
      </c>
      <c r="W46" s="9" t="s">
        <v>8102</v>
      </c>
      <c r="X46" s="9" t="s">
        <v>8455</v>
      </c>
      <c r="Y46" s="9" t="s">
        <v>8561</v>
      </c>
      <c r="Z46" s="9">
        <v>7</v>
      </c>
      <c r="AA46" s="9" t="s">
        <v>118</v>
      </c>
      <c r="AB46" s="9" t="s">
        <v>8562</v>
      </c>
      <c r="AC46" s="9" t="s">
        <v>8563</v>
      </c>
      <c r="AD46" s="9" t="s">
        <v>299</v>
      </c>
      <c r="AE46" s="9">
        <v>1232500</v>
      </c>
      <c r="AF46" s="11">
        <v>18488</v>
      </c>
      <c r="AG46" s="9"/>
      <c r="AH46" s="9"/>
      <c r="AI46" s="9"/>
      <c r="AJ46" s="9" t="s">
        <v>12048</v>
      </c>
      <c r="AK46" s="11">
        <v>18488</v>
      </c>
      <c r="AL46" s="12"/>
      <c r="AM46" s="14">
        <f t="shared" si="0"/>
        <v>0</v>
      </c>
      <c r="AN46" s="12" t="s">
        <v>12004</v>
      </c>
    </row>
    <row r="47" spans="1:40" x14ac:dyDescent="0.25">
      <c r="A47" s="12">
        <v>711</v>
      </c>
      <c r="B47" s="18" t="s">
        <v>8030</v>
      </c>
      <c r="C47" s="12" t="s">
        <v>8564</v>
      </c>
      <c r="D47" s="12" t="s">
        <v>37</v>
      </c>
      <c r="E47" s="12" t="s">
        <v>8565</v>
      </c>
      <c r="F47" s="12" t="s">
        <v>138</v>
      </c>
      <c r="G47" s="12" t="s">
        <v>8566</v>
      </c>
      <c r="H47" s="12" t="s">
        <v>48</v>
      </c>
      <c r="I47" s="12" t="s">
        <v>8567</v>
      </c>
      <c r="J47" s="12" t="s">
        <v>48</v>
      </c>
      <c r="K47" s="12" t="s">
        <v>8568</v>
      </c>
      <c r="L47" s="12">
        <v>1105000</v>
      </c>
      <c r="M47" s="12">
        <v>1700000</v>
      </c>
      <c r="N47" s="12" t="s">
        <v>8569</v>
      </c>
      <c r="O47" s="16">
        <v>45656</v>
      </c>
      <c r="P47" s="12" t="s">
        <v>8570</v>
      </c>
      <c r="Q47" s="12" t="s">
        <v>8571</v>
      </c>
      <c r="R47" s="12" t="s">
        <v>146</v>
      </c>
      <c r="S47" s="12" t="s">
        <v>8572</v>
      </c>
      <c r="T47" s="12" t="s">
        <v>613</v>
      </c>
      <c r="U47" s="12" t="s">
        <v>614</v>
      </c>
      <c r="V47" s="16">
        <v>44561</v>
      </c>
      <c r="W47" s="12" t="s">
        <v>8102</v>
      </c>
      <c r="X47" s="12" t="s">
        <v>8455</v>
      </c>
      <c r="Y47" s="12" t="s">
        <v>8573</v>
      </c>
      <c r="Z47" s="12">
        <v>7</v>
      </c>
      <c r="AA47" s="12" t="s">
        <v>55</v>
      </c>
      <c r="AB47" s="12" t="s">
        <v>8574</v>
      </c>
      <c r="AC47" s="12" t="s">
        <v>8106</v>
      </c>
      <c r="AD47" s="12" t="s">
        <v>299</v>
      </c>
      <c r="AE47" s="12">
        <v>1445000</v>
      </c>
      <c r="AF47" s="13">
        <v>21675</v>
      </c>
      <c r="AG47" s="12"/>
      <c r="AH47" s="12"/>
      <c r="AI47" s="12"/>
      <c r="AJ47" s="12" t="s">
        <v>12049</v>
      </c>
      <c r="AK47" s="11">
        <v>21675</v>
      </c>
      <c r="AL47" s="12"/>
      <c r="AM47" s="14">
        <f t="shared" si="0"/>
        <v>0</v>
      </c>
      <c r="AN47" s="12" t="s">
        <v>12004</v>
      </c>
    </row>
    <row r="48" spans="1:40" x14ac:dyDescent="0.25">
      <c r="A48" s="9">
        <v>712</v>
      </c>
      <c r="B48" s="18" t="s">
        <v>8030</v>
      </c>
      <c r="C48" s="9" t="s">
        <v>8575</v>
      </c>
      <c r="D48" s="9" t="s">
        <v>37</v>
      </c>
      <c r="E48" s="9" t="s">
        <v>8576</v>
      </c>
      <c r="F48" s="9" t="s">
        <v>245</v>
      </c>
      <c r="G48" s="9" t="s">
        <v>8577</v>
      </c>
      <c r="H48" s="9">
        <v>3349877107</v>
      </c>
      <c r="I48" s="9"/>
      <c r="J48" s="9">
        <v>518736877</v>
      </c>
      <c r="K48" s="9" t="s">
        <v>8578</v>
      </c>
      <c r="L48" s="9">
        <v>1337200</v>
      </c>
      <c r="M48" s="9">
        <v>3343000</v>
      </c>
      <c r="N48" s="9" t="s">
        <v>8579</v>
      </c>
      <c r="O48" s="10">
        <v>45656</v>
      </c>
      <c r="P48" s="9" t="s">
        <v>8580</v>
      </c>
      <c r="Q48" s="9">
        <v>6047462</v>
      </c>
      <c r="R48" s="9" t="s">
        <v>47</v>
      </c>
      <c r="S48" s="9" t="s">
        <v>48</v>
      </c>
      <c r="T48" s="9" t="s">
        <v>1189</v>
      </c>
      <c r="U48" s="9">
        <v>2020</v>
      </c>
      <c r="V48" s="10">
        <v>44200</v>
      </c>
      <c r="W48" s="9" t="s">
        <v>8114</v>
      </c>
      <c r="X48" s="9" t="s">
        <v>8115</v>
      </c>
      <c r="Y48" s="9" t="s">
        <v>8581</v>
      </c>
      <c r="Z48" s="9">
        <v>5</v>
      </c>
      <c r="AA48" s="9" t="s">
        <v>227</v>
      </c>
      <c r="AB48" s="9" t="s">
        <v>8582</v>
      </c>
      <c r="AC48" s="10">
        <v>44196</v>
      </c>
      <c r="AD48" s="9" t="s">
        <v>58</v>
      </c>
      <c r="AE48" s="9">
        <v>2674400</v>
      </c>
      <c r="AF48" s="11">
        <v>53488</v>
      </c>
      <c r="AG48" s="9"/>
      <c r="AH48" s="9"/>
      <c r="AI48" s="9"/>
      <c r="AJ48" s="9" t="s">
        <v>12050</v>
      </c>
      <c r="AK48" s="11">
        <v>53488</v>
      </c>
      <c r="AL48" s="12"/>
      <c r="AM48" s="14">
        <f t="shared" si="0"/>
        <v>0</v>
      </c>
      <c r="AN48" s="12" t="s">
        <v>12004</v>
      </c>
    </row>
    <row r="49" spans="1:40" x14ac:dyDescent="0.25">
      <c r="A49" s="12">
        <v>713</v>
      </c>
      <c r="B49" s="18" t="s">
        <v>8030</v>
      </c>
      <c r="C49" s="12" t="s">
        <v>8583</v>
      </c>
      <c r="D49" s="12" t="s">
        <v>37</v>
      </c>
      <c r="E49" s="12" t="s">
        <v>8584</v>
      </c>
      <c r="F49" s="12" t="s">
        <v>138</v>
      </c>
      <c r="G49" s="12" t="s">
        <v>8585</v>
      </c>
      <c r="H49" s="12" t="s">
        <v>8586</v>
      </c>
      <c r="I49" s="12" t="s">
        <v>8587</v>
      </c>
      <c r="J49" s="12" t="s">
        <v>141</v>
      </c>
      <c r="K49" s="12" t="s">
        <v>8588</v>
      </c>
      <c r="L49" s="12">
        <v>1061500</v>
      </c>
      <c r="M49" s="12">
        <v>1930000</v>
      </c>
      <c r="N49" s="12" t="s">
        <v>8589</v>
      </c>
      <c r="O49" s="16">
        <v>45656</v>
      </c>
      <c r="P49" s="12" t="s">
        <v>8590</v>
      </c>
      <c r="Q49" s="12" t="s">
        <v>8591</v>
      </c>
      <c r="R49" s="12" t="s">
        <v>146</v>
      </c>
      <c r="S49" s="12" t="s">
        <v>8592</v>
      </c>
      <c r="T49" s="12" t="s">
        <v>613</v>
      </c>
      <c r="U49" s="12" t="s">
        <v>50</v>
      </c>
      <c r="V49" s="16">
        <v>44561</v>
      </c>
      <c r="W49" s="12" t="s">
        <v>8102</v>
      </c>
      <c r="X49" s="12" t="s">
        <v>8455</v>
      </c>
      <c r="Y49" s="12" t="s">
        <v>8593</v>
      </c>
      <c r="Z49" s="12">
        <v>7</v>
      </c>
      <c r="AA49" s="12" t="s">
        <v>118</v>
      </c>
      <c r="AB49" s="12" t="s">
        <v>8594</v>
      </c>
      <c r="AC49" s="12" t="s">
        <v>8106</v>
      </c>
      <c r="AD49" s="12" t="s">
        <v>299</v>
      </c>
      <c r="AE49" s="12">
        <v>1640500</v>
      </c>
      <c r="AF49" s="13">
        <v>24608</v>
      </c>
      <c r="AG49" s="12"/>
      <c r="AH49" s="12"/>
      <c r="AI49" s="12"/>
      <c r="AJ49" s="12" t="s">
        <v>12051</v>
      </c>
      <c r="AK49" s="11">
        <v>24608</v>
      </c>
      <c r="AL49" s="12"/>
      <c r="AM49" s="14">
        <f t="shared" si="0"/>
        <v>0</v>
      </c>
      <c r="AN49" s="12" t="s">
        <v>12004</v>
      </c>
    </row>
    <row r="50" spans="1:40" x14ac:dyDescent="0.25">
      <c r="A50" s="9">
        <v>714</v>
      </c>
      <c r="B50" s="18" t="s">
        <v>8030</v>
      </c>
      <c r="C50" s="9" t="s">
        <v>8595</v>
      </c>
      <c r="D50" s="9" t="s">
        <v>37</v>
      </c>
      <c r="E50" s="9" t="s">
        <v>8596</v>
      </c>
      <c r="F50" s="9" t="s">
        <v>138</v>
      </c>
      <c r="G50" s="9" t="s">
        <v>8597</v>
      </c>
      <c r="H50" s="9" t="s">
        <v>48</v>
      </c>
      <c r="I50" s="9" t="s">
        <v>8598</v>
      </c>
      <c r="J50" s="9" t="s">
        <v>48</v>
      </c>
      <c r="K50" s="9" t="s">
        <v>8599</v>
      </c>
      <c r="L50" s="9">
        <v>1050000</v>
      </c>
      <c r="M50" s="9">
        <v>1500000</v>
      </c>
      <c r="N50" s="9" t="s">
        <v>8600</v>
      </c>
      <c r="O50" s="10">
        <v>45656</v>
      </c>
      <c r="P50" s="9" t="s">
        <v>8601</v>
      </c>
      <c r="Q50" s="9" t="s">
        <v>8602</v>
      </c>
      <c r="R50" s="9" t="s">
        <v>146</v>
      </c>
      <c r="S50" s="9" t="s">
        <v>8603</v>
      </c>
      <c r="T50" s="9" t="s">
        <v>8604</v>
      </c>
      <c r="U50" s="9" t="s">
        <v>903</v>
      </c>
      <c r="V50" s="10">
        <v>44561</v>
      </c>
      <c r="W50" s="9" t="s">
        <v>8102</v>
      </c>
      <c r="X50" s="9" t="s">
        <v>8103</v>
      </c>
      <c r="Y50" s="9" t="s">
        <v>8605</v>
      </c>
      <c r="Z50" s="9">
        <v>5</v>
      </c>
      <c r="AA50" s="9" t="s">
        <v>55</v>
      </c>
      <c r="AB50" s="9" t="s">
        <v>8606</v>
      </c>
      <c r="AC50" s="9" t="s">
        <v>8106</v>
      </c>
      <c r="AD50" s="9" t="s">
        <v>299</v>
      </c>
      <c r="AE50" s="9">
        <v>1275000</v>
      </c>
      <c r="AF50" s="11">
        <v>19125</v>
      </c>
      <c r="AG50" s="9"/>
      <c r="AH50" s="9"/>
      <c r="AI50" s="9"/>
      <c r="AJ50" s="9" t="s">
        <v>12052</v>
      </c>
      <c r="AK50" s="11">
        <v>19125</v>
      </c>
      <c r="AL50" s="12"/>
      <c r="AM50" s="14">
        <f t="shared" si="0"/>
        <v>0</v>
      </c>
      <c r="AN50" s="12" t="s">
        <v>12004</v>
      </c>
    </row>
    <row r="51" spans="1:40" x14ac:dyDescent="0.25">
      <c r="A51" s="12">
        <v>715</v>
      </c>
      <c r="B51" s="18" t="s">
        <v>8030</v>
      </c>
      <c r="C51" s="12" t="s">
        <v>8607</v>
      </c>
      <c r="D51" s="12" t="s">
        <v>37</v>
      </c>
      <c r="E51" s="12" t="s">
        <v>8608</v>
      </c>
      <c r="F51" s="12" t="s">
        <v>138</v>
      </c>
      <c r="G51" s="12" t="s">
        <v>8609</v>
      </c>
      <c r="H51" s="12" t="s">
        <v>8610</v>
      </c>
      <c r="I51" s="12" t="s">
        <v>8611</v>
      </c>
      <c r="J51" s="12" t="s">
        <v>631</v>
      </c>
      <c r="K51" s="12" t="s">
        <v>8612</v>
      </c>
      <c r="L51" s="12">
        <v>1260000</v>
      </c>
      <c r="M51" s="12">
        <v>1800000</v>
      </c>
      <c r="N51" s="12" t="s">
        <v>8613</v>
      </c>
      <c r="O51" s="16">
        <v>45656</v>
      </c>
      <c r="P51" s="12" t="s">
        <v>8614</v>
      </c>
      <c r="Q51" s="12" t="s">
        <v>8615</v>
      </c>
      <c r="R51" s="12" t="s">
        <v>146</v>
      </c>
      <c r="S51" s="12" t="s">
        <v>48</v>
      </c>
      <c r="T51" s="12" t="s">
        <v>4915</v>
      </c>
      <c r="U51" s="12" t="s">
        <v>651</v>
      </c>
      <c r="V51" s="16">
        <v>44196</v>
      </c>
      <c r="W51" s="12" t="s">
        <v>8114</v>
      </c>
      <c r="X51" s="12" t="s">
        <v>8115</v>
      </c>
      <c r="Y51" s="12" t="s">
        <v>8616</v>
      </c>
      <c r="Z51" s="12">
        <v>5</v>
      </c>
      <c r="AA51" s="12" t="s">
        <v>227</v>
      </c>
      <c r="AB51" s="12" t="s">
        <v>8617</v>
      </c>
      <c r="AC51" s="12" t="s">
        <v>1029</v>
      </c>
      <c r="AD51" s="12" t="s">
        <v>58</v>
      </c>
      <c r="AE51" s="12">
        <v>1440000</v>
      </c>
      <c r="AF51" s="13">
        <v>28800</v>
      </c>
      <c r="AG51" s="12"/>
      <c r="AH51" s="12"/>
      <c r="AI51" s="12"/>
      <c r="AJ51" s="12" t="s">
        <v>12053</v>
      </c>
      <c r="AK51" s="11">
        <v>28800</v>
      </c>
      <c r="AL51" s="12"/>
      <c r="AM51" s="14">
        <f t="shared" si="0"/>
        <v>0</v>
      </c>
      <c r="AN51" s="12" t="s">
        <v>12004</v>
      </c>
    </row>
    <row r="52" spans="1:40" x14ac:dyDescent="0.25">
      <c r="A52" s="9">
        <v>716</v>
      </c>
      <c r="B52" s="18" t="s">
        <v>8030</v>
      </c>
      <c r="C52" s="9" t="s">
        <v>8618</v>
      </c>
      <c r="D52" s="9" t="s">
        <v>37</v>
      </c>
      <c r="E52" s="9" t="s">
        <v>8619</v>
      </c>
      <c r="F52" s="9" t="s">
        <v>245</v>
      </c>
      <c r="G52" s="9" t="s">
        <v>8620</v>
      </c>
      <c r="H52" s="9" t="s">
        <v>8621</v>
      </c>
      <c r="I52" s="9" t="s">
        <v>48</v>
      </c>
      <c r="J52" s="9" t="s">
        <v>8622</v>
      </c>
      <c r="K52" s="9" t="s">
        <v>8623</v>
      </c>
      <c r="L52" s="9">
        <v>1235000</v>
      </c>
      <c r="M52" s="9">
        <v>1900000</v>
      </c>
      <c r="N52" s="9" t="s">
        <v>8624</v>
      </c>
      <c r="O52" s="10">
        <v>45656</v>
      </c>
      <c r="P52" s="9" t="s">
        <v>8625</v>
      </c>
      <c r="Q52" s="9" t="s">
        <v>8626</v>
      </c>
      <c r="R52" s="9" t="s">
        <v>146</v>
      </c>
      <c r="S52" s="9" t="s">
        <v>8627</v>
      </c>
      <c r="T52" s="9" t="s">
        <v>8628</v>
      </c>
      <c r="U52" s="9" t="s">
        <v>715</v>
      </c>
      <c r="V52" s="10">
        <v>44196</v>
      </c>
      <c r="W52" s="9" t="s">
        <v>8114</v>
      </c>
      <c r="X52" s="9" t="s">
        <v>8115</v>
      </c>
      <c r="Y52" s="9" t="s">
        <v>8629</v>
      </c>
      <c r="Z52" s="9">
        <v>5</v>
      </c>
      <c r="AA52" s="9" t="s">
        <v>55</v>
      </c>
      <c r="AB52" s="9" t="s">
        <v>8630</v>
      </c>
      <c r="AC52" s="9" t="s">
        <v>1029</v>
      </c>
      <c r="AD52" s="9" t="s">
        <v>58</v>
      </c>
      <c r="AE52" s="9">
        <v>1520000</v>
      </c>
      <c r="AF52" s="11">
        <v>30400</v>
      </c>
      <c r="AG52" s="9"/>
      <c r="AH52" s="9"/>
      <c r="AI52" s="9"/>
      <c r="AJ52" s="9" t="s">
        <v>12054</v>
      </c>
      <c r="AK52" s="11">
        <v>30400</v>
      </c>
      <c r="AL52" s="12"/>
      <c r="AM52" s="14">
        <f t="shared" si="0"/>
        <v>0</v>
      </c>
      <c r="AN52" s="12" t="s">
        <v>12004</v>
      </c>
    </row>
    <row r="53" spans="1:40" x14ac:dyDescent="0.25">
      <c r="A53" s="12">
        <v>717</v>
      </c>
      <c r="B53" s="18" t="s">
        <v>8030</v>
      </c>
      <c r="C53" s="12" t="s">
        <v>8631</v>
      </c>
      <c r="D53" s="12" t="s">
        <v>37</v>
      </c>
      <c r="E53" s="12" t="s">
        <v>8632</v>
      </c>
      <c r="F53" s="12" t="s">
        <v>138</v>
      </c>
      <c r="G53" s="12" t="s">
        <v>8633</v>
      </c>
      <c r="H53" s="12" t="s">
        <v>8634</v>
      </c>
      <c r="I53" s="12" t="s">
        <v>8634</v>
      </c>
      <c r="J53" s="12" t="s">
        <v>8634</v>
      </c>
      <c r="K53" s="12" t="s">
        <v>8635</v>
      </c>
      <c r="L53" s="12">
        <v>975000</v>
      </c>
      <c r="M53" s="12">
        <v>1300000</v>
      </c>
      <c r="N53" s="12" t="s">
        <v>8636</v>
      </c>
      <c r="O53" s="16">
        <v>45656</v>
      </c>
      <c r="P53" s="12" t="s">
        <v>8637</v>
      </c>
      <c r="Q53" s="12" t="s">
        <v>8638</v>
      </c>
      <c r="R53" s="12" t="s">
        <v>146</v>
      </c>
      <c r="S53" s="12" t="s">
        <v>8639</v>
      </c>
      <c r="T53" s="12" t="s">
        <v>321</v>
      </c>
      <c r="U53" s="12" t="s">
        <v>335</v>
      </c>
      <c r="V53" s="16">
        <v>44561</v>
      </c>
      <c r="W53" s="12" t="s">
        <v>8102</v>
      </c>
      <c r="X53" s="12" t="s">
        <v>7530</v>
      </c>
      <c r="Y53" s="12" t="s">
        <v>8640</v>
      </c>
      <c r="Z53" s="12">
        <v>3</v>
      </c>
      <c r="AA53" s="12" t="s">
        <v>118</v>
      </c>
      <c r="AB53" s="12" t="s">
        <v>8641</v>
      </c>
      <c r="AC53" s="12" t="s">
        <v>8106</v>
      </c>
      <c r="AD53" s="12" t="s">
        <v>299</v>
      </c>
      <c r="AE53" s="12">
        <v>1105000</v>
      </c>
      <c r="AF53" s="13">
        <v>16575</v>
      </c>
      <c r="AG53" s="12"/>
      <c r="AH53" s="12"/>
      <c r="AI53" s="12"/>
      <c r="AJ53" s="12" t="s">
        <v>12055</v>
      </c>
      <c r="AK53" s="11">
        <v>16575</v>
      </c>
      <c r="AL53" s="12"/>
      <c r="AM53" s="14">
        <f t="shared" si="0"/>
        <v>0</v>
      </c>
      <c r="AN53" s="12" t="s">
        <v>12004</v>
      </c>
    </row>
    <row r="54" spans="1:40" x14ac:dyDescent="0.25">
      <c r="A54" s="9">
        <v>718</v>
      </c>
      <c r="B54" s="18" t="s">
        <v>8030</v>
      </c>
      <c r="C54" s="9" t="s">
        <v>8642</v>
      </c>
      <c r="D54" s="9" t="s">
        <v>37</v>
      </c>
      <c r="E54" s="9" t="s">
        <v>8643</v>
      </c>
      <c r="F54" s="9" t="s">
        <v>138</v>
      </c>
      <c r="G54" s="9" t="s">
        <v>8644</v>
      </c>
      <c r="H54" s="9" t="s">
        <v>48</v>
      </c>
      <c r="I54" s="9" t="s">
        <v>8645</v>
      </c>
      <c r="J54" s="9" t="s">
        <v>48</v>
      </c>
      <c r="K54" s="9" t="s">
        <v>8646</v>
      </c>
      <c r="L54" s="9">
        <v>963500</v>
      </c>
      <c r="M54" s="9">
        <v>1927000</v>
      </c>
      <c r="N54" s="9" t="s">
        <v>8647</v>
      </c>
      <c r="O54" s="10">
        <v>45656</v>
      </c>
      <c r="P54" s="9" t="s">
        <v>8648</v>
      </c>
      <c r="Q54" s="9" t="s">
        <v>8649</v>
      </c>
      <c r="R54" s="9" t="s">
        <v>47</v>
      </c>
      <c r="S54" s="9" t="s">
        <v>48</v>
      </c>
      <c r="T54" s="9" t="s">
        <v>2994</v>
      </c>
      <c r="U54" s="9" t="s">
        <v>50</v>
      </c>
      <c r="V54" s="10">
        <v>44561</v>
      </c>
      <c r="W54" s="9" t="s">
        <v>8102</v>
      </c>
      <c r="X54" s="9" t="s">
        <v>7530</v>
      </c>
      <c r="Y54" s="9" t="s">
        <v>8650</v>
      </c>
      <c r="Z54" s="9">
        <v>3</v>
      </c>
      <c r="AA54" s="9" t="s">
        <v>118</v>
      </c>
      <c r="AB54" s="9" t="s">
        <v>8651</v>
      </c>
      <c r="AC54" s="9" t="s">
        <v>8106</v>
      </c>
      <c r="AD54" s="9" t="s">
        <v>58</v>
      </c>
      <c r="AE54" s="9">
        <v>1637950</v>
      </c>
      <c r="AF54" s="11">
        <v>32759</v>
      </c>
      <c r="AG54" s="9"/>
      <c r="AH54" s="9"/>
      <c r="AI54" s="9"/>
      <c r="AJ54" s="9" t="s">
        <v>12056</v>
      </c>
      <c r="AK54" s="11">
        <v>32759</v>
      </c>
      <c r="AL54" s="12"/>
      <c r="AM54" s="14">
        <f t="shared" si="0"/>
        <v>0</v>
      </c>
      <c r="AN54" s="12" t="s">
        <v>12004</v>
      </c>
    </row>
    <row r="55" spans="1:40" x14ac:dyDescent="0.25">
      <c r="A55" s="12">
        <v>719</v>
      </c>
      <c r="B55" s="18" t="s">
        <v>8030</v>
      </c>
      <c r="C55" s="12" t="s">
        <v>8652</v>
      </c>
      <c r="D55" s="12" t="s">
        <v>37</v>
      </c>
      <c r="E55" s="12" t="s">
        <v>8653</v>
      </c>
      <c r="F55" s="12" t="s">
        <v>107</v>
      </c>
      <c r="G55" s="12" t="s">
        <v>8654</v>
      </c>
      <c r="H55" s="12" t="s">
        <v>8655</v>
      </c>
      <c r="I55" s="12" t="s">
        <v>8656</v>
      </c>
      <c r="J55" s="12" t="s">
        <v>8657</v>
      </c>
      <c r="K55" s="12" t="s">
        <v>8658</v>
      </c>
      <c r="L55" s="12">
        <v>1391500</v>
      </c>
      <c r="M55" s="12">
        <v>2783000</v>
      </c>
      <c r="N55" s="12" t="s">
        <v>8659</v>
      </c>
      <c r="O55" s="16">
        <v>45656</v>
      </c>
      <c r="P55" s="12" t="s">
        <v>8660</v>
      </c>
      <c r="Q55" s="12" t="s">
        <v>8661</v>
      </c>
      <c r="R55" s="12" t="s">
        <v>47</v>
      </c>
      <c r="S55" s="12" t="s">
        <v>8662</v>
      </c>
      <c r="T55" s="12" t="s">
        <v>5183</v>
      </c>
      <c r="U55" s="12" t="s">
        <v>614</v>
      </c>
      <c r="V55" s="16">
        <v>43830</v>
      </c>
      <c r="W55" s="12" t="s">
        <v>8088</v>
      </c>
      <c r="X55" s="12" t="s">
        <v>7530</v>
      </c>
      <c r="Y55" s="12" t="s">
        <v>8663</v>
      </c>
      <c r="Z55" s="12">
        <v>5</v>
      </c>
      <c r="AA55" s="12" t="s">
        <v>227</v>
      </c>
      <c r="AB55" s="12" t="s">
        <v>8664</v>
      </c>
      <c r="AC55" s="12" t="s">
        <v>8091</v>
      </c>
      <c r="AD55" s="12" t="s">
        <v>171</v>
      </c>
      <c r="AE55" s="12">
        <v>2087250</v>
      </c>
      <c r="AF55" s="13">
        <v>52181</v>
      </c>
      <c r="AG55" s="12"/>
      <c r="AH55" s="12"/>
      <c r="AI55" s="12"/>
      <c r="AJ55" s="12" t="s">
        <v>12057</v>
      </c>
      <c r="AK55" s="11">
        <v>52181</v>
      </c>
      <c r="AL55" s="12"/>
      <c r="AM55" s="14">
        <f t="shared" si="0"/>
        <v>0</v>
      </c>
      <c r="AN55" s="12" t="s">
        <v>12004</v>
      </c>
    </row>
    <row r="56" spans="1:40" x14ac:dyDescent="0.25">
      <c r="A56" s="9">
        <v>720</v>
      </c>
      <c r="B56" s="18" t="s">
        <v>8030</v>
      </c>
      <c r="C56" s="9" t="s">
        <v>8665</v>
      </c>
      <c r="D56" s="9" t="s">
        <v>37</v>
      </c>
      <c r="E56" s="9" t="s">
        <v>8666</v>
      </c>
      <c r="F56" s="9" t="s">
        <v>525</v>
      </c>
      <c r="G56" s="9" t="s">
        <v>8667</v>
      </c>
      <c r="H56" s="9" t="s">
        <v>8668</v>
      </c>
      <c r="I56" s="9" t="s">
        <v>8668</v>
      </c>
      <c r="J56" s="9" t="s">
        <v>8668</v>
      </c>
      <c r="K56" s="9" t="s">
        <v>8669</v>
      </c>
      <c r="L56" s="9">
        <v>957000</v>
      </c>
      <c r="M56" s="9">
        <v>1650000</v>
      </c>
      <c r="N56" s="9" t="s">
        <v>8670</v>
      </c>
      <c r="O56" s="10">
        <v>45656</v>
      </c>
      <c r="P56" s="9" t="s">
        <v>8671</v>
      </c>
      <c r="Q56" s="9" t="s">
        <v>8672</v>
      </c>
      <c r="R56" s="9" t="s">
        <v>146</v>
      </c>
      <c r="S56" s="9" t="s">
        <v>8673</v>
      </c>
      <c r="T56" s="9" t="s">
        <v>181</v>
      </c>
      <c r="U56" s="9" t="s">
        <v>496</v>
      </c>
      <c r="V56" s="10">
        <v>44561</v>
      </c>
      <c r="W56" s="9" t="s">
        <v>8102</v>
      </c>
      <c r="X56" s="9" t="s">
        <v>7530</v>
      </c>
      <c r="Y56" s="9" t="s">
        <v>8674</v>
      </c>
      <c r="Z56" s="9">
        <v>3</v>
      </c>
      <c r="AA56" s="9" t="s">
        <v>118</v>
      </c>
      <c r="AB56" s="9" t="s">
        <v>8675</v>
      </c>
      <c r="AC56" s="9" t="s">
        <v>8106</v>
      </c>
      <c r="AD56" s="9" t="s">
        <v>299</v>
      </c>
      <c r="AE56" s="9">
        <v>1402500</v>
      </c>
      <c r="AF56" s="11">
        <v>21038</v>
      </c>
      <c r="AG56" s="9"/>
      <c r="AH56" s="9"/>
      <c r="AI56" s="9"/>
      <c r="AJ56" s="9" t="s">
        <v>12058</v>
      </c>
      <c r="AK56" s="11">
        <v>21038</v>
      </c>
      <c r="AL56" s="12"/>
      <c r="AM56" s="14">
        <f t="shared" si="0"/>
        <v>0</v>
      </c>
      <c r="AN56" s="12" t="s">
        <v>12004</v>
      </c>
    </row>
    <row r="57" spans="1:40" x14ac:dyDescent="0.25">
      <c r="A57" s="12">
        <v>721</v>
      </c>
      <c r="B57" s="18" t="s">
        <v>8030</v>
      </c>
      <c r="C57" s="12" t="s">
        <v>8676</v>
      </c>
      <c r="D57" s="12" t="s">
        <v>37</v>
      </c>
      <c r="E57" s="12" t="s">
        <v>8677</v>
      </c>
      <c r="F57" s="12" t="s">
        <v>245</v>
      </c>
      <c r="G57" s="12" t="s">
        <v>8678</v>
      </c>
      <c r="H57" s="12" t="s">
        <v>48</v>
      </c>
      <c r="I57" s="12" t="s">
        <v>8679</v>
      </c>
      <c r="J57" s="12" t="s">
        <v>48</v>
      </c>
      <c r="K57" s="12" t="s">
        <v>8680</v>
      </c>
      <c r="L57" s="12">
        <v>876300</v>
      </c>
      <c r="M57" s="12">
        <v>1270000</v>
      </c>
      <c r="N57" s="12" t="s">
        <v>8681</v>
      </c>
      <c r="O57" s="16">
        <v>45656</v>
      </c>
      <c r="P57" s="12" t="s">
        <v>8682</v>
      </c>
      <c r="Q57" s="12" t="s">
        <v>8683</v>
      </c>
      <c r="R57" s="12" t="s">
        <v>146</v>
      </c>
      <c r="S57" s="12" t="s">
        <v>8684</v>
      </c>
      <c r="T57" s="12" t="s">
        <v>1896</v>
      </c>
      <c r="U57" s="12" t="s">
        <v>50</v>
      </c>
      <c r="V57" s="16">
        <v>44565</v>
      </c>
      <c r="W57" s="12" t="s">
        <v>2981</v>
      </c>
      <c r="X57" s="12" t="s">
        <v>2982</v>
      </c>
      <c r="Y57" s="12" t="s">
        <v>8685</v>
      </c>
      <c r="Z57" s="12">
        <v>5</v>
      </c>
      <c r="AA57" s="12" t="s">
        <v>118</v>
      </c>
      <c r="AB57" s="12" t="s">
        <v>8686</v>
      </c>
      <c r="AC57" s="12" t="s">
        <v>8106</v>
      </c>
      <c r="AD57" s="12" t="s">
        <v>299</v>
      </c>
      <c r="AE57" s="12">
        <v>1079500</v>
      </c>
      <c r="AF57" s="13">
        <v>16193</v>
      </c>
      <c r="AG57" s="12"/>
      <c r="AH57" s="12"/>
      <c r="AI57" s="12"/>
      <c r="AJ57" s="12" t="s">
        <v>12059</v>
      </c>
      <c r="AK57" s="11">
        <v>16193</v>
      </c>
      <c r="AL57" s="12"/>
      <c r="AM57" s="14">
        <f t="shared" si="0"/>
        <v>0</v>
      </c>
      <c r="AN57" s="12" t="s">
        <v>12004</v>
      </c>
    </row>
    <row r="58" spans="1:40" x14ac:dyDescent="0.25">
      <c r="A58" s="9">
        <v>722</v>
      </c>
      <c r="B58" s="18" t="s">
        <v>8030</v>
      </c>
      <c r="C58" s="9" t="s">
        <v>8687</v>
      </c>
      <c r="D58" s="9" t="s">
        <v>37</v>
      </c>
      <c r="E58" s="9" t="s">
        <v>8688</v>
      </c>
      <c r="F58" s="9" t="s">
        <v>138</v>
      </c>
      <c r="G58" s="9" t="s">
        <v>8689</v>
      </c>
      <c r="H58" s="9" t="s">
        <v>8690</v>
      </c>
      <c r="I58" s="9" t="s">
        <v>8690</v>
      </c>
      <c r="J58" s="9" t="s">
        <v>141</v>
      </c>
      <c r="K58" s="9" t="s">
        <v>8691</v>
      </c>
      <c r="L58" s="9">
        <v>875000</v>
      </c>
      <c r="M58" s="9">
        <v>1250000</v>
      </c>
      <c r="N58" s="9" t="s">
        <v>8692</v>
      </c>
      <c r="O58" s="10">
        <v>45656</v>
      </c>
      <c r="P58" s="9" t="s">
        <v>8693</v>
      </c>
      <c r="Q58" s="9" t="s">
        <v>8694</v>
      </c>
      <c r="R58" s="9" t="s">
        <v>146</v>
      </c>
      <c r="S58" s="9" t="s">
        <v>8695</v>
      </c>
      <c r="T58" s="9" t="s">
        <v>1909</v>
      </c>
      <c r="U58" s="9" t="s">
        <v>651</v>
      </c>
      <c r="V58" s="10">
        <v>44561</v>
      </c>
      <c r="W58" s="9" t="s">
        <v>8102</v>
      </c>
      <c r="X58" s="9" t="s">
        <v>8115</v>
      </c>
      <c r="Y58" s="9" t="s">
        <v>8696</v>
      </c>
      <c r="Z58" s="9">
        <v>4</v>
      </c>
      <c r="AA58" s="9" t="s">
        <v>118</v>
      </c>
      <c r="AB58" s="9" t="s">
        <v>8697</v>
      </c>
      <c r="AC58" s="9" t="s">
        <v>8106</v>
      </c>
      <c r="AD58" s="9" t="s">
        <v>299</v>
      </c>
      <c r="AE58" s="9">
        <v>1062500</v>
      </c>
      <c r="AF58" s="11">
        <v>15938</v>
      </c>
      <c r="AG58" s="9"/>
      <c r="AH58" s="9"/>
      <c r="AI58" s="9"/>
      <c r="AJ58" s="9" t="s">
        <v>12060</v>
      </c>
      <c r="AK58" s="11">
        <v>15938</v>
      </c>
      <c r="AL58" s="12"/>
      <c r="AM58" s="14">
        <f t="shared" si="0"/>
        <v>0</v>
      </c>
      <c r="AN58" s="12" t="s">
        <v>12004</v>
      </c>
    </row>
    <row r="59" spans="1:40" x14ac:dyDescent="0.25">
      <c r="A59" s="12">
        <v>723</v>
      </c>
      <c r="B59" s="18" t="s">
        <v>8030</v>
      </c>
      <c r="C59" s="12" t="s">
        <v>8698</v>
      </c>
      <c r="D59" s="12" t="s">
        <v>37</v>
      </c>
      <c r="E59" s="12" t="s">
        <v>8699</v>
      </c>
      <c r="F59" s="12" t="s">
        <v>107</v>
      </c>
      <c r="G59" s="12" t="s">
        <v>8700</v>
      </c>
      <c r="H59" s="12" t="s">
        <v>8701</v>
      </c>
      <c r="I59" s="12" t="s">
        <v>8701</v>
      </c>
      <c r="J59" s="12" t="s">
        <v>8701</v>
      </c>
      <c r="K59" s="12" t="s">
        <v>8702</v>
      </c>
      <c r="L59" s="12">
        <v>770000</v>
      </c>
      <c r="M59" s="12">
        <v>1100000</v>
      </c>
      <c r="N59" s="12" t="s">
        <v>8703</v>
      </c>
      <c r="O59" s="16">
        <v>45656</v>
      </c>
      <c r="P59" s="12" t="s">
        <v>8704</v>
      </c>
      <c r="Q59" s="12" t="s">
        <v>8705</v>
      </c>
      <c r="R59" s="12" t="s">
        <v>146</v>
      </c>
      <c r="S59" s="12" t="s">
        <v>8706</v>
      </c>
      <c r="T59" s="12" t="s">
        <v>8707</v>
      </c>
      <c r="U59" s="12" t="s">
        <v>335</v>
      </c>
      <c r="V59" s="16">
        <v>44561</v>
      </c>
      <c r="W59" s="12" t="s">
        <v>8102</v>
      </c>
      <c r="X59" s="12" t="s">
        <v>7530</v>
      </c>
      <c r="Y59" s="12" t="s">
        <v>8708</v>
      </c>
      <c r="Z59" s="12">
        <v>3</v>
      </c>
      <c r="AA59" s="12" t="s">
        <v>55</v>
      </c>
      <c r="AB59" s="12" t="s">
        <v>8709</v>
      </c>
      <c r="AC59" s="12" t="s">
        <v>8106</v>
      </c>
      <c r="AD59" s="12" t="s">
        <v>299</v>
      </c>
      <c r="AE59" s="12">
        <v>935000</v>
      </c>
      <c r="AF59" s="13">
        <v>14025</v>
      </c>
      <c r="AG59" s="12"/>
      <c r="AH59" s="12"/>
      <c r="AI59" s="12"/>
      <c r="AJ59" s="12" t="s">
        <v>12061</v>
      </c>
      <c r="AK59" s="11">
        <v>14025</v>
      </c>
      <c r="AL59" s="12"/>
      <c r="AM59" s="14">
        <f t="shared" si="0"/>
        <v>0</v>
      </c>
      <c r="AN59" s="12" t="s">
        <v>12004</v>
      </c>
    </row>
    <row r="60" spans="1:40" x14ac:dyDescent="0.25">
      <c r="A60" s="9">
        <v>724</v>
      </c>
      <c r="B60" s="18" t="s">
        <v>8030</v>
      </c>
      <c r="C60" s="9" t="s">
        <v>8710</v>
      </c>
      <c r="D60" s="9" t="s">
        <v>37</v>
      </c>
      <c r="E60" s="9" t="s">
        <v>8711</v>
      </c>
      <c r="F60" s="9" t="s">
        <v>107</v>
      </c>
      <c r="G60" s="9" t="s">
        <v>8712</v>
      </c>
      <c r="H60" s="9" t="s">
        <v>8713</v>
      </c>
      <c r="I60" s="9" t="s">
        <v>8713</v>
      </c>
      <c r="J60" s="9" t="s">
        <v>8713</v>
      </c>
      <c r="K60" s="9" t="s">
        <v>8714</v>
      </c>
      <c r="L60" s="9">
        <v>602000</v>
      </c>
      <c r="M60" s="9">
        <v>1400000</v>
      </c>
      <c r="N60" s="9" t="s">
        <v>8715</v>
      </c>
      <c r="O60" s="10">
        <v>45656</v>
      </c>
      <c r="P60" s="9" t="s">
        <v>8716</v>
      </c>
      <c r="Q60" s="9" t="s">
        <v>8717</v>
      </c>
      <c r="R60" s="9" t="s">
        <v>146</v>
      </c>
      <c r="S60" s="9" t="s">
        <v>8718</v>
      </c>
      <c r="T60" s="9" t="s">
        <v>321</v>
      </c>
      <c r="U60" s="9" t="s">
        <v>614</v>
      </c>
      <c r="V60" s="10">
        <v>44565</v>
      </c>
      <c r="W60" s="9" t="s">
        <v>2981</v>
      </c>
      <c r="X60" s="9" t="s">
        <v>2982</v>
      </c>
      <c r="Y60" s="9" t="s">
        <v>8719</v>
      </c>
      <c r="Z60" s="9">
        <v>5</v>
      </c>
      <c r="AA60" s="9" t="s">
        <v>55</v>
      </c>
      <c r="AB60" s="9" t="s">
        <v>8720</v>
      </c>
      <c r="AC60" s="9" t="s">
        <v>8106</v>
      </c>
      <c r="AD60" s="9" t="s">
        <v>299</v>
      </c>
      <c r="AE60" s="9">
        <v>1190000</v>
      </c>
      <c r="AF60" s="11">
        <v>17850</v>
      </c>
      <c r="AG60" s="9"/>
      <c r="AH60" s="9"/>
      <c r="AI60" s="9"/>
      <c r="AJ60" s="9" t="s">
        <v>12062</v>
      </c>
      <c r="AK60" s="11">
        <v>17850</v>
      </c>
      <c r="AL60" s="12"/>
      <c r="AM60" s="14">
        <f t="shared" si="0"/>
        <v>0</v>
      </c>
      <c r="AN60" s="12" t="s">
        <v>12004</v>
      </c>
    </row>
    <row r="61" spans="1:40" x14ac:dyDescent="0.25">
      <c r="A61" s="12">
        <v>725</v>
      </c>
      <c r="B61" s="18" t="s">
        <v>8030</v>
      </c>
      <c r="C61" s="12" t="s">
        <v>8721</v>
      </c>
      <c r="D61" s="12" t="s">
        <v>37</v>
      </c>
      <c r="E61" s="12" t="s">
        <v>8722</v>
      </c>
      <c r="F61" s="12" t="s">
        <v>8723</v>
      </c>
      <c r="G61" s="12" t="s">
        <v>8724</v>
      </c>
      <c r="H61" s="12" t="s">
        <v>48</v>
      </c>
      <c r="I61" s="12" t="s">
        <v>48</v>
      </c>
      <c r="J61" s="12" t="s">
        <v>48</v>
      </c>
      <c r="K61" s="12" t="s">
        <v>8725</v>
      </c>
      <c r="L61" s="12">
        <v>900000</v>
      </c>
      <c r="M61" s="12">
        <v>1800000</v>
      </c>
      <c r="N61" s="12" t="s">
        <v>8726</v>
      </c>
      <c r="O61" s="16">
        <v>45656</v>
      </c>
      <c r="P61" s="12" t="s">
        <v>8727</v>
      </c>
      <c r="Q61" s="12" t="s">
        <v>8728</v>
      </c>
      <c r="R61" s="12" t="s">
        <v>146</v>
      </c>
      <c r="S61" s="12" t="s">
        <v>8729</v>
      </c>
      <c r="T61" s="12" t="s">
        <v>1289</v>
      </c>
      <c r="U61" s="12" t="s">
        <v>335</v>
      </c>
      <c r="V61" s="16">
        <v>43830</v>
      </c>
      <c r="W61" s="12" t="s">
        <v>8088</v>
      </c>
      <c r="X61" s="12" t="s">
        <v>7530</v>
      </c>
      <c r="Y61" s="12" t="s">
        <v>8730</v>
      </c>
      <c r="Z61" s="12">
        <v>5</v>
      </c>
      <c r="AA61" s="12" t="s">
        <v>55</v>
      </c>
      <c r="AB61" s="12" t="s">
        <v>8731</v>
      </c>
      <c r="AC61" s="12" t="s">
        <v>8091</v>
      </c>
      <c r="AD61" s="12" t="s">
        <v>171</v>
      </c>
      <c r="AE61" s="12">
        <v>1350000</v>
      </c>
      <c r="AF61" s="13">
        <v>33750</v>
      </c>
      <c r="AG61" s="12"/>
      <c r="AH61" s="12"/>
      <c r="AI61" s="12"/>
      <c r="AJ61" s="12" t="s">
        <v>12063</v>
      </c>
      <c r="AK61" s="11">
        <v>33750</v>
      </c>
      <c r="AL61" s="12"/>
      <c r="AM61" s="14">
        <f t="shared" si="0"/>
        <v>0</v>
      </c>
      <c r="AN61" s="12" t="s">
        <v>12004</v>
      </c>
    </row>
    <row r="62" spans="1:40" x14ac:dyDescent="0.25">
      <c r="A62" s="9">
        <v>726</v>
      </c>
      <c r="B62" s="18" t="s">
        <v>8030</v>
      </c>
      <c r="C62" s="9" t="s">
        <v>8732</v>
      </c>
      <c r="D62" s="9" t="s">
        <v>37</v>
      </c>
      <c r="E62" s="9" t="s">
        <v>8733</v>
      </c>
      <c r="F62" s="9" t="s">
        <v>138</v>
      </c>
      <c r="G62" s="9" t="s">
        <v>8734</v>
      </c>
      <c r="H62" s="9" t="s">
        <v>48</v>
      </c>
      <c r="I62" s="9" t="s">
        <v>8735</v>
      </c>
      <c r="J62" s="9" t="s">
        <v>48</v>
      </c>
      <c r="K62" s="9" t="s">
        <v>8736</v>
      </c>
      <c r="L62" s="9">
        <v>582000</v>
      </c>
      <c r="M62" s="9">
        <v>970000</v>
      </c>
      <c r="N62" s="9" t="s">
        <v>8737</v>
      </c>
      <c r="O62" s="10">
        <v>45656</v>
      </c>
      <c r="P62" s="9" t="s">
        <v>8738</v>
      </c>
      <c r="Q62" s="9" t="s">
        <v>8739</v>
      </c>
      <c r="R62" s="9" t="s">
        <v>146</v>
      </c>
      <c r="S62" s="9" t="s">
        <v>8740</v>
      </c>
      <c r="T62" s="9" t="s">
        <v>8741</v>
      </c>
      <c r="U62" s="9" t="s">
        <v>903</v>
      </c>
      <c r="V62" s="10">
        <v>44196</v>
      </c>
      <c r="W62" s="9" t="s">
        <v>8114</v>
      </c>
      <c r="X62" s="9" t="s">
        <v>7530</v>
      </c>
      <c r="Y62" s="9" t="s">
        <v>8742</v>
      </c>
      <c r="Z62" s="9">
        <v>4</v>
      </c>
      <c r="AA62" s="9" t="s">
        <v>55</v>
      </c>
      <c r="AB62" s="9" t="s">
        <v>8743</v>
      </c>
      <c r="AC62" s="9" t="s">
        <v>1029</v>
      </c>
      <c r="AD62" s="9" t="s">
        <v>58</v>
      </c>
      <c r="AE62" s="9">
        <v>776000</v>
      </c>
      <c r="AF62" s="11">
        <v>15520</v>
      </c>
      <c r="AG62" s="9"/>
      <c r="AH62" s="9"/>
      <c r="AI62" s="9"/>
      <c r="AJ62" s="9" t="s">
        <v>12064</v>
      </c>
      <c r="AK62" s="11">
        <v>15520</v>
      </c>
      <c r="AL62" s="12"/>
      <c r="AM62" s="14">
        <f t="shared" si="0"/>
        <v>0</v>
      </c>
      <c r="AN62" s="12" t="s">
        <v>12004</v>
      </c>
    </row>
    <row r="63" spans="1:40" x14ac:dyDescent="0.25">
      <c r="A63" s="12">
        <v>727</v>
      </c>
      <c r="B63" s="18" t="s">
        <v>8030</v>
      </c>
      <c r="C63" s="12" t="s">
        <v>8744</v>
      </c>
      <c r="D63" s="12" t="s">
        <v>37</v>
      </c>
      <c r="E63" s="12" t="s">
        <v>8745</v>
      </c>
      <c r="F63" s="12" t="s">
        <v>245</v>
      </c>
      <c r="G63" s="12" t="s">
        <v>8746</v>
      </c>
      <c r="H63" s="12" t="s">
        <v>8747</v>
      </c>
      <c r="I63" s="12" t="s">
        <v>48</v>
      </c>
      <c r="J63" s="12" t="s">
        <v>8748</v>
      </c>
      <c r="K63" s="12" t="s">
        <v>8749</v>
      </c>
      <c r="L63" s="12">
        <v>330000</v>
      </c>
      <c r="M63" s="12">
        <v>1100000</v>
      </c>
      <c r="N63" s="12" t="s">
        <v>8750</v>
      </c>
      <c r="O63" s="16">
        <v>45656</v>
      </c>
      <c r="P63" s="12" t="s">
        <v>8751</v>
      </c>
      <c r="Q63" s="12" t="s">
        <v>8752</v>
      </c>
      <c r="R63" s="12" t="s">
        <v>146</v>
      </c>
      <c r="S63" s="12" t="s">
        <v>8753</v>
      </c>
      <c r="T63" s="12" t="s">
        <v>1078</v>
      </c>
      <c r="U63" s="12" t="s">
        <v>715</v>
      </c>
      <c r="V63" s="16">
        <v>44561</v>
      </c>
      <c r="W63" s="12" t="s">
        <v>8102</v>
      </c>
      <c r="X63" s="12" t="s">
        <v>7530</v>
      </c>
      <c r="Y63" s="12" t="s">
        <v>8754</v>
      </c>
      <c r="Z63" s="12">
        <v>3</v>
      </c>
      <c r="AA63" s="12" t="s">
        <v>118</v>
      </c>
      <c r="AB63" s="12" t="s">
        <v>8755</v>
      </c>
      <c r="AC63" s="12" t="s">
        <v>8106</v>
      </c>
      <c r="AD63" s="12" t="s">
        <v>299</v>
      </c>
      <c r="AE63" s="12">
        <v>935000</v>
      </c>
      <c r="AF63" s="13">
        <v>14025</v>
      </c>
      <c r="AG63" s="12"/>
      <c r="AH63" s="12"/>
      <c r="AI63" s="12"/>
      <c r="AJ63" s="12" t="s">
        <v>12065</v>
      </c>
      <c r="AK63" s="11">
        <v>14025</v>
      </c>
      <c r="AL63" s="12"/>
      <c r="AM63" s="14">
        <f t="shared" si="0"/>
        <v>0</v>
      </c>
      <c r="AN63" s="12" t="s">
        <v>12004</v>
      </c>
    </row>
    <row r="64" spans="1:40" x14ac:dyDescent="0.25">
      <c r="A64" s="9">
        <v>728</v>
      </c>
      <c r="B64" s="18" t="s">
        <v>8030</v>
      </c>
      <c r="C64" s="9" t="s">
        <v>8756</v>
      </c>
      <c r="D64" s="9" t="s">
        <v>37</v>
      </c>
      <c r="E64" s="9" t="s">
        <v>8757</v>
      </c>
      <c r="F64" s="9" t="s">
        <v>138</v>
      </c>
      <c r="G64" s="9" t="s">
        <v>8758</v>
      </c>
      <c r="H64" s="9" t="s">
        <v>8759</v>
      </c>
      <c r="I64" s="9" t="s">
        <v>8760</v>
      </c>
      <c r="J64" s="9" t="s">
        <v>8761</v>
      </c>
      <c r="K64" s="9" t="s">
        <v>8762</v>
      </c>
      <c r="L64" s="9">
        <v>1828400</v>
      </c>
      <c r="M64" s="9">
        <v>2612000</v>
      </c>
      <c r="N64" s="9" t="s">
        <v>8763</v>
      </c>
      <c r="O64" s="9" t="s">
        <v>8764</v>
      </c>
      <c r="P64" s="9" t="s">
        <v>8765</v>
      </c>
      <c r="Q64" s="9" t="s">
        <v>8766</v>
      </c>
      <c r="R64" s="9" t="s">
        <v>47</v>
      </c>
      <c r="S64" s="9" t="s">
        <v>48</v>
      </c>
      <c r="T64" s="9" t="s">
        <v>194</v>
      </c>
      <c r="U64" s="9" t="s">
        <v>386</v>
      </c>
      <c r="V64" s="10">
        <v>45290</v>
      </c>
      <c r="W64" s="9" t="s">
        <v>8767</v>
      </c>
      <c r="X64" s="9" t="s">
        <v>8103</v>
      </c>
      <c r="Y64" s="9" t="s">
        <v>8768</v>
      </c>
      <c r="Z64" s="9">
        <v>3</v>
      </c>
      <c r="AA64" s="9" t="s">
        <v>152</v>
      </c>
      <c r="AB64" s="9" t="s">
        <v>8769</v>
      </c>
      <c r="AC64" s="9" t="s">
        <v>8770</v>
      </c>
      <c r="AD64" s="9" t="s">
        <v>86</v>
      </c>
      <c r="AE64" s="9">
        <v>2350800</v>
      </c>
      <c r="AF64" s="11">
        <v>41139</v>
      </c>
      <c r="AG64" s="9"/>
      <c r="AH64" s="9"/>
      <c r="AI64" s="9"/>
      <c r="AJ64" s="9" t="s">
        <v>12066</v>
      </c>
      <c r="AK64" s="11">
        <v>41139</v>
      </c>
      <c r="AL64" s="12"/>
      <c r="AM64" s="14">
        <f t="shared" si="0"/>
        <v>0</v>
      </c>
      <c r="AN64" s="12" t="s">
        <v>12004</v>
      </c>
    </row>
    <row r="65" spans="1:40" x14ac:dyDescent="0.25">
      <c r="A65" s="12">
        <v>729</v>
      </c>
      <c r="B65" s="18" t="s">
        <v>8030</v>
      </c>
      <c r="C65" s="12" t="s">
        <v>8771</v>
      </c>
      <c r="D65" s="12" t="s">
        <v>37</v>
      </c>
      <c r="E65" s="12" t="s">
        <v>8772</v>
      </c>
      <c r="F65" s="12" t="s">
        <v>138</v>
      </c>
      <c r="G65" s="12" t="s">
        <v>8773</v>
      </c>
      <c r="H65" s="12" t="s">
        <v>8774</v>
      </c>
      <c r="I65" s="12" t="s">
        <v>8774</v>
      </c>
      <c r="J65" s="12" t="s">
        <v>141</v>
      </c>
      <c r="K65" s="12" t="s">
        <v>8775</v>
      </c>
      <c r="L65" s="12">
        <v>2478000</v>
      </c>
      <c r="M65" s="12">
        <v>3540000</v>
      </c>
      <c r="N65" s="12" t="s">
        <v>8776</v>
      </c>
      <c r="O65" s="12" t="s">
        <v>8764</v>
      </c>
      <c r="P65" s="12" t="s">
        <v>8777</v>
      </c>
      <c r="Q65" s="12" t="s">
        <v>8778</v>
      </c>
      <c r="R65" s="12" t="s">
        <v>146</v>
      </c>
      <c r="S65" s="12" t="s">
        <v>8779</v>
      </c>
      <c r="T65" s="12" t="s">
        <v>8780</v>
      </c>
      <c r="U65" s="12" t="s">
        <v>496</v>
      </c>
      <c r="V65" s="16">
        <v>45290</v>
      </c>
      <c r="W65" s="12" t="s">
        <v>8767</v>
      </c>
      <c r="X65" s="12" t="s">
        <v>8103</v>
      </c>
      <c r="Y65" s="12" t="s">
        <v>8781</v>
      </c>
      <c r="Z65" s="12">
        <v>3</v>
      </c>
      <c r="AA65" s="12" t="s">
        <v>152</v>
      </c>
      <c r="AB65" s="12" t="s">
        <v>8782</v>
      </c>
      <c r="AC65" s="12" t="s">
        <v>8770</v>
      </c>
      <c r="AD65" s="12" t="s">
        <v>86</v>
      </c>
      <c r="AE65" s="12">
        <v>3186000</v>
      </c>
      <c r="AF65" s="13">
        <v>55755</v>
      </c>
      <c r="AG65" s="12"/>
      <c r="AH65" s="12"/>
      <c r="AI65" s="12"/>
      <c r="AJ65" s="17" t="s">
        <v>12216</v>
      </c>
      <c r="AK65" s="11">
        <v>55755</v>
      </c>
      <c r="AL65" s="12"/>
      <c r="AM65" s="14">
        <f t="shared" si="0"/>
        <v>0</v>
      </c>
      <c r="AN65" s="12" t="s">
        <v>12004</v>
      </c>
    </row>
    <row r="66" spans="1:40" x14ac:dyDescent="0.25">
      <c r="A66" s="9">
        <v>730</v>
      </c>
      <c r="B66" s="18" t="s">
        <v>8030</v>
      </c>
      <c r="C66" s="9" t="s">
        <v>8783</v>
      </c>
      <c r="D66" s="9" t="s">
        <v>37</v>
      </c>
      <c r="E66" s="9" t="s">
        <v>8784</v>
      </c>
      <c r="F66" s="9" t="s">
        <v>138</v>
      </c>
      <c r="G66" s="9" t="s">
        <v>8785</v>
      </c>
      <c r="H66" s="9" t="s">
        <v>48</v>
      </c>
      <c r="I66" s="9" t="s">
        <v>8786</v>
      </c>
      <c r="J66" s="9" t="s">
        <v>48</v>
      </c>
      <c r="K66" s="9" t="s">
        <v>8787</v>
      </c>
      <c r="L66" s="9">
        <v>2784000</v>
      </c>
      <c r="M66" s="9">
        <v>4350000</v>
      </c>
      <c r="N66" s="9" t="s">
        <v>8788</v>
      </c>
      <c r="O66" s="9" t="s">
        <v>8764</v>
      </c>
      <c r="P66" s="9" t="s">
        <v>8789</v>
      </c>
      <c r="Q66" s="9" t="s">
        <v>8790</v>
      </c>
      <c r="R66" s="9" t="s">
        <v>146</v>
      </c>
      <c r="S66" s="9" t="s">
        <v>8791</v>
      </c>
      <c r="T66" s="9" t="s">
        <v>5867</v>
      </c>
      <c r="U66" s="9" t="s">
        <v>335</v>
      </c>
      <c r="V66" s="10">
        <v>45290</v>
      </c>
      <c r="W66" s="9" t="s">
        <v>8767</v>
      </c>
      <c r="X66" s="9" t="s">
        <v>8103</v>
      </c>
      <c r="Y66" s="9" t="s">
        <v>8792</v>
      </c>
      <c r="Z66" s="9">
        <v>3</v>
      </c>
      <c r="AA66" s="9" t="s">
        <v>152</v>
      </c>
      <c r="AB66" s="9" t="s">
        <v>8793</v>
      </c>
      <c r="AC66" s="9" t="s">
        <v>8770</v>
      </c>
      <c r="AD66" s="9" t="s">
        <v>86</v>
      </c>
      <c r="AE66" s="9">
        <v>3915000</v>
      </c>
      <c r="AF66" s="11">
        <v>68513</v>
      </c>
      <c r="AG66" s="9"/>
      <c r="AH66" s="9"/>
      <c r="AI66" s="9"/>
      <c r="AJ66" s="9" t="s">
        <v>12067</v>
      </c>
      <c r="AK66" s="11">
        <v>68513</v>
      </c>
      <c r="AL66" s="12"/>
      <c r="AM66" s="14">
        <f t="shared" si="0"/>
        <v>0</v>
      </c>
      <c r="AN66" s="12" t="s">
        <v>12004</v>
      </c>
    </row>
    <row r="67" spans="1:40" x14ac:dyDescent="0.25">
      <c r="A67" s="12">
        <v>731</v>
      </c>
      <c r="B67" s="18" t="s">
        <v>8030</v>
      </c>
      <c r="C67" s="12" t="s">
        <v>8794</v>
      </c>
      <c r="D67" s="12" t="s">
        <v>37</v>
      </c>
      <c r="E67" s="12" t="s">
        <v>8795</v>
      </c>
      <c r="F67" s="12" t="s">
        <v>525</v>
      </c>
      <c r="G67" s="12" t="s">
        <v>8796</v>
      </c>
      <c r="H67" s="12" t="s">
        <v>8797</v>
      </c>
      <c r="I67" s="12" t="s">
        <v>8798</v>
      </c>
      <c r="J67" s="12" t="s">
        <v>8797</v>
      </c>
      <c r="K67" s="12" t="s">
        <v>8799</v>
      </c>
      <c r="L67" s="12">
        <v>1870000</v>
      </c>
      <c r="M67" s="12">
        <v>3400000</v>
      </c>
      <c r="N67" s="12" t="s">
        <v>8800</v>
      </c>
      <c r="O67" s="12" t="s">
        <v>8764</v>
      </c>
      <c r="P67" s="12" t="s">
        <v>8801</v>
      </c>
      <c r="Q67" s="12" t="s">
        <v>8802</v>
      </c>
      <c r="R67" s="12" t="s">
        <v>146</v>
      </c>
      <c r="S67" s="12" t="s">
        <v>48</v>
      </c>
      <c r="T67" s="12" t="s">
        <v>3007</v>
      </c>
      <c r="U67" s="12" t="s">
        <v>50</v>
      </c>
      <c r="V67" s="16">
        <v>45290</v>
      </c>
      <c r="W67" s="12" t="s">
        <v>8767</v>
      </c>
      <c r="X67" s="12" t="s">
        <v>8103</v>
      </c>
      <c r="Y67" s="12" t="s">
        <v>8803</v>
      </c>
      <c r="Z67" s="12">
        <v>3</v>
      </c>
      <c r="AA67" s="12" t="s">
        <v>152</v>
      </c>
      <c r="AB67" s="12" t="s">
        <v>8804</v>
      </c>
      <c r="AC67" s="12" t="s">
        <v>8770</v>
      </c>
      <c r="AD67" s="12" t="s">
        <v>86</v>
      </c>
      <c r="AE67" s="12">
        <v>3060000</v>
      </c>
      <c r="AF67" s="13">
        <v>53550</v>
      </c>
      <c r="AG67" s="12"/>
      <c r="AH67" s="12"/>
      <c r="AI67" s="12"/>
      <c r="AJ67" s="12" t="s">
        <v>12068</v>
      </c>
      <c r="AK67" s="11">
        <v>53550</v>
      </c>
      <c r="AL67" s="12"/>
      <c r="AM67" s="14">
        <f t="shared" ref="AM67:AM130" si="1">AF67-AK67</f>
        <v>0</v>
      </c>
      <c r="AN67" s="12" t="s">
        <v>12004</v>
      </c>
    </row>
    <row r="68" spans="1:40" x14ac:dyDescent="0.25">
      <c r="A68" s="9">
        <v>732</v>
      </c>
      <c r="B68" s="18" t="s">
        <v>8030</v>
      </c>
      <c r="C68" s="9" t="s">
        <v>8805</v>
      </c>
      <c r="D68" s="9" t="s">
        <v>37</v>
      </c>
      <c r="E68" s="9" t="s">
        <v>8806</v>
      </c>
      <c r="F68" s="9" t="s">
        <v>525</v>
      </c>
      <c r="G68" s="9" t="s">
        <v>8807</v>
      </c>
      <c r="H68" s="9" t="s">
        <v>8808</v>
      </c>
      <c r="I68" s="9" t="s">
        <v>8809</v>
      </c>
      <c r="J68" s="9" t="s">
        <v>8808</v>
      </c>
      <c r="K68" s="9" t="s">
        <v>8810</v>
      </c>
      <c r="L68" s="9">
        <v>2400000</v>
      </c>
      <c r="M68" s="9">
        <v>4800000</v>
      </c>
      <c r="N68" s="9" t="s">
        <v>8800</v>
      </c>
      <c r="O68" s="9" t="s">
        <v>8764</v>
      </c>
      <c r="P68" s="9" t="s">
        <v>8811</v>
      </c>
      <c r="Q68" s="9" t="s">
        <v>8812</v>
      </c>
      <c r="R68" s="9" t="s">
        <v>146</v>
      </c>
      <c r="S68" s="9" t="s">
        <v>48</v>
      </c>
      <c r="T68" s="9" t="s">
        <v>5867</v>
      </c>
      <c r="U68" s="9" t="s">
        <v>496</v>
      </c>
      <c r="V68" s="10">
        <v>45290</v>
      </c>
      <c r="W68" s="9" t="s">
        <v>8767</v>
      </c>
      <c r="X68" s="9" t="s">
        <v>8103</v>
      </c>
      <c r="Y68" s="9" t="s">
        <v>8813</v>
      </c>
      <c r="Z68" s="9">
        <v>3</v>
      </c>
      <c r="AA68" s="9" t="s">
        <v>152</v>
      </c>
      <c r="AB68" s="9" t="s">
        <v>8814</v>
      </c>
      <c r="AC68" s="9" t="s">
        <v>8770</v>
      </c>
      <c r="AD68" s="9" t="s">
        <v>86</v>
      </c>
      <c r="AE68" s="9">
        <v>4320000</v>
      </c>
      <c r="AF68" s="11">
        <v>75600</v>
      </c>
      <c r="AG68" s="9"/>
      <c r="AH68" s="9"/>
      <c r="AI68" s="9"/>
      <c r="AJ68" s="9" t="s">
        <v>12069</v>
      </c>
      <c r="AK68" s="11">
        <v>75600</v>
      </c>
      <c r="AL68" s="12"/>
      <c r="AM68" s="14">
        <f t="shared" si="1"/>
        <v>0</v>
      </c>
      <c r="AN68" s="12" t="s">
        <v>12004</v>
      </c>
    </row>
    <row r="69" spans="1:40" x14ac:dyDescent="0.25">
      <c r="A69" s="12">
        <v>733</v>
      </c>
      <c r="B69" s="18" t="s">
        <v>8030</v>
      </c>
      <c r="C69" s="12" t="s">
        <v>8815</v>
      </c>
      <c r="D69" s="12" t="s">
        <v>37</v>
      </c>
      <c r="E69" s="12" t="s">
        <v>8816</v>
      </c>
      <c r="F69" s="12" t="s">
        <v>138</v>
      </c>
      <c r="G69" s="12" t="s">
        <v>8817</v>
      </c>
      <c r="H69" s="12" t="s">
        <v>8818</v>
      </c>
      <c r="I69" s="12" t="s">
        <v>8819</v>
      </c>
      <c r="J69" s="12" t="s">
        <v>8818</v>
      </c>
      <c r="K69" s="12" t="s">
        <v>8820</v>
      </c>
      <c r="L69" s="12">
        <v>2970000</v>
      </c>
      <c r="M69" s="12">
        <v>4950000</v>
      </c>
      <c r="N69" s="12" t="s">
        <v>8821</v>
      </c>
      <c r="O69" s="12" t="s">
        <v>8764</v>
      </c>
      <c r="P69" s="12" t="s">
        <v>8822</v>
      </c>
      <c r="Q69" s="12" t="s">
        <v>8823</v>
      </c>
      <c r="R69" s="12" t="s">
        <v>146</v>
      </c>
      <c r="S69" s="12" t="s">
        <v>8824</v>
      </c>
      <c r="T69" s="12" t="s">
        <v>4389</v>
      </c>
      <c r="U69" s="12" t="s">
        <v>50</v>
      </c>
      <c r="V69" s="16">
        <v>45290</v>
      </c>
      <c r="W69" s="12" t="s">
        <v>8767</v>
      </c>
      <c r="X69" s="12" t="s">
        <v>8103</v>
      </c>
      <c r="Y69" s="12" t="s">
        <v>8825</v>
      </c>
      <c r="Z69" s="12">
        <v>3</v>
      </c>
      <c r="AA69" s="12" t="s">
        <v>152</v>
      </c>
      <c r="AB69" s="12" t="s">
        <v>8826</v>
      </c>
      <c r="AC69" s="12" t="s">
        <v>8770</v>
      </c>
      <c r="AD69" s="12" t="s">
        <v>86</v>
      </c>
      <c r="AE69" s="12">
        <v>4455000</v>
      </c>
      <c r="AF69" s="13">
        <v>77963</v>
      </c>
      <c r="AG69" s="12"/>
      <c r="AH69" s="12"/>
      <c r="AI69" s="12"/>
      <c r="AJ69" s="12" t="s">
        <v>12070</v>
      </c>
      <c r="AK69" s="11">
        <v>77963</v>
      </c>
      <c r="AL69" s="12"/>
      <c r="AM69" s="14">
        <f t="shared" si="1"/>
        <v>0</v>
      </c>
      <c r="AN69" s="12" t="s">
        <v>12004</v>
      </c>
    </row>
    <row r="70" spans="1:40" x14ac:dyDescent="0.25">
      <c r="A70" s="9">
        <v>734</v>
      </c>
      <c r="B70" s="18" t="s">
        <v>8030</v>
      </c>
      <c r="C70" s="9" t="s">
        <v>8827</v>
      </c>
      <c r="D70" s="9" t="s">
        <v>37</v>
      </c>
      <c r="E70" s="9" t="s">
        <v>8828</v>
      </c>
      <c r="F70" s="9" t="s">
        <v>138</v>
      </c>
      <c r="G70" s="9" t="s">
        <v>8829</v>
      </c>
      <c r="H70" s="9" t="s">
        <v>48</v>
      </c>
      <c r="I70" s="9" t="s">
        <v>48</v>
      </c>
      <c r="J70" s="9" t="s">
        <v>48</v>
      </c>
      <c r="K70" s="9" t="s">
        <v>8830</v>
      </c>
      <c r="L70" s="9">
        <v>2976000</v>
      </c>
      <c r="M70" s="9">
        <v>4800000</v>
      </c>
      <c r="N70" s="9" t="s">
        <v>8831</v>
      </c>
      <c r="O70" s="9" t="s">
        <v>8764</v>
      </c>
      <c r="P70" s="9" t="s">
        <v>8832</v>
      </c>
      <c r="Q70" s="9" t="s">
        <v>8833</v>
      </c>
      <c r="R70" s="9" t="s">
        <v>146</v>
      </c>
      <c r="S70" s="9" t="s">
        <v>8834</v>
      </c>
      <c r="T70" s="9" t="s">
        <v>8835</v>
      </c>
      <c r="U70" s="9" t="s">
        <v>148</v>
      </c>
      <c r="V70" s="10">
        <v>45290</v>
      </c>
      <c r="W70" s="9" t="s">
        <v>8767</v>
      </c>
      <c r="X70" s="9" t="s">
        <v>8103</v>
      </c>
      <c r="Y70" s="9" t="s">
        <v>8836</v>
      </c>
      <c r="Z70" s="9">
        <v>3</v>
      </c>
      <c r="AA70" s="9" t="s">
        <v>152</v>
      </c>
      <c r="AB70" s="9" t="s">
        <v>8837</v>
      </c>
      <c r="AC70" s="9" t="s">
        <v>8770</v>
      </c>
      <c r="AD70" s="9" t="s">
        <v>86</v>
      </c>
      <c r="AE70" s="9">
        <v>4320000</v>
      </c>
      <c r="AF70" s="11">
        <v>75600</v>
      </c>
      <c r="AG70" s="9"/>
      <c r="AH70" s="9"/>
      <c r="AI70" s="9"/>
      <c r="AJ70" s="9" t="s">
        <v>12071</v>
      </c>
      <c r="AK70" s="11">
        <v>75600</v>
      </c>
      <c r="AL70" s="12"/>
      <c r="AM70" s="14">
        <f t="shared" si="1"/>
        <v>0</v>
      </c>
      <c r="AN70" s="12" t="s">
        <v>12004</v>
      </c>
    </row>
    <row r="71" spans="1:40" x14ac:dyDescent="0.25">
      <c r="A71" s="12">
        <v>735</v>
      </c>
      <c r="B71" s="18" t="s">
        <v>8030</v>
      </c>
      <c r="C71" s="12" t="s">
        <v>8838</v>
      </c>
      <c r="D71" s="12" t="s">
        <v>37</v>
      </c>
      <c r="E71" s="12" t="s">
        <v>8839</v>
      </c>
      <c r="F71" s="12" t="s">
        <v>138</v>
      </c>
      <c r="G71" s="12" t="s">
        <v>8840</v>
      </c>
      <c r="H71" s="12" t="s">
        <v>8841</v>
      </c>
      <c r="I71" s="12" t="s">
        <v>8842</v>
      </c>
      <c r="J71" s="12" t="s">
        <v>8843</v>
      </c>
      <c r="K71" s="12" t="s">
        <v>8844</v>
      </c>
      <c r="L71" s="12">
        <v>2477580</v>
      </c>
      <c r="M71" s="12">
        <v>4858000</v>
      </c>
      <c r="N71" s="12" t="s">
        <v>8845</v>
      </c>
      <c r="O71" s="12" t="s">
        <v>8764</v>
      </c>
      <c r="P71" s="12" t="s">
        <v>8846</v>
      </c>
      <c r="Q71" s="12" t="s">
        <v>8847</v>
      </c>
      <c r="R71" s="12" t="s">
        <v>47</v>
      </c>
      <c r="S71" s="12" t="s">
        <v>48</v>
      </c>
      <c r="T71" s="12" t="s">
        <v>8848</v>
      </c>
      <c r="U71" s="12" t="s">
        <v>386</v>
      </c>
      <c r="V71" s="16">
        <v>45290</v>
      </c>
      <c r="W71" s="12" t="s">
        <v>8767</v>
      </c>
      <c r="X71" s="12" t="s">
        <v>8103</v>
      </c>
      <c r="Y71" s="12" t="s">
        <v>8849</v>
      </c>
      <c r="Z71" s="12">
        <v>3</v>
      </c>
      <c r="AA71" s="12" t="s">
        <v>152</v>
      </c>
      <c r="AB71" s="12" t="s">
        <v>8850</v>
      </c>
      <c r="AC71" s="12" t="s">
        <v>8770</v>
      </c>
      <c r="AD71" s="12" t="s">
        <v>86</v>
      </c>
      <c r="AE71" s="12">
        <v>4372200</v>
      </c>
      <c r="AF71" s="13">
        <v>76514</v>
      </c>
      <c r="AG71" s="12"/>
      <c r="AH71" s="12"/>
      <c r="AI71" s="12"/>
      <c r="AJ71" s="12" t="s">
        <v>12072</v>
      </c>
      <c r="AK71" s="11">
        <v>76514</v>
      </c>
      <c r="AL71" s="12"/>
      <c r="AM71" s="14">
        <f t="shared" si="1"/>
        <v>0</v>
      </c>
      <c r="AN71" s="12" t="s">
        <v>12004</v>
      </c>
    </row>
    <row r="72" spans="1:40" x14ac:dyDescent="0.25">
      <c r="A72" s="9">
        <v>736</v>
      </c>
      <c r="B72" s="18" t="s">
        <v>8030</v>
      </c>
      <c r="C72" s="9" t="s">
        <v>8851</v>
      </c>
      <c r="D72" s="9" t="s">
        <v>37</v>
      </c>
      <c r="E72" s="9" t="s">
        <v>8852</v>
      </c>
      <c r="F72" s="9" t="s">
        <v>138</v>
      </c>
      <c r="G72" s="9" t="s">
        <v>8853</v>
      </c>
      <c r="H72" s="9" t="s">
        <v>8854</v>
      </c>
      <c r="I72" s="9" t="s">
        <v>8854</v>
      </c>
      <c r="J72" s="9" t="s">
        <v>141</v>
      </c>
      <c r="K72" s="9" t="s">
        <v>8855</v>
      </c>
      <c r="L72" s="9">
        <v>2765000</v>
      </c>
      <c r="M72" s="9">
        <v>3950000</v>
      </c>
      <c r="N72" s="9" t="s">
        <v>8856</v>
      </c>
      <c r="O72" s="9" t="s">
        <v>8764</v>
      </c>
      <c r="P72" s="9" t="s">
        <v>8857</v>
      </c>
      <c r="Q72" s="9" t="s">
        <v>8858</v>
      </c>
      <c r="R72" s="9" t="s">
        <v>146</v>
      </c>
      <c r="S72" s="9" t="s">
        <v>8859</v>
      </c>
      <c r="T72" s="9" t="s">
        <v>8860</v>
      </c>
      <c r="U72" s="9" t="s">
        <v>614</v>
      </c>
      <c r="V72" s="10">
        <v>45290</v>
      </c>
      <c r="W72" s="9" t="s">
        <v>8767</v>
      </c>
      <c r="X72" s="9" t="s">
        <v>8103</v>
      </c>
      <c r="Y72" s="9" t="s">
        <v>8861</v>
      </c>
      <c r="Z72" s="9">
        <v>3</v>
      </c>
      <c r="AA72" s="9" t="s">
        <v>152</v>
      </c>
      <c r="AB72" s="9" t="s">
        <v>8862</v>
      </c>
      <c r="AC72" s="9" t="s">
        <v>8770</v>
      </c>
      <c r="AD72" s="9" t="s">
        <v>86</v>
      </c>
      <c r="AE72" s="9">
        <v>3555000</v>
      </c>
      <c r="AF72" s="11">
        <v>62213</v>
      </c>
      <c r="AG72" s="9"/>
      <c r="AH72" s="9"/>
      <c r="AI72" s="9"/>
      <c r="AJ72" s="9" t="s">
        <v>12073</v>
      </c>
      <c r="AK72" s="11">
        <v>62213</v>
      </c>
      <c r="AL72" s="12"/>
      <c r="AM72" s="14">
        <f t="shared" si="1"/>
        <v>0</v>
      </c>
      <c r="AN72" s="12" t="s">
        <v>12004</v>
      </c>
    </row>
    <row r="73" spans="1:40" x14ac:dyDescent="0.25">
      <c r="A73" s="12">
        <v>737</v>
      </c>
      <c r="B73" s="18" t="s">
        <v>8030</v>
      </c>
      <c r="C73" s="12" t="s">
        <v>8863</v>
      </c>
      <c r="D73" s="12" t="s">
        <v>37</v>
      </c>
      <c r="E73" s="12" t="s">
        <v>8864</v>
      </c>
      <c r="F73" s="12" t="s">
        <v>138</v>
      </c>
      <c r="G73" s="12" t="s">
        <v>8865</v>
      </c>
      <c r="H73" s="12" t="s">
        <v>8866</v>
      </c>
      <c r="I73" s="12" t="s">
        <v>8866</v>
      </c>
      <c r="J73" s="12" t="s">
        <v>141</v>
      </c>
      <c r="K73" s="12" t="s">
        <v>8867</v>
      </c>
      <c r="L73" s="12">
        <v>1519000</v>
      </c>
      <c r="M73" s="12">
        <v>2170000</v>
      </c>
      <c r="N73" s="12" t="s">
        <v>8868</v>
      </c>
      <c r="O73" s="12" t="s">
        <v>8764</v>
      </c>
      <c r="P73" s="12" t="s">
        <v>8869</v>
      </c>
      <c r="Q73" s="12" t="s">
        <v>8870</v>
      </c>
      <c r="R73" s="12" t="s">
        <v>146</v>
      </c>
      <c r="S73" s="12" t="s">
        <v>8871</v>
      </c>
      <c r="T73" s="12" t="s">
        <v>1909</v>
      </c>
      <c r="U73" s="12" t="s">
        <v>496</v>
      </c>
      <c r="V73" s="16">
        <v>45290</v>
      </c>
      <c r="W73" s="12" t="s">
        <v>8767</v>
      </c>
      <c r="X73" s="12" t="s">
        <v>8455</v>
      </c>
      <c r="Y73" s="12" t="s">
        <v>8872</v>
      </c>
      <c r="Z73" s="12">
        <v>5</v>
      </c>
      <c r="AA73" s="12" t="s">
        <v>152</v>
      </c>
      <c r="AB73" s="12" t="s">
        <v>8873</v>
      </c>
      <c r="AC73" s="12" t="s">
        <v>8770</v>
      </c>
      <c r="AD73" s="12" t="s">
        <v>86</v>
      </c>
      <c r="AE73" s="12">
        <v>1953000</v>
      </c>
      <c r="AF73" s="13">
        <v>34178</v>
      </c>
      <c r="AG73" s="12"/>
      <c r="AH73" s="12"/>
      <c r="AI73" s="12"/>
      <c r="AJ73" s="12" t="s">
        <v>12074</v>
      </c>
      <c r="AK73" s="11">
        <v>34178</v>
      </c>
      <c r="AL73" s="12"/>
      <c r="AM73" s="14">
        <f t="shared" si="1"/>
        <v>0</v>
      </c>
      <c r="AN73" s="12" t="s">
        <v>12004</v>
      </c>
    </row>
    <row r="74" spans="1:40" x14ac:dyDescent="0.25">
      <c r="A74" s="9">
        <v>738</v>
      </c>
      <c r="B74" s="18" t="s">
        <v>8030</v>
      </c>
      <c r="C74" s="9" t="s">
        <v>8874</v>
      </c>
      <c r="D74" s="9" t="s">
        <v>37</v>
      </c>
      <c r="E74" s="9" t="s">
        <v>8875</v>
      </c>
      <c r="F74" s="9" t="s">
        <v>245</v>
      </c>
      <c r="G74" s="9" t="s">
        <v>8876</v>
      </c>
      <c r="H74" s="9" t="s">
        <v>8877</v>
      </c>
      <c r="I74" s="9" t="s">
        <v>48</v>
      </c>
      <c r="J74" s="9" t="s">
        <v>8878</v>
      </c>
      <c r="K74" s="9" t="s">
        <v>8879</v>
      </c>
      <c r="L74" s="9">
        <v>1018680</v>
      </c>
      <c r="M74" s="9">
        <v>1306000</v>
      </c>
      <c r="N74" s="9" t="s">
        <v>8880</v>
      </c>
      <c r="O74" s="10">
        <v>45655</v>
      </c>
      <c r="P74" s="9" t="s">
        <v>8881</v>
      </c>
      <c r="Q74" s="9" t="s">
        <v>8882</v>
      </c>
      <c r="R74" s="9" t="s">
        <v>47</v>
      </c>
      <c r="S74" s="9" t="s">
        <v>48</v>
      </c>
      <c r="T74" s="9" t="s">
        <v>1384</v>
      </c>
      <c r="U74" s="9" t="s">
        <v>148</v>
      </c>
      <c r="V74" s="10">
        <v>44651</v>
      </c>
      <c r="W74" s="9" t="s">
        <v>8883</v>
      </c>
      <c r="X74" s="9" t="s">
        <v>8884</v>
      </c>
      <c r="Y74" s="9" t="s">
        <v>8885</v>
      </c>
      <c r="Z74" s="9">
        <v>7</v>
      </c>
      <c r="AA74" s="9" t="s">
        <v>55</v>
      </c>
      <c r="AB74" s="9" t="s">
        <v>8886</v>
      </c>
      <c r="AC74" s="9" t="s">
        <v>8887</v>
      </c>
      <c r="AD74" s="9" t="s">
        <v>58</v>
      </c>
      <c r="AE74" s="9">
        <v>1175400</v>
      </c>
      <c r="AF74" s="11">
        <v>23508</v>
      </c>
      <c r="AG74" s="9"/>
      <c r="AH74" s="9"/>
      <c r="AI74" s="9"/>
      <c r="AJ74" s="9" t="s">
        <v>12075</v>
      </c>
      <c r="AK74" s="11">
        <v>23508</v>
      </c>
      <c r="AL74" s="12"/>
      <c r="AM74" s="14">
        <f t="shared" si="1"/>
        <v>0</v>
      </c>
      <c r="AN74" s="12" t="s">
        <v>12004</v>
      </c>
    </row>
    <row r="75" spans="1:40" x14ac:dyDescent="0.25">
      <c r="A75" s="12">
        <v>739</v>
      </c>
      <c r="B75" s="18" t="s">
        <v>8030</v>
      </c>
      <c r="C75" s="12" t="s">
        <v>8888</v>
      </c>
      <c r="D75" s="12" t="s">
        <v>37</v>
      </c>
      <c r="E75" s="12" t="s">
        <v>8889</v>
      </c>
      <c r="F75" s="12" t="s">
        <v>138</v>
      </c>
      <c r="G75" s="12" t="s">
        <v>8890</v>
      </c>
      <c r="H75" s="12" t="s">
        <v>8891</v>
      </c>
      <c r="I75" s="12" t="s">
        <v>8892</v>
      </c>
      <c r="J75" s="12" t="s">
        <v>8893</v>
      </c>
      <c r="K75" s="12" t="s">
        <v>8894</v>
      </c>
      <c r="L75" s="12">
        <v>1213100</v>
      </c>
      <c r="M75" s="12">
        <v>1733000</v>
      </c>
      <c r="N75" s="12" t="s">
        <v>8895</v>
      </c>
      <c r="O75" s="16">
        <v>45655</v>
      </c>
      <c r="P75" s="12" t="s">
        <v>8896</v>
      </c>
      <c r="Q75" s="12" t="s">
        <v>8897</v>
      </c>
      <c r="R75" s="12" t="s">
        <v>47</v>
      </c>
      <c r="S75" s="12" t="s">
        <v>48</v>
      </c>
      <c r="T75" s="12" t="s">
        <v>194</v>
      </c>
      <c r="U75" s="12" t="s">
        <v>148</v>
      </c>
      <c r="V75" s="16">
        <v>44735</v>
      </c>
      <c r="W75" s="12" t="s">
        <v>8128</v>
      </c>
      <c r="X75" s="12" t="s">
        <v>8129</v>
      </c>
      <c r="Y75" s="12" t="s">
        <v>8898</v>
      </c>
      <c r="Z75" s="12">
        <v>5</v>
      </c>
      <c r="AA75" s="12" t="s">
        <v>152</v>
      </c>
      <c r="AB75" s="12" t="s">
        <v>8899</v>
      </c>
      <c r="AC75" s="12" t="s">
        <v>3988</v>
      </c>
      <c r="AD75" s="12" t="s">
        <v>58</v>
      </c>
      <c r="AE75" s="12">
        <v>1559700</v>
      </c>
      <c r="AF75" s="13">
        <v>31194</v>
      </c>
      <c r="AG75" s="12"/>
      <c r="AH75" s="12"/>
      <c r="AI75" s="12"/>
      <c r="AJ75" s="12" t="s">
        <v>12076</v>
      </c>
      <c r="AK75" s="11">
        <v>31194</v>
      </c>
      <c r="AL75" s="12"/>
      <c r="AM75" s="14">
        <f t="shared" si="1"/>
        <v>0</v>
      </c>
      <c r="AN75" s="12" t="s">
        <v>12004</v>
      </c>
    </row>
    <row r="76" spans="1:40" x14ac:dyDescent="0.25">
      <c r="A76" s="9">
        <v>740</v>
      </c>
      <c r="B76" s="18" t="s">
        <v>8030</v>
      </c>
      <c r="C76" s="9" t="s">
        <v>8900</v>
      </c>
      <c r="D76" s="9" t="s">
        <v>37</v>
      </c>
      <c r="E76" s="9" t="s">
        <v>8901</v>
      </c>
      <c r="F76" s="9" t="s">
        <v>138</v>
      </c>
      <c r="G76" s="9" t="s">
        <v>8902</v>
      </c>
      <c r="H76" s="9" t="s">
        <v>48</v>
      </c>
      <c r="I76" s="9" t="s">
        <v>8903</v>
      </c>
      <c r="J76" s="9" t="s">
        <v>48</v>
      </c>
      <c r="K76" s="9" t="s">
        <v>8904</v>
      </c>
      <c r="L76" s="9">
        <v>6634000</v>
      </c>
      <c r="M76" s="9">
        <v>13268000</v>
      </c>
      <c r="N76" s="9" t="s">
        <v>8905</v>
      </c>
      <c r="O76" s="10">
        <v>45655</v>
      </c>
      <c r="P76" s="9" t="s">
        <v>8906</v>
      </c>
      <c r="Q76" s="9" t="s">
        <v>8907</v>
      </c>
      <c r="R76" s="9" t="s">
        <v>858</v>
      </c>
      <c r="S76" s="9" t="s">
        <v>48</v>
      </c>
      <c r="T76" s="9" t="s">
        <v>1346</v>
      </c>
      <c r="U76" s="9" t="s">
        <v>148</v>
      </c>
      <c r="V76" s="10">
        <v>44831</v>
      </c>
      <c r="W76" s="9" t="s">
        <v>8128</v>
      </c>
      <c r="X76" s="9" t="s">
        <v>8455</v>
      </c>
      <c r="Y76" s="9" t="s">
        <v>8908</v>
      </c>
      <c r="Z76" s="9">
        <v>6</v>
      </c>
      <c r="AA76" s="9" t="s">
        <v>227</v>
      </c>
      <c r="AB76" s="9" t="s">
        <v>8909</v>
      </c>
      <c r="AC76" s="9" t="s">
        <v>8910</v>
      </c>
      <c r="AD76" s="9" t="s">
        <v>943</v>
      </c>
      <c r="AE76" s="9">
        <v>11941200</v>
      </c>
      <c r="AF76" s="11">
        <v>167177</v>
      </c>
      <c r="AG76" s="9"/>
      <c r="AH76" s="9"/>
      <c r="AI76" s="9"/>
      <c r="AJ76" s="9" t="s">
        <v>12077</v>
      </c>
      <c r="AK76" s="11">
        <v>167177</v>
      </c>
      <c r="AL76" s="12"/>
      <c r="AM76" s="14">
        <f t="shared" si="1"/>
        <v>0</v>
      </c>
      <c r="AN76" s="12" t="s">
        <v>12004</v>
      </c>
    </row>
    <row r="77" spans="1:40" x14ac:dyDescent="0.25">
      <c r="A77" s="12">
        <v>741</v>
      </c>
      <c r="B77" s="18" t="s">
        <v>8030</v>
      </c>
      <c r="C77" s="12" t="s">
        <v>8911</v>
      </c>
      <c r="D77" s="12" t="s">
        <v>37</v>
      </c>
      <c r="E77" s="12" t="s">
        <v>8912</v>
      </c>
      <c r="F77" s="12" t="s">
        <v>851</v>
      </c>
      <c r="G77" s="12" t="s">
        <v>8913</v>
      </c>
      <c r="H77" s="12" t="s">
        <v>8914</v>
      </c>
      <c r="I77" s="12" t="s">
        <v>8915</v>
      </c>
      <c r="J77" s="12" t="s">
        <v>8914</v>
      </c>
      <c r="K77" s="12" t="s">
        <v>8916</v>
      </c>
      <c r="L77" s="12">
        <v>1032500</v>
      </c>
      <c r="M77" s="12">
        <v>1475000</v>
      </c>
      <c r="N77" s="12" t="s">
        <v>8917</v>
      </c>
      <c r="O77" s="16">
        <v>45655</v>
      </c>
      <c r="P77" s="12" t="s">
        <v>8918</v>
      </c>
      <c r="Q77" s="12" t="s">
        <v>8919</v>
      </c>
      <c r="R77" s="12" t="s">
        <v>47</v>
      </c>
      <c r="S77" s="12" t="s">
        <v>48</v>
      </c>
      <c r="T77" s="12" t="s">
        <v>1896</v>
      </c>
      <c r="U77" s="12" t="s">
        <v>148</v>
      </c>
      <c r="V77" s="16">
        <v>44736</v>
      </c>
      <c r="W77" s="12" t="s">
        <v>8128</v>
      </c>
      <c r="X77" s="12" t="s">
        <v>8103</v>
      </c>
      <c r="Y77" s="12" t="s">
        <v>8920</v>
      </c>
      <c r="Z77" s="12">
        <v>4</v>
      </c>
      <c r="AA77" s="12" t="s">
        <v>227</v>
      </c>
      <c r="AB77" s="12" t="s">
        <v>8921</v>
      </c>
      <c r="AC77" s="12" t="s">
        <v>8922</v>
      </c>
      <c r="AD77" s="12" t="s">
        <v>299</v>
      </c>
      <c r="AE77" s="12">
        <v>1327500</v>
      </c>
      <c r="AF77" s="13">
        <v>19913</v>
      </c>
      <c r="AG77" s="12"/>
      <c r="AH77" s="12"/>
      <c r="AI77" s="12"/>
      <c r="AJ77" s="12" t="s">
        <v>12078</v>
      </c>
      <c r="AK77" s="11">
        <v>19913</v>
      </c>
      <c r="AL77" s="12"/>
      <c r="AM77" s="14">
        <f t="shared" si="1"/>
        <v>0</v>
      </c>
      <c r="AN77" s="12" t="s">
        <v>12004</v>
      </c>
    </row>
    <row r="78" spans="1:40" x14ac:dyDescent="0.25">
      <c r="A78" s="9">
        <v>742</v>
      </c>
      <c r="B78" s="18" t="s">
        <v>8030</v>
      </c>
      <c r="C78" s="9" t="s">
        <v>8923</v>
      </c>
      <c r="D78" s="9" t="s">
        <v>37</v>
      </c>
      <c r="E78" s="9" t="s">
        <v>8924</v>
      </c>
      <c r="F78" s="9" t="s">
        <v>107</v>
      </c>
      <c r="G78" s="9" t="s">
        <v>8925</v>
      </c>
      <c r="H78" s="9" t="s">
        <v>8926</v>
      </c>
      <c r="I78" s="9" t="s">
        <v>8926</v>
      </c>
      <c r="J78" s="9" t="s">
        <v>8927</v>
      </c>
      <c r="K78" s="9" t="s">
        <v>8928</v>
      </c>
      <c r="L78" s="9">
        <v>3040800</v>
      </c>
      <c r="M78" s="9">
        <v>5430000</v>
      </c>
      <c r="N78" s="9" t="s">
        <v>8929</v>
      </c>
      <c r="O78" s="10">
        <v>45655</v>
      </c>
      <c r="P78" s="9" t="s">
        <v>8930</v>
      </c>
      <c r="Q78" s="9" t="s">
        <v>8931</v>
      </c>
      <c r="R78" s="9" t="s">
        <v>47</v>
      </c>
      <c r="S78" s="9" t="s">
        <v>48</v>
      </c>
      <c r="T78" s="9" t="s">
        <v>115</v>
      </c>
      <c r="U78" s="9" t="s">
        <v>50</v>
      </c>
      <c r="V78" s="10">
        <v>44196</v>
      </c>
      <c r="W78" s="9" t="s">
        <v>8114</v>
      </c>
      <c r="X78" s="9" t="s">
        <v>7530</v>
      </c>
      <c r="Y78" s="9" t="s">
        <v>8932</v>
      </c>
      <c r="Z78" s="9">
        <v>4</v>
      </c>
      <c r="AA78" s="9" t="s">
        <v>48</v>
      </c>
      <c r="AB78" s="9" t="s">
        <v>48</v>
      </c>
      <c r="AC78" s="9" t="s">
        <v>48</v>
      </c>
      <c r="AD78" s="9" t="s">
        <v>299</v>
      </c>
      <c r="AE78" s="9">
        <v>4344000</v>
      </c>
      <c r="AF78" s="11">
        <v>65160</v>
      </c>
      <c r="AG78" s="9"/>
      <c r="AH78" s="9"/>
      <c r="AI78" s="9"/>
      <c r="AJ78" s="9" t="s">
        <v>12079</v>
      </c>
      <c r="AK78" s="11">
        <v>65160</v>
      </c>
      <c r="AL78" s="12"/>
      <c r="AM78" s="14">
        <f t="shared" si="1"/>
        <v>0</v>
      </c>
      <c r="AN78" s="12" t="s">
        <v>12004</v>
      </c>
    </row>
    <row r="79" spans="1:40" x14ac:dyDescent="0.25">
      <c r="A79" s="12">
        <v>743</v>
      </c>
      <c r="B79" s="18" t="s">
        <v>8030</v>
      </c>
      <c r="C79" s="12" t="s">
        <v>8933</v>
      </c>
      <c r="D79" s="12" t="s">
        <v>37</v>
      </c>
      <c r="E79" s="12" t="s">
        <v>8934</v>
      </c>
      <c r="F79" s="12" t="s">
        <v>138</v>
      </c>
      <c r="G79" s="12" t="s">
        <v>8935</v>
      </c>
      <c r="H79" s="12" t="s">
        <v>8936</v>
      </c>
      <c r="I79" s="12" t="s">
        <v>8936</v>
      </c>
      <c r="J79" s="12" t="s">
        <v>8936</v>
      </c>
      <c r="K79" s="12" t="s">
        <v>8937</v>
      </c>
      <c r="L79" s="12">
        <v>2240000</v>
      </c>
      <c r="M79" s="12">
        <v>3500000</v>
      </c>
      <c r="N79" s="12" t="s">
        <v>8938</v>
      </c>
      <c r="O79" s="16">
        <v>45655</v>
      </c>
      <c r="P79" s="12" t="s">
        <v>8939</v>
      </c>
      <c r="Q79" s="12" t="s">
        <v>8940</v>
      </c>
      <c r="R79" s="12" t="s">
        <v>146</v>
      </c>
      <c r="S79" s="12" t="s">
        <v>8941</v>
      </c>
      <c r="T79" s="12" t="s">
        <v>601</v>
      </c>
      <c r="U79" s="12" t="s">
        <v>496</v>
      </c>
      <c r="V79" s="16">
        <v>44561</v>
      </c>
      <c r="W79" s="12" t="s">
        <v>8102</v>
      </c>
      <c r="X79" s="12" t="s">
        <v>8103</v>
      </c>
      <c r="Y79" s="12" t="s">
        <v>8942</v>
      </c>
      <c r="Z79" s="12">
        <v>5</v>
      </c>
      <c r="AA79" s="12" t="s">
        <v>118</v>
      </c>
      <c r="AB79" s="12" t="s">
        <v>8943</v>
      </c>
      <c r="AC79" s="12" t="s">
        <v>8563</v>
      </c>
      <c r="AD79" s="12" t="s">
        <v>299</v>
      </c>
      <c r="AE79" s="12">
        <v>2975000</v>
      </c>
      <c r="AF79" s="13">
        <v>44625</v>
      </c>
      <c r="AG79" s="12"/>
      <c r="AH79" s="12"/>
      <c r="AI79" s="12"/>
      <c r="AJ79" s="12" t="s">
        <v>12080</v>
      </c>
      <c r="AK79" s="11">
        <v>44625</v>
      </c>
      <c r="AL79" s="12"/>
      <c r="AM79" s="14">
        <f t="shared" si="1"/>
        <v>0</v>
      </c>
      <c r="AN79" s="12" t="s">
        <v>12004</v>
      </c>
    </row>
    <row r="80" spans="1:40" x14ac:dyDescent="0.25">
      <c r="A80" s="9">
        <v>744</v>
      </c>
      <c r="B80" s="18" t="s">
        <v>8030</v>
      </c>
      <c r="C80" s="9" t="s">
        <v>8944</v>
      </c>
      <c r="D80" s="9" t="s">
        <v>37</v>
      </c>
      <c r="E80" s="9" t="s">
        <v>8945</v>
      </c>
      <c r="F80" s="9" t="s">
        <v>107</v>
      </c>
      <c r="G80" s="9" t="s">
        <v>8946</v>
      </c>
      <c r="H80" s="9" t="s">
        <v>8947</v>
      </c>
      <c r="I80" s="9" t="s">
        <v>8947</v>
      </c>
      <c r="J80" s="9" t="s">
        <v>8947</v>
      </c>
      <c r="K80" s="9" t="s">
        <v>8948</v>
      </c>
      <c r="L80" s="9">
        <v>2170000</v>
      </c>
      <c r="M80" s="9">
        <v>3100000</v>
      </c>
      <c r="N80" s="9" t="s">
        <v>8949</v>
      </c>
      <c r="O80" s="10">
        <v>45655</v>
      </c>
      <c r="P80" s="9" t="s">
        <v>8950</v>
      </c>
      <c r="Q80" s="9" t="s">
        <v>8951</v>
      </c>
      <c r="R80" s="9" t="s">
        <v>146</v>
      </c>
      <c r="S80" s="9" t="s">
        <v>8952</v>
      </c>
      <c r="T80" s="9" t="s">
        <v>650</v>
      </c>
      <c r="U80" s="9" t="s">
        <v>335</v>
      </c>
      <c r="V80" s="10">
        <v>44561</v>
      </c>
      <c r="W80" s="9" t="s">
        <v>8102</v>
      </c>
      <c r="X80" s="9" t="s">
        <v>8103</v>
      </c>
      <c r="Y80" s="9" t="s">
        <v>8953</v>
      </c>
      <c r="Z80" s="9">
        <v>5</v>
      </c>
      <c r="AA80" s="9" t="s">
        <v>55</v>
      </c>
      <c r="AB80" s="9" t="s">
        <v>8954</v>
      </c>
      <c r="AC80" s="9" t="s">
        <v>8563</v>
      </c>
      <c r="AD80" s="9" t="s">
        <v>299</v>
      </c>
      <c r="AE80" s="9">
        <v>2635000</v>
      </c>
      <c r="AF80" s="11">
        <v>39525</v>
      </c>
      <c r="AG80" s="9"/>
      <c r="AH80" s="9"/>
      <c r="AI80" s="9"/>
      <c r="AJ80" s="9" t="s">
        <v>12081</v>
      </c>
      <c r="AK80" s="11">
        <v>39525</v>
      </c>
      <c r="AL80" s="12"/>
      <c r="AM80" s="14">
        <f t="shared" si="1"/>
        <v>0</v>
      </c>
      <c r="AN80" s="12" t="s">
        <v>12004</v>
      </c>
    </row>
    <row r="81" spans="1:40" x14ac:dyDescent="0.25">
      <c r="A81" s="12">
        <v>745</v>
      </c>
      <c r="B81" s="18" t="s">
        <v>8030</v>
      </c>
      <c r="C81" s="12" t="s">
        <v>8955</v>
      </c>
      <c r="D81" s="12" t="s">
        <v>37</v>
      </c>
      <c r="E81" s="12" t="s">
        <v>8956</v>
      </c>
      <c r="F81" s="12" t="s">
        <v>107</v>
      </c>
      <c r="G81" s="12" t="s">
        <v>8957</v>
      </c>
      <c r="H81" s="12" t="s">
        <v>8958</v>
      </c>
      <c r="I81" s="12" t="s">
        <v>8958</v>
      </c>
      <c r="J81" s="12" t="s">
        <v>8958</v>
      </c>
      <c r="K81" s="12" t="s">
        <v>8959</v>
      </c>
      <c r="L81" s="12">
        <v>2156000</v>
      </c>
      <c r="M81" s="12">
        <v>3850000</v>
      </c>
      <c r="N81" s="12" t="s">
        <v>8960</v>
      </c>
      <c r="O81" s="16">
        <v>45655</v>
      </c>
      <c r="P81" s="12" t="s">
        <v>8961</v>
      </c>
      <c r="Q81" s="12" t="s">
        <v>8962</v>
      </c>
      <c r="R81" s="12" t="s">
        <v>146</v>
      </c>
      <c r="S81" s="12" t="s">
        <v>8963</v>
      </c>
      <c r="T81" s="12" t="s">
        <v>1065</v>
      </c>
      <c r="U81" s="12" t="s">
        <v>50</v>
      </c>
      <c r="V81" s="16">
        <v>44565</v>
      </c>
      <c r="W81" s="12" t="s">
        <v>2981</v>
      </c>
      <c r="X81" s="12" t="s">
        <v>2982</v>
      </c>
      <c r="Y81" s="12" t="s">
        <v>8964</v>
      </c>
      <c r="Z81" s="12">
        <v>5</v>
      </c>
      <c r="AA81" s="12" t="s">
        <v>55</v>
      </c>
      <c r="AB81" s="12" t="s">
        <v>8965</v>
      </c>
      <c r="AC81" s="12" t="s">
        <v>8106</v>
      </c>
      <c r="AD81" s="12" t="s">
        <v>299</v>
      </c>
      <c r="AE81" s="12">
        <v>3272500</v>
      </c>
      <c r="AF81" s="13">
        <v>49088</v>
      </c>
      <c r="AG81" s="12"/>
      <c r="AH81" s="12"/>
      <c r="AI81" s="12"/>
      <c r="AJ81" s="12" t="s">
        <v>12082</v>
      </c>
      <c r="AK81" s="11">
        <v>49088</v>
      </c>
      <c r="AL81" s="12"/>
      <c r="AM81" s="14">
        <f t="shared" si="1"/>
        <v>0</v>
      </c>
      <c r="AN81" s="12" t="s">
        <v>12004</v>
      </c>
    </row>
    <row r="82" spans="1:40" x14ac:dyDescent="0.25">
      <c r="A82" s="9">
        <v>746</v>
      </c>
      <c r="B82" s="18" t="s">
        <v>8030</v>
      </c>
      <c r="C82" s="9" t="s">
        <v>8966</v>
      </c>
      <c r="D82" s="9" t="s">
        <v>37</v>
      </c>
      <c r="E82" s="9" t="s">
        <v>8967</v>
      </c>
      <c r="F82" s="9" t="s">
        <v>138</v>
      </c>
      <c r="G82" s="9" t="s">
        <v>8968</v>
      </c>
      <c r="H82" s="9" t="s">
        <v>8969</v>
      </c>
      <c r="I82" s="9" t="s">
        <v>8969</v>
      </c>
      <c r="J82" s="9" t="s">
        <v>8969</v>
      </c>
      <c r="K82" s="9" t="s">
        <v>8970</v>
      </c>
      <c r="L82" s="9">
        <v>2152500</v>
      </c>
      <c r="M82" s="9">
        <v>3075000</v>
      </c>
      <c r="N82" s="9" t="s">
        <v>8971</v>
      </c>
      <c r="O82" s="10">
        <v>45655</v>
      </c>
      <c r="P82" s="9" t="s">
        <v>8972</v>
      </c>
      <c r="Q82" s="9" t="s">
        <v>8973</v>
      </c>
      <c r="R82" s="9" t="s">
        <v>146</v>
      </c>
      <c r="S82" s="9" t="s">
        <v>8974</v>
      </c>
      <c r="T82" s="9" t="s">
        <v>8975</v>
      </c>
      <c r="U82" s="9" t="s">
        <v>98</v>
      </c>
      <c r="V82" s="10">
        <v>44561</v>
      </c>
      <c r="W82" s="9" t="s">
        <v>8102</v>
      </c>
      <c r="X82" s="9" t="s">
        <v>8103</v>
      </c>
      <c r="Y82" s="9" t="s">
        <v>8976</v>
      </c>
      <c r="Z82" s="9">
        <v>5</v>
      </c>
      <c r="AA82" s="9" t="s">
        <v>118</v>
      </c>
      <c r="AB82" s="9" t="s">
        <v>8977</v>
      </c>
      <c r="AC82" s="9" t="s">
        <v>8106</v>
      </c>
      <c r="AD82" s="9" t="s">
        <v>299</v>
      </c>
      <c r="AE82" s="9">
        <v>2613750</v>
      </c>
      <c r="AF82" s="11">
        <v>39206</v>
      </c>
      <c r="AG82" s="9"/>
      <c r="AH82" s="9"/>
      <c r="AI82" s="9"/>
      <c r="AJ82" s="9" t="s">
        <v>12083</v>
      </c>
      <c r="AK82" s="11">
        <v>39206</v>
      </c>
      <c r="AL82" s="12"/>
      <c r="AM82" s="14">
        <f t="shared" si="1"/>
        <v>0</v>
      </c>
      <c r="AN82" s="12" t="s">
        <v>12004</v>
      </c>
    </row>
    <row r="83" spans="1:40" x14ac:dyDescent="0.25">
      <c r="A83" s="12">
        <v>747</v>
      </c>
      <c r="B83" s="18" t="s">
        <v>8030</v>
      </c>
      <c r="C83" s="12" t="s">
        <v>8978</v>
      </c>
      <c r="D83" s="12" t="s">
        <v>37</v>
      </c>
      <c r="E83" s="12" t="s">
        <v>8979</v>
      </c>
      <c r="F83" s="12" t="s">
        <v>138</v>
      </c>
      <c r="G83" s="12" t="s">
        <v>8980</v>
      </c>
      <c r="H83" s="12" t="s">
        <v>8981</v>
      </c>
      <c r="I83" s="12" t="s">
        <v>8981</v>
      </c>
      <c r="J83" s="12" t="s">
        <v>141</v>
      </c>
      <c r="K83" s="12" t="s">
        <v>8982</v>
      </c>
      <c r="L83" s="12">
        <v>2426250</v>
      </c>
      <c r="M83" s="12">
        <v>3235000</v>
      </c>
      <c r="N83" s="12" t="s">
        <v>8983</v>
      </c>
      <c r="O83" s="16">
        <v>45655</v>
      </c>
      <c r="P83" s="12" t="s">
        <v>8984</v>
      </c>
      <c r="Q83" s="12" t="s">
        <v>8985</v>
      </c>
      <c r="R83" s="12" t="s">
        <v>1215</v>
      </c>
      <c r="S83" s="12" t="s">
        <v>48</v>
      </c>
      <c r="T83" s="12" t="s">
        <v>8986</v>
      </c>
      <c r="U83" s="12" t="s">
        <v>335</v>
      </c>
      <c r="V83" s="16">
        <v>44196</v>
      </c>
      <c r="W83" s="12" t="s">
        <v>8114</v>
      </c>
      <c r="X83" s="12" t="s">
        <v>8103</v>
      </c>
      <c r="Y83" s="12" t="s">
        <v>8987</v>
      </c>
      <c r="Z83" s="12">
        <v>6</v>
      </c>
      <c r="AA83" s="12" t="s">
        <v>55</v>
      </c>
      <c r="AB83" s="12" t="s">
        <v>8988</v>
      </c>
      <c r="AC83" s="12" t="s">
        <v>1029</v>
      </c>
      <c r="AD83" s="12" t="s">
        <v>58</v>
      </c>
      <c r="AE83" s="12">
        <v>2588000</v>
      </c>
      <c r="AF83" s="13">
        <v>51760</v>
      </c>
      <c r="AG83" s="12"/>
      <c r="AH83" s="12"/>
      <c r="AI83" s="12"/>
      <c r="AJ83" s="12" t="s">
        <v>12084</v>
      </c>
      <c r="AK83" s="11">
        <v>51760</v>
      </c>
      <c r="AL83" s="12"/>
      <c r="AM83" s="14">
        <f t="shared" si="1"/>
        <v>0</v>
      </c>
      <c r="AN83" s="12" t="s">
        <v>12004</v>
      </c>
    </row>
    <row r="84" spans="1:40" x14ac:dyDescent="0.25">
      <c r="A84" s="9">
        <v>748</v>
      </c>
      <c r="B84" s="18" t="s">
        <v>8030</v>
      </c>
      <c r="C84" s="9" t="s">
        <v>8989</v>
      </c>
      <c r="D84" s="9" t="s">
        <v>37</v>
      </c>
      <c r="E84" s="9" t="s">
        <v>8990</v>
      </c>
      <c r="F84" s="9" t="s">
        <v>138</v>
      </c>
      <c r="G84" s="9" t="s">
        <v>8991</v>
      </c>
      <c r="H84" s="9" t="s">
        <v>8992</v>
      </c>
      <c r="I84" s="9" t="s">
        <v>8992</v>
      </c>
      <c r="J84" s="9" t="s">
        <v>141</v>
      </c>
      <c r="K84" s="9" t="s">
        <v>8993</v>
      </c>
      <c r="L84" s="9">
        <v>2030000</v>
      </c>
      <c r="M84" s="9">
        <v>2900000</v>
      </c>
      <c r="N84" s="9" t="s">
        <v>8994</v>
      </c>
      <c r="O84" s="10">
        <v>45655</v>
      </c>
      <c r="P84" s="9" t="s">
        <v>8995</v>
      </c>
      <c r="Q84" s="9" t="s">
        <v>8996</v>
      </c>
      <c r="R84" s="9" t="s">
        <v>146</v>
      </c>
      <c r="S84" s="9" t="s">
        <v>8997</v>
      </c>
      <c r="T84" s="9" t="s">
        <v>2918</v>
      </c>
      <c r="U84" s="9" t="s">
        <v>50</v>
      </c>
      <c r="V84" s="10">
        <v>44561</v>
      </c>
      <c r="W84" s="9" t="s">
        <v>8102</v>
      </c>
      <c r="X84" s="9" t="s">
        <v>8103</v>
      </c>
      <c r="Y84" s="9" t="s">
        <v>8998</v>
      </c>
      <c r="Z84" s="9">
        <v>5</v>
      </c>
      <c r="AA84" s="9" t="s">
        <v>118</v>
      </c>
      <c r="AB84" s="9" t="s">
        <v>8999</v>
      </c>
      <c r="AC84" s="9" t="s">
        <v>8563</v>
      </c>
      <c r="AD84" s="9" t="s">
        <v>299</v>
      </c>
      <c r="AE84" s="9">
        <v>2465000</v>
      </c>
      <c r="AF84" s="11">
        <v>36975</v>
      </c>
      <c r="AG84" s="9"/>
      <c r="AH84" s="9"/>
      <c r="AI84" s="9"/>
      <c r="AJ84" s="9" t="s">
        <v>12085</v>
      </c>
      <c r="AK84" s="11">
        <v>36975</v>
      </c>
      <c r="AL84" s="12"/>
      <c r="AM84" s="14">
        <f t="shared" si="1"/>
        <v>0</v>
      </c>
      <c r="AN84" s="12" t="s">
        <v>12004</v>
      </c>
    </row>
    <row r="85" spans="1:40" x14ac:dyDescent="0.25">
      <c r="A85" s="12">
        <v>749</v>
      </c>
      <c r="B85" s="18" t="s">
        <v>8030</v>
      </c>
      <c r="C85" s="12" t="s">
        <v>9000</v>
      </c>
      <c r="D85" s="12" t="s">
        <v>37</v>
      </c>
      <c r="E85" s="12" t="s">
        <v>9001</v>
      </c>
      <c r="F85" s="12" t="s">
        <v>138</v>
      </c>
      <c r="G85" s="12" t="s">
        <v>9002</v>
      </c>
      <c r="H85" s="12" t="s">
        <v>9003</v>
      </c>
      <c r="I85" s="12" t="s">
        <v>9003</v>
      </c>
      <c r="J85" s="12" t="s">
        <v>9003</v>
      </c>
      <c r="K85" s="12" t="s">
        <v>9004</v>
      </c>
      <c r="L85" s="12">
        <v>1960000</v>
      </c>
      <c r="M85" s="12">
        <v>2800000</v>
      </c>
      <c r="N85" s="12" t="s">
        <v>9005</v>
      </c>
      <c r="O85" s="16">
        <v>45655</v>
      </c>
      <c r="P85" s="12" t="s">
        <v>9006</v>
      </c>
      <c r="Q85" s="12" t="s">
        <v>9007</v>
      </c>
      <c r="R85" s="12" t="s">
        <v>146</v>
      </c>
      <c r="S85" s="12" t="s">
        <v>48</v>
      </c>
      <c r="T85" s="12" t="s">
        <v>5208</v>
      </c>
      <c r="U85" s="12" t="s">
        <v>50</v>
      </c>
      <c r="V85" s="16">
        <v>44561</v>
      </c>
      <c r="W85" s="12" t="s">
        <v>8102</v>
      </c>
      <c r="X85" s="12" t="s">
        <v>7530</v>
      </c>
      <c r="Y85" s="12" t="s">
        <v>9008</v>
      </c>
      <c r="Z85" s="12">
        <v>3</v>
      </c>
      <c r="AA85" s="12" t="s">
        <v>118</v>
      </c>
      <c r="AB85" s="12" t="s">
        <v>9009</v>
      </c>
      <c r="AC85" s="12" t="s">
        <v>8563</v>
      </c>
      <c r="AD85" s="12" t="s">
        <v>299</v>
      </c>
      <c r="AE85" s="12">
        <v>2380000</v>
      </c>
      <c r="AF85" s="13">
        <v>35700</v>
      </c>
      <c r="AG85" s="12"/>
      <c r="AH85" s="12"/>
      <c r="AI85" s="12"/>
      <c r="AJ85" s="12" t="s">
        <v>12086</v>
      </c>
      <c r="AK85" s="11">
        <v>35700</v>
      </c>
      <c r="AL85" s="12"/>
      <c r="AM85" s="14">
        <f t="shared" si="1"/>
        <v>0</v>
      </c>
      <c r="AN85" s="12" t="s">
        <v>12004</v>
      </c>
    </row>
    <row r="86" spans="1:40" x14ac:dyDescent="0.25">
      <c r="A86" s="9">
        <v>750</v>
      </c>
      <c r="B86" s="18" t="s">
        <v>8030</v>
      </c>
      <c r="C86" s="9" t="s">
        <v>9010</v>
      </c>
      <c r="D86" s="9" t="s">
        <v>37</v>
      </c>
      <c r="E86" s="9" t="s">
        <v>9011</v>
      </c>
      <c r="F86" s="9" t="s">
        <v>107</v>
      </c>
      <c r="G86" s="9" t="s">
        <v>9012</v>
      </c>
      <c r="H86" s="9" t="s">
        <v>9013</v>
      </c>
      <c r="I86" s="9" t="s">
        <v>9013</v>
      </c>
      <c r="J86" s="9" t="s">
        <v>9013</v>
      </c>
      <c r="K86" s="9" t="s">
        <v>9014</v>
      </c>
      <c r="L86" s="9">
        <v>2148750</v>
      </c>
      <c r="M86" s="9">
        <v>2865000</v>
      </c>
      <c r="N86" s="9" t="s">
        <v>9015</v>
      </c>
      <c r="O86" s="10">
        <v>45655</v>
      </c>
      <c r="P86" s="9" t="s">
        <v>9016</v>
      </c>
      <c r="Q86" s="9" t="s">
        <v>9017</v>
      </c>
      <c r="R86" s="9" t="s">
        <v>47</v>
      </c>
      <c r="S86" s="9" t="s">
        <v>48</v>
      </c>
      <c r="T86" s="9" t="s">
        <v>1166</v>
      </c>
      <c r="U86" s="9" t="s">
        <v>98</v>
      </c>
      <c r="V86" s="10">
        <v>44130</v>
      </c>
      <c r="W86" s="9" t="s">
        <v>8114</v>
      </c>
      <c r="X86" s="9" t="s">
        <v>8115</v>
      </c>
      <c r="Y86" s="9" t="s">
        <v>9018</v>
      </c>
      <c r="Z86" s="9">
        <v>5</v>
      </c>
      <c r="AA86" s="9" t="s">
        <v>55</v>
      </c>
      <c r="AB86" s="9" t="s">
        <v>9019</v>
      </c>
      <c r="AC86" s="9" t="s">
        <v>1029</v>
      </c>
      <c r="AD86" s="9" t="s">
        <v>58</v>
      </c>
      <c r="AE86" s="9">
        <v>2292000</v>
      </c>
      <c r="AF86" s="11">
        <v>45840</v>
      </c>
      <c r="AG86" s="9"/>
      <c r="AH86" s="9"/>
      <c r="AI86" s="9"/>
      <c r="AJ86" s="9" t="s">
        <v>12087</v>
      </c>
      <c r="AK86" s="11">
        <v>45840</v>
      </c>
      <c r="AL86" s="12"/>
      <c r="AM86" s="14">
        <f t="shared" si="1"/>
        <v>0</v>
      </c>
      <c r="AN86" s="12" t="s">
        <v>12004</v>
      </c>
    </row>
    <row r="87" spans="1:40" x14ac:dyDescent="0.25">
      <c r="A87" s="12">
        <v>751</v>
      </c>
      <c r="B87" s="18" t="s">
        <v>8030</v>
      </c>
      <c r="C87" s="12" t="s">
        <v>9020</v>
      </c>
      <c r="D87" s="12" t="s">
        <v>37</v>
      </c>
      <c r="E87" s="12" t="s">
        <v>9021</v>
      </c>
      <c r="F87" s="12" t="s">
        <v>138</v>
      </c>
      <c r="G87" s="12" t="s">
        <v>9022</v>
      </c>
      <c r="H87" s="12" t="s">
        <v>9023</v>
      </c>
      <c r="I87" s="12" t="s">
        <v>9023</v>
      </c>
      <c r="J87" s="12" t="s">
        <v>9024</v>
      </c>
      <c r="K87" s="12" t="s">
        <v>9025</v>
      </c>
      <c r="L87" s="12">
        <v>1576000</v>
      </c>
      <c r="M87" s="12">
        <v>1970000</v>
      </c>
      <c r="N87" s="12" t="s">
        <v>9026</v>
      </c>
      <c r="O87" s="16">
        <v>45655</v>
      </c>
      <c r="P87" s="12" t="s">
        <v>9027</v>
      </c>
      <c r="Q87" s="12" t="s">
        <v>9028</v>
      </c>
      <c r="R87" s="12" t="s">
        <v>146</v>
      </c>
      <c r="S87" s="12" t="s">
        <v>9029</v>
      </c>
      <c r="T87" s="12" t="s">
        <v>1909</v>
      </c>
      <c r="U87" s="12" t="s">
        <v>98</v>
      </c>
      <c r="V87" s="16">
        <v>44561</v>
      </c>
      <c r="W87" s="12" t="s">
        <v>8102</v>
      </c>
      <c r="X87" s="12" t="s">
        <v>8103</v>
      </c>
      <c r="Y87" s="12" t="s">
        <v>9030</v>
      </c>
      <c r="Z87" s="12">
        <v>5</v>
      </c>
      <c r="AA87" s="12" t="s">
        <v>118</v>
      </c>
      <c r="AB87" s="12" t="s">
        <v>9031</v>
      </c>
      <c r="AC87" s="12" t="s">
        <v>8563</v>
      </c>
      <c r="AD87" s="12" t="s">
        <v>299</v>
      </c>
      <c r="AE87" s="12">
        <v>1674500</v>
      </c>
      <c r="AF87" s="13">
        <v>25118</v>
      </c>
      <c r="AG87" s="12"/>
      <c r="AH87" s="12"/>
      <c r="AI87" s="12"/>
      <c r="AJ87" s="12" t="s">
        <v>12088</v>
      </c>
      <c r="AK87" s="11">
        <v>25118</v>
      </c>
      <c r="AL87" s="12"/>
      <c r="AM87" s="14">
        <f t="shared" si="1"/>
        <v>0</v>
      </c>
      <c r="AN87" s="12" t="s">
        <v>12004</v>
      </c>
    </row>
    <row r="88" spans="1:40" x14ac:dyDescent="0.25">
      <c r="A88" s="9">
        <v>752</v>
      </c>
      <c r="B88" s="18" t="s">
        <v>8030</v>
      </c>
      <c r="C88" s="9" t="s">
        <v>9032</v>
      </c>
      <c r="D88" s="9" t="s">
        <v>37</v>
      </c>
      <c r="E88" s="9" t="s">
        <v>9033</v>
      </c>
      <c r="F88" s="9" t="s">
        <v>138</v>
      </c>
      <c r="G88" s="9" t="s">
        <v>9034</v>
      </c>
      <c r="H88" s="9" t="s">
        <v>9035</v>
      </c>
      <c r="I88" s="9" t="s">
        <v>9035</v>
      </c>
      <c r="J88" s="9" t="s">
        <v>9036</v>
      </c>
      <c r="K88" s="9" t="s">
        <v>9037</v>
      </c>
      <c r="L88" s="9">
        <v>1400000</v>
      </c>
      <c r="M88" s="9">
        <v>2000000</v>
      </c>
      <c r="N88" s="9" t="s">
        <v>9038</v>
      </c>
      <c r="O88" s="10">
        <v>45655</v>
      </c>
      <c r="P88" s="9" t="s">
        <v>9039</v>
      </c>
      <c r="Q88" s="9" t="s">
        <v>9040</v>
      </c>
      <c r="R88" s="9" t="s">
        <v>146</v>
      </c>
      <c r="S88" s="9" t="s">
        <v>9041</v>
      </c>
      <c r="T88" s="9" t="s">
        <v>1732</v>
      </c>
      <c r="U88" s="9" t="s">
        <v>903</v>
      </c>
      <c r="V88" s="10">
        <v>44561</v>
      </c>
      <c r="W88" s="9" t="s">
        <v>8102</v>
      </c>
      <c r="X88" s="9" t="s">
        <v>8103</v>
      </c>
      <c r="Y88" s="9" t="s">
        <v>9042</v>
      </c>
      <c r="Z88" s="9">
        <v>5</v>
      </c>
      <c r="AA88" s="9" t="s">
        <v>118</v>
      </c>
      <c r="AB88" s="9" t="s">
        <v>9043</v>
      </c>
      <c r="AC88" s="9" t="s">
        <v>8563</v>
      </c>
      <c r="AD88" s="9" t="s">
        <v>299</v>
      </c>
      <c r="AE88" s="9">
        <v>1700000</v>
      </c>
      <c r="AF88" s="11">
        <v>25500</v>
      </c>
      <c r="AG88" s="9"/>
      <c r="AH88" s="9"/>
      <c r="AI88" s="9"/>
      <c r="AJ88" s="9" t="s">
        <v>12089</v>
      </c>
      <c r="AK88" s="11">
        <v>25500</v>
      </c>
      <c r="AL88" s="12"/>
      <c r="AM88" s="14">
        <f t="shared" si="1"/>
        <v>0</v>
      </c>
      <c r="AN88" s="12" t="s">
        <v>12004</v>
      </c>
    </row>
    <row r="89" spans="1:40" x14ac:dyDescent="0.25">
      <c r="A89" s="12">
        <v>753</v>
      </c>
      <c r="B89" s="18" t="s">
        <v>8030</v>
      </c>
      <c r="C89" s="12" t="s">
        <v>9044</v>
      </c>
      <c r="D89" s="12" t="s">
        <v>37</v>
      </c>
      <c r="E89" s="12" t="s">
        <v>9045</v>
      </c>
      <c r="F89" s="12" t="s">
        <v>89</v>
      </c>
      <c r="G89" s="12" t="s">
        <v>9046</v>
      </c>
      <c r="H89" s="12" t="s">
        <v>9047</v>
      </c>
      <c r="I89" s="12" t="s">
        <v>48</v>
      </c>
      <c r="J89" s="12" t="s">
        <v>9048</v>
      </c>
      <c r="K89" s="12" t="s">
        <v>9049</v>
      </c>
      <c r="L89" s="12">
        <v>1640000</v>
      </c>
      <c r="M89" s="12">
        <v>2050000</v>
      </c>
      <c r="N89" s="12" t="s">
        <v>9050</v>
      </c>
      <c r="O89" s="16">
        <v>45655</v>
      </c>
      <c r="P89" s="12" t="s">
        <v>9051</v>
      </c>
      <c r="Q89" s="12" t="s">
        <v>9052</v>
      </c>
      <c r="R89" s="12" t="s">
        <v>146</v>
      </c>
      <c r="S89" s="12" t="s">
        <v>9053</v>
      </c>
      <c r="T89" s="12" t="s">
        <v>6302</v>
      </c>
      <c r="U89" s="12" t="s">
        <v>903</v>
      </c>
      <c r="V89" s="16">
        <v>44196</v>
      </c>
      <c r="W89" s="12" t="s">
        <v>8114</v>
      </c>
      <c r="X89" s="12" t="s">
        <v>8115</v>
      </c>
      <c r="Y89" s="12" t="s">
        <v>9054</v>
      </c>
      <c r="Z89" s="12">
        <v>5</v>
      </c>
      <c r="AA89" s="12" t="s">
        <v>152</v>
      </c>
      <c r="AB89" s="12" t="s">
        <v>9055</v>
      </c>
      <c r="AC89" s="12" t="s">
        <v>9056</v>
      </c>
      <c r="AD89" s="12" t="s">
        <v>58</v>
      </c>
      <c r="AE89" s="12">
        <v>1640000</v>
      </c>
      <c r="AF89" s="13">
        <v>32800</v>
      </c>
      <c r="AG89" s="12"/>
      <c r="AH89" s="12"/>
      <c r="AI89" s="12"/>
      <c r="AJ89" s="12" t="s">
        <v>12090</v>
      </c>
      <c r="AK89" s="11">
        <v>32800</v>
      </c>
      <c r="AL89" s="12"/>
      <c r="AM89" s="14">
        <f t="shared" si="1"/>
        <v>0</v>
      </c>
      <c r="AN89" s="12" t="s">
        <v>12004</v>
      </c>
    </row>
    <row r="90" spans="1:40" x14ac:dyDescent="0.25">
      <c r="A90" s="9">
        <v>754</v>
      </c>
      <c r="B90" s="18" t="s">
        <v>8030</v>
      </c>
      <c r="C90" s="9" t="s">
        <v>9057</v>
      </c>
      <c r="D90" s="9" t="s">
        <v>37</v>
      </c>
      <c r="E90" s="9" t="s">
        <v>9058</v>
      </c>
      <c r="F90" s="9" t="s">
        <v>107</v>
      </c>
      <c r="G90" s="9" t="s">
        <v>9059</v>
      </c>
      <c r="H90" s="9" t="s">
        <v>9060</v>
      </c>
      <c r="I90" s="9" t="s">
        <v>9061</v>
      </c>
      <c r="J90" s="9" t="s">
        <v>9062</v>
      </c>
      <c r="K90" s="9" t="s">
        <v>9063</v>
      </c>
      <c r="L90" s="9">
        <v>1537600</v>
      </c>
      <c r="M90" s="9">
        <v>1922000</v>
      </c>
      <c r="N90" s="9" t="s">
        <v>9064</v>
      </c>
      <c r="O90" s="10">
        <v>45655</v>
      </c>
      <c r="P90" s="9" t="s">
        <v>9065</v>
      </c>
      <c r="Q90" s="9" t="s">
        <v>9066</v>
      </c>
      <c r="R90" s="9" t="s">
        <v>47</v>
      </c>
      <c r="S90" s="9" t="s">
        <v>48</v>
      </c>
      <c r="T90" s="9" t="s">
        <v>9067</v>
      </c>
      <c r="U90" s="9" t="s">
        <v>98</v>
      </c>
      <c r="V90" s="10">
        <v>44085</v>
      </c>
      <c r="W90" s="9" t="s">
        <v>8114</v>
      </c>
      <c r="X90" s="9" t="s">
        <v>8115</v>
      </c>
      <c r="Y90" s="9" t="s">
        <v>9068</v>
      </c>
      <c r="Z90" s="9">
        <v>5</v>
      </c>
      <c r="AA90" s="9" t="s">
        <v>227</v>
      </c>
      <c r="AB90" s="9" t="s">
        <v>9069</v>
      </c>
      <c r="AC90" s="9" t="s">
        <v>1029</v>
      </c>
      <c r="AD90" s="9" t="s">
        <v>58</v>
      </c>
      <c r="AE90" s="9">
        <v>1537600</v>
      </c>
      <c r="AF90" s="11">
        <v>30752</v>
      </c>
      <c r="AG90" s="9"/>
      <c r="AH90" s="9"/>
      <c r="AI90" s="9"/>
      <c r="AJ90" s="9" t="s">
        <v>12091</v>
      </c>
      <c r="AK90" s="11">
        <v>30752</v>
      </c>
      <c r="AL90" s="12"/>
      <c r="AM90" s="14">
        <f t="shared" si="1"/>
        <v>0</v>
      </c>
      <c r="AN90" s="12" t="s">
        <v>12004</v>
      </c>
    </row>
    <row r="91" spans="1:40" x14ac:dyDescent="0.25">
      <c r="A91" s="12">
        <v>755</v>
      </c>
      <c r="B91" s="18" t="s">
        <v>8030</v>
      </c>
      <c r="C91" s="12" t="s">
        <v>9070</v>
      </c>
      <c r="D91" s="12" t="s">
        <v>37</v>
      </c>
      <c r="E91" s="12" t="s">
        <v>9071</v>
      </c>
      <c r="F91" s="12" t="s">
        <v>89</v>
      </c>
      <c r="G91" s="12" t="s">
        <v>9072</v>
      </c>
      <c r="H91" s="12" t="s">
        <v>9073</v>
      </c>
      <c r="I91" s="12" t="s">
        <v>48</v>
      </c>
      <c r="J91" s="12" t="s">
        <v>141</v>
      </c>
      <c r="K91" s="12" t="s">
        <v>9074</v>
      </c>
      <c r="L91" s="12">
        <v>1216800</v>
      </c>
      <c r="M91" s="12">
        <v>1521000</v>
      </c>
      <c r="N91" s="12" t="s">
        <v>9075</v>
      </c>
      <c r="O91" s="16">
        <v>45655</v>
      </c>
      <c r="P91" s="12" t="s">
        <v>9076</v>
      </c>
      <c r="Q91" s="12" t="s">
        <v>9077</v>
      </c>
      <c r="R91" s="12" t="s">
        <v>47</v>
      </c>
      <c r="S91" s="12" t="s">
        <v>48</v>
      </c>
      <c r="T91" s="12" t="s">
        <v>613</v>
      </c>
      <c r="U91" s="12" t="s">
        <v>50</v>
      </c>
      <c r="V91" s="16">
        <v>44561</v>
      </c>
      <c r="W91" s="12" t="s">
        <v>8102</v>
      </c>
      <c r="X91" s="12" t="s">
        <v>8103</v>
      </c>
      <c r="Y91" s="12" t="s">
        <v>9078</v>
      </c>
      <c r="Z91" s="12">
        <v>5</v>
      </c>
      <c r="AA91" s="12" t="s">
        <v>55</v>
      </c>
      <c r="AB91" s="12" t="s">
        <v>9079</v>
      </c>
      <c r="AC91" s="12" t="s">
        <v>8106</v>
      </c>
      <c r="AD91" s="12" t="s">
        <v>58</v>
      </c>
      <c r="AE91" s="12">
        <v>1292850</v>
      </c>
      <c r="AF91" s="13">
        <v>25857</v>
      </c>
      <c r="AG91" s="12"/>
      <c r="AH91" s="12"/>
      <c r="AI91" s="12"/>
      <c r="AJ91" s="12" t="s">
        <v>12092</v>
      </c>
      <c r="AK91" s="11">
        <v>25857</v>
      </c>
      <c r="AL91" s="12"/>
      <c r="AM91" s="14">
        <f t="shared" si="1"/>
        <v>0</v>
      </c>
      <c r="AN91" s="12" t="s">
        <v>12004</v>
      </c>
    </row>
    <row r="92" spans="1:40" x14ac:dyDescent="0.25">
      <c r="A92" s="9">
        <v>756</v>
      </c>
      <c r="B92" s="18" t="s">
        <v>8030</v>
      </c>
      <c r="C92" s="9" t="s">
        <v>9080</v>
      </c>
      <c r="D92" s="9" t="s">
        <v>37</v>
      </c>
      <c r="E92" s="9" t="s">
        <v>9081</v>
      </c>
      <c r="F92" s="9" t="s">
        <v>138</v>
      </c>
      <c r="G92" s="9" t="s">
        <v>9082</v>
      </c>
      <c r="H92" s="9" t="s">
        <v>9083</v>
      </c>
      <c r="I92" s="9" t="s">
        <v>9083</v>
      </c>
      <c r="J92" s="9" t="s">
        <v>141</v>
      </c>
      <c r="K92" s="9" t="s">
        <v>9084</v>
      </c>
      <c r="L92" s="9">
        <v>1176000</v>
      </c>
      <c r="M92" s="9">
        <v>2800000</v>
      </c>
      <c r="N92" s="9" t="s">
        <v>9085</v>
      </c>
      <c r="O92" s="10">
        <v>45655</v>
      </c>
      <c r="P92" s="9" t="s">
        <v>9086</v>
      </c>
      <c r="Q92" s="9" t="s">
        <v>9087</v>
      </c>
      <c r="R92" s="9" t="s">
        <v>146</v>
      </c>
      <c r="S92" s="9" t="s">
        <v>9088</v>
      </c>
      <c r="T92" s="9" t="s">
        <v>2357</v>
      </c>
      <c r="U92" s="9" t="s">
        <v>98</v>
      </c>
      <c r="V92" s="10">
        <v>44560</v>
      </c>
      <c r="W92" s="9" t="s">
        <v>8102</v>
      </c>
      <c r="X92" s="9" t="s">
        <v>8103</v>
      </c>
      <c r="Y92" s="9" t="s">
        <v>9089</v>
      </c>
      <c r="Z92" s="9">
        <v>5</v>
      </c>
      <c r="AA92" s="9" t="s">
        <v>118</v>
      </c>
      <c r="AB92" s="9" t="s">
        <v>9090</v>
      </c>
      <c r="AC92" s="9" t="s">
        <v>8563</v>
      </c>
      <c r="AD92" s="9" t="s">
        <v>299</v>
      </c>
      <c r="AE92" s="9">
        <v>2380000</v>
      </c>
      <c r="AF92" s="11">
        <v>35700</v>
      </c>
      <c r="AG92" s="9"/>
      <c r="AH92" s="9"/>
      <c r="AI92" s="9"/>
      <c r="AJ92" s="9" t="s">
        <v>12093</v>
      </c>
      <c r="AK92" s="11">
        <v>35700</v>
      </c>
      <c r="AL92" s="12"/>
      <c r="AM92" s="14">
        <f t="shared" si="1"/>
        <v>0</v>
      </c>
      <c r="AN92" s="12" t="s">
        <v>12004</v>
      </c>
    </row>
    <row r="93" spans="1:40" x14ac:dyDescent="0.25">
      <c r="A93" s="12">
        <v>757</v>
      </c>
      <c r="B93" s="18" t="s">
        <v>8030</v>
      </c>
      <c r="C93" s="12" t="s">
        <v>9091</v>
      </c>
      <c r="D93" s="12" t="s">
        <v>37</v>
      </c>
      <c r="E93" s="12" t="s">
        <v>9092</v>
      </c>
      <c r="F93" s="12" t="s">
        <v>107</v>
      </c>
      <c r="G93" s="12" t="s">
        <v>9093</v>
      </c>
      <c r="H93" s="12" t="s">
        <v>9094</v>
      </c>
      <c r="I93" s="12" t="s">
        <v>9094</v>
      </c>
      <c r="J93" s="12" t="s">
        <v>9095</v>
      </c>
      <c r="K93" s="12" t="s">
        <v>9096</v>
      </c>
      <c r="L93" s="12">
        <v>1120000</v>
      </c>
      <c r="M93" s="12">
        <v>1400000</v>
      </c>
      <c r="N93" s="12" t="s">
        <v>9097</v>
      </c>
      <c r="O93" s="16">
        <v>45655</v>
      </c>
      <c r="P93" s="12" t="s">
        <v>9098</v>
      </c>
      <c r="Q93" s="12" t="s">
        <v>9099</v>
      </c>
      <c r="R93" s="12" t="s">
        <v>146</v>
      </c>
      <c r="S93" s="12" t="s">
        <v>9100</v>
      </c>
      <c r="T93" s="12" t="s">
        <v>321</v>
      </c>
      <c r="U93" s="12" t="s">
        <v>651</v>
      </c>
      <c r="V93" s="16">
        <v>44567</v>
      </c>
      <c r="W93" s="12" t="s">
        <v>2981</v>
      </c>
      <c r="X93" s="12" t="s">
        <v>2982</v>
      </c>
      <c r="Y93" s="12" t="s">
        <v>9101</v>
      </c>
      <c r="Z93" s="12">
        <v>5</v>
      </c>
      <c r="AA93" s="12" t="s">
        <v>55</v>
      </c>
      <c r="AB93" s="12" t="s">
        <v>9102</v>
      </c>
      <c r="AC93" s="12" t="s">
        <v>8106</v>
      </c>
      <c r="AD93" s="12" t="s">
        <v>299</v>
      </c>
      <c r="AE93" s="12">
        <v>1190000</v>
      </c>
      <c r="AF93" s="13">
        <v>17850</v>
      </c>
      <c r="AG93" s="12"/>
      <c r="AH93" s="12"/>
      <c r="AI93" s="12"/>
      <c r="AJ93" s="12" t="s">
        <v>12094</v>
      </c>
      <c r="AK93" s="11">
        <v>17850</v>
      </c>
      <c r="AL93" s="12"/>
      <c r="AM93" s="14">
        <f t="shared" si="1"/>
        <v>0</v>
      </c>
      <c r="AN93" s="12" t="s">
        <v>12004</v>
      </c>
    </row>
    <row r="94" spans="1:40" x14ac:dyDescent="0.25">
      <c r="A94" s="9">
        <v>758</v>
      </c>
      <c r="B94" s="18" t="s">
        <v>8030</v>
      </c>
      <c r="C94" s="9" t="s">
        <v>9103</v>
      </c>
      <c r="D94" s="9" t="s">
        <v>37</v>
      </c>
      <c r="E94" s="9" t="s">
        <v>9104</v>
      </c>
      <c r="F94" s="9" t="s">
        <v>107</v>
      </c>
      <c r="G94" s="9" t="s">
        <v>9105</v>
      </c>
      <c r="H94" s="9" t="s">
        <v>9106</v>
      </c>
      <c r="I94" s="9" t="s">
        <v>9107</v>
      </c>
      <c r="J94" s="9" t="s">
        <v>9108</v>
      </c>
      <c r="K94" s="9" t="s">
        <v>9109</v>
      </c>
      <c r="L94" s="9">
        <v>1259750</v>
      </c>
      <c r="M94" s="9">
        <v>2519500</v>
      </c>
      <c r="N94" s="9" t="s">
        <v>9110</v>
      </c>
      <c r="O94" s="10">
        <v>45655</v>
      </c>
      <c r="P94" s="9" t="s">
        <v>9111</v>
      </c>
      <c r="Q94" s="9" t="s">
        <v>9112</v>
      </c>
      <c r="R94" s="9" t="s">
        <v>47</v>
      </c>
      <c r="S94" s="9" t="s">
        <v>48</v>
      </c>
      <c r="T94" s="9" t="s">
        <v>9113</v>
      </c>
      <c r="U94" s="9" t="s">
        <v>98</v>
      </c>
      <c r="V94" s="10">
        <v>44120</v>
      </c>
      <c r="W94" s="9" t="s">
        <v>8114</v>
      </c>
      <c r="X94" s="9" t="s">
        <v>8115</v>
      </c>
      <c r="Y94" s="9" t="s">
        <v>9114</v>
      </c>
      <c r="Z94" s="9">
        <v>5</v>
      </c>
      <c r="AA94" s="9" t="s">
        <v>55</v>
      </c>
      <c r="AB94" s="9" t="s">
        <v>9115</v>
      </c>
      <c r="AC94" s="9" t="s">
        <v>9056</v>
      </c>
      <c r="AD94" s="9" t="s">
        <v>58</v>
      </c>
      <c r="AE94" s="9">
        <v>2015600</v>
      </c>
      <c r="AF94" s="11">
        <v>40312</v>
      </c>
      <c r="AG94" s="9"/>
      <c r="AH94" s="9"/>
      <c r="AI94" s="9"/>
      <c r="AJ94" s="9" t="s">
        <v>12095</v>
      </c>
      <c r="AK94" s="11">
        <v>40312</v>
      </c>
      <c r="AL94" s="12"/>
      <c r="AM94" s="14">
        <f t="shared" si="1"/>
        <v>0</v>
      </c>
      <c r="AN94" s="12" t="s">
        <v>12004</v>
      </c>
    </row>
    <row r="95" spans="1:40" x14ac:dyDescent="0.25">
      <c r="A95" s="12">
        <v>759</v>
      </c>
      <c r="B95" s="18" t="s">
        <v>8030</v>
      </c>
      <c r="C95" s="12" t="s">
        <v>9116</v>
      </c>
      <c r="D95" s="12" t="s">
        <v>37</v>
      </c>
      <c r="E95" s="12" t="s">
        <v>9117</v>
      </c>
      <c r="F95" s="12" t="s">
        <v>138</v>
      </c>
      <c r="G95" s="12" t="s">
        <v>9118</v>
      </c>
      <c r="H95" s="12" t="s">
        <v>9119</v>
      </c>
      <c r="I95" s="12" t="s">
        <v>9119</v>
      </c>
      <c r="J95" s="12" t="s">
        <v>141</v>
      </c>
      <c r="K95" s="12" t="s">
        <v>9120</v>
      </c>
      <c r="L95" s="12">
        <v>938000</v>
      </c>
      <c r="M95" s="12">
        <v>1340000</v>
      </c>
      <c r="N95" s="12" t="s">
        <v>9121</v>
      </c>
      <c r="O95" s="16">
        <v>45655</v>
      </c>
      <c r="P95" s="12" t="s">
        <v>9122</v>
      </c>
      <c r="Q95" s="12" t="s">
        <v>9123</v>
      </c>
      <c r="R95" s="12" t="s">
        <v>146</v>
      </c>
      <c r="S95" s="12" t="s">
        <v>9124</v>
      </c>
      <c r="T95" s="12" t="s">
        <v>859</v>
      </c>
      <c r="U95" s="12" t="s">
        <v>335</v>
      </c>
      <c r="V95" s="16">
        <v>44561</v>
      </c>
      <c r="W95" s="12" t="s">
        <v>8102</v>
      </c>
      <c r="X95" s="12" t="s">
        <v>8455</v>
      </c>
      <c r="Y95" s="12" t="s">
        <v>9125</v>
      </c>
      <c r="Z95" s="12">
        <v>7</v>
      </c>
      <c r="AA95" s="12" t="s">
        <v>118</v>
      </c>
      <c r="AB95" s="12" t="s">
        <v>9126</v>
      </c>
      <c r="AC95" s="12" t="s">
        <v>8563</v>
      </c>
      <c r="AD95" s="12" t="s">
        <v>299</v>
      </c>
      <c r="AE95" s="12">
        <v>1139000</v>
      </c>
      <c r="AF95" s="13">
        <v>17085</v>
      </c>
      <c r="AG95" s="12"/>
      <c r="AH95" s="12"/>
      <c r="AI95" s="12"/>
      <c r="AJ95" s="12" t="s">
        <v>12096</v>
      </c>
      <c r="AK95" s="11">
        <v>17085</v>
      </c>
      <c r="AL95" s="12"/>
      <c r="AM95" s="14">
        <f t="shared" si="1"/>
        <v>0</v>
      </c>
      <c r="AN95" s="12" t="s">
        <v>12004</v>
      </c>
    </row>
    <row r="96" spans="1:40" x14ac:dyDescent="0.25">
      <c r="A96" s="9">
        <v>760</v>
      </c>
      <c r="B96" s="18" t="s">
        <v>8030</v>
      </c>
      <c r="C96" s="9" t="s">
        <v>9127</v>
      </c>
      <c r="D96" s="9" t="s">
        <v>37</v>
      </c>
      <c r="E96" s="9" t="s">
        <v>9128</v>
      </c>
      <c r="F96" s="9" t="s">
        <v>107</v>
      </c>
      <c r="G96" s="9" t="s">
        <v>9129</v>
      </c>
      <c r="H96" s="9" t="s">
        <v>9130</v>
      </c>
      <c r="I96" s="9" t="s">
        <v>9130</v>
      </c>
      <c r="J96" s="9" t="s">
        <v>9130</v>
      </c>
      <c r="K96" s="9" t="s">
        <v>9131</v>
      </c>
      <c r="L96" s="9">
        <v>859600</v>
      </c>
      <c r="M96" s="9">
        <v>2149000</v>
      </c>
      <c r="N96" s="9" t="s">
        <v>9132</v>
      </c>
      <c r="O96" s="10">
        <v>45655</v>
      </c>
      <c r="P96" s="9" t="s">
        <v>9133</v>
      </c>
      <c r="Q96" s="9" t="s">
        <v>9134</v>
      </c>
      <c r="R96" s="9" t="s">
        <v>146</v>
      </c>
      <c r="S96" s="9" t="s">
        <v>9135</v>
      </c>
      <c r="T96" s="9" t="s">
        <v>9136</v>
      </c>
      <c r="U96" s="9" t="s">
        <v>651</v>
      </c>
      <c r="V96" s="10">
        <v>44561</v>
      </c>
      <c r="W96" s="9" t="s">
        <v>8102</v>
      </c>
      <c r="X96" s="9" t="s">
        <v>8103</v>
      </c>
      <c r="Y96" s="9" t="s">
        <v>9137</v>
      </c>
      <c r="Z96" s="9">
        <v>5</v>
      </c>
      <c r="AA96" s="9" t="s">
        <v>55</v>
      </c>
      <c r="AB96" s="9" t="s">
        <v>9138</v>
      </c>
      <c r="AC96" s="9" t="s">
        <v>8106</v>
      </c>
      <c r="AD96" s="9" t="s">
        <v>299</v>
      </c>
      <c r="AE96" s="9">
        <v>1826650</v>
      </c>
      <c r="AF96" s="11">
        <v>27400</v>
      </c>
      <c r="AG96" s="9"/>
      <c r="AH96" s="9"/>
      <c r="AI96" s="9"/>
      <c r="AJ96" s="9" t="s">
        <v>12097</v>
      </c>
      <c r="AK96" s="11">
        <v>27400</v>
      </c>
      <c r="AL96" s="12"/>
      <c r="AM96" s="14">
        <f t="shared" si="1"/>
        <v>0</v>
      </c>
      <c r="AN96" s="12" t="s">
        <v>12004</v>
      </c>
    </row>
    <row r="97" spans="1:40" x14ac:dyDescent="0.25">
      <c r="A97" s="12">
        <v>761</v>
      </c>
      <c r="B97" s="18" t="s">
        <v>8030</v>
      </c>
      <c r="C97" s="12" t="s">
        <v>9139</v>
      </c>
      <c r="D97" s="12" t="s">
        <v>37</v>
      </c>
      <c r="E97" s="12" t="s">
        <v>9140</v>
      </c>
      <c r="F97" s="12" t="s">
        <v>138</v>
      </c>
      <c r="G97" s="12" t="s">
        <v>9141</v>
      </c>
      <c r="H97" s="12" t="s">
        <v>9142</v>
      </c>
      <c r="I97" s="12" t="s">
        <v>9143</v>
      </c>
      <c r="J97" s="12" t="s">
        <v>9144</v>
      </c>
      <c r="K97" s="12" t="s">
        <v>9145</v>
      </c>
      <c r="L97" s="12">
        <v>1312000</v>
      </c>
      <c r="M97" s="12">
        <v>2050000</v>
      </c>
      <c r="N97" s="12" t="s">
        <v>9146</v>
      </c>
      <c r="O97" s="16">
        <v>45655</v>
      </c>
      <c r="P97" s="12" t="s">
        <v>9147</v>
      </c>
      <c r="Q97" s="12" t="s">
        <v>9148</v>
      </c>
      <c r="R97" s="12" t="s">
        <v>47</v>
      </c>
      <c r="S97" s="12" t="s">
        <v>48</v>
      </c>
      <c r="T97" s="12" t="s">
        <v>9149</v>
      </c>
      <c r="U97" s="12" t="s">
        <v>614</v>
      </c>
      <c r="V97" s="16">
        <v>43829</v>
      </c>
      <c r="W97" s="12" t="s">
        <v>8088</v>
      </c>
      <c r="X97" s="12" t="s">
        <v>7530</v>
      </c>
      <c r="Y97" s="12" t="s">
        <v>9150</v>
      </c>
      <c r="Z97" s="12">
        <v>5</v>
      </c>
      <c r="AA97" s="12" t="s">
        <v>227</v>
      </c>
      <c r="AB97" s="12" t="s">
        <v>9151</v>
      </c>
      <c r="AC97" s="12" t="s">
        <v>9152</v>
      </c>
      <c r="AD97" s="12" t="s">
        <v>171</v>
      </c>
      <c r="AE97" s="12">
        <v>1537500</v>
      </c>
      <c r="AF97" s="13">
        <v>38438</v>
      </c>
      <c r="AG97" s="12"/>
      <c r="AH97" s="12"/>
      <c r="AI97" s="12"/>
      <c r="AJ97" s="12" t="s">
        <v>12098</v>
      </c>
      <c r="AK97" s="11">
        <v>38438</v>
      </c>
      <c r="AL97" s="12"/>
      <c r="AM97" s="14">
        <f t="shared" si="1"/>
        <v>0</v>
      </c>
      <c r="AN97" s="12" t="s">
        <v>12004</v>
      </c>
    </row>
    <row r="98" spans="1:40" x14ac:dyDescent="0.25">
      <c r="A98" s="9">
        <v>762</v>
      </c>
      <c r="B98" s="18" t="s">
        <v>8030</v>
      </c>
      <c r="C98" s="9" t="s">
        <v>9153</v>
      </c>
      <c r="D98" s="9" t="s">
        <v>37</v>
      </c>
      <c r="E98" s="9" t="s">
        <v>9154</v>
      </c>
      <c r="F98" s="9" t="s">
        <v>525</v>
      </c>
      <c r="G98" s="9" t="s">
        <v>9155</v>
      </c>
      <c r="H98" s="9" t="s">
        <v>9156</v>
      </c>
      <c r="I98" s="9" t="s">
        <v>9156</v>
      </c>
      <c r="J98" s="9" t="s">
        <v>9157</v>
      </c>
      <c r="K98" s="9" t="s">
        <v>9158</v>
      </c>
      <c r="L98" s="9">
        <v>981000</v>
      </c>
      <c r="M98" s="9">
        <v>1308000</v>
      </c>
      <c r="N98" s="9" t="s">
        <v>9159</v>
      </c>
      <c r="O98" s="10">
        <v>45655</v>
      </c>
      <c r="P98" s="9" t="s">
        <v>9160</v>
      </c>
      <c r="Q98" s="9" t="s">
        <v>9161</v>
      </c>
      <c r="R98" s="9" t="s">
        <v>47</v>
      </c>
      <c r="S98" s="9" t="s">
        <v>48</v>
      </c>
      <c r="T98" s="9" t="s">
        <v>673</v>
      </c>
      <c r="U98" s="9" t="s">
        <v>614</v>
      </c>
      <c r="V98" s="10">
        <v>43829</v>
      </c>
      <c r="W98" s="9" t="s">
        <v>8088</v>
      </c>
      <c r="X98" s="9" t="s">
        <v>8103</v>
      </c>
      <c r="Y98" s="9" t="s">
        <v>9162</v>
      </c>
      <c r="Z98" s="9">
        <v>7</v>
      </c>
      <c r="AA98" s="9" t="s">
        <v>55</v>
      </c>
      <c r="AB98" s="9" t="s">
        <v>9163</v>
      </c>
      <c r="AC98" s="9" t="s">
        <v>9152</v>
      </c>
      <c r="AD98" s="9" t="s">
        <v>171</v>
      </c>
      <c r="AE98" s="9">
        <v>981000</v>
      </c>
      <c r="AF98" s="11">
        <v>24525</v>
      </c>
      <c r="AG98" s="9"/>
      <c r="AH98" s="9"/>
      <c r="AI98" s="9"/>
      <c r="AJ98" s="9" t="s">
        <v>12099</v>
      </c>
      <c r="AK98" s="11">
        <v>24525</v>
      </c>
      <c r="AL98" s="12"/>
      <c r="AM98" s="14">
        <f t="shared" si="1"/>
        <v>0</v>
      </c>
      <c r="AN98" s="12" t="s">
        <v>12004</v>
      </c>
    </row>
    <row r="99" spans="1:40" x14ac:dyDescent="0.25">
      <c r="A99" s="12">
        <v>763</v>
      </c>
      <c r="B99" s="18" t="s">
        <v>8030</v>
      </c>
      <c r="C99" s="12" t="s">
        <v>9164</v>
      </c>
      <c r="D99" s="12" t="s">
        <v>37</v>
      </c>
      <c r="E99" s="12" t="s">
        <v>9165</v>
      </c>
      <c r="F99" s="12" t="s">
        <v>39</v>
      </c>
      <c r="G99" s="12" t="s">
        <v>9166</v>
      </c>
      <c r="H99" s="12" t="s">
        <v>9167</v>
      </c>
      <c r="I99" s="12" t="s">
        <v>9167</v>
      </c>
      <c r="J99" s="12" t="s">
        <v>9168</v>
      </c>
      <c r="K99" s="12" t="s">
        <v>9169</v>
      </c>
      <c r="L99" s="12">
        <v>875000</v>
      </c>
      <c r="M99" s="12">
        <v>1250000</v>
      </c>
      <c r="N99" s="12" t="s">
        <v>9170</v>
      </c>
      <c r="O99" s="16">
        <v>45655</v>
      </c>
      <c r="P99" s="12" t="s">
        <v>9171</v>
      </c>
      <c r="Q99" s="12" t="s">
        <v>9172</v>
      </c>
      <c r="R99" s="12" t="s">
        <v>146</v>
      </c>
      <c r="S99" s="12" t="s">
        <v>9173</v>
      </c>
      <c r="T99" s="12" t="s">
        <v>3356</v>
      </c>
      <c r="U99" s="12" t="s">
        <v>651</v>
      </c>
      <c r="V99" s="16">
        <v>43830</v>
      </c>
      <c r="W99" s="12" t="s">
        <v>8088</v>
      </c>
      <c r="X99" s="12" t="s">
        <v>8103</v>
      </c>
      <c r="Y99" s="12" t="s">
        <v>9174</v>
      </c>
      <c r="Z99" s="12">
        <v>7</v>
      </c>
      <c r="AA99" s="12" t="s">
        <v>227</v>
      </c>
      <c r="AB99" s="12" t="s">
        <v>9175</v>
      </c>
      <c r="AC99" s="12" t="s">
        <v>9152</v>
      </c>
      <c r="AD99" s="12" t="s">
        <v>171</v>
      </c>
      <c r="AE99" s="12">
        <v>937500</v>
      </c>
      <c r="AF99" s="13">
        <v>23438</v>
      </c>
      <c r="AG99" s="12"/>
      <c r="AH99" s="12"/>
      <c r="AI99" s="12"/>
      <c r="AJ99" s="12" t="s">
        <v>12100</v>
      </c>
      <c r="AK99" s="11">
        <v>23438</v>
      </c>
      <c r="AL99" s="12"/>
      <c r="AM99" s="14">
        <f t="shared" si="1"/>
        <v>0</v>
      </c>
      <c r="AN99" s="12" t="s">
        <v>12004</v>
      </c>
    </row>
    <row r="100" spans="1:40" x14ac:dyDescent="0.25">
      <c r="A100" s="9">
        <v>764</v>
      </c>
      <c r="B100" s="18" t="s">
        <v>8030</v>
      </c>
      <c r="C100" s="9" t="s">
        <v>9176</v>
      </c>
      <c r="D100" s="9" t="s">
        <v>37</v>
      </c>
      <c r="E100" s="9" t="s">
        <v>9177</v>
      </c>
      <c r="F100" s="9" t="s">
        <v>245</v>
      </c>
      <c r="G100" s="9" t="s">
        <v>9178</v>
      </c>
      <c r="H100" s="9" t="s">
        <v>9179</v>
      </c>
      <c r="I100" s="9" t="s">
        <v>48</v>
      </c>
      <c r="J100" s="9" t="s">
        <v>9180</v>
      </c>
      <c r="K100" s="9" t="s">
        <v>9181</v>
      </c>
      <c r="L100" s="9">
        <v>712000</v>
      </c>
      <c r="M100" s="9">
        <v>890000</v>
      </c>
      <c r="N100" s="9" t="s">
        <v>9182</v>
      </c>
      <c r="O100" s="10">
        <v>45655</v>
      </c>
      <c r="P100" s="9" t="s">
        <v>9183</v>
      </c>
      <c r="Q100" s="9" t="s">
        <v>9184</v>
      </c>
      <c r="R100" s="9" t="s">
        <v>146</v>
      </c>
      <c r="S100" s="9" t="s">
        <v>9185</v>
      </c>
      <c r="T100" s="9" t="s">
        <v>2670</v>
      </c>
      <c r="U100" s="9" t="s">
        <v>496</v>
      </c>
      <c r="V100" s="10">
        <v>44561</v>
      </c>
      <c r="W100" s="9" t="s">
        <v>8102</v>
      </c>
      <c r="X100" s="9" t="s">
        <v>8103</v>
      </c>
      <c r="Y100" s="9" t="s">
        <v>9186</v>
      </c>
      <c r="Z100" s="9">
        <v>5</v>
      </c>
      <c r="AA100" s="9" t="s">
        <v>55</v>
      </c>
      <c r="AB100" s="9" t="s">
        <v>9187</v>
      </c>
      <c r="AC100" s="9" t="s">
        <v>8106</v>
      </c>
      <c r="AD100" s="9" t="s">
        <v>299</v>
      </c>
      <c r="AE100" s="9">
        <v>756500</v>
      </c>
      <c r="AF100" s="11">
        <v>11348</v>
      </c>
      <c r="AG100" s="9"/>
      <c r="AH100" s="9"/>
      <c r="AI100" s="9"/>
      <c r="AJ100" s="9" t="s">
        <v>12101</v>
      </c>
      <c r="AK100" s="11">
        <v>11348</v>
      </c>
      <c r="AL100" s="12"/>
      <c r="AM100" s="14">
        <f t="shared" si="1"/>
        <v>0</v>
      </c>
      <c r="AN100" s="12" t="s">
        <v>12004</v>
      </c>
    </row>
    <row r="101" spans="1:40" x14ac:dyDescent="0.25">
      <c r="A101" s="12">
        <v>765</v>
      </c>
      <c r="B101" s="18" t="s">
        <v>8030</v>
      </c>
      <c r="C101" s="12" t="s">
        <v>9188</v>
      </c>
      <c r="D101" s="12" t="s">
        <v>37</v>
      </c>
      <c r="E101" s="12" t="s">
        <v>9189</v>
      </c>
      <c r="F101" s="12" t="s">
        <v>89</v>
      </c>
      <c r="G101" s="12" t="s">
        <v>9190</v>
      </c>
      <c r="H101" s="12" t="s">
        <v>9191</v>
      </c>
      <c r="I101" s="12" t="s">
        <v>48</v>
      </c>
      <c r="J101" s="12" t="s">
        <v>9192</v>
      </c>
      <c r="K101" s="12" t="s">
        <v>9193</v>
      </c>
      <c r="L101" s="12">
        <v>652500</v>
      </c>
      <c r="M101" s="12">
        <v>870000</v>
      </c>
      <c r="N101" s="12" t="s">
        <v>9194</v>
      </c>
      <c r="O101" s="16">
        <v>45655</v>
      </c>
      <c r="P101" s="12" t="s">
        <v>9195</v>
      </c>
      <c r="Q101" s="12" t="s">
        <v>9196</v>
      </c>
      <c r="R101" s="12" t="s">
        <v>146</v>
      </c>
      <c r="S101" s="12" t="s">
        <v>9197</v>
      </c>
      <c r="T101" s="12" t="s">
        <v>9198</v>
      </c>
      <c r="U101" s="12" t="s">
        <v>335</v>
      </c>
      <c r="V101" s="16">
        <v>44196</v>
      </c>
      <c r="W101" s="12" t="s">
        <v>8114</v>
      </c>
      <c r="X101" s="12" t="s">
        <v>7530</v>
      </c>
      <c r="Y101" s="12" t="s">
        <v>9199</v>
      </c>
      <c r="Z101" s="12">
        <v>4</v>
      </c>
      <c r="AA101" s="12" t="s">
        <v>227</v>
      </c>
      <c r="AB101" s="12" t="s">
        <v>9200</v>
      </c>
      <c r="AC101" s="12" t="s">
        <v>9056</v>
      </c>
      <c r="AD101" s="12" t="s">
        <v>58</v>
      </c>
      <c r="AE101" s="12">
        <v>696000</v>
      </c>
      <c r="AF101" s="13">
        <v>13920</v>
      </c>
      <c r="AG101" s="12"/>
      <c r="AH101" s="12"/>
      <c r="AI101" s="12"/>
      <c r="AJ101" s="12" t="s">
        <v>12102</v>
      </c>
      <c r="AK101" s="11">
        <v>13920</v>
      </c>
      <c r="AL101" s="12"/>
      <c r="AM101" s="14">
        <f t="shared" si="1"/>
        <v>0</v>
      </c>
      <c r="AN101" s="12" t="s">
        <v>12004</v>
      </c>
    </row>
    <row r="102" spans="1:40" x14ac:dyDescent="0.25">
      <c r="A102" s="9">
        <v>766</v>
      </c>
      <c r="B102" s="18" t="s">
        <v>8030</v>
      </c>
      <c r="C102" s="9" t="s">
        <v>9201</v>
      </c>
      <c r="D102" s="9" t="s">
        <v>37</v>
      </c>
      <c r="E102" s="9" t="s">
        <v>9202</v>
      </c>
      <c r="F102" s="9" t="s">
        <v>4022</v>
      </c>
      <c r="G102" s="9" t="s">
        <v>9203</v>
      </c>
      <c r="H102" s="9" t="s">
        <v>9204</v>
      </c>
      <c r="I102" s="9" t="s">
        <v>9204</v>
      </c>
      <c r="J102" s="9" t="s">
        <v>9205</v>
      </c>
      <c r="K102" s="9" t="s">
        <v>9206</v>
      </c>
      <c r="L102" s="9">
        <v>1555500</v>
      </c>
      <c r="M102" s="9">
        <v>2074000</v>
      </c>
      <c r="N102" s="9" t="s">
        <v>9207</v>
      </c>
      <c r="O102" s="10">
        <v>45654</v>
      </c>
      <c r="P102" s="9" t="s">
        <v>9208</v>
      </c>
      <c r="Q102" s="9" t="s">
        <v>9209</v>
      </c>
      <c r="R102" s="9" t="s">
        <v>47</v>
      </c>
      <c r="S102" s="9" t="s">
        <v>48</v>
      </c>
      <c r="T102" s="9" t="s">
        <v>5028</v>
      </c>
      <c r="U102" s="9" t="s">
        <v>98</v>
      </c>
      <c r="V102" s="10">
        <v>44098</v>
      </c>
      <c r="W102" s="9" t="s">
        <v>8114</v>
      </c>
      <c r="X102" s="9" t="s">
        <v>8115</v>
      </c>
      <c r="Y102" s="9" t="s">
        <v>9210</v>
      </c>
      <c r="Z102" s="9">
        <v>5</v>
      </c>
      <c r="AA102" s="9" t="s">
        <v>55</v>
      </c>
      <c r="AB102" s="9" t="s">
        <v>9211</v>
      </c>
      <c r="AC102" s="9" t="s">
        <v>9212</v>
      </c>
      <c r="AD102" s="9" t="s">
        <v>58</v>
      </c>
      <c r="AE102" s="9">
        <v>1659200</v>
      </c>
      <c r="AF102" s="11">
        <v>33184</v>
      </c>
      <c r="AG102" s="9"/>
      <c r="AH102" s="9"/>
      <c r="AI102" s="9"/>
      <c r="AJ102" s="9" t="s">
        <v>12103</v>
      </c>
      <c r="AK102" s="11">
        <v>33184</v>
      </c>
      <c r="AL102" s="12"/>
      <c r="AM102" s="14">
        <f t="shared" si="1"/>
        <v>0</v>
      </c>
      <c r="AN102" s="12" t="s">
        <v>12004</v>
      </c>
    </row>
    <row r="103" spans="1:40" x14ac:dyDescent="0.25">
      <c r="A103" s="12">
        <v>767</v>
      </c>
      <c r="B103" s="18" t="s">
        <v>8030</v>
      </c>
      <c r="C103" s="12" t="s">
        <v>9213</v>
      </c>
      <c r="D103" s="12" t="s">
        <v>37</v>
      </c>
      <c r="E103" s="12" t="s">
        <v>9214</v>
      </c>
      <c r="F103" s="12" t="s">
        <v>138</v>
      </c>
      <c r="G103" s="12" t="s">
        <v>9215</v>
      </c>
      <c r="H103" s="12" t="s">
        <v>9216</v>
      </c>
      <c r="I103" s="12" t="s">
        <v>9216</v>
      </c>
      <c r="J103" s="12" t="s">
        <v>141</v>
      </c>
      <c r="K103" s="12" t="s">
        <v>9217</v>
      </c>
      <c r="L103" s="12">
        <v>1697500</v>
      </c>
      <c r="M103" s="12">
        <v>2425000</v>
      </c>
      <c r="N103" s="12" t="s">
        <v>9218</v>
      </c>
      <c r="O103" s="12" t="s">
        <v>9219</v>
      </c>
      <c r="P103" s="12" t="s">
        <v>9220</v>
      </c>
      <c r="Q103" s="12" t="s">
        <v>9221</v>
      </c>
      <c r="R103" s="12" t="s">
        <v>146</v>
      </c>
      <c r="S103" s="12" t="s">
        <v>9222</v>
      </c>
      <c r="T103" s="12" t="s">
        <v>1909</v>
      </c>
      <c r="U103" s="12" t="s">
        <v>614</v>
      </c>
      <c r="V103" s="16">
        <v>45290</v>
      </c>
      <c r="W103" s="12" t="s">
        <v>8767</v>
      </c>
      <c r="X103" s="12" t="s">
        <v>8455</v>
      </c>
      <c r="Y103" s="12" t="s">
        <v>9223</v>
      </c>
      <c r="Z103" s="12">
        <v>5</v>
      </c>
      <c r="AA103" s="12" t="s">
        <v>152</v>
      </c>
      <c r="AB103" s="12" t="s">
        <v>9224</v>
      </c>
      <c r="AC103" s="12" t="s">
        <v>9225</v>
      </c>
      <c r="AD103" s="12" t="s">
        <v>86</v>
      </c>
      <c r="AE103" s="12">
        <v>2182500</v>
      </c>
      <c r="AF103" s="13">
        <v>38194</v>
      </c>
      <c r="AG103" s="12"/>
      <c r="AH103" s="12"/>
      <c r="AI103" s="12"/>
      <c r="AJ103" s="12" t="s">
        <v>12104</v>
      </c>
      <c r="AK103" s="11">
        <v>38194</v>
      </c>
      <c r="AL103" s="12"/>
      <c r="AM103" s="14">
        <f t="shared" si="1"/>
        <v>0</v>
      </c>
      <c r="AN103" s="12" t="s">
        <v>12004</v>
      </c>
    </row>
    <row r="104" spans="1:40" x14ac:dyDescent="0.25">
      <c r="A104" s="9">
        <v>768</v>
      </c>
      <c r="B104" s="18" t="s">
        <v>8030</v>
      </c>
      <c r="C104" s="9" t="s">
        <v>9226</v>
      </c>
      <c r="D104" s="9" t="s">
        <v>37</v>
      </c>
      <c r="E104" s="9" t="s">
        <v>9227</v>
      </c>
      <c r="F104" s="9" t="s">
        <v>138</v>
      </c>
      <c r="G104" s="9" t="s">
        <v>9228</v>
      </c>
      <c r="H104" s="9" t="s">
        <v>48</v>
      </c>
      <c r="I104" s="9" t="s">
        <v>9229</v>
      </c>
      <c r="J104" s="9" t="s">
        <v>48</v>
      </c>
      <c r="K104" s="9" t="s">
        <v>9230</v>
      </c>
      <c r="L104" s="9">
        <v>2240000</v>
      </c>
      <c r="M104" s="9">
        <v>3200000</v>
      </c>
      <c r="N104" s="9" t="s">
        <v>9231</v>
      </c>
      <c r="O104" s="9" t="s">
        <v>9219</v>
      </c>
      <c r="P104" s="9" t="s">
        <v>9232</v>
      </c>
      <c r="Q104" s="9" t="s">
        <v>9233</v>
      </c>
      <c r="R104" s="9" t="s">
        <v>146</v>
      </c>
      <c r="S104" s="9" t="s">
        <v>9234</v>
      </c>
      <c r="T104" s="9" t="s">
        <v>3282</v>
      </c>
      <c r="U104" s="9" t="s">
        <v>50</v>
      </c>
      <c r="V104" s="10">
        <v>45290</v>
      </c>
      <c r="W104" s="9" t="s">
        <v>8767</v>
      </c>
      <c r="X104" s="9" t="s">
        <v>8103</v>
      </c>
      <c r="Y104" s="9" t="s">
        <v>9235</v>
      </c>
      <c r="Z104" s="9">
        <v>3</v>
      </c>
      <c r="AA104" s="9" t="s">
        <v>152</v>
      </c>
      <c r="AB104" s="9" t="s">
        <v>9236</v>
      </c>
      <c r="AC104" s="9" t="s">
        <v>8770</v>
      </c>
      <c r="AD104" s="9" t="s">
        <v>86</v>
      </c>
      <c r="AE104" s="9">
        <v>2880000</v>
      </c>
      <c r="AF104" s="11">
        <v>50400</v>
      </c>
      <c r="AG104" s="9"/>
      <c r="AH104" s="9"/>
      <c r="AI104" s="9"/>
      <c r="AJ104" s="9" t="s">
        <v>12105</v>
      </c>
      <c r="AK104" s="11">
        <v>50400</v>
      </c>
      <c r="AL104" s="12"/>
      <c r="AM104" s="14">
        <f t="shared" si="1"/>
        <v>0</v>
      </c>
      <c r="AN104" s="12" t="s">
        <v>12004</v>
      </c>
    </row>
    <row r="105" spans="1:40" x14ac:dyDescent="0.25">
      <c r="A105" s="12">
        <v>769</v>
      </c>
      <c r="B105" s="18" t="s">
        <v>8030</v>
      </c>
      <c r="C105" s="12" t="s">
        <v>9237</v>
      </c>
      <c r="D105" s="12" t="s">
        <v>37</v>
      </c>
      <c r="E105" s="12" t="s">
        <v>9238</v>
      </c>
      <c r="F105" s="12" t="s">
        <v>138</v>
      </c>
      <c r="G105" s="12" t="s">
        <v>9239</v>
      </c>
      <c r="H105" s="12" t="s">
        <v>9240</v>
      </c>
      <c r="I105" s="12" t="s">
        <v>9240</v>
      </c>
      <c r="J105" s="12" t="s">
        <v>9240</v>
      </c>
      <c r="K105" s="12" t="s">
        <v>9241</v>
      </c>
      <c r="L105" s="12">
        <v>1372000</v>
      </c>
      <c r="M105" s="12">
        <v>1960000</v>
      </c>
      <c r="N105" s="12" t="s">
        <v>9242</v>
      </c>
      <c r="O105" s="16">
        <v>45654</v>
      </c>
      <c r="P105" s="12" t="s">
        <v>9243</v>
      </c>
      <c r="Q105" s="12" t="s">
        <v>9244</v>
      </c>
      <c r="R105" s="12" t="s">
        <v>146</v>
      </c>
      <c r="S105" s="12" t="s">
        <v>9245</v>
      </c>
      <c r="T105" s="12" t="s">
        <v>2994</v>
      </c>
      <c r="U105" s="12" t="s">
        <v>98</v>
      </c>
      <c r="V105" s="16">
        <v>44560</v>
      </c>
      <c r="W105" s="12" t="s">
        <v>8102</v>
      </c>
      <c r="X105" s="12" t="s">
        <v>8103</v>
      </c>
      <c r="Y105" s="12" t="s">
        <v>9246</v>
      </c>
      <c r="Z105" s="12">
        <v>5</v>
      </c>
      <c r="AA105" s="12" t="s">
        <v>118</v>
      </c>
      <c r="AB105" s="12" t="s">
        <v>9247</v>
      </c>
      <c r="AC105" s="12" t="s">
        <v>9248</v>
      </c>
      <c r="AD105" s="12" t="s">
        <v>299</v>
      </c>
      <c r="AE105" s="12">
        <v>1666000</v>
      </c>
      <c r="AF105" s="13">
        <v>24990</v>
      </c>
      <c r="AG105" s="12"/>
      <c r="AH105" s="12"/>
      <c r="AI105" s="12"/>
      <c r="AJ105" s="12" t="s">
        <v>12106</v>
      </c>
      <c r="AK105" s="11">
        <v>24990</v>
      </c>
      <c r="AL105" s="12"/>
      <c r="AM105" s="14">
        <f t="shared" si="1"/>
        <v>0</v>
      </c>
      <c r="AN105" s="12" t="s">
        <v>12004</v>
      </c>
    </row>
    <row r="106" spans="1:40" x14ac:dyDescent="0.25">
      <c r="A106" s="9">
        <v>770</v>
      </c>
      <c r="B106" s="18" t="s">
        <v>8030</v>
      </c>
      <c r="C106" s="9" t="s">
        <v>9249</v>
      </c>
      <c r="D106" s="9" t="s">
        <v>37</v>
      </c>
      <c r="E106" s="9" t="s">
        <v>9250</v>
      </c>
      <c r="F106" s="9" t="s">
        <v>525</v>
      </c>
      <c r="G106" s="9" t="s">
        <v>9251</v>
      </c>
      <c r="H106" s="9" t="s">
        <v>9252</v>
      </c>
      <c r="I106" s="9" t="s">
        <v>9252</v>
      </c>
      <c r="J106" s="9" t="s">
        <v>9252</v>
      </c>
      <c r="K106" s="9" t="s">
        <v>9253</v>
      </c>
      <c r="L106" s="9">
        <v>1399300</v>
      </c>
      <c r="M106" s="9">
        <v>1999000</v>
      </c>
      <c r="N106" s="9" t="s">
        <v>9254</v>
      </c>
      <c r="O106" s="10">
        <v>45654</v>
      </c>
      <c r="P106" s="9" t="s">
        <v>9255</v>
      </c>
      <c r="Q106" s="9" t="s">
        <v>9256</v>
      </c>
      <c r="R106" s="9" t="s">
        <v>47</v>
      </c>
      <c r="S106" s="9" t="s">
        <v>48</v>
      </c>
      <c r="T106" s="9" t="s">
        <v>9257</v>
      </c>
      <c r="U106" s="9" t="s">
        <v>98</v>
      </c>
      <c r="V106" s="10">
        <v>44089</v>
      </c>
      <c r="W106" s="9" t="s">
        <v>8114</v>
      </c>
      <c r="X106" s="9" t="s">
        <v>8115</v>
      </c>
      <c r="Y106" s="9" t="s">
        <v>9258</v>
      </c>
      <c r="Z106" s="9">
        <v>5</v>
      </c>
      <c r="AA106" s="9" t="s">
        <v>227</v>
      </c>
      <c r="AB106" s="9" t="s">
        <v>9259</v>
      </c>
      <c r="AC106" s="9" t="s">
        <v>5505</v>
      </c>
      <c r="AD106" s="9" t="s">
        <v>58</v>
      </c>
      <c r="AE106" s="9">
        <v>1599200</v>
      </c>
      <c r="AF106" s="11">
        <v>31984</v>
      </c>
      <c r="AG106" s="9"/>
      <c r="AH106" s="9"/>
      <c r="AI106" s="9"/>
      <c r="AJ106" s="17" t="s">
        <v>12217</v>
      </c>
      <c r="AK106" s="11">
        <v>31984</v>
      </c>
      <c r="AL106" s="12"/>
      <c r="AM106" s="14">
        <f t="shared" si="1"/>
        <v>0</v>
      </c>
      <c r="AN106" s="12" t="s">
        <v>12004</v>
      </c>
    </row>
    <row r="107" spans="1:40" x14ac:dyDescent="0.25">
      <c r="A107" s="12">
        <v>771</v>
      </c>
      <c r="B107" s="18" t="s">
        <v>8030</v>
      </c>
      <c r="C107" s="12" t="s">
        <v>9260</v>
      </c>
      <c r="D107" s="12" t="s">
        <v>37</v>
      </c>
      <c r="E107" s="12" t="s">
        <v>9261</v>
      </c>
      <c r="F107" s="12" t="s">
        <v>39</v>
      </c>
      <c r="G107" s="12" t="s">
        <v>9262</v>
      </c>
      <c r="H107" s="12" t="s">
        <v>48</v>
      </c>
      <c r="I107" s="12" t="s">
        <v>9263</v>
      </c>
      <c r="J107" s="12" t="s">
        <v>48</v>
      </c>
      <c r="K107" s="12" t="s">
        <v>9264</v>
      </c>
      <c r="L107" s="12">
        <v>1890000</v>
      </c>
      <c r="M107" s="12">
        <v>2700000</v>
      </c>
      <c r="N107" s="12" t="s">
        <v>9265</v>
      </c>
      <c r="O107" s="16">
        <v>45654</v>
      </c>
      <c r="P107" s="12" t="s">
        <v>9266</v>
      </c>
      <c r="Q107" s="12" t="s">
        <v>9267</v>
      </c>
      <c r="R107" s="12" t="s">
        <v>146</v>
      </c>
      <c r="S107" s="12" t="s">
        <v>9268</v>
      </c>
      <c r="T107" s="12" t="s">
        <v>1323</v>
      </c>
      <c r="U107" s="12" t="s">
        <v>50</v>
      </c>
      <c r="V107" s="16">
        <v>44926</v>
      </c>
      <c r="W107" s="12" t="s">
        <v>8128</v>
      </c>
      <c r="X107" s="12" t="s">
        <v>8129</v>
      </c>
      <c r="Y107" s="12" t="s">
        <v>9269</v>
      </c>
      <c r="Z107" s="12">
        <v>5</v>
      </c>
      <c r="AA107" s="12" t="s">
        <v>323</v>
      </c>
      <c r="AB107" s="12" t="s">
        <v>9270</v>
      </c>
      <c r="AC107" s="12" t="s">
        <v>9271</v>
      </c>
      <c r="AD107" s="12" t="s">
        <v>86</v>
      </c>
      <c r="AE107" s="12">
        <v>2430000</v>
      </c>
      <c r="AF107" s="13">
        <v>42525</v>
      </c>
      <c r="AG107" s="12"/>
      <c r="AH107" s="12"/>
      <c r="AI107" s="12"/>
      <c r="AJ107" s="12" t="s">
        <v>12107</v>
      </c>
      <c r="AK107" s="11">
        <v>42525</v>
      </c>
      <c r="AL107" s="12"/>
      <c r="AM107" s="14">
        <f t="shared" si="1"/>
        <v>0</v>
      </c>
      <c r="AN107" s="12" t="s">
        <v>12004</v>
      </c>
    </row>
    <row r="108" spans="1:40" x14ac:dyDescent="0.25">
      <c r="A108" s="9">
        <v>772</v>
      </c>
      <c r="B108" s="18" t="s">
        <v>8030</v>
      </c>
      <c r="C108" s="9" t="s">
        <v>9272</v>
      </c>
      <c r="D108" s="9" t="s">
        <v>37</v>
      </c>
      <c r="E108" s="9" t="s">
        <v>9273</v>
      </c>
      <c r="F108" s="9" t="s">
        <v>39</v>
      </c>
      <c r="G108" s="9" t="s">
        <v>9274</v>
      </c>
      <c r="H108" s="9" t="s">
        <v>9275</v>
      </c>
      <c r="I108" s="9" t="s">
        <v>9276</v>
      </c>
      <c r="J108" s="9" t="s">
        <v>9277</v>
      </c>
      <c r="K108" s="9" t="s">
        <v>9278</v>
      </c>
      <c r="L108" s="9">
        <v>1961400</v>
      </c>
      <c r="M108" s="9">
        <v>2802000</v>
      </c>
      <c r="N108" s="9" t="s">
        <v>9279</v>
      </c>
      <c r="O108" s="10">
        <v>45654</v>
      </c>
      <c r="P108" s="9" t="s">
        <v>9280</v>
      </c>
      <c r="Q108" s="9" t="s">
        <v>9281</v>
      </c>
      <c r="R108" s="9" t="s">
        <v>47</v>
      </c>
      <c r="S108" s="9" t="s">
        <v>48</v>
      </c>
      <c r="T108" s="9" t="s">
        <v>2461</v>
      </c>
      <c r="U108" s="9" t="s">
        <v>148</v>
      </c>
      <c r="V108" s="10">
        <v>44926</v>
      </c>
      <c r="W108" s="9" t="s">
        <v>8128</v>
      </c>
      <c r="X108" s="9" t="s">
        <v>8115</v>
      </c>
      <c r="Y108" s="9" t="s">
        <v>9282</v>
      </c>
      <c r="Z108" s="9">
        <v>3</v>
      </c>
      <c r="AA108" s="9" t="s">
        <v>323</v>
      </c>
      <c r="AB108" s="9" t="s">
        <v>9283</v>
      </c>
      <c r="AC108" s="9" t="s">
        <v>9271</v>
      </c>
      <c r="AD108" s="9" t="s">
        <v>86</v>
      </c>
      <c r="AE108" s="9">
        <v>2521800</v>
      </c>
      <c r="AF108" s="11">
        <v>44132</v>
      </c>
      <c r="AG108" s="9"/>
      <c r="AH108" s="9"/>
      <c r="AI108" s="9"/>
      <c r="AJ108" s="9" t="s">
        <v>12108</v>
      </c>
      <c r="AK108" s="11">
        <v>44132</v>
      </c>
      <c r="AL108" s="12"/>
      <c r="AM108" s="14">
        <f t="shared" si="1"/>
        <v>0</v>
      </c>
      <c r="AN108" s="12" t="s">
        <v>12004</v>
      </c>
    </row>
    <row r="109" spans="1:40" x14ac:dyDescent="0.25">
      <c r="A109" s="12">
        <v>773</v>
      </c>
      <c r="B109" s="18" t="s">
        <v>8030</v>
      </c>
      <c r="C109" s="12" t="s">
        <v>9284</v>
      </c>
      <c r="D109" s="12" t="s">
        <v>37</v>
      </c>
      <c r="E109" s="12" t="s">
        <v>9285</v>
      </c>
      <c r="F109" s="12" t="s">
        <v>39</v>
      </c>
      <c r="G109" s="12" t="s">
        <v>9286</v>
      </c>
      <c r="H109" s="12" t="s">
        <v>9287</v>
      </c>
      <c r="I109" s="12" t="s">
        <v>9288</v>
      </c>
      <c r="J109" s="12" t="s">
        <v>9287</v>
      </c>
      <c r="K109" s="12" t="s">
        <v>9289</v>
      </c>
      <c r="L109" s="12">
        <v>1576250</v>
      </c>
      <c r="M109" s="12">
        <v>2425000</v>
      </c>
      <c r="N109" s="12" t="s">
        <v>9290</v>
      </c>
      <c r="O109" s="16">
        <v>45654</v>
      </c>
      <c r="P109" s="12" t="s">
        <v>9291</v>
      </c>
      <c r="Q109" s="12" t="s">
        <v>9292</v>
      </c>
      <c r="R109" s="12" t="s">
        <v>146</v>
      </c>
      <c r="S109" s="12" t="s">
        <v>9293</v>
      </c>
      <c r="T109" s="12" t="s">
        <v>1276</v>
      </c>
      <c r="U109" s="12" t="s">
        <v>148</v>
      </c>
      <c r="V109" s="16">
        <v>44925</v>
      </c>
      <c r="W109" s="12" t="s">
        <v>8128</v>
      </c>
      <c r="X109" s="12" t="s">
        <v>8129</v>
      </c>
      <c r="Y109" s="12" t="s">
        <v>9294</v>
      </c>
      <c r="Z109" s="12">
        <v>5</v>
      </c>
      <c r="AA109" s="12" t="s">
        <v>323</v>
      </c>
      <c r="AB109" s="12" t="s">
        <v>9295</v>
      </c>
      <c r="AC109" s="12" t="s">
        <v>9271</v>
      </c>
      <c r="AD109" s="12" t="s">
        <v>86</v>
      </c>
      <c r="AE109" s="12">
        <v>2182500</v>
      </c>
      <c r="AF109" s="13">
        <v>38194</v>
      </c>
      <c r="AG109" s="12"/>
      <c r="AH109" s="12"/>
      <c r="AI109" s="12"/>
      <c r="AJ109" s="12" t="s">
        <v>12109</v>
      </c>
      <c r="AK109" s="11">
        <v>38194</v>
      </c>
      <c r="AL109" s="12"/>
      <c r="AM109" s="14">
        <f t="shared" si="1"/>
        <v>0</v>
      </c>
      <c r="AN109" s="12" t="s">
        <v>12004</v>
      </c>
    </row>
    <row r="110" spans="1:40" x14ac:dyDescent="0.25">
      <c r="A110" s="9">
        <v>774</v>
      </c>
      <c r="B110" s="18" t="s">
        <v>8030</v>
      </c>
      <c r="C110" s="9" t="s">
        <v>9296</v>
      </c>
      <c r="D110" s="9" t="s">
        <v>37</v>
      </c>
      <c r="E110" s="9" t="s">
        <v>9297</v>
      </c>
      <c r="F110" s="9" t="s">
        <v>39</v>
      </c>
      <c r="G110" s="9" t="s">
        <v>9298</v>
      </c>
      <c r="H110" s="9" t="s">
        <v>9299</v>
      </c>
      <c r="I110" s="9" t="s">
        <v>9300</v>
      </c>
      <c r="J110" s="9" t="s">
        <v>9299</v>
      </c>
      <c r="K110" s="9" t="s">
        <v>9301</v>
      </c>
      <c r="L110" s="9">
        <v>907200</v>
      </c>
      <c r="M110" s="9">
        <v>3024000</v>
      </c>
      <c r="N110" s="9" t="s">
        <v>9302</v>
      </c>
      <c r="O110" s="10">
        <v>45654</v>
      </c>
      <c r="P110" s="9" t="s">
        <v>9303</v>
      </c>
      <c r="Q110" s="9" t="s">
        <v>9304</v>
      </c>
      <c r="R110" s="9" t="s">
        <v>47</v>
      </c>
      <c r="S110" s="9" t="s">
        <v>48</v>
      </c>
      <c r="T110" s="9" t="s">
        <v>1323</v>
      </c>
      <c r="U110" s="9" t="s">
        <v>148</v>
      </c>
      <c r="V110" s="10">
        <v>44924</v>
      </c>
      <c r="W110" s="9" t="s">
        <v>8128</v>
      </c>
      <c r="X110" s="9" t="s">
        <v>8103</v>
      </c>
      <c r="Y110" s="9" t="s">
        <v>9305</v>
      </c>
      <c r="Z110" s="9">
        <v>4</v>
      </c>
      <c r="AA110" s="9" t="s">
        <v>323</v>
      </c>
      <c r="AB110" s="9" t="s">
        <v>9306</v>
      </c>
      <c r="AC110" s="9" t="s">
        <v>4057</v>
      </c>
      <c r="AD110" s="9" t="s">
        <v>86</v>
      </c>
      <c r="AE110" s="9">
        <v>2721600</v>
      </c>
      <c r="AF110" s="11">
        <v>47628</v>
      </c>
      <c r="AG110" s="9"/>
      <c r="AH110" s="9"/>
      <c r="AI110" s="9"/>
      <c r="AJ110" s="9" t="s">
        <v>12110</v>
      </c>
      <c r="AK110" s="11">
        <v>47628</v>
      </c>
      <c r="AL110" s="12"/>
      <c r="AM110" s="14">
        <f t="shared" si="1"/>
        <v>0</v>
      </c>
      <c r="AN110" s="12" t="s">
        <v>12004</v>
      </c>
    </row>
    <row r="111" spans="1:40" x14ac:dyDescent="0.25">
      <c r="A111" s="12">
        <v>775</v>
      </c>
      <c r="B111" s="18" t="s">
        <v>8030</v>
      </c>
      <c r="C111" s="12" t="s">
        <v>9307</v>
      </c>
      <c r="D111" s="12" t="s">
        <v>37</v>
      </c>
      <c r="E111" s="12" t="s">
        <v>9308</v>
      </c>
      <c r="F111" s="12" t="s">
        <v>39</v>
      </c>
      <c r="G111" s="12" t="s">
        <v>9309</v>
      </c>
      <c r="H111" s="12" t="s">
        <v>9310</v>
      </c>
      <c r="I111" s="12" t="s">
        <v>9311</v>
      </c>
      <c r="J111" s="12" t="s">
        <v>9310</v>
      </c>
      <c r="K111" s="12" t="s">
        <v>9312</v>
      </c>
      <c r="L111" s="12">
        <v>2904300</v>
      </c>
      <c r="M111" s="12">
        <v>4610000</v>
      </c>
      <c r="N111" s="12" t="s">
        <v>9313</v>
      </c>
      <c r="O111" s="16">
        <v>45654</v>
      </c>
      <c r="P111" s="12" t="s">
        <v>9314</v>
      </c>
      <c r="Q111" s="12" t="s">
        <v>9315</v>
      </c>
      <c r="R111" s="12" t="s">
        <v>47</v>
      </c>
      <c r="S111" s="12" t="s">
        <v>48</v>
      </c>
      <c r="T111" s="12" t="s">
        <v>9316</v>
      </c>
      <c r="U111" s="12" t="s">
        <v>50</v>
      </c>
      <c r="V111" s="16">
        <v>44476</v>
      </c>
      <c r="W111" s="12" t="s">
        <v>2981</v>
      </c>
      <c r="X111" s="12" t="s">
        <v>8273</v>
      </c>
      <c r="Y111" s="12" t="s">
        <v>9317</v>
      </c>
      <c r="Z111" s="12">
        <v>3</v>
      </c>
      <c r="AA111" s="12" t="s">
        <v>55</v>
      </c>
      <c r="AB111" s="12" t="s">
        <v>9318</v>
      </c>
      <c r="AC111" s="12" t="s">
        <v>9248</v>
      </c>
      <c r="AD111" s="12" t="s">
        <v>86</v>
      </c>
      <c r="AE111" s="12">
        <v>3918500</v>
      </c>
      <c r="AF111" s="13">
        <v>68574</v>
      </c>
      <c r="AG111" s="12"/>
      <c r="AH111" s="12"/>
      <c r="AI111" s="12"/>
      <c r="AJ111" s="12" t="s">
        <v>12111</v>
      </c>
      <c r="AK111" s="11">
        <v>68574</v>
      </c>
      <c r="AL111" s="12"/>
      <c r="AM111" s="14">
        <f t="shared" si="1"/>
        <v>0</v>
      </c>
      <c r="AN111" s="12" t="s">
        <v>12004</v>
      </c>
    </row>
    <row r="112" spans="1:40" x14ac:dyDescent="0.25">
      <c r="A112" s="9">
        <v>776</v>
      </c>
      <c r="B112" s="18" t="s">
        <v>8030</v>
      </c>
      <c r="C112" s="9" t="s">
        <v>9319</v>
      </c>
      <c r="D112" s="9" t="s">
        <v>37</v>
      </c>
      <c r="E112" s="9" t="s">
        <v>9320</v>
      </c>
      <c r="F112" s="9" t="s">
        <v>89</v>
      </c>
      <c r="G112" s="9" t="s">
        <v>9321</v>
      </c>
      <c r="H112" s="9" t="s">
        <v>9322</v>
      </c>
      <c r="I112" s="9" t="s">
        <v>48</v>
      </c>
      <c r="J112" s="9" t="s">
        <v>9323</v>
      </c>
      <c r="K112" s="9" t="s">
        <v>9324</v>
      </c>
      <c r="L112" s="9">
        <v>2280000</v>
      </c>
      <c r="M112" s="9">
        <v>3800000</v>
      </c>
      <c r="N112" s="9" t="s">
        <v>9325</v>
      </c>
      <c r="O112" s="10">
        <v>45654</v>
      </c>
      <c r="P112" s="9" t="s">
        <v>9326</v>
      </c>
      <c r="Q112" s="9" t="s">
        <v>9327</v>
      </c>
      <c r="R112" s="9" t="s">
        <v>146</v>
      </c>
      <c r="S112" s="9" t="s">
        <v>9328</v>
      </c>
      <c r="T112" s="9" t="s">
        <v>1065</v>
      </c>
      <c r="U112" s="9" t="s">
        <v>98</v>
      </c>
      <c r="V112" s="10">
        <v>44561</v>
      </c>
      <c r="W112" s="9" t="s">
        <v>8102</v>
      </c>
      <c r="X112" s="9" t="s">
        <v>8103</v>
      </c>
      <c r="Y112" s="9" t="s">
        <v>9329</v>
      </c>
      <c r="Z112" s="9">
        <v>5</v>
      </c>
      <c r="AA112" s="9" t="s">
        <v>118</v>
      </c>
      <c r="AB112" s="9" t="s">
        <v>9330</v>
      </c>
      <c r="AC112" s="9" t="s">
        <v>8563</v>
      </c>
      <c r="AD112" s="9" t="s">
        <v>299</v>
      </c>
      <c r="AE112" s="9">
        <v>3230000</v>
      </c>
      <c r="AF112" s="11">
        <v>48450</v>
      </c>
      <c r="AG112" s="9"/>
      <c r="AH112" s="9"/>
      <c r="AI112" s="9"/>
      <c r="AJ112" s="9" t="s">
        <v>12112</v>
      </c>
      <c r="AK112" s="11">
        <v>48450</v>
      </c>
      <c r="AL112" s="12"/>
      <c r="AM112" s="14">
        <f t="shared" si="1"/>
        <v>0</v>
      </c>
      <c r="AN112" s="12" t="s">
        <v>12004</v>
      </c>
    </row>
    <row r="113" spans="1:40" x14ac:dyDescent="0.25">
      <c r="A113" s="12">
        <v>777</v>
      </c>
      <c r="B113" s="18" t="s">
        <v>8030</v>
      </c>
      <c r="C113" s="12" t="s">
        <v>9331</v>
      </c>
      <c r="D113" s="12" t="s">
        <v>37</v>
      </c>
      <c r="E113" s="12" t="s">
        <v>9332</v>
      </c>
      <c r="F113" s="12" t="s">
        <v>138</v>
      </c>
      <c r="G113" s="12" t="s">
        <v>9333</v>
      </c>
      <c r="H113" s="12" t="s">
        <v>9334</v>
      </c>
      <c r="I113" s="12" t="s">
        <v>9334</v>
      </c>
      <c r="J113" s="12" t="s">
        <v>141</v>
      </c>
      <c r="K113" s="12" t="s">
        <v>9335</v>
      </c>
      <c r="L113" s="12">
        <v>2100000</v>
      </c>
      <c r="M113" s="12">
        <v>3500000</v>
      </c>
      <c r="N113" s="12" t="s">
        <v>9336</v>
      </c>
      <c r="O113" s="16">
        <v>45654</v>
      </c>
      <c r="P113" s="12" t="s">
        <v>9337</v>
      </c>
      <c r="Q113" s="12" t="s">
        <v>9338</v>
      </c>
      <c r="R113" s="12" t="s">
        <v>146</v>
      </c>
      <c r="S113" s="12" t="s">
        <v>9339</v>
      </c>
      <c r="T113" s="12" t="s">
        <v>601</v>
      </c>
      <c r="U113" s="12" t="s">
        <v>496</v>
      </c>
      <c r="V113" s="16">
        <v>44560</v>
      </c>
      <c r="W113" s="12" t="s">
        <v>8102</v>
      </c>
      <c r="X113" s="12" t="s">
        <v>8103</v>
      </c>
      <c r="Y113" s="12" t="s">
        <v>9340</v>
      </c>
      <c r="Z113" s="12">
        <v>5</v>
      </c>
      <c r="AA113" s="12" t="s">
        <v>118</v>
      </c>
      <c r="AB113" s="12" t="s">
        <v>9341</v>
      </c>
      <c r="AC113" s="12" t="s">
        <v>9248</v>
      </c>
      <c r="AD113" s="12" t="s">
        <v>299</v>
      </c>
      <c r="AE113" s="12">
        <v>2975000</v>
      </c>
      <c r="AF113" s="13">
        <v>44625</v>
      </c>
      <c r="AG113" s="12"/>
      <c r="AH113" s="12"/>
      <c r="AI113" s="12"/>
      <c r="AJ113" s="12" t="s">
        <v>12113</v>
      </c>
      <c r="AK113" s="11">
        <v>44625</v>
      </c>
      <c r="AL113" s="12"/>
      <c r="AM113" s="14">
        <f t="shared" si="1"/>
        <v>0</v>
      </c>
      <c r="AN113" s="12" t="s">
        <v>12004</v>
      </c>
    </row>
    <row r="114" spans="1:40" x14ac:dyDescent="0.25">
      <c r="A114" s="9">
        <v>778</v>
      </c>
      <c r="B114" s="18" t="s">
        <v>8030</v>
      </c>
      <c r="C114" s="9" t="s">
        <v>9342</v>
      </c>
      <c r="D114" s="9" t="s">
        <v>37</v>
      </c>
      <c r="E114" s="9" t="s">
        <v>9343</v>
      </c>
      <c r="F114" s="9" t="s">
        <v>525</v>
      </c>
      <c r="G114" s="9" t="s">
        <v>9344</v>
      </c>
      <c r="H114" s="9" t="s">
        <v>9345</v>
      </c>
      <c r="I114" s="9" t="s">
        <v>9345</v>
      </c>
      <c r="J114" s="9" t="s">
        <v>9345</v>
      </c>
      <c r="K114" s="9" t="s">
        <v>9346</v>
      </c>
      <c r="L114" s="9">
        <v>2076900</v>
      </c>
      <c r="M114" s="9">
        <v>2967000</v>
      </c>
      <c r="N114" s="9" t="s">
        <v>9347</v>
      </c>
      <c r="O114" s="10">
        <v>45654</v>
      </c>
      <c r="P114" s="9" t="s">
        <v>9348</v>
      </c>
      <c r="Q114" s="9" t="s">
        <v>9349</v>
      </c>
      <c r="R114" s="9" t="s">
        <v>47</v>
      </c>
      <c r="S114" s="9" t="s">
        <v>48</v>
      </c>
      <c r="T114" s="9" t="s">
        <v>495</v>
      </c>
      <c r="U114" s="9" t="s">
        <v>50</v>
      </c>
      <c r="V114" s="10">
        <v>44560</v>
      </c>
      <c r="W114" s="9" t="s">
        <v>8102</v>
      </c>
      <c r="X114" s="9" t="s">
        <v>8103</v>
      </c>
      <c r="Y114" s="9" t="s">
        <v>9350</v>
      </c>
      <c r="Z114" s="9">
        <v>5</v>
      </c>
      <c r="AA114" s="9" t="s">
        <v>118</v>
      </c>
      <c r="AB114" s="9" t="s">
        <v>9351</v>
      </c>
      <c r="AC114" s="9" t="s">
        <v>9248</v>
      </c>
      <c r="AD114" s="9" t="s">
        <v>58</v>
      </c>
      <c r="AE114" s="9">
        <v>2521950</v>
      </c>
      <c r="AF114" s="11">
        <v>50439</v>
      </c>
      <c r="AG114" s="9"/>
      <c r="AH114" s="9"/>
      <c r="AI114" s="9"/>
      <c r="AJ114" s="9" t="s">
        <v>12114</v>
      </c>
      <c r="AK114" s="11">
        <v>50439</v>
      </c>
      <c r="AL114" s="12"/>
      <c r="AM114" s="14">
        <f t="shared" si="1"/>
        <v>0</v>
      </c>
      <c r="AN114" s="12" t="s">
        <v>12004</v>
      </c>
    </row>
    <row r="115" spans="1:40" x14ac:dyDescent="0.25">
      <c r="A115" s="12">
        <v>779</v>
      </c>
      <c r="B115" s="18" t="s">
        <v>8030</v>
      </c>
      <c r="C115" s="12" t="s">
        <v>9352</v>
      </c>
      <c r="D115" s="12" t="s">
        <v>37</v>
      </c>
      <c r="E115" s="12" t="s">
        <v>9353</v>
      </c>
      <c r="F115" s="12" t="s">
        <v>138</v>
      </c>
      <c r="G115" s="12" t="s">
        <v>9354</v>
      </c>
      <c r="H115" s="12" t="s">
        <v>9355</v>
      </c>
      <c r="I115" s="12" t="s">
        <v>9355</v>
      </c>
      <c r="J115" s="12" t="s">
        <v>9355</v>
      </c>
      <c r="K115" s="12" t="s">
        <v>9356</v>
      </c>
      <c r="L115" s="12">
        <v>1561000</v>
      </c>
      <c r="M115" s="12">
        <v>2230000</v>
      </c>
      <c r="N115" s="12" t="s">
        <v>9357</v>
      </c>
      <c r="O115" s="16">
        <v>45654</v>
      </c>
      <c r="P115" s="12" t="s">
        <v>9358</v>
      </c>
      <c r="Q115" s="12" t="s">
        <v>9359</v>
      </c>
      <c r="R115" s="12" t="s">
        <v>146</v>
      </c>
      <c r="S115" s="12" t="s">
        <v>9360</v>
      </c>
      <c r="T115" s="12" t="s">
        <v>9361</v>
      </c>
      <c r="U115" s="12" t="s">
        <v>98</v>
      </c>
      <c r="V115" s="16">
        <v>44560</v>
      </c>
      <c r="W115" s="12" t="s">
        <v>8102</v>
      </c>
      <c r="X115" s="12" t="s">
        <v>8103</v>
      </c>
      <c r="Y115" s="12" t="s">
        <v>9362</v>
      </c>
      <c r="Z115" s="12">
        <v>5</v>
      </c>
      <c r="AA115" s="12" t="s">
        <v>118</v>
      </c>
      <c r="AB115" s="12" t="s">
        <v>9363</v>
      </c>
      <c r="AC115" s="12" t="s">
        <v>9248</v>
      </c>
      <c r="AD115" s="12" t="s">
        <v>299</v>
      </c>
      <c r="AE115" s="12">
        <v>1895500</v>
      </c>
      <c r="AF115" s="13">
        <v>28433</v>
      </c>
      <c r="AG115" s="12"/>
      <c r="AH115" s="12"/>
      <c r="AI115" s="12"/>
      <c r="AJ115" s="12" t="s">
        <v>12115</v>
      </c>
      <c r="AK115" s="11">
        <v>28433</v>
      </c>
      <c r="AL115" s="12"/>
      <c r="AM115" s="14">
        <f t="shared" si="1"/>
        <v>0</v>
      </c>
      <c r="AN115" s="12" t="s">
        <v>12004</v>
      </c>
    </row>
    <row r="116" spans="1:40" x14ac:dyDescent="0.25">
      <c r="A116" s="9">
        <v>780</v>
      </c>
      <c r="B116" s="18" t="s">
        <v>8030</v>
      </c>
      <c r="C116" s="9" t="s">
        <v>9364</v>
      </c>
      <c r="D116" s="9" t="s">
        <v>37</v>
      </c>
      <c r="E116" s="9" t="s">
        <v>9365</v>
      </c>
      <c r="F116" s="9" t="s">
        <v>245</v>
      </c>
      <c r="G116" s="9" t="s">
        <v>9366</v>
      </c>
      <c r="H116" s="9" t="s">
        <v>9367</v>
      </c>
      <c r="I116" s="9" t="s">
        <v>48</v>
      </c>
      <c r="J116" s="9" t="s">
        <v>141</v>
      </c>
      <c r="K116" s="9" t="s">
        <v>9368</v>
      </c>
      <c r="L116" s="9">
        <v>1470000</v>
      </c>
      <c r="M116" s="9">
        <v>2100000</v>
      </c>
      <c r="N116" s="9" t="s">
        <v>9369</v>
      </c>
      <c r="O116" s="10">
        <v>45654</v>
      </c>
      <c r="P116" s="9" t="s">
        <v>9370</v>
      </c>
      <c r="Q116" s="9" t="s">
        <v>9371</v>
      </c>
      <c r="R116" s="9" t="s">
        <v>146</v>
      </c>
      <c r="S116" s="9" t="s">
        <v>9372</v>
      </c>
      <c r="T116" s="9" t="s">
        <v>1732</v>
      </c>
      <c r="U116" s="9" t="s">
        <v>903</v>
      </c>
      <c r="V116" s="10">
        <v>44561</v>
      </c>
      <c r="W116" s="9" t="s">
        <v>8102</v>
      </c>
      <c r="X116" s="9" t="s">
        <v>8103</v>
      </c>
      <c r="Y116" s="9" t="s">
        <v>9373</v>
      </c>
      <c r="Z116" s="9">
        <v>5</v>
      </c>
      <c r="AA116" s="9" t="s">
        <v>118</v>
      </c>
      <c r="AB116" s="9" t="s">
        <v>9374</v>
      </c>
      <c r="AC116" s="9" t="s">
        <v>8563</v>
      </c>
      <c r="AD116" s="9" t="s">
        <v>299</v>
      </c>
      <c r="AE116" s="9">
        <v>1785000</v>
      </c>
      <c r="AF116" s="11">
        <v>26775</v>
      </c>
      <c r="AG116" s="9"/>
      <c r="AH116" s="9"/>
      <c r="AI116" s="9"/>
      <c r="AJ116" s="9" t="s">
        <v>12116</v>
      </c>
      <c r="AK116" s="11">
        <v>26775</v>
      </c>
      <c r="AL116" s="12"/>
      <c r="AM116" s="14">
        <f t="shared" si="1"/>
        <v>0</v>
      </c>
      <c r="AN116" s="12" t="s">
        <v>12004</v>
      </c>
    </row>
    <row r="117" spans="1:40" x14ac:dyDescent="0.25">
      <c r="A117" s="12">
        <v>781</v>
      </c>
      <c r="B117" s="18" t="s">
        <v>8030</v>
      </c>
      <c r="C117" s="12" t="s">
        <v>9375</v>
      </c>
      <c r="D117" s="12" t="s">
        <v>37</v>
      </c>
      <c r="E117" s="12" t="s">
        <v>9376</v>
      </c>
      <c r="F117" s="12" t="s">
        <v>138</v>
      </c>
      <c r="G117" s="12" t="s">
        <v>9377</v>
      </c>
      <c r="H117" s="12" t="s">
        <v>9378</v>
      </c>
      <c r="I117" s="12" t="s">
        <v>9379</v>
      </c>
      <c r="J117" s="12" t="s">
        <v>9380</v>
      </c>
      <c r="K117" s="12" t="s">
        <v>9381</v>
      </c>
      <c r="L117" s="12">
        <v>1920000</v>
      </c>
      <c r="M117" s="12">
        <v>3200000</v>
      </c>
      <c r="N117" s="12" t="s">
        <v>9382</v>
      </c>
      <c r="O117" s="16">
        <v>45654</v>
      </c>
      <c r="P117" s="12" t="s">
        <v>9383</v>
      </c>
      <c r="Q117" s="12" t="s">
        <v>9384</v>
      </c>
      <c r="R117" s="12" t="s">
        <v>146</v>
      </c>
      <c r="S117" s="12" t="s">
        <v>9385</v>
      </c>
      <c r="T117" s="12" t="s">
        <v>9386</v>
      </c>
      <c r="U117" s="12" t="s">
        <v>335</v>
      </c>
      <c r="V117" s="16">
        <v>44196</v>
      </c>
      <c r="W117" s="12" t="s">
        <v>8114</v>
      </c>
      <c r="X117" s="12" t="s">
        <v>7530</v>
      </c>
      <c r="Y117" s="12" t="s">
        <v>9387</v>
      </c>
      <c r="Z117" s="12">
        <v>4</v>
      </c>
      <c r="AA117" s="12" t="s">
        <v>55</v>
      </c>
      <c r="AB117" s="12" t="s">
        <v>9388</v>
      </c>
      <c r="AC117" s="12" t="s">
        <v>1029</v>
      </c>
      <c r="AD117" s="12" t="s">
        <v>58</v>
      </c>
      <c r="AE117" s="12">
        <v>2560000</v>
      </c>
      <c r="AF117" s="13">
        <v>51200</v>
      </c>
      <c r="AG117" s="12"/>
      <c r="AH117" s="12"/>
      <c r="AI117" s="12"/>
      <c r="AJ117" s="12" t="s">
        <v>12117</v>
      </c>
      <c r="AK117" s="11">
        <v>51200</v>
      </c>
      <c r="AL117" s="12"/>
      <c r="AM117" s="14">
        <f t="shared" si="1"/>
        <v>0</v>
      </c>
      <c r="AN117" s="12" t="s">
        <v>12004</v>
      </c>
    </row>
    <row r="118" spans="1:40" x14ac:dyDescent="0.25">
      <c r="A118" s="9">
        <v>782</v>
      </c>
      <c r="B118" s="18" t="s">
        <v>8030</v>
      </c>
      <c r="C118" s="9" t="s">
        <v>9389</v>
      </c>
      <c r="D118" s="9" t="s">
        <v>37</v>
      </c>
      <c r="E118" s="9" t="s">
        <v>9390</v>
      </c>
      <c r="F118" s="9" t="s">
        <v>138</v>
      </c>
      <c r="G118" s="9" t="s">
        <v>9391</v>
      </c>
      <c r="H118" s="9" t="s">
        <v>9392</v>
      </c>
      <c r="I118" s="9" t="s">
        <v>9392</v>
      </c>
      <c r="J118" s="9" t="s">
        <v>9392</v>
      </c>
      <c r="K118" s="9" t="s">
        <v>9393</v>
      </c>
      <c r="L118" s="9">
        <v>1387500</v>
      </c>
      <c r="M118" s="9">
        <v>1850000</v>
      </c>
      <c r="N118" s="9" t="s">
        <v>9394</v>
      </c>
      <c r="O118" s="10">
        <v>45654</v>
      </c>
      <c r="P118" s="9" t="s">
        <v>9395</v>
      </c>
      <c r="Q118" s="9" t="s">
        <v>9396</v>
      </c>
      <c r="R118" s="9" t="s">
        <v>146</v>
      </c>
      <c r="S118" s="9" t="s">
        <v>9397</v>
      </c>
      <c r="T118" s="9" t="s">
        <v>9398</v>
      </c>
      <c r="U118" s="9" t="s">
        <v>50</v>
      </c>
      <c r="V118" s="10">
        <v>44561</v>
      </c>
      <c r="W118" s="9" t="s">
        <v>8102</v>
      </c>
      <c r="X118" s="9" t="s">
        <v>8103</v>
      </c>
      <c r="Y118" s="9" t="s">
        <v>9399</v>
      </c>
      <c r="Z118" s="9">
        <v>5</v>
      </c>
      <c r="AA118" s="9" t="s">
        <v>118</v>
      </c>
      <c r="AB118" s="9" t="s">
        <v>9400</v>
      </c>
      <c r="AC118" s="9" t="s">
        <v>9248</v>
      </c>
      <c r="AD118" s="9" t="s">
        <v>299</v>
      </c>
      <c r="AE118" s="9">
        <v>1572500</v>
      </c>
      <c r="AF118" s="11">
        <v>23588</v>
      </c>
      <c r="AG118" s="9"/>
      <c r="AH118" s="9"/>
      <c r="AI118" s="9"/>
      <c r="AJ118" s="9" t="s">
        <v>12118</v>
      </c>
      <c r="AK118" s="11">
        <v>23588</v>
      </c>
      <c r="AL118" s="12"/>
      <c r="AM118" s="14">
        <f t="shared" si="1"/>
        <v>0</v>
      </c>
      <c r="AN118" s="12" t="s">
        <v>12004</v>
      </c>
    </row>
    <row r="119" spans="1:40" x14ac:dyDescent="0.25">
      <c r="A119" s="12">
        <v>783</v>
      </c>
      <c r="B119" s="18" t="s">
        <v>8030</v>
      </c>
      <c r="C119" s="12" t="s">
        <v>9401</v>
      </c>
      <c r="D119" s="12" t="s">
        <v>37</v>
      </c>
      <c r="E119" s="12" t="s">
        <v>9402</v>
      </c>
      <c r="F119" s="12" t="s">
        <v>245</v>
      </c>
      <c r="G119" s="12" t="s">
        <v>9403</v>
      </c>
      <c r="H119" s="12" t="s">
        <v>9404</v>
      </c>
      <c r="I119" s="12" t="s">
        <v>48</v>
      </c>
      <c r="J119" s="12" t="s">
        <v>9405</v>
      </c>
      <c r="K119" s="12" t="s">
        <v>9406</v>
      </c>
      <c r="L119" s="12">
        <v>1330000</v>
      </c>
      <c r="M119" s="12">
        <v>1900000</v>
      </c>
      <c r="N119" s="12" t="s">
        <v>9407</v>
      </c>
      <c r="O119" s="16">
        <v>45654</v>
      </c>
      <c r="P119" s="12" t="s">
        <v>9408</v>
      </c>
      <c r="Q119" s="12" t="s">
        <v>9409</v>
      </c>
      <c r="R119" s="12" t="s">
        <v>146</v>
      </c>
      <c r="S119" s="12" t="s">
        <v>9410</v>
      </c>
      <c r="T119" s="12" t="s">
        <v>6255</v>
      </c>
      <c r="U119" s="12" t="s">
        <v>496</v>
      </c>
      <c r="V119" s="16">
        <v>44559</v>
      </c>
      <c r="W119" s="12" t="s">
        <v>8102</v>
      </c>
      <c r="X119" s="12" t="s">
        <v>8103</v>
      </c>
      <c r="Y119" s="12" t="s">
        <v>9411</v>
      </c>
      <c r="Z119" s="12">
        <v>5</v>
      </c>
      <c r="AA119" s="12" t="s">
        <v>118</v>
      </c>
      <c r="AB119" s="12" t="s">
        <v>9412</v>
      </c>
      <c r="AC119" s="12" t="s">
        <v>9248</v>
      </c>
      <c r="AD119" s="12" t="s">
        <v>299</v>
      </c>
      <c r="AE119" s="12">
        <v>1615000</v>
      </c>
      <c r="AF119" s="13">
        <v>24225</v>
      </c>
      <c r="AG119" s="12"/>
      <c r="AH119" s="12"/>
      <c r="AI119" s="12"/>
      <c r="AJ119" s="12" t="s">
        <v>12119</v>
      </c>
      <c r="AK119" s="11">
        <v>24225</v>
      </c>
      <c r="AL119" s="12"/>
      <c r="AM119" s="14">
        <f t="shared" si="1"/>
        <v>0</v>
      </c>
      <c r="AN119" s="12" t="s">
        <v>12004</v>
      </c>
    </row>
    <row r="120" spans="1:40" x14ac:dyDescent="0.25">
      <c r="A120" s="9">
        <v>784</v>
      </c>
      <c r="B120" s="18" t="s">
        <v>8030</v>
      </c>
      <c r="C120" s="9" t="s">
        <v>9413</v>
      </c>
      <c r="D120" s="9" t="s">
        <v>37</v>
      </c>
      <c r="E120" s="9" t="s">
        <v>9414</v>
      </c>
      <c r="F120" s="9" t="s">
        <v>107</v>
      </c>
      <c r="G120" s="9" t="s">
        <v>9415</v>
      </c>
      <c r="H120" s="9" t="s">
        <v>9416</v>
      </c>
      <c r="I120" s="9" t="s">
        <v>9416</v>
      </c>
      <c r="J120" s="9" t="s">
        <v>9416</v>
      </c>
      <c r="K120" s="9" t="s">
        <v>9417</v>
      </c>
      <c r="L120" s="9">
        <v>1192500</v>
      </c>
      <c r="M120" s="9">
        <v>1590000</v>
      </c>
      <c r="N120" s="9" t="s">
        <v>9418</v>
      </c>
      <c r="O120" s="10">
        <v>45654</v>
      </c>
      <c r="P120" s="9" t="s">
        <v>9419</v>
      </c>
      <c r="Q120" s="9" t="s">
        <v>9420</v>
      </c>
      <c r="R120" s="9" t="s">
        <v>146</v>
      </c>
      <c r="S120" s="9" t="s">
        <v>9421</v>
      </c>
      <c r="T120" s="9" t="s">
        <v>321</v>
      </c>
      <c r="U120" s="9" t="s">
        <v>335</v>
      </c>
      <c r="V120" s="10">
        <v>44561</v>
      </c>
      <c r="W120" s="9" t="s">
        <v>8102</v>
      </c>
      <c r="X120" s="9" t="s">
        <v>8103</v>
      </c>
      <c r="Y120" s="9" t="s">
        <v>9422</v>
      </c>
      <c r="Z120" s="9">
        <v>5</v>
      </c>
      <c r="AA120" s="9" t="s">
        <v>55</v>
      </c>
      <c r="AB120" s="9" t="s">
        <v>9423</v>
      </c>
      <c r="AC120" s="9" t="s">
        <v>8563</v>
      </c>
      <c r="AD120" s="9" t="s">
        <v>299</v>
      </c>
      <c r="AE120" s="9">
        <v>1351500</v>
      </c>
      <c r="AF120" s="11">
        <v>20273</v>
      </c>
      <c r="AG120" s="9"/>
      <c r="AH120" s="9"/>
      <c r="AI120" s="9"/>
      <c r="AJ120" s="9" t="s">
        <v>12120</v>
      </c>
      <c r="AK120" s="11">
        <v>20273</v>
      </c>
      <c r="AL120" s="12"/>
      <c r="AM120" s="14">
        <f t="shared" si="1"/>
        <v>0</v>
      </c>
      <c r="AN120" s="12" t="s">
        <v>12004</v>
      </c>
    </row>
    <row r="121" spans="1:40" x14ac:dyDescent="0.25">
      <c r="A121" s="12">
        <v>785</v>
      </c>
      <c r="B121" s="18" t="s">
        <v>8030</v>
      </c>
      <c r="C121" s="12" t="s">
        <v>9424</v>
      </c>
      <c r="D121" s="12" t="s">
        <v>37</v>
      </c>
      <c r="E121" s="12" t="s">
        <v>9425</v>
      </c>
      <c r="F121" s="12" t="s">
        <v>138</v>
      </c>
      <c r="G121" s="12" t="s">
        <v>9426</v>
      </c>
      <c r="H121" s="12" t="s">
        <v>48</v>
      </c>
      <c r="I121" s="12" t="s">
        <v>9427</v>
      </c>
      <c r="J121" s="12" t="s">
        <v>9428</v>
      </c>
      <c r="K121" s="12" t="s">
        <v>9429</v>
      </c>
      <c r="L121" s="12">
        <v>1064700</v>
      </c>
      <c r="M121" s="12">
        <v>1521000</v>
      </c>
      <c r="N121" s="12" t="s">
        <v>9430</v>
      </c>
      <c r="O121" s="16">
        <v>45654</v>
      </c>
      <c r="P121" s="12" t="s">
        <v>9431</v>
      </c>
      <c r="Q121" s="12" t="s">
        <v>9432</v>
      </c>
      <c r="R121" s="12" t="s">
        <v>146</v>
      </c>
      <c r="S121" s="12" t="s">
        <v>48</v>
      </c>
      <c r="T121" s="12" t="s">
        <v>1276</v>
      </c>
      <c r="U121" s="12" t="s">
        <v>50</v>
      </c>
      <c r="V121" s="16">
        <v>44560</v>
      </c>
      <c r="W121" s="12" t="s">
        <v>8102</v>
      </c>
      <c r="X121" s="12" t="s">
        <v>7530</v>
      </c>
      <c r="Y121" s="12" t="s">
        <v>9433</v>
      </c>
      <c r="Z121" s="12">
        <v>3</v>
      </c>
      <c r="AA121" s="12" t="s">
        <v>118</v>
      </c>
      <c r="AB121" s="12" t="s">
        <v>9434</v>
      </c>
      <c r="AC121" s="12" t="s">
        <v>9248</v>
      </c>
      <c r="AD121" s="12" t="s">
        <v>299</v>
      </c>
      <c r="AE121" s="12">
        <v>1292850</v>
      </c>
      <c r="AF121" s="13">
        <v>19393</v>
      </c>
      <c r="AG121" s="12"/>
      <c r="AH121" s="12"/>
      <c r="AI121" s="12"/>
      <c r="AJ121" s="12" t="s">
        <v>12121</v>
      </c>
      <c r="AK121" s="11">
        <v>19393</v>
      </c>
      <c r="AL121" s="12"/>
      <c r="AM121" s="14">
        <f t="shared" si="1"/>
        <v>0</v>
      </c>
      <c r="AN121" s="12" t="s">
        <v>12004</v>
      </c>
    </row>
    <row r="122" spans="1:40" x14ac:dyDescent="0.25">
      <c r="A122" s="9">
        <v>786</v>
      </c>
      <c r="B122" s="18" t="s">
        <v>8030</v>
      </c>
      <c r="C122" s="9" t="s">
        <v>9435</v>
      </c>
      <c r="D122" s="9" t="s">
        <v>37</v>
      </c>
      <c r="E122" s="9" t="s">
        <v>9436</v>
      </c>
      <c r="F122" s="9" t="s">
        <v>290</v>
      </c>
      <c r="G122" s="9" t="s">
        <v>9437</v>
      </c>
      <c r="H122" s="9" t="s">
        <v>9438</v>
      </c>
      <c r="I122" s="9" t="s">
        <v>9438</v>
      </c>
      <c r="J122" s="9" t="s">
        <v>9438</v>
      </c>
      <c r="K122" s="9" t="s">
        <v>9439</v>
      </c>
      <c r="L122" s="9">
        <v>966000</v>
      </c>
      <c r="M122" s="9">
        <v>1610000</v>
      </c>
      <c r="N122" s="9" t="s">
        <v>9440</v>
      </c>
      <c r="O122" s="10">
        <v>45654</v>
      </c>
      <c r="P122" s="9" t="s">
        <v>9441</v>
      </c>
      <c r="Q122" s="9" t="s">
        <v>9442</v>
      </c>
      <c r="R122" s="9" t="s">
        <v>47</v>
      </c>
      <c r="S122" s="9" t="s">
        <v>48</v>
      </c>
      <c r="T122" s="9" t="s">
        <v>224</v>
      </c>
      <c r="U122" s="9" t="s">
        <v>50</v>
      </c>
      <c r="V122" s="10">
        <v>44438</v>
      </c>
      <c r="W122" s="9" t="s">
        <v>2981</v>
      </c>
      <c r="X122" s="9" t="s">
        <v>2982</v>
      </c>
      <c r="Y122" s="9" t="s">
        <v>9443</v>
      </c>
      <c r="Z122" s="9">
        <v>5</v>
      </c>
      <c r="AA122" s="9" t="s">
        <v>55</v>
      </c>
      <c r="AB122" s="9" t="s">
        <v>9444</v>
      </c>
      <c r="AC122" s="9" t="s">
        <v>9248</v>
      </c>
      <c r="AD122" s="9" t="s">
        <v>58</v>
      </c>
      <c r="AE122" s="9">
        <v>1368500</v>
      </c>
      <c r="AF122" s="11">
        <v>27370</v>
      </c>
      <c r="AG122" s="9"/>
      <c r="AH122" s="9"/>
      <c r="AI122" s="9"/>
      <c r="AJ122" s="9" t="s">
        <v>12122</v>
      </c>
      <c r="AK122" s="11">
        <v>27370</v>
      </c>
      <c r="AL122" s="12"/>
      <c r="AM122" s="14">
        <f t="shared" si="1"/>
        <v>0</v>
      </c>
      <c r="AN122" s="12" t="s">
        <v>12004</v>
      </c>
    </row>
    <row r="123" spans="1:40" x14ac:dyDescent="0.25">
      <c r="A123" s="12">
        <v>787</v>
      </c>
      <c r="B123" s="18" t="s">
        <v>8030</v>
      </c>
      <c r="C123" s="12" t="s">
        <v>9445</v>
      </c>
      <c r="D123" s="12" t="s">
        <v>37</v>
      </c>
      <c r="E123" s="12" t="s">
        <v>9446</v>
      </c>
      <c r="F123" s="12" t="s">
        <v>406</v>
      </c>
      <c r="G123" s="12" t="s">
        <v>9447</v>
      </c>
      <c r="H123" s="12" t="s">
        <v>9448</v>
      </c>
      <c r="I123" s="12" t="s">
        <v>9448</v>
      </c>
      <c r="J123" s="12" t="s">
        <v>9448</v>
      </c>
      <c r="K123" s="12" t="s">
        <v>9449</v>
      </c>
      <c r="L123" s="12">
        <v>1143100</v>
      </c>
      <c r="M123" s="12">
        <v>1633000</v>
      </c>
      <c r="N123" s="12" t="s">
        <v>9450</v>
      </c>
      <c r="O123" s="16">
        <v>45654</v>
      </c>
      <c r="P123" s="12" t="s">
        <v>9451</v>
      </c>
      <c r="Q123" s="12" t="s">
        <v>9452</v>
      </c>
      <c r="R123" s="12" t="s">
        <v>47</v>
      </c>
      <c r="S123" s="12" t="s">
        <v>48</v>
      </c>
      <c r="T123" s="12" t="s">
        <v>9453</v>
      </c>
      <c r="U123" s="12" t="s">
        <v>98</v>
      </c>
      <c r="V123" s="16">
        <v>44146</v>
      </c>
      <c r="W123" s="12" t="s">
        <v>8114</v>
      </c>
      <c r="X123" s="12" t="s">
        <v>8115</v>
      </c>
      <c r="Y123" s="12" t="s">
        <v>9454</v>
      </c>
      <c r="Z123" s="12">
        <v>5</v>
      </c>
      <c r="AA123" s="12" t="s">
        <v>55</v>
      </c>
      <c r="AB123" s="12" t="s">
        <v>9455</v>
      </c>
      <c r="AC123" s="12" t="s">
        <v>9056</v>
      </c>
      <c r="AD123" s="12" t="s">
        <v>58</v>
      </c>
      <c r="AE123" s="12">
        <v>1306400</v>
      </c>
      <c r="AF123" s="13">
        <v>26128</v>
      </c>
      <c r="AG123" s="12"/>
      <c r="AH123" s="12"/>
      <c r="AI123" s="12"/>
      <c r="AJ123" s="12" t="s">
        <v>12123</v>
      </c>
      <c r="AK123" s="11">
        <v>26128</v>
      </c>
      <c r="AL123" s="12"/>
      <c r="AM123" s="14">
        <f t="shared" si="1"/>
        <v>0</v>
      </c>
      <c r="AN123" s="12" t="s">
        <v>12004</v>
      </c>
    </row>
    <row r="124" spans="1:40" x14ac:dyDescent="0.25">
      <c r="A124" s="9">
        <v>788</v>
      </c>
      <c r="B124" s="18" t="s">
        <v>8030</v>
      </c>
      <c r="C124" s="9" t="s">
        <v>9456</v>
      </c>
      <c r="D124" s="9" t="s">
        <v>37</v>
      </c>
      <c r="E124" s="9" t="s">
        <v>2200</v>
      </c>
      <c r="F124" s="9" t="s">
        <v>89</v>
      </c>
      <c r="G124" s="9" t="s">
        <v>9457</v>
      </c>
      <c r="H124" s="9" t="s">
        <v>9458</v>
      </c>
      <c r="I124" s="9" t="s">
        <v>48</v>
      </c>
      <c r="J124" s="9" t="s">
        <v>9459</v>
      </c>
      <c r="K124" s="9" t="s">
        <v>9460</v>
      </c>
      <c r="L124" s="9">
        <v>1019200</v>
      </c>
      <c r="M124" s="9">
        <v>1274000</v>
      </c>
      <c r="N124" s="9" t="s">
        <v>9461</v>
      </c>
      <c r="O124" s="10">
        <v>45654</v>
      </c>
      <c r="P124" s="9" t="s">
        <v>9462</v>
      </c>
      <c r="Q124" s="9" t="s">
        <v>9463</v>
      </c>
      <c r="R124" s="9" t="s">
        <v>47</v>
      </c>
      <c r="S124" s="9" t="s">
        <v>9464</v>
      </c>
      <c r="T124" s="9" t="s">
        <v>224</v>
      </c>
      <c r="U124" s="9" t="s">
        <v>496</v>
      </c>
      <c r="V124" s="10">
        <v>43465</v>
      </c>
      <c r="W124" s="9" t="s">
        <v>9465</v>
      </c>
      <c r="X124" s="9" t="s">
        <v>7530</v>
      </c>
      <c r="Y124" s="9" t="s">
        <v>9466</v>
      </c>
      <c r="Z124" s="9">
        <v>6</v>
      </c>
      <c r="AA124" s="9" t="s">
        <v>55</v>
      </c>
      <c r="AB124" s="9" t="s">
        <v>9467</v>
      </c>
      <c r="AC124" s="9" t="s">
        <v>9468</v>
      </c>
      <c r="AD124" s="9" t="s">
        <v>880</v>
      </c>
      <c r="AE124" s="9">
        <v>891800</v>
      </c>
      <c r="AF124" s="11">
        <v>27646</v>
      </c>
      <c r="AG124" s="9"/>
      <c r="AH124" s="9"/>
      <c r="AI124" s="9"/>
      <c r="AJ124" s="9" t="s">
        <v>12124</v>
      </c>
      <c r="AK124" s="11">
        <v>27646</v>
      </c>
      <c r="AL124" s="12"/>
      <c r="AM124" s="14">
        <f t="shared" si="1"/>
        <v>0</v>
      </c>
      <c r="AN124" s="12" t="s">
        <v>12004</v>
      </c>
    </row>
    <row r="125" spans="1:40" x14ac:dyDescent="0.25">
      <c r="A125" s="12">
        <v>789</v>
      </c>
      <c r="B125" s="18" t="s">
        <v>8030</v>
      </c>
      <c r="C125" s="12" t="s">
        <v>9469</v>
      </c>
      <c r="D125" s="12" t="s">
        <v>37</v>
      </c>
      <c r="E125" s="12" t="s">
        <v>9470</v>
      </c>
      <c r="F125" s="12" t="s">
        <v>9471</v>
      </c>
      <c r="G125" s="12" t="s">
        <v>9472</v>
      </c>
      <c r="H125" s="12" t="s">
        <v>48</v>
      </c>
      <c r="I125" s="12" t="s">
        <v>9473</v>
      </c>
      <c r="J125" s="12" t="s">
        <v>48</v>
      </c>
      <c r="K125" s="12" t="s">
        <v>9474</v>
      </c>
      <c r="L125" s="12">
        <v>2145000</v>
      </c>
      <c r="M125" s="12">
        <v>3300000</v>
      </c>
      <c r="N125" s="12" t="s">
        <v>9475</v>
      </c>
      <c r="O125" s="16">
        <v>45653</v>
      </c>
      <c r="P125" s="12" t="s">
        <v>9476</v>
      </c>
      <c r="Q125" s="12" t="s">
        <v>9477</v>
      </c>
      <c r="R125" s="12" t="s">
        <v>146</v>
      </c>
      <c r="S125" s="12" t="s">
        <v>9478</v>
      </c>
      <c r="T125" s="12" t="s">
        <v>1128</v>
      </c>
      <c r="U125" s="12" t="s">
        <v>496</v>
      </c>
      <c r="V125" s="16">
        <v>44559</v>
      </c>
      <c r="W125" s="12" t="s">
        <v>8102</v>
      </c>
      <c r="X125" s="12" t="s">
        <v>8103</v>
      </c>
      <c r="Y125" s="12" t="s">
        <v>9479</v>
      </c>
      <c r="Z125" s="12">
        <v>5</v>
      </c>
      <c r="AA125" s="12" t="s">
        <v>55</v>
      </c>
      <c r="AB125" s="12" t="s">
        <v>9480</v>
      </c>
      <c r="AC125" s="12" t="s">
        <v>4015</v>
      </c>
      <c r="AD125" s="12" t="s">
        <v>299</v>
      </c>
      <c r="AE125" s="12">
        <v>2805000</v>
      </c>
      <c r="AF125" s="13">
        <v>42075</v>
      </c>
      <c r="AG125" s="12"/>
      <c r="AH125" s="12"/>
      <c r="AI125" s="12"/>
      <c r="AJ125" s="12" t="s">
        <v>12125</v>
      </c>
      <c r="AK125" s="11">
        <v>42075</v>
      </c>
      <c r="AL125" s="12"/>
      <c r="AM125" s="14">
        <f t="shared" si="1"/>
        <v>0</v>
      </c>
      <c r="AN125" s="12" t="s">
        <v>12004</v>
      </c>
    </row>
    <row r="126" spans="1:40" x14ac:dyDescent="0.25">
      <c r="A126" s="9">
        <v>790</v>
      </c>
      <c r="B126" s="18" t="s">
        <v>8030</v>
      </c>
      <c r="C126" s="9" t="s">
        <v>9481</v>
      </c>
      <c r="D126" s="9" t="s">
        <v>37</v>
      </c>
      <c r="E126" s="9" t="s">
        <v>9482</v>
      </c>
      <c r="F126" s="9" t="s">
        <v>138</v>
      </c>
      <c r="G126" s="9" t="s">
        <v>9483</v>
      </c>
      <c r="H126" s="9" t="s">
        <v>9484</v>
      </c>
      <c r="I126" s="9" t="s">
        <v>9484</v>
      </c>
      <c r="J126" s="9" t="s">
        <v>9484</v>
      </c>
      <c r="K126" s="9" t="s">
        <v>9485</v>
      </c>
      <c r="L126" s="9">
        <v>2345000</v>
      </c>
      <c r="M126" s="9">
        <v>3350000</v>
      </c>
      <c r="N126" s="9" t="s">
        <v>9486</v>
      </c>
      <c r="O126" s="9" t="s">
        <v>9487</v>
      </c>
      <c r="P126" s="9" t="s">
        <v>9488</v>
      </c>
      <c r="Q126" s="9" t="s">
        <v>9489</v>
      </c>
      <c r="R126" s="9" t="s">
        <v>146</v>
      </c>
      <c r="S126" s="9" t="s">
        <v>9490</v>
      </c>
      <c r="T126" s="9" t="s">
        <v>8860</v>
      </c>
      <c r="U126" s="9" t="s">
        <v>335</v>
      </c>
      <c r="V126" s="10">
        <v>45289</v>
      </c>
      <c r="W126" s="9" t="s">
        <v>8767</v>
      </c>
      <c r="X126" s="9" t="s">
        <v>8103</v>
      </c>
      <c r="Y126" s="9" t="s">
        <v>9491</v>
      </c>
      <c r="Z126" s="9">
        <v>3</v>
      </c>
      <c r="AA126" s="9" t="s">
        <v>152</v>
      </c>
      <c r="AB126" s="9" t="s">
        <v>9492</v>
      </c>
      <c r="AC126" s="9" t="s">
        <v>9493</v>
      </c>
      <c r="AD126" s="9" t="s">
        <v>86</v>
      </c>
      <c r="AE126" s="9">
        <v>3015000</v>
      </c>
      <c r="AF126" s="11">
        <v>52763</v>
      </c>
      <c r="AG126" s="9"/>
      <c r="AH126" s="9"/>
      <c r="AI126" s="9"/>
      <c r="AJ126" s="9" t="s">
        <v>12126</v>
      </c>
      <c r="AK126" s="11">
        <v>52763</v>
      </c>
      <c r="AL126" s="12"/>
      <c r="AM126" s="14">
        <f t="shared" si="1"/>
        <v>0</v>
      </c>
      <c r="AN126" s="12" t="s">
        <v>12004</v>
      </c>
    </row>
    <row r="127" spans="1:40" x14ac:dyDescent="0.25">
      <c r="A127" s="12">
        <v>791</v>
      </c>
      <c r="B127" s="18" t="s">
        <v>8030</v>
      </c>
      <c r="C127" s="12" t="s">
        <v>9494</v>
      </c>
      <c r="D127" s="12" t="s">
        <v>37</v>
      </c>
      <c r="E127" s="12" t="s">
        <v>9495</v>
      </c>
      <c r="F127" s="12" t="s">
        <v>138</v>
      </c>
      <c r="G127" s="12" t="s">
        <v>9496</v>
      </c>
      <c r="H127" s="12" t="s">
        <v>9497</v>
      </c>
      <c r="I127" s="12" t="s">
        <v>9497</v>
      </c>
      <c r="J127" s="12" t="s">
        <v>9498</v>
      </c>
      <c r="K127" s="12" t="s">
        <v>9499</v>
      </c>
      <c r="L127" s="12">
        <v>1722500</v>
      </c>
      <c r="M127" s="12">
        <v>2650000</v>
      </c>
      <c r="N127" s="12" t="s">
        <v>9500</v>
      </c>
      <c r="O127" s="12" t="s">
        <v>9487</v>
      </c>
      <c r="P127" s="12" t="s">
        <v>9501</v>
      </c>
      <c r="Q127" s="12" t="s">
        <v>9502</v>
      </c>
      <c r="R127" s="12" t="s">
        <v>146</v>
      </c>
      <c r="S127" s="12" t="s">
        <v>9503</v>
      </c>
      <c r="T127" s="12" t="s">
        <v>613</v>
      </c>
      <c r="U127" s="12" t="s">
        <v>50</v>
      </c>
      <c r="V127" s="16">
        <v>45289</v>
      </c>
      <c r="W127" s="12" t="s">
        <v>8767</v>
      </c>
      <c r="X127" s="12" t="s">
        <v>8455</v>
      </c>
      <c r="Y127" s="12" t="s">
        <v>9504</v>
      </c>
      <c r="Z127" s="12">
        <v>5</v>
      </c>
      <c r="AA127" s="12" t="s">
        <v>152</v>
      </c>
      <c r="AB127" s="12" t="s">
        <v>9505</v>
      </c>
      <c r="AC127" s="12" t="s">
        <v>9493</v>
      </c>
      <c r="AD127" s="12" t="s">
        <v>86</v>
      </c>
      <c r="AE127" s="12">
        <v>2385000</v>
      </c>
      <c r="AF127" s="13">
        <v>41738</v>
      </c>
      <c r="AG127" s="12"/>
      <c r="AH127" s="12"/>
      <c r="AI127" s="12"/>
      <c r="AJ127" s="12" t="s">
        <v>12127</v>
      </c>
      <c r="AK127" s="11">
        <v>41738</v>
      </c>
      <c r="AL127" s="12"/>
      <c r="AM127" s="14">
        <f t="shared" si="1"/>
        <v>0</v>
      </c>
      <c r="AN127" s="12" t="s">
        <v>12004</v>
      </c>
    </row>
    <row r="128" spans="1:40" x14ac:dyDescent="0.25">
      <c r="A128" s="9">
        <v>792</v>
      </c>
      <c r="B128" s="18" t="s">
        <v>8030</v>
      </c>
      <c r="C128" s="9" t="s">
        <v>9506</v>
      </c>
      <c r="D128" s="9" t="s">
        <v>37</v>
      </c>
      <c r="E128" s="9" t="s">
        <v>9507</v>
      </c>
      <c r="F128" s="9" t="s">
        <v>107</v>
      </c>
      <c r="G128" s="9" t="s">
        <v>9508</v>
      </c>
      <c r="H128" s="9" t="s">
        <v>9509</v>
      </c>
      <c r="I128" s="9" t="s">
        <v>9509</v>
      </c>
      <c r="J128" s="9" t="s">
        <v>9509</v>
      </c>
      <c r="K128" s="9" t="s">
        <v>9510</v>
      </c>
      <c r="L128" s="9">
        <v>760000</v>
      </c>
      <c r="M128" s="9">
        <v>950000</v>
      </c>
      <c r="N128" s="9" t="s">
        <v>9511</v>
      </c>
      <c r="O128" s="10">
        <v>45653</v>
      </c>
      <c r="P128" s="9" t="s">
        <v>9512</v>
      </c>
      <c r="Q128" s="9" t="s">
        <v>9513</v>
      </c>
      <c r="R128" s="9" t="s">
        <v>146</v>
      </c>
      <c r="S128" s="9" t="s">
        <v>9514</v>
      </c>
      <c r="T128" s="9" t="s">
        <v>639</v>
      </c>
      <c r="U128" s="9" t="s">
        <v>496</v>
      </c>
      <c r="V128" s="10">
        <v>44561</v>
      </c>
      <c r="W128" s="9" t="s">
        <v>8102</v>
      </c>
      <c r="X128" s="9" t="s">
        <v>8103</v>
      </c>
      <c r="Y128" s="9" t="s">
        <v>9515</v>
      </c>
      <c r="Z128" s="9">
        <v>5</v>
      </c>
      <c r="AA128" s="9" t="s">
        <v>55</v>
      </c>
      <c r="AB128" s="9" t="s">
        <v>9516</v>
      </c>
      <c r="AC128" s="9" t="s">
        <v>9248</v>
      </c>
      <c r="AD128" s="9" t="s">
        <v>299</v>
      </c>
      <c r="AE128" s="9">
        <v>807500</v>
      </c>
      <c r="AF128" s="11">
        <v>12113</v>
      </c>
      <c r="AG128" s="9"/>
      <c r="AH128" s="9"/>
      <c r="AI128" s="9"/>
      <c r="AJ128" s="9" t="s">
        <v>12128</v>
      </c>
      <c r="AK128" s="11">
        <v>12113</v>
      </c>
      <c r="AL128" s="12"/>
      <c r="AM128" s="14">
        <f t="shared" si="1"/>
        <v>0</v>
      </c>
      <c r="AN128" s="12" t="s">
        <v>12004</v>
      </c>
    </row>
    <row r="129" spans="1:40" x14ac:dyDescent="0.25">
      <c r="A129" s="12">
        <v>793</v>
      </c>
      <c r="B129" s="18" t="s">
        <v>8030</v>
      </c>
      <c r="C129" s="12" t="s">
        <v>9517</v>
      </c>
      <c r="D129" s="12" t="s">
        <v>37</v>
      </c>
      <c r="E129" s="12" t="s">
        <v>9518</v>
      </c>
      <c r="F129" s="12" t="s">
        <v>8094</v>
      </c>
      <c r="G129" s="12" t="s">
        <v>9519</v>
      </c>
      <c r="H129" s="12" t="s">
        <v>48</v>
      </c>
      <c r="I129" s="12" t="s">
        <v>9520</v>
      </c>
      <c r="J129" s="12" t="s">
        <v>48</v>
      </c>
      <c r="K129" s="12" t="s">
        <v>9521</v>
      </c>
      <c r="L129" s="12">
        <v>965340</v>
      </c>
      <c r="M129" s="12">
        <v>1608900</v>
      </c>
      <c r="N129" s="12" t="s">
        <v>9522</v>
      </c>
      <c r="O129" s="16">
        <v>45653</v>
      </c>
      <c r="P129" s="12" t="s">
        <v>9523</v>
      </c>
      <c r="Q129" s="12" t="s">
        <v>9524</v>
      </c>
      <c r="R129" s="12" t="s">
        <v>47</v>
      </c>
      <c r="S129" s="12" t="s">
        <v>48</v>
      </c>
      <c r="T129" s="12" t="s">
        <v>4833</v>
      </c>
      <c r="U129" s="12" t="s">
        <v>50</v>
      </c>
      <c r="V129" s="16">
        <v>44379</v>
      </c>
      <c r="W129" s="12" t="s">
        <v>8102</v>
      </c>
      <c r="X129" s="12" t="s">
        <v>8103</v>
      </c>
      <c r="Y129" s="12" t="s">
        <v>9525</v>
      </c>
      <c r="Z129" s="12">
        <v>5</v>
      </c>
      <c r="AA129" s="12" t="s">
        <v>55</v>
      </c>
      <c r="AB129" s="12" t="s">
        <v>9526</v>
      </c>
      <c r="AC129" s="12" t="s">
        <v>5575</v>
      </c>
      <c r="AD129" s="12" t="s">
        <v>58</v>
      </c>
      <c r="AE129" s="12">
        <v>1367565</v>
      </c>
      <c r="AF129" s="13">
        <v>27351</v>
      </c>
      <c r="AG129" s="12"/>
      <c r="AH129" s="12"/>
      <c r="AI129" s="12"/>
      <c r="AJ129" s="12" t="s">
        <v>12129</v>
      </c>
      <c r="AK129" s="11">
        <v>27351</v>
      </c>
      <c r="AL129" s="12"/>
      <c r="AM129" s="14">
        <f t="shared" si="1"/>
        <v>0</v>
      </c>
      <c r="AN129" s="12" t="s">
        <v>12004</v>
      </c>
    </row>
    <row r="130" spans="1:40" x14ac:dyDescent="0.25">
      <c r="A130" s="9">
        <v>794</v>
      </c>
      <c r="B130" s="18" t="s">
        <v>8030</v>
      </c>
      <c r="C130" s="9" t="s">
        <v>9527</v>
      </c>
      <c r="D130" s="9" t="s">
        <v>37</v>
      </c>
      <c r="E130" s="9" t="s">
        <v>9528</v>
      </c>
      <c r="F130" s="9" t="s">
        <v>138</v>
      </c>
      <c r="G130" s="9" t="s">
        <v>9529</v>
      </c>
      <c r="H130" s="9" t="s">
        <v>48</v>
      </c>
      <c r="I130" s="9" t="s">
        <v>9530</v>
      </c>
      <c r="J130" s="9" t="s">
        <v>48</v>
      </c>
      <c r="K130" s="9" t="s">
        <v>9531</v>
      </c>
      <c r="L130" s="9">
        <v>1062300</v>
      </c>
      <c r="M130" s="9">
        <v>3541000</v>
      </c>
      <c r="N130" s="9" t="s">
        <v>9532</v>
      </c>
      <c r="O130" s="10">
        <v>45653</v>
      </c>
      <c r="P130" s="9" t="s">
        <v>9533</v>
      </c>
      <c r="Q130" s="9" t="s">
        <v>9534</v>
      </c>
      <c r="R130" s="9" t="s">
        <v>47</v>
      </c>
      <c r="S130" s="9" t="s">
        <v>48</v>
      </c>
      <c r="T130" s="9" t="s">
        <v>650</v>
      </c>
      <c r="U130" s="9" t="s">
        <v>148</v>
      </c>
      <c r="V130" s="10">
        <v>44629</v>
      </c>
      <c r="W130" s="9" t="s">
        <v>8883</v>
      </c>
      <c r="X130" s="9" t="s">
        <v>8076</v>
      </c>
      <c r="Y130" s="9" t="s">
        <v>9535</v>
      </c>
      <c r="Z130" s="9">
        <v>3</v>
      </c>
      <c r="AA130" s="9" t="s">
        <v>55</v>
      </c>
      <c r="AB130" s="9" t="s">
        <v>9536</v>
      </c>
      <c r="AC130" s="9" t="s">
        <v>3988</v>
      </c>
      <c r="AD130" s="9" t="s">
        <v>58</v>
      </c>
      <c r="AE130" s="9">
        <v>3186900</v>
      </c>
      <c r="AF130" s="11">
        <v>63738</v>
      </c>
      <c r="AG130" s="9"/>
      <c r="AH130" s="9"/>
      <c r="AI130" s="9"/>
      <c r="AJ130" s="9" t="s">
        <v>12130</v>
      </c>
      <c r="AK130" s="11">
        <v>63738</v>
      </c>
      <c r="AL130" s="12"/>
      <c r="AM130" s="14">
        <f t="shared" si="1"/>
        <v>0</v>
      </c>
      <c r="AN130" s="12" t="s">
        <v>12004</v>
      </c>
    </row>
    <row r="131" spans="1:40" x14ac:dyDescent="0.25">
      <c r="A131" s="12">
        <v>795</v>
      </c>
      <c r="B131" s="18" t="s">
        <v>8030</v>
      </c>
      <c r="C131" s="12" t="s">
        <v>9537</v>
      </c>
      <c r="D131" s="12" t="s">
        <v>37</v>
      </c>
      <c r="E131" s="12" t="s">
        <v>9538</v>
      </c>
      <c r="F131" s="12" t="s">
        <v>245</v>
      </c>
      <c r="G131" s="12" t="s">
        <v>9539</v>
      </c>
      <c r="H131" s="12" t="s">
        <v>9540</v>
      </c>
      <c r="I131" s="12" t="s">
        <v>9541</v>
      </c>
      <c r="J131" s="12" t="s">
        <v>9542</v>
      </c>
      <c r="K131" s="12" t="s">
        <v>9543</v>
      </c>
      <c r="L131" s="12">
        <v>2854500</v>
      </c>
      <c r="M131" s="12">
        <v>5190000</v>
      </c>
      <c r="N131" s="12" t="s">
        <v>9544</v>
      </c>
      <c r="O131" s="16">
        <v>45653</v>
      </c>
      <c r="P131" s="12" t="s">
        <v>9545</v>
      </c>
      <c r="Q131" s="12" t="s">
        <v>9546</v>
      </c>
      <c r="R131" s="12" t="s">
        <v>47</v>
      </c>
      <c r="S131" s="12" t="s">
        <v>48</v>
      </c>
      <c r="T131" s="12" t="s">
        <v>2371</v>
      </c>
      <c r="U131" s="12" t="s">
        <v>50</v>
      </c>
      <c r="V131" s="16">
        <v>44559</v>
      </c>
      <c r="W131" s="12" t="s">
        <v>8102</v>
      </c>
      <c r="X131" s="12" t="s">
        <v>8115</v>
      </c>
      <c r="Y131" s="12" t="s">
        <v>9547</v>
      </c>
      <c r="Z131" s="12">
        <v>4</v>
      </c>
      <c r="AA131" s="12" t="s">
        <v>48</v>
      </c>
      <c r="AB131" s="12" t="s">
        <v>48</v>
      </c>
      <c r="AC131" s="12" t="s">
        <v>48</v>
      </c>
      <c r="AD131" s="12" t="s">
        <v>58</v>
      </c>
      <c r="AE131" s="12">
        <v>4411500</v>
      </c>
      <c r="AF131" s="13">
        <v>88230</v>
      </c>
      <c r="AG131" s="12"/>
      <c r="AH131" s="12"/>
      <c r="AI131" s="12"/>
      <c r="AJ131" s="12" t="s">
        <v>12131</v>
      </c>
      <c r="AK131" s="11">
        <v>88230</v>
      </c>
      <c r="AL131" s="12"/>
      <c r="AM131" s="14">
        <f t="shared" ref="AM131:AM194" si="2">AF131-AK131</f>
        <v>0</v>
      </c>
      <c r="AN131" s="12" t="s">
        <v>12004</v>
      </c>
    </row>
    <row r="132" spans="1:40" x14ac:dyDescent="0.25">
      <c r="A132" s="9">
        <v>796</v>
      </c>
      <c r="B132" s="18" t="s">
        <v>8030</v>
      </c>
      <c r="C132" s="9" t="s">
        <v>9548</v>
      </c>
      <c r="D132" s="9" t="s">
        <v>37</v>
      </c>
      <c r="E132" s="9" t="s">
        <v>9549</v>
      </c>
      <c r="F132" s="9" t="s">
        <v>107</v>
      </c>
      <c r="G132" s="9" t="s">
        <v>9550</v>
      </c>
      <c r="H132" s="9" t="s">
        <v>9551</v>
      </c>
      <c r="I132" s="9" t="s">
        <v>9551</v>
      </c>
      <c r="J132" s="9" t="s">
        <v>9551</v>
      </c>
      <c r="K132" s="9" t="s">
        <v>9552</v>
      </c>
      <c r="L132" s="9">
        <v>2625000</v>
      </c>
      <c r="M132" s="9">
        <v>3750000</v>
      </c>
      <c r="N132" s="9" t="s">
        <v>9553</v>
      </c>
      <c r="O132" s="10">
        <v>45653</v>
      </c>
      <c r="P132" s="9" t="s">
        <v>9554</v>
      </c>
      <c r="Q132" s="9" t="s">
        <v>9555</v>
      </c>
      <c r="R132" s="9" t="s">
        <v>146</v>
      </c>
      <c r="S132" s="9" t="s">
        <v>9556</v>
      </c>
      <c r="T132" s="9" t="s">
        <v>714</v>
      </c>
      <c r="U132" s="9" t="s">
        <v>496</v>
      </c>
      <c r="V132" s="10">
        <v>44561</v>
      </c>
      <c r="W132" s="9" t="s">
        <v>8102</v>
      </c>
      <c r="X132" s="9" t="s">
        <v>8103</v>
      </c>
      <c r="Y132" s="9" t="s">
        <v>9557</v>
      </c>
      <c r="Z132" s="9">
        <v>5</v>
      </c>
      <c r="AA132" s="9" t="s">
        <v>55</v>
      </c>
      <c r="AB132" s="9" t="s">
        <v>9558</v>
      </c>
      <c r="AC132" s="9" t="s">
        <v>8563</v>
      </c>
      <c r="AD132" s="9" t="s">
        <v>299</v>
      </c>
      <c r="AE132" s="9">
        <v>3187500</v>
      </c>
      <c r="AF132" s="11">
        <v>47813</v>
      </c>
      <c r="AG132" s="9"/>
      <c r="AH132" s="9"/>
      <c r="AI132" s="9"/>
      <c r="AJ132" s="9" t="s">
        <v>12132</v>
      </c>
      <c r="AK132" s="11">
        <v>47813</v>
      </c>
      <c r="AL132" s="12"/>
      <c r="AM132" s="14">
        <f t="shared" si="2"/>
        <v>0</v>
      </c>
      <c r="AN132" s="12" t="s">
        <v>12004</v>
      </c>
    </row>
    <row r="133" spans="1:40" x14ac:dyDescent="0.25">
      <c r="A133" s="12">
        <v>797</v>
      </c>
      <c r="B133" s="18" t="s">
        <v>8030</v>
      </c>
      <c r="C133" s="12" t="s">
        <v>9559</v>
      </c>
      <c r="D133" s="12" t="s">
        <v>37</v>
      </c>
      <c r="E133" s="12" t="s">
        <v>9560</v>
      </c>
      <c r="F133" s="12" t="s">
        <v>39</v>
      </c>
      <c r="G133" s="12" t="s">
        <v>9561</v>
      </c>
      <c r="H133" s="12" t="s">
        <v>9562</v>
      </c>
      <c r="I133" s="12" t="s">
        <v>9563</v>
      </c>
      <c r="J133" s="12" t="s">
        <v>9562</v>
      </c>
      <c r="K133" s="12" t="s">
        <v>9564</v>
      </c>
      <c r="L133" s="12">
        <v>2612025</v>
      </c>
      <c r="M133" s="12">
        <v>4018500</v>
      </c>
      <c r="N133" s="12" t="s">
        <v>9565</v>
      </c>
      <c r="O133" s="16">
        <v>45653</v>
      </c>
      <c r="P133" s="12" t="s">
        <v>9566</v>
      </c>
      <c r="Q133" s="12" t="s">
        <v>9567</v>
      </c>
      <c r="R133" s="12" t="s">
        <v>47</v>
      </c>
      <c r="S133" s="12" t="s">
        <v>48</v>
      </c>
      <c r="T133" s="12" t="s">
        <v>1065</v>
      </c>
      <c r="U133" s="12" t="s">
        <v>50</v>
      </c>
      <c r="V133" s="16">
        <v>44459</v>
      </c>
      <c r="W133" s="12" t="s">
        <v>2981</v>
      </c>
      <c r="X133" s="12" t="s">
        <v>8273</v>
      </c>
      <c r="Y133" s="12" t="s">
        <v>9568</v>
      </c>
      <c r="Z133" s="12">
        <v>3</v>
      </c>
      <c r="AA133" s="12" t="s">
        <v>55</v>
      </c>
      <c r="AB133" s="12" t="s">
        <v>9569</v>
      </c>
      <c r="AC133" s="12" t="s">
        <v>361</v>
      </c>
      <c r="AD133" s="12" t="s">
        <v>58</v>
      </c>
      <c r="AE133" s="12">
        <v>3415725</v>
      </c>
      <c r="AF133" s="13">
        <v>68315</v>
      </c>
      <c r="AG133" s="12"/>
      <c r="AH133" s="12"/>
      <c r="AI133" s="12"/>
      <c r="AJ133" s="12" t="s">
        <v>12133</v>
      </c>
      <c r="AK133" s="11">
        <v>68315</v>
      </c>
      <c r="AL133" s="12"/>
      <c r="AM133" s="14">
        <f t="shared" si="2"/>
        <v>0</v>
      </c>
      <c r="AN133" s="12" t="s">
        <v>12004</v>
      </c>
    </row>
    <row r="134" spans="1:40" x14ac:dyDescent="0.25">
      <c r="A134" s="9">
        <v>798</v>
      </c>
      <c r="B134" s="18" t="s">
        <v>8030</v>
      </c>
      <c r="C134" s="9" t="s">
        <v>9570</v>
      </c>
      <c r="D134" s="9" t="s">
        <v>37</v>
      </c>
      <c r="E134" s="9" t="s">
        <v>9571</v>
      </c>
      <c r="F134" s="9" t="s">
        <v>245</v>
      </c>
      <c r="G134" s="9" t="s">
        <v>9572</v>
      </c>
      <c r="H134" s="9" t="s">
        <v>9573</v>
      </c>
      <c r="I134" s="9" t="s">
        <v>48</v>
      </c>
      <c r="J134" s="9" t="s">
        <v>141</v>
      </c>
      <c r="K134" s="9" t="s">
        <v>9574</v>
      </c>
      <c r="L134" s="9">
        <v>1855000</v>
      </c>
      <c r="M134" s="9">
        <v>2650000</v>
      </c>
      <c r="N134" s="9" t="s">
        <v>9575</v>
      </c>
      <c r="O134" s="10">
        <v>45653</v>
      </c>
      <c r="P134" s="9" t="s">
        <v>9576</v>
      </c>
      <c r="Q134" s="9" t="s">
        <v>9577</v>
      </c>
      <c r="R134" s="9" t="s">
        <v>47</v>
      </c>
      <c r="S134" s="9" t="s">
        <v>48</v>
      </c>
      <c r="T134" s="9" t="s">
        <v>2587</v>
      </c>
      <c r="U134" s="9" t="s">
        <v>50</v>
      </c>
      <c r="V134" s="10">
        <v>44377</v>
      </c>
      <c r="W134" s="9" t="s">
        <v>2981</v>
      </c>
      <c r="X134" s="9" t="s">
        <v>2982</v>
      </c>
      <c r="Y134" s="9" t="s">
        <v>9578</v>
      </c>
      <c r="Z134" s="9">
        <v>5</v>
      </c>
      <c r="AA134" s="9" t="s">
        <v>118</v>
      </c>
      <c r="AB134" s="9" t="s">
        <v>9579</v>
      </c>
      <c r="AC134" s="9" t="s">
        <v>361</v>
      </c>
      <c r="AD134" s="9" t="s">
        <v>58</v>
      </c>
      <c r="AE134" s="9">
        <v>2252500</v>
      </c>
      <c r="AF134" s="11">
        <v>45050</v>
      </c>
      <c r="AG134" s="9"/>
      <c r="AH134" s="9"/>
      <c r="AI134" s="9"/>
      <c r="AJ134" s="9" t="s">
        <v>12134</v>
      </c>
      <c r="AK134" s="11">
        <v>45050</v>
      </c>
      <c r="AL134" s="12"/>
      <c r="AM134" s="14">
        <f t="shared" si="2"/>
        <v>0</v>
      </c>
      <c r="AN134" s="12" t="s">
        <v>12004</v>
      </c>
    </row>
    <row r="135" spans="1:40" x14ac:dyDescent="0.25">
      <c r="A135" s="12">
        <v>799</v>
      </c>
      <c r="B135" s="18" t="s">
        <v>8030</v>
      </c>
      <c r="C135" s="12" t="s">
        <v>9580</v>
      </c>
      <c r="D135" s="12" t="s">
        <v>37</v>
      </c>
      <c r="E135" s="12" t="s">
        <v>9581</v>
      </c>
      <c r="F135" s="12" t="s">
        <v>89</v>
      </c>
      <c r="G135" s="12" t="s">
        <v>9582</v>
      </c>
      <c r="H135" s="12" t="s">
        <v>9583</v>
      </c>
      <c r="I135" s="12" t="s">
        <v>9583</v>
      </c>
      <c r="J135" s="12" t="s">
        <v>9583</v>
      </c>
      <c r="K135" s="12" t="s">
        <v>9584</v>
      </c>
      <c r="L135" s="12">
        <v>2250000</v>
      </c>
      <c r="M135" s="12">
        <v>3000000</v>
      </c>
      <c r="N135" s="12" t="s">
        <v>9585</v>
      </c>
      <c r="O135" s="16">
        <v>45653</v>
      </c>
      <c r="P135" s="12" t="s">
        <v>9586</v>
      </c>
      <c r="Q135" s="12" t="s">
        <v>9587</v>
      </c>
      <c r="R135" s="12" t="s">
        <v>146</v>
      </c>
      <c r="S135" s="12" t="s">
        <v>9588</v>
      </c>
      <c r="T135" s="12" t="s">
        <v>2304</v>
      </c>
      <c r="U135" s="12" t="s">
        <v>614</v>
      </c>
      <c r="V135" s="16">
        <v>44194</v>
      </c>
      <c r="W135" s="12" t="s">
        <v>8114</v>
      </c>
      <c r="X135" s="12" t="s">
        <v>8115</v>
      </c>
      <c r="Y135" s="12" t="s">
        <v>9589</v>
      </c>
      <c r="Z135" s="12">
        <v>5</v>
      </c>
      <c r="AA135" s="12" t="s">
        <v>152</v>
      </c>
      <c r="AB135" s="12" t="s">
        <v>9590</v>
      </c>
      <c r="AC135" s="12" t="s">
        <v>9591</v>
      </c>
      <c r="AD135" s="12" t="s">
        <v>58</v>
      </c>
      <c r="AE135" s="12">
        <v>2400000</v>
      </c>
      <c r="AF135" s="13">
        <v>48000</v>
      </c>
      <c r="AG135" s="12"/>
      <c r="AH135" s="12"/>
      <c r="AI135" s="12"/>
      <c r="AJ135" s="12" t="s">
        <v>12135</v>
      </c>
      <c r="AK135" s="11">
        <v>48000</v>
      </c>
      <c r="AL135" s="12"/>
      <c r="AM135" s="14">
        <f t="shared" si="2"/>
        <v>0</v>
      </c>
      <c r="AN135" s="12" t="s">
        <v>12004</v>
      </c>
    </row>
    <row r="136" spans="1:40" x14ac:dyDescent="0.25">
      <c r="A136" s="9">
        <v>800</v>
      </c>
      <c r="B136" s="18" t="s">
        <v>8030</v>
      </c>
      <c r="C136" s="9" t="s">
        <v>9592</v>
      </c>
      <c r="D136" s="9" t="s">
        <v>37</v>
      </c>
      <c r="E136" s="9" t="s">
        <v>9593</v>
      </c>
      <c r="F136" s="9" t="s">
        <v>8158</v>
      </c>
      <c r="G136" s="9" t="s">
        <v>9594</v>
      </c>
      <c r="H136" s="9" t="s">
        <v>9595</v>
      </c>
      <c r="I136" s="9" t="s">
        <v>9596</v>
      </c>
      <c r="J136" s="9" t="s">
        <v>9597</v>
      </c>
      <c r="K136" s="9" t="s">
        <v>9598</v>
      </c>
      <c r="L136" s="9">
        <v>1844500</v>
      </c>
      <c r="M136" s="9">
        <v>2635000</v>
      </c>
      <c r="N136" s="9" t="s">
        <v>9599</v>
      </c>
      <c r="O136" s="10">
        <v>45653</v>
      </c>
      <c r="P136" s="9" t="s">
        <v>9600</v>
      </c>
      <c r="Q136" s="9" t="s">
        <v>9601</v>
      </c>
      <c r="R136" s="9" t="s">
        <v>146</v>
      </c>
      <c r="S136" s="9" t="s">
        <v>9602</v>
      </c>
      <c r="T136" s="9" t="s">
        <v>2113</v>
      </c>
      <c r="U136" s="9" t="s">
        <v>98</v>
      </c>
      <c r="V136" s="10">
        <v>44559</v>
      </c>
      <c r="W136" s="9" t="s">
        <v>8102</v>
      </c>
      <c r="X136" s="9" t="s">
        <v>8103</v>
      </c>
      <c r="Y136" s="9" t="s">
        <v>9603</v>
      </c>
      <c r="Z136" s="9">
        <v>5</v>
      </c>
      <c r="AA136" s="9" t="s">
        <v>118</v>
      </c>
      <c r="AB136" s="9" t="s">
        <v>9604</v>
      </c>
      <c r="AC136" s="9" t="s">
        <v>9248</v>
      </c>
      <c r="AD136" s="9" t="s">
        <v>299</v>
      </c>
      <c r="AE136" s="9">
        <v>2239750</v>
      </c>
      <c r="AF136" s="11">
        <v>33596</v>
      </c>
      <c r="AG136" s="9"/>
      <c r="AH136" s="9"/>
      <c r="AI136" s="9"/>
      <c r="AJ136" s="9" t="s">
        <v>12136</v>
      </c>
      <c r="AK136" s="11">
        <v>33596</v>
      </c>
      <c r="AL136" s="12"/>
      <c r="AM136" s="14">
        <f t="shared" si="2"/>
        <v>0</v>
      </c>
      <c r="AN136" s="12" t="s">
        <v>12004</v>
      </c>
    </row>
    <row r="137" spans="1:40" x14ac:dyDescent="0.25">
      <c r="A137" s="12">
        <v>801</v>
      </c>
      <c r="B137" s="18" t="s">
        <v>8030</v>
      </c>
      <c r="C137" s="12" t="s">
        <v>9605</v>
      </c>
      <c r="D137" s="12" t="s">
        <v>37</v>
      </c>
      <c r="E137" s="12" t="s">
        <v>9606</v>
      </c>
      <c r="F137" s="12" t="s">
        <v>107</v>
      </c>
      <c r="G137" s="12" t="s">
        <v>9607</v>
      </c>
      <c r="H137" s="12" t="s">
        <v>9608</v>
      </c>
      <c r="I137" s="12" t="s">
        <v>9608</v>
      </c>
      <c r="J137" s="12" t="s">
        <v>9609</v>
      </c>
      <c r="K137" s="12" t="s">
        <v>9610</v>
      </c>
      <c r="L137" s="12">
        <v>1600000</v>
      </c>
      <c r="M137" s="12">
        <v>2000000</v>
      </c>
      <c r="N137" s="12" t="s">
        <v>9611</v>
      </c>
      <c r="O137" s="16">
        <v>45653</v>
      </c>
      <c r="P137" s="12" t="s">
        <v>9612</v>
      </c>
      <c r="Q137" s="12" t="s">
        <v>9613</v>
      </c>
      <c r="R137" s="12" t="s">
        <v>146</v>
      </c>
      <c r="S137" s="12" t="s">
        <v>9614</v>
      </c>
      <c r="T137" s="12" t="s">
        <v>2461</v>
      </c>
      <c r="U137" s="12" t="s">
        <v>50</v>
      </c>
      <c r="V137" s="16">
        <v>44560</v>
      </c>
      <c r="W137" s="12" t="s">
        <v>8102</v>
      </c>
      <c r="X137" s="12" t="s">
        <v>8103</v>
      </c>
      <c r="Y137" s="12" t="s">
        <v>9615</v>
      </c>
      <c r="Z137" s="12">
        <v>5</v>
      </c>
      <c r="AA137" s="12" t="s">
        <v>55</v>
      </c>
      <c r="AB137" s="12" t="s">
        <v>9616</v>
      </c>
      <c r="AC137" s="12" t="s">
        <v>361</v>
      </c>
      <c r="AD137" s="12" t="s">
        <v>299</v>
      </c>
      <c r="AE137" s="12">
        <v>1700000</v>
      </c>
      <c r="AF137" s="13">
        <v>25500</v>
      </c>
      <c r="AG137" s="12"/>
      <c r="AH137" s="12"/>
      <c r="AI137" s="12"/>
      <c r="AJ137" s="12" t="s">
        <v>12137</v>
      </c>
      <c r="AK137" s="11">
        <v>25500</v>
      </c>
      <c r="AL137" s="12"/>
      <c r="AM137" s="14">
        <f t="shared" si="2"/>
        <v>0</v>
      </c>
      <c r="AN137" s="12" t="s">
        <v>12004</v>
      </c>
    </row>
    <row r="138" spans="1:40" x14ac:dyDescent="0.25">
      <c r="A138" s="9">
        <v>802</v>
      </c>
      <c r="B138" s="18" t="s">
        <v>8030</v>
      </c>
      <c r="C138" s="9" t="s">
        <v>9617</v>
      </c>
      <c r="D138" s="9" t="s">
        <v>37</v>
      </c>
      <c r="E138" s="9" t="s">
        <v>9618</v>
      </c>
      <c r="F138" s="9" t="s">
        <v>245</v>
      </c>
      <c r="G138" s="9" t="s">
        <v>9619</v>
      </c>
      <c r="H138" s="9" t="s">
        <v>48</v>
      </c>
      <c r="I138" s="9" t="s">
        <v>9620</v>
      </c>
      <c r="J138" s="9" t="s">
        <v>48</v>
      </c>
      <c r="K138" s="9" t="s">
        <v>9621</v>
      </c>
      <c r="L138" s="9">
        <v>1460000</v>
      </c>
      <c r="M138" s="9">
        <v>1825000</v>
      </c>
      <c r="N138" s="9" t="s">
        <v>9622</v>
      </c>
      <c r="O138" s="10">
        <v>45653</v>
      </c>
      <c r="P138" s="9" t="s">
        <v>9623</v>
      </c>
      <c r="Q138" s="9" t="s">
        <v>9624</v>
      </c>
      <c r="R138" s="9" t="s">
        <v>146</v>
      </c>
      <c r="S138" s="9" t="s">
        <v>9625</v>
      </c>
      <c r="T138" s="9" t="s">
        <v>1651</v>
      </c>
      <c r="U138" s="9" t="s">
        <v>335</v>
      </c>
      <c r="V138" s="10">
        <v>44559</v>
      </c>
      <c r="W138" s="9" t="s">
        <v>8102</v>
      </c>
      <c r="X138" s="9" t="s">
        <v>8103</v>
      </c>
      <c r="Y138" s="9" t="s">
        <v>9626</v>
      </c>
      <c r="Z138" s="9">
        <v>5</v>
      </c>
      <c r="AA138" s="9" t="s">
        <v>118</v>
      </c>
      <c r="AB138" s="9" t="s">
        <v>9627</v>
      </c>
      <c r="AC138" s="9" t="s">
        <v>361</v>
      </c>
      <c r="AD138" s="9" t="s">
        <v>299</v>
      </c>
      <c r="AE138" s="9">
        <v>1551250</v>
      </c>
      <c r="AF138" s="11">
        <v>23269</v>
      </c>
      <c r="AG138" s="9"/>
      <c r="AH138" s="9"/>
      <c r="AI138" s="9"/>
      <c r="AJ138" s="9" t="s">
        <v>12138</v>
      </c>
      <c r="AK138" s="11">
        <v>23269</v>
      </c>
      <c r="AL138" s="12"/>
      <c r="AM138" s="14">
        <f t="shared" si="2"/>
        <v>0</v>
      </c>
      <c r="AN138" s="12" t="s">
        <v>12004</v>
      </c>
    </row>
    <row r="139" spans="1:40" x14ac:dyDescent="0.25">
      <c r="A139" s="12">
        <v>803</v>
      </c>
      <c r="B139" s="18" t="s">
        <v>8030</v>
      </c>
      <c r="C139" s="12" t="s">
        <v>9628</v>
      </c>
      <c r="D139" s="12" t="s">
        <v>37</v>
      </c>
      <c r="E139" s="12" t="s">
        <v>2578</v>
      </c>
      <c r="F139" s="12" t="s">
        <v>245</v>
      </c>
      <c r="G139" s="12" t="s">
        <v>9629</v>
      </c>
      <c r="H139" s="12" t="s">
        <v>9630</v>
      </c>
      <c r="I139" s="12" t="s">
        <v>9630</v>
      </c>
      <c r="J139" s="12" t="s">
        <v>9631</v>
      </c>
      <c r="K139" s="12" t="s">
        <v>9632</v>
      </c>
      <c r="L139" s="12">
        <v>1100000</v>
      </c>
      <c r="M139" s="12">
        <v>2500000</v>
      </c>
      <c r="N139" s="12" t="s">
        <v>9633</v>
      </c>
      <c r="O139" s="16">
        <v>45653</v>
      </c>
      <c r="P139" s="12" t="s">
        <v>9634</v>
      </c>
      <c r="Q139" s="12" t="s">
        <v>9635</v>
      </c>
      <c r="R139" s="12" t="s">
        <v>146</v>
      </c>
      <c r="S139" s="12" t="s">
        <v>9636</v>
      </c>
      <c r="T139" s="12" t="s">
        <v>283</v>
      </c>
      <c r="U139" s="12" t="s">
        <v>496</v>
      </c>
      <c r="V139" s="16">
        <v>44559</v>
      </c>
      <c r="W139" s="12" t="s">
        <v>8102</v>
      </c>
      <c r="X139" s="12" t="s">
        <v>8103</v>
      </c>
      <c r="Y139" s="12" t="s">
        <v>9637</v>
      </c>
      <c r="Z139" s="12">
        <v>5</v>
      </c>
      <c r="AA139" s="12" t="s">
        <v>118</v>
      </c>
      <c r="AB139" s="12" t="s">
        <v>9638</v>
      </c>
      <c r="AC139" s="12" t="s">
        <v>361</v>
      </c>
      <c r="AD139" s="12" t="s">
        <v>299</v>
      </c>
      <c r="AE139" s="12">
        <v>2125000</v>
      </c>
      <c r="AF139" s="13">
        <v>31875</v>
      </c>
      <c r="AG139" s="12"/>
      <c r="AH139" s="12"/>
      <c r="AI139" s="12"/>
      <c r="AJ139" s="12" t="s">
        <v>12139</v>
      </c>
      <c r="AK139" s="11">
        <v>31875</v>
      </c>
      <c r="AL139" s="12"/>
      <c r="AM139" s="14">
        <f t="shared" si="2"/>
        <v>0</v>
      </c>
      <c r="AN139" s="12" t="s">
        <v>12004</v>
      </c>
    </row>
    <row r="140" spans="1:40" x14ac:dyDescent="0.25">
      <c r="A140" s="9">
        <v>804</v>
      </c>
      <c r="B140" s="18" t="s">
        <v>8030</v>
      </c>
      <c r="C140" s="9" t="s">
        <v>9639</v>
      </c>
      <c r="D140" s="9" t="s">
        <v>37</v>
      </c>
      <c r="E140" s="9" t="s">
        <v>9640</v>
      </c>
      <c r="F140" s="9" t="s">
        <v>138</v>
      </c>
      <c r="G140" s="9" t="s">
        <v>9641</v>
      </c>
      <c r="H140" s="9" t="s">
        <v>9642</v>
      </c>
      <c r="I140" s="9" t="s">
        <v>9642</v>
      </c>
      <c r="J140" s="9" t="s">
        <v>141</v>
      </c>
      <c r="K140" s="9" t="s">
        <v>9643</v>
      </c>
      <c r="L140" s="9">
        <v>1077300</v>
      </c>
      <c r="M140" s="9">
        <v>1539000</v>
      </c>
      <c r="N140" s="9" t="s">
        <v>9644</v>
      </c>
      <c r="O140" s="10">
        <v>45653</v>
      </c>
      <c r="P140" s="9" t="s">
        <v>9645</v>
      </c>
      <c r="Q140" s="9" t="s">
        <v>9646</v>
      </c>
      <c r="R140" s="9" t="s">
        <v>47</v>
      </c>
      <c r="S140" s="9" t="s">
        <v>48</v>
      </c>
      <c r="T140" s="9" t="s">
        <v>1264</v>
      </c>
      <c r="U140" s="9" t="s">
        <v>50</v>
      </c>
      <c r="V140" s="10">
        <v>44560</v>
      </c>
      <c r="W140" s="9" t="s">
        <v>8102</v>
      </c>
      <c r="X140" s="9" t="s">
        <v>8103</v>
      </c>
      <c r="Y140" s="9" t="s">
        <v>9647</v>
      </c>
      <c r="Z140" s="9">
        <v>5</v>
      </c>
      <c r="AA140" s="9" t="s">
        <v>118</v>
      </c>
      <c r="AB140" s="9" t="s">
        <v>9648</v>
      </c>
      <c r="AC140" s="9" t="s">
        <v>361</v>
      </c>
      <c r="AD140" s="9" t="s">
        <v>58</v>
      </c>
      <c r="AE140" s="9">
        <v>1308150</v>
      </c>
      <c r="AF140" s="11">
        <v>26163</v>
      </c>
      <c r="AG140" s="9"/>
      <c r="AH140" s="9"/>
      <c r="AI140" s="9"/>
      <c r="AJ140" s="9" t="s">
        <v>12140</v>
      </c>
      <c r="AK140" s="11">
        <v>26163</v>
      </c>
      <c r="AL140" s="12"/>
      <c r="AM140" s="14">
        <f t="shared" si="2"/>
        <v>0</v>
      </c>
      <c r="AN140" s="12" t="s">
        <v>12004</v>
      </c>
    </row>
    <row r="141" spans="1:40" x14ac:dyDescent="0.25">
      <c r="A141" s="12">
        <v>805</v>
      </c>
      <c r="B141" s="18" t="s">
        <v>8030</v>
      </c>
      <c r="C141" s="12" t="s">
        <v>9649</v>
      </c>
      <c r="D141" s="12" t="s">
        <v>37</v>
      </c>
      <c r="E141" s="12" t="s">
        <v>9650</v>
      </c>
      <c r="F141" s="12" t="s">
        <v>89</v>
      </c>
      <c r="G141" s="12" t="s">
        <v>9651</v>
      </c>
      <c r="H141" s="12" t="s">
        <v>9652</v>
      </c>
      <c r="I141" s="12" t="s">
        <v>48</v>
      </c>
      <c r="J141" s="12" t="s">
        <v>9653</v>
      </c>
      <c r="K141" s="12" t="s">
        <v>9654</v>
      </c>
      <c r="L141" s="12">
        <v>1050000</v>
      </c>
      <c r="M141" s="12">
        <v>1400000</v>
      </c>
      <c r="N141" s="12" t="s">
        <v>9655</v>
      </c>
      <c r="O141" s="16">
        <v>45653</v>
      </c>
      <c r="P141" s="12" t="s">
        <v>9656</v>
      </c>
      <c r="Q141" s="12" t="s">
        <v>9657</v>
      </c>
      <c r="R141" s="12" t="s">
        <v>146</v>
      </c>
      <c r="S141" s="12" t="s">
        <v>9658</v>
      </c>
      <c r="T141" s="12" t="s">
        <v>194</v>
      </c>
      <c r="U141" s="12" t="s">
        <v>614</v>
      </c>
      <c r="V141" s="16">
        <v>44559</v>
      </c>
      <c r="W141" s="12" t="s">
        <v>8102</v>
      </c>
      <c r="X141" s="12" t="s">
        <v>8455</v>
      </c>
      <c r="Y141" s="12" t="s">
        <v>9659</v>
      </c>
      <c r="Z141" s="12">
        <v>7</v>
      </c>
      <c r="AA141" s="12" t="s">
        <v>118</v>
      </c>
      <c r="AB141" s="12" t="s">
        <v>9660</v>
      </c>
      <c r="AC141" s="12" t="s">
        <v>361</v>
      </c>
      <c r="AD141" s="12" t="s">
        <v>299</v>
      </c>
      <c r="AE141" s="12">
        <v>1190000</v>
      </c>
      <c r="AF141" s="13">
        <v>17850</v>
      </c>
      <c r="AG141" s="12"/>
      <c r="AH141" s="12"/>
      <c r="AI141" s="12"/>
      <c r="AJ141" s="12" t="s">
        <v>12141</v>
      </c>
      <c r="AK141" s="11">
        <v>17850</v>
      </c>
      <c r="AL141" s="12"/>
      <c r="AM141" s="14">
        <f t="shared" si="2"/>
        <v>0</v>
      </c>
      <c r="AN141" s="12" t="s">
        <v>12004</v>
      </c>
    </row>
    <row r="142" spans="1:40" x14ac:dyDescent="0.25">
      <c r="A142" s="9">
        <v>806</v>
      </c>
      <c r="B142" s="18" t="s">
        <v>8030</v>
      </c>
      <c r="C142" s="9" t="s">
        <v>9661</v>
      </c>
      <c r="D142" s="9" t="s">
        <v>37</v>
      </c>
      <c r="E142" s="9" t="s">
        <v>9662</v>
      </c>
      <c r="F142" s="9" t="s">
        <v>138</v>
      </c>
      <c r="G142" s="9" t="s">
        <v>9663</v>
      </c>
      <c r="H142" s="9" t="s">
        <v>9664</v>
      </c>
      <c r="I142" s="9" t="s">
        <v>9664</v>
      </c>
      <c r="J142" s="9" t="s">
        <v>9665</v>
      </c>
      <c r="K142" s="9" t="s">
        <v>9666</v>
      </c>
      <c r="L142" s="9">
        <v>1146400</v>
      </c>
      <c r="M142" s="9">
        <v>1433000</v>
      </c>
      <c r="N142" s="9" t="s">
        <v>9667</v>
      </c>
      <c r="O142" s="10">
        <v>45653</v>
      </c>
      <c r="P142" s="9" t="s">
        <v>9668</v>
      </c>
      <c r="Q142" s="9" t="s">
        <v>9669</v>
      </c>
      <c r="R142" s="9" t="s">
        <v>47</v>
      </c>
      <c r="S142" s="9" t="s">
        <v>48</v>
      </c>
      <c r="T142" s="9" t="s">
        <v>2334</v>
      </c>
      <c r="U142" s="9" t="s">
        <v>50</v>
      </c>
      <c r="V142" s="10">
        <v>44194</v>
      </c>
      <c r="W142" s="9" t="s">
        <v>8114</v>
      </c>
      <c r="X142" s="9" t="s">
        <v>8129</v>
      </c>
      <c r="Y142" s="9" t="s">
        <v>9670</v>
      </c>
      <c r="Z142" s="9">
        <v>7</v>
      </c>
      <c r="AA142" s="9" t="s">
        <v>227</v>
      </c>
      <c r="AB142" s="9" t="s">
        <v>9671</v>
      </c>
      <c r="AC142" s="9" t="s">
        <v>9591</v>
      </c>
      <c r="AD142" s="9" t="s">
        <v>58</v>
      </c>
      <c r="AE142" s="9">
        <v>1146400</v>
      </c>
      <c r="AF142" s="11">
        <v>22928</v>
      </c>
      <c r="AG142" s="9"/>
      <c r="AH142" s="9"/>
      <c r="AI142" s="9"/>
      <c r="AJ142" s="9" t="s">
        <v>12142</v>
      </c>
      <c r="AK142" s="11">
        <v>22928</v>
      </c>
      <c r="AL142" s="12"/>
      <c r="AM142" s="14">
        <f t="shared" si="2"/>
        <v>0</v>
      </c>
      <c r="AN142" s="12" t="s">
        <v>12004</v>
      </c>
    </row>
    <row r="143" spans="1:40" x14ac:dyDescent="0.25">
      <c r="A143" s="12">
        <v>807</v>
      </c>
      <c r="B143" s="18" t="s">
        <v>8030</v>
      </c>
      <c r="C143" s="12" t="s">
        <v>9672</v>
      </c>
      <c r="D143" s="12" t="s">
        <v>37</v>
      </c>
      <c r="E143" s="12" t="s">
        <v>9673</v>
      </c>
      <c r="F143" s="12" t="s">
        <v>107</v>
      </c>
      <c r="G143" s="12" t="s">
        <v>9674</v>
      </c>
      <c r="H143" s="12" t="s">
        <v>9675</v>
      </c>
      <c r="I143" s="12" t="s">
        <v>9675</v>
      </c>
      <c r="J143" s="12" t="s">
        <v>9676</v>
      </c>
      <c r="K143" s="12" t="s">
        <v>9677</v>
      </c>
      <c r="L143" s="12">
        <v>978000</v>
      </c>
      <c r="M143" s="12">
        <v>1630000</v>
      </c>
      <c r="N143" s="12" t="s">
        <v>9678</v>
      </c>
      <c r="O143" s="16">
        <v>45653</v>
      </c>
      <c r="P143" s="12" t="s">
        <v>9679</v>
      </c>
      <c r="Q143" s="12" t="s">
        <v>9680</v>
      </c>
      <c r="R143" s="12" t="s">
        <v>146</v>
      </c>
      <c r="S143" s="12" t="s">
        <v>9681</v>
      </c>
      <c r="T143" s="12" t="s">
        <v>613</v>
      </c>
      <c r="U143" s="12" t="s">
        <v>98</v>
      </c>
      <c r="V143" s="16">
        <v>44561</v>
      </c>
      <c r="W143" s="12" t="s">
        <v>8102</v>
      </c>
      <c r="X143" s="12" t="s">
        <v>8455</v>
      </c>
      <c r="Y143" s="12" t="s">
        <v>9682</v>
      </c>
      <c r="Z143" s="12">
        <v>7</v>
      </c>
      <c r="AA143" s="12" t="s">
        <v>55</v>
      </c>
      <c r="AB143" s="12" t="s">
        <v>9683</v>
      </c>
      <c r="AC143" s="12" t="s">
        <v>8563</v>
      </c>
      <c r="AD143" s="12" t="s">
        <v>299</v>
      </c>
      <c r="AE143" s="12">
        <v>1385500</v>
      </c>
      <c r="AF143" s="13">
        <v>20783</v>
      </c>
      <c r="AG143" s="12"/>
      <c r="AH143" s="12"/>
      <c r="AI143" s="12"/>
      <c r="AJ143" s="12" t="s">
        <v>12143</v>
      </c>
      <c r="AK143" s="11">
        <v>20783</v>
      </c>
      <c r="AL143" s="12"/>
      <c r="AM143" s="14">
        <f t="shared" si="2"/>
        <v>0</v>
      </c>
      <c r="AN143" s="12" t="s">
        <v>12004</v>
      </c>
    </row>
    <row r="144" spans="1:40" x14ac:dyDescent="0.25">
      <c r="A144" s="9">
        <v>808</v>
      </c>
      <c r="B144" s="18" t="s">
        <v>8030</v>
      </c>
      <c r="C144" s="9" t="s">
        <v>9684</v>
      </c>
      <c r="D144" s="9" t="s">
        <v>37</v>
      </c>
      <c r="E144" s="9" t="s">
        <v>9685</v>
      </c>
      <c r="F144" s="9" t="s">
        <v>290</v>
      </c>
      <c r="G144" s="9" t="s">
        <v>9686</v>
      </c>
      <c r="H144" s="9" t="s">
        <v>9687</v>
      </c>
      <c r="I144" s="9" t="s">
        <v>9687</v>
      </c>
      <c r="J144" s="9" t="s">
        <v>9687</v>
      </c>
      <c r="K144" s="9" t="s">
        <v>9688</v>
      </c>
      <c r="L144" s="9">
        <v>966000</v>
      </c>
      <c r="M144" s="9">
        <v>1610000</v>
      </c>
      <c r="N144" s="9" t="s">
        <v>9689</v>
      </c>
      <c r="O144" s="10">
        <v>45653</v>
      </c>
      <c r="P144" s="9" t="s">
        <v>9690</v>
      </c>
      <c r="Q144" s="9" t="s">
        <v>9691</v>
      </c>
      <c r="R144" s="9" t="s">
        <v>47</v>
      </c>
      <c r="S144" s="9" t="s">
        <v>48</v>
      </c>
      <c r="T144" s="9" t="s">
        <v>321</v>
      </c>
      <c r="U144" s="9" t="s">
        <v>50</v>
      </c>
      <c r="V144" s="10">
        <v>44434</v>
      </c>
      <c r="W144" s="9" t="s">
        <v>2981</v>
      </c>
      <c r="X144" s="9" t="s">
        <v>2982</v>
      </c>
      <c r="Y144" s="9" t="s">
        <v>9692</v>
      </c>
      <c r="Z144" s="9">
        <v>5</v>
      </c>
      <c r="AA144" s="9" t="s">
        <v>55</v>
      </c>
      <c r="AB144" s="9" t="s">
        <v>9693</v>
      </c>
      <c r="AC144" s="9" t="s">
        <v>9248</v>
      </c>
      <c r="AD144" s="9" t="s">
        <v>58</v>
      </c>
      <c r="AE144" s="9">
        <v>1368500</v>
      </c>
      <c r="AF144" s="11">
        <v>27370</v>
      </c>
      <c r="AG144" s="9"/>
      <c r="AH144" s="9"/>
      <c r="AI144" s="9"/>
      <c r="AJ144" s="9" t="s">
        <v>12144</v>
      </c>
      <c r="AK144" s="11">
        <v>27370</v>
      </c>
      <c r="AL144" s="12"/>
      <c r="AM144" s="14">
        <f t="shared" si="2"/>
        <v>0</v>
      </c>
      <c r="AN144" s="12" t="s">
        <v>12004</v>
      </c>
    </row>
    <row r="145" spans="1:40" x14ac:dyDescent="0.25">
      <c r="A145" s="12">
        <v>809</v>
      </c>
      <c r="B145" s="18" t="s">
        <v>8030</v>
      </c>
      <c r="C145" s="12" t="s">
        <v>9694</v>
      </c>
      <c r="D145" s="12" t="s">
        <v>37</v>
      </c>
      <c r="E145" s="12" t="s">
        <v>9695</v>
      </c>
      <c r="F145" s="12" t="s">
        <v>39</v>
      </c>
      <c r="G145" s="12" t="s">
        <v>9696</v>
      </c>
      <c r="H145" s="12" t="s">
        <v>9697</v>
      </c>
      <c r="I145" s="12" t="s">
        <v>9698</v>
      </c>
      <c r="J145" s="12" t="s">
        <v>9699</v>
      </c>
      <c r="K145" s="12" t="s">
        <v>9700</v>
      </c>
      <c r="L145" s="12">
        <v>834750</v>
      </c>
      <c r="M145" s="12">
        <v>1113000</v>
      </c>
      <c r="N145" s="12" t="s">
        <v>9701</v>
      </c>
      <c r="O145" s="16">
        <v>45653</v>
      </c>
      <c r="P145" s="12" t="s">
        <v>9702</v>
      </c>
      <c r="Q145" s="12" t="s">
        <v>9703</v>
      </c>
      <c r="R145" s="12" t="s">
        <v>47</v>
      </c>
      <c r="S145" s="12" t="s">
        <v>48</v>
      </c>
      <c r="T145" s="12" t="s">
        <v>1384</v>
      </c>
      <c r="U145" s="12" t="s">
        <v>50</v>
      </c>
      <c r="V145" s="16">
        <v>44420</v>
      </c>
      <c r="W145" s="12" t="s">
        <v>2981</v>
      </c>
      <c r="X145" s="12" t="s">
        <v>8273</v>
      </c>
      <c r="Y145" s="12" t="s">
        <v>9704</v>
      </c>
      <c r="Z145" s="12">
        <v>3</v>
      </c>
      <c r="AA145" s="12" t="s">
        <v>55</v>
      </c>
      <c r="AB145" s="12" t="s">
        <v>9705</v>
      </c>
      <c r="AC145" s="12" t="s">
        <v>4019</v>
      </c>
      <c r="AD145" s="12" t="s">
        <v>58</v>
      </c>
      <c r="AE145" s="12">
        <v>946050</v>
      </c>
      <c r="AF145" s="13">
        <v>18921</v>
      </c>
      <c r="AG145" s="12"/>
      <c r="AH145" s="12"/>
      <c r="AI145" s="12"/>
      <c r="AJ145" s="12" t="s">
        <v>12145</v>
      </c>
      <c r="AK145" s="11">
        <v>18921</v>
      </c>
      <c r="AL145" s="12"/>
      <c r="AM145" s="14">
        <f t="shared" si="2"/>
        <v>0</v>
      </c>
      <c r="AN145" s="12" t="s">
        <v>12004</v>
      </c>
    </row>
    <row r="146" spans="1:40" x14ac:dyDescent="0.25">
      <c r="A146" s="9">
        <v>810</v>
      </c>
      <c r="B146" s="18" t="s">
        <v>8030</v>
      </c>
      <c r="C146" s="9" t="s">
        <v>9706</v>
      </c>
      <c r="D146" s="9" t="s">
        <v>37</v>
      </c>
      <c r="E146" s="9" t="s">
        <v>9707</v>
      </c>
      <c r="F146" s="9" t="s">
        <v>851</v>
      </c>
      <c r="G146" s="9" t="s">
        <v>9708</v>
      </c>
      <c r="H146" s="9" t="s">
        <v>48</v>
      </c>
      <c r="I146" s="9" t="s">
        <v>9709</v>
      </c>
      <c r="J146" s="9" t="s">
        <v>48</v>
      </c>
      <c r="K146" s="9" t="s">
        <v>9710</v>
      </c>
      <c r="L146" s="9">
        <v>585000</v>
      </c>
      <c r="M146" s="9">
        <v>780000</v>
      </c>
      <c r="N146" s="9" t="s">
        <v>9711</v>
      </c>
      <c r="O146" s="10">
        <v>45653</v>
      </c>
      <c r="P146" s="9" t="s">
        <v>9712</v>
      </c>
      <c r="Q146" s="9" t="s">
        <v>9713</v>
      </c>
      <c r="R146" s="9" t="s">
        <v>146</v>
      </c>
      <c r="S146" s="9" t="s">
        <v>9714</v>
      </c>
      <c r="T146" s="9" t="s">
        <v>9715</v>
      </c>
      <c r="U146" s="9" t="s">
        <v>335</v>
      </c>
      <c r="V146" s="10">
        <v>44561</v>
      </c>
      <c r="W146" s="9" t="s">
        <v>8102</v>
      </c>
      <c r="X146" s="9" t="s">
        <v>8103</v>
      </c>
      <c r="Y146" s="9" t="s">
        <v>9716</v>
      </c>
      <c r="Z146" s="9">
        <v>5</v>
      </c>
      <c r="AA146" s="9" t="s">
        <v>55</v>
      </c>
      <c r="AB146" s="9" t="s">
        <v>9717</v>
      </c>
      <c r="AC146" s="9" t="s">
        <v>9248</v>
      </c>
      <c r="AD146" s="9" t="s">
        <v>299</v>
      </c>
      <c r="AE146" s="9">
        <v>663000</v>
      </c>
      <c r="AF146" s="11">
        <v>9945</v>
      </c>
      <c r="AG146" s="9"/>
      <c r="AH146" s="9"/>
      <c r="AI146" s="9"/>
      <c r="AJ146" s="9" t="s">
        <v>12146</v>
      </c>
      <c r="AK146" s="11">
        <v>9945</v>
      </c>
      <c r="AL146" s="12"/>
      <c r="AM146" s="14">
        <f t="shared" si="2"/>
        <v>0</v>
      </c>
      <c r="AN146" s="12" t="s">
        <v>12004</v>
      </c>
    </row>
    <row r="147" spans="1:40" x14ac:dyDescent="0.25">
      <c r="A147" s="12">
        <v>811</v>
      </c>
      <c r="B147" s="18" t="s">
        <v>8030</v>
      </c>
      <c r="C147" s="12" t="s">
        <v>9718</v>
      </c>
      <c r="D147" s="12" t="s">
        <v>37</v>
      </c>
      <c r="E147" s="12" t="s">
        <v>9719</v>
      </c>
      <c r="F147" s="12" t="s">
        <v>107</v>
      </c>
      <c r="G147" s="12" t="s">
        <v>9720</v>
      </c>
      <c r="H147" s="12" t="s">
        <v>48</v>
      </c>
      <c r="I147" s="12" t="s">
        <v>9721</v>
      </c>
      <c r="J147" s="12" t="s">
        <v>9722</v>
      </c>
      <c r="K147" s="12" t="s">
        <v>9723</v>
      </c>
      <c r="L147" s="12">
        <v>2502500</v>
      </c>
      <c r="M147" s="12">
        <v>3850000</v>
      </c>
      <c r="N147" s="12" t="s">
        <v>9724</v>
      </c>
      <c r="O147" s="16">
        <v>45652</v>
      </c>
      <c r="P147" s="12" t="s">
        <v>9725</v>
      </c>
      <c r="Q147" s="12" t="s">
        <v>9726</v>
      </c>
      <c r="R147" s="12" t="s">
        <v>146</v>
      </c>
      <c r="S147" s="12" t="s">
        <v>9727</v>
      </c>
      <c r="T147" s="12" t="s">
        <v>714</v>
      </c>
      <c r="U147" s="12" t="s">
        <v>614</v>
      </c>
      <c r="V147" s="16">
        <v>44559</v>
      </c>
      <c r="W147" s="12" t="s">
        <v>8102</v>
      </c>
      <c r="X147" s="12" t="s">
        <v>8103</v>
      </c>
      <c r="Y147" s="12" t="s">
        <v>9728</v>
      </c>
      <c r="Z147" s="12">
        <v>5</v>
      </c>
      <c r="AA147" s="12" t="s">
        <v>55</v>
      </c>
      <c r="AB147" s="12" t="s">
        <v>9729</v>
      </c>
      <c r="AC147" s="12" t="s">
        <v>361</v>
      </c>
      <c r="AD147" s="12" t="s">
        <v>299</v>
      </c>
      <c r="AE147" s="12">
        <v>3272500</v>
      </c>
      <c r="AF147" s="13">
        <v>49088</v>
      </c>
      <c r="AG147" s="12"/>
      <c r="AH147" s="12"/>
      <c r="AI147" s="12"/>
      <c r="AJ147" s="12" t="s">
        <v>12147</v>
      </c>
      <c r="AK147" s="11">
        <v>49088</v>
      </c>
      <c r="AL147" s="12"/>
      <c r="AM147" s="14">
        <f t="shared" si="2"/>
        <v>0</v>
      </c>
      <c r="AN147" s="12" t="s">
        <v>12004</v>
      </c>
    </row>
    <row r="148" spans="1:40" x14ac:dyDescent="0.25">
      <c r="A148" s="9">
        <v>812</v>
      </c>
      <c r="B148" s="18" t="s">
        <v>8030</v>
      </c>
      <c r="C148" s="9" t="s">
        <v>9730</v>
      </c>
      <c r="D148" s="9" t="s">
        <v>37</v>
      </c>
      <c r="E148" s="9" t="s">
        <v>9731</v>
      </c>
      <c r="F148" s="9" t="s">
        <v>107</v>
      </c>
      <c r="G148" s="9" t="s">
        <v>9732</v>
      </c>
      <c r="H148" s="9" t="s">
        <v>9733</v>
      </c>
      <c r="I148" s="9" t="s">
        <v>9733</v>
      </c>
      <c r="J148" s="9" t="s">
        <v>9733</v>
      </c>
      <c r="K148" s="9" t="s">
        <v>9734</v>
      </c>
      <c r="L148" s="9">
        <v>1750000</v>
      </c>
      <c r="M148" s="9">
        <v>2500000</v>
      </c>
      <c r="N148" s="9" t="s">
        <v>9735</v>
      </c>
      <c r="O148" s="10">
        <v>45652</v>
      </c>
      <c r="P148" s="9" t="s">
        <v>9736</v>
      </c>
      <c r="Q148" s="9" t="s">
        <v>9737</v>
      </c>
      <c r="R148" s="9" t="s">
        <v>146</v>
      </c>
      <c r="S148" s="9" t="s">
        <v>9738</v>
      </c>
      <c r="T148" s="9" t="s">
        <v>495</v>
      </c>
      <c r="U148" s="9" t="s">
        <v>614</v>
      </c>
      <c r="V148" s="10">
        <v>44560</v>
      </c>
      <c r="W148" s="9" t="s">
        <v>8102</v>
      </c>
      <c r="X148" s="9" t="s">
        <v>8103</v>
      </c>
      <c r="Y148" s="9" t="s">
        <v>9739</v>
      </c>
      <c r="Z148" s="9">
        <v>5</v>
      </c>
      <c r="AA148" s="9" t="s">
        <v>55</v>
      </c>
      <c r="AB148" s="9" t="s">
        <v>9740</v>
      </c>
      <c r="AC148" s="9" t="s">
        <v>4015</v>
      </c>
      <c r="AD148" s="9" t="s">
        <v>299</v>
      </c>
      <c r="AE148" s="9">
        <v>2125000</v>
      </c>
      <c r="AF148" s="11">
        <v>31875</v>
      </c>
      <c r="AG148" s="9"/>
      <c r="AH148" s="9"/>
      <c r="AI148" s="9"/>
      <c r="AJ148" s="9" t="s">
        <v>12148</v>
      </c>
      <c r="AK148" s="11">
        <v>31875</v>
      </c>
      <c r="AL148" s="12"/>
      <c r="AM148" s="14">
        <f t="shared" si="2"/>
        <v>0</v>
      </c>
      <c r="AN148" s="12" t="s">
        <v>12004</v>
      </c>
    </row>
    <row r="149" spans="1:40" x14ac:dyDescent="0.25">
      <c r="A149" s="12">
        <v>813</v>
      </c>
      <c r="B149" s="18" t="s">
        <v>8030</v>
      </c>
      <c r="C149" s="12" t="s">
        <v>9741</v>
      </c>
      <c r="D149" s="12" t="s">
        <v>37</v>
      </c>
      <c r="E149" s="12" t="s">
        <v>9742</v>
      </c>
      <c r="F149" s="12" t="s">
        <v>138</v>
      </c>
      <c r="G149" s="12" t="s">
        <v>9743</v>
      </c>
      <c r="H149" s="12" t="s">
        <v>48</v>
      </c>
      <c r="I149" s="12" t="s">
        <v>9744</v>
      </c>
      <c r="J149" s="12" t="s">
        <v>48</v>
      </c>
      <c r="K149" s="12" t="s">
        <v>9745</v>
      </c>
      <c r="L149" s="12">
        <v>783250</v>
      </c>
      <c r="M149" s="12">
        <v>1205000</v>
      </c>
      <c r="N149" s="12" t="s">
        <v>9746</v>
      </c>
      <c r="O149" s="12" t="s">
        <v>3960</v>
      </c>
      <c r="P149" s="12" t="s">
        <v>9747</v>
      </c>
      <c r="Q149" s="12" t="s">
        <v>9748</v>
      </c>
      <c r="R149" s="12" t="s">
        <v>146</v>
      </c>
      <c r="S149" s="12" t="s">
        <v>9749</v>
      </c>
      <c r="T149" s="12" t="s">
        <v>639</v>
      </c>
      <c r="U149" s="12" t="s">
        <v>335</v>
      </c>
      <c r="V149" s="16">
        <v>45288</v>
      </c>
      <c r="W149" s="12" t="s">
        <v>8767</v>
      </c>
      <c r="X149" s="12" t="s">
        <v>8103</v>
      </c>
      <c r="Y149" s="12" t="s">
        <v>9750</v>
      </c>
      <c r="Z149" s="12">
        <v>3</v>
      </c>
      <c r="AA149" s="12" t="s">
        <v>55</v>
      </c>
      <c r="AB149" s="12" t="s">
        <v>9751</v>
      </c>
      <c r="AC149" s="12" t="s">
        <v>3964</v>
      </c>
      <c r="AD149" s="12" t="s">
        <v>86</v>
      </c>
      <c r="AE149" s="12">
        <v>1084500</v>
      </c>
      <c r="AF149" s="13">
        <v>18979</v>
      </c>
      <c r="AG149" s="12"/>
      <c r="AH149" s="12"/>
      <c r="AI149" s="12"/>
      <c r="AJ149" s="12" t="s">
        <v>12149</v>
      </c>
      <c r="AK149" s="11">
        <v>18979</v>
      </c>
      <c r="AL149" s="12"/>
      <c r="AM149" s="14">
        <f t="shared" si="2"/>
        <v>0</v>
      </c>
      <c r="AN149" s="12" t="s">
        <v>12004</v>
      </c>
    </row>
    <row r="150" spans="1:40" x14ac:dyDescent="0.25">
      <c r="A150" s="9">
        <v>814</v>
      </c>
      <c r="B150" s="18" t="s">
        <v>8030</v>
      </c>
      <c r="C150" s="9" t="s">
        <v>9752</v>
      </c>
      <c r="D150" s="9" t="s">
        <v>37</v>
      </c>
      <c r="E150" s="9" t="s">
        <v>9753</v>
      </c>
      <c r="F150" s="9" t="s">
        <v>138</v>
      </c>
      <c r="G150" s="9" t="s">
        <v>9754</v>
      </c>
      <c r="H150" s="9" t="s">
        <v>48</v>
      </c>
      <c r="I150" s="9" t="s">
        <v>9755</v>
      </c>
      <c r="J150" s="9" t="s">
        <v>48</v>
      </c>
      <c r="K150" s="9" t="s">
        <v>9756</v>
      </c>
      <c r="L150" s="9">
        <v>2762500</v>
      </c>
      <c r="M150" s="9">
        <v>4250000</v>
      </c>
      <c r="N150" s="9" t="s">
        <v>9757</v>
      </c>
      <c r="O150" s="9" t="s">
        <v>3960</v>
      </c>
      <c r="P150" s="9" t="s">
        <v>9758</v>
      </c>
      <c r="Q150" s="9" t="s">
        <v>9759</v>
      </c>
      <c r="R150" s="9" t="s">
        <v>146</v>
      </c>
      <c r="S150" s="9" t="s">
        <v>9760</v>
      </c>
      <c r="T150" s="9" t="s">
        <v>1289</v>
      </c>
      <c r="U150" s="9" t="s">
        <v>614</v>
      </c>
      <c r="V150" s="10">
        <v>45288</v>
      </c>
      <c r="W150" s="9" t="s">
        <v>8767</v>
      </c>
      <c r="X150" s="9" t="s">
        <v>8103</v>
      </c>
      <c r="Y150" s="9" t="s">
        <v>9761</v>
      </c>
      <c r="Z150" s="9">
        <v>3</v>
      </c>
      <c r="AA150" s="9" t="s">
        <v>152</v>
      </c>
      <c r="AB150" s="9" t="s">
        <v>9762</v>
      </c>
      <c r="AC150" s="9" t="s">
        <v>3964</v>
      </c>
      <c r="AD150" s="9" t="s">
        <v>86</v>
      </c>
      <c r="AE150" s="9">
        <v>3825000</v>
      </c>
      <c r="AF150" s="11">
        <v>66938</v>
      </c>
      <c r="AG150" s="9"/>
      <c r="AH150" s="9"/>
      <c r="AI150" s="9"/>
      <c r="AJ150" s="9" t="s">
        <v>12150</v>
      </c>
      <c r="AK150" s="11">
        <v>66938</v>
      </c>
      <c r="AL150" s="12"/>
      <c r="AM150" s="14">
        <f t="shared" si="2"/>
        <v>0</v>
      </c>
      <c r="AN150" s="12" t="s">
        <v>12004</v>
      </c>
    </row>
    <row r="151" spans="1:40" x14ac:dyDescent="0.25">
      <c r="A151" s="12">
        <v>815</v>
      </c>
      <c r="B151" s="18" t="s">
        <v>8030</v>
      </c>
      <c r="C151" s="12" t="s">
        <v>9763</v>
      </c>
      <c r="D151" s="12" t="s">
        <v>37</v>
      </c>
      <c r="E151" s="12" t="s">
        <v>9764</v>
      </c>
      <c r="F151" s="12" t="s">
        <v>138</v>
      </c>
      <c r="G151" s="12" t="s">
        <v>9765</v>
      </c>
      <c r="H151" s="12" t="s">
        <v>48</v>
      </c>
      <c r="I151" s="12" t="s">
        <v>9766</v>
      </c>
      <c r="J151" s="12" t="s">
        <v>48</v>
      </c>
      <c r="K151" s="12" t="s">
        <v>9767</v>
      </c>
      <c r="L151" s="12">
        <v>1567200</v>
      </c>
      <c r="M151" s="12">
        <v>2612000</v>
      </c>
      <c r="N151" s="12" t="s">
        <v>9768</v>
      </c>
      <c r="O151" s="12" t="s">
        <v>3960</v>
      </c>
      <c r="P151" s="12" t="s">
        <v>9769</v>
      </c>
      <c r="Q151" s="12" t="s">
        <v>9770</v>
      </c>
      <c r="R151" s="12" t="s">
        <v>47</v>
      </c>
      <c r="S151" s="12" t="s">
        <v>48</v>
      </c>
      <c r="T151" s="12" t="s">
        <v>194</v>
      </c>
      <c r="U151" s="12" t="s">
        <v>386</v>
      </c>
      <c r="V151" s="16">
        <v>45288</v>
      </c>
      <c r="W151" s="12" t="s">
        <v>8767</v>
      </c>
      <c r="X151" s="12" t="s">
        <v>8455</v>
      </c>
      <c r="Y151" s="12" t="s">
        <v>9771</v>
      </c>
      <c r="Z151" s="12">
        <v>5</v>
      </c>
      <c r="AA151" s="12" t="s">
        <v>152</v>
      </c>
      <c r="AB151" s="12" t="s">
        <v>9772</v>
      </c>
      <c r="AC151" s="12" t="s">
        <v>3964</v>
      </c>
      <c r="AD151" s="12" t="s">
        <v>86</v>
      </c>
      <c r="AE151" s="12">
        <v>2350800</v>
      </c>
      <c r="AF151" s="13">
        <v>41139</v>
      </c>
      <c r="AG151" s="12"/>
      <c r="AH151" s="12"/>
      <c r="AI151" s="12"/>
      <c r="AJ151" s="12" t="s">
        <v>12151</v>
      </c>
      <c r="AK151" s="11">
        <v>41139</v>
      </c>
      <c r="AL151" s="12"/>
      <c r="AM151" s="14">
        <f t="shared" si="2"/>
        <v>0</v>
      </c>
      <c r="AN151" s="12" t="s">
        <v>12004</v>
      </c>
    </row>
    <row r="152" spans="1:40" x14ac:dyDescent="0.25">
      <c r="A152" s="9">
        <v>816</v>
      </c>
      <c r="B152" s="18" t="s">
        <v>8030</v>
      </c>
      <c r="C152" s="9" t="s">
        <v>9773</v>
      </c>
      <c r="D152" s="9" t="s">
        <v>37</v>
      </c>
      <c r="E152" s="9" t="s">
        <v>9774</v>
      </c>
      <c r="F152" s="9" t="s">
        <v>4022</v>
      </c>
      <c r="G152" s="9" t="s">
        <v>9775</v>
      </c>
      <c r="H152" s="9" t="s">
        <v>9776</v>
      </c>
      <c r="I152" s="9" t="s">
        <v>9777</v>
      </c>
      <c r="J152" s="9" t="s">
        <v>9778</v>
      </c>
      <c r="K152" s="9" t="s">
        <v>9779</v>
      </c>
      <c r="L152" s="9">
        <v>1710100</v>
      </c>
      <c r="M152" s="9">
        <v>2443000</v>
      </c>
      <c r="N152" s="9" t="s">
        <v>9780</v>
      </c>
      <c r="O152" s="10">
        <v>45652</v>
      </c>
      <c r="P152" s="9" t="s">
        <v>9781</v>
      </c>
      <c r="Q152" s="9" t="s">
        <v>9782</v>
      </c>
      <c r="R152" s="9" t="s">
        <v>47</v>
      </c>
      <c r="S152" s="9" t="s">
        <v>48</v>
      </c>
      <c r="T152" s="9" t="s">
        <v>3007</v>
      </c>
      <c r="U152" s="9" t="s">
        <v>50</v>
      </c>
      <c r="V152" s="10">
        <v>44560</v>
      </c>
      <c r="W152" s="9" t="s">
        <v>8102</v>
      </c>
      <c r="X152" s="9" t="s">
        <v>8103</v>
      </c>
      <c r="Y152" s="9" t="s">
        <v>9783</v>
      </c>
      <c r="Z152" s="9">
        <v>5</v>
      </c>
      <c r="AA152" s="9" t="s">
        <v>55</v>
      </c>
      <c r="AB152" s="9" t="s">
        <v>9784</v>
      </c>
      <c r="AC152" s="9" t="s">
        <v>4015</v>
      </c>
      <c r="AD152" s="9" t="s">
        <v>58</v>
      </c>
      <c r="AE152" s="9">
        <v>2076550</v>
      </c>
      <c r="AF152" s="11">
        <v>41531</v>
      </c>
      <c r="AG152" s="9"/>
      <c r="AH152" s="9"/>
      <c r="AI152" s="9"/>
      <c r="AJ152" s="9" t="s">
        <v>12152</v>
      </c>
      <c r="AK152" s="11">
        <v>41531</v>
      </c>
      <c r="AL152" s="12"/>
      <c r="AM152" s="14">
        <f t="shared" si="2"/>
        <v>0</v>
      </c>
      <c r="AN152" s="12" t="s">
        <v>12004</v>
      </c>
    </row>
    <row r="153" spans="1:40" x14ac:dyDescent="0.25">
      <c r="A153" s="12">
        <v>817</v>
      </c>
      <c r="B153" s="18" t="s">
        <v>8030</v>
      </c>
      <c r="C153" s="12" t="s">
        <v>9785</v>
      </c>
      <c r="D153" s="12" t="s">
        <v>37</v>
      </c>
      <c r="E153" s="12" t="s">
        <v>9786</v>
      </c>
      <c r="F153" s="12" t="s">
        <v>39</v>
      </c>
      <c r="G153" s="12" t="s">
        <v>9787</v>
      </c>
      <c r="H153" s="12" t="s">
        <v>48</v>
      </c>
      <c r="I153" s="12" t="s">
        <v>9788</v>
      </c>
      <c r="J153" s="12" t="s">
        <v>48</v>
      </c>
      <c r="K153" s="12" t="s">
        <v>9789</v>
      </c>
      <c r="L153" s="12">
        <v>1425000</v>
      </c>
      <c r="M153" s="12">
        <v>1900000</v>
      </c>
      <c r="N153" s="12" t="s">
        <v>9790</v>
      </c>
      <c r="O153" s="16">
        <v>45652</v>
      </c>
      <c r="P153" s="12" t="s">
        <v>9791</v>
      </c>
      <c r="Q153" s="12" t="s">
        <v>9792</v>
      </c>
      <c r="R153" s="12" t="s">
        <v>146</v>
      </c>
      <c r="S153" s="12" t="s">
        <v>9793</v>
      </c>
      <c r="T153" s="12" t="s">
        <v>321</v>
      </c>
      <c r="U153" s="12" t="s">
        <v>98</v>
      </c>
      <c r="V153" s="16">
        <v>44559</v>
      </c>
      <c r="W153" s="12" t="s">
        <v>8102</v>
      </c>
      <c r="X153" s="12" t="s">
        <v>8103</v>
      </c>
      <c r="Y153" s="12" t="s">
        <v>9794</v>
      </c>
      <c r="Z153" s="12">
        <v>5</v>
      </c>
      <c r="AA153" s="12" t="s">
        <v>118</v>
      </c>
      <c r="AB153" s="12" t="s">
        <v>9795</v>
      </c>
      <c r="AC153" s="12" t="s">
        <v>4015</v>
      </c>
      <c r="AD153" s="12" t="s">
        <v>299</v>
      </c>
      <c r="AE153" s="12">
        <v>1615000</v>
      </c>
      <c r="AF153" s="13">
        <v>24225</v>
      </c>
      <c r="AG153" s="12"/>
      <c r="AH153" s="12"/>
      <c r="AI153" s="12"/>
      <c r="AJ153" s="12" t="s">
        <v>12153</v>
      </c>
      <c r="AK153" s="11">
        <v>24225</v>
      </c>
      <c r="AL153" s="12"/>
      <c r="AM153" s="14">
        <f t="shared" si="2"/>
        <v>0</v>
      </c>
      <c r="AN153" s="12" t="s">
        <v>12004</v>
      </c>
    </row>
    <row r="154" spans="1:40" x14ac:dyDescent="0.25">
      <c r="A154" s="9">
        <v>818</v>
      </c>
      <c r="B154" s="18" t="s">
        <v>8030</v>
      </c>
      <c r="C154" s="9" t="s">
        <v>9796</v>
      </c>
      <c r="D154" s="9" t="s">
        <v>37</v>
      </c>
      <c r="E154" s="9" t="s">
        <v>9797</v>
      </c>
      <c r="F154" s="9" t="s">
        <v>138</v>
      </c>
      <c r="G154" s="9" t="s">
        <v>9798</v>
      </c>
      <c r="H154" s="9" t="s">
        <v>48</v>
      </c>
      <c r="I154" s="9" t="s">
        <v>9799</v>
      </c>
      <c r="J154" s="9" t="s">
        <v>48</v>
      </c>
      <c r="K154" s="9" t="s">
        <v>9800</v>
      </c>
      <c r="L154" s="9">
        <v>1527500</v>
      </c>
      <c r="M154" s="9">
        <v>2350000</v>
      </c>
      <c r="N154" s="9" t="s">
        <v>9801</v>
      </c>
      <c r="O154" s="10">
        <v>45652</v>
      </c>
      <c r="P154" s="9" t="s">
        <v>9802</v>
      </c>
      <c r="Q154" s="9" t="s">
        <v>9803</v>
      </c>
      <c r="R154" s="9" t="s">
        <v>146</v>
      </c>
      <c r="S154" s="9" t="s">
        <v>9804</v>
      </c>
      <c r="T154" s="9" t="s">
        <v>2647</v>
      </c>
      <c r="U154" s="9" t="s">
        <v>496</v>
      </c>
      <c r="V154" s="10">
        <v>44559</v>
      </c>
      <c r="W154" s="9" t="s">
        <v>8102</v>
      </c>
      <c r="X154" s="9" t="s">
        <v>8103</v>
      </c>
      <c r="Y154" s="9" t="s">
        <v>9805</v>
      </c>
      <c r="Z154" s="9">
        <v>5</v>
      </c>
      <c r="AA154" s="9" t="s">
        <v>118</v>
      </c>
      <c r="AB154" s="9" t="s">
        <v>9806</v>
      </c>
      <c r="AC154" s="9" t="s">
        <v>361</v>
      </c>
      <c r="AD154" s="9" t="s">
        <v>299</v>
      </c>
      <c r="AE154" s="9">
        <v>1997500</v>
      </c>
      <c r="AF154" s="11">
        <v>29963</v>
      </c>
      <c r="AG154" s="9"/>
      <c r="AH154" s="9"/>
      <c r="AI154" s="9"/>
      <c r="AJ154" s="9" t="s">
        <v>12154</v>
      </c>
      <c r="AK154" s="11">
        <v>29963</v>
      </c>
      <c r="AL154" s="12"/>
      <c r="AM154" s="14">
        <f t="shared" si="2"/>
        <v>0</v>
      </c>
      <c r="AN154" s="12" t="s">
        <v>12004</v>
      </c>
    </row>
    <row r="155" spans="1:40" x14ac:dyDescent="0.25">
      <c r="A155" s="12">
        <v>819</v>
      </c>
      <c r="B155" s="18" t="s">
        <v>8030</v>
      </c>
      <c r="C155" s="12" t="s">
        <v>9807</v>
      </c>
      <c r="D155" s="12" t="s">
        <v>37</v>
      </c>
      <c r="E155" s="12" t="s">
        <v>9808</v>
      </c>
      <c r="F155" s="12" t="s">
        <v>290</v>
      </c>
      <c r="G155" s="12" t="s">
        <v>9809</v>
      </c>
      <c r="H155" s="12" t="s">
        <v>9810</v>
      </c>
      <c r="I155" s="12" t="s">
        <v>9810</v>
      </c>
      <c r="J155" s="12" t="s">
        <v>9810</v>
      </c>
      <c r="K155" s="12" t="s">
        <v>9811</v>
      </c>
      <c r="L155" s="12">
        <v>2340000</v>
      </c>
      <c r="M155" s="12">
        <v>3600000</v>
      </c>
      <c r="N155" s="12" t="s">
        <v>9812</v>
      </c>
      <c r="O155" s="16">
        <v>45652</v>
      </c>
      <c r="P155" s="12" t="s">
        <v>9813</v>
      </c>
      <c r="Q155" s="12" t="s">
        <v>9814</v>
      </c>
      <c r="R155" s="12" t="s">
        <v>146</v>
      </c>
      <c r="S155" s="12" t="s">
        <v>9815</v>
      </c>
      <c r="T155" s="12" t="s">
        <v>1065</v>
      </c>
      <c r="U155" s="12" t="s">
        <v>496</v>
      </c>
      <c r="V155" s="16">
        <v>44560</v>
      </c>
      <c r="W155" s="12" t="s">
        <v>8102</v>
      </c>
      <c r="X155" s="12" t="s">
        <v>8103</v>
      </c>
      <c r="Y155" s="12" t="s">
        <v>9816</v>
      </c>
      <c r="Z155" s="12">
        <v>5</v>
      </c>
      <c r="AA155" s="12" t="s">
        <v>118</v>
      </c>
      <c r="AB155" s="12" t="s">
        <v>9817</v>
      </c>
      <c r="AC155" s="12" t="s">
        <v>361</v>
      </c>
      <c r="AD155" s="12" t="s">
        <v>299</v>
      </c>
      <c r="AE155" s="12">
        <v>3060000</v>
      </c>
      <c r="AF155" s="13">
        <v>45900</v>
      </c>
      <c r="AG155" s="12"/>
      <c r="AH155" s="12"/>
      <c r="AI155" s="12"/>
      <c r="AJ155" s="12" t="s">
        <v>12155</v>
      </c>
      <c r="AK155" s="11">
        <v>45900</v>
      </c>
      <c r="AL155" s="12"/>
      <c r="AM155" s="14">
        <f t="shared" si="2"/>
        <v>0</v>
      </c>
      <c r="AN155" s="12" t="s">
        <v>12004</v>
      </c>
    </row>
    <row r="156" spans="1:40" x14ac:dyDescent="0.25">
      <c r="A156" s="9">
        <v>820</v>
      </c>
      <c r="B156" s="18" t="s">
        <v>8030</v>
      </c>
      <c r="C156" s="9" t="s">
        <v>9818</v>
      </c>
      <c r="D156" s="9" t="s">
        <v>37</v>
      </c>
      <c r="E156" s="9" t="s">
        <v>9819</v>
      </c>
      <c r="F156" s="9" t="s">
        <v>138</v>
      </c>
      <c r="G156" s="9" t="s">
        <v>9820</v>
      </c>
      <c r="H156" s="9" t="s">
        <v>9821</v>
      </c>
      <c r="I156" s="9" t="s">
        <v>9821</v>
      </c>
      <c r="J156" s="9" t="s">
        <v>141</v>
      </c>
      <c r="K156" s="9" t="s">
        <v>9822</v>
      </c>
      <c r="L156" s="9">
        <v>1834000</v>
      </c>
      <c r="M156" s="9">
        <v>2620000</v>
      </c>
      <c r="N156" s="9" t="s">
        <v>9823</v>
      </c>
      <c r="O156" s="10">
        <v>45652</v>
      </c>
      <c r="P156" s="9" t="s">
        <v>9824</v>
      </c>
      <c r="Q156" s="9" t="s">
        <v>9825</v>
      </c>
      <c r="R156" s="9" t="s">
        <v>146</v>
      </c>
      <c r="S156" s="9" t="s">
        <v>9826</v>
      </c>
      <c r="T156" s="9" t="s">
        <v>6230</v>
      </c>
      <c r="U156" s="9" t="s">
        <v>651</v>
      </c>
      <c r="V156" s="10">
        <v>44559</v>
      </c>
      <c r="W156" s="9" t="s">
        <v>8102</v>
      </c>
      <c r="X156" s="9" t="s">
        <v>8103</v>
      </c>
      <c r="Y156" s="9" t="s">
        <v>9827</v>
      </c>
      <c r="Z156" s="9">
        <v>5</v>
      </c>
      <c r="AA156" s="9" t="s">
        <v>118</v>
      </c>
      <c r="AB156" s="9" t="s">
        <v>9828</v>
      </c>
      <c r="AC156" s="9" t="s">
        <v>361</v>
      </c>
      <c r="AD156" s="9" t="s">
        <v>299</v>
      </c>
      <c r="AE156" s="9">
        <v>2227000</v>
      </c>
      <c r="AF156" s="11">
        <v>33405</v>
      </c>
      <c r="AG156" s="9"/>
      <c r="AH156" s="9"/>
      <c r="AI156" s="9"/>
      <c r="AJ156" s="9" t="s">
        <v>12156</v>
      </c>
      <c r="AK156" s="11">
        <v>33405</v>
      </c>
      <c r="AL156" s="12"/>
      <c r="AM156" s="14">
        <f t="shared" si="2"/>
        <v>0</v>
      </c>
      <c r="AN156" s="12" t="s">
        <v>12004</v>
      </c>
    </row>
    <row r="157" spans="1:40" x14ac:dyDescent="0.25">
      <c r="A157" s="12">
        <v>821</v>
      </c>
      <c r="B157" s="18" t="s">
        <v>8030</v>
      </c>
      <c r="C157" s="12" t="s">
        <v>9829</v>
      </c>
      <c r="D157" s="12" t="s">
        <v>37</v>
      </c>
      <c r="E157" s="12" t="s">
        <v>9830</v>
      </c>
      <c r="F157" s="12" t="s">
        <v>39</v>
      </c>
      <c r="G157" s="12" t="s">
        <v>9831</v>
      </c>
      <c r="H157" s="12" t="s">
        <v>9832</v>
      </c>
      <c r="I157" s="12" t="s">
        <v>9833</v>
      </c>
      <c r="J157" s="12" t="s">
        <v>9832</v>
      </c>
      <c r="K157" s="12" t="s">
        <v>9834</v>
      </c>
      <c r="L157" s="12">
        <v>1530000</v>
      </c>
      <c r="M157" s="12">
        <v>2550000</v>
      </c>
      <c r="N157" s="12" t="s">
        <v>9835</v>
      </c>
      <c r="O157" s="16">
        <v>45652</v>
      </c>
      <c r="P157" s="12" t="s">
        <v>9836</v>
      </c>
      <c r="Q157" s="12" t="s">
        <v>9837</v>
      </c>
      <c r="R157" s="12" t="s">
        <v>146</v>
      </c>
      <c r="S157" s="12" t="s">
        <v>9838</v>
      </c>
      <c r="T157" s="12" t="s">
        <v>2647</v>
      </c>
      <c r="U157" s="12" t="s">
        <v>496</v>
      </c>
      <c r="V157" s="16">
        <v>44558</v>
      </c>
      <c r="W157" s="12" t="s">
        <v>8102</v>
      </c>
      <c r="X157" s="12" t="s">
        <v>8103</v>
      </c>
      <c r="Y157" s="12" t="s">
        <v>9839</v>
      </c>
      <c r="Z157" s="12">
        <v>5</v>
      </c>
      <c r="AA157" s="12" t="s">
        <v>55</v>
      </c>
      <c r="AB157" s="12" t="s">
        <v>9840</v>
      </c>
      <c r="AC157" s="12" t="s">
        <v>4015</v>
      </c>
      <c r="AD157" s="12" t="s">
        <v>299</v>
      </c>
      <c r="AE157" s="12">
        <v>2167500</v>
      </c>
      <c r="AF157" s="13">
        <v>32513</v>
      </c>
      <c r="AG157" s="12"/>
      <c r="AH157" s="12"/>
      <c r="AI157" s="12"/>
      <c r="AJ157" s="12" t="s">
        <v>12157</v>
      </c>
      <c r="AK157" s="11">
        <v>32513</v>
      </c>
      <c r="AL157" s="12"/>
      <c r="AM157" s="14">
        <f t="shared" si="2"/>
        <v>0</v>
      </c>
      <c r="AN157" s="12" t="s">
        <v>12004</v>
      </c>
    </row>
    <row r="158" spans="1:40" x14ac:dyDescent="0.25">
      <c r="A158" s="9">
        <v>822</v>
      </c>
      <c r="B158" s="18" t="s">
        <v>8030</v>
      </c>
      <c r="C158" s="9" t="s">
        <v>9841</v>
      </c>
      <c r="D158" s="9" t="s">
        <v>37</v>
      </c>
      <c r="E158" s="9" t="s">
        <v>9842</v>
      </c>
      <c r="F158" s="9" t="s">
        <v>138</v>
      </c>
      <c r="G158" s="9" t="s">
        <v>9843</v>
      </c>
      <c r="H158" s="9" t="s">
        <v>9844</v>
      </c>
      <c r="I158" s="9" t="s">
        <v>9844</v>
      </c>
      <c r="J158" s="9" t="s">
        <v>48</v>
      </c>
      <c r="K158" s="9" t="s">
        <v>9845</v>
      </c>
      <c r="L158" s="9">
        <v>1200000</v>
      </c>
      <c r="M158" s="9">
        <v>1500000</v>
      </c>
      <c r="N158" s="9" t="s">
        <v>9846</v>
      </c>
      <c r="O158" s="10">
        <v>45652</v>
      </c>
      <c r="P158" s="9" t="s">
        <v>9847</v>
      </c>
      <c r="Q158" s="9" t="s">
        <v>9848</v>
      </c>
      <c r="R158" s="9" t="s">
        <v>146</v>
      </c>
      <c r="S158" s="9" t="s">
        <v>9849</v>
      </c>
      <c r="T158" s="9" t="s">
        <v>783</v>
      </c>
      <c r="U158" s="9" t="s">
        <v>50</v>
      </c>
      <c r="V158" s="10">
        <v>44559</v>
      </c>
      <c r="W158" s="9" t="s">
        <v>8102</v>
      </c>
      <c r="X158" s="9" t="s">
        <v>8103</v>
      </c>
      <c r="Y158" s="9" t="s">
        <v>9850</v>
      </c>
      <c r="Z158" s="9">
        <v>5</v>
      </c>
      <c r="AA158" s="9" t="s">
        <v>118</v>
      </c>
      <c r="AB158" s="9" t="s">
        <v>9851</v>
      </c>
      <c r="AC158" s="9" t="s">
        <v>361</v>
      </c>
      <c r="AD158" s="9" t="s">
        <v>299</v>
      </c>
      <c r="AE158" s="9">
        <v>1275000</v>
      </c>
      <c r="AF158" s="11">
        <v>19125</v>
      </c>
      <c r="AG158" s="9"/>
      <c r="AH158" s="9"/>
      <c r="AI158" s="9"/>
      <c r="AJ158" s="9" t="s">
        <v>12158</v>
      </c>
      <c r="AK158" s="11">
        <v>19125</v>
      </c>
      <c r="AL158" s="12"/>
      <c r="AM158" s="14">
        <f t="shared" si="2"/>
        <v>0</v>
      </c>
      <c r="AN158" s="12" t="s">
        <v>12004</v>
      </c>
    </row>
    <row r="159" spans="1:40" x14ac:dyDescent="0.25">
      <c r="A159" s="12">
        <v>823</v>
      </c>
      <c r="B159" s="18" t="s">
        <v>8030</v>
      </c>
      <c r="C159" s="12" t="s">
        <v>9852</v>
      </c>
      <c r="D159" s="12" t="s">
        <v>37</v>
      </c>
      <c r="E159" s="12" t="s">
        <v>9853</v>
      </c>
      <c r="F159" s="12" t="s">
        <v>138</v>
      </c>
      <c r="G159" s="12" t="s">
        <v>9854</v>
      </c>
      <c r="H159" s="12" t="s">
        <v>9855</v>
      </c>
      <c r="I159" s="12" t="s">
        <v>9856</v>
      </c>
      <c r="J159" s="12" t="s">
        <v>9857</v>
      </c>
      <c r="K159" s="12" t="s">
        <v>9858</v>
      </c>
      <c r="L159" s="12">
        <v>1290300</v>
      </c>
      <c r="M159" s="12">
        <v>1518000</v>
      </c>
      <c r="N159" s="12" t="s">
        <v>9859</v>
      </c>
      <c r="O159" s="16">
        <v>45652</v>
      </c>
      <c r="P159" s="12" t="s">
        <v>9860</v>
      </c>
      <c r="Q159" s="12" t="s">
        <v>9861</v>
      </c>
      <c r="R159" s="12" t="s">
        <v>47</v>
      </c>
      <c r="S159" s="12" t="s">
        <v>48</v>
      </c>
      <c r="T159" s="12" t="s">
        <v>835</v>
      </c>
      <c r="U159" s="12" t="s">
        <v>614</v>
      </c>
      <c r="V159" s="16">
        <v>43829</v>
      </c>
      <c r="W159" s="12" t="s">
        <v>8088</v>
      </c>
      <c r="X159" s="12" t="s">
        <v>8103</v>
      </c>
      <c r="Y159" s="12" t="s">
        <v>9862</v>
      </c>
      <c r="Z159" s="12">
        <v>7</v>
      </c>
      <c r="AA159" s="12" t="s">
        <v>55</v>
      </c>
      <c r="AB159" s="12" t="s">
        <v>9863</v>
      </c>
      <c r="AC159" s="12" t="s">
        <v>9864</v>
      </c>
      <c r="AD159" s="12" t="s">
        <v>171</v>
      </c>
      <c r="AE159" s="12">
        <v>1138500</v>
      </c>
      <c r="AF159" s="13">
        <v>28463</v>
      </c>
      <c r="AG159" s="12"/>
      <c r="AH159" s="12"/>
      <c r="AI159" s="12"/>
      <c r="AJ159" s="12" t="s">
        <v>12159</v>
      </c>
      <c r="AK159" s="11">
        <v>28463</v>
      </c>
      <c r="AL159" s="12"/>
      <c r="AM159" s="14">
        <f t="shared" si="2"/>
        <v>0</v>
      </c>
      <c r="AN159" s="12" t="s">
        <v>12004</v>
      </c>
    </row>
    <row r="160" spans="1:40" x14ac:dyDescent="0.25">
      <c r="A160" s="9">
        <v>824</v>
      </c>
      <c r="B160" s="18" t="s">
        <v>8030</v>
      </c>
      <c r="C160" s="9" t="s">
        <v>9865</v>
      </c>
      <c r="D160" s="9" t="s">
        <v>37</v>
      </c>
      <c r="E160" s="9" t="s">
        <v>9866</v>
      </c>
      <c r="F160" s="9" t="s">
        <v>4022</v>
      </c>
      <c r="G160" s="9" t="s">
        <v>9867</v>
      </c>
      <c r="H160" s="9" t="s">
        <v>9868</v>
      </c>
      <c r="I160" s="9" t="s">
        <v>9868</v>
      </c>
      <c r="J160" s="9" t="s">
        <v>9868</v>
      </c>
      <c r="K160" s="9" t="s">
        <v>9869</v>
      </c>
      <c r="L160" s="9">
        <v>975000</v>
      </c>
      <c r="M160" s="9">
        <v>1500000</v>
      </c>
      <c r="N160" s="9" t="s">
        <v>9870</v>
      </c>
      <c r="O160" s="10">
        <v>45652</v>
      </c>
      <c r="P160" s="9" t="s">
        <v>9871</v>
      </c>
      <c r="Q160" s="9" t="s">
        <v>9872</v>
      </c>
      <c r="R160" s="9" t="s">
        <v>146</v>
      </c>
      <c r="S160" s="9" t="s">
        <v>9873</v>
      </c>
      <c r="T160" s="9" t="s">
        <v>49</v>
      </c>
      <c r="U160" s="9" t="s">
        <v>98</v>
      </c>
      <c r="V160" s="10">
        <v>44561</v>
      </c>
      <c r="W160" s="9" t="s">
        <v>8102</v>
      </c>
      <c r="X160" s="9" t="s">
        <v>8129</v>
      </c>
      <c r="Y160" s="9" t="s">
        <v>9874</v>
      </c>
      <c r="Z160" s="9">
        <v>6</v>
      </c>
      <c r="AA160" s="9" t="s">
        <v>55</v>
      </c>
      <c r="AB160" s="9" t="s">
        <v>48</v>
      </c>
      <c r="AC160" s="9" t="s">
        <v>361</v>
      </c>
      <c r="AD160" s="9" t="s">
        <v>299</v>
      </c>
      <c r="AE160" s="9">
        <v>1275000</v>
      </c>
      <c r="AF160" s="11">
        <v>19125</v>
      </c>
      <c r="AG160" s="9"/>
      <c r="AH160" s="9"/>
      <c r="AI160" s="9"/>
      <c r="AJ160" s="9" t="s">
        <v>12160</v>
      </c>
      <c r="AK160" s="11">
        <v>19125</v>
      </c>
      <c r="AL160" s="12"/>
      <c r="AM160" s="14">
        <f t="shared" si="2"/>
        <v>0</v>
      </c>
      <c r="AN160" s="12" t="s">
        <v>12004</v>
      </c>
    </row>
    <row r="161" spans="1:40" x14ac:dyDescent="0.25">
      <c r="A161" s="12">
        <v>825</v>
      </c>
      <c r="B161" s="18" t="s">
        <v>8030</v>
      </c>
      <c r="C161" s="12" t="s">
        <v>9875</v>
      </c>
      <c r="D161" s="12" t="s">
        <v>37</v>
      </c>
      <c r="E161" s="12" t="s">
        <v>9876</v>
      </c>
      <c r="F161" s="12" t="s">
        <v>107</v>
      </c>
      <c r="G161" s="12" t="s">
        <v>9877</v>
      </c>
      <c r="H161" s="12" t="s">
        <v>9878</v>
      </c>
      <c r="I161" s="12" t="s">
        <v>9878</v>
      </c>
      <c r="J161" s="12" t="s">
        <v>9878</v>
      </c>
      <c r="K161" s="12" t="s">
        <v>9879</v>
      </c>
      <c r="L161" s="12">
        <v>934500</v>
      </c>
      <c r="M161" s="12">
        <v>1335000</v>
      </c>
      <c r="N161" s="12" t="s">
        <v>9880</v>
      </c>
      <c r="O161" s="16">
        <v>45652</v>
      </c>
      <c r="P161" s="12" t="s">
        <v>9881</v>
      </c>
      <c r="Q161" s="12" t="s">
        <v>9882</v>
      </c>
      <c r="R161" s="12" t="s">
        <v>47</v>
      </c>
      <c r="S161" s="12" t="s">
        <v>48</v>
      </c>
      <c r="T161" s="12" t="s">
        <v>194</v>
      </c>
      <c r="U161" s="12" t="s">
        <v>50</v>
      </c>
      <c r="V161" s="16">
        <v>44440</v>
      </c>
      <c r="W161" s="12" t="s">
        <v>2981</v>
      </c>
      <c r="X161" s="12" t="s">
        <v>2982</v>
      </c>
      <c r="Y161" s="12" t="s">
        <v>9883</v>
      </c>
      <c r="Z161" s="12">
        <v>5</v>
      </c>
      <c r="AA161" s="12" t="s">
        <v>55</v>
      </c>
      <c r="AB161" s="12" t="s">
        <v>9884</v>
      </c>
      <c r="AC161" s="12" t="s">
        <v>361</v>
      </c>
      <c r="AD161" s="12" t="s">
        <v>58</v>
      </c>
      <c r="AE161" s="12">
        <v>1134750</v>
      </c>
      <c r="AF161" s="13">
        <v>22695</v>
      </c>
      <c r="AG161" s="12"/>
      <c r="AH161" s="12"/>
      <c r="AI161" s="12"/>
      <c r="AJ161" s="12" t="s">
        <v>12161</v>
      </c>
      <c r="AK161" s="11">
        <v>22695</v>
      </c>
      <c r="AL161" s="12"/>
      <c r="AM161" s="14">
        <f t="shared" si="2"/>
        <v>0</v>
      </c>
      <c r="AN161" s="12" t="s">
        <v>12004</v>
      </c>
    </row>
    <row r="162" spans="1:40" x14ac:dyDescent="0.25">
      <c r="A162" s="9">
        <v>826</v>
      </c>
      <c r="B162" s="18" t="s">
        <v>8030</v>
      </c>
      <c r="C162" s="9" t="s">
        <v>9885</v>
      </c>
      <c r="D162" s="9" t="s">
        <v>37</v>
      </c>
      <c r="E162" s="9" t="s">
        <v>9886</v>
      </c>
      <c r="F162" s="9" t="s">
        <v>39</v>
      </c>
      <c r="G162" s="9" t="s">
        <v>9887</v>
      </c>
      <c r="H162" s="9" t="s">
        <v>9888</v>
      </c>
      <c r="I162" s="9" t="s">
        <v>9889</v>
      </c>
      <c r="J162" s="9" t="s">
        <v>9888</v>
      </c>
      <c r="K162" s="9" t="s">
        <v>9890</v>
      </c>
      <c r="L162" s="9">
        <v>805000</v>
      </c>
      <c r="M162" s="9">
        <v>1150000</v>
      </c>
      <c r="N162" s="9" t="s">
        <v>9891</v>
      </c>
      <c r="O162" s="10">
        <v>45652</v>
      </c>
      <c r="P162" s="9" t="s">
        <v>9892</v>
      </c>
      <c r="Q162" s="9" t="s">
        <v>9893</v>
      </c>
      <c r="R162" s="9" t="s">
        <v>146</v>
      </c>
      <c r="S162" s="9" t="s">
        <v>9894</v>
      </c>
      <c r="T162" s="9" t="s">
        <v>181</v>
      </c>
      <c r="U162" s="9" t="s">
        <v>903</v>
      </c>
      <c r="V162" s="10">
        <v>44558</v>
      </c>
      <c r="W162" s="9" t="s">
        <v>8102</v>
      </c>
      <c r="X162" s="9" t="s">
        <v>8103</v>
      </c>
      <c r="Y162" s="9" t="s">
        <v>9895</v>
      </c>
      <c r="Z162" s="9">
        <v>5</v>
      </c>
      <c r="AA162" s="9" t="s">
        <v>118</v>
      </c>
      <c r="AB162" s="9" t="s">
        <v>9896</v>
      </c>
      <c r="AC162" s="9" t="s">
        <v>4015</v>
      </c>
      <c r="AD162" s="9" t="s">
        <v>299</v>
      </c>
      <c r="AE162" s="9">
        <v>977500</v>
      </c>
      <c r="AF162" s="11">
        <v>14663</v>
      </c>
      <c r="AG162" s="9"/>
      <c r="AH162" s="9"/>
      <c r="AI162" s="9"/>
      <c r="AJ162" s="9" t="s">
        <v>12162</v>
      </c>
      <c r="AK162" s="11">
        <v>14663</v>
      </c>
      <c r="AL162" s="12"/>
      <c r="AM162" s="14">
        <f t="shared" si="2"/>
        <v>0</v>
      </c>
      <c r="AN162" s="12" t="s">
        <v>12004</v>
      </c>
    </row>
    <row r="163" spans="1:40" x14ac:dyDescent="0.25">
      <c r="A163" s="12">
        <v>827</v>
      </c>
      <c r="B163" s="18" t="s">
        <v>8030</v>
      </c>
      <c r="C163" s="12" t="s">
        <v>9897</v>
      </c>
      <c r="D163" s="12" t="s">
        <v>37</v>
      </c>
      <c r="E163" s="12" t="s">
        <v>5187</v>
      </c>
      <c r="F163" s="12" t="s">
        <v>39</v>
      </c>
      <c r="G163" s="12" t="s">
        <v>9898</v>
      </c>
      <c r="H163" s="12" t="s">
        <v>9899</v>
      </c>
      <c r="I163" s="12" t="s">
        <v>9900</v>
      </c>
      <c r="J163" s="12" t="s">
        <v>9899</v>
      </c>
      <c r="K163" s="12" t="s">
        <v>9901</v>
      </c>
      <c r="L163" s="12">
        <v>720000</v>
      </c>
      <c r="M163" s="12">
        <v>1800000</v>
      </c>
      <c r="N163" s="12" t="s">
        <v>9902</v>
      </c>
      <c r="O163" s="16">
        <v>45652</v>
      </c>
      <c r="P163" s="12" t="s">
        <v>9903</v>
      </c>
      <c r="Q163" s="12" t="s">
        <v>9904</v>
      </c>
      <c r="R163" s="12" t="s">
        <v>146</v>
      </c>
      <c r="S163" s="12" t="s">
        <v>9905</v>
      </c>
      <c r="T163" s="12" t="s">
        <v>8848</v>
      </c>
      <c r="U163" s="12" t="s">
        <v>715</v>
      </c>
      <c r="V163" s="16">
        <v>44559</v>
      </c>
      <c r="W163" s="12" t="s">
        <v>8102</v>
      </c>
      <c r="X163" s="12" t="s">
        <v>7530</v>
      </c>
      <c r="Y163" s="12" t="s">
        <v>9906</v>
      </c>
      <c r="Z163" s="12">
        <v>3</v>
      </c>
      <c r="AA163" s="12" t="s">
        <v>118</v>
      </c>
      <c r="AB163" s="12" t="s">
        <v>9907</v>
      </c>
      <c r="AC163" s="12" t="s">
        <v>4015</v>
      </c>
      <c r="AD163" s="12" t="s">
        <v>299</v>
      </c>
      <c r="AE163" s="12">
        <v>1530000</v>
      </c>
      <c r="AF163" s="13">
        <v>22950</v>
      </c>
      <c r="AG163" s="12"/>
      <c r="AH163" s="12"/>
      <c r="AI163" s="12"/>
      <c r="AJ163" s="12" t="s">
        <v>12163</v>
      </c>
      <c r="AK163" s="11">
        <v>22950</v>
      </c>
      <c r="AL163" s="12"/>
      <c r="AM163" s="14">
        <f t="shared" si="2"/>
        <v>0</v>
      </c>
      <c r="AN163" s="12" t="s">
        <v>12004</v>
      </c>
    </row>
    <row r="164" spans="1:40" x14ac:dyDescent="0.25">
      <c r="A164" s="9">
        <v>828</v>
      </c>
      <c r="B164" s="18" t="s">
        <v>8030</v>
      </c>
      <c r="C164" s="9" t="s">
        <v>9908</v>
      </c>
      <c r="D164" s="9" t="s">
        <v>37</v>
      </c>
      <c r="E164" s="9" t="s">
        <v>9446</v>
      </c>
      <c r="F164" s="9" t="s">
        <v>107</v>
      </c>
      <c r="G164" s="9" t="s">
        <v>9909</v>
      </c>
      <c r="H164" s="9" t="s">
        <v>9910</v>
      </c>
      <c r="I164" s="9" t="s">
        <v>9910</v>
      </c>
      <c r="J164" s="9" t="s">
        <v>9910</v>
      </c>
      <c r="K164" s="9" t="s">
        <v>9911</v>
      </c>
      <c r="L164" s="9">
        <v>1032500</v>
      </c>
      <c r="M164" s="9">
        <v>1475000</v>
      </c>
      <c r="N164" s="9" t="s">
        <v>9912</v>
      </c>
      <c r="O164" s="10">
        <v>45651</v>
      </c>
      <c r="P164" s="9" t="s">
        <v>9913</v>
      </c>
      <c r="Q164" s="9" t="s">
        <v>9914</v>
      </c>
      <c r="R164" s="9" t="s">
        <v>47</v>
      </c>
      <c r="S164" s="9" t="s">
        <v>48</v>
      </c>
      <c r="T164" s="9" t="s">
        <v>1384</v>
      </c>
      <c r="U164" s="9" t="s">
        <v>148</v>
      </c>
      <c r="V164" s="10">
        <v>44727</v>
      </c>
      <c r="W164" s="9" t="s">
        <v>8128</v>
      </c>
      <c r="X164" s="9" t="s">
        <v>8129</v>
      </c>
      <c r="Y164" s="9" t="s">
        <v>9915</v>
      </c>
      <c r="Z164" s="9">
        <v>5</v>
      </c>
      <c r="AA164" s="9" t="s">
        <v>152</v>
      </c>
      <c r="AB164" s="9" t="s">
        <v>9916</v>
      </c>
      <c r="AC164" s="9" t="s">
        <v>4057</v>
      </c>
      <c r="AD164" s="9" t="s">
        <v>58</v>
      </c>
      <c r="AE164" s="9">
        <v>1327500</v>
      </c>
      <c r="AF164" s="11">
        <v>26550</v>
      </c>
      <c r="AG164" s="9"/>
      <c r="AH164" s="9"/>
      <c r="AI164" s="9"/>
      <c r="AJ164" s="9" t="s">
        <v>12164</v>
      </c>
      <c r="AK164" s="11">
        <v>26550</v>
      </c>
      <c r="AL164" s="12"/>
      <c r="AM164" s="14">
        <f t="shared" si="2"/>
        <v>0</v>
      </c>
      <c r="AN164" s="12" t="s">
        <v>12004</v>
      </c>
    </row>
    <row r="165" spans="1:40" x14ac:dyDescent="0.25">
      <c r="A165" s="12">
        <v>829</v>
      </c>
      <c r="B165" s="18" t="s">
        <v>8030</v>
      </c>
      <c r="C165" s="12" t="s">
        <v>9917</v>
      </c>
      <c r="D165" s="12" t="s">
        <v>37</v>
      </c>
      <c r="E165" s="12" t="s">
        <v>1541</v>
      </c>
      <c r="F165" s="12" t="s">
        <v>107</v>
      </c>
      <c r="G165" s="12" t="s">
        <v>9918</v>
      </c>
      <c r="H165" s="12" t="s">
        <v>9919</v>
      </c>
      <c r="I165" s="12" t="s">
        <v>9919</v>
      </c>
      <c r="J165" s="12" t="s">
        <v>9919</v>
      </c>
      <c r="K165" s="12" t="s">
        <v>9920</v>
      </c>
      <c r="L165" s="12">
        <v>3801000</v>
      </c>
      <c r="M165" s="12">
        <v>5430000</v>
      </c>
      <c r="N165" s="12" t="s">
        <v>9921</v>
      </c>
      <c r="O165" s="16">
        <v>45649</v>
      </c>
      <c r="P165" s="12" t="s">
        <v>9922</v>
      </c>
      <c r="Q165" s="12" t="s">
        <v>9923</v>
      </c>
      <c r="R165" s="12" t="s">
        <v>47</v>
      </c>
      <c r="S165" s="12" t="s">
        <v>48</v>
      </c>
      <c r="T165" s="12" t="s">
        <v>115</v>
      </c>
      <c r="U165" s="12" t="s">
        <v>98</v>
      </c>
      <c r="V165" s="16">
        <v>44067</v>
      </c>
      <c r="W165" s="12" t="s">
        <v>8114</v>
      </c>
      <c r="X165" s="12" t="s">
        <v>8115</v>
      </c>
      <c r="Y165" s="12" t="s">
        <v>9924</v>
      </c>
      <c r="Z165" s="12">
        <v>5</v>
      </c>
      <c r="AA165" s="12" t="s">
        <v>48</v>
      </c>
      <c r="AB165" s="12" t="s">
        <v>48</v>
      </c>
      <c r="AC165" s="12" t="s">
        <v>48</v>
      </c>
      <c r="AD165" s="12" t="s">
        <v>299</v>
      </c>
      <c r="AE165" s="12">
        <v>4344000</v>
      </c>
      <c r="AF165" s="13">
        <v>65160</v>
      </c>
      <c r="AG165" s="12"/>
      <c r="AH165" s="12"/>
      <c r="AI165" s="12"/>
      <c r="AJ165" s="12" t="s">
        <v>12165</v>
      </c>
      <c r="AK165" s="11">
        <v>65160</v>
      </c>
      <c r="AL165" s="12"/>
      <c r="AM165" s="14">
        <f t="shared" si="2"/>
        <v>0</v>
      </c>
      <c r="AN165" s="12" t="s">
        <v>12004</v>
      </c>
    </row>
    <row r="166" spans="1:40" x14ac:dyDescent="0.25">
      <c r="A166" s="9">
        <v>830</v>
      </c>
      <c r="B166" s="18" t="s">
        <v>8030</v>
      </c>
      <c r="C166" s="9" t="s">
        <v>9925</v>
      </c>
      <c r="D166" s="9" t="s">
        <v>37</v>
      </c>
      <c r="E166" s="9" t="s">
        <v>9926</v>
      </c>
      <c r="F166" s="9" t="s">
        <v>138</v>
      </c>
      <c r="G166" s="9" t="s">
        <v>9927</v>
      </c>
      <c r="H166" s="9" t="s">
        <v>48</v>
      </c>
      <c r="I166" s="9" t="s">
        <v>9928</v>
      </c>
      <c r="J166" s="9" t="s">
        <v>48</v>
      </c>
      <c r="K166" s="9" t="s">
        <v>9929</v>
      </c>
      <c r="L166" s="9">
        <v>2600000</v>
      </c>
      <c r="M166" s="9">
        <v>4000000</v>
      </c>
      <c r="N166" s="9" t="s">
        <v>9930</v>
      </c>
      <c r="O166" s="10">
        <v>45649</v>
      </c>
      <c r="P166" s="9" t="s">
        <v>9931</v>
      </c>
      <c r="Q166" s="9" t="s">
        <v>9932</v>
      </c>
      <c r="R166" s="9" t="s">
        <v>146</v>
      </c>
      <c r="S166" s="9" t="s">
        <v>9933</v>
      </c>
      <c r="T166" s="9" t="s">
        <v>601</v>
      </c>
      <c r="U166" s="9" t="s">
        <v>50</v>
      </c>
      <c r="V166" s="10">
        <v>44559</v>
      </c>
      <c r="W166" s="9" t="s">
        <v>8102</v>
      </c>
      <c r="X166" s="9" t="s">
        <v>8103</v>
      </c>
      <c r="Y166" s="9" t="s">
        <v>9934</v>
      </c>
      <c r="Z166" s="9">
        <v>5</v>
      </c>
      <c r="AA166" s="9" t="s">
        <v>118</v>
      </c>
      <c r="AB166" s="9" t="s">
        <v>9935</v>
      </c>
      <c r="AC166" s="9" t="s">
        <v>361</v>
      </c>
      <c r="AD166" s="9" t="s">
        <v>299</v>
      </c>
      <c r="AE166" s="9">
        <v>3400000</v>
      </c>
      <c r="AF166" s="11">
        <v>51000</v>
      </c>
      <c r="AG166" s="9"/>
      <c r="AH166" s="9"/>
      <c r="AI166" s="9"/>
      <c r="AJ166" s="9" t="s">
        <v>12166</v>
      </c>
      <c r="AK166" s="11">
        <v>51000</v>
      </c>
      <c r="AL166" s="12"/>
      <c r="AM166" s="14">
        <f t="shared" si="2"/>
        <v>0</v>
      </c>
      <c r="AN166" s="12" t="s">
        <v>12004</v>
      </c>
    </row>
    <row r="167" spans="1:40" x14ac:dyDescent="0.25">
      <c r="A167" s="12">
        <v>831</v>
      </c>
      <c r="B167" s="18" t="s">
        <v>8030</v>
      </c>
      <c r="C167" s="12" t="s">
        <v>9936</v>
      </c>
      <c r="D167" s="12" t="s">
        <v>37</v>
      </c>
      <c r="E167" s="12" t="s">
        <v>9937</v>
      </c>
      <c r="F167" s="12" t="s">
        <v>107</v>
      </c>
      <c r="G167" s="12" t="s">
        <v>9938</v>
      </c>
      <c r="H167" s="12" t="s">
        <v>9939</v>
      </c>
      <c r="I167" s="12" t="s">
        <v>9939</v>
      </c>
      <c r="J167" s="12" t="s">
        <v>9939</v>
      </c>
      <c r="K167" s="12" t="s">
        <v>9940</v>
      </c>
      <c r="L167" s="12">
        <v>2520000</v>
      </c>
      <c r="M167" s="12">
        <v>3600000</v>
      </c>
      <c r="N167" s="12" t="s">
        <v>9941</v>
      </c>
      <c r="O167" s="16">
        <v>45649</v>
      </c>
      <c r="P167" s="12" t="s">
        <v>9942</v>
      </c>
      <c r="Q167" s="12" t="s">
        <v>9943</v>
      </c>
      <c r="R167" s="12" t="s">
        <v>146</v>
      </c>
      <c r="S167" s="12" t="s">
        <v>9944</v>
      </c>
      <c r="T167" s="12" t="s">
        <v>5992</v>
      </c>
      <c r="U167" s="12" t="s">
        <v>496</v>
      </c>
      <c r="V167" s="16">
        <v>44558</v>
      </c>
      <c r="W167" s="12" t="s">
        <v>8102</v>
      </c>
      <c r="X167" s="12" t="s">
        <v>8103</v>
      </c>
      <c r="Y167" s="12" t="s">
        <v>9945</v>
      </c>
      <c r="Z167" s="12">
        <v>5</v>
      </c>
      <c r="AA167" s="12" t="s">
        <v>55</v>
      </c>
      <c r="AB167" s="12" t="s">
        <v>9946</v>
      </c>
      <c r="AC167" s="12" t="s">
        <v>361</v>
      </c>
      <c r="AD167" s="12" t="s">
        <v>299</v>
      </c>
      <c r="AE167" s="12">
        <v>3060000</v>
      </c>
      <c r="AF167" s="13">
        <v>45900</v>
      </c>
      <c r="AG167" s="12"/>
      <c r="AH167" s="12"/>
      <c r="AI167" s="12"/>
      <c r="AJ167" s="12" t="s">
        <v>12167</v>
      </c>
      <c r="AK167" s="11">
        <v>45900</v>
      </c>
      <c r="AL167" s="12"/>
      <c r="AM167" s="14">
        <f t="shared" si="2"/>
        <v>0</v>
      </c>
      <c r="AN167" s="12" t="s">
        <v>12004</v>
      </c>
    </row>
    <row r="168" spans="1:40" x14ac:dyDescent="0.25">
      <c r="A168" s="9">
        <v>832</v>
      </c>
      <c r="B168" s="18" t="s">
        <v>8030</v>
      </c>
      <c r="C168" s="9" t="s">
        <v>9947</v>
      </c>
      <c r="D168" s="9" t="s">
        <v>37</v>
      </c>
      <c r="E168" s="9" t="s">
        <v>9948</v>
      </c>
      <c r="F168" s="9" t="s">
        <v>138</v>
      </c>
      <c r="G168" s="9" t="s">
        <v>9949</v>
      </c>
      <c r="H168" s="9" t="s">
        <v>48</v>
      </c>
      <c r="I168" s="9" t="s">
        <v>9950</v>
      </c>
      <c r="J168" s="9" t="s">
        <v>48</v>
      </c>
      <c r="K168" s="9" t="s">
        <v>9951</v>
      </c>
      <c r="L168" s="9">
        <v>2520000</v>
      </c>
      <c r="M168" s="9">
        <v>3600000</v>
      </c>
      <c r="N168" s="9" t="s">
        <v>9952</v>
      </c>
      <c r="O168" s="10">
        <v>45649</v>
      </c>
      <c r="P168" s="9" t="s">
        <v>9953</v>
      </c>
      <c r="Q168" s="9" t="s">
        <v>9954</v>
      </c>
      <c r="R168" s="9" t="s">
        <v>146</v>
      </c>
      <c r="S168" s="9" t="s">
        <v>9955</v>
      </c>
      <c r="T168" s="9" t="s">
        <v>6576</v>
      </c>
      <c r="U168" s="9" t="s">
        <v>496</v>
      </c>
      <c r="V168" s="10">
        <v>44559</v>
      </c>
      <c r="W168" s="9" t="s">
        <v>8102</v>
      </c>
      <c r="X168" s="9" t="s">
        <v>7530</v>
      </c>
      <c r="Y168" s="9" t="s">
        <v>9956</v>
      </c>
      <c r="Z168" s="9">
        <v>3</v>
      </c>
      <c r="AA168" s="9" t="s">
        <v>118</v>
      </c>
      <c r="AB168" s="9" t="s">
        <v>9957</v>
      </c>
      <c r="AC168" s="9" t="s">
        <v>361</v>
      </c>
      <c r="AD168" s="9" t="s">
        <v>299</v>
      </c>
      <c r="AE168" s="9">
        <v>3060000</v>
      </c>
      <c r="AF168" s="11">
        <v>45900</v>
      </c>
      <c r="AG168" s="9"/>
      <c r="AH168" s="9"/>
      <c r="AI168" s="9"/>
      <c r="AJ168" s="9" t="s">
        <v>12168</v>
      </c>
      <c r="AK168" s="11">
        <v>45900</v>
      </c>
      <c r="AL168" s="12"/>
      <c r="AM168" s="14">
        <f t="shared" si="2"/>
        <v>0</v>
      </c>
      <c r="AN168" s="12" t="s">
        <v>12004</v>
      </c>
    </row>
    <row r="169" spans="1:40" x14ac:dyDescent="0.25">
      <c r="A169" s="12">
        <v>833</v>
      </c>
      <c r="B169" s="18" t="s">
        <v>8030</v>
      </c>
      <c r="C169" s="12" t="s">
        <v>9958</v>
      </c>
      <c r="D169" s="12" t="s">
        <v>37</v>
      </c>
      <c r="E169" s="12" t="s">
        <v>9959</v>
      </c>
      <c r="F169" s="12" t="s">
        <v>138</v>
      </c>
      <c r="G169" s="12" t="s">
        <v>9960</v>
      </c>
      <c r="H169" s="12" t="s">
        <v>9961</v>
      </c>
      <c r="I169" s="12" t="s">
        <v>9962</v>
      </c>
      <c r="J169" s="12" t="s">
        <v>9961</v>
      </c>
      <c r="K169" s="12" t="s">
        <v>9963</v>
      </c>
      <c r="L169" s="12">
        <v>2137850</v>
      </c>
      <c r="M169" s="12">
        <v>3289000</v>
      </c>
      <c r="N169" s="12" t="s">
        <v>9964</v>
      </c>
      <c r="O169" s="16">
        <v>45649</v>
      </c>
      <c r="P169" s="12" t="s">
        <v>9965</v>
      </c>
      <c r="Q169" s="12" t="s">
        <v>9966</v>
      </c>
      <c r="R169" s="12" t="s">
        <v>47</v>
      </c>
      <c r="S169" s="12" t="s">
        <v>48</v>
      </c>
      <c r="T169" s="12" t="s">
        <v>348</v>
      </c>
      <c r="U169" s="12" t="s">
        <v>50</v>
      </c>
      <c r="V169" s="16">
        <v>44559</v>
      </c>
      <c r="W169" s="12" t="s">
        <v>8102</v>
      </c>
      <c r="X169" s="12" t="s">
        <v>7530</v>
      </c>
      <c r="Y169" s="12" t="s">
        <v>9967</v>
      </c>
      <c r="Z169" s="12">
        <v>3</v>
      </c>
      <c r="AA169" s="12" t="s">
        <v>55</v>
      </c>
      <c r="AB169" s="12" t="s">
        <v>9968</v>
      </c>
      <c r="AC169" s="12" t="s">
        <v>361</v>
      </c>
      <c r="AD169" s="12" t="s">
        <v>58</v>
      </c>
      <c r="AE169" s="12">
        <v>2795650</v>
      </c>
      <c r="AF169" s="13">
        <v>55913</v>
      </c>
      <c r="AG169" s="12"/>
      <c r="AH169" s="12"/>
      <c r="AI169" s="12"/>
      <c r="AJ169" s="12" t="s">
        <v>12169</v>
      </c>
      <c r="AK169" s="11">
        <v>55913</v>
      </c>
      <c r="AL169" s="12"/>
      <c r="AM169" s="14">
        <f t="shared" si="2"/>
        <v>0</v>
      </c>
      <c r="AN169" s="12" t="s">
        <v>12004</v>
      </c>
    </row>
    <row r="170" spans="1:40" x14ac:dyDescent="0.25">
      <c r="A170" s="9">
        <v>834</v>
      </c>
      <c r="B170" s="18" t="s">
        <v>8030</v>
      </c>
      <c r="C170" s="9" t="s">
        <v>9969</v>
      </c>
      <c r="D170" s="9" t="s">
        <v>37</v>
      </c>
      <c r="E170" s="9" t="s">
        <v>9970</v>
      </c>
      <c r="F170" s="9" t="s">
        <v>39</v>
      </c>
      <c r="G170" s="9" t="s">
        <v>9971</v>
      </c>
      <c r="H170" s="9" t="s">
        <v>48</v>
      </c>
      <c r="I170" s="9" t="s">
        <v>9972</v>
      </c>
      <c r="J170" s="9" t="s">
        <v>48</v>
      </c>
      <c r="K170" s="9" t="s">
        <v>9973</v>
      </c>
      <c r="L170" s="9">
        <v>2047500</v>
      </c>
      <c r="M170" s="9">
        <v>3150000</v>
      </c>
      <c r="N170" s="9" t="s">
        <v>9974</v>
      </c>
      <c r="O170" s="10">
        <v>45649</v>
      </c>
      <c r="P170" s="9" t="s">
        <v>9975</v>
      </c>
      <c r="Q170" s="9" t="s">
        <v>9976</v>
      </c>
      <c r="R170" s="9" t="s">
        <v>146</v>
      </c>
      <c r="S170" s="9" t="s">
        <v>9977</v>
      </c>
      <c r="T170" s="9" t="s">
        <v>97</v>
      </c>
      <c r="U170" s="9" t="s">
        <v>651</v>
      </c>
      <c r="V170" s="10">
        <v>44558</v>
      </c>
      <c r="W170" s="9" t="s">
        <v>8102</v>
      </c>
      <c r="X170" s="9" t="s">
        <v>8115</v>
      </c>
      <c r="Y170" s="9" t="s">
        <v>9978</v>
      </c>
      <c r="Z170" s="9">
        <v>4</v>
      </c>
      <c r="AA170" s="9" t="s">
        <v>118</v>
      </c>
      <c r="AB170" s="9" t="s">
        <v>9979</v>
      </c>
      <c r="AC170" s="9" t="s">
        <v>4015</v>
      </c>
      <c r="AD170" s="9" t="s">
        <v>299</v>
      </c>
      <c r="AE170" s="9">
        <v>2677500</v>
      </c>
      <c r="AF170" s="11">
        <v>40163</v>
      </c>
      <c r="AG170" s="9"/>
      <c r="AH170" s="9"/>
      <c r="AI170" s="9"/>
      <c r="AJ170" s="9" t="s">
        <v>12170</v>
      </c>
      <c r="AK170" s="11">
        <v>40163</v>
      </c>
      <c r="AL170" s="12"/>
      <c r="AM170" s="14">
        <f t="shared" si="2"/>
        <v>0</v>
      </c>
      <c r="AN170" s="12" t="s">
        <v>12004</v>
      </c>
    </row>
    <row r="171" spans="1:40" x14ac:dyDescent="0.25">
      <c r="A171" s="12">
        <v>835</v>
      </c>
      <c r="B171" s="18" t="s">
        <v>8030</v>
      </c>
      <c r="C171" s="12" t="s">
        <v>9980</v>
      </c>
      <c r="D171" s="12" t="s">
        <v>37</v>
      </c>
      <c r="E171" s="12" t="s">
        <v>9981</v>
      </c>
      <c r="F171" s="12" t="s">
        <v>39</v>
      </c>
      <c r="G171" s="12" t="s">
        <v>9982</v>
      </c>
      <c r="H171" s="12" t="s">
        <v>9983</v>
      </c>
      <c r="I171" s="12" t="s">
        <v>9984</v>
      </c>
      <c r="J171" s="12" t="s">
        <v>9983</v>
      </c>
      <c r="K171" s="12" t="s">
        <v>9985</v>
      </c>
      <c r="L171" s="12">
        <v>1890000</v>
      </c>
      <c r="M171" s="12">
        <v>2700000</v>
      </c>
      <c r="N171" s="12" t="s">
        <v>9986</v>
      </c>
      <c r="O171" s="16">
        <v>45649</v>
      </c>
      <c r="P171" s="12" t="s">
        <v>9987</v>
      </c>
      <c r="Q171" s="12" t="s">
        <v>9988</v>
      </c>
      <c r="R171" s="12" t="s">
        <v>146</v>
      </c>
      <c r="S171" s="12" t="s">
        <v>9989</v>
      </c>
      <c r="T171" s="12" t="s">
        <v>1826</v>
      </c>
      <c r="U171" s="12" t="s">
        <v>98</v>
      </c>
      <c r="V171" s="16">
        <v>44558</v>
      </c>
      <c r="W171" s="12" t="s">
        <v>8102</v>
      </c>
      <c r="X171" s="12" t="s">
        <v>7530</v>
      </c>
      <c r="Y171" s="12" t="s">
        <v>9990</v>
      </c>
      <c r="Z171" s="12">
        <v>3</v>
      </c>
      <c r="AA171" s="12" t="s">
        <v>118</v>
      </c>
      <c r="AB171" s="12" t="s">
        <v>9991</v>
      </c>
      <c r="AC171" s="12" t="s">
        <v>4019</v>
      </c>
      <c r="AD171" s="12" t="s">
        <v>299</v>
      </c>
      <c r="AE171" s="12">
        <v>2295000</v>
      </c>
      <c r="AF171" s="13">
        <v>34425</v>
      </c>
      <c r="AG171" s="12"/>
      <c r="AH171" s="12"/>
      <c r="AI171" s="12"/>
      <c r="AJ171" s="12" t="s">
        <v>12171</v>
      </c>
      <c r="AK171" s="11">
        <v>34425</v>
      </c>
      <c r="AL171" s="12"/>
      <c r="AM171" s="14">
        <f t="shared" si="2"/>
        <v>0</v>
      </c>
      <c r="AN171" s="12" t="s">
        <v>12004</v>
      </c>
    </row>
    <row r="172" spans="1:40" x14ac:dyDescent="0.25">
      <c r="A172" s="9">
        <v>836</v>
      </c>
      <c r="B172" s="18" t="s">
        <v>8030</v>
      </c>
      <c r="C172" s="9" t="s">
        <v>9992</v>
      </c>
      <c r="D172" s="9" t="s">
        <v>37</v>
      </c>
      <c r="E172" s="9" t="s">
        <v>9993</v>
      </c>
      <c r="F172" s="9" t="s">
        <v>39</v>
      </c>
      <c r="G172" s="9" t="s">
        <v>9994</v>
      </c>
      <c r="H172" s="9" t="s">
        <v>9995</v>
      </c>
      <c r="I172" s="9" t="s">
        <v>9996</v>
      </c>
      <c r="J172" s="9" t="s">
        <v>9997</v>
      </c>
      <c r="K172" s="9" t="s">
        <v>9998</v>
      </c>
      <c r="L172" s="9">
        <v>2273240</v>
      </c>
      <c r="M172" s="9">
        <v>3343000</v>
      </c>
      <c r="N172" s="9" t="s">
        <v>9999</v>
      </c>
      <c r="O172" s="10">
        <v>45649</v>
      </c>
      <c r="P172" s="9" t="s">
        <v>10000</v>
      </c>
      <c r="Q172" s="9" t="s">
        <v>10001</v>
      </c>
      <c r="R172" s="9" t="s">
        <v>47</v>
      </c>
      <c r="S172" s="9" t="s">
        <v>48</v>
      </c>
      <c r="T172" s="9" t="s">
        <v>10002</v>
      </c>
      <c r="U172" s="9" t="s">
        <v>98</v>
      </c>
      <c r="V172" s="10">
        <v>44135</v>
      </c>
      <c r="W172" s="9" t="s">
        <v>8114</v>
      </c>
      <c r="X172" s="9" t="s">
        <v>7530</v>
      </c>
      <c r="Y172" s="9" t="s">
        <v>10003</v>
      </c>
      <c r="Z172" s="9">
        <v>4</v>
      </c>
      <c r="AA172" s="9" t="s">
        <v>227</v>
      </c>
      <c r="AB172" s="9" t="s">
        <v>10004</v>
      </c>
      <c r="AC172" s="9" t="s">
        <v>4004</v>
      </c>
      <c r="AD172" s="9" t="s">
        <v>58</v>
      </c>
      <c r="AE172" s="9">
        <v>2674400</v>
      </c>
      <c r="AF172" s="11">
        <v>53488</v>
      </c>
      <c r="AG172" s="9"/>
      <c r="AH172" s="9"/>
      <c r="AI172" s="9"/>
      <c r="AJ172" s="9" t="s">
        <v>12172</v>
      </c>
      <c r="AK172" s="11">
        <v>53488</v>
      </c>
      <c r="AL172" s="12"/>
      <c r="AM172" s="14">
        <f t="shared" si="2"/>
        <v>0</v>
      </c>
      <c r="AN172" s="12" t="s">
        <v>12004</v>
      </c>
    </row>
    <row r="173" spans="1:40" x14ac:dyDescent="0.25">
      <c r="A173" s="12">
        <v>837</v>
      </c>
      <c r="B173" s="18" t="s">
        <v>8030</v>
      </c>
      <c r="C173" s="12" t="s">
        <v>10005</v>
      </c>
      <c r="D173" s="12" t="s">
        <v>37</v>
      </c>
      <c r="E173" s="12" t="s">
        <v>10006</v>
      </c>
      <c r="F173" s="12" t="s">
        <v>138</v>
      </c>
      <c r="G173" s="12" t="s">
        <v>10007</v>
      </c>
      <c r="H173" s="12" t="s">
        <v>10008</v>
      </c>
      <c r="I173" s="12" t="s">
        <v>10008</v>
      </c>
      <c r="J173" s="12" t="s">
        <v>141</v>
      </c>
      <c r="K173" s="12" t="s">
        <v>10009</v>
      </c>
      <c r="L173" s="12">
        <v>1520000</v>
      </c>
      <c r="M173" s="12">
        <v>1900000</v>
      </c>
      <c r="N173" s="12" t="s">
        <v>10010</v>
      </c>
      <c r="O173" s="16">
        <v>45649</v>
      </c>
      <c r="P173" s="12" t="s">
        <v>10011</v>
      </c>
      <c r="Q173" s="12" t="s">
        <v>10012</v>
      </c>
      <c r="R173" s="12" t="s">
        <v>146</v>
      </c>
      <c r="S173" s="12" t="s">
        <v>10013</v>
      </c>
      <c r="T173" s="12" t="s">
        <v>783</v>
      </c>
      <c r="U173" s="12" t="s">
        <v>50</v>
      </c>
      <c r="V173" s="16">
        <v>44558</v>
      </c>
      <c r="W173" s="12" t="s">
        <v>8102</v>
      </c>
      <c r="X173" s="12" t="s">
        <v>8103</v>
      </c>
      <c r="Y173" s="12" t="s">
        <v>10014</v>
      </c>
      <c r="Z173" s="12">
        <v>5</v>
      </c>
      <c r="AA173" s="12" t="s">
        <v>55</v>
      </c>
      <c r="AB173" s="12" t="s">
        <v>10015</v>
      </c>
      <c r="AC173" s="12" t="s">
        <v>4015</v>
      </c>
      <c r="AD173" s="12" t="s">
        <v>299</v>
      </c>
      <c r="AE173" s="12">
        <v>1615000</v>
      </c>
      <c r="AF173" s="13">
        <v>24225</v>
      </c>
      <c r="AG173" s="12"/>
      <c r="AH173" s="12"/>
      <c r="AI173" s="12"/>
      <c r="AJ173" s="12" t="s">
        <v>12173</v>
      </c>
      <c r="AK173" s="11">
        <v>24225</v>
      </c>
      <c r="AL173" s="12"/>
      <c r="AM173" s="14">
        <f t="shared" si="2"/>
        <v>0</v>
      </c>
      <c r="AN173" s="12" t="s">
        <v>12004</v>
      </c>
    </row>
    <row r="174" spans="1:40" x14ac:dyDescent="0.25">
      <c r="A174" s="9">
        <v>838</v>
      </c>
      <c r="B174" s="18" t="s">
        <v>8030</v>
      </c>
      <c r="C174" s="9" t="s">
        <v>10016</v>
      </c>
      <c r="D174" s="9" t="s">
        <v>37</v>
      </c>
      <c r="E174" s="9" t="s">
        <v>10017</v>
      </c>
      <c r="F174" s="9" t="s">
        <v>10018</v>
      </c>
      <c r="G174" s="9" t="s">
        <v>10019</v>
      </c>
      <c r="H174" s="9" t="s">
        <v>10020</v>
      </c>
      <c r="I174" s="9" t="s">
        <v>10021</v>
      </c>
      <c r="J174" s="9" t="s">
        <v>10022</v>
      </c>
      <c r="K174" s="9" t="s">
        <v>10023</v>
      </c>
      <c r="L174" s="9">
        <v>1555500</v>
      </c>
      <c r="M174" s="9">
        <v>2074000</v>
      </c>
      <c r="N174" s="9" t="s">
        <v>10024</v>
      </c>
      <c r="O174" s="10">
        <v>45649</v>
      </c>
      <c r="P174" s="9" t="s">
        <v>10025</v>
      </c>
      <c r="Q174" s="9" t="s">
        <v>10026</v>
      </c>
      <c r="R174" s="9" t="s">
        <v>47</v>
      </c>
      <c r="S174" s="9" t="s">
        <v>48</v>
      </c>
      <c r="T174" s="9" t="s">
        <v>3497</v>
      </c>
      <c r="U174" s="9" t="s">
        <v>98</v>
      </c>
      <c r="V174" s="10">
        <v>44082</v>
      </c>
      <c r="W174" s="9" t="s">
        <v>8114</v>
      </c>
      <c r="X174" s="9" t="s">
        <v>8115</v>
      </c>
      <c r="Y174" s="9" t="s">
        <v>10027</v>
      </c>
      <c r="Z174" s="9">
        <v>5</v>
      </c>
      <c r="AA174" s="9" t="s">
        <v>118</v>
      </c>
      <c r="AB174" s="9" t="s">
        <v>10028</v>
      </c>
      <c r="AC174" s="9" t="s">
        <v>4004</v>
      </c>
      <c r="AD174" s="9" t="s">
        <v>58</v>
      </c>
      <c r="AE174" s="9">
        <v>1659200</v>
      </c>
      <c r="AF174" s="11">
        <v>33184</v>
      </c>
      <c r="AG174" s="9"/>
      <c r="AH174" s="9"/>
      <c r="AI174" s="9"/>
      <c r="AJ174" s="9" t="s">
        <v>12174</v>
      </c>
      <c r="AK174" s="11">
        <v>33184</v>
      </c>
      <c r="AL174" s="12"/>
      <c r="AM174" s="14">
        <f t="shared" si="2"/>
        <v>0</v>
      </c>
      <c r="AN174" s="12" t="s">
        <v>12004</v>
      </c>
    </row>
    <row r="175" spans="1:40" x14ac:dyDescent="0.25">
      <c r="A175" s="12">
        <v>839</v>
      </c>
      <c r="B175" s="18" t="s">
        <v>8030</v>
      </c>
      <c r="C175" s="12" t="s">
        <v>10029</v>
      </c>
      <c r="D175" s="12" t="s">
        <v>37</v>
      </c>
      <c r="E175" s="12" t="s">
        <v>10030</v>
      </c>
      <c r="F175" s="12" t="s">
        <v>138</v>
      </c>
      <c r="G175" s="12" t="s">
        <v>10031</v>
      </c>
      <c r="H175" s="12" t="s">
        <v>10032</v>
      </c>
      <c r="I175" s="12" t="s">
        <v>10033</v>
      </c>
      <c r="J175" s="12" t="s">
        <v>141</v>
      </c>
      <c r="K175" s="12" t="s">
        <v>10034</v>
      </c>
      <c r="L175" s="12">
        <v>1247440</v>
      </c>
      <c r="M175" s="12">
        <v>4024000</v>
      </c>
      <c r="N175" s="12" t="s">
        <v>10035</v>
      </c>
      <c r="O175" s="16">
        <v>45649</v>
      </c>
      <c r="P175" s="12" t="s">
        <v>10036</v>
      </c>
      <c r="Q175" s="12" t="s">
        <v>10037</v>
      </c>
      <c r="R175" s="12" t="s">
        <v>47</v>
      </c>
      <c r="S175" s="12" t="s">
        <v>48</v>
      </c>
      <c r="T175" s="12" t="s">
        <v>5867</v>
      </c>
      <c r="U175" s="12" t="s">
        <v>50</v>
      </c>
      <c r="V175" s="16">
        <v>44448</v>
      </c>
      <c r="W175" s="12" t="s">
        <v>8102</v>
      </c>
      <c r="X175" s="12" t="s">
        <v>8103</v>
      </c>
      <c r="Y175" s="12" t="s">
        <v>10038</v>
      </c>
      <c r="Z175" s="12">
        <v>5</v>
      </c>
      <c r="AA175" s="12" t="s">
        <v>55</v>
      </c>
      <c r="AB175" s="12" t="s">
        <v>10039</v>
      </c>
      <c r="AC175" s="12" t="s">
        <v>4019</v>
      </c>
      <c r="AD175" s="12" t="s">
        <v>58</v>
      </c>
      <c r="AE175" s="12">
        <v>3420400</v>
      </c>
      <c r="AF175" s="13">
        <v>68408</v>
      </c>
      <c r="AG175" s="12"/>
      <c r="AH175" s="12"/>
      <c r="AI175" s="12"/>
      <c r="AJ175" s="12" t="s">
        <v>12175</v>
      </c>
      <c r="AK175" s="11">
        <v>68408</v>
      </c>
      <c r="AL175" s="12"/>
      <c r="AM175" s="14">
        <f t="shared" si="2"/>
        <v>0</v>
      </c>
      <c r="AN175" s="12" t="s">
        <v>12004</v>
      </c>
    </row>
    <row r="176" spans="1:40" x14ac:dyDescent="0.25">
      <c r="A176" s="9">
        <v>840</v>
      </c>
      <c r="B176" s="18" t="s">
        <v>8030</v>
      </c>
      <c r="C176" s="9" t="s">
        <v>10040</v>
      </c>
      <c r="D176" s="9" t="s">
        <v>37</v>
      </c>
      <c r="E176" s="9" t="s">
        <v>10041</v>
      </c>
      <c r="F176" s="9" t="s">
        <v>290</v>
      </c>
      <c r="G176" s="9" t="s">
        <v>10042</v>
      </c>
      <c r="H176" s="9" t="s">
        <v>48</v>
      </c>
      <c r="I176" s="9" t="s">
        <v>10043</v>
      </c>
      <c r="J176" s="9" t="s">
        <v>48</v>
      </c>
      <c r="K176" s="9" t="s">
        <v>10044</v>
      </c>
      <c r="L176" s="9">
        <v>1176000</v>
      </c>
      <c r="M176" s="9">
        <v>1680000</v>
      </c>
      <c r="N176" s="9" t="s">
        <v>10045</v>
      </c>
      <c r="O176" s="10">
        <v>45649</v>
      </c>
      <c r="P176" s="9" t="s">
        <v>10046</v>
      </c>
      <c r="Q176" s="9" t="s">
        <v>10047</v>
      </c>
      <c r="R176" s="9" t="s">
        <v>146</v>
      </c>
      <c r="S176" s="9" t="s">
        <v>10048</v>
      </c>
      <c r="T176" s="9" t="s">
        <v>321</v>
      </c>
      <c r="U176" s="9" t="s">
        <v>614</v>
      </c>
      <c r="V176" s="10">
        <v>44559</v>
      </c>
      <c r="W176" s="9" t="s">
        <v>8102</v>
      </c>
      <c r="X176" s="9" t="s">
        <v>8103</v>
      </c>
      <c r="Y176" s="9" t="s">
        <v>10049</v>
      </c>
      <c r="Z176" s="9">
        <v>5</v>
      </c>
      <c r="AA176" s="9" t="s">
        <v>118</v>
      </c>
      <c r="AB176" s="9" t="s">
        <v>10050</v>
      </c>
      <c r="AC176" s="9" t="s">
        <v>4015</v>
      </c>
      <c r="AD176" s="9" t="s">
        <v>299</v>
      </c>
      <c r="AE176" s="9">
        <v>1428000</v>
      </c>
      <c r="AF176" s="11">
        <v>21420</v>
      </c>
      <c r="AG176" s="9"/>
      <c r="AH176" s="9"/>
      <c r="AI176" s="9"/>
      <c r="AJ176" s="9" t="s">
        <v>12176</v>
      </c>
      <c r="AK176" s="11">
        <v>21420</v>
      </c>
      <c r="AL176" s="12"/>
      <c r="AM176" s="14">
        <f t="shared" si="2"/>
        <v>0</v>
      </c>
      <c r="AN176" s="12" t="s">
        <v>12004</v>
      </c>
    </row>
    <row r="177" spans="1:40" x14ac:dyDescent="0.25">
      <c r="A177" s="12">
        <v>841</v>
      </c>
      <c r="B177" s="18" t="s">
        <v>8030</v>
      </c>
      <c r="C177" s="12" t="s">
        <v>10051</v>
      </c>
      <c r="D177" s="12" t="s">
        <v>37</v>
      </c>
      <c r="E177" s="12" t="s">
        <v>10052</v>
      </c>
      <c r="F177" s="12" t="s">
        <v>138</v>
      </c>
      <c r="G177" s="12" t="s">
        <v>10053</v>
      </c>
      <c r="H177" s="12" t="s">
        <v>10054</v>
      </c>
      <c r="I177" s="12" t="s">
        <v>10055</v>
      </c>
      <c r="J177" s="12" t="s">
        <v>48</v>
      </c>
      <c r="K177" s="12" t="s">
        <v>10056</v>
      </c>
      <c r="L177" s="12">
        <v>1140750</v>
      </c>
      <c r="M177" s="12">
        <v>1521000</v>
      </c>
      <c r="N177" s="12" t="s">
        <v>10057</v>
      </c>
      <c r="O177" s="16">
        <v>45649</v>
      </c>
      <c r="P177" s="12" t="s">
        <v>10058</v>
      </c>
      <c r="Q177" s="12" t="s">
        <v>10059</v>
      </c>
      <c r="R177" s="12" t="s">
        <v>47</v>
      </c>
      <c r="S177" s="12" t="s">
        <v>48</v>
      </c>
      <c r="T177" s="12" t="s">
        <v>613</v>
      </c>
      <c r="U177" s="12" t="s">
        <v>50</v>
      </c>
      <c r="V177" s="16">
        <v>44433</v>
      </c>
      <c r="W177" s="12" t="s">
        <v>8102</v>
      </c>
      <c r="X177" s="12" t="s">
        <v>8103</v>
      </c>
      <c r="Y177" s="12" t="s">
        <v>10060</v>
      </c>
      <c r="Z177" s="12">
        <v>5</v>
      </c>
      <c r="AA177" s="12" t="s">
        <v>55</v>
      </c>
      <c r="AB177" s="12" t="s">
        <v>10061</v>
      </c>
      <c r="AC177" s="12" t="s">
        <v>4437</v>
      </c>
      <c r="AD177" s="12" t="s">
        <v>58</v>
      </c>
      <c r="AE177" s="12">
        <v>1292850</v>
      </c>
      <c r="AF177" s="13">
        <v>25857</v>
      </c>
      <c r="AG177" s="12"/>
      <c r="AH177" s="12"/>
      <c r="AI177" s="12"/>
      <c r="AJ177" s="12" t="s">
        <v>12177</v>
      </c>
      <c r="AK177" s="11">
        <v>25857</v>
      </c>
      <c r="AL177" s="12"/>
      <c r="AM177" s="14">
        <f t="shared" si="2"/>
        <v>0</v>
      </c>
      <c r="AN177" s="12" t="s">
        <v>12004</v>
      </c>
    </row>
    <row r="178" spans="1:40" x14ac:dyDescent="0.25">
      <c r="A178" s="9">
        <v>842</v>
      </c>
      <c r="B178" s="18" t="s">
        <v>8030</v>
      </c>
      <c r="C178" s="9" t="s">
        <v>10062</v>
      </c>
      <c r="D178" s="9" t="s">
        <v>37</v>
      </c>
      <c r="E178" s="9" t="s">
        <v>10063</v>
      </c>
      <c r="F178" s="9" t="s">
        <v>107</v>
      </c>
      <c r="G178" s="9" t="s">
        <v>10064</v>
      </c>
      <c r="H178" s="9" t="s">
        <v>10065</v>
      </c>
      <c r="I178" s="9" t="s">
        <v>10065</v>
      </c>
      <c r="J178" s="9" t="s">
        <v>10065</v>
      </c>
      <c r="K178" s="9" t="s">
        <v>10066</v>
      </c>
      <c r="L178" s="9">
        <v>1134750</v>
      </c>
      <c r="M178" s="9">
        <v>1335000</v>
      </c>
      <c r="N178" s="9" t="s">
        <v>10067</v>
      </c>
      <c r="O178" s="10">
        <v>45649</v>
      </c>
      <c r="P178" s="9" t="s">
        <v>10068</v>
      </c>
      <c r="Q178" s="9" t="s">
        <v>10069</v>
      </c>
      <c r="R178" s="9" t="s">
        <v>47</v>
      </c>
      <c r="S178" s="9" t="s">
        <v>48</v>
      </c>
      <c r="T178" s="9" t="s">
        <v>194</v>
      </c>
      <c r="U178" s="9" t="s">
        <v>50</v>
      </c>
      <c r="V178" s="10">
        <v>44438</v>
      </c>
      <c r="W178" s="9" t="s">
        <v>2981</v>
      </c>
      <c r="X178" s="9" t="s">
        <v>2982</v>
      </c>
      <c r="Y178" s="9" t="s">
        <v>10070</v>
      </c>
      <c r="Z178" s="9">
        <v>5</v>
      </c>
      <c r="AA178" s="9" t="s">
        <v>55</v>
      </c>
      <c r="AB178" s="9" t="s">
        <v>10071</v>
      </c>
      <c r="AC178" s="9" t="s">
        <v>4019</v>
      </c>
      <c r="AD178" s="9" t="s">
        <v>58</v>
      </c>
      <c r="AE178" s="9">
        <v>1134750</v>
      </c>
      <c r="AF178" s="11">
        <v>22695</v>
      </c>
      <c r="AG178" s="9"/>
      <c r="AH178" s="9"/>
      <c r="AI178" s="9"/>
      <c r="AJ178" s="9" t="s">
        <v>12178</v>
      </c>
      <c r="AK178" s="11">
        <v>22695</v>
      </c>
      <c r="AL178" s="12"/>
      <c r="AM178" s="14">
        <f t="shared" si="2"/>
        <v>0</v>
      </c>
      <c r="AN178" s="12" t="s">
        <v>12004</v>
      </c>
    </row>
    <row r="179" spans="1:40" x14ac:dyDescent="0.25">
      <c r="A179" s="12">
        <v>843</v>
      </c>
      <c r="B179" s="18" t="s">
        <v>8030</v>
      </c>
      <c r="C179" s="12" t="s">
        <v>10072</v>
      </c>
      <c r="D179" s="12" t="s">
        <v>37</v>
      </c>
      <c r="E179" s="12" t="s">
        <v>10073</v>
      </c>
      <c r="F179" s="12" t="s">
        <v>525</v>
      </c>
      <c r="G179" s="12" t="s">
        <v>10074</v>
      </c>
      <c r="H179" s="12" t="s">
        <v>10075</v>
      </c>
      <c r="I179" s="12" t="s">
        <v>10075</v>
      </c>
      <c r="J179" s="12" t="s">
        <v>10075</v>
      </c>
      <c r="K179" s="12" t="s">
        <v>10076</v>
      </c>
      <c r="L179" s="12">
        <v>1040000</v>
      </c>
      <c r="M179" s="12">
        <v>1300000</v>
      </c>
      <c r="N179" s="12" t="s">
        <v>10077</v>
      </c>
      <c r="O179" s="16">
        <v>45649</v>
      </c>
      <c r="P179" s="12" t="s">
        <v>10078</v>
      </c>
      <c r="Q179" s="12" t="s">
        <v>10079</v>
      </c>
      <c r="R179" s="12" t="s">
        <v>146</v>
      </c>
      <c r="S179" s="12" t="s">
        <v>10080</v>
      </c>
      <c r="T179" s="12" t="s">
        <v>10081</v>
      </c>
      <c r="U179" s="12" t="s">
        <v>651</v>
      </c>
      <c r="V179" s="16">
        <v>44559</v>
      </c>
      <c r="W179" s="12" t="s">
        <v>8102</v>
      </c>
      <c r="X179" s="12" t="s">
        <v>8103</v>
      </c>
      <c r="Y179" s="12" t="s">
        <v>10082</v>
      </c>
      <c r="Z179" s="12">
        <v>5</v>
      </c>
      <c r="AA179" s="12" t="s">
        <v>118</v>
      </c>
      <c r="AB179" s="12" t="s">
        <v>10083</v>
      </c>
      <c r="AC179" s="12" t="s">
        <v>4019</v>
      </c>
      <c r="AD179" s="12" t="s">
        <v>299</v>
      </c>
      <c r="AE179" s="12">
        <v>1105000</v>
      </c>
      <c r="AF179" s="13">
        <v>16575</v>
      </c>
      <c r="AG179" s="12"/>
      <c r="AH179" s="12"/>
      <c r="AI179" s="12"/>
      <c r="AJ179" s="12" t="s">
        <v>12179</v>
      </c>
      <c r="AK179" s="11">
        <v>16575</v>
      </c>
      <c r="AL179" s="12"/>
      <c r="AM179" s="14">
        <f t="shared" si="2"/>
        <v>0</v>
      </c>
      <c r="AN179" s="12" t="s">
        <v>12004</v>
      </c>
    </row>
    <row r="180" spans="1:40" x14ac:dyDescent="0.25">
      <c r="A180" s="9">
        <v>844</v>
      </c>
      <c r="B180" s="18" t="s">
        <v>8030</v>
      </c>
      <c r="C180" s="9" t="s">
        <v>10084</v>
      </c>
      <c r="D180" s="9" t="s">
        <v>37</v>
      </c>
      <c r="E180" s="9" t="s">
        <v>10085</v>
      </c>
      <c r="F180" s="9" t="s">
        <v>138</v>
      </c>
      <c r="G180" s="9" t="s">
        <v>10086</v>
      </c>
      <c r="H180" s="9" t="s">
        <v>10087</v>
      </c>
      <c r="I180" s="9" t="s">
        <v>10087</v>
      </c>
      <c r="J180" s="9" t="s">
        <v>10088</v>
      </c>
      <c r="K180" s="9" t="s">
        <v>10089</v>
      </c>
      <c r="L180" s="9">
        <v>867750</v>
      </c>
      <c r="M180" s="9">
        <v>1335000</v>
      </c>
      <c r="N180" s="9" t="s">
        <v>10090</v>
      </c>
      <c r="O180" s="10">
        <v>45649</v>
      </c>
      <c r="P180" s="9" t="s">
        <v>10091</v>
      </c>
      <c r="Q180" s="9" t="s">
        <v>10092</v>
      </c>
      <c r="R180" s="9" t="s">
        <v>47</v>
      </c>
      <c r="S180" s="9" t="s">
        <v>48</v>
      </c>
      <c r="T180" s="9" t="s">
        <v>194</v>
      </c>
      <c r="U180" s="9" t="s">
        <v>50</v>
      </c>
      <c r="V180" s="10">
        <v>44434</v>
      </c>
      <c r="W180" s="9" t="s">
        <v>2981</v>
      </c>
      <c r="X180" s="9" t="s">
        <v>2982</v>
      </c>
      <c r="Y180" s="9" t="s">
        <v>10093</v>
      </c>
      <c r="Z180" s="9">
        <v>5</v>
      </c>
      <c r="AA180" s="9" t="s">
        <v>55</v>
      </c>
      <c r="AB180" s="9" t="s">
        <v>10094</v>
      </c>
      <c r="AC180" s="9" t="s">
        <v>4019</v>
      </c>
      <c r="AD180" s="9" t="s">
        <v>58</v>
      </c>
      <c r="AE180" s="9">
        <v>1134750</v>
      </c>
      <c r="AF180" s="11">
        <v>22695</v>
      </c>
      <c r="AG180" s="9"/>
      <c r="AH180" s="9"/>
      <c r="AI180" s="9"/>
      <c r="AJ180" s="9" t="s">
        <v>12180</v>
      </c>
      <c r="AK180" s="11">
        <v>22695</v>
      </c>
      <c r="AL180" s="12"/>
      <c r="AM180" s="14">
        <f t="shared" si="2"/>
        <v>0</v>
      </c>
      <c r="AN180" s="12" t="s">
        <v>12004</v>
      </c>
    </row>
    <row r="181" spans="1:40" x14ac:dyDescent="0.25">
      <c r="A181" s="12">
        <v>845</v>
      </c>
      <c r="B181" s="18" t="s">
        <v>8030</v>
      </c>
      <c r="C181" s="12" t="s">
        <v>10095</v>
      </c>
      <c r="D181" s="12" t="s">
        <v>37</v>
      </c>
      <c r="E181" s="12" t="s">
        <v>10096</v>
      </c>
      <c r="F181" s="12" t="s">
        <v>138</v>
      </c>
      <c r="G181" s="12" t="s">
        <v>10097</v>
      </c>
      <c r="H181" s="12" t="s">
        <v>10098</v>
      </c>
      <c r="I181" s="12" t="s">
        <v>10098</v>
      </c>
      <c r="J181" s="12" t="s">
        <v>10098</v>
      </c>
      <c r="K181" s="12" t="s">
        <v>10099</v>
      </c>
      <c r="L181" s="12">
        <v>825600</v>
      </c>
      <c r="M181" s="12">
        <v>1720000</v>
      </c>
      <c r="N181" s="12" t="s">
        <v>10100</v>
      </c>
      <c r="O181" s="16">
        <v>45649</v>
      </c>
      <c r="P181" s="12" t="s">
        <v>10101</v>
      </c>
      <c r="Q181" s="12" t="s">
        <v>10102</v>
      </c>
      <c r="R181" s="12" t="s">
        <v>146</v>
      </c>
      <c r="S181" s="12" t="s">
        <v>10103</v>
      </c>
      <c r="T181" s="12" t="s">
        <v>783</v>
      </c>
      <c r="U181" s="12" t="s">
        <v>98</v>
      </c>
      <c r="V181" s="16">
        <v>44558</v>
      </c>
      <c r="W181" s="12" t="s">
        <v>8102</v>
      </c>
      <c r="X181" s="12" t="s">
        <v>8455</v>
      </c>
      <c r="Y181" s="12" t="s">
        <v>10104</v>
      </c>
      <c r="Z181" s="12">
        <v>7</v>
      </c>
      <c r="AA181" s="12" t="s">
        <v>118</v>
      </c>
      <c r="AB181" s="12" t="s">
        <v>10105</v>
      </c>
      <c r="AC181" s="12" t="s">
        <v>4019</v>
      </c>
      <c r="AD181" s="12" t="s">
        <v>299</v>
      </c>
      <c r="AE181" s="12">
        <v>1462000</v>
      </c>
      <c r="AF181" s="13">
        <v>21930</v>
      </c>
      <c r="AG181" s="12"/>
      <c r="AH181" s="12"/>
      <c r="AI181" s="12"/>
      <c r="AJ181" s="12" t="s">
        <v>12181</v>
      </c>
      <c r="AK181" s="11">
        <v>21930</v>
      </c>
      <c r="AL181" s="12"/>
      <c r="AM181" s="14">
        <f t="shared" si="2"/>
        <v>0</v>
      </c>
      <c r="AN181" s="12" t="s">
        <v>12004</v>
      </c>
    </row>
    <row r="182" spans="1:40" x14ac:dyDescent="0.25">
      <c r="A182" s="9">
        <v>846</v>
      </c>
      <c r="B182" s="18" t="s">
        <v>8030</v>
      </c>
      <c r="C182" s="9" t="s">
        <v>10106</v>
      </c>
      <c r="D182" s="9" t="s">
        <v>37</v>
      </c>
      <c r="E182" s="9" t="s">
        <v>10107</v>
      </c>
      <c r="F182" s="9" t="s">
        <v>39</v>
      </c>
      <c r="G182" s="9" t="s">
        <v>10108</v>
      </c>
      <c r="H182" s="9" t="s">
        <v>10109</v>
      </c>
      <c r="I182" s="9" t="s">
        <v>10110</v>
      </c>
      <c r="J182" s="9" t="s">
        <v>10111</v>
      </c>
      <c r="K182" s="9" t="s">
        <v>10112</v>
      </c>
      <c r="L182" s="9">
        <v>827500</v>
      </c>
      <c r="M182" s="9">
        <v>1655000</v>
      </c>
      <c r="N182" s="9" t="s">
        <v>10113</v>
      </c>
      <c r="O182" s="10">
        <v>45649</v>
      </c>
      <c r="P182" s="9" t="s">
        <v>10114</v>
      </c>
      <c r="Q182" s="9" t="s">
        <v>10115</v>
      </c>
      <c r="R182" s="9" t="s">
        <v>47</v>
      </c>
      <c r="S182" s="9" t="s">
        <v>48</v>
      </c>
      <c r="T182" s="9" t="s">
        <v>1909</v>
      </c>
      <c r="U182" s="9" t="s">
        <v>50</v>
      </c>
      <c r="V182" s="10">
        <v>44459</v>
      </c>
      <c r="W182" s="9" t="s">
        <v>2981</v>
      </c>
      <c r="X182" s="9" t="s">
        <v>2982</v>
      </c>
      <c r="Y182" s="9" t="s">
        <v>10116</v>
      </c>
      <c r="Z182" s="9">
        <v>5</v>
      </c>
      <c r="AA182" s="9" t="s">
        <v>55</v>
      </c>
      <c r="AB182" s="9" t="s">
        <v>10117</v>
      </c>
      <c r="AC182" s="9" t="s">
        <v>361</v>
      </c>
      <c r="AD182" s="9" t="s">
        <v>58</v>
      </c>
      <c r="AE182" s="9">
        <v>1406750</v>
      </c>
      <c r="AF182" s="11">
        <v>28135</v>
      </c>
      <c r="AG182" s="9"/>
      <c r="AH182" s="9"/>
      <c r="AI182" s="9"/>
      <c r="AJ182" s="9" t="s">
        <v>12182</v>
      </c>
      <c r="AK182" s="11">
        <v>28135</v>
      </c>
      <c r="AL182" s="12"/>
      <c r="AM182" s="14">
        <f t="shared" si="2"/>
        <v>0</v>
      </c>
      <c r="AN182" s="12" t="s">
        <v>12004</v>
      </c>
    </row>
    <row r="183" spans="1:40" x14ac:dyDescent="0.25">
      <c r="A183" s="12">
        <v>847</v>
      </c>
      <c r="B183" s="18" t="s">
        <v>8030</v>
      </c>
      <c r="C183" s="12" t="s">
        <v>10118</v>
      </c>
      <c r="D183" s="12" t="s">
        <v>37</v>
      </c>
      <c r="E183" s="12" t="s">
        <v>10119</v>
      </c>
      <c r="F183" s="12" t="s">
        <v>138</v>
      </c>
      <c r="G183" s="12" t="s">
        <v>10120</v>
      </c>
      <c r="H183" s="12" t="s">
        <v>10121</v>
      </c>
      <c r="I183" s="12" t="s">
        <v>10121</v>
      </c>
      <c r="J183" s="12" t="s">
        <v>141</v>
      </c>
      <c r="K183" s="12" t="s">
        <v>10122</v>
      </c>
      <c r="L183" s="12">
        <v>2480000</v>
      </c>
      <c r="M183" s="12">
        <v>3100000</v>
      </c>
      <c r="N183" s="12" t="s">
        <v>10123</v>
      </c>
      <c r="O183" s="16">
        <v>45648</v>
      </c>
      <c r="P183" s="12" t="s">
        <v>10124</v>
      </c>
      <c r="Q183" s="12" t="s">
        <v>10125</v>
      </c>
      <c r="R183" s="12" t="s">
        <v>1215</v>
      </c>
      <c r="S183" s="12" t="s">
        <v>48</v>
      </c>
      <c r="T183" s="12" t="s">
        <v>10126</v>
      </c>
      <c r="U183" s="12" t="s">
        <v>496</v>
      </c>
      <c r="V183" s="16">
        <v>44195</v>
      </c>
      <c r="W183" s="12" t="s">
        <v>8114</v>
      </c>
      <c r="X183" s="12" t="s">
        <v>8115</v>
      </c>
      <c r="Y183" s="12" t="s">
        <v>10127</v>
      </c>
      <c r="Z183" s="12">
        <v>5</v>
      </c>
      <c r="AA183" s="12" t="s">
        <v>227</v>
      </c>
      <c r="AB183" s="12" t="s">
        <v>10128</v>
      </c>
      <c r="AC183" s="12" t="s">
        <v>4080</v>
      </c>
      <c r="AD183" s="12" t="s">
        <v>58</v>
      </c>
      <c r="AE183" s="12">
        <v>2480000</v>
      </c>
      <c r="AF183" s="13">
        <v>49600</v>
      </c>
      <c r="AG183" s="12"/>
      <c r="AH183" s="12"/>
      <c r="AI183" s="12"/>
      <c r="AJ183" s="12" t="s">
        <v>12183</v>
      </c>
      <c r="AK183" s="11">
        <v>49600</v>
      </c>
      <c r="AL183" s="12"/>
      <c r="AM183" s="14">
        <f t="shared" si="2"/>
        <v>0</v>
      </c>
      <c r="AN183" s="12" t="s">
        <v>12004</v>
      </c>
    </row>
    <row r="184" spans="1:40" x14ac:dyDescent="0.25">
      <c r="A184" s="9">
        <v>848</v>
      </c>
      <c r="B184" s="18" t="s">
        <v>8030</v>
      </c>
      <c r="C184" s="9" t="s">
        <v>10129</v>
      </c>
      <c r="D184" s="9" t="s">
        <v>37</v>
      </c>
      <c r="E184" s="9" t="s">
        <v>10130</v>
      </c>
      <c r="F184" s="9" t="s">
        <v>39</v>
      </c>
      <c r="G184" s="9" t="s">
        <v>10131</v>
      </c>
      <c r="H184" s="9" t="s">
        <v>10132</v>
      </c>
      <c r="I184" s="9" t="s">
        <v>10133</v>
      </c>
      <c r="J184" s="9" t="s">
        <v>10132</v>
      </c>
      <c r="K184" s="9" t="s">
        <v>10134</v>
      </c>
      <c r="L184" s="9">
        <v>1760500</v>
      </c>
      <c r="M184" s="9">
        <v>2515000</v>
      </c>
      <c r="N184" s="9" t="s">
        <v>10135</v>
      </c>
      <c r="O184" s="10">
        <v>45648</v>
      </c>
      <c r="P184" s="9" t="s">
        <v>10136</v>
      </c>
      <c r="Q184" s="9" t="s">
        <v>10137</v>
      </c>
      <c r="R184" s="9" t="s">
        <v>47</v>
      </c>
      <c r="S184" s="9" t="s">
        <v>48</v>
      </c>
      <c r="T184" s="9" t="s">
        <v>1264</v>
      </c>
      <c r="U184" s="9" t="s">
        <v>148</v>
      </c>
      <c r="V184" s="10">
        <v>44923</v>
      </c>
      <c r="W184" s="9" t="s">
        <v>8128</v>
      </c>
      <c r="X184" s="9" t="s">
        <v>8129</v>
      </c>
      <c r="Y184" s="9" t="s">
        <v>10138</v>
      </c>
      <c r="Z184" s="9">
        <v>5</v>
      </c>
      <c r="AA184" s="9" t="s">
        <v>323</v>
      </c>
      <c r="AB184" s="9" t="s">
        <v>10139</v>
      </c>
      <c r="AC184" s="9" t="s">
        <v>10140</v>
      </c>
      <c r="AD184" s="9" t="s">
        <v>86</v>
      </c>
      <c r="AE184" s="9">
        <v>2263500</v>
      </c>
      <c r="AF184" s="11">
        <v>39611</v>
      </c>
      <c r="AG184" s="9"/>
      <c r="AH184" s="9"/>
      <c r="AI184" s="9"/>
      <c r="AJ184" s="9" t="s">
        <v>12184</v>
      </c>
      <c r="AK184" s="11">
        <v>39611</v>
      </c>
      <c r="AL184" s="12"/>
      <c r="AM184" s="14">
        <f t="shared" si="2"/>
        <v>0</v>
      </c>
      <c r="AN184" s="12" t="s">
        <v>12004</v>
      </c>
    </row>
    <row r="185" spans="1:40" x14ac:dyDescent="0.25">
      <c r="A185" s="12">
        <v>849</v>
      </c>
      <c r="B185" s="18" t="s">
        <v>8030</v>
      </c>
      <c r="C185" s="12" t="s">
        <v>10141</v>
      </c>
      <c r="D185" s="12" t="s">
        <v>37</v>
      </c>
      <c r="E185" s="12" t="s">
        <v>10142</v>
      </c>
      <c r="F185" s="12" t="s">
        <v>8094</v>
      </c>
      <c r="G185" s="12" t="s">
        <v>10143</v>
      </c>
      <c r="H185" s="12" t="s">
        <v>48</v>
      </c>
      <c r="I185" s="12" t="s">
        <v>10144</v>
      </c>
      <c r="J185" s="12" t="s">
        <v>48</v>
      </c>
      <c r="K185" s="12" t="s">
        <v>10145</v>
      </c>
      <c r="L185" s="12">
        <v>2278500</v>
      </c>
      <c r="M185" s="12">
        <v>3255000</v>
      </c>
      <c r="N185" s="12" t="s">
        <v>10146</v>
      </c>
      <c r="O185" s="16">
        <v>45648</v>
      </c>
      <c r="P185" s="12" t="s">
        <v>10147</v>
      </c>
      <c r="Q185" s="12" t="s">
        <v>10148</v>
      </c>
      <c r="R185" s="12" t="s">
        <v>47</v>
      </c>
      <c r="S185" s="12" t="s">
        <v>48</v>
      </c>
      <c r="T185" s="12" t="s">
        <v>10149</v>
      </c>
      <c r="U185" s="12" t="s">
        <v>50</v>
      </c>
      <c r="V185" s="16">
        <v>44559</v>
      </c>
      <c r="W185" s="12" t="s">
        <v>8102</v>
      </c>
      <c r="X185" s="12" t="s">
        <v>8103</v>
      </c>
      <c r="Y185" s="12" t="s">
        <v>10150</v>
      </c>
      <c r="Z185" s="12">
        <v>5</v>
      </c>
      <c r="AA185" s="12" t="s">
        <v>118</v>
      </c>
      <c r="AB185" s="12" t="s">
        <v>10151</v>
      </c>
      <c r="AC185" s="12" t="s">
        <v>4437</v>
      </c>
      <c r="AD185" s="12" t="s">
        <v>58</v>
      </c>
      <c r="AE185" s="12">
        <v>2766750</v>
      </c>
      <c r="AF185" s="13">
        <v>55335</v>
      </c>
      <c r="AG185" s="12"/>
      <c r="AH185" s="12"/>
      <c r="AI185" s="12"/>
      <c r="AJ185" s="12" t="s">
        <v>12185</v>
      </c>
      <c r="AK185" s="11">
        <v>55335</v>
      </c>
      <c r="AL185" s="12"/>
      <c r="AM185" s="14">
        <f t="shared" si="2"/>
        <v>0</v>
      </c>
      <c r="AN185" s="12" t="s">
        <v>12004</v>
      </c>
    </row>
    <row r="186" spans="1:40" x14ac:dyDescent="0.25">
      <c r="A186" s="9">
        <v>850</v>
      </c>
      <c r="B186" s="18" t="s">
        <v>8030</v>
      </c>
      <c r="C186" s="9" t="s">
        <v>10152</v>
      </c>
      <c r="D186" s="9" t="s">
        <v>37</v>
      </c>
      <c r="E186" s="9" t="s">
        <v>10153</v>
      </c>
      <c r="F186" s="9" t="s">
        <v>73</v>
      </c>
      <c r="G186" s="9" t="s">
        <v>10154</v>
      </c>
      <c r="H186" s="9" t="s">
        <v>10155</v>
      </c>
      <c r="I186" s="9" t="s">
        <v>10155</v>
      </c>
      <c r="J186" s="9" t="s">
        <v>10155</v>
      </c>
      <c r="K186" s="9" t="s">
        <v>10156</v>
      </c>
      <c r="L186" s="9">
        <v>1657500</v>
      </c>
      <c r="M186" s="9">
        <v>2550000</v>
      </c>
      <c r="N186" s="9" t="s">
        <v>10157</v>
      </c>
      <c r="O186" s="10">
        <v>45648</v>
      </c>
      <c r="P186" s="9" t="s">
        <v>10158</v>
      </c>
      <c r="Q186" s="9" t="s">
        <v>10159</v>
      </c>
      <c r="R186" s="9" t="s">
        <v>146</v>
      </c>
      <c r="S186" s="9" t="s">
        <v>10160</v>
      </c>
      <c r="T186" s="9" t="s">
        <v>1289</v>
      </c>
      <c r="U186" s="9" t="s">
        <v>335</v>
      </c>
      <c r="V186" s="10">
        <v>44559</v>
      </c>
      <c r="W186" s="9" t="s">
        <v>8102</v>
      </c>
      <c r="X186" s="9" t="s">
        <v>7530</v>
      </c>
      <c r="Y186" s="9" t="s">
        <v>10161</v>
      </c>
      <c r="Z186" s="9">
        <v>3</v>
      </c>
      <c r="AA186" s="9" t="s">
        <v>118</v>
      </c>
      <c r="AB186" s="9" t="s">
        <v>10162</v>
      </c>
      <c r="AC186" s="9" t="s">
        <v>4015</v>
      </c>
      <c r="AD186" s="9" t="s">
        <v>299</v>
      </c>
      <c r="AE186" s="9">
        <v>2167500</v>
      </c>
      <c r="AF186" s="11">
        <v>32513</v>
      </c>
      <c r="AG186" s="9"/>
      <c r="AH186" s="9"/>
      <c r="AI186" s="9"/>
      <c r="AJ186" s="9" t="s">
        <v>12186</v>
      </c>
      <c r="AK186" s="11">
        <v>32513</v>
      </c>
      <c r="AL186" s="12"/>
      <c r="AM186" s="14">
        <f t="shared" si="2"/>
        <v>0</v>
      </c>
      <c r="AN186" s="12" t="s">
        <v>12004</v>
      </c>
    </row>
    <row r="187" spans="1:40" x14ac:dyDescent="0.25">
      <c r="A187" s="12">
        <v>851</v>
      </c>
      <c r="B187" s="18" t="s">
        <v>8030</v>
      </c>
      <c r="C187" s="12" t="s">
        <v>10163</v>
      </c>
      <c r="D187" s="12" t="s">
        <v>37</v>
      </c>
      <c r="E187" s="12" t="s">
        <v>10164</v>
      </c>
      <c r="F187" s="12" t="s">
        <v>138</v>
      </c>
      <c r="G187" s="12" t="s">
        <v>10165</v>
      </c>
      <c r="H187" s="12" t="s">
        <v>48</v>
      </c>
      <c r="I187" s="12" t="s">
        <v>10166</v>
      </c>
      <c r="J187" s="12" t="s">
        <v>10167</v>
      </c>
      <c r="K187" s="12" t="s">
        <v>10168</v>
      </c>
      <c r="L187" s="12">
        <v>2716000</v>
      </c>
      <c r="M187" s="12">
        <v>3880000</v>
      </c>
      <c r="N187" s="12" t="s">
        <v>10169</v>
      </c>
      <c r="O187" s="16">
        <v>45648</v>
      </c>
      <c r="P187" s="12" t="s">
        <v>10170</v>
      </c>
      <c r="Q187" s="12" t="s">
        <v>10171</v>
      </c>
      <c r="R187" s="12" t="s">
        <v>47</v>
      </c>
      <c r="S187" s="12" t="s">
        <v>48</v>
      </c>
      <c r="T187" s="12" t="s">
        <v>10172</v>
      </c>
      <c r="U187" s="12" t="s">
        <v>50</v>
      </c>
      <c r="V187" s="16">
        <v>44558</v>
      </c>
      <c r="W187" s="12" t="s">
        <v>8102</v>
      </c>
      <c r="X187" s="12" t="s">
        <v>7530</v>
      </c>
      <c r="Y187" s="12" t="s">
        <v>10173</v>
      </c>
      <c r="Z187" s="12">
        <v>3</v>
      </c>
      <c r="AA187" s="12" t="s">
        <v>118</v>
      </c>
      <c r="AB187" s="12" t="s">
        <v>10174</v>
      </c>
      <c r="AC187" s="12" t="s">
        <v>4019</v>
      </c>
      <c r="AD187" s="12" t="s">
        <v>58</v>
      </c>
      <c r="AE187" s="12">
        <v>3298000</v>
      </c>
      <c r="AF187" s="13">
        <v>65960</v>
      </c>
      <c r="AG187" s="12"/>
      <c r="AH187" s="12"/>
      <c r="AI187" s="12"/>
      <c r="AJ187" s="12" t="s">
        <v>12187</v>
      </c>
      <c r="AK187" s="11">
        <v>65960</v>
      </c>
      <c r="AL187" s="12"/>
      <c r="AM187" s="14">
        <f t="shared" si="2"/>
        <v>0</v>
      </c>
      <c r="AN187" s="12" t="s">
        <v>12004</v>
      </c>
    </row>
    <row r="188" spans="1:40" x14ac:dyDescent="0.25">
      <c r="A188" s="9">
        <v>852</v>
      </c>
      <c r="B188" s="18" t="s">
        <v>8030</v>
      </c>
      <c r="C188" s="9" t="s">
        <v>10175</v>
      </c>
      <c r="D188" s="9" t="s">
        <v>37</v>
      </c>
      <c r="E188" s="9" t="s">
        <v>10176</v>
      </c>
      <c r="F188" s="9" t="s">
        <v>89</v>
      </c>
      <c r="G188" s="9" t="s">
        <v>10177</v>
      </c>
      <c r="H188" s="9" t="s">
        <v>10178</v>
      </c>
      <c r="I188" s="9" t="s">
        <v>48</v>
      </c>
      <c r="J188" s="9" t="s">
        <v>10178</v>
      </c>
      <c r="K188" s="9" t="s">
        <v>10179</v>
      </c>
      <c r="L188" s="9">
        <v>2075500</v>
      </c>
      <c r="M188" s="9">
        <v>2965000</v>
      </c>
      <c r="N188" s="9" t="s">
        <v>10180</v>
      </c>
      <c r="O188" s="10">
        <v>45648</v>
      </c>
      <c r="P188" s="9" t="s">
        <v>10181</v>
      </c>
      <c r="Q188" s="9" t="s">
        <v>10182</v>
      </c>
      <c r="R188" s="9" t="s">
        <v>47</v>
      </c>
      <c r="S188" s="9" t="s">
        <v>48</v>
      </c>
      <c r="T188" s="9" t="s">
        <v>495</v>
      </c>
      <c r="U188" s="9" t="s">
        <v>50</v>
      </c>
      <c r="V188" s="10">
        <v>44559</v>
      </c>
      <c r="W188" s="9" t="s">
        <v>8102</v>
      </c>
      <c r="X188" s="9" t="s">
        <v>8103</v>
      </c>
      <c r="Y188" s="9" t="s">
        <v>10183</v>
      </c>
      <c r="Z188" s="9">
        <v>5</v>
      </c>
      <c r="AA188" s="9" t="s">
        <v>55</v>
      </c>
      <c r="AB188" s="9" t="s">
        <v>10184</v>
      </c>
      <c r="AC188" s="9" t="s">
        <v>361</v>
      </c>
      <c r="AD188" s="9" t="s">
        <v>58</v>
      </c>
      <c r="AE188" s="9">
        <v>2520250</v>
      </c>
      <c r="AF188" s="11">
        <v>50405</v>
      </c>
      <c r="AG188" s="9"/>
      <c r="AH188" s="9"/>
      <c r="AI188" s="9"/>
      <c r="AJ188" s="9" t="s">
        <v>12188</v>
      </c>
      <c r="AK188" s="11">
        <v>50405</v>
      </c>
      <c r="AL188" s="12"/>
      <c r="AM188" s="14">
        <f t="shared" si="2"/>
        <v>0</v>
      </c>
      <c r="AN188" s="12" t="s">
        <v>12004</v>
      </c>
    </row>
    <row r="189" spans="1:40" x14ac:dyDescent="0.25">
      <c r="A189" s="12">
        <v>853</v>
      </c>
      <c r="B189" s="18" t="s">
        <v>8030</v>
      </c>
      <c r="C189" s="12" t="s">
        <v>10185</v>
      </c>
      <c r="D189" s="12" t="s">
        <v>37</v>
      </c>
      <c r="E189" s="12" t="s">
        <v>10186</v>
      </c>
      <c r="F189" s="12" t="s">
        <v>107</v>
      </c>
      <c r="G189" s="12" t="s">
        <v>10187</v>
      </c>
      <c r="H189" s="12" t="s">
        <v>10188</v>
      </c>
      <c r="I189" s="12" t="s">
        <v>10188</v>
      </c>
      <c r="J189" s="12" t="s">
        <v>10188</v>
      </c>
      <c r="K189" s="12" t="s">
        <v>10189</v>
      </c>
      <c r="L189" s="12">
        <v>1249300</v>
      </c>
      <c r="M189" s="12">
        <v>1922000</v>
      </c>
      <c r="N189" s="12" t="s">
        <v>10190</v>
      </c>
      <c r="O189" s="16">
        <v>45648</v>
      </c>
      <c r="P189" s="12" t="s">
        <v>10191</v>
      </c>
      <c r="Q189" s="12" t="s">
        <v>10192</v>
      </c>
      <c r="R189" s="12" t="s">
        <v>47</v>
      </c>
      <c r="S189" s="12" t="s">
        <v>48</v>
      </c>
      <c r="T189" s="12" t="s">
        <v>10193</v>
      </c>
      <c r="U189" s="12" t="s">
        <v>98</v>
      </c>
      <c r="V189" s="16">
        <v>44069</v>
      </c>
      <c r="W189" s="12" t="s">
        <v>8114</v>
      </c>
      <c r="X189" s="12" t="s">
        <v>8115</v>
      </c>
      <c r="Y189" s="12" t="s">
        <v>10194</v>
      </c>
      <c r="Z189" s="12">
        <v>5</v>
      </c>
      <c r="AA189" s="12" t="s">
        <v>55</v>
      </c>
      <c r="AB189" s="12" t="s">
        <v>10195</v>
      </c>
      <c r="AC189" s="12" t="s">
        <v>4080</v>
      </c>
      <c r="AD189" s="12" t="s">
        <v>58</v>
      </c>
      <c r="AE189" s="12">
        <v>1537600</v>
      </c>
      <c r="AF189" s="13">
        <v>30752</v>
      </c>
      <c r="AG189" s="12"/>
      <c r="AH189" s="12"/>
      <c r="AI189" s="12"/>
      <c r="AJ189" s="12" t="s">
        <v>12189</v>
      </c>
      <c r="AK189" s="11">
        <v>30752</v>
      </c>
      <c r="AL189" s="12"/>
      <c r="AM189" s="14">
        <f t="shared" si="2"/>
        <v>0</v>
      </c>
      <c r="AN189" s="12" t="s">
        <v>12004</v>
      </c>
    </row>
    <row r="190" spans="1:40" x14ac:dyDescent="0.25">
      <c r="A190" s="9">
        <v>854</v>
      </c>
      <c r="B190" s="18" t="s">
        <v>8030</v>
      </c>
      <c r="C190" s="9" t="s">
        <v>10196</v>
      </c>
      <c r="D190" s="9" t="s">
        <v>37</v>
      </c>
      <c r="E190" s="9" t="s">
        <v>10197</v>
      </c>
      <c r="F190" s="9" t="s">
        <v>39</v>
      </c>
      <c r="G190" s="9" t="s">
        <v>10198</v>
      </c>
      <c r="H190" s="9" t="s">
        <v>48</v>
      </c>
      <c r="I190" s="9" t="s">
        <v>10199</v>
      </c>
      <c r="J190" s="9" t="s">
        <v>48</v>
      </c>
      <c r="K190" s="9" t="s">
        <v>10200</v>
      </c>
      <c r="L190" s="9">
        <v>3814300</v>
      </c>
      <c r="M190" s="9">
        <v>5449000</v>
      </c>
      <c r="N190" s="9" t="s">
        <v>10201</v>
      </c>
      <c r="O190" s="10">
        <v>45647</v>
      </c>
      <c r="P190" s="9" t="s">
        <v>10202</v>
      </c>
      <c r="Q190" s="9" t="s">
        <v>10203</v>
      </c>
      <c r="R190" s="9" t="s">
        <v>47</v>
      </c>
      <c r="S190" s="9" t="s">
        <v>48</v>
      </c>
      <c r="T190" s="9" t="s">
        <v>1028</v>
      </c>
      <c r="U190" s="9" t="s">
        <v>50</v>
      </c>
      <c r="V190" s="10">
        <v>44225</v>
      </c>
      <c r="W190" s="9" t="s">
        <v>8102</v>
      </c>
      <c r="X190" s="9" t="s">
        <v>8103</v>
      </c>
      <c r="Y190" s="9" t="s">
        <v>10204</v>
      </c>
      <c r="Z190" s="9">
        <v>5</v>
      </c>
      <c r="AA190" s="9" t="s">
        <v>55</v>
      </c>
      <c r="AB190" s="9" t="s">
        <v>10205</v>
      </c>
      <c r="AC190" s="9" t="s">
        <v>4448</v>
      </c>
      <c r="AD190" s="9" t="s">
        <v>58</v>
      </c>
      <c r="AE190" s="9">
        <v>4631650</v>
      </c>
      <c r="AF190" s="11">
        <v>92633</v>
      </c>
      <c r="AG190" s="9"/>
      <c r="AH190" s="9"/>
      <c r="AI190" s="9"/>
      <c r="AJ190" s="9" t="s">
        <v>12190</v>
      </c>
      <c r="AK190" s="11">
        <v>92633</v>
      </c>
      <c r="AL190" s="12"/>
      <c r="AM190" s="14">
        <f t="shared" si="2"/>
        <v>0</v>
      </c>
      <c r="AN190" s="12" t="s">
        <v>12004</v>
      </c>
    </row>
    <row r="191" spans="1:40" x14ac:dyDescent="0.25">
      <c r="A191" s="12">
        <v>855</v>
      </c>
      <c r="B191" s="18" t="s">
        <v>8030</v>
      </c>
      <c r="C191" s="12" t="s">
        <v>10206</v>
      </c>
      <c r="D191" s="12" t="s">
        <v>37</v>
      </c>
      <c r="E191" s="12" t="s">
        <v>10207</v>
      </c>
      <c r="F191" s="12" t="s">
        <v>138</v>
      </c>
      <c r="G191" s="12" t="s">
        <v>10208</v>
      </c>
      <c r="H191" s="12" t="s">
        <v>48</v>
      </c>
      <c r="I191" s="12" t="s">
        <v>10209</v>
      </c>
      <c r="J191" s="12" t="s">
        <v>48</v>
      </c>
      <c r="K191" s="12" t="s">
        <v>10210</v>
      </c>
      <c r="L191" s="12">
        <v>2480000</v>
      </c>
      <c r="M191" s="12">
        <v>4960000</v>
      </c>
      <c r="N191" s="12" t="s">
        <v>10211</v>
      </c>
      <c r="O191" s="12" t="s">
        <v>4328</v>
      </c>
      <c r="P191" s="12" t="s">
        <v>10212</v>
      </c>
      <c r="Q191" s="12" t="s">
        <v>10213</v>
      </c>
      <c r="R191" s="12" t="s">
        <v>47</v>
      </c>
      <c r="S191" s="12" t="s">
        <v>48</v>
      </c>
      <c r="T191" s="12" t="s">
        <v>5131</v>
      </c>
      <c r="U191" s="12" t="s">
        <v>386</v>
      </c>
      <c r="V191" s="16">
        <v>45287</v>
      </c>
      <c r="W191" s="12" t="s">
        <v>8767</v>
      </c>
      <c r="X191" s="12" t="s">
        <v>8103</v>
      </c>
      <c r="Y191" s="12" t="s">
        <v>10214</v>
      </c>
      <c r="Z191" s="12">
        <v>3</v>
      </c>
      <c r="AA191" s="12" t="s">
        <v>55</v>
      </c>
      <c r="AB191" s="12" t="s">
        <v>10215</v>
      </c>
      <c r="AC191" s="12" t="s">
        <v>4334</v>
      </c>
      <c r="AD191" s="12" t="s">
        <v>86</v>
      </c>
      <c r="AE191" s="12">
        <v>4464000</v>
      </c>
      <c r="AF191" s="13">
        <v>78120</v>
      </c>
      <c r="AG191" s="12"/>
      <c r="AH191" s="12"/>
      <c r="AI191" s="12"/>
      <c r="AJ191" s="12" t="s">
        <v>12191</v>
      </c>
      <c r="AK191" s="11">
        <v>78120</v>
      </c>
      <c r="AL191" s="12"/>
      <c r="AM191" s="14">
        <f t="shared" si="2"/>
        <v>0</v>
      </c>
      <c r="AN191" s="12" t="s">
        <v>12004</v>
      </c>
    </row>
    <row r="192" spans="1:40" x14ac:dyDescent="0.25">
      <c r="A192" s="9">
        <v>856</v>
      </c>
      <c r="B192" s="18" t="s">
        <v>8030</v>
      </c>
      <c r="C192" s="9" t="s">
        <v>10216</v>
      </c>
      <c r="D192" s="9" t="s">
        <v>37</v>
      </c>
      <c r="E192" s="9" t="s">
        <v>10217</v>
      </c>
      <c r="F192" s="9" t="s">
        <v>245</v>
      </c>
      <c r="G192" s="9" t="s">
        <v>10218</v>
      </c>
      <c r="H192" s="9" t="s">
        <v>1505</v>
      </c>
      <c r="I192" s="9" t="s">
        <v>10219</v>
      </c>
      <c r="J192" s="9" t="s">
        <v>10220</v>
      </c>
      <c r="K192" s="9" t="s">
        <v>10221</v>
      </c>
      <c r="L192" s="9">
        <v>3418700</v>
      </c>
      <c r="M192" s="9">
        <v>4022000</v>
      </c>
      <c r="N192" s="9" t="s">
        <v>10222</v>
      </c>
      <c r="O192" s="10">
        <v>45647</v>
      </c>
      <c r="P192" s="9" t="s">
        <v>10223</v>
      </c>
      <c r="Q192" s="9" t="s">
        <v>10224</v>
      </c>
      <c r="R192" s="9" t="s">
        <v>47</v>
      </c>
      <c r="S192" s="9" t="s">
        <v>10225</v>
      </c>
      <c r="T192" s="9" t="s">
        <v>1065</v>
      </c>
      <c r="U192" s="9" t="s">
        <v>50</v>
      </c>
      <c r="V192" s="10">
        <v>44453</v>
      </c>
      <c r="W192" s="9" t="s">
        <v>8102</v>
      </c>
      <c r="X192" s="9" t="s">
        <v>8129</v>
      </c>
      <c r="Y192" s="9" t="s">
        <v>10226</v>
      </c>
      <c r="Z192" s="9">
        <v>6</v>
      </c>
      <c r="AA192" s="9" t="s">
        <v>55</v>
      </c>
      <c r="AB192" s="9" t="s">
        <v>10227</v>
      </c>
      <c r="AC192" s="9" t="s">
        <v>4437</v>
      </c>
      <c r="AD192" s="9" t="s">
        <v>58</v>
      </c>
      <c r="AE192" s="9">
        <v>3418700</v>
      </c>
      <c r="AF192" s="11">
        <v>68374</v>
      </c>
      <c r="AG192" s="9"/>
      <c r="AH192" s="9"/>
      <c r="AI192" s="9"/>
      <c r="AJ192" s="9" t="s">
        <v>12192</v>
      </c>
      <c r="AK192" s="11">
        <v>68374</v>
      </c>
      <c r="AL192" s="12"/>
      <c r="AM192" s="14">
        <f t="shared" si="2"/>
        <v>0</v>
      </c>
      <c r="AN192" s="12" t="s">
        <v>12004</v>
      </c>
    </row>
    <row r="193" spans="1:40" x14ac:dyDescent="0.25">
      <c r="A193" s="12">
        <v>857</v>
      </c>
      <c r="B193" s="18" t="s">
        <v>8030</v>
      </c>
      <c r="C193" s="12" t="s">
        <v>10228</v>
      </c>
      <c r="D193" s="12" t="s">
        <v>37</v>
      </c>
      <c r="E193" s="12" t="s">
        <v>10229</v>
      </c>
      <c r="F193" s="12" t="s">
        <v>73</v>
      </c>
      <c r="G193" s="12" t="s">
        <v>10230</v>
      </c>
      <c r="H193" s="12" t="s">
        <v>10231</v>
      </c>
      <c r="I193" s="12" t="s">
        <v>10232</v>
      </c>
      <c r="J193" s="12" t="s">
        <v>10231</v>
      </c>
      <c r="K193" s="12" t="s">
        <v>10233</v>
      </c>
      <c r="L193" s="12">
        <v>1961500</v>
      </c>
      <c r="M193" s="12">
        <v>3923000</v>
      </c>
      <c r="N193" s="12" t="s">
        <v>10234</v>
      </c>
      <c r="O193" s="16">
        <v>45647</v>
      </c>
      <c r="P193" s="12" t="s">
        <v>10235</v>
      </c>
      <c r="Q193" s="12" t="s">
        <v>10236</v>
      </c>
      <c r="R193" s="12" t="s">
        <v>47</v>
      </c>
      <c r="S193" s="12" t="s">
        <v>48</v>
      </c>
      <c r="T193" s="12" t="s">
        <v>650</v>
      </c>
      <c r="U193" s="12" t="s">
        <v>50</v>
      </c>
      <c r="V193" s="16">
        <v>44560</v>
      </c>
      <c r="W193" s="12" t="s">
        <v>8102</v>
      </c>
      <c r="X193" s="12" t="s">
        <v>8103</v>
      </c>
      <c r="Y193" s="12" t="s">
        <v>10237</v>
      </c>
      <c r="Z193" s="12">
        <v>5</v>
      </c>
      <c r="AA193" s="12" t="s">
        <v>118</v>
      </c>
      <c r="AB193" s="12" t="s">
        <v>10238</v>
      </c>
      <c r="AC193" s="12" t="s">
        <v>4448</v>
      </c>
      <c r="AD193" s="12" t="s">
        <v>58</v>
      </c>
      <c r="AE193" s="12">
        <v>3334550</v>
      </c>
      <c r="AF193" s="13">
        <v>66691</v>
      </c>
      <c r="AG193" s="12"/>
      <c r="AH193" s="12"/>
      <c r="AI193" s="12"/>
      <c r="AJ193" s="12" t="s">
        <v>12193</v>
      </c>
      <c r="AK193" s="11">
        <v>66691</v>
      </c>
      <c r="AL193" s="12"/>
      <c r="AM193" s="14">
        <f t="shared" si="2"/>
        <v>0</v>
      </c>
      <c r="AN193" s="12" t="s">
        <v>12004</v>
      </c>
    </row>
    <row r="194" spans="1:40" x14ac:dyDescent="0.25">
      <c r="A194" s="9">
        <v>858</v>
      </c>
      <c r="B194" s="18" t="s">
        <v>8030</v>
      </c>
      <c r="C194" s="9" t="s">
        <v>10239</v>
      </c>
      <c r="D194" s="9" t="s">
        <v>37</v>
      </c>
      <c r="E194" s="9" t="s">
        <v>10240</v>
      </c>
      <c r="F194" s="9" t="s">
        <v>39</v>
      </c>
      <c r="G194" s="9" t="s">
        <v>10241</v>
      </c>
      <c r="H194" s="9" t="s">
        <v>10242</v>
      </c>
      <c r="I194" s="9" t="s">
        <v>10243</v>
      </c>
      <c r="J194" s="9" t="s">
        <v>10242</v>
      </c>
      <c r="K194" s="9" t="s">
        <v>10244</v>
      </c>
      <c r="L194" s="9">
        <v>1906450</v>
      </c>
      <c r="M194" s="9">
        <v>2933000</v>
      </c>
      <c r="N194" s="9" t="s">
        <v>10245</v>
      </c>
      <c r="O194" s="10">
        <v>45647</v>
      </c>
      <c r="P194" s="9" t="s">
        <v>10246</v>
      </c>
      <c r="Q194" s="9" t="s">
        <v>10247</v>
      </c>
      <c r="R194" s="9" t="s">
        <v>47</v>
      </c>
      <c r="S194" s="9" t="s">
        <v>48</v>
      </c>
      <c r="T194" s="9" t="s">
        <v>1826</v>
      </c>
      <c r="U194" s="9" t="s">
        <v>50</v>
      </c>
      <c r="V194" s="10">
        <v>44470</v>
      </c>
      <c r="W194" s="9" t="s">
        <v>8102</v>
      </c>
      <c r="X194" s="9" t="s">
        <v>7530</v>
      </c>
      <c r="Y194" s="9" t="s">
        <v>10248</v>
      </c>
      <c r="Z194" s="9">
        <v>3</v>
      </c>
      <c r="AA194" s="9" t="s">
        <v>55</v>
      </c>
      <c r="AB194" s="9" t="s">
        <v>10249</v>
      </c>
      <c r="AC194" s="9" t="s">
        <v>4019</v>
      </c>
      <c r="AD194" s="9" t="s">
        <v>86</v>
      </c>
      <c r="AE194" s="9">
        <v>2493050</v>
      </c>
      <c r="AF194" s="11">
        <v>43628</v>
      </c>
      <c r="AG194" s="9"/>
      <c r="AH194" s="9"/>
      <c r="AI194" s="9"/>
      <c r="AJ194" s="9" t="s">
        <v>12194</v>
      </c>
      <c r="AK194" s="11">
        <v>43628</v>
      </c>
      <c r="AL194" s="12"/>
      <c r="AM194" s="14">
        <f t="shared" si="2"/>
        <v>0</v>
      </c>
      <c r="AN194" s="12" t="s">
        <v>12004</v>
      </c>
    </row>
    <row r="195" spans="1:40" x14ac:dyDescent="0.25">
      <c r="A195" s="12">
        <v>859</v>
      </c>
      <c r="B195" s="18" t="s">
        <v>8030</v>
      </c>
      <c r="C195" s="12" t="s">
        <v>10250</v>
      </c>
      <c r="D195" s="12" t="s">
        <v>37</v>
      </c>
      <c r="E195" s="12" t="s">
        <v>10251</v>
      </c>
      <c r="F195" s="12" t="s">
        <v>73</v>
      </c>
      <c r="G195" s="12" t="s">
        <v>10252</v>
      </c>
      <c r="H195" s="12" t="s">
        <v>10253</v>
      </c>
      <c r="I195" s="12" t="s">
        <v>10253</v>
      </c>
      <c r="J195" s="12" t="s">
        <v>10253</v>
      </c>
      <c r="K195" s="12" t="s">
        <v>10254</v>
      </c>
      <c r="L195" s="12">
        <v>1296400</v>
      </c>
      <c r="M195" s="12">
        <v>1852000</v>
      </c>
      <c r="N195" s="12" t="s">
        <v>10255</v>
      </c>
      <c r="O195" s="16">
        <v>45647</v>
      </c>
      <c r="P195" s="12" t="s">
        <v>10256</v>
      </c>
      <c r="Q195" s="12" t="s">
        <v>10257</v>
      </c>
      <c r="R195" s="12" t="s">
        <v>47</v>
      </c>
      <c r="S195" s="12" t="s">
        <v>48</v>
      </c>
      <c r="T195" s="12" t="s">
        <v>224</v>
      </c>
      <c r="U195" s="12" t="s">
        <v>50</v>
      </c>
      <c r="V195" s="16">
        <v>44558</v>
      </c>
      <c r="W195" s="12" t="s">
        <v>8102</v>
      </c>
      <c r="X195" s="12" t="s">
        <v>7530</v>
      </c>
      <c r="Y195" s="12" t="s">
        <v>10258</v>
      </c>
      <c r="Z195" s="12">
        <v>3</v>
      </c>
      <c r="AA195" s="12" t="s">
        <v>118</v>
      </c>
      <c r="AB195" s="12" t="s">
        <v>10259</v>
      </c>
      <c r="AC195" s="12" t="s">
        <v>4437</v>
      </c>
      <c r="AD195" s="12" t="s">
        <v>58</v>
      </c>
      <c r="AE195" s="12">
        <v>1574200</v>
      </c>
      <c r="AF195" s="13">
        <v>31484</v>
      </c>
      <c r="AG195" s="12"/>
      <c r="AH195" s="12"/>
      <c r="AI195" s="12"/>
      <c r="AJ195" s="12" t="s">
        <v>12195</v>
      </c>
      <c r="AK195" s="11">
        <v>31484</v>
      </c>
      <c r="AL195" s="12"/>
      <c r="AM195" s="14">
        <f t="shared" ref="AM195:AM215" si="3">AF195-AK195</f>
        <v>0</v>
      </c>
      <c r="AN195" s="12" t="s">
        <v>12004</v>
      </c>
    </row>
    <row r="196" spans="1:40" x14ac:dyDescent="0.25">
      <c r="A196" s="9">
        <v>860</v>
      </c>
      <c r="B196" s="18" t="s">
        <v>8030</v>
      </c>
      <c r="C196" s="9" t="s">
        <v>10260</v>
      </c>
      <c r="D196" s="9" t="s">
        <v>37</v>
      </c>
      <c r="E196" s="9" t="s">
        <v>10261</v>
      </c>
      <c r="F196" s="9" t="s">
        <v>107</v>
      </c>
      <c r="G196" s="9" t="s">
        <v>10262</v>
      </c>
      <c r="H196" s="9" t="s">
        <v>10263</v>
      </c>
      <c r="I196" s="9" t="s">
        <v>10263</v>
      </c>
      <c r="J196" s="9" t="s">
        <v>10263</v>
      </c>
      <c r="K196" s="9" t="s">
        <v>10264</v>
      </c>
      <c r="L196" s="9">
        <v>1424000</v>
      </c>
      <c r="M196" s="9">
        <v>1780000</v>
      </c>
      <c r="N196" s="9" t="s">
        <v>10265</v>
      </c>
      <c r="O196" s="10">
        <v>45647</v>
      </c>
      <c r="P196" s="9" t="s">
        <v>10266</v>
      </c>
      <c r="Q196" s="9" t="s">
        <v>10267</v>
      </c>
      <c r="R196" s="9" t="s">
        <v>47</v>
      </c>
      <c r="S196" s="9" t="s">
        <v>48</v>
      </c>
      <c r="T196" s="9" t="s">
        <v>1651</v>
      </c>
      <c r="U196" s="9" t="s">
        <v>98</v>
      </c>
      <c r="V196" s="10">
        <v>44123</v>
      </c>
      <c r="W196" s="9" t="s">
        <v>8114</v>
      </c>
      <c r="X196" s="9" t="s">
        <v>8115</v>
      </c>
      <c r="Y196" s="9" t="s">
        <v>10268</v>
      </c>
      <c r="Z196" s="9">
        <v>5</v>
      </c>
      <c r="AA196" s="9" t="s">
        <v>55</v>
      </c>
      <c r="AB196" s="9" t="s">
        <v>10269</v>
      </c>
      <c r="AC196" s="9" t="s">
        <v>4080</v>
      </c>
      <c r="AD196" s="9" t="s">
        <v>58</v>
      </c>
      <c r="AE196" s="9">
        <v>1424000</v>
      </c>
      <c r="AF196" s="11">
        <v>28480</v>
      </c>
      <c r="AG196" s="9"/>
      <c r="AH196" s="9"/>
      <c r="AI196" s="9"/>
      <c r="AJ196" s="9" t="s">
        <v>12196</v>
      </c>
      <c r="AK196" s="11">
        <v>28480</v>
      </c>
      <c r="AL196" s="12"/>
      <c r="AM196" s="14">
        <f t="shared" si="3"/>
        <v>0</v>
      </c>
      <c r="AN196" s="12" t="s">
        <v>12004</v>
      </c>
    </row>
    <row r="197" spans="1:40" x14ac:dyDescent="0.25">
      <c r="A197" s="12">
        <v>861</v>
      </c>
      <c r="B197" s="18" t="s">
        <v>8030</v>
      </c>
      <c r="C197" s="12" t="s">
        <v>10270</v>
      </c>
      <c r="D197" s="12" t="s">
        <v>37</v>
      </c>
      <c r="E197" s="12" t="s">
        <v>10271</v>
      </c>
      <c r="F197" s="12" t="s">
        <v>245</v>
      </c>
      <c r="G197" s="12" t="s">
        <v>10272</v>
      </c>
      <c r="H197" s="12" t="s">
        <v>48</v>
      </c>
      <c r="I197" s="12" t="s">
        <v>10273</v>
      </c>
      <c r="J197" s="12" t="s">
        <v>48</v>
      </c>
      <c r="K197" s="12" t="s">
        <v>10274</v>
      </c>
      <c r="L197" s="12">
        <v>1018600</v>
      </c>
      <c r="M197" s="12">
        <v>1852000</v>
      </c>
      <c r="N197" s="12" t="s">
        <v>10275</v>
      </c>
      <c r="O197" s="16">
        <v>45647</v>
      </c>
      <c r="P197" s="12" t="s">
        <v>10276</v>
      </c>
      <c r="Q197" s="12" t="s">
        <v>10277</v>
      </c>
      <c r="R197" s="12" t="s">
        <v>47</v>
      </c>
      <c r="S197" s="12" t="s">
        <v>48</v>
      </c>
      <c r="T197" s="12" t="s">
        <v>321</v>
      </c>
      <c r="U197" s="12" t="s">
        <v>50</v>
      </c>
      <c r="V197" s="16">
        <v>44558</v>
      </c>
      <c r="W197" s="12" t="s">
        <v>8102</v>
      </c>
      <c r="X197" s="12" t="s">
        <v>8455</v>
      </c>
      <c r="Y197" s="12" t="s">
        <v>10278</v>
      </c>
      <c r="Z197" s="12">
        <v>7</v>
      </c>
      <c r="AA197" s="12" t="s">
        <v>55</v>
      </c>
      <c r="AB197" s="12" t="s">
        <v>10279</v>
      </c>
      <c r="AC197" s="12" t="s">
        <v>4437</v>
      </c>
      <c r="AD197" s="12" t="s">
        <v>58</v>
      </c>
      <c r="AE197" s="12">
        <v>1574200</v>
      </c>
      <c r="AF197" s="13">
        <v>31484</v>
      </c>
      <c r="AG197" s="12"/>
      <c r="AH197" s="12"/>
      <c r="AI197" s="12"/>
      <c r="AJ197" s="12" t="s">
        <v>12197</v>
      </c>
      <c r="AK197" s="11">
        <v>31484</v>
      </c>
      <c r="AL197" s="12"/>
      <c r="AM197" s="14">
        <f t="shared" si="3"/>
        <v>0</v>
      </c>
      <c r="AN197" s="12" t="s">
        <v>12004</v>
      </c>
    </row>
    <row r="198" spans="1:40" x14ac:dyDescent="0.25">
      <c r="A198" s="9">
        <v>862</v>
      </c>
      <c r="B198" s="18" t="s">
        <v>8030</v>
      </c>
      <c r="C198" s="9" t="s">
        <v>10280</v>
      </c>
      <c r="D198" s="9" t="s">
        <v>37</v>
      </c>
      <c r="E198" s="9" t="s">
        <v>8046</v>
      </c>
      <c r="F198" s="9" t="s">
        <v>764</v>
      </c>
      <c r="G198" s="9" t="s">
        <v>10281</v>
      </c>
      <c r="H198" s="9" t="s">
        <v>48</v>
      </c>
      <c r="I198" s="9" t="s">
        <v>10282</v>
      </c>
      <c r="J198" s="9" t="s">
        <v>48</v>
      </c>
      <c r="K198" s="9" t="s">
        <v>10283</v>
      </c>
      <c r="L198" s="9">
        <v>700000</v>
      </c>
      <c r="M198" s="9">
        <v>1000000</v>
      </c>
      <c r="N198" s="9" t="s">
        <v>10284</v>
      </c>
      <c r="O198" s="10">
        <v>45647</v>
      </c>
      <c r="P198" s="9" t="s">
        <v>10285</v>
      </c>
      <c r="Q198" s="9" t="s">
        <v>10286</v>
      </c>
      <c r="R198" s="9" t="s">
        <v>146</v>
      </c>
      <c r="S198" s="9" t="s">
        <v>48</v>
      </c>
      <c r="T198" s="9" t="s">
        <v>686</v>
      </c>
      <c r="U198" s="9" t="s">
        <v>651</v>
      </c>
      <c r="V198" s="10">
        <v>44558</v>
      </c>
      <c r="W198" s="9" t="s">
        <v>8102</v>
      </c>
      <c r="X198" s="9" t="s">
        <v>8115</v>
      </c>
      <c r="Y198" s="9" t="s">
        <v>10287</v>
      </c>
      <c r="Z198" s="9">
        <v>4</v>
      </c>
      <c r="AA198" s="9" t="s">
        <v>55</v>
      </c>
      <c r="AB198" s="9" t="s">
        <v>10288</v>
      </c>
      <c r="AC198" s="9" t="s">
        <v>4019</v>
      </c>
      <c r="AD198" s="9" t="s">
        <v>299</v>
      </c>
      <c r="AE198" s="9">
        <v>850000</v>
      </c>
      <c r="AF198" s="11">
        <v>12750</v>
      </c>
      <c r="AG198" s="9"/>
      <c r="AH198" s="9"/>
      <c r="AI198" s="9"/>
      <c r="AJ198" s="9" t="s">
        <v>12198</v>
      </c>
      <c r="AK198" s="11">
        <v>12750</v>
      </c>
      <c r="AL198" s="12"/>
      <c r="AM198" s="14">
        <f t="shared" si="3"/>
        <v>0</v>
      </c>
      <c r="AN198" s="12" t="s">
        <v>12004</v>
      </c>
    </row>
    <row r="199" spans="1:40" x14ac:dyDescent="0.25">
      <c r="A199" s="12">
        <v>863</v>
      </c>
      <c r="B199" s="18" t="s">
        <v>8030</v>
      </c>
      <c r="C199" s="12" t="s">
        <v>10289</v>
      </c>
      <c r="D199" s="12" t="s">
        <v>37</v>
      </c>
      <c r="E199" s="12" t="s">
        <v>10290</v>
      </c>
      <c r="F199" s="12" t="s">
        <v>107</v>
      </c>
      <c r="G199" s="12" t="s">
        <v>10291</v>
      </c>
      <c r="H199" s="12" t="s">
        <v>10292</v>
      </c>
      <c r="I199" s="12" t="s">
        <v>10292</v>
      </c>
      <c r="J199" s="12" t="s">
        <v>10292</v>
      </c>
      <c r="K199" s="12" t="s">
        <v>10293</v>
      </c>
      <c r="L199" s="12">
        <v>2042400</v>
      </c>
      <c r="M199" s="12">
        <v>2553000</v>
      </c>
      <c r="N199" s="12" t="s">
        <v>10294</v>
      </c>
      <c r="O199" s="16">
        <v>45646</v>
      </c>
      <c r="P199" s="12" t="s">
        <v>10295</v>
      </c>
      <c r="Q199" s="12" t="s">
        <v>10296</v>
      </c>
      <c r="R199" s="12" t="s">
        <v>47</v>
      </c>
      <c r="S199" s="12" t="s">
        <v>48</v>
      </c>
      <c r="T199" s="12" t="s">
        <v>10297</v>
      </c>
      <c r="U199" s="12" t="s">
        <v>50</v>
      </c>
      <c r="V199" s="16">
        <v>44461</v>
      </c>
      <c r="W199" s="12" t="s">
        <v>2981</v>
      </c>
      <c r="X199" s="12" t="s">
        <v>2982</v>
      </c>
      <c r="Y199" s="12" t="s">
        <v>10298</v>
      </c>
      <c r="Z199" s="12">
        <v>5</v>
      </c>
      <c r="AA199" s="12" t="s">
        <v>55</v>
      </c>
      <c r="AB199" s="12" t="s">
        <v>10299</v>
      </c>
      <c r="AC199" s="12" t="s">
        <v>4448</v>
      </c>
      <c r="AD199" s="12" t="s">
        <v>58</v>
      </c>
      <c r="AE199" s="12">
        <v>2170050</v>
      </c>
      <c r="AF199" s="13">
        <v>43401</v>
      </c>
      <c r="AG199" s="12"/>
      <c r="AH199" s="12"/>
      <c r="AI199" s="12"/>
      <c r="AJ199" s="12" t="s">
        <v>12199</v>
      </c>
      <c r="AK199" s="11">
        <v>43401</v>
      </c>
      <c r="AL199" s="12"/>
      <c r="AM199" s="14">
        <f t="shared" si="3"/>
        <v>0</v>
      </c>
      <c r="AN199" s="12" t="s">
        <v>12004</v>
      </c>
    </row>
    <row r="200" spans="1:40" x14ac:dyDescent="0.25">
      <c r="A200" s="9">
        <v>864</v>
      </c>
      <c r="B200" s="18" t="s">
        <v>8030</v>
      </c>
      <c r="C200" s="9" t="s">
        <v>10300</v>
      </c>
      <c r="D200" s="9" t="s">
        <v>37</v>
      </c>
      <c r="E200" s="9" t="s">
        <v>10301</v>
      </c>
      <c r="F200" s="9" t="s">
        <v>107</v>
      </c>
      <c r="G200" s="9" t="s">
        <v>10302</v>
      </c>
      <c r="H200" s="9" t="s">
        <v>10303</v>
      </c>
      <c r="I200" s="9" t="s">
        <v>10303</v>
      </c>
      <c r="J200" s="9" t="s">
        <v>10304</v>
      </c>
      <c r="K200" s="9" t="s">
        <v>10305</v>
      </c>
      <c r="L200" s="9">
        <v>1906450</v>
      </c>
      <c r="M200" s="9">
        <v>2933000</v>
      </c>
      <c r="N200" s="9" t="s">
        <v>10306</v>
      </c>
      <c r="O200" s="10">
        <v>45646</v>
      </c>
      <c r="P200" s="9" t="s">
        <v>10307</v>
      </c>
      <c r="Q200" s="9" t="s">
        <v>10308</v>
      </c>
      <c r="R200" s="9" t="s">
        <v>47</v>
      </c>
      <c r="S200" s="9" t="s">
        <v>48</v>
      </c>
      <c r="T200" s="9" t="s">
        <v>2357</v>
      </c>
      <c r="U200" s="9" t="s">
        <v>50</v>
      </c>
      <c r="V200" s="10">
        <v>44466</v>
      </c>
      <c r="W200" s="9" t="s">
        <v>2981</v>
      </c>
      <c r="X200" s="9" t="s">
        <v>2982</v>
      </c>
      <c r="Y200" s="9" t="s">
        <v>10309</v>
      </c>
      <c r="Z200" s="9">
        <v>5</v>
      </c>
      <c r="AA200" s="9" t="s">
        <v>55</v>
      </c>
      <c r="AB200" s="9" t="s">
        <v>10310</v>
      </c>
      <c r="AC200" s="9" t="s">
        <v>4019</v>
      </c>
      <c r="AD200" s="9" t="s">
        <v>58</v>
      </c>
      <c r="AE200" s="9">
        <v>2493050</v>
      </c>
      <c r="AF200" s="11">
        <v>49861</v>
      </c>
      <c r="AG200" s="9"/>
      <c r="AH200" s="9"/>
      <c r="AI200" s="9"/>
      <c r="AJ200" s="9" t="s">
        <v>12200</v>
      </c>
      <c r="AK200" s="11">
        <v>49861</v>
      </c>
      <c r="AL200" s="12"/>
      <c r="AM200" s="14">
        <f t="shared" si="3"/>
        <v>0</v>
      </c>
      <c r="AN200" s="12" t="s">
        <v>12004</v>
      </c>
    </row>
    <row r="201" spans="1:40" x14ac:dyDescent="0.25">
      <c r="A201" s="12">
        <v>865</v>
      </c>
      <c r="B201" s="18" t="s">
        <v>8030</v>
      </c>
      <c r="C201" s="12" t="s">
        <v>10311</v>
      </c>
      <c r="D201" s="12" t="s">
        <v>37</v>
      </c>
      <c r="E201" s="12" t="s">
        <v>10312</v>
      </c>
      <c r="F201" s="12" t="s">
        <v>764</v>
      </c>
      <c r="G201" s="12" t="s">
        <v>10313</v>
      </c>
      <c r="H201" s="12" t="s">
        <v>48</v>
      </c>
      <c r="I201" s="12" t="s">
        <v>10314</v>
      </c>
      <c r="J201" s="12" t="s">
        <v>48</v>
      </c>
      <c r="K201" s="12" t="s">
        <v>10315</v>
      </c>
      <c r="L201" s="12">
        <v>630000</v>
      </c>
      <c r="M201" s="12">
        <v>900000</v>
      </c>
      <c r="N201" s="12" t="s">
        <v>10316</v>
      </c>
      <c r="O201" s="16">
        <v>45645</v>
      </c>
      <c r="P201" s="12" t="s">
        <v>10317</v>
      </c>
      <c r="Q201" s="12" t="s">
        <v>10318</v>
      </c>
      <c r="R201" s="12" t="s">
        <v>146</v>
      </c>
      <c r="S201" s="12" t="s">
        <v>10319</v>
      </c>
      <c r="T201" s="12" t="s">
        <v>686</v>
      </c>
      <c r="U201" s="12" t="s">
        <v>903</v>
      </c>
      <c r="V201" s="16">
        <v>44558</v>
      </c>
      <c r="W201" s="12" t="s">
        <v>8102</v>
      </c>
      <c r="X201" s="12" t="s">
        <v>8103</v>
      </c>
      <c r="Y201" s="12" t="s">
        <v>10320</v>
      </c>
      <c r="Z201" s="12">
        <v>5</v>
      </c>
      <c r="AA201" s="12" t="s">
        <v>55</v>
      </c>
      <c r="AB201" s="12" t="s">
        <v>10321</v>
      </c>
      <c r="AC201" s="12" t="s">
        <v>4473</v>
      </c>
      <c r="AD201" s="12" t="s">
        <v>299</v>
      </c>
      <c r="AE201" s="12">
        <v>765000</v>
      </c>
      <c r="AF201" s="13">
        <v>11475</v>
      </c>
      <c r="AG201" s="12"/>
      <c r="AH201" s="12"/>
      <c r="AI201" s="12"/>
      <c r="AJ201" s="12" t="s">
        <v>12201</v>
      </c>
      <c r="AK201" s="11">
        <v>11475</v>
      </c>
      <c r="AL201" s="12"/>
      <c r="AM201" s="14">
        <f t="shared" si="3"/>
        <v>0</v>
      </c>
      <c r="AN201" s="12" t="s">
        <v>12004</v>
      </c>
    </row>
    <row r="202" spans="1:40" x14ac:dyDescent="0.25">
      <c r="A202" s="9">
        <v>866</v>
      </c>
      <c r="B202" s="18" t="s">
        <v>8030</v>
      </c>
      <c r="C202" s="9" t="s">
        <v>10322</v>
      </c>
      <c r="D202" s="9" t="s">
        <v>37</v>
      </c>
      <c r="E202" s="9" t="s">
        <v>2800</v>
      </c>
      <c r="F202" s="9" t="s">
        <v>39</v>
      </c>
      <c r="G202" s="9" t="s">
        <v>10323</v>
      </c>
      <c r="H202" s="9" t="s">
        <v>10324</v>
      </c>
      <c r="I202" s="9" t="s">
        <v>10325</v>
      </c>
      <c r="J202" s="9" t="s">
        <v>1505</v>
      </c>
      <c r="K202" s="9" t="s">
        <v>10326</v>
      </c>
      <c r="L202" s="9">
        <v>1876225</v>
      </c>
      <c r="M202" s="9">
        <v>2886500</v>
      </c>
      <c r="N202" s="9" t="s">
        <v>10327</v>
      </c>
      <c r="O202" s="10">
        <v>45645</v>
      </c>
      <c r="P202" s="9" t="s">
        <v>10328</v>
      </c>
      <c r="Q202" s="9" t="s">
        <v>10329</v>
      </c>
      <c r="R202" s="9" t="s">
        <v>47</v>
      </c>
      <c r="S202" s="9" t="s">
        <v>48</v>
      </c>
      <c r="T202" s="9" t="s">
        <v>10330</v>
      </c>
      <c r="U202" s="9" t="s">
        <v>50</v>
      </c>
      <c r="V202" s="10">
        <v>44516</v>
      </c>
      <c r="W202" s="9" t="s">
        <v>2981</v>
      </c>
      <c r="X202" s="9" t="s">
        <v>8076</v>
      </c>
      <c r="Y202" s="9" t="s">
        <v>10331</v>
      </c>
      <c r="Z202" s="9">
        <v>4</v>
      </c>
      <c r="AA202" s="9" t="s">
        <v>55</v>
      </c>
      <c r="AB202" s="9" t="s">
        <v>10332</v>
      </c>
      <c r="AC202" s="9" t="s">
        <v>4176</v>
      </c>
      <c r="AD202" s="9" t="s">
        <v>58</v>
      </c>
      <c r="AE202" s="9">
        <v>2453525</v>
      </c>
      <c r="AF202" s="11">
        <v>49071</v>
      </c>
      <c r="AG202" s="9"/>
      <c r="AH202" s="9"/>
      <c r="AI202" s="9"/>
      <c r="AJ202" s="9" t="s">
        <v>12202</v>
      </c>
      <c r="AK202" s="11">
        <v>49071</v>
      </c>
      <c r="AL202" s="12"/>
      <c r="AM202" s="14">
        <f t="shared" si="3"/>
        <v>0</v>
      </c>
      <c r="AN202" s="12" t="s">
        <v>12004</v>
      </c>
    </row>
    <row r="203" spans="1:40" x14ac:dyDescent="0.25">
      <c r="A203" s="12">
        <v>867</v>
      </c>
      <c r="B203" s="18" t="s">
        <v>8030</v>
      </c>
      <c r="C203" s="12" t="s">
        <v>10333</v>
      </c>
      <c r="D203" s="12" t="s">
        <v>37</v>
      </c>
      <c r="E203" s="12" t="s">
        <v>10334</v>
      </c>
      <c r="F203" s="12" t="s">
        <v>932</v>
      </c>
      <c r="G203" s="12" t="s">
        <v>10335</v>
      </c>
      <c r="H203" s="12" t="s">
        <v>10336</v>
      </c>
      <c r="I203" s="12" t="s">
        <v>10337</v>
      </c>
      <c r="J203" s="12" t="s">
        <v>10336</v>
      </c>
      <c r="K203" s="12" t="s">
        <v>10338</v>
      </c>
      <c r="L203" s="12">
        <v>1761000</v>
      </c>
      <c r="M203" s="12">
        <v>2935000</v>
      </c>
      <c r="N203" s="12" t="s">
        <v>10339</v>
      </c>
      <c r="O203" s="16">
        <v>45644</v>
      </c>
      <c r="P203" s="12" t="s">
        <v>10340</v>
      </c>
      <c r="Q203" s="12" t="s">
        <v>10341</v>
      </c>
      <c r="R203" s="12" t="s">
        <v>47</v>
      </c>
      <c r="S203" s="12" t="s">
        <v>48</v>
      </c>
      <c r="T203" s="12" t="s">
        <v>613</v>
      </c>
      <c r="U203" s="12" t="s">
        <v>386</v>
      </c>
      <c r="V203" s="16">
        <v>45260</v>
      </c>
      <c r="W203" s="12" t="s">
        <v>8767</v>
      </c>
      <c r="X203" s="12" t="s">
        <v>8103</v>
      </c>
      <c r="Y203" s="12" t="s">
        <v>10342</v>
      </c>
      <c r="Z203" s="12">
        <v>3</v>
      </c>
      <c r="AA203" s="12" t="s">
        <v>55</v>
      </c>
      <c r="AB203" s="12" t="s">
        <v>10343</v>
      </c>
      <c r="AC203" s="12" t="s">
        <v>4334</v>
      </c>
      <c r="AD203" s="12" t="s">
        <v>58</v>
      </c>
      <c r="AE203" s="12">
        <v>2641500</v>
      </c>
      <c r="AF203" s="13">
        <v>52830</v>
      </c>
      <c r="AG203" s="12"/>
      <c r="AH203" s="12"/>
      <c r="AI203" s="12"/>
      <c r="AJ203" s="12" t="s">
        <v>12203</v>
      </c>
      <c r="AK203" s="11">
        <v>52830</v>
      </c>
      <c r="AL203" s="12"/>
      <c r="AM203" s="14">
        <f t="shared" si="3"/>
        <v>0</v>
      </c>
      <c r="AN203" s="12" t="s">
        <v>12004</v>
      </c>
    </row>
    <row r="204" spans="1:40" x14ac:dyDescent="0.25">
      <c r="A204" s="9">
        <v>868</v>
      </c>
      <c r="B204" s="18" t="s">
        <v>8030</v>
      </c>
      <c r="C204" s="9" t="s">
        <v>10344</v>
      </c>
      <c r="D204" s="9" t="s">
        <v>37</v>
      </c>
      <c r="E204" s="9" t="s">
        <v>10345</v>
      </c>
      <c r="F204" s="9" t="s">
        <v>89</v>
      </c>
      <c r="G204" s="9" t="s">
        <v>10346</v>
      </c>
      <c r="H204" s="9" t="s">
        <v>10347</v>
      </c>
      <c r="I204" s="9" t="s">
        <v>48</v>
      </c>
      <c r="J204" s="9" t="s">
        <v>10347</v>
      </c>
      <c r="K204" s="9" t="s">
        <v>10348</v>
      </c>
      <c r="L204" s="9">
        <v>2689050</v>
      </c>
      <c r="M204" s="9">
        <v>4137000</v>
      </c>
      <c r="N204" s="9" t="s">
        <v>10349</v>
      </c>
      <c r="O204" s="10">
        <v>45643</v>
      </c>
      <c r="P204" s="9" t="s">
        <v>10350</v>
      </c>
      <c r="Q204" s="9" t="s">
        <v>10351</v>
      </c>
      <c r="R204" s="9" t="s">
        <v>47</v>
      </c>
      <c r="S204" s="9" t="s">
        <v>48</v>
      </c>
      <c r="T204" s="9" t="s">
        <v>97</v>
      </c>
      <c r="U204" s="9" t="s">
        <v>98</v>
      </c>
      <c r="V204" s="10">
        <v>44186</v>
      </c>
      <c r="W204" s="9" t="s">
        <v>5266</v>
      </c>
      <c r="X204" s="9" t="s">
        <v>5267</v>
      </c>
      <c r="Y204" s="9" t="s">
        <v>10352</v>
      </c>
      <c r="Z204" s="9">
        <v>5</v>
      </c>
      <c r="AA204" s="9" t="s">
        <v>227</v>
      </c>
      <c r="AB204" s="9" t="s">
        <v>10353</v>
      </c>
      <c r="AC204" s="9" t="s">
        <v>5270</v>
      </c>
      <c r="AD204" s="9" t="s">
        <v>58</v>
      </c>
      <c r="AE204" s="9">
        <v>3102750</v>
      </c>
      <c r="AF204" s="11">
        <v>62055</v>
      </c>
      <c r="AG204" s="9"/>
      <c r="AH204" s="9"/>
      <c r="AI204" s="9"/>
      <c r="AJ204" s="9" t="s">
        <v>12204</v>
      </c>
      <c r="AK204" s="11">
        <v>62055</v>
      </c>
      <c r="AL204" s="12"/>
      <c r="AM204" s="14">
        <f t="shared" si="3"/>
        <v>0</v>
      </c>
      <c r="AN204" s="12" t="s">
        <v>12004</v>
      </c>
    </row>
    <row r="205" spans="1:40" x14ac:dyDescent="0.25">
      <c r="A205" s="12">
        <v>869</v>
      </c>
      <c r="B205" s="18" t="s">
        <v>8030</v>
      </c>
      <c r="C205" s="12" t="s">
        <v>10354</v>
      </c>
      <c r="D205" s="12" t="s">
        <v>37</v>
      </c>
      <c r="E205" s="12" t="s">
        <v>10355</v>
      </c>
      <c r="F205" s="12" t="s">
        <v>138</v>
      </c>
      <c r="G205" s="12" t="s">
        <v>10356</v>
      </c>
      <c r="H205" s="12" t="s">
        <v>48</v>
      </c>
      <c r="I205" s="12" t="s">
        <v>10357</v>
      </c>
      <c r="J205" s="12" t="s">
        <v>48</v>
      </c>
      <c r="K205" s="12" t="s">
        <v>10358</v>
      </c>
      <c r="L205" s="12">
        <v>1785000</v>
      </c>
      <c r="M205" s="12">
        <v>2550000</v>
      </c>
      <c r="N205" s="12" t="s">
        <v>10359</v>
      </c>
      <c r="O205" s="16">
        <v>45642</v>
      </c>
      <c r="P205" s="12" t="s">
        <v>10360</v>
      </c>
      <c r="Q205" s="12" t="s">
        <v>10361</v>
      </c>
      <c r="R205" s="12" t="s">
        <v>146</v>
      </c>
      <c r="S205" s="12" t="s">
        <v>10362</v>
      </c>
      <c r="T205" s="12" t="s">
        <v>1971</v>
      </c>
      <c r="U205" s="12" t="s">
        <v>651</v>
      </c>
      <c r="V205" s="16">
        <v>44550</v>
      </c>
      <c r="W205" s="12" t="s">
        <v>4473</v>
      </c>
      <c r="X205" s="12" t="s">
        <v>4588</v>
      </c>
      <c r="Y205" s="12" t="s">
        <v>10363</v>
      </c>
      <c r="Z205" s="12">
        <v>5</v>
      </c>
      <c r="AA205" s="12" t="s">
        <v>55</v>
      </c>
      <c r="AB205" s="12" t="s">
        <v>10364</v>
      </c>
      <c r="AC205" s="12" t="s">
        <v>4176</v>
      </c>
      <c r="AD205" s="12" t="s">
        <v>299</v>
      </c>
      <c r="AE205" s="12">
        <v>2040000</v>
      </c>
      <c r="AF205" s="13">
        <v>30600</v>
      </c>
      <c r="AG205" s="12"/>
      <c r="AH205" s="12"/>
      <c r="AI205" s="12"/>
      <c r="AJ205" s="12" t="s">
        <v>12205</v>
      </c>
      <c r="AK205" s="11">
        <v>30600</v>
      </c>
      <c r="AL205" s="12"/>
      <c r="AM205" s="14">
        <f t="shared" si="3"/>
        <v>0</v>
      </c>
      <c r="AN205" s="12" t="s">
        <v>12004</v>
      </c>
    </row>
    <row r="206" spans="1:40" x14ac:dyDescent="0.25">
      <c r="A206" s="9">
        <v>870</v>
      </c>
      <c r="B206" s="18" t="s">
        <v>8030</v>
      </c>
      <c r="C206" s="9" t="s">
        <v>10365</v>
      </c>
      <c r="D206" s="9" t="s">
        <v>37</v>
      </c>
      <c r="E206" s="9" t="s">
        <v>2578</v>
      </c>
      <c r="F206" s="9" t="s">
        <v>138</v>
      </c>
      <c r="G206" s="9" t="s">
        <v>10366</v>
      </c>
      <c r="H206" s="9" t="s">
        <v>10367</v>
      </c>
      <c r="I206" s="9" t="s">
        <v>10367</v>
      </c>
      <c r="J206" s="9" t="s">
        <v>141</v>
      </c>
      <c r="K206" s="9" t="s">
        <v>10368</v>
      </c>
      <c r="L206" s="9">
        <v>1360000</v>
      </c>
      <c r="M206" s="9">
        <v>1700000</v>
      </c>
      <c r="N206" s="9" t="s">
        <v>10369</v>
      </c>
      <c r="O206" s="10">
        <v>45640</v>
      </c>
      <c r="P206" s="9" t="s">
        <v>10370</v>
      </c>
      <c r="Q206" s="9" t="s">
        <v>10371</v>
      </c>
      <c r="R206" s="9" t="s">
        <v>146</v>
      </c>
      <c r="S206" s="9" t="s">
        <v>10372</v>
      </c>
      <c r="T206" s="9" t="s">
        <v>613</v>
      </c>
      <c r="U206" s="9" t="s">
        <v>614</v>
      </c>
      <c r="V206" s="10">
        <v>44560</v>
      </c>
      <c r="W206" s="9" t="s">
        <v>8102</v>
      </c>
      <c r="X206" s="9" t="s">
        <v>8455</v>
      </c>
      <c r="Y206" s="9" t="s">
        <v>10373</v>
      </c>
      <c r="Z206" s="9">
        <v>7</v>
      </c>
      <c r="AA206" s="9" t="s">
        <v>55</v>
      </c>
      <c r="AB206" s="9" t="s">
        <v>10374</v>
      </c>
      <c r="AC206" s="9" t="s">
        <v>9248</v>
      </c>
      <c r="AD206" s="9" t="s">
        <v>299</v>
      </c>
      <c r="AE206" s="9">
        <v>1445000</v>
      </c>
      <c r="AF206" s="11">
        <v>21675</v>
      </c>
      <c r="AG206" s="9"/>
      <c r="AH206" s="9"/>
      <c r="AI206" s="9"/>
      <c r="AJ206" s="9" t="s">
        <v>12206</v>
      </c>
      <c r="AK206" s="11">
        <v>21675</v>
      </c>
      <c r="AL206" s="12"/>
      <c r="AM206" s="14">
        <f t="shared" si="3"/>
        <v>0</v>
      </c>
      <c r="AN206" s="12" t="s">
        <v>12004</v>
      </c>
    </row>
    <row r="207" spans="1:40" x14ac:dyDescent="0.25">
      <c r="A207" s="12">
        <v>871</v>
      </c>
      <c r="B207" s="18" t="s">
        <v>8030</v>
      </c>
      <c r="C207" s="12" t="s">
        <v>10375</v>
      </c>
      <c r="D207" s="12" t="s">
        <v>37</v>
      </c>
      <c r="E207" s="12" t="s">
        <v>10376</v>
      </c>
      <c r="F207" s="12" t="s">
        <v>107</v>
      </c>
      <c r="G207" s="12" t="s">
        <v>10377</v>
      </c>
      <c r="H207" s="12" t="s">
        <v>10378</v>
      </c>
      <c r="I207" s="12" t="s">
        <v>10378</v>
      </c>
      <c r="J207" s="12" t="s">
        <v>10378</v>
      </c>
      <c r="K207" s="12" t="s">
        <v>10379</v>
      </c>
      <c r="L207" s="12">
        <v>3347400</v>
      </c>
      <c r="M207" s="12">
        <v>4782000</v>
      </c>
      <c r="N207" s="12" t="s">
        <v>10380</v>
      </c>
      <c r="O207" s="16">
        <v>45638</v>
      </c>
      <c r="P207" s="12" t="s">
        <v>10381</v>
      </c>
      <c r="Q207" s="12" t="s">
        <v>10382</v>
      </c>
      <c r="R207" s="12" t="s">
        <v>47</v>
      </c>
      <c r="S207" s="12" t="s">
        <v>48</v>
      </c>
      <c r="T207" s="12" t="s">
        <v>10383</v>
      </c>
      <c r="U207" s="12" t="s">
        <v>50</v>
      </c>
      <c r="V207" s="16">
        <v>44400</v>
      </c>
      <c r="W207" s="12" t="s">
        <v>1514</v>
      </c>
      <c r="X207" s="12" t="s">
        <v>1515</v>
      </c>
      <c r="Y207" s="12" t="s">
        <v>10384</v>
      </c>
      <c r="Z207" s="12">
        <v>5</v>
      </c>
      <c r="AA207" s="12" t="s">
        <v>118</v>
      </c>
      <c r="AB207" s="12" t="s">
        <v>10385</v>
      </c>
      <c r="AC207" s="12" t="s">
        <v>5995</v>
      </c>
      <c r="AD207" s="12" t="s">
        <v>86</v>
      </c>
      <c r="AE207" s="12">
        <v>4064700</v>
      </c>
      <c r="AF207" s="13">
        <v>71132</v>
      </c>
      <c r="AG207" s="12"/>
      <c r="AH207" s="12"/>
      <c r="AI207" s="12"/>
      <c r="AJ207" s="12" t="s">
        <v>12207</v>
      </c>
      <c r="AK207" s="11">
        <v>71132</v>
      </c>
      <c r="AL207" s="12"/>
      <c r="AM207" s="14">
        <f t="shared" si="3"/>
        <v>0</v>
      </c>
      <c r="AN207" s="12" t="s">
        <v>12004</v>
      </c>
    </row>
    <row r="208" spans="1:40" x14ac:dyDescent="0.25">
      <c r="A208" s="9">
        <v>872</v>
      </c>
      <c r="B208" s="18" t="s">
        <v>8030</v>
      </c>
      <c r="C208" s="9" t="s">
        <v>10386</v>
      </c>
      <c r="D208" s="9" t="s">
        <v>37</v>
      </c>
      <c r="E208" s="9" t="s">
        <v>10387</v>
      </c>
      <c r="F208" s="9" t="s">
        <v>138</v>
      </c>
      <c r="G208" s="9" t="s">
        <v>10388</v>
      </c>
      <c r="H208" s="9" t="s">
        <v>10389</v>
      </c>
      <c r="I208" s="9" t="s">
        <v>10390</v>
      </c>
      <c r="J208" s="9" t="s">
        <v>10391</v>
      </c>
      <c r="K208" s="9" t="s">
        <v>10392</v>
      </c>
      <c r="L208" s="9">
        <v>927500</v>
      </c>
      <c r="M208" s="9">
        <v>1325000</v>
      </c>
      <c r="N208" s="9" t="s">
        <v>10393</v>
      </c>
      <c r="O208" s="10">
        <v>45638</v>
      </c>
      <c r="P208" s="9" t="s">
        <v>10394</v>
      </c>
      <c r="Q208" s="9" t="s">
        <v>10395</v>
      </c>
      <c r="R208" s="9" t="s">
        <v>1215</v>
      </c>
      <c r="S208" s="9" t="s">
        <v>10396</v>
      </c>
      <c r="T208" s="9" t="s">
        <v>10397</v>
      </c>
      <c r="U208" s="9" t="s">
        <v>715</v>
      </c>
      <c r="V208" s="10">
        <v>43817</v>
      </c>
      <c r="W208" s="9" t="s">
        <v>5729</v>
      </c>
      <c r="X208" s="9" t="s">
        <v>5267</v>
      </c>
      <c r="Y208" s="9" t="s">
        <v>10398</v>
      </c>
      <c r="Z208" s="9">
        <v>6</v>
      </c>
      <c r="AA208" s="9" t="s">
        <v>227</v>
      </c>
      <c r="AB208" s="9" t="s">
        <v>10399</v>
      </c>
      <c r="AC208" s="9" t="s">
        <v>10400</v>
      </c>
      <c r="AD208" s="9" t="s">
        <v>171</v>
      </c>
      <c r="AE208" s="9">
        <v>927499.99999999988</v>
      </c>
      <c r="AF208" s="11">
        <v>23188</v>
      </c>
      <c r="AG208" s="9"/>
      <c r="AH208" s="9"/>
      <c r="AI208" s="9"/>
      <c r="AJ208" s="9" t="s">
        <v>12208</v>
      </c>
      <c r="AK208" s="11">
        <v>23188</v>
      </c>
      <c r="AL208" s="12"/>
      <c r="AM208" s="14">
        <f t="shared" si="3"/>
        <v>0</v>
      </c>
      <c r="AN208" s="12" t="s">
        <v>12004</v>
      </c>
    </row>
    <row r="209" spans="1:40" x14ac:dyDescent="0.25">
      <c r="A209" s="12">
        <v>873</v>
      </c>
      <c r="B209" s="18" t="s">
        <v>8030</v>
      </c>
      <c r="C209" s="12" t="s">
        <v>10401</v>
      </c>
      <c r="D209" s="12" t="s">
        <v>37</v>
      </c>
      <c r="E209" s="12" t="s">
        <v>2688</v>
      </c>
      <c r="F209" s="12" t="s">
        <v>89</v>
      </c>
      <c r="G209" s="12" t="s">
        <v>10402</v>
      </c>
      <c r="H209" s="12" t="s">
        <v>10403</v>
      </c>
      <c r="I209" s="12" t="s">
        <v>10403</v>
      </c>
      <c r="J209" s="12" t="s">
        <v>10404</v>
      </c>
      <c r="K209" s="12" t="s">
        <v>10405</v>
      </c>
      <c r="L209" s="12">
        <v>3952500</v>
      </c>
      <c r="M209" s="12">
        <v>5270000</v>
      </c>
      <c r="N209" s="12" t="s">
        <v>10406</v>
      </c>
      <c r="O209" s="16">
        <v>45635</v>
      </c>
      <c r="P209" s="12" t="s">
        <v>10407</v>
      </c>
      <c r="Q209" s="12" t="s">
        <v>10408</v>
      </c>
      <c r="R209" s="12" t="s">
        <v>47</v>
      </c>
      <c r="S209" s="12" t="s">
        <v>48</v>
      </c>
      <c r="T209" s="12" t="s">
        <v>115</v>
      </c>
      <c r="U209" s="12" t="s">
        <v>50</v>
      </c>
      <c r="V209" s="16">
        <v>44466</v>
      </c>
      <c r="W209" s="12" t="s">
        <v>2981</v>
      </c>
      <c r="X209" s="12" t="s">
        <v>8273</v>
      </c>
      <c r="Y209" s="12" t="s">
        <v>10409</v>
      </c>
      <c r="Z209" s="12">
        <v>3</v>
      </c>
      <c r="AA209" s="12" t="s">
        <v>48</v>
      </c>
      <c r="AB209" s="12" t="s">
        <v>48</v>
      </c>
      <c r="AC209" s="12" t="s">
        <v>48</v>
      </c>
      <c r="AD209" s="12" t="s">
        <v>86</v>
      </c>
      <c r="AE209" s="12">
        <v>4479500</v>
      </c>
      <c r="AF209" s="13">
        <v>78391</v>
      </c>
      <c r="AG209" s="12"/>
      <c r="AH209" s="12"/>
      <c r="AI209" s="12"/>
      <c r="AJ209" s="12" t="s">
        <v>12209</v>
      </c>
      <c r="AK209" s="11">
        <v>78391</v>
      </c>
      <c r="AL209" s="12"/>
      <c r="AM209" s="14">
        <f t="shared" si="3"/>
        <v>0</v>
      </c>
      <c r="AN209" s="12" t="s">
        <v>12004</v>
      </c>
    </row>
    <row r="210" spans="1:40" x14ac:dyDescent="0.25">
      <c r="A210" s="9">
        <v>874</v>
      </c>
      <c r="B210" s="18" t="s">
        <v>8030</v>
      </c>
      <c r="C210" s="9" t="s">
        <v>10410</v>
      </c>
      <c r="D210" s="9" t="s">
        <v>37</v>
      </c>
      <c r="E210" s="9" t="s">
        <v>10411</v>
      </c>
      <c r="F210" s="9" t="s">
        <v>232</v>
      </c>
      <c r="G210" s="9" t="s">
        <v>10412</v>
      </c>
      <c r="H210" s="9" t="s">
        <v>10413</v>
      </c>
      <c r="I210" s="9" t="s">
        <v>10413</v>
      </c>
      <c r="J210" s="9" t="s">
        <v>10413</v>
      </c>
      <c r="K210" s="9" t="s">
        <v>10414</v>
      </c>
      <c r="L210" s="9">
        <v>2496000</v>
      </c>
      <c r="M210" s="9">
        <v>4800000</v>
      </c>
      <c r="N210" s="9" t="s">
        <v>10415</v>
      </c>
      <c r="O210" s="10">
        <v>45635</v>
      </c>
      <c r="P210" s="9" t="s">
        <v>10416</v>
      </c>
      <c r="Q210" s="9" t="s">
        <v>10417</v>
      </c>
      <c r="R210" s="9" t="s">
        <v>146</v>
      </c>
      <c r="S210" s="9" t="s">
        <v>10418</v>
      </c>
      <c r="T210" s="9" t="s">
        <v>1154</v>
      </c>
      <c r="U210" s="9" t="s">
        <v>50</v>
      </c>
      <c r="V210" s="10">
        <v>44550</v>
      </c>
      <c r="W210" s="9" t="s">
        <v>4473</v>
      </c>
      <c r="X210" s="9" t="s">
        <v>4588</v>
      </c>
      <c r="Y210" s="9" t="s">
        <v>10419</v>
      </c>
      <c r="Z210" s="9">
        <v>5</v>
      </c>
      <c r="AA210" s="9" t="s">
        <v>55</v>
      </c>
      <c r="AB210" s="9" t="s">
        <v>10420</v>
      </c>
      <c r="AC210" s="9" t="s">
        <v>6078</v>
      </c>
      <c r="AD210" s="9" t="s">
        <v>299</v>
      </c>
      <c r="AE210" s="9">
        <v>3840000</v>
      </c>
      <c r="AF210" s="11">
        <v>57600</v>
      </c>
      <c r="AG210" s="9"/>
      <c r="AH210" s="9"/>
      <c r="AI210" s="9"/>
      <c r="AJ210" s="9" t="s">
        <v>12210</v>
      </c>
      <c r="AK210" s="11">
        <v>57600</v>
      </c>
      <c r="AL210" s="12"/>
      <c r="AM210" s="14">
        <f t="shared" si="3"/>
        <v>0</v>
      </c>
      <c r="AN210" s="12" t="s">
        <v>12004</v>
      </c>
    </row>
    <row r="211" spans="1:40" x14ac:dyDescent="0.25">
      <c r="A211" s="12">
        <v>875</v>
      </c>
      <c r="B211" s="18" t="s">
        <v>8030</v>
      </c>
      <c r="C211" s="12" t="s">
        <v>10421</v>
      </c>
      <c r="D211" s="12" t="s">
        <v>37</v>
      </c>
      <c r="E211" s="12" t="s">
        <v>10422</v>
      </c>
      <c r="F211" s="12" t="s">
        <v>107</v>
      </c>
      <c r="G211" s="12" t="s">
        <v>10423</v>
      </c>
      <c r="H211" s="12" t="s">
        <v>10424</v>
      </c>
      <c r="I211" s="12" t="s">
        <v>10424</v>
      </c>
      <c r="J211" s="12" t="s">
        <v>10425</v>
      </c>
      <c r="K211" s="12" t="s">
        <v>10426</v>
      </c>
      <c r="L211" s="12">
        <v>1649250</v>
      </c>
      <c r="M211" s="12">
        <v>2199000</v>
      </c>
      <c r="N211" s="12" t="s">
        <v>10427</v>
      </c>
      <c r="O211" s="16">
        <v>45635</v>
      </c>
      <c r="P211" s="12" t="s">
        <v>10428</v>
      </c>
      <c r="Q211" s="12" t="s">
        <v>10429</v>
      </c>
      <c r="R211" s="12" t="s">
        <v>47</v>
      </c>
      <c r="S211" s="12" t="s">
        <v>10430</v>
      </c>
      <c r="T211" s="12" t="s">
        <v>10431</v>
      </c>
      <c r="U211" s="12" t="s">
        <v>50</v>
      </c>
      <c r="V211" s="16">
        <v>44273</v>
      </c>
      <c r="W211" s="12" t="s">
        <v>8102</v>
      </c>
      <c r="X211" s="12" t="s">
        <v>8103</v>
      </c>
      <c r="Y211" s="12" t="s">
        <v>10432</v>
      </c>
      <c r="Z211" s="12">
        <v>5</v>
      </c>
      <c r="AA211" s="12" t="s">
        <v>55</v>
      </c>
      <c r="AB211" s="12" t="s">
        <v>10433</v>
      </c>
      <c r="AC211" s="12" t="s">
        <v>6483</v>
      </c>
      <c r="AD211" s="12" t="s">
        <v>58</v>
      </c>
      <c r="AE211" s="12">
        <v>1869150</v>
      </c>
      <c r="AF211" s="13">
        <v>37383</v>
      </c>
      <c r="AG211" s="12"/>
      <c r="AH211" s="12"/>
      <c r="AI211" s="12"/>
      <c r="AJ211" s="12" t="s">
        <v>12211</v>
      </c>
      <c r="AK211" s="11">
        <v>37383</v>
      </c>
      <c r="AL211" s="12"/>
      <c r="AM211" s="14">
        <f t="shared" si="3"/>
        <v>0</v>
      </c>
      <c r="AN211" s="12" t="s">
        <v>12004</v>
      </c>
    </row>
    <row r="212" spans="1:40" x14ac:dyDescent="0.25">
      <c r="A212" s="9">
        <v>876</v>
      </c>
      <c r="B212" s="18" t="s">
        <v>8030</v>
      </c>
      <c r="C212" s="9" t="s">
        <v>10434</v>
      </c>
      <c r="D212" s="9" t="s">
        <v>37</v>
      </c>
      <c r="E212" s="9" t="s">
        <v>5859</v>
      </c>
      <c r="F212" s="9" t="s">
        <v>107</v>
      </c>
      <c r="G212" s="9" t="s">
        <v>10435</v>
      </c>
      <c r="H212" s="9" t="s">
        <v>48</v>
      </c>
      <c r="I212" s="9" t="s">
        <v>10436</v>
      </c>
      <c r="J212" s="9" t="s">
        <v>48</v>
      </c>
      <c r="K212" s="9" t="s">
        <v>10437</v>
      </c>
      <c r="L212" s="9">
        <v>3951200</v>
      </c>
      <c r="M212" s="9">
        <v>4939000</v>
      </c>
      <c r="N212" s="9" t="s">
        <v>10438</v>
      </c>
      <c r="O212" s="9" t="s">
        <v>7439</v>
      </c>
      <c r="P212" s="9" t="s">
        <v>10439</v>
      </c>
      <c r="Q212" s="9" t="s">
        <v>10440</v>
      </c>
      <c r="R212" s="9" t="s">
        <v>47</v>
      </c>
      <c r="S212" s="9" t="s">
        <v>48</v>
      </c>
      <c r="T212" s="9" t="s">
        <v>495</v>
      </c>
      <c r="U212" s="9" t="s">
        <v>386</v>
      </c>
      <c r="V212" s="10">
        <v>45225</v>
      </c>
      <c r="W212" s="9" t="s">
        <v>8767</v>
      </c>
      <c r="X212" s="9" t="s">
        <v>8103</v>
      </c>
      <c r="Y212" s="9" t="s">
        <v>10441</v>
      </c>
      <c r="Z212" s="9">
        <v>3</v>
      </c>
      <c r="AA212" s="9" t="s">
        <v>227</v>
      </c>
      <c r="AB212" s="9" t="s">
        <v>10442</v>
      </c>
      <c r="AC212" s="9" t="s">
        <v>10443</v>
      </c>
      <c r="AD212" s="9" t="s">
        <v>299</v>
      </c>
      <c r="AE212" s="9">
        <v>4445100</v>
      </c>
      <c r="AF212" s="11">
        <v>66677</v>
      </c>
      <c r="AG212" s="9"/>
      <c r="AH212" s="9"/>
      <c r="AI212" s="9"/>
      <c r="AJ212" s="17" t="s">
        <v>12218</v>
      </c>
      <c r="AK212" s="11">
        <v>66677</v>
      </c>
      <c r="AL212" s="12"/>
      <c r="AM212" s="14">
        <f t="shared" si="3"/>
        <v>0</v>
      </c>
      <c r="AN212" s="12" t="s">
        <v>12004</v>
      </c>
    </row>
    <row r="213" spans="1:40" x14ac:dyDescent="0.25">
      <c r="A213" s="12">
        <v>877</v>
      </c>
      <c r="B213" s="18" t="s">
        <v>8030</v>
      </c>
      <c r="C213" s="12" t="s">
        <v>10444</v>
      </c>
      <c r="D213" s="12" t="s">
        <v>37</v>
      </c>
      <c r="E213" s="12" t="s">
        <v>3203</v>
      </c>
      <c r="F213" s="12" t="s">
        <v>107</v>
      </c>
      <c r="G213" s="12" t="s">
        <v>10445</v>
      </c>
      <c r="H213" s="12" t="s">
        <v>48</v>
      </c>
      <c r="I213" s="12" t="s">
        <v>10446</v>
      </c>
      <c r="J213" s="12" t="s">
        <v>48</v>
      </c>
      <c r="K213" s="12" t="s">
        <v>10447</v>
      </c>
      <c r="L213" s="12">
        <v>2321330</v>
      </c>
      <c r="M213" s="12">
        <v>4939000</v>
      </c>
      <c r="N213" s="12" t="s">
        <v>10448</v>
      </c>
      <c r="O213" s="12" t="s">
        <v>7295</v>
      </c>
      <c r="P213" s="12" t="s">
        <v>10449</v>
      </c>
      <c r="Q213" s="12" t="s">
        <v>10450</v>
      </c>
      <c r="R213" s="12" t="s">
        <v>47</v>
      </c>
      <c r="S213" s="12" t="s">
        <v>48</v>
      </c>
      <c r="T213" s="12" t="s">
        <v>495</v>
      </c>
      <c r="U213" s="12" t="s">
        <v>386</v>
      </c>
      <c r="V213" s="16">
        <v>45154</v>
      </c>
      <c r="W213" s="12" t="s">
        <v>6293</v>
      </c>
      <c r="X213" s="12" t="s">
        <v>6431</v>
      </c>
      <c r="Y213" s="12" t="s">
        <v>10451</v>
      </c>
      <c r="Z213" s="12">
        <v>3</v>
      </c>
      <c r="AA213" s="12" t="s">
        <v>55</v>
      </c>
      <c r="AB213" s="12" t="s">
        <v>10452</v>
      </c>
      <c r="AC213" s="12" t="s">
        <v>7141</v>
      </c>
      <c r="AD213" s="12" t="s">
        <v>58</v>
      </c>
      <c r="AE213" s="12">
        <v>4445100</v>
      </c>
      <c r="AF213" s="13">
        <v>88902</v>
      </c>
      <c r="AG213" s="12"/>
      <c r="AH213" s="12"/>
      <c r="AI213" s="12"/>
      <c r="AJ213" s="12" t="s">
        <v>12212</v>
      </c>
      <c r="AK213" s="11">
        <v>88902</v>
      </c>
      <c r="AL213" s="12"/>
      <c r="AM213" s="14">
        <f t="shared" si="3"/>
        <v>0</v>
      </c>
      <c r="AN213" s="12" t="s">
        <v>12004</v>
      </c>
    </row>
    <row r="214" spans="1:40" x14ac:dyDescent="0.25">
      <c r="A214" s="9">
        <v>878</v>
      </c>
      <c r="B214" s="18" t="s">
        <v>8030</v>
      </c>
      <c r="C214" s="9" t="s">
        <v>10453</v>
      </c>
      <c r="D214" s="9" t="s">
        <v>37</v>
      </c>
      <c r="E214" s="9" t="s">
        <v>10454</v>
      </c>
      <c r="F214" s="9" t="s">
        <v>107</v>
      </c>
      <c r="G214" s="9" t="s">
        <v>10455</v>
      </c>
      <c r="H214" s="9" t="s">
        <v>48</v>
      </c>
      <c r="I214" s="9" t="s">
        <v>10456</v>
      </c>
      <c r="J214" s="9" t="s">
        <v>48</v>
      </c>
      <c r="K214" s="9" t="s">
        <v>10457</v>
      </c>
      <c r="L214" s="9">
        <v>6297850</v>
      </c>
      <c r="M214" s="9">
        <v>9689000</v>
      </c>
      <c r="N214" s="9" t="s">
        <v>10458</v>
      </c>
      <c r="O214" s="10">
        <v>45624</v>
      </c>
      <c r="P214" s="9" t="s">
        <v>10459</v>
      </c>
      <c r="Q214" s="9" t="s">
        <v>10460</v>
      </c>
      <c r="R214" s="9" t="s">
        <v>47</v>
      </c>
      <c r="S214" s="9" t="s">
        <v>48</v>
      </c>
      <c r="T214" s="9" t="s">
        <v>1696</v>
      </c>
      <c r="U214" s="9" t="s">
        <v>50</v>
      </c>
      <c r="V214" s="9" t="s">
        <v>10461</v>
      </c>
      <c r="W214" s="9" t="s">
        <v>132</v>
      </c>
      <c r="X214" s="9" t="s">
        <v>133</v>
      </c>
      <c r="Y214" s="9" t="s">
        <v>10462</v>
      </c>
      <c r="Z214" s="9">
        <v>5</v>
      </c>
      <c r="AA214" s="9" t="s">
        <v>55</v>
      </c>
      <c r="AB214" s="9" t="s">
        <v>10463</v>
      </c>
      <c r="AC214" s="9" t="s">
        <v>3368</v>
      </c>
      <c r="AD214" s="9" t="s">
        <v>299</v>
      </c>
      <c r="AE214" s="9">
        <v>7751200</v>
      </c>
      <c r="AF214" s="11">
        <v>116268</v>
      </c>
      <c r="AG214" s="9"/>
      <c r="AH214" s="9"/>
      <c r="AI214" s="9"/>
      <c r="AJ214" s="9" t="s">
        <v>12213</v>
      </c>
      <c r="AK214" s="11">
        <v>116268</v>
      </c>
      <c r="AL214" s="12"/>
      <c r="AM214" s="14">
        <f t="shared" si="3"/>
        <v>0</v>
      </c>
      <c r="AN214" s="12" t="s">
        <v>12004</v>
      </c>
    </row>
    <row r="215" spans="1:40" x14ac:dyDescent="0.25">
      <c r="A215" s="12">
        <v>879</v>
      </c>
      <c r="B215" s="18" t="s">
        <v>8030</v>
      </c>
      <c r="C215" s="12" t="s">
        <v>10464</v>
      </c>
      <c r="D215" s="12" t="s">
        <v>37</v>
      </c>
      <c r="E215" s="12" t="s">
        <v>10465</v>
      </c>
      <c r="F215" s="12" t="s">
        <v>138</v>
      </c>
      <c r="G215" s="12" t="s">
        <v>10466</v>
      </c>
      <c r="H215" s="12" t="s">
        <v>10467</v>
      </c>
      <c r="I215" s="12" t="s">
        <v>10467</v>
      </c>
      <c r="J215" s="12" t="s">
        <v>10467</v>
      </c>
      <c r="K215" s="12" t="s">
        <v>10468</v>
      </c>
      <c r="L215" s="12">
        <v>1320200</v>
      </c>
      <c r="M215" s="12">
        <v>1886000</v>
      </c>
      <c r="N215" s="12" t="s">
        <v>10469</v>
      </c>
      <c r="O215" s="16">
        <v>45605</v>
      </c>
      <c r="P215" s="12" t="s">
        <v>10470</v>
      </c>
      <c r="Q215" s="12" t="s">
        <v>10471</v>
      </c>
      <c r="R215" s="12" t="s">
        <v>47</v>
      </c>
      <c r="S215" s="12" t="s">
        <v>48</v>
      </c>
      <c r="T215" s="12" t="s">
        <v>613</v>
      </c>
      <c r="U215" s="12" t="s">
        <v>148</v>
      </c>
      <c r="V215" s="12" t="s">
        <v>10472</v>
      </c>
      <c r="W215" s="12" t="s">
        <v>150</v>
      </c>
      <c r="X215" s="12" t="s">
        <v>10473</v>
      </c>
      <c r="Y215" s="12" t="s">
        <v>10474</v>
      </c>
      <c r="Z215" s="12">
        <v>7</v>
      </c>
      <c r="AA215" s="12" t="s">
        <v>118</v>
      </c>
      <c r="AB215" s="12" t="s">
        <v>10475</v>
      </c>
      <c r="AC215" s="12" t="s">
        <v>336</v>
      </c>
      <c r="AD215" s="12" t="s">
        <v>299</v>
      </c>
      <c r="AE215" s="12">
        <v>1603100</v>
      </c>
      <c r="AF215" s="13">
        <v>24047</v>
      </c>
      <c r="AG215" s="12"/>
      <c r="AH215" s="12"/>
      <c r="AI215" s="12"/>
      <c r="AJ215" s="12" t="s">
        <v>12214</v>
      </c>
      <c r="AK215" s="11">
        <v>24047</v>
      </c>
      <c r="AL215" s="12"/>
      <c r="AM215" s="14">
        <f t="shared" si="3"/>
        <v>0</v>
      </c>
      <c r="AN215" s="12" t="s">
        <v>12004</v>
      </c>
    </row>
    <row r="217" spans="1:40" x14ac:dyDescent="0.25">
      <c r="AF217" s="5">
        <f>SUBTOTAL(9,AF2:AF215)</f>
        <v>8327474</v>
      </c>
    </row>
  </sheetData>
  <autoFilter ref="A1:AN215" xr:uid="{EA8AF426-FDE2-4615-87BA-564CB4F9F01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21790-FC90-4D59-AB53-70F75734E5CC}">
  <dimension ref="A1:H216"/>
  <sheetViews>
    <sheetView tabSelected="1" topLeftCell="F1" workbookViewId="0">
      <selection activeCell="H2" sqref="H2:H215"/>
    </sheetView>
  </sheetViews>
  <sheetFormatPr defaultColWidth="9.28515625" defaultRowHeight="15" x14ac:dyDescent="0.25"/>
  <cols>
    <col min="1" max="1" width="42.28515625" bestFit="1" customWidth="1"/>
    <col min="2" max="2" width="14.28515625" bestFit="1" customWidth="1"/>
    <col min="3" max="4" width="10.5703125" bestFit="1" customWidth="1"/>
    <col min="5" max="5" width="14" bestFit="1" customWidth="1"/>
    <col min="6" max="6" width="100.5703125" customWidth="1"/>
    <col min="7" max="7" width="90.5703125" customWidth="1"/>
    <col min="8" max="8" width="82" customWidth="1"/>
  </cols>
  <sheetData>
    <row r="1" spans="1:8" x14ac:dyDescent="0.25">
      <c r="A1" s="22" t="s">
        <v>13294</v>
      </c>
      <c r="B1" t="s">
        <v>13295</v>
      </c>
      <c r="D1" s="23" t="s">
        <v>31</v>
      </c>
      <c r="E1" s="24" t="s">
        <v>13296</v>
      </c>
    </row>
    <row r="2" spans="1:8" ht="85.5" customHeight="1" x14ac:dyDescent="0.25">
      <c r="A2" s="9" t="s">
        <v>12005</v>
      </c>
      <c r="B2" s="25" t="str">
        <f>VLOOKUP(A2,policy1!B:C,2,0)</f>
        <v>070000162659</v>
      </c>
      <c r="C2" s="11">
        <v>25873</v>
      </c>
      <c r="D2" s="26">
        <f>ROUND(C2,0)</f>
        <v>25873</v>
      </c>
      <c r="E2" s="24" t="s">
        <v>13296</v>
      </c>
      <c r="F2" s="2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28" t="str">
        <f>"('"&amp;E2&amp;"','"&amp;B2&amp;"','"&amp;D2&amp;"',(select max(to_number(i.premium_rcv_detail_code))+1
from ins_premium_det i),'"&amp;D2&amp;"','"&amp;D2&amp;"','02', '11000003','00','Request by Mr. Saqib Saleem 31-Dec-2024 Hold');"</f>
        <v>('30Dec240042','070000162659','25873',(select max(to_number(i.premium_rcv_detail_code))+1
from ins_premium_det i),'25873','25873','02', '11000003','00','Request by Mr. Saqib Saleem 31-Dec-2024 Hold');</v>
      </c>
      <c r="H2" s="29" t="str">
        <f>F2&amp;G2</f>
        <v>insert into ins_premium_det (premium_rcv_code,assorted_code, rec_amount,premium_rcv_detail_code,remaining_amt, payrec, mode_code,coinsurance_code,class_cd,it_remarks) values('30Dec240042','070000162659','25873',(select max(to_number(i.premium_rcv_detail_code))+1
from ins_premium_det i),'25873','25873','02', '11000003','00','Request by Mr. Saqib Saleem 31-Dec-2024 Hold');</v>
      </c>
    </row>
    <row r="3" spans="1:8" ht="105" x14ac:dyDescent="0.25">
      <c r="A3" s="12" t="s">
        <v>12006</v>
      </c>
      <c r="B3" s="25" t="str">
        <f>VLOOKUP(A3,policy1!B:C,2,0)</f>
        <v>070000162660</v>
      </c>
      <c r="C3" s="13">
        <v>16721</v>
      </c>
      <c r="D3" s="26">
        <f t="shared" ref="D3:D66" si="1">ROUND(C3,0)</f>
        <v>16721</v>
      </c>
      <c r="E3" s="24" t="s">
        <v>13296</v>
      </c>
      <c r="F3" s="27" t="str">
        <f t="shared" si="0"/>
        <v>insert into ins_premium_det (premium_rcv_code,assorted_code, rec_amount,premium_rcv_detail_code,remaining_amt, payrec, mode_code,coinsurance_code,class_cd,it_remarks) values</v>
      </c>
      <c r="G3" s="28" t="str">
        <f t="shared" ref="G3:G66" si="2">"('"&amp;E3&amp;"','"&amp;B3&amp;"','"&amp;D3&amp;"',(select max(to_number(i.premium_rcv_detail_code))+1
from ins_premium_det i),'"&amp;D3&amp;"','"&amp;D3&amp;"','02', '11000003','00','Request by Mr. Saqib Saleem 31-Dec-2024 Hold');"</f>
        <v>('30Dec240042','070000162660','16721',(select max(to_number(i.premium_rcv_detail_code))+1
from ins_premium_det i),'16721','16721','02', '11000003','00','Request by Mr. Saqib Saleem 31-Dec-2024 Hold');</v>
      </c>
      <c r="H3" s="29" t="str">
        <f t="shared" ref="H3:H66" si="3">F3&amp;G3</f>
        <v>insert into ins_premium_det (premium_rcv_code,assorted_code, rec_amount,premium_rcv_detail_code,remaining_amt, payrec, mode_code,coinsurance_code,class_cd,it_remarks) values('30Dec240042','070000162660','16721',(select max(to_number(i.premium_rcv_detail_code))+1
from ins_premium_det i),'16721','16721','02', '11000003','00','Request by Mr. Saqib Saleem 31-Dec-2024 Hold');</v>
      </c>
    </row>
    <row r="4" spans="1:8" ht="105" x14ac:dyDescent="0.25">
      <c r="A4" s="9" t="s">
        <v>12007</v>
      </c>
      <c r="B4" s="25" t="str">
        <f>VLOOKUP(A4,policy1!B:C,2,0)</f>
        <v>070000168308</v>
      </c>
      <c r="C4" s="11">
        <v>52528</v>
      </c>
      <c r="D4" s="26">
        <f t="shared" si="1"/>
        <v>52528</v>
      </c>
      <c r="E4" s="24" t="s">
        <v>13296</v>
      </c>
      <c r="F4" s="27" t="str">
        <f t="shared" si="0"/>
        <v>insert into ins_premium_det (premium_rcv_code,assorted_code, rec_amount,premium_rcv_detail_code,remaining_amt, payrec, mode_code,coinsurance_code,class_cd,it_remarks) values</v>
      </c>
      <c r="G4" s="28" t="str">
        <f t="shared" si="2"/>
        <v>('30Dec240042','070000168308','52528',(select max(to_number(i.premium_rcv_detail_code))+1
from ins_premium_det i),'52528','52528','02', '11000003','00','Request by Mr. Saqib Saleem 31-Dec-2024 Hold');</v>
      </c>
      <c r="H4" s="29" t="str">
        <f t="shared" si="3"/>
        <v>insert into ins_premium_det (premium_rcv_code,assorted_code, rec_amount,premium_rcv_detail_code,remaining_amt, payrec, mode_code,coinsurance_code,class_cd,it_remarks) values('30Dec240042','070000168308','52528',(select max(to_number(i.premium_rcv_detail_code))+1
from ins_premium_det i),'52528','52528','02', '11000003','00','Request by Mr. Saqib Saleem 31-Dec-2024 Hold');</v>
      </c>
    </row>
    <row r="5" spans="1:8" ht="105" x14ac:dyDescent="0.25">
      <c r="A5" s="17" t="s">
        <v>12215</v>
      </c>
      <c r="B5" s="25" t="str">
        <f>VLOOKUP(A5,policy1!B:C,2,0)</f>
        <v>070000171861</v>
      </c>
      <c r="C5" s="13">
        <v>55920</v>
      </c>
      <c r="D5" s="26">
        <f t="shared" si="1"/>
        <v>55920</v>
      </c>
      <c r="E5" s="24" t="s">
        <v>13296</v>
      </c>
      <c r="F5" s="27" t="str">
        <f t="shared" si="0"/>
        <v>insert into ins_premium_det (premium_rcv_code,assorted_code, rec_amount,premium_rcv_detail_code,remaining_amt, payrec, mode_code,coinsurance_code,class_cd,it_remarks) values</v>
      </c>
      <c r="G5" s="28" t="str">
        <f t="shared" si="2"/>
        <v>('30Dec240042','070000171861','55920',(select max(to_number(i.premium_rcv_detail_code))+1
from ins_premium_det i),'55920','55920','02', '11000003','00','Request by Mr. Saqib Saleem 31-Dec-2024 Hold');</v>
      </c>
      <c r="H5" s="29" t="str">
        <f t="shared" si="3"/>
        <v>insert into ins_premium_det (premium_rcv_code,assorted_code, rec_amount,premium_rcv_detail_code,remaining_amt, payrec, mode_code,coinsurance_code,class_cd,it_remarks) values('30Dec240042','070000171861','55920',(select max(to_number(i.premium_rcv_detail_code))+1
from ins_premium_det i),'55920','55920','02', '11000003','00','Request by Mr. Saqib Saleem 31-Dec-2024 Hold');</v>
      </c>
    </row>
    <row r="6" spans="1:8" ht="105" x14ac:dyDescent="0.25">
      <c r="A6" s="9" t="s">
        <v>12008</v>
      </c>
      <c r="B6" s="25" t="str">
        <f>VLOOKUP(A6,policy1!B:C,2,0)</f>
        <v>070000171862</v>
      </c>
      <c r="C6" s="11">
        <v>30000</v>
      </c>
      <c r="D6" s="26">
        <f t="shared" si="1"/>
        <v>30000</v>
      </c>
      <c r="E6" s="24" t="s">
        <v>13296</v>
      </c>
      <c r="F6" s="27" t="str">
        <f t="shared" si="0"/>
        <v>insert into ins_premium_det (premium_rcv_code,assorted_code, rec_amount,premium_rcv_detail_code,remaining_amt, payrec, mode_code,coinsurance_code,class_cd,it_remarks) values</v>
      </c>
      <c r="G6" s="28" t="str">
        <f t="shared" si="2"/>
        <v>('30Dec240042','070000171862','30000',(select max(to_number(i.premium_rcv_detail_code))+1
from ins_premium_det i),'30000','30000','02', '11000003','00','Request by Mr. Saqib Saleem 31-Dec-2024 Hold');</v>
      </c>
      <c r="H6" s="29" t="str">
        <f t="shared" si="3"/>
        <v>insert into ins_premium_det (premium_rcv_code,assorted_code, rec_amount,premium_rcv_detail_code,remaining_amt, payrec, mode_code,coinsurance_code,class_cd,it_remarks) values('30Dec240042','070000171862','30000',(select max(to_number(i.premium_rcv_detail_code))+1
from ins_premium_det i),'30000','30000','02', '11000003','00','Request by Mr. Saqib Saleem 31-Dec-2024 Hold');</v>
      </c>
    </row>
    <row r="7" spans="1:8" ht="105" x14ac:dyDescent="0.25">
      <c r="A7" s="12" t="s">
        <v>12009</v>
      </c>
      <c r="B7" s="25" t="str">
        <f>VLOOKUP(A7,policy1!B:C,2,0)</f>
        <v>070000171863</v>
      </c>
      <c r="C7" s="13">
        <v>28050</v>
      </c>
      <c r="D7" s="26">
        <f t="shared" si="1"/>
        <v>28050</v>
      </c>
      <c r="E7" s="24" t="s">
        <v>13296</v>
      </c>
      <c r="F7" s="27" t="str">
        <f t="shared" si="0"/>
        <v>insert into ins_premium_det (premium_rcv_code,assorted_code, rec_amount,premium_rcv_detail_code,remaining_amt, payrec, mode_code,coinsurance_code,class_cd,it_remarks) values</v>
      </c>
      <c r="G7" s="28" t="str">
        <f t="shared" si="2"/>
        <v>('30Dec240042','070000171863','28050',(select max(to_number(i.premium_rcv_detail_code))+1
from ins_premium_det i),'28050','28050','02', '11000003','00','Request by Mr. Saqib Saleem 31-Dec-2024 Hold');</v>
      </c>
      <c r="H7" s="29" t="str">
        <f t="shared" si="3"/>
        <v>insert into ins_premium_det (premium_rcv_code,assorted_code, rec_amount,premium_rcv_detail_code,remaining_amt, payrec, mode_code,coinsurance_code,class_cd,it_remarks) values('30Dec240042','070000171863','28050',(select max(to_number(i.premium_rcv_detail_code))+1
from ins_premium_det i),'28050','28050','02', '11000003','00','Request by Mr. Saqib Saleem 31-Dec-2024 Hold');</v>
      </c>
    </row>
    <row r="8" spans="1:8" ht="105" x14ac:dyDescent="0.25">
      <c r="A8" s="9" t="s">
        <v>12010</v>
      </c>
      <c r="B8" s="25" t="str">
        <f>VLOOKUP(A8,policy1!B:C,2,0)</f>
        <v>070000171864</v>
      </c>
      <c r="C8" s="11">
        <v>53488</v>
      </c>
      <c r="D8" s="26">
        <f t="shared" si="1"/>
        <v>53488</v>
      </c>
      <c r="E8" s="24" t="s">
        <v>13296</v>
      </c>
      <c r="F8" s="27" t="str">
        <f t="shared" si="0"/>
        <v>insert into ins_premium_det (premium_rcv_code,assorted_code, rec_amount,premium_rcv_detail_code,remaining_amt, payrec, mode_code,coinsurance_code,class_cd,it_remarks) values</v>
      </c>
      <c r="G8" s="28" t="str">
        <f t="shared" si="2"/>
        <v>('30Dec240042','070000171864','53488',(select max(to_number(i.premium_rcv_detail_code))+1
from ins_premium_det i),'53488','53488','02', '11000003','00','Request by Mr. Saqib Saleem 31-Dec-2024 Hold');</v>
      </c>
      <c r="H8" s="29" t="str">
        <f t="shared" si="3"/>
        <v>insert into ins_premium_det (premium_rcv_code,assorted_code, rec_amount,premium_rcv_detail_code,remaining_amt, payrec, mode_code,coinsurance_code,class_cd,it_remarks) values('30Dec240042','070000171864','53488',(select max(to_number(i.premium_rcv_detail_code))+1
from ins_premium_det i),'53488','53488','02', '11000003','00','Request by Mr. Saqib Saleem 31-Dec-2024 Hold');</v>
      </c>
    </row>
    <row r="9" spans="1:8" ht="105" x14ac:dyDescent="0.25">
      <c r="A9" s="12" t="s">
        <v>12011</v>
      </c>
      <c r="B9" s="25" t="str">
        <f>VLOOKUP(A9,policy1!B:C,2,0)</f>
        <v>070000171865</v>
      </c>
      <c r="C9" s="13">
        <v>29925</v>
      </c>
      <c r="D9" s="26">
        <f t="shared" si="1"/>
        <v>29925</v>
      </c>
      <c r="E9" s="24" t="s">
        <v>13296</v>
      </c>
      <c r="F9" s="27" t="str">
        <f t="shared" si="0"/>
        <v>insert into ins_premium_det (premium_rcv_code,assorted_code, rec_amount,premium_rcv_detail_code,remaining_amt, payrec, mode_code,coinsurance_code,class_cd,it_remarks) values</v>
      </c>
      <c r="G9" s="28" t="str">
        <f t="shared" si="2"/>
        <v>('30Dec240042','070000171865','29925',(select max(to_number(i.premium_rcv_detail_code))+1
from ins_premium_det i),'29925','29925','02', '11000003','00','Request by Mr. Saqib Saleem 31-Dec-2024 Hold');</v>
      </c>
      <c r="H9" s="29" t="str">
        <f t="shared" si="3"/>
        <v>insert into ins_premium_det (premium_rcv_code,assorted_code, rec_amount,premium_rcv_detail_code,remaining_amt, payrec, mode_code,coinsurance_code,class_cd,it_remarks) values('30Dec240042','070000171865','29925',(select max(to_number(i.premium_rcv_detail_code))+1
from ins_premium_det i),'29925','29925','02', '11000003','00','Request by Mr. Saqib Saleem 31-Dec-2024 Hold');</v>
      </c>
    </row>
    <row r="10" spans="1:8" ht="105" x14ac:dyDescent="0.25">
      <c r="A10" s="9" t="s">
        <v>12012</v>
      </c>
      <c r="B10" s="25" t="str">
        <f>VLOOKUP(A10,policy1!B:C,2,0)</f>
        <v>070000171868</v>
      </c>
      <c r="C10" s="11">
        <v>26775</v>
      </c>
      <c r="D10" s="26">
        <f t="shared" si="1"/>
        <v>26775</v>
      </c>
      <c r="E10" s="24" t="s">
        <v>13296</v>
      </c>
      <c r="F10" s="27" t="str">
        <f t="shared" si="0"/>
        <v>insert into ins_premium_det (premium_rcv_code,assorted_code, rec_amount,premium_rcv_detail_code,remaining_amt, payrec, mode_code,coinsurance_code,class_cd,it_remarks) values</v>
      </c>
      <c r="G10" s="28" t="str">
        <f t="shared" si="2"/>
        <v>('30Dec240042','070000171868','26775',(select max(to_number(i.premium_rcv_detail_code))+1
from ins_premium_det i),'26775','26775','02', '11000003','00','Request by Mr. Saqib Saleem 31-Dec-2024 Hold');</v>
      </c>
      <c r="H10" s="29" t="str">
        <f t="shared" si="3"/>
        <v>insert into ins_premium_det (premium_rcv_code,assorted_code, rec_amount,premium_rcv_detail_code,remaining_amt, payrec, mode_code,coinsurance_code,class_cd,it_remarks) values('30Dec240042','070000171868','26775',(select max(to_number(i.premium_rcv_detail_code))+1
from ins_premium_det i),'26775','26775','02', '11000003','00','Request by Mr. Saqib Saleem 31-Dec-2024 Hold');</v>
      </c>
    </row>
    <row r="11" spans="1:8" ht="105" x14ac:dyDescent="0.25">
      <c r="A11" s="12" t="s">
        <v>12013</v>
      </c>
      <c r="B11" s="25" t="str">
        <f>VLOOKUP(A11,policy1!B:C,2,0)</f>
        <v>070000171874</v>
      </c>
      <c r="C11" s="13">
        <v>56820</v>
      </c>
      <c r="D11" s="26">
        <f t="shared" si="1"/>
        <v>56820</v>
      </c>
      <c r="E11" s="24" t="s">
        <v>13296</v>
      </c>
      <c r="F11" s="27" t="str">
        <f t="shared" si="0"/>
        <v>insert into ins_premium_det (premium_rcv_code,assorted_code, rec_amount,premium_rcv_detail_code,remaining_amt, payrec, mode_code,coinsurance_code,class_cd,it_remarks) values</v>
      </c>
      <c r="G11" s="28" t="str">
        <f t="shared" si="2"/>
        <v>('30Dec240042','070000171874','56820',(select max(to_number(i.premium_rcv_detail_code))+1
from ins_premium_det i),'56820','56820','02', '11000003','00','Request by Mr. Saqib Saleem 31-Dec-2024 Hold');</v>
      </c>
      <c r="H11" s="29" t="str">
        <f t="shared" si="3"/>
        <v>insert into ins_premium_det (premium_rcv_code,assorted_code, rec_amount,premium_rcv_detail_code,remaining_amt, payrec, mode_code,coinsurance_code,class_cd,it_remarks) values('30Dec240042','070000171874','56820',(select max(to_number(i.premium_rcv_detail_code))+1
from ins_premium_det i),'56820','56820','02', '11000003','00','Request by Mr. Saqib Saleem 31-Dec-2024 Hold');</v>
      </c>
    </row>
    <row r="12" spans="1:8" ht="105" x14ac:dyDescent="0.25">
      <c r="A12" s="9" t="s">
        <v>12014</v>
      </c>
      <c r="B12" s="25" t="str">
        <f>VLOOKUP(A12,policy1!B:C,2,0)</f>
        <v>070000171878</v>
      </c>
      <c r="C12" s="11">
        <v>36975</v>
      </c>
      <c r="D12" s="26">
        <f t="shared" si="1"/>
        <v>36975</v>
      </c>
      <c r="E12" s="24" t="s">
        <v>13296</v>
      </c>
      <c r="F12" s="27" t="str">
        <f t="shared" si="0"/>
        <v>insert into ins_premium_det (premium_rcv_code,assorted_code, rec_amount,premium_rcv_detail_code,remaining_amt, payrec, mode_code,coinsurance_code,class_cd,it_remarks) values</v>
      </c>
      <c r="G12" s="28" t="str">
        <f t="shared" si="2"/>
        <v>('30Dec240042','070000171878','36975',(select max(to_number(i.premium_rcv_detail_code))+1
from ins_premium_det i),'36975','36975','02', '11000003','00','Request by Mr. Saqib Saleem 31-Dec-2024 Hold');</v>
      </c>
      <c r="H12" s="29" t="str">
        <f t="shared" si="3"/>
        <v>insert into ins_premium_det (premium_rcv_code,assorted_code, rec_amount,premium_rcv_detail_code,remaining_amt, payrec, mode_code,coinsurance_code,class_cd,it_remarks) values('30Dec240042','070000171878','36975',(select max(to_number(i.premium_rcv_detail_code))+1
from ins_premium_det i),'36975','36975','02', '11000003','00','Request by Mr. Saqib Saleem 31-Dec-2024 Hold');</v>
      </c>
    </row>
    <row r="13" spans="1:8" ht="105" x14ac:dyDescent="0.25">
      <c r="A13" s="12" t="s">
        <v>12015</v>
      </c>
      <c r="B13" s="25" t="str">
        <f>VLOOKUP(A13,policy1!B:C,2,0)</f>
        <v>070000171880</v>
      </c>
      <c r="C13" s="13">
        <v>26400</v>
      </c>
      <c r="D13" s="26">
        <f t="shared" si="1"/>
        <v>26400</v>
      </c>
      <c r="E13" s="24" t="s">
        <v>13296</v>
      </c>
      <c r="F13" s="27" t="str">
        <f t="shared" si="0"/>
        <v>insert into ins_premium_det (premium_rcv_code,assorted_code, rec_amount,premium_rcv_detail_code,remaining_amt, payrec, mode_code,coinsurance_code,class_cd,it_remarks) values</v>
      </c>
      <c r="G13" s="28" t="str">
        <f t="shared" si="2"/>
        <v>('30Dec240042','070000171880','26400',(select max(to_number(i.premium_rcv_detail_code))+1
from ins_premium_det i),'26400','26400','02', '11000003','00','Request by Mr. Saqib Saleem 31-Dec-2024 Hold');</v>
      </c>
      <c r="H13" s="29" t="str">
        <f t="shared" si="3"/>
        <v>insert into ins_premium_det (premium_rcv_code,assorted_code, rec_amount,premium_rcv_detail_code,remaining_amt, payrec, mode_code,coinsurance_code,class_cd,it_remarks) values('30Dec240042','070000171880','26400',(select max(to_number(i.premium_rcv_detail_code))+1
from ins_premium_det i),'26400','26400','02', '11000003','00','Request by Mr. Saqib Saleem 31-Dec-2024 Hold');</v>
      </c>
    </row>
    <row r="14" spans="1:8" ht="105" x14ac:dyDescent="0.25">
      <c r="A14" s="9" t="s">
        <v>12016</v>
      </c>
      <c r="B14" s="25" t="str">
        <f>VLOOKUP(A14,policy1!B:C,2,0)</f>
        <v>070000171881</v>
      </c>
      <c r="C14" s="11">
        <v>16320</v>
      </c>
      <c r="D14" s="26">
        <f t="shared" si="1"/>
        <v>16320</v>
      </c>
      <c r="E14" s="24" t="s">
        <v>13296</v>
      </c>
      <c r="F14" s="27" t="str">
        <f t="shared" si="0"/>
        <v>insert into ins_premium_det (premium_rcv_code,assorted_code, rec_amount,premium_rcv_detail_code,remaining_amt, payrec, mode_code,coinsurance_code,class_cd,it_remarks) values</v>
      </c>
      <c r="G14" s="28" t="str">
        <f t="shared" si="2"/>
        <v>('30Dec240042','070000171881','16320',(select max(to_number(i.premium_rcv_detail_code))+1
from ins_premium_det i),'16320','16320','02', '11000003','00','Request by Mr. Saqib Saleem 31-Dec-2024 Hold');</v>
      </c>
      <c r="H14" s="29" t="str">
        <f t="shared" si="3"/>
        <v>insert into ins_premium_det (premium_rcv_code,assorted_code, rec_amount,premium_rcv_detail_code,remaining_amt, payrec, mode_code,coinsurance_code,class_cd,it_remarks) values('30Dec240042','070000171881','16320',(select max(to_number(i.premium_rcv_detail_code))+1
from ins_premium_det i),'16320','16320','02', '11000003','00','Request by Mr. Saqib Saleem 31-Dec-2024 Hold');</v>
      </c>
    </row>
    <row r="15" spans="1:8" ht="105" x14ac:dyDescent="0.25">
      <c r="A15" s="12" t="s">
        <v>12017</v>
      </c>
      <c r="B15" s="25" t="str">
        <f>VLOOKUP(A15,policy1!B:C,2,0)</f>
        <v>070000171883</v>
      </c>
      <c r="C15" s="13">
        <v>89885</v>
      </c>
      <c r="D15" s="26">
        <f t="shared" si="1"/>
        <v>89885</v>
      </c>
      <c r="E15" s="24" t="s">
        <v>13296</v>
      </c>
      <c r="F15" s="27" t="str">
        <f t="shared" si="0"/>
        <v>insert into ins_premium_det (premium_rcv_code,assorted_code, rec_amount,premium_rcv_detail_code,remaining_amt, payrec, mode_code,coinsurance_code,class_cd,it_remarks) values</v>
      </c>
      <c r="G15" s="28" t="str">
        <f t="shared" si="2"/>
        <v>('30Dec240042','070000171883','89885',(select max(to_number(i.premium_rcv_detail_code))+1
from ins_premium_det i),'89885','89885','02', '11000003','00','Request by Mr. Saqib Saleem 31-Dec-2024 Hold');</v>
      </c>
      <c r="H15" s="29" t="str">
        <f t="shared" si="3"/>
        <v>insert into ins_premium_det (premium_rcv_code,assorted_code, rec_amount,premium_rcv_detail_code,remaining_amt, payrec, mode_code,coinsurance_code,class_cd,it_remarks) values('30Dec240042','070000171883','89885',(select max(to_number(i.premium_rcv_detail_code))+1
from ins_premium_det i),'89885','89885','02', '11000003','00','Request by Mr. Saqib Saleem 31-Dec-2024 Hold');</v>
      </c>
    </row>
    <row r="16" spans="1:8" ht="105" x14ac:dyDescent="0.25">
      <c r="A16" s="9" t="s">
        <v>12018</v>
      </c>
      <c r="B16" s="25" t="str">
        <f>VLOOKUP(A16,policy1!B:C,2,0)</f>
        <v>070000171891</v>
      </c>
      <c r="C16" s="11">
        <v>34650</v>
      </c>
      <c r="D16" s="26">
        <f t="shared" si="1"/>
        <v>34650</v>
      </c>
      <c r="E16" s="24" t="s">
        <v>13296</v>
      </c>
      <c r="F16" s="27" t="str">
        <f t="shared" si="0"/>
        <v>insert into ins_premium_det (premium_rcv_code,assorted_code, rec_amount,premium_rcv_detail_code,remaining_amt, payrec, mode_code,coinsurance_code,class_cd,it_remarks) values</v>
      </c>
      <c r="G16" s="28" t="str">
        <f t="shared" si="2"/>
        <v>('30Dec240042','070000171891','34650',(select max(to_number(i.premium_rcv_detail_code))+1
from ins_premium_det i),'34650','34650','02', '11000003','00','Request by Mr. Saqib Saleem 31-Dec-2024 Hold');</v>
      </c>
      <c r="H16" s="29" t="str">
        <f t="shared" si="3"/>
        <v>insert into ins_premium_det (premium_rcv_code,assorted_code, rec_amount,premium_rcv_detail_code,remaining_amt, payrec, mode_code,coinsurance_code,class_cd,it_remarks) values('30Dec240042','070000171891','34650',(select max(to_number(i.premium_rcv_detail_code))+1
from ins_premium_det i),'34650','34650','02', '11000003','00','Request by Mr. Saqib Saleem 31-Dec-2024 Hold');</v>
      </c>
    </row>
    <row r="17" spans="1:8" ht="105" x14ac:dyDescent="0.25">
      <c r="A17" s="12" t="s">
        <v>12019</v>
      </c>
      <c r="B17" s="25" t="str">
        <f>VLOOKUP(A17,policy1!B:C,2,0)</f>
        <v>070000171893</v>
      </c>
      <c r="C17" s="13">
        <v>37800</v>
      </c>
      <c r="D17" s="26">
        <f t="shared" si="1"/>
        <v>37800</v>
      </c>
      <c r="E17" s="24" t="s">
        <v>13296</v>
      </c>
      <c r="F17" s="27" t="str">
        <f t="shared" si="0"/>
        <v>insert into ins_premium_det (premium_rcv_code,assorted_code, rec_amount,premium_rcv_detail_code,remaining_amt, payrec, mode_code,coinsurance_code,class_cd,it_remarks) values</v>
      </c>
      <c r="G17" s="28" t="str">
        <f t="shared" si="2"/>
        <v>('30Dec240042','070000171893','37800',(select max(to_number(i.premium_rcv_detail_code))+1
from ins_premium_det i),'37800','37800','02', '11000003','00','Request by Mr. Saqib Saleem 31-Dec-2024 Hold');</v>
      </c>
      <c r="H17" s="29" t="str">
        <f t="shared" si="3"/>
        <v>insert into ins_premium_det (premium_rcv_code,assorted_code, rec_amount,premium_rcv_detail_code,remaining_amt, payrec, mode_code,coinsurance_code,class_cd,it_remarks) values('30Dec240042','070000171893','37800',(select max(to_number(i.premium_rcv_detail_code))+1
from ins_premium_det i),'37800','37800','02', '11000003','00','Request by Mr. Saqib Saleem 31-Dec-2024 Hold');</v>
      </c>
    </row>
    <row r="18" spans="1:8" ht="105" x14ac:dyDescent="0.25">
      <c r="A18" s="9" t="s">
        <v>12020</v>
      </c>
      <c r="B18" s="25" t="str">
        <f>VLOOKUP(A18,policy1!B:C,2,0)</f>
        <v>070000171895</v>
      </c>
      <c r="C18" s="11">
        <v>50936</v>
      </c>
      <c r="D18" s="26">
        <f t="shared" si="1"/>
        <v>50936</v>
      </c>
      <c r="E18" s="24" t="s">
        <v>13296</v>
      </c>
      <c r="F18" s="27" t="str">
        <f t="shared" si="0"/>
        <v>insert into ins_premium_det (premium_rcv_code,assorted_code, rec_amount,premium_rcv_detail_code,remaining_amt, payrec, mode_code,coinsurance_code,class_cd,it_remarks) values</v>
      </c>
      <c r="G18" s="28" t="str">
        <f t="shared" si="2"/>
        <v>('30Dec240042','070000171895','50936',(select max(to_number(i.premium_rcv_detail_code))+1
from ins_premium_det i),'50936','50936','02', '11000003','00','Request by Mr. Saqib Saleem 31-Dec-2024 Hold');</v>
      </c>
      <c r="H18" s="29" t="str">
        <f t="shared" si="3"/>
        <v>insert into ins_premium_det (premium_rcv_code,assorted_code, rec_amount,premium_rcv_detail_code,remaining_amt, payrec, mode_code,coinsurance_code,class_cd,it_remarks) values('30Dec240042','070000171895','50936',(select max(to_number(i.premium_rcv_detail_code))+1
from ins_premium_det i),'50936','50936','02', '11000003','00','Request by Mr. Saqib Saleem 31-Dec-2024 Hold');</v>
      </c>
    </row>
    <row r="19" spans="1:8" ht="105" x14ac:dyDescent="0.25">
      <c r="A19" s="12" t="s">
        <v>12021</v>
      </c>
      <c r="B19" s="25" t="str">
        <f>VLOOKUP(A19,policy1!B:C,2,0)</f>
        <v>070000171896</v>
      </c>
      <c r="C19" s="13">
        <v>63000</v>
      </c>
      <c r="D19" s="26">
        <f t="shared" si="1"/>
        <v>63000</v>
      </c>
      <c r="E19" s="24" t="s">
        <v>13296</v>
      </c>
      <c r="F19" s="27" t="str">
        <f t="shared" si="0"/>
        <v>insert into ins_premium_det (premium_rcv_code,assorted_code, rec_amount,premium_rcv_detail_code,remaining_amt, payrec, mode_code,coinsurance_code,class_cd,it_remarks) values</v>
      </c>
      <c r="G19" s="28" t="str">
        <f t="shared" si="2"/>
        <v>('30Dec240042','070000171896','63000',(select max(to_number(i.premium_rcv_detail_code))+1
from ins_premium_det i),'63000','63000','02', '11000003','00','Request by Mr. Saqib Saleem 31-Dec-2024 Hold');</v>
      </c>
      <c r="H19" s="29" t="str">
        <f t="shared" si="3"/>
        <v>insert into ins_premium_det (premium_rcv_code,assorted_code, rec_amount,premium_rcv_detail_code,remaining_amt, payrec, mode_code,coinsurance_code,class_cd,it_remarks) values('30Dec240042','070000171896','63000',(select max(to_number(i.premium_rcv_detail_code))+1
from ins_premium_det i),'63000','63000','02', '11000003','00','Request by Mr. Saqib Saleem 31-Dec-2024 Hold');</v>
      </c>
    </row>
    <row r="20" spans="1:8" ht="105" x14ac:dyDescent="0.25">
      <c r="A20" s="9" t="s">
        <v>12022</v>
      </c>
      <c r="B20" s="25" t="str">
        <f>VLOOKUP(A20,policy1!B:C,2,0)</f>
        <v>070000171897</v>
      </c>
      <c r="C20" s="11">
        <v>34425</v>
      </c>
      <c r="D20" s="26">
        <f t="shared" si="1"/>
        <v>34425</v>
      </c>
      <c r="E20" s="24" t="s">
        <v>13296</v>
      </c>
      <c r="F20" s="27" t="str">
        <f t="shared" si="0"/>
        <v>insert into ins_premium_det (premium_rcv_code,assorted_code, rec_amount,premium_rcv_detail_code,remaining_amt, payrec, mode_code,coinsurance_code,class_cd,it_remarks) values</v>
      </c>
      <c r="G20" s="28" t="str">
        <f t="shared" si="2"/>
        <v>('30Dec240042','070000171897','34425',(select max(to_number(i.premium_rcv_detail_code))+1
from ins_premium_det i),'34425','34425','02', '11000003','00','Request by Mr. Saqib Saleem 31-Dec-2024 Hold');</v>
      </c>
      <c r="H20" s="29" t="str">
        <f t="shared" si="3"/>
        <v>insert into ins_premium_det (premium_rcv_code,assorted_code, rec_amount,premium_rcv_detail_code,remaining_amt, payrec, mode_code,coinsurance_code,class_cd,it_remarks) values('30Dec240042','070000171897','34425',(select max(to_number(i.premium_rcv_detail_code))+1
from ins_premium_det i),'34425','34425','02', '11000003','00','Request by Mr. Saqib Saleem 31-Dec-2024 Hold');</v>
      </c>
    </row>
    <row r="21" spans="1:8" ht="105" x14ac:dyDescent="0.25">
      <c r="A21" s="12" t="s">
        <v>12023</v>
      </c>
      <c r="B21" s="25" t="str">
        <f>VLOOKUP(A21,policy1!B:C,2,0)</f>
        <v>070000171898</v>
      </c>
      <c r="C21" s="13">
        <v>71550</v>
      </c>
      <c r="D21" s="26">
        <f t="shared" si="1"/>
        <v>71550</v>
      </c>
      <c r="E21" s="24" t="s">
        <v>13296</v>
      </c>
      <c r="F21" s="27" t="str">
        <f t="shared" si="0"/>
        <v>insert into ins_premium_det (premium_rcv_code,assorted_code, rec_amount,premium_rcv_detail_code,remaining_amt, payrec, mode_code,coinsurance_code,class_cd,it_remarks) values</v>
      </c>
      <c r="G21" s="28" t="str">
        <f t="shared" si="2"/>
        <v>('30Dec240042','070000171898','71550',(select max(to_number(i.premium_rcv_detail_code))+1
from ins_premium_det i),'71550','71550','02', '11000003','00','Request by Mr. Saqib Saleem 31-Dec-2024 Hold');</v>
      </c>
      <c r="H21" s="29" t="str">
        <f t="shared" si="3"/>
        <v>insert into ins_premium_det (premium_rcv_code,assorted_code, rec_amount,premium_rcv_detail_code,remaining_amt, payrec, mode_code,coinsurance_code,class_cd,it_remarks) values('30Dec240042','070000171898','71550',(select max(to_number(i.premium_rcv_detail_code))+1
from ins_premium_det i),'71550','71550','02', '11000003','00','Request by Mr. Saqib Saleem 31-Dec-2024 Hold');</v>
      </c>
    </row>
    <row r="22" spans="1:8" ht="105" x14ac:dyDescent="0.25">
      <c r="A22" s="9" t="s">
        <v>12024</v>
      </c>
      <c r="B22" s="25" t="str">
        <f>VLOOKUP(A22,policy1!B:C,2,0)</f>
        <v>070000171899</v>
      </c>
      <c r="C22" s="11">
        <v>54188</v>
      </c>
      <c r="D22" s="26">
        <f t="shared" si="1"/>
        <v>54188</v>
      </c>
      <c r="E22" s="24" t="s">
        <v>13296</v>
      </c>
      <c r="F22" s="27" t="str">
        <f t="shared" si="0"/>
        <v>insert into ins_premium_det (premium_rcv_code,assorted_code, rec_amount,premium_rcv_detail_code,remaining_amt, payrec, mode_code,coinsurance_code,class_cd,it_remarks) values</v>
      </c>
      <c r="G22" s="28" t="str">
        <f t="shared" si="2"/>
        <v>('30Dec240042','070000171899','54188',(select max(to_number(i.premium_rcv_detail_code))+1
from ins_premium_det i),'54188','54188','02', '11000003','00','Request by Mr. Saqib Saleem 31-Dec-2024 Hold');</v>
      </c>
      <c r="H22" s="29" t="str">
        <f t="shared" si="3"/>
        <v>insert into ins_premium_det (premium_rcv_code,assorted_code, rec_amount,premium_rcv_detail_code,remaining_amt, payrec, mode_code,coinsurance_code,class_cd,it_remarks) values('30Dec240042','070000171899','54188',(select max(to_number(i.premium_rcv_detail_code))+1
from ins_premium_det i),'54188','54188','02', '11000003','00','Request by Mr. Saqib Saleem 31-Dec-2024 Hold');</v>
      </c>
    </row>
    <row r="23" spans="1:8" ht="105" x14ac:dyDescent="0.25">
      <c r="A23" s="12" t="s">
        <v>12025</v>
      </c>
      <c r="B23" s="25" t="str">
        <f>VLOOKUP(A23,policy1!B:C,2,0)</f>
        <v>070000171900</v>
      </c>
      <c r="C23" s="13">
        <v>68204</v>
      </c>
      <c r="D23" s="26">
        <f t="shared" si="1"/>
        <v>68204</v>
      </c>
      <c r="E23" s="24" t="s">
        <v>13296</v>
      </c>
      <c r="F23" s="27" t="str">
        <f t="shared" si="0"/>
        <v>insert into ins_premium_det (premium_rcv_code,assorted_code, rec_amount,premium_rcv_detail_code,remaining_amt, payrec, mode_code,coinsurance_code,class_cd,it_remarks) values</v>
      </c>
      <c r="G23" s="28" t="str">
        <f t="shared" si="2"/>
        <v>('30Dec240042','070000171900','68204',(select max(to_number(i.premium_rcv_detail_code))+1
from ins_premium_det i),'68204','68204','02', '11000003','00','Request by Mr. Saqib Saleem 31-Dec-2024 Hold');</v>
      </c>
      <c r="H23" s="29" t="str">
        <f t="shared" si="3"/>
        <v>insert into ins_premium_det (premium_rcv_code,assorted_code, rec_amount,premium_rcv_detail_code,remaining_amt, payrec, mode_code,coinsurance_code,class_cd,it_remarks) values('30Dec240042','070000171900','68204',(select max(to_number(i.premium_rcv_detail_code))+1
from ins_premium_det i),'68204','68204','02', '11000003','00','Request by Mr. Saqib Saleem 31-Dec-2024 Hold');</v>
      </c>
    </row>
    <row r="24" spans="1:8" ht="105" x14ac:dyDescent="0.25">
      <c r="A24" s="9" t="s">
        <v>12026</v>
      </c>
      <c r="B24" s="25" t="str">
        <f>VLOOKUP(A24,policy1!B:C,2,0)</f>
        <v>070000171901</v>
      </c>
      <c r="C24" s="11">
        <v>43350</v>
      </c>
      <c r="D24" s="26">
        <f t="shared" si="1"/>
        <v>43350</v>
      </c>
      <c r="E24" s="24" t="s">
        <v>13296</v>
      </c>
      <c r="F24" s="27" t="str">
        <f t="shared" si="0"/>
        <v>insert into ins_premium_det (premium_rcv_code,assorted_code, rec_amount,premium_rcv_detail_code,remaining_amt, payrec, mode_code,coinsurance_code,class_cd,it_remarks) values</v>
      </c>
      <c r="G24" s="28" t="str">
        <f t="shared" si="2"/>
        <v>('30Dec240042','070000171901','43350',(select max(to_number(i.premium_rcv_detail_code))+1
from ins_premium_det i),'43350','43350','02', '11000003','00','Request by Mr. Saqib Saleem 31-Dec-2024 Hold');</v>
      </c>
      <c r="H24" s="29" t="str">
        <f t="shared" si="3"/>
        <v>insert into ins_premium_det (premium_rcv_code,assorted_code, rec_amount,premium_rcv_detail_code,remaining_amt, payrec, mode_code,coinsurance_code,class_cd,it_remarks) values('30Dec240042','070000171901','43350',(select max(to_number(i.premium_rcv_detail_code))+1
from ins_premium_det i),'43350','43350','02', '11000003','00','Request by Mr. Saqib Saleem 31-Dec-2024 Hold');</v>
      </c>
    </row>
    <row r="25" spans="1:8" ht="105" x14ac:dyDescent="0.25">
      <c r="A25" s="12" t="s">
        <v>12027</v>
      </c>
      <c r="B25" s="25" t="str">
        <f>VLOOKUP(A25,policy1!B:C,2,0)</f>
        <v>070000171902</v>
      </c>
      <c r="C25" s="13">
        <v>38250</v>
      </c>
      <c r="D25" s="26">
        <f t="shared" si="1"/>
        <v>38250</v>
      </c>
      <c r="E25" s="24" t="s">
        <v>13296</v>
      </c>
      <c r="F25" s="27" t="str">
        <f t="shared" si="0"/>
        <v>insert into ins_premium_det (premium_rcv_code,assorted_code, rec_amount,premium_rcv_detail_code,remaining_amt, payrec, mode_code,coinsurance_code,class_cd,it_remarks) values</v>
      </c>
      <c r="G25" s="28" t="str">
        <f t="shared" si="2"/>
        <v>('30Dec240042','070000171902','38250',(select max(to_number(i.premium_rcv_detail_code))+1
from ins_premium_det i),'38250','38250','02', '11000003','00','Request by Mr. Saqib Saleem 31-Dec-2024 Hold');</v>
      </c>
      <c r="H25" s="29" t="str">
        <f t="shared" si="3"/>
        <v>insert into ins_premium_det (premium_rcv_code,assorted_code, rec_amount,premium_rcv_detail_code,remaining_amt, payrec, mode_code,coinsurance_code,class_cd,it_remarks) values('30Dec240042','070000171902','38250',(select max(to_number(i.premium_rcv_detail_code))+1
from ins_premium_det i),'38250','38250','02', '11000003','00','Request by Mr. Saqib Saleem 31-Dec-2024 Hold');</v>
      </c>
    </row>
    <row r="26" spans="1:8" ht="105" x14ac:dyDescent="0.25">
      <c r="A26" s="9" t="s">
        <v>12028</v>
      </c>
      <c r="B26" s="25" t="str">
        <f>VLOOKUP(A26,policy1!B:C,2,0)</f>
        <v>070000171903</v>
      </c>
      <c r="C26" s="11">
        <v>49861</v>
      </c>
      <c r="D26" s="26">
        <f t="shared" si="1"/>
        <v>49861</v>
      </c>
      <c r="E26" s="24" t="s">
        <v>13296</v>
      </c>
      <c r="F26" s="27" t="str">
        <f t="shared" si="0"/>
        <v>insert into ins_premium_det (premium_rcv_code,assorted_code, rec_amount,premium_rcv_detail_code,remaining_amt, payrec, mode_code,coinsurance_code,class_cd,it_remarks) values</v>
      </c>
      <c r="G26" s="28" t="str">
        <f t="shared" si="2"/>
        <v>('30Dec240042','070000171903','49861',(select max(to_number(i.premium_rcv_detail_code))+1
from ins_premium_det i),'49861','49861','02', '11000003','00','Request by Mr. Saqib Saleem 31-Dec-2024 Hold');</v>
      </c>
      <c r="H26" s="29" t="str">
        <f t="shared" si="3"/>
        <v>insert into ins_premium_det (premium_rcv_code,assorted_code, rec_amount,premium_rcv_detail_code,remaining_amt, payrec, mode_code,coinsurance_code,class_cd,it_remarks) values('30Dec240042','070000171903','49861',(select max(to_number(i.premium_rcv_detail_code))+1
from ins_premium_det i),'49861','49861','02', '11000003','00','Request by Mr. Saqib Saleem 31-Dec-2024 Hold');</v>
      </c>
    </row>
    <row r="27" spans="1:8" ht="105" x14ac:dyDescent="0.25">
      <c r="A27" s="12" t="s">
        <v>12029</v>
      </c>
      <c r="B27" s="25" t="str">
        <f>VLOOKUP(A27,policy1!B:C,2,0)</f>
        <v>070000171905</v>
      </c>
      <c r="C27" s="13">
        <v>36720</v>
      </c>
      <c r="D27" s="26">
        <f t="shared" si="1"/>
        <v>36720</v>
      </c>
      <c r="E27" s="24" t="s">
        <v>13296</v>
      </c>
      <c r="F27" s="27" t="str">
        <f t="shared" si="0"/>
        <v>insert into ins_premium_det (premium_rcv_code,assorted_code, rec_amount,premium_rcv_detail_code,remaining_amt, payrec, mode_code,coinsurance_code,class_cd,it_remarks) values</v>
      </c>
      <c r="G27" s="28" t="str">
        <f t="shared" si="2"/>
        <v>('30Dec240042','070000171905','36720',(select max(to_number(i.premium_rcv_detail_code))+1
from ins_premium_det i),'36720','36720','02', '11000003','00','Request by Mr. Saqib Saleem 31-Dec-2024 Hold');</v>
      </c>
      <c r="H27" s="29" t="str">
        <f t="shared" si="3"/>
        <v>insert into ins_premium_det (premium_rcv_code,assorted_code, rec_amount,premium_rcv_detail_code,remaining_amt, payrec, mode_code,coinsurance_code,class_cd,it_remarks) values('30Dec240042','070000171905','36720',(select max(to_number(i.premium_rcv_detail_code))+1
from ins_premium_det i),'36720','36720','02', '11000003','00','Request by Mr. Saqib Saleem 31-Dec-2024 Hold');</v>
      </c>
    </row>
    <row r="28" spans="1:8" ht="105" x14ac:dyDescent="0.25">
      <c r="A28" s="9" t="s">
        <v>12030</v>
      </c>
      <c r="B28" s="25" t="str">
        <f>VLOOKUP(A28,policy1!B:C,2,0)</f>
        <v>070000171906</v>
      </c>
      <c r="C28" s="11">
        <v>42394</v>
      </c>
      <c r="D28" s="26">
        <f t="shared" si="1"/>
        <v>42394</v>
      </c>
      <c r="E28" s="24" t="s">
        <v>13296</v>
      </c>
      <c r="F28" s="27" t="str">
        <f t="shared" si="0"/>
        <v>insert into ins_premium_det (premium_rcv_code,assorted_code, rec_amount,premium_rcv_detail_code,remaining_amt, payrec, mode_code,coinsurance_code,class_cd,it_remarks) values</v>
      </c>
      <c r="G28" s="28" t="str">
        <f t="shared" si="2"/>
        <v>('30Dec240042','070000171906','42394',(select max(to_number(i.premium_rcv_detail_code))+1
from ins_premium_det i),'42394','42394','02', '11000003','00','Request by Mr. Saqib Saleem 31-Dec-2024 Hold');</v>
      </c>
      <c r="H28" s="29" t="str">
        <f t="shared" si="3"/>
        <v>insert into ins_premium_det (premium_rcv_code,assorted_code, rec_amount,premium_rcv_detail_code,remaining_amt, payrec, mode_code,coinsurance_code,class_cd,it_remarks) values('30Dec240042','070000171906','42394',(select max(to_number(i.premium_rcv_detail_code))+1
from ins_premium_det i),'42394','42394','02', '11000003','00','Request by Mr. Saqib Saleem 31-Dec-2024 Hold');</v>
      </c>
    </row>
    <row r="29" spans="1:8" ht="105" x14ac:dyDescent="0.25">
      <c r="A29" s="12" t="s">
        <v>12031</v>
      </c>
      <c r="B29" s="25" t="str">
        <f>VLOOKUP(A29,policy1!B:C,2,0)</f>
        <v>070000171907</v>
      </c>
      <c r="C29" s="13">
        <v>44013</v>
      </c>
      <c r="D29" s="26">
        <f t="shared" si="1"/>
        <v>44013</v>
      </c>
      <c r="E29" s="24" t="s">
        <v>13296</v>
      </c>
      <c r="F29" s="27" t="str">
        <f t="shared" si="0"/>
        <v>insert into ins_premium_det (premium_rcv_code,assorted_code, rec_amount,premium_rcv_detail_code,remaining_amt, payrec, mode_code,coinsurance_code,class_cd,it_remarks) values</v>
      </c>
      <c r="G29" s="28" t="str">
        <f t="shared" si="2"/>
        <v>('30Dec240042','070000171907','44013',(select max(to_number(i.premium_rcv_detail_code))+1
from ins_premium_det i),'44013','44013','02', '11000003','00','Request by Mr. Saqib Saleem 31-Dec-2024 Hold');</v>
      </c>
      <c r="H29" s="29" t="str">
        <f t="shared" si="3"/>
        <v>insert into ins_premium_det (premium_rcv_code,assorted_code, rec_amount,premium_rcv_detail_code,remaining_amt, payrec, mode_code,coinsurance_code,class_cd,it_remarks) values('30Dec240042','070000171907','44013',(select max(to_number(i.premium_rcv_detail_code))+1
from ins_premium_det i),'44013','44013','02', '11000003','00','Request by Mr. Saqib Saleem 31-Dec-2024 Hold');</v>
      </c>
    </row>
    <row r="30" spans="1:8" ht="105" x14ac:dyDescent="0.25">
      <c r="A30" s="9" t="s">
        <v>12032</v>
      </c>
      <c r="B30" s="25" t="str">
        <f>VLOOKUP(A30,policy1!B:C,2,0)</f>
        <v>070000171908</v>
      </c>
      <c r="C30" s="11">
        <v>42400</v>
      </c>
      <c r="D30" s="26">
        <f t="shared" si="1"/>
        <v>42400</v>
      </c>
      <c r="E30" s="24" t="s">
        <v>13296</v>
      </c>
      <c r="F30" s="27" t="str">
        <f t="shared" si="0"/>
        <v>insert into ins_premium_det (premium_rcv_code,assorted_code, rec_amount,premium_rcv_detail_code,remaining_amt, payrec, mode_code,coinsurance_code,class_cd,it_remarks) values</v>
      </c>
      <c r="G30" s="28" t="str">
        <f t="shared" si="2"/>
        <v>('30Dec240042','070000171908','42400',(select max(to_number(i.premium_rcv_detail_code))+1
from ins_premium_det i),'42400','42400','02', '11000003','00','Request by Mr. Saqib Saleem 31-Dec-2024 Hold');</v>
      </c>
      <c r="H30" s="29" t="str">
        <f t="shared" si="3"/>
        <v>insert into ins_premium_det (premium_rcv_code,assorted_code, rec_amount,premium_rcv_detail_code,remaining_amt, payrec, mode_code,coinsurance_code,class_cd,it_remarks) values('30Dec240042','070000171908','42400',(select max(to_number(i.premium_rcv_detail_code))+1
from ins_premium_det i),'42400','42400','02', '11000003','00','Request by Mr. Saqib Saleem 31-Dec-2024 Hold');</v>
      </c>
    </row>
    <row r="31" spans="1:8" ht="105" x14ac:dyDescent="0.25">
      <c r="A31" s="12" t="s">
        <v>12033</v>
      </c>
      <c r="B31" s="25" t="str">
        <f>VLOOKUP(A31,policy1!B:C,2,0)</f>
        <v>070000171910</v>
      </c>
      <c r="C31" s="13">
        <v>28688</v>
      </c>
      <c r="D31" s="26">
        <f t="shared" si="1"/>
        <v>28688</v>
      </c>
      <c r="E31" s="24" t="s">
        <v>13296</v>
      </c>
      <c r="F31" s="27" t="str">
        <f t="shared" si="0"/>
        <v>insert into ins_premium_det (premium_rcv_code,assorted_code, rec_amount,premium_rcv_detail_code,remaining_amt, payrec, mode_code,coinsurance_code,class_cd,it_remarks) values</v>
      </c>
      <c r="G31" s="28" t="str">
        <f t="shared" si="2"/>
        <v>('30Dec240042','070000171910','28688',(select max(to_number(i.premium_rcv_detail_code))+1
from ins_premium_det i),'28688','28688','02', '11000003','00','Request by Mr. Saqib Saleem 31-Dec-2024 Hold');</v>
      </c>
      <c r="H31" s="29" t="str">
        <f t="shared" si="3"/>
        <v>insert into ins_premium_det (premium_rcv_code,assorted_code, rec_amount,premium_rcv_detail_code,remaining_amt, payrec, mode_code,coinsurance_code,class_cd,it_remarks) values('30Dec240042','070000171910','28688',(select max(to_number(i.premium_rcv_detail_code))+1
from ins_premium_det i),'28688','28688','02', '11000003','00','Request by Mr. Saqib Saleem 31-Dec-2024 Hold');</v>
      </c>
    </row>
    <row r="32" spans="1:8" ht="105" x14ac:dyDescent="0.25">
      <c r="A32" s="9" t="s">
        <v>12034</v>
      </c>
      <c r="B32" s="25" t="str">
        <f>VLOOKUP(A32,policy1!B:C,2,0)</f>
        <v>070000171911</v>
      </c>
      <c r="C32" s="11">
        <v>40000</v>
      </c>
      <c r="D32" s="26">
        <f t="shared" si="1"/>
        <v>40000</v>
      </c>
      <c r="E32" s="24" t="s">
        <v>13296</v>
      </c>
      <c r="F32" s="27" t="str">
        <f t="shared" si="0"/>
        <v>insert into ins_premium_det (premium_rcv_code,assorted_code, rec_amount,premium_rcv_detail_code,remaining_amt, payrec, mode_code,coinsurance_code,class_cd,it_remarks) values</v>
      </c>
      <c r="G32" s="28" t="str">
        <f t="shared" si="2"/>
        <v>('30Dec240042','070000171911','40000',(select max(to_number(i.premium_rcv_detail_code))+1
from ins_premium_det i),'40000','40000','02', '11000003','00','Request by Mr. Saqib Saleem 31-Dec-2024 Hold');</v>
      </c>
      <c r="H32" s="29" t="str">
        <f t="shared" si="3"/>
        <v>insert into ins_premium_det (premium_rcv_code,assorted_code, rec_amount,premium_rcv_detail_code,remaining_amt, payrec, mode_code,coinsurance_code,class_cd,it_remarks) values('30Dec240042','070000171911','40000',(select max(to_number(i.premium_rcv_detail_code))+1
from ins_premium_det i),'40000','40000','02', '11000003','00','Request by Mr. Saqib Saleem 31-Dec-2024 Hold');</v>
      </c>
    </row>
    <row r="33" spans="1:8" ht="105" x14ac:dyDescent="0.25">
      <c r="A33" s="12" t="s">
        <v>12035</v>
      </c>
      <c r="B33" s="25" t="str">
        <f>VLOOKUP(A33,policy1!B:C,2,0)</f>
        <v>070000171914</v>
      </c>
      <c r="C33" s="13">
        <v>54056</v>
      </c>
      <c r="D33" s="26">
        <f t="shared" si="1"/>
        <v>54056</v>
      </c>
      <c r="E33" s="24" t="s">
        <v>13296</v>
      </c>
      <c r="F33" s="27" t="str">
        <f t="shared" si="0"/>
        <v>insert into ins_premium_det (premium_rcv_code,assorted_code, rec_amount,premium_rcv_detail_code,remaining_amt, payrec, mode_code,coinsurance_code,class_cd,it_remarks) values</v>
      </c>
      <c r="G33" s="28" t="str">
        <f t="shared" si="2"/>
        <v>('30Dec240042','070000171914','54056',(select max(to_number(i.premium_rcv_detail_code))+1
from ins_premium_det i),'54056','54056','02', '11000003','00','Request by Mr. Saqib Saleem 31-Dec-2024 Hold');</v>
      </c>
      <c r="H33" s="29" t="str">
        <f t="shared" si="3"/>
        <v>insert into ins_premium_det (premium_rcv_code,assorted_code, rec_amount,premium_rcv_detail_code,remaining_amt, payrec, mode_code,coinsurance_code,class_cd,it_remarks) values('30Dec240042','070000171914','54056',(select max(to_number(i.premium_rcv_detail_code))+1
from ins_premium_det i),'54056','54056','02', '11000003','00','Request by Mr. Saqib Saleem 31-Dec-2024 Hold');</v>
      </c>
    </row>
    <row r="34" spans="1:8" ht="105" x14ac:dyDescent="0.25">
      <c r="A34" s="9" t="s">
        <v>12036</v>
      </c>
      <c r="B34" s="25" t="str">
        <f>VLOOKUP(A34,policy1!B:C,2,0)</f>
        <v>070000171916</v>
      </c>
      <c r="C34" s="11">
        <v>40400</v>
      </c>
      <c r="D34" s="26">
        <f t="shared" si="1"/>
        <v>40400</v>
      </c>
      <c r="E34" s="24" t="s">
        <v>13296</v>
      </c>
      <c r="F34" s="27" t="str">
        <f t="shared" si="0"/>
        <v>insert into ins_premium_det (premium_rcv_code,assorted_code, rec_amount,premium_rcv_detail_code,remaining_amt, payrec, mode_code,coinsurance_code,class_cd,it_remarks) values</v>
      </c>
      <c r="G34" s="28" t="str">
        <f t="shared" si="2"/>
        <v>('30Dec240042','070000171916','40400',(select max(to_number(i.premium_rcv_detail_code))+1
from ins_premium_det i),'40400','40400','02', '11000003','00','Request by Mr. Saqib Saleem 31-Dec-2024 Hold');</v>
      </c>
      <c r="H34" s="29" t="str">
        <f t="shared" si="3"/>
        <v>insert into ins_premium_det (premium_rcv_code,assorted_code, rec_amount,premium_rcv_detail_code,remaining_amt, payrec, mode_code,coinsurance_code,class_cd,it_remarks) values('30Dec240042','070000171916','40400',(select max(to_number(i.premium_rcv_detail_code))+1
from ins_premium_det i),'40400','40400','02', '11000003','00','Request by Mr. Saqib Saleem 31-Dec-2024 Hold');</v>
      </c>
    </row>
    <row r="35" spans="1:8" ht="105" x14ac:dyDescent="0.25">
      <c r="A35" s="12" t="s">
        <v>12037</v>
      </c>
      <c r="B35" s="25" t="str">
        <f>VLOOKUP(A35,policy1!B:C,2,0)</f>
        <v>070000171917</v>
      </c>
      <c r="C35" s="13">
        <v>21356</v>
      </c>
      <c r="D35" s="26">
        <f t="shared" si="1"/>
        <v>21356</v>
      </c>
      <c r="E35" s="24" t="s">
        <v>13296</v>
      </c>
      <c r="F35" s="27" t="str">
        <f t="shared" si="0"/>
        <v>insert into ins_premium_det (premium_rcv_code,assorted_code, rec_amount,premium_rcv_detail_code,remaining_amt, payrec, mode_code,coinsurance_code,class_cd,it_remarks) values</v>
      </c>
      <c r="G35" s="28" t="str">
        <f t="shared" si="2"/>
        <v>('30Dec240042','070000171917','21356',(select max(to_number(i.premium_rcv_detail_code))+1
from ins_premium_det i),'21356','21356','02', '11000003','00','Request by Mr. Saqib Saleem 31-Dec-2024 Hold');</v>
      </c>
      <c r="H35" s="29" t="str">
        <f t="shared" si="3"/>
        <v>insert into ins_premium_det (premium_rcv_code,assorted_code, rec_amount,premium_rcv_detail_code,remaining_amt, payrec, mode_code,coinsurance_code,class_cd,it_remarks) values('30Dec240042','070000171917','21356',(select max(to_number(i.premium_rcv_detail_code))+1
from ins_premium_det i),'21356','21356','02', '11000003','00','Request by Mr. Saqib Saleem 31-Dec-2024 Hold');</v>
      </c>
    </row>
    <row r="36" spans="1:8" ht="105" x14ac:dyDescent="0.25">
      <c r="A36" s="9" t="s">
        <v>12038</v>
      </c>
      <c r="B36" s="25" t="str">
        <f>VLOOKUP(A36,policy1!B:C,2,0)</f>
        <v>070000171919</v>
      </c>
      <c r="C36" s="11">
        <v>24225</v>
      </c>
      <c r="D36" s="26">
        <f t="shared" si="1"/>
        <v>24225</v>
      </c>
      <c r="E36" s="24" t="s">
        <v>13296</v>
      </c>
      <c r="F36" s="27" t="str">
        <f t="shared" si="0"/>
        <v>insert into ins_premium_det (premium_rcv_code,assorted_code, rec_amount,premium_rcv_detail_code,remaining_amt, payrec, mode_code,coinsurance_code,class_cd,it_remarks) values</v>
      </c>
      <c r="G36" s="28" t="str">
        <f t="shared" si="2"/>
        <v>('30Dec240042','070000171919','24225',(select max(to_number(i.premium_rcv_detail_code))+1
from ins_premium_det i),'24225','24225','02', '11000003','00','Request by Mr. Saqib Saleem 31-Dec-2024 Hold');</v>
      </c>
      <c r="H36" s="29" t="str">
        <f t="shared" si="3"/>
        <v>insert into ins_premium_det (premium_rcv_code,assorted_code, rec_amount,premium_rcv_detail_code,remaining_amt, payrec, mode_code,coinsurance_code,class_cd,it_remarks) values('30Dec240042','070000171919','24225',(select max(to_number(i.premium_rcv_detail_code))+1
from ins_premium_det i),'24225','24225','02', '11000003','00','Request by Mr. Saqib Saleem 31-Dec-2024 Hold');</v>
      </c>
    </row>
    <row r="37" spans="1:8" ht="105" x14ac:dyDescent="0.25">
      <c r="A37" s="12" t="s">
        <v>12039</v>
      </c>
      <c r="B37" s="25" t="str">
        <f>VLOOKUP(A37,policy1!B:C,2,0)</f>
        <v>070000171920</v>
      </c>
      <c r="C37" s="13">
        <v>20400</v>
      </c>
      <c r="D37" s="26">
        <f t="shared" si="1"/>
        <v>20400</v>
      </c>
      <c r="E37" s="24" t="s">
        <v>13296</v>
      </c>
      <c r="F37" s="27" t="str">
        <f t="shared" si="0"/>
        <v>insert into ins_premium_det (premium_rcv_code,assorted_code, rec_amount,premium_rcv_detail_code,remaining_amt, payrec, mode_code,coinsurance_code,class_cd,it_remarks) values</v>
      </c>
      <c r="G37" s="28" t="str">
        <f t="shared" si="2"/>
        <v>('30Dec240042','070000171920','20400',(select max(to_number(i.premium_rcv_detail_code))+1
from ins_premium_det i),'20400','20400','02', '11000003','00','Request by Mr. Saqib Saleem 31-Dec-2024 Hold');</v>
      </c>
      <c r="H37" s="29" t="str">
        <f t="shared" si="3"/>
        <v>insert into ins_premium_det (premium_rcv_code,assorted_code, rec_amount,premium_rcv_detail_code,remaining_amt, payrec, mode_code,coinsurance_code,class_cd,it_remarks) values('30Dec240042','070000171920','20400',(select max(to_number(i.premium_rcv_detail_code))+1
from ins_premium_det i),'20400','20400','02', '11000003','00','Request by Mr. Saqib Saleem 31-Dec-2024 Hold');</v>
      </c>
    </row>
    <row r="38" spans="1:8" ht="105" x14ac:dyDescent="0.25">
      <c r="A38" s="9" t="s">
        <v>12040</v>
      </c>
      <c r="B38" s="25" t="str">
        <f>VLOOKUP(A38,policy1!B:C,2,0)</f>
        <v>070000171922</v>
      </c>
      <c r="C38" s="11">
        <v>28000</v>
      </c>
      <c r="D38" s="26">
        <f t="shared" si="1"/>
        <v>28000</v>
      </c>
      <c r="E38" s="24" t="s">
        <v>13296</v>
      </c>
      <c r="F38" s="27" t="str">
        <f t="shared" si="0"/>
        <v>insert into ins_premium_det (premium_rcv_code,assorted_code, rec_amount,premium_rcv_detail_code,remaining_amt, payrec, mode_code,coinsurance_code,class_cd,it_remarks) values</v>
      </c>
      <c r="G38" s="28" t="str">
        <f t="shared" si="2"/>
        <v>('30Dec240042','070000171922','28000',(select max(to_number(i.premium_rcv_detail_code))+1
from ins_premium_det i),'28000','28000','02', '11000003','00','Request by Mr. Saqib Saleem 31-Dec-2024 Hold');</v>
      </c>
      <c r="H38" s="29" t="str">
        <f t="shared" si="3"/>
        <v>insert into ins_premium_det (premium_rcv_code,assorted_code, rec_amount,premium_rcv_detail_code,remaining_amt, payrec, mode_code,coinsurance_code,class_cd,it_remarks) values('30Dec240042','070000171922','28000',(select max(to_number(i.premium_rcv_detail_code))+1
from ins_premium_det i),'28000','28000','02', '11000003','00','Request by Mr. Saqib Saleem 31-Dec-2024 Hold');</v>
      </c>
    </row>
    <row r="39" spans="1:8" ht="105" x14ac:dyDescent="0.25">
      <c r="A39" s="12" t="s">
        <v>12041</v>
      </c>
      <c r="B39" s="25" t="str">
        <f>VLOOKUP(A39,policy1!B:C,2,0)</f>
        <v>070000171924</v>
      </c>
      <c r="C39" s="13">
        <v>21675</v>
      </c>
      <c r="D39" s="26">
        <f t="shared" si="1"/>
        <v>21675</v>
      </c>
      <c r="E39" s="24" t="s">
        <v>13296</v>
      </c>
      <c r="F39" s="27" t="str">
        <f t="shared" si="0"/>
        <v>insert into ins_premium_det (premium_rcv_code,assorted_code, rec_amount,premium_rcv_detail_code,remaining_amt, payrec, mode_code,coinsurance_code,class_cd,it_remarks) values</v>
      </c>
      <c r="G39" s="28" t="str">
        <f t="shared" si="2"/>
        <v>('30Dec240042','070000171924','21675',(select max(to_number(i.premium_rcv_detail_code))+1
from ins_premium_det i),'21675','21675','02', '11000003','00','Request by Mr. Saqib Saleem 31-Dec-2024 Hold');</v>
      </c>
      <c r="H39" s="29" t="str">
        <f t="shared" si="3"/>
        <v>insert into ins_premium_det (premium_rcv_code,assorted_code, rec_amount,premium_rcv_detail_code,remaining_amt, payrec, mode_code,coinsurance_code,class_cd,it_remarks) values('30Dec240042','070000171924','21675',(select max(to_number(i.premium_rcv_detail_code))+1
from ins_premium_det i),'21675','21675','02', '11000003','00','Request by Mr. Saqib Saleem 31-Dec-2024 Hold');</v>
      </c>
    </row>
    <row r="40" spans="1:8" ht="105" x14ac:dyDescent="0.25">
      <c r="A40" s="9" t="s">
        <v>12042</v>
      </c>
      <c r="B40" s="25" t="str">
        <f>VLOOKUP(A40,policy1!B:C,2,0)</f>
        <v>070000171926</v>
      </c>
      <c r="C40" s="11">
        <v>30838</v>
      </c>
      <c r="D40" s="26">
        <f t="shared" si="1"/>
        <v>30838</v>
      </c>
      <c r="E40" s="24" t="s">
        <v>13296</v>
      </c>
      <c r="F40" s="27" t="str">
        <f t="shared" si="0"/>
        <v>insert into ins_premium_det (premium_rcv_code,assorted_code, rec_amount,premium_rcv_detail_code,remaining_amt, payrec, mode_code,coinsurance_code,class_cd,it_remarks) values</v>
      </c>
      <c r="G40" s="28" t="str">
        <f t="shared" si="2"/>
        <v>('30Dec240042','070000171926','30838',(select max(to_number(i.premium_rcv_detail_code))+1
from ins_premium_det i),'30838','30838','02', '11000003','00','Request by Mr. Saqib Saleem 31-Dec-2024 Hold');</v>
      </c>
      <c r="H40" s="29" t="str">
        <f t="shared" si="3"/>
        <v>insert into ins_premium_det (premium_rcv_code,assorted_code, rec_amount,premium_rcv_detail_code,remaining_amt, payrec, mode_code,coinsurance_code,class_cd,it_remarks) values('30Dec240042','070000171926','30838',(select max(to_number(i.premium_rcv_detail_code))+1
from ins_premium_det i),'30838','30838','02', '11000003','00','Request by Mr. Saqib Saleem 31-Dec-2024 Hold');</v>
      </c>
    </row>
    <row r="41" spans="1:8" ht="105" x14ac:dyDescent="0.25">
      <c r="A41" s="12" t="s">
        <v>12043</v>
      </c>
      <c r="B41" s="25" t="str">
        <f>VLOOKUP(A41,policy1!B:C,2,0)</f>
        <v>070000171927</v>
      </c>
      <c r="C41" s="13">
        <v>26456</v>
      </c>
      <c r="D41" s="26">
        <f t="shared" si="1"/>
        <v>26456</v>
      </c>
      <c r="E41" s="24" t="s">
        <v>13296</v>
      </c>
      <c r="F41" s="27" t="str">
        <f t="shared" si="0"/>
        <v>insert into ins_premium_det (premium_rcv_code,assorted_code, rec_amount,premium_rcv_detail_code,remaining_amt, payrec, mode_code,coinsurance_code,class_cd,it_remarks) values</v>
      </c>
      <c r="G41" s="28" t="str">
        <f t="shared" si="2"/>
        <v>('30Dec240042','070000171927','26456',(select max(to_number(i.premium_rcv_detail_code))+1
from ins_premium_det i),'26456','26456','02', '11000003','00','Request by Mr. Saqib Saleem 31-Dec-2024 Hold');</v>
      </c>
      <c r="H41" s="29" t="str">
        <f t="shared" si="3"/>
        <v>insert into ins_premium_det (premium_rcv_code,assorted_code, rec_amount,premium_rcv_detail_code,remaining_amt, payrec, mode_code,coinsurance_code,class_cd,it_remarks) values('30Dec240042','070000171927','26456',(select max(to_number(i.premium_rcv_detail_code))+1
from ins_premium_det i),'26456','26456','02', '11000003','00','Request by Mr. Saqib Saleem 31-Dec-2024 Hold');</v>
      </c>
    </row>
    <row r="42" spans="1:8" ht="105" x14ac:dyDescent="0.25">
      <c r="A42" s="9" t="s">
        <v>12044</v>
      </c>
      <c r="B42" s="25" t="str">
        <f>VLOOKUP(A42,policy1!B:C,2,0)</f>
        <v>070000171928</v>
      </c>
      <c r="C42" s="11">
        <v>21038</v>
      </c>
      <c r="D42" s="26">
        <f t="shared" si="1"/>
        <v>21038</v>
      </c>
      <c r="E42" s="24" t="s">
        <v>13296</v>
      </c>
      <c r="F42" s="27" t="str">
        <f t="shared" si="0"/>
        <v>insert into ins_premium_det (premium_rcv_code,assorted_code, rec_amount,premium_rcv_detail_code,remaining_amt, payrec, mode_code,coinsurance_code,class_cd,it_remarks) values</v>
      </c>
      <c r="G42" s="28" t="str">
        <f t="shared" si="2"/>
        <v>('30Dec240042','070000171928','21038',(select max(to_number(i.premium_rcv_detail_code))+1
from ins_premium_det i),'21038','21038','02', '11000003','00','Request by Mr. Saqib Saleem 31-Dec-2024 Hold');</v>
      </c>
      <c r="H42" s="29" t="str">
        <f t="shared" si="3"/>
        <v>insert into ins_premium_det (premium_rcv_code,assorted_code, rec_amount,premium_rcv_detail_code,remaining_amt, payrec, mode_code,coinsurance_code,class_cd,it_remarks) values('30Dec240042','070000171928','21038',(select max(to_number(i.premium_rcv_detail_code))+1
from ins_premium_det i),'21038','21038','02', '11000003','00','Request by Mr. Saqib Saleem 31-Dec-2024 Hold');</v>
      </c>
    </row>
    <row r="43" spans="1:8" ht="105" x14ac:dyDescent="0.25">
      <c r="A43" s="12" t="s">
        <v>12045</v>
      </c>
      <c r="B43" s="25" t="str">
        <f>VLOOKUP(A43,policy1!B:C,2,0)</f>
        <v>070000171929</v>
      </c>
      <c r="C43" s="13">
        <v>22313</v>
      </c>
      <c r="D43" s="26">
        <f t="shared" si="1"/>
        <v>22313</v>
      </c>
      <c r="E43" s="24" t="s">
        <v>13296</v>
      </c>
      <c r="F43" s="27" t="str">
        <f t="shared" si="0"/>
        <v>insert into ins_premium_det (premium_rcv_code,assorted_code, rec_amount,premium_rcv_detail_code,remaining_amt, payrec, mode_code,coinsurance_code,class_cd,it_remarks) values</v>
      </c>
      <c r="G43" s="28" t="str">
        <f t="shared" si="2"/>
        <v>('30Dec240042','070000171929','22313',(select max(to_number(i.premium_rcv_detail_code))+1
from ins_premium_det i),'22313','22313','02', '11000003','00','Request by Mr. Saqib Saleem 31-Dec-2024 Hold');</v>
      </c>
      <c r="H43" s="29" t="str">
        <f t="shared" si="3"/>
        <v>insert into ins_premium_det (premium_rcv_code,assorted_code, rec_amount,premium_rcv_detail_code,remaining_amt, payrec, mode_code,coinsurance_code,class_cd,it_remarks) values('30Dec240042','070000171929','22313',(select max(to_number(i.premium_rcv_detail_code))+1
from ins_premium_det i),'22313','22313','02', '11000003','00','Request by Mr. Saqib Saleem 31-Dec-2024 Hold');</v>
      </c>
    </row>
    <row r="44" spans="1:8" ht="105" x14ac:dyDescent="0.25">
      <c r="A44" s="9" t="s">
        <v>12046</v>
      </c>
      <c r="B44" s="25" t="str">
        <f>VLOOKUP(A44,policy1!B:C,2,0)</f>
        <v>070000171930</v>
      </c>
      <c r="C44" s="11">
        <v>19444</v>
      </c>
      <c r="D44" s="26">
        <f t="shared" si="1"/>
        <v>19444</v>
      </c>
      <c r="E44" s="24" t="s">
        <v>13296</v>
      </c>
      <c r="F44" s="27" t="str">
        <f t="shared" si="0"/>
        <v>insert into ins_premium_det (premium_rcv_code,assorted_code, rec_amount,premium_rcv_detail_code,remaining_amt, payrec, mode_code,coinsurance_code,class_cd,it_remarks) values</v>
      </c>
      <c r="G44" s="28" t="str">
        <f t="shared" si="2"/>
        <v>('30Dec240042','070000171930','19444',(select max(to_number(i.premium_rcv_detail_code))+1
from ins_premium_det i),'19444','19444','02', '11000003','00','Request by Mr. Saqib Saleem 31-Dec-2024 Hold');</v>
      </c>
      <c r="H44" s="29" t="str">
        <f t="shared" si="3"/>
        <v>insert into ins_premium_det (premium_rcv_code,assorted_code, rec_amount,premium_rcv_detail_code,remaining_amt, payrec, mode_code,coinsurance_code,class_cd,it_remarks) values('30Dec240042','070000171930','19444',(select max(to_number(i.premium_rcv_detail_code))+1
from ins_premium_det i),'19444','19444','02', '11000003','00','Request by Mr. Saqib Saleem 31-Dec-2024 Hold');</v>
      </c>
    </row>
    <row r="45" spans="1:8" ht="105" x14ac:dyDescent="0.25">
      <c r="A45" s="12" t="s">
        <v>12047</v>
      </c>
      <c r="B45" s="25" t="str">
        <f>VLOOKUP(A45,policy1!B:C,2,0)</f>
        <v>070000171932</v>
      </c>
      <c r="C45" s="13">
        <v>21675</v>
      </c>
      <c r="D45" s="26">
        <f t="shared" si="1"/>
        <v>21675</v>
      </c>
      <c r="E45" s="24" t="s">
        <v>13296</v>
      </c>
      <c r="F45" s="27" t="str">
        <f t="shared" si="0"/>
        <v>insert into ins_premium_det (premium_rcv_code,assorted_code, rec_amount,premium_rcv_detail_code,remaining_amt, payrec, mode_code,coinsurance_code,class_cd,it_remarks) values</v>
      </c>
      <c r="G45" s="28" t="str">
        <f t="shared" si="2"/>
        <v>('30Dec240042','070000171932','21675',(select max(to_number(i.premium_rcv_detail_code))+1
from ins_premium_det i),'21675','21675','02', '11000003','00','Request by Mr. Saqib Saleem 31-Dec-2024 Hold');</v>
      </c>
      <c r="H45" s="29" t="str">
        <f t="shared" si="3"/>
        <v>insert into ins_premium_det (premium_rcv_code,assorted_code, rec_amount,premium_rcv_detail_code,remaining_amt, payrec, mode_code,coinsurance_code,class_cd,it_remarks) values('30Dec240042','070000171932','21675',(select max(to_number(i.premium_rcv_detail_code))+1
from ins_premium_det i),'21675','21675','02', '11000003','00','Request by Mr. Saqib Saleem 31-Dec-2024 Hold');</v>
      </c>
    </row>
    <row r="46" spans="1:8" ht="105" x14ac:dyDescent="0.25">
      <c r="A46" s="9" t="s">
        <v>12048</v>
      </c>
      <c r="B46" s="25" t="str">
        <f>VLOOKUP(A46,policy1!B:C,2,0)</f>
        <v>070000171933</v>
      </c>
      <c r="C46" s="11">
        <v>18488</v>
      </c>
      <c r="D46" s="26">
        <f t="shared" si="1"/>
        <v>18488</v>
      </c>
      <c r="E46" s="24" t="s">
        <v>13296</v>
      </c>
      <c r="F46" s="27" t="str">
        <f t="shared" si="0"/>
        <v>insert into ins_premium_det (premium_rcv_code,assorted_code, rec_amount,premium_rcv_detail_code,remaining_amt, payrec, mode_code,coinsurance_code,class_cd,it_remarks) values</v>
      </c>
      <c r="G46" s="28" t="str">
        <f t="shared" si="2"/>
        <v>('30Dec240042','070000171933','18488',(select max(to_number(i.premium_rcv_detail_code))+1
from ins_premium_det i),'18488','18488','02', '11000003','00','Request by Mr. Saqib Saleem 31-Dec-2024 Hold');</v>
      </c>
      <c r="H46" s="29" t="str">
        <f t="shared" si="3"/>
        <v>insert into ins_premium_det (premium_rcv_code,assorted_code, rec_amount,premium_rcv_detail_code,remaining_amt, payrec, mode_code,coinsurance_code,class_cd,it_remarks) values('30Dec240042','070000171933','18488',(select max(to_number(i.premium_rcv_detail_code))+1
from ins_premium_det i),'18488','18488','02', '11000003','00','Request by Mr. Saqib Saleem 31-Dec-2024 Hold');</v>
      </c>
    </row>
    <row r="47" spans="1:8" ht="105" x14ac:dyDescent="0.25">
      <c r="A47" s="12" t="s">
        <v>12049</v>
      </c>
      <c r="B47" s="25" t="str">
        <f>VLOOKUP(A47,policy1!B:C,2,0)</f>
        <v>070000171936</v>
      </c>
      <c r="C47" s="13">
        <v>21675</v>
      </c>
      <c r="D47" s="26">
        <f t="shared" si="1"/>
        <v>21675</v>
      </c>
      <c r="E47" s="24" t="s">
        <v>13296</v>
      </c>
      <c r="F47" s="27" t="str">
        <f t="shared" si="0"/>
        <v>insert into ins_premium_det (premium_rcv_code,assorted_code, rec_amount,premium_rcv_detail_code,remaining_amt, payrec, mode_code,coinsurance_code,class_cd,it_remarks) values</v>
      </c>
      <c r="G47" s="28" t="str">
        <f t="shared" si="2"/>
        <v>('30Dec240042','070000171936','21675',(select max(to_number(i.premium_rcv_detail_code))+1
from ins_premium_det i),'21675','21675','02', '11000003','00','Request by Mr. Saqib Saleem 31-Dec-2024 Hold');</v>
      </c>
      <c r="H47" s="29" t="str">
        <f t="shared" si="3"/>
        <v>insert into ins_premium_det (premium_rcv_code,assorted_code, rec_amount,premium_rcv_detail_code,remaining_amt, payrec, mode_code,coinsurance_code,class_cd,it_remarks) values('30Dec240042','070000171936','21675',(select max(to_number(i.premium_rcv_detail_code))+1
from ins_premium_det i),'21675','21675','02', '11000003','00','Request by Mr. Saqib Saleem 31-Dec-2024 Hold');</v>
      </c>
    </row>
    <row r="48" spans="1:8" ht="105" x14ac:dyDescent="0.25">
      <c r="A48" s="9" t="s">
        <v>12050</v>
      </c>
      <c r="B48" s="25" t="str">
        <f>VLOOKUP(A48,policy1!B:C,2,0)</f>
        <v>070000171938</v>
      </c>
      <c r="C48" s="11">
        <v>53488</v>
      </c>
      <c r="D48" s="26">
        <f t="shared" si="1"/>
        <v>53488</v>
      </c>
      <c r="E48" s="24" t="s">
        <v>13296</v>
      </c>
      <c r="F48" s="27" t="str">
        <f t="shared" si="0"/>
        <v>insert into ins_premium_det (premium_rcv_code,assorted_code, rec_amount,premium_rcv_detail_code,remaining_amt, payrec, mode_code,coinsurance_code,class_cd,it_remarks) values</v>
      </c>
      <c r="G48" s="28" t="str">
        <f t="shared" si="2"/>
        <v>('30Dec240042','070000171938','53488',(select max(to_number(i.premium_rcv_detail_code))+1
from ins_premium_det i),'53488','53488','02', '11000003','00','Request by Mr. Saqib Saleem 31-Dec-2024 Hold');</v>
      </c>
      <c r="H48" s="29" t="str">
        <f t="shared" si="3"/>
        <v>insert into ins_premium_det (premium_rcv_code,assorted_code, rec_amount,premium_rcv_detail_code,remaining_amt, payrec, mode_code,coinsurance_code,class_cd,it_remarks) values('30Dec240042','070000171938','53488',(select max(to_number(i.premium_rcv_detail_code))+1
from ins_premium_det i),'53488','53488','02', '11000003','00','Request by Mr. Saqib Saleem 31-Dec-2024 Hold');</v>
      </c>
    </row>
    <row r="49" spans="1:8" ht="105" x14ac:dyDescent="0.25">
      <c r="A49" s="12" t="s">
        <v>12051</v>
      </c>
      <c r="B49" s="25" t="str">
        <f>VLOOKUP(A49,policy1!B:C,2,0)</f>
        <v>070000171939</v>
      </c>
      <c r="C49" s="13">
        <v>24608</v>
      </c>
      <c r="D49" s="26">
        <f t="shared" si="1"/>
        <v>24608</v>
      </c>
      <c r="E49" s="24" t="s">
        <v>13296</v>
      </c>
      <c r="F49" s="27" t="str">
        <f t="shared" si="0"/>
        <v>insert into ins_premium_det (premium_rcv_code,assorted_code, rec_amount,premium_rcv_detail_code,remaining_amt, payrec, mode_code,coinsurance_code,class_cd,it_remarks) values</v>
      </c>
      <c r="G49" s="28" t="str">
        <f t="shared" si="2"/>
        <v>('30Dec240042','070000171939','24608',(select max(to_number(i.premium_rcv_detail_code))+1
from ins_premium_det i),'24608','24608','02', '11000003','00','Request by Mr. Saqib Saleem 31-Dec-2024 Hold');</v>
      </c>
      <c r="H49" s="29" t="str">
        <f t="shared" si="3"/>
        <v>insert into ins_premium_det (premium_rcv_code,assorted_code, rec_amount,premium_rcv_detail_code,remaining_amt, payrec, mode_code,coinsurance_code,class_cd,it_remarks) values('30Dec240042','070000171939','24608',(select max(to_number(i.premium_rcv_detail_code))+1
from ins_premium_det i),'24608','24608','02', '11000003','00','Request by Mr. Saqib Saleem 31-Dec-2024 Hold');</v>
      </c>
    </row>
    <row r="50" spans="1:8" ht="105" x14ac:dyDescent="0.25">
      <c r="A50" s="9" t="s">
        <v>12052</v>
      </c>
      <c r="B50" s="25" t="str">
        <f>VLOOKUP(A50,policy1!B:C,2,0)</f>
        <v>070000171940</v>
      </c>
      <c r="C50" s="11">
        <v>19125</v>
      </c>
      <c r="D50" s="26">
        <f t="shared" si="1"/>
        <v>19125</v>
      </c>
      <c r="E50" s="24" t="s">
        <v>13296</v>
      </c>
      <c r="F50" s="27" t="str">
        <f t="shared" si="0"/>
        <v>insert into ins_premium_det (premium_rcv_code,assorted_code, rec_amount,premium_rcv_detail_code,remaining_amt, payrec, mode_code,coinsurance_code,class_cd,it_remarks) values</v>
      </c>
      <c r="G50" s="28" t="str">
        <f t="shared" si="2"/>
        <v>('30Dec240042','070000171940','19125',(select max(to_number(i.premium_rcv_detail_code))+1
from ins_premium_det i),'19125','19125','02', '11000003','00','Request by Mr. Saqib Saleem 31-Dec-2024 Hold');</v>
      </c>
      <c r="H50" s="29" t="str">
        <f t="shared" si="3"/>
        <v>insert into ins_premium_det (premium_rcv_code,assorted_code, rec_amount,premium_rcv_detail_code,remaining_amt, payrec, mode_code,coinsurance_code,class_cd,it_remarks) values('30Dec240042','070000171940','19125',(select max(to_number(i.premium_rcv_detail_code))+1
from ins_premium_det i),'19125','19125','02', '11000003','00','Request by Mr. Saqib Saleem 31-Dec-2024 Hold');</v>
      </c>
    </row>
    <row r="51" spans="1:8" ht="105" x14ac:dyDescent="0.25">
      <c r="A51" s="12" t="s">
        <v>12053</v>
      </c>
      <c r="B51" s="25" t="str">
        <f>VLOOKUP(A51,policy1!B:C,2,0)</f>
        <v>070000171941</v>
      </c>
      <c r="C51" s="13">
        <v>28800</v>
      </c>
      <c r="D51" s="26">
        <f t="shared" si="1"/>
        <v>28800</v>
      </c>
      <c r="E51" s="24" t="s">
        <v>13296</v>
      </c>
      <c r="F51" s="27" t="str">
        <f t="shared" si="0"/>
        <v>insert into ins_premium_det (premium_rcv_code,assorted_code, rec_amount,premium_rcv_detail_code,remaining_amt, payrec, mode_code,coinsurance_code,class_cd,it_remarks) values</v>
      </c>
      <c r="G51" s="28" t="str">
        <f t="shared" si="2"/>
        <v>('30Dec240042','070000171941','28800',(select max(to_number(i.premium_rcv_detail_code))+1
from ins_premium_det i),'28800','28800','02', '11000003','00','Request by Mr. Saqib Saleem 31-Dec-2024 Hold');</v>
      </c>
      <c r="H51" s="29" t="str">
        <f t="shared" si="3"/>
        <v>insert into ins_premium_det (premium_rcv_code,assorted_code, rec_amount,premium_rcv_detail_code,remaining_amt, payrec, mode_code,coinsurance_code,class_cd,it_remarks) values('30Dec240042','070000171941','28800',(select max(to_number(i.premium_rcv_detail_code))+1
from ins_premium_det i),'28800','28800','02', '11000003','00','Request by Mr. Saqib Saleem 31-Dec-2024 Hold');</v>
      </c>
    </row>
    <row r="52" spans="1:8" ht="105" x14ac:dyDescent="0.25">
      <c r="A52" s="9" t="s">
        <v>12054</v>
      </c>
      <c r="B52" s="25" t="str">
        <f>VLOOKUP(A52,policy1!B:C,2,0)</f>
        <v>070000171945</v>
      </c>
      <c r="C52" s="11">
        <v>30400</v>
      </c>
      <c r="D52" s="26">
        <f t="shared" si="1"/>
        <v>30400</v>
      </c>
      <c r="E52" s="24" t="s">
        <v>13296</v>
      </c>
      <c r="F52" s="27" t="str">
        <f t="shared" si="0"/>
        <v>insert into ins_premium_det (premium_rcv_code,assorted_code, rec_amount,premium_rcv_detail_code,remaining_amt, payrec, mode_code,coinsurance_code,class_cd,it_remarks) values</v>
      </c>
      <c r="G52" s="28" t="str">
        <f t="shared" si="2"/>
        <v>('30Dec240042','070000171945','30400',(select max(to_number(i.premium_rcv_detail_code))+1
from ins_premium_det i),'30400','30400','02', '11000003','00','Request by Mr. Saqib Saleem 31-Dec-2024 Hold');</v>
      </c>
      <c r="H52" s="29" t="str">
        <f t="shared" si="3"/>
        <v>insert into ins_premium_det (premium_rcv_code,assorted_code, rec_amount,premium_rcv_detail_code,remaining_amt, payrec, mode_code,coinsurance_code,class_cd,it_remarks) values('30Dec240042','070000171945','30400',(select max(to_number(i.premium_rcv_detail_code))+1
from ins_premium_det i),'30400','30400','02', '11000003','00','Request by Mr. Saqib Saleem 31-Dec-2024 Hold');</v>
      </c>
    </row>
    <row r="53" spans="1:8" ht="105" x14ac:dyDescent="0.25">
      <c r="A53" s="12" t="s">
        <v>12055</v>
      </c>
      <c r="B53" s="25" t="str">
        <f>VLOOKUP(A53,policy1!B:C,2,0)</f>
        <v>070000171947</v>
      </c>
      <c r="C53" s="13">
        <v>16575</v>
      </c>
      <c r="D53" s="26">
        <f t="shared" si="1"/>
        <v>16575</v>
      </c>
      <c r="E53" s="24" t="s">
        <v>13296</v>
      </c>
      <c r="F53" s="27" t="str">
        <f t="shared" si="0"/>
        <v>insert into ins_premium_det (premium_rcv_code,assorted_code, rec_amount,premium_rcv_detail_code,remaining_amt, payrec, mode_code,coinsurance_code,class_cd,it_remarks) values</v>
      </c>
      <c r="G53" s="28" t="str">
        <f t="shared" si="2"/>
        <v>('30Dec240042','070000171947','16575',(select max(to_number(i.premium_rcv_detail_code))+1
from ins_premium_det i),'16575','16575','02', '11000003','00','Request by Mr. Saqib Saleem 31-Dec-2024 Hold');</v>
      </c>
      <c r="H53" s="29" t="str">
        <f t="shared" si="3"/>
        <v>insert into ins_premium_det (premium_rcv_code,assorted_code, rec_amount,premium_rcv_detail_code,remaining_amt, payrec, mode_code,coinsurance_code,class_cd,it_remarks) values('30Dec240042','070000171947','16575',(select max(to_number(i.premium_rcv_detail_code))+1
from ins_premium_det i),'16575','16575','02', '11000003','00','Request by Mr. Saqib Saleem 31-Dec-2024 Hold');</v>
      </c>
    </row>
    <row r="54" spans="1:8" ht="105" x14ac:dyDescent="0.25">
      <c r="A54" s="9" t="s">
        <v>12056</v>
      </c>
      <c r="B54" s="25" t="str">
        <f>VLOOKUP(A54,policy1!B:C,2,0)</f>
        <v>070000171955</v>
      </c>
      <c r="C54" s="11">
        <v>32759</v>
      </c>
      <c r="D54" s="26">
        <f t="shared" si="1"/>
        <v>32759</v>
      </c>
      <c r="E54" s="24" t="s">
        <v>13296</v>
      </c>
      <c r="F54" s="27" t="str">
        <f t="shared" si="0"/>
        <v>insert into ins_premium_det (premium_rcv_code,assorted_code, rec_amount,premium_rcv_detail_code,remaining_amt, payrec, mode_code,coinsurance_code,class_cd,it_remarks) values</v>
      </c>
      <c r="G54" s="28" t="str">
        <f t="shared" si="2"/>
        <v>('30Dec240042','070000171955','32759',(select max(to_number(i.premium_rcv_detail_code))+1
from ins_premium_det i),'32759','32759','02', '11000003','00','Request by Mr. Saqib Saleem 31-Dec-2024 Hold');</v>
      </c>
      <c r="H54" s="29" t="str">
        <f t="shared" si="3"/>
        <v>insert into ins_premium_det (premium_rcv_code,assorted_code, rec_amount,premium_rcv_detail_code,remaining_amt, payrec, mode_code,coinsurance_code,class_cd,it_remarks) values('30Dec240042','070000171955','32759',(select max(to_number(i.premium_rcv_detail_code))+1
from ins_premium_det i),'32759','32759','02', '11000003','00','Request by Mr. Saqib Saleem 31-Dec-2024 Hold');</v>
      </c>
    </row>
    <row r="55" spans="1:8" ht="105" x14ac:dyDescent="0.25">
      <c r="A55" s="12" t="s">
        <v>12057</v>
      </c>
      <c r="B55" s="25" t="str">
        <f>VLOOKUP(A55,policy1!B:C,2,0)</f>
        <v>070000171956</v>
      </c>
      <c r="C55" s="13">
        <v>52181</v>
      </c>
      <c r="D55" s="26">
        <f t="shared" si="1"/>
        <v>52181</v>
      </c>
      <c r="E55" s="24" t="s">
        <v>13296</v>
      </c>
      <c r="F55" s="27" t="str">
        <f t="shared" si="0"/>
        <v>insert into ins_premium_det (premium_rcv_code,assorted_code, rec_amount,premium_rcv_detail_code,remaining_amt, payrec, mode_code,coinsurance_code,class_cd,it_remarks) values</v>
      </c>
      <c r="G55" s="28" t="str">
        <f t="shared" si="2"/>
        <v>('30Dec240042','070000171956','52181',(select max(to_number(i.premium_rcv_detail_code))+1
from ins_premium_det i),'52181','52181','02', '11000003','00','Request by Mr. Saqib Saleem 31-Dec-2024 Hold');</v>
      </c>
      <c r="H55" s="29" t="str">
        <f t="shared" si="3"/>
        <v>insert into ins_premium_det (premium_rcv_code,assorted_code, rec_amount,premium_rcv_detail_code,remaining_amt, payrec, mode_code,coinsurance_code,class_cd,it_remarks) values('30Dec240042','070000171956','52181',(select max(to_number(i.premium_rcv_detail_code))+1
from ins_premium_det i),'52181','52181','02', '11000003','00','Request by Mr. Saqib Saleem 31-Dec-2024 Hold');</v>
      </c>
    </row>
    <row r="56" spans="1:8" ht="105" x14ac:dyDescent="0.25">
      <c r="A56" s="9" t="s">
        <v>12058</v>
      </c>
      <c r="B56" s="25" t="str">
        <f>VLOOKUP(A56,policy1!B:C,2,0)</f>
        <v>070000171960</v>
      </c>
      <c r="C56" s="11">
        <v>21038</v>
      </c>
      <c r="D56" s="26">
        <f t="shared" si="1"/>
        <v>21038</v>
      </c>
      <c r="E56" s="24" t="s">
        <v>13296</v>
      </c>
      <c r="F56" s="27" t="str">
        <f t="shared" si="0"/>
        <v>insert into ins_premium_det (premium_rcv_code,assorted_code, rec_amount,premium_rcv_detail_code,remaining_amt, payrec, mode_code,coinsurance_code,class_cd,it_remarks) values</v>
      </c>
      <c r="G56" s="28" t="str">
        <f t="shared" si="2"/>
        <v>('30Dec240042','070000171960','21038',(select max(to_number(i.premium_rcv_detail_code))+1
from ins_premium_det i),'21038','21038','02', '11000003','00','Request by Mr. Saqib Saleem 31-Dec-2024 Hold');</v>
      </c>
      <c r="H56" s="29" t="str">
        <f t="shared" si="3"/>
        <v>insert into ins_premium_det (premium_rcv_code,assorted_code, rec_amount,premium_rcv_detail_code,remaining_amt, payrec, mode_code,coinsurance_code,class_cd,it_remarks) values('30Dec240042','070000171960','21038',(select max(to_number(i.premium_rcv_detail_code))+1
from ins_premium_det i),'21038','21038','02', '11000003','00','Request by Mr. Saqib Saleem 31-Dec-2024 Hold');</v>
      </c>
    </row>
    <row r="57" spans="1:8" ht="105" x14ac:dyDescent="0.25">
      <c r="A57" s="12" t="s">
        <v>12059</v>
      </c>
      <c r="B57" s="25" t="str">
        <f>VLOOKUP(A57,policy1!B:C,2,0)</f>
        <v>070000171962</v>
      </c>
      <c r="C57" s="13">
        <v>16193</v>
      </c>
      <c r="D57" s="26">
        <f t="shared" si="1"/>
        <v>16193</v>
      </c>
      <c r="E57" s="24" t="s">
        <v>13296</v>
      </c>
      <c r="F57" s="27" t="str">
        <f t="shared" si="0"/>
        <v>insert into ins_premium_det (premium_rcv_code,assorted_code, rec_amount,premium_rcv_detail_code,remaining_amt, payrec, mode_code,coinsurance_code,class_cd,it_remarks) values</v>
      </c>
      <c r="G57" s="28" t="str">
        <f t="shared" si="2"/>
        <v>('30Dec240042','070000171962','16193',(select max(to_number(i.premium_rcv_detail_code))+1
from ins_premium_det i),'16193','16193','02', '11000003','00','Request by Mr. Saqib Saleem 31-Dec-2024 Hold');</v>
      </c>
      <c r="H57" s="29" t="str">
        <f t="shared" si="3"/>
        <v>insert into ins_premium_det (premium_rcv_code,assorted_code, rec_amount,premium_rcv_detail_code,remaining_amt, payrec, mode_code,coinsurance_code,class_cd,it_remarks) values('30Dec240042','070000171962','16193',(select max(to_number(i.premium_rcv_detail_code))+1
from ins_premium_det i),'16193','16193','02', '11000003','00','Request by Mr. Saqib Saleem 31-Dec-2024 Hold');</v>
      </c>
    </row>
    <row r="58" spans="1:8" ht="105" x14ac:dyDescent="0.25">
      <c r="A58" s="9" t="s">
        <v>12060</v>
      </c>
      <c r="B58" s="25" t="str">
        <f>VLOOKUP(A58,policy1!B:C,2,0)</f>
        <v>070000171966</v>
      </c>
      <c r="C58" s="11">
        <v>15938</v>
      </c>
      <c r="D58" s="26">
        <f t="shared" si="1"/>
        <v>15938</v>
      </c>
      <c r="E58" s="24" t="s">
        <v>13296</v>
      </c>
      <c r="F58" s="27" t="str">
        <f t="shared" si="0"/>
        <v>insert into ins_premium_det (premium_rcv_code,assorted_code, rec_amount,premium_rcv_detail_code,remaining_amt, payrec, mode_code,coinsurance_code,class_cd,it_remarks) values</v>
      </c>
      <c r="G58" s="28" t="str">
        <f t="shared" si="2"/>
        <v>('30Dec240042','070000171966','15938',(select max(to_number(i.premium_rcv_detail_code))+1
from ins_premium_det i),'15938','15938','02', '11000003','00','Request by Mr. Saqib Saleem 31-Dec-2024 Hold');</v>
      </c>
      <c r="H58" s="29" t="str">
        <f t="shared" si="3"/>
        <v>insert into ins_premium_det (premium_rcv_code,assorted_code, rec_amount,premium_rcv_detail_code,remaining_amt, payrec, mode_code,coinsurance_code,class_cd,it_remarks) values('30Dec240042','070000171966','15938',(select max(to_number(i.premium_rcv_detail_code))+1
from ins_premium_det i),'15938','15938','02', '11000003','00','Request by Mr. Saqib Saleem 31-Dec-2024 Hold');</v>
      </c>
    </row>
    <row r="59" spans="1:8" ht="105" x14ac:dyDescent="0.25">
      <c r="A59" s="12" t="s">
        <v>12061</v>
      </c>
      <c r="B59" s="25" t="str">
        <f>VLOOKUP(A59,policy1!B:C,2,0)</f>
        <v>070000171967</v>
      </c>
      <c r="C59" s="13">
        <v>14025</v>
      </c>
      <c r="D59" s="26">
        <f t="shared" si="1"/>
        <v>14025</v>
      </c>
      <c r="E59" s="24" t="s">
        <v>13296</v>
      </c>
      <c r="F59" s="27" t="str">
        <f t="shared" si="0"/>
        <v>insert into ins_premium_det (premium_rcv_code,assorted_code, rec_amount,premium_rcv_detail_code,remaining_amt, payrec, mode_code,coinsurance_code,class_cd,it_remarks) values</v>
      </c>
      <c r="G59" s="28" t="str">
        <f t="shared" si="2"/>
        <v>('30Dec240042','070000171967','14025',(select max(to_number(i.premium_rcv_detail_code))+1
from ins_premium_det i),'14025','14025','02', '11000003','00','Request by Mr. Saqib Saleem 31-Dec-2024 Hold');</v>
      </c>
      <c r="H59" s="29" t="str">
        <f t="shared" si="3"/>
        <v>insert into ins_premium_det (premium_rcv_code,assorted_code, rec_amount,premium_rcv_detail_code,remaining_amt, payrec, mode_code,coinsurance_code,class_cd,it_remarks) values('30Dec240042','070000171967','14025',(select max(to_number(i.premium_rcv_detail_code))+1
from ins_premium_det i),'14025','14025','02', '11000003','00','Request by Mr. Saqib Saleem 31-Dec-2024 Hold');</v>
      </c>
    </row>
    <row r="60" spans="1:8" ht="105" x14ac:dyDescent="0.25">
      <c r="A60" s="9" t="s">
        <v>12062</v>
      </c>
      <c r="B60" s="25" t="str">
        <f>VLOOKUP(A60,policy1!B:C,2,0)</f>
        <v>070000171968</v>
      </c>
      <c r="C60" s="11">
        <v>17850</v>
      </c>
      <c r="D60" s="26">
        <f t="shared" si="1"/>
        <v>17850</v>
      </c>
      <c r="E60" s="24" t="s">
        <v>13296</v>
      </c>
      <c r="F60" s="27" t="str">
        <f t="shared" si="0"/>
        <v>insert into ins_premium_det (premium_rcv_code,assorted_code, rec_amount,premium_rcv_detail_code,remaining_amt, payrec, mode_code,coinsurance_code,class_cd,it_remarks) values</v>
      </c>
      <c r="G60" s="28" t="str">
        <f t="shared" si="2"/>
        <v>('30Dec240042','070000171968','17850',(select max(to_number(i.premium_rcv_detail_code))+1
from ins_premium_det i),'17850','17850','02', '11000003','00','Request by Mr. Saqib Saleem 31-Dec-2024 Hold');</v>
      </c>
      <c r="H60" s="29" t="str">
        <f t="shared" si="3"/>
        <v>insert into ins_premium_det (premium_rcv_code,assorted_code, rec_amount,premium_rcv_detail_code,remaining_amt, payrec, mode_code,coinsurance_code,class_cd,it_remarks) values('30Dec240042','070000171968','17850',(select max(to_number(i.premium_rcv_detail_code))+1
from ins_premium_det i),'17850','17850','02', '11000003','00','Request by Mr. Saqib Saleem 31-Dec-2024 Hold');</v>
      </c>
    </row>
    <row r="61" spans="1:8" ht="105" x14ac:dyDescent="0.25">
      <c r="A61" s="12" t="s">
        <v>12063</v>
      </c>
      <c r="B61" s="25" t="str">
        <f>VLOOKUP(A61,policy1!B:C,2,0)</f>
        <v>070000171969</v>
      </c>
      <c r="C61" s="13">
        <v>33750</v>
      </c>
      <c r="D61" s="26">
        <f t="shared" si="1"/>
        <v>33750</v>
      </c>
      <c r="E61" s="24" t="s">
        <v>13296</v>
      </c>
      <c r="F61" s="27" t="str">
        <f t="shared" si="0"/>
        <v>insert into ins_premium_det (premium_rcv_code,assorted_code, rec_amount,premium_rcv_detail_code,remaining_amt, payrec, mode_code,coinsurance_code,class_cd,it_remarks) values</v>
      </c>
      <c r="G61" s="28" t="str">
        <f t="shared" si="2"/>
        <v>('30Dec240042','070000171969','33750',(select max(to_number(i.premium_rcv_detail_code))+1
from ins_premium_det i),'33750','33750','02', '11000003','00','Request by Mr. Saqib Saleem 31-Dec-2024 Hold');</v>
      </c>
      <c r="H61" s="29" t="str">
        <f t="shared" si="3"/>
        <v>insert into ins_premium_det (premium_rcv_code,assorted_code, rec_amount,premium_rcv_detail_code,remaining_amt, payrec, mode_code,coinsurance_code,class_cd,it_remarks) values('30Dec240042','070000171969','33750',(select max(to_number(i.premium_rcv_detail_code))+1
from ins_premium_det i),'33750','33750','02', '11000003','00','Request by Mr. Saqib Saleem 31-Dec-2024 Hold');</v>
      </c>
    </row>
    <row r="62" spans="1:8" ht="105" x14ac:dyDescent="0.25">
      <c r="A62" s="9" t="s">
        <v>12064</v>
      </c>
      <c r="B62" s="25" t="str">
        <f>VLOOKUP(A62,policy1!B:C,2,0)</f>
        <v>070000171970</v>
      </c>
      <c r="C62" s="11">
        <v>15520</v>
      </c>
      <c r="D62" s="26">
        <f t="shared" si="1"/>
        <v>15520</v>
      </c>
      <c r="E62" s="24" t="s">
        <v>13296</v>
      </c>
      <c r="F62" s="27" t="str">
        <f t="shared" si="0"/>
        <v>insert into ins_premium_det (premium_rcv_code,assorted_code, rec_amount,premium_rcv_detail_code,remaining_amt, payrec, mode_code,coinsurance_code,class_cd,it_remarks) values</v>
      </c>
      <c r="G62" s="28" t="str">
        <f t="shared" si="2"/>
        <v>('30Dec240042','070000171970','15520',(select max(to_number(i.premium_rcv_detail_code))+1
from ins_premium_det i),'15520','15520','02', '11000003','00','Request by Mr. Saqib Saleem 31-Dec-2024 Hold');</v>
      </c>
      <c r="H62" s="29" t="str">
        <f t="shared" si="3"/>
        <v>insert into ins_premium_det (premium_rcv_code,assorted_code, rec_amount,premium_rcv_detail_code,remaining_amt, payrec, mode_code,coinsurance_code,class_cd,it_remarks) values('30Dec240042','070000171970','15520',(select max(to_number(i.premium_rcv_detail_code))+1
from ins_premium_det i),'15520','15520','02', '11000003','00','Request by Mr. Saqib Saleem 31-Dec-2024 Hold');</v>
      </c>
    </row>
    <row r="63" spans="1:8" ht="105" x14ac:dyDescent="0.25">
      <c r="A63" s="12" t="s">
        <v>12065</v>
      </c>
      <c r="B63" s="25" t="str">
        <f>VLOOKUP(A63,policy1!B:C,2,0)</f>
        <v>070000171971</v>
      </c>
      <c r="C63" s="13">
        <v>14025</v>
      </c>
      <c r="D63" s="26">
        <f t="shared" si="1"/>
        <v>14025</v>
      </c>
      <c r="E63" s="24" t="s">
        <v>13296</v>
      </c>
      <c r="F63" s="27" t="str">
        <f t="shared" si="0"/>
        <v>insert into ins_premium_det (premium_rcv_code,assorted_code, rec_amount,premium_rcv_detail_code,remaining_amt, payrec, mode_code,coinsurance_code,class_cd,it_remarks) values</v>
      </c>
      <c r="G63" s="28" t="str">
        <f t="shared" si="2"/>
        <v>('30Dec240042','070000171971','14025',(select max(to_number(i.premium_rcv_detail_code))+1
from ins_premium_det i),'14025','14025','02', '11000003','00','Request by Mr. Saqib Saleem 31-Dec-2024 Hold');</v>
      </c>
      <c r="H63" s="29" t="str">
        <f t="shared" si="3"/>
        <v>insert into ins_premium_det (premium_rcv_code,assorted_code, rec_amount,premium_rcv_detail_code,remaining_amt, payrec, mode_code,coinsurance_code,class_cd,it_remarks) values('30Dec240042','070000171971','14025',(select max(to_number(i.premium_rcv_detail_code))+1
from ins_premium_det i),'14025','14025','02', '11000003','00','Request by Mr. Saqib Saleem 31-Dec-2024 Hold');</v>
      </c>
    </row>
    <row r="64" spans="1:8" ht="105" x14ac:dyDescent="0.25">
      <c r="A64" s="9" t="s">
        <v>12066</v>
      </c>
      <c r="B64" s="25" t="str">
        <f>VLOOKUP(A64,policy1!B:C,2,0)</f>
        <v>070000171972</v>
      </c>
      <c r="C64" s="11">
        <v>41139</v>
      </c>
      <c r="D64" s="26">
        <f t="shared" si="1"/>
        <v>41139</v>
      </c>
      <c r="E64" s="24" t="s">
        <v>13296</v>
      </c>
      <c r="F64" s="27" t="str">
        <f t="shared" si="0"/>
        <v>insert into ins_premium_det (premium_rcv_code,assorted_code, rec_amount,premium_rcv_detail_code,remaining_amt, payrec, mode_code,coinsurance_code,class_cd,it_remarks) values</v>
      </c>
      <c r="G64" s="28" t="str">
        <f t="shared" si="2"/>
        <v>('30Dec240042','070000171972','41139',(select max(to_number(i.premium_rcv_detail_code))+1
from ins_premium_det i),'41139','41139','02', '11000003','00','Request by Mr. Saqib Saleem 31-Dec-2024 Hold');</v>
      </c>
      <c r="H64" s="29" t="str">
        <f t="shared" si="3"/>
        <v>insert into ins_premium_det (premium_rcv_code,assorted_code, rec_amount,premium_rcv_detail_code,remaining_amt, payrec, mode_code,coinsurance_code,class_cd,it_remarks) values('30Dec240042','070000171972','41139',(select max(to_number(i.premium_rcv_detail_code))+1
from ins_premium_det i),'41139','41139','02', '11000003','00','Request by Mr. Saqib Saleem 31-Dec-2024 Hold');</v>
      </c>
    </row>
    <row r="65" spans="1:8" ht="105" x14ac:dyDescent="0.25">
      <c r="A65" s="17" t="s">
        <v>12216</v>
      </c>
      <c r="B65" s="25" t="str">
        <f>VLOOKUP(A65,policy1!B:C,2,0)</f>
        <v>070000171974</v>
      </c>
      <c r="C65" s="13">
        <v>55755</v>
      </c>
      <c r="D65" s="26">
        <f t="shared" si="1"/>
        <v>55755</v>
      </c>
      <c r="E65" s="24" t="s">
        <v>13296</v>
      </c>
      <c r="F65" s="27" t="str">
        <f t="shared" si="0"/>
        <v>insert into ins_premium_det (premium_rcv_code,assorted_code, rec_amount,premium_rcv_detail_code,remaining_amt, payrec, mode_code,coinsurance_code,class_cd,it_remarks) values</v>
      </c>
      <c r="G65" s="28" t="str">
        <f t="shared" si="2"/>
        <v>('30Dec240042','070000171974','55755',(select max(to_number(i.premium_rcv_detail_code))+1
from ins_premium_det i),'55755','55755','02', '11000003','00','Request by Mr. Saqib Saleem 31-Dec-2024 Hold');</v>
      </c>
      <c r="H65" s="29" t="str">
        <f t="shared" si="3"/>
        <v>insert into ins_premium_det (premium_rcv_code,assorted_code, rec_amount,premium_rcv_detail_code,remaining_amt, payrec, mode_code,coinsurance_code,class_cd,it_remarks) values('30Dec240042','070000171974','55755',(select max(to_number(i.premium_rcv_detail_code))+1
from ins_premium_det i),'55755','55755','02', '11000003','00','Request by Mr. Saqib Saleem 31-Dec-2024 Hold');</v>
      </c>
    </row>
    <row r="66" spans="1:8" ht="105" x14ac:dyDescent="0.25">
      <c r="A66" s="9" t="s">
        <v>12067</v>
      </c>
      <c r="B66" s="25" t="str">
        <f>VLOOKUP(A66,policy1!B:C,2,0)</f>
        <v>070000171975</v>
      </c>
      <c r="C66" s="11">
        <v>68513</v>
      </c>
      <c r="D66" s="26">
        <f t="shared" si="1"/>
        <v>68513</v>
      </c>
      <c r="E66" s="24" t="s">
        <v>13296</v>
      </c>
      <c r="F66" s="27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28" t="str">
        <f t="shared" si="2"/>
        <v>('30Dec240042','070000171975','68513',(select max(to_number(i.premium_rcv_detail_code))+1
from ins_premium_det i),'68513','68513','02', '11000003','00','Request by Mr. Saqib Saleem 31-Dec-2024 Hold');</v>
      </c>
      <c r="H66" s="29" t="str">
        <f t="shared" si="3"/>
        <v>insert into ins_premium_det (premium_rcv_code,assorted_code, rec_amount,premium_rcv_detail_code,remaining_amt, payrec, mode_code,coinsurance_code,class_cd,it_remarks) values('30Dec240042','070000171975','68513',(select max(to_number(i.premium_rcv_detail_code))+1
from ins_premium_det i),'68513','68513','02', '11000003','00','Request by Mr. Saqib Saleem 31-Dec-2024 Hold');</v>
      </c>
    </row>
    <row r="67" spans="1:8" ht="105" x14ac:dyDescent="0.25">
      <c r="A67" s="12" t="s">
        <v>12068</v>
      </c>
      <c r="B67" s="25" t="str">
        <f>VLOOKUP(A67,policy1!B:C,2,0)</f>
        <v>070000171976</v>
      </c>
      <c r="C67" s="13">
        <v>53550</v>
      </c>
      <c r="D67" s="26">
        <f t="shared" ref="D67:D130" si="5">ROUND(C67,0)</f>
        <v>53550</v>
      </c>
      <c r="E67" s="24" t="s">
        <v>13296</v>
      </c>
      <c r="F67" s="27" t="str">
        <f t="shared" si="4"/>
        <v>insert into ins_premium_det (premium_rcv_code,assorted_code, rec_amount,premium_rcv_detail_code,remaining_amt, payrec, mode_code,coinsurance_code,class_cd,it_remarks) values</v>
      </c>
      <c r="G67" s="28" t="str">
        <f t="shared" ref="G67:G130" si="6">"('"&amp;E67&amp;"','"&amp;B67&amp;"','"&amp;D67&amp;"',(select max(to_number(i.premium_rcv_detail_code))+1
from ins_premium_det i),'"&amp;D67&amp;"','"&amp;D67&amp;"','02', '11000003','00','Request by Mr. Saqib Saleem 31-Dec-2024 Hold');"</f>
        <v>('30Dec240042','070000171976','53550',(select max(to_number(i.premium_rcv_detail_code))+1
from ins_premium_det i),'53550','53550','02', '11000003','00','Request by Mr. Saqib Saleem 31-Dec-2024 Hold');</v>
      </c>
      <c r="H67" s="29" t="str">
        <f t="shared" ref="H67:H130" si="7">F67&amp;G67</f>
        <v>insert into ins_premium_det (premium_rcv_code,assorted_code, rec_amount,premium_rcv_detail_code,remaining_amt, payrec, mode_code,coinsurance_code,class_cd,it_remarks) values('30Dec240042','070000171976','53550',(select max(to_number(i.premium_rcv_detail_code))+1
from ins_premium_det i),'53550','53550','02', '11000003','00','Request by Mr. Saqib Saleem 31-Dec-2024 Hold');</v>
      </c>
    </row>
    <row r="68" spans="1:8" ht="105" x14ac:dyDescent="0.25">
      <c r="A68" s="9" t="s">
        <v>12069</v>
      </c>
      <c r="B68" s="25" t="str">
        <f>VLOOKUP(A68,policy1!B:C,2,0)</f>
        <v>070000171977</v>
      </c>
      <c r="C68" s="11">
        <v>75600</v>
      </c>
      <c r="D68" s="26">
        <f t="shared" si="5"/>
        <v>75600</v>
      </c>
      <c r="E68" s="24" t="s">
        <v>13296</v>
      </c>
      <c r="F68" s="27" t="str">
        <f t="shared" si="4"/>
        <v>insert into ins_premium_det (premium_rcv_code,assorted_code, rec_amount,premium_rcv_detail_code,remaining_amt, payrec, mode_code,coinsurance_code,class_cd,it_remarks) values</v>
      </c>
      <c r="G68" s="28" t="str">
        <f t="shared" si="6"/>
        <v>('30Dec240042','070000171977','75600',(select max(to_number(i.premium_rcv_detail_code))+1
from ins_premium_det i),'75600','75600','02', '11000003','00','Request by Mr. Saqib Saleem 31-Dec-2024 Hold');</v>
      </c>
      <c r="H68" s="29" t="str">
        <f t="shared" si="7"/>
        <v>insert into ins_premium_det (premium_rcv_code,assorted_code, rec_amount,premium_rcv_detail_code,remaining_amt, payrec, mode_code,coinsurance_code,class_cd,it_remarks) values('30Dec240042','070000171977','75600',(select max(to_number(i.premium_rcv_detail_code))+1
from ins_premium_det i),'75600','75600','02', '11000003','00','Request by Mr. Saqib Saleem 31-Dec-2024 Hold');</v>
      </c>
    </row>
    <row r="69" spans="1:8" ht="105" x14ac:dyDescent="0.25">
      <c r="A69" s="12" t="s">
        <v>12070</v>
      </c>
      <c r="B69" s="25" t="str">
        <f>VLOOKUP(A69,policy1!B:C,2,0)</f>
        <v>070000171978</v>
      </c>
      <c r="C69" s="13">
        <v>77963</v>
      </c>
      <c r="D69" s="26">
        <f t="shared" si="5"/>
        <v>77963</v>
      </c>
      <c r="E69" s="24" t="s">
        <v>13296</v>
      </c>
      <c r="F69" s="27" t="str">
        <f t="shared" si="4"/>
        <v>insert into ins_premium_det (premium_rcv_code,assorted_code, rec_amount,premium_rcv_detail_code,remaining_amt, payrec, mode_code,coinsurance_code,class_cd,it_remarks) values</v>
      </c>
      <c r="G69" s="28" t="str">
        <f t="shared" si="6"/>
        <v>('30Dec240042','070000171978','77963',(select max(to_number(i.premium_rcv_detail_code))+1
from ins_premium_det i),'77963','77963','02', '11000003','00','Request by Mr. Saqib Saleem 31-Dec-2024 Hold');</v>
      </c>
      <c r="H69" s="29" t="str">
        <f t="shared" si="7"/>
        <v>insert into ins_premium_det (premium_rcv_code,assorted_code, rec_amount,premium_rcv_detail_code,remaining_amt, payrec, mode_code,coinsurance_code,class_cd,it_remarks) values('30Dec240042','070000171978','77963',(select max(to_number(i.premium_rcv_detail_code))+1
from ins_premium_det i),'77963','77963','02', '11000003','00','Request by Mr. Saqib Saleem 31-Dec-2024 Hold');</v>
      </c>
    </row>
    <row r="70" spans="1:8" ht="105" x14ac:dyDescent="0.25">
      <c r="A70" s="9" t="s">
        <v>12071</v>
      </c>
      <c r="B70" s="25" t="str">
        <f>VLOOKUP(A70,policy1!B:C,2,0)</f>
        <v>070000171979</v>
      </c>
      <c r="C70" s="11">
        <v>75600</v>
      </c>
      <c r="D70" s="26">
        <f t="shared" si="5"/>
        <v>75600</v>
      </c>
      <c r="E70" s="24" t="s">
        <v>13296</v>
      </c>
      <c r="F70" s="27" t="str">
        <f t="shared" si="4"/>
        <v>insert into ins_premium_det (premium_rcv_code,assorted_code, rec_amount,premium_rcv_detail_code,remaining_amt, payrec, mode_code,coinsurance_code,class_cd,it_remarks) values</v>
      </c>
      <c r="G70" s="28" t="str">
        <f t="shared" si="6"/>
        <v>('30Dec240042','070000171979','75600',(select max(to_number(i.premium_rcv_detail_code))+1
from ins_premium_det i),'75600','75600','02', '11000003','00','Request by Mr. Saqib Saleem 31-Dec-2024 Hold');</v>
      </c>
      <c r="H70" s="29" t="str">
        <f t="shared" si="7"/>
        <v>insert into ins_premium_det (premium_rcv_code,assorted_code, rec_amount,premium_rcv_detail_code,remaining_amt, payrec, mode_code,coinsurance_code,class_cd,it_remarks) values('30Dec240042','070000171979','75600',(select max(to_number(i.premium_rcv_detail_code))+1
from ins_premium_det i),'75600','75600','02', '11000003','00','Request by Mr. Saqib Saleem 31-Dec-2024 Hold');</v>
      </c>
    </row>
    <row r="71" spans="1:8" ht="105" x14ac:dyDescent="0.25">
      <c r="A71" s="12" t="s">
        <v>12072</v>
      </c>
      <c r="B71" s="25" t="str">
        <f>VLOOKUP(A71,policy1!B:C,2,0)</f>
        <v>070000171981</v>
      </c>
      <c r="C71" s="13">
        <v>76514</v>
      </c>
      <c r="D71" s="26">
        <f t="shared" si="5"/>
        <v>76514</v>
      </c>
      <c r="E71" s="24" t="s">
        <v>13296</v>
      </c>
      <c r="F71" s="27" t="str">
        <f t="shared" si="4"/>
        <v>insert into ins_premium_det (premium_rcv_code,assorted_code, rec_amount,premium_rcv_detail_code,remaining_amt, payrec, mode_code,coinsurance_code,class_cd,it_remarks) values</v>
      </c>
      <c r="G71" s="28" t="str">
        <f t="shared" si="6"/>
        <v>('30Dec240042','070000171981','76514',(select max(to_number(i.premium_rcv_detail_code))+1
from ins_premium_det i),'76514','76514','02', '11000003','00','Request by Mr. Saqib Saleem 31-Dec-2024 Hold');</v>
      </c>
      <c r="H71" s="29" t="str">
        <f t="shared" si="7"/>
        <v>insert into ins_premium_det (premium_rcv_code,assorted_code, rec_amount,premium_rcv_detail_code,remaining_amt, payrec, mode_code,coinsurance_code,class_cd,it_remarks) values('30Dec240042','070000171981','76514',(select max(to_number(i.premium_rcv_detail_code))+1
from ins_premium_det i),'76514','76514','02', '11000003','00','Request by Mr. Saqib Saleem 31-Dec-2024 Hold');</v>
      </c>
    </row>
    <row r="72" spans="1:8" ht="105" x14ac:dyDescent="0.25">
      <c r="A72" s="9" t="s">
        <v>12073</v>
      </c>
      <c r="B72" s="25" t="str">
        <f>VLOOKUP(A72,policy1!B:C,2,0)</f>
        <v>070000171983</v>
      </c>
      <c r="C72" s="11">
        <v>62213</v>
      </c>
      <c r="D72" s="26">
        <f t="shared" si="5"/>
        <v>62213</v>
      </c>
      <c r="E72" s="24" t="s">
        <v>13296</v>
      </c>
      <c r="F72" s="27" t="str">
        <f t="shared" si="4"/>
        <v>insert into ins_premium_det (premium_rcv_code,assorted_code, rec_amount,premium_rcv_detail_code,remaining_amt, payrec, mode_code,coinsurance_code,class_cd,it_remarks) values</v>
      </c>
      <c r="G72" s="28" t="str">
        <f t="shared" si="6"/>
        <v>('30Dec240042','070000171983','62213',(select max(to_number(i.premium_rcv_detail_code))+1
from ins_premium_det i),'62213','62213','02', '11000003','00','Request by Mr. Saqib Saleem 31-Dec-2024 Hold');</v>
      </c>
      <c r="H72" s="29" t="str">
        <f t="shared" si="7"/>
        <v>insert into ins_premium_det (premium_rcv_code,assorted_code, rec_amount,premium_rcv_detail_code,remaining_amt, payrec, mode_code,coinsurance_code,class_cd,it_remarks) values('30Dec240042','070000171983','62213',(select max(to_number(i.premium_rcv_detail_code))+1
from ins_premium_det i),'62213','62213','02', '11000003','00','Request by Mr. Saqib Saleem 31-Dec-2024 Hold');</v>
      </c>
    </row>
    <row r="73" spans="1:8" ht="105" x14ac:dyDescent="0.25">
      <c r="A73" s="12" t="s">
        <v>12074</v>
      </c>
      <c r="B73" s="25" t="str">
        <f>VLOOKUP(A73,policy1!B:C,2,0)</f>
        <v>070000171984</v>
      </c>
      <c r="C73" s="13">
        <v>34178</v>
      </c>
      <c r="D73" s="26">
        <f t="shared" si="5"/>
        <v>34178</v>
      </c>
      <c r="E73" s="24" t="s">
        <v>13296</v>
      </c>
      <c r="F73" s="27" t="str">
        <f t="shared" si="4"/>
        <v>insert into ins_premium_det (premium_rcv_code,assorted_code, rec_amount,premium_rcv_detail_code,remaining_amt, payrec, mode_code,coinsurance_code,class_cd,it_remarks) values</v>
      </c>
      <c r="G73" s="28" t="str">
        <f t="shared" si="6"/>
        <v>('30Dec240042','070000171984','34178',(select max(to_number(i.premium_rcv_detail_code))+1
from ins_premium_det i),'34178','34178','02', '11000003','00','Request by Mr. Saqib Saleem 31-Dec-2024 Hold');</v>
      </c>
      <c r="H73" s="29" t="str">
        <f t="shared" si="7"/>
        <v>insert into ins_premium_det (premium_rcv_code,assorted_code, rec_amount,premium_rcv_detail_code,remaining_amt, payrec, mode_code,coinsurance_code,class_cd,it_remarks) values('30Dec240042','070000171984','34178',(select max(to_number(i.premium_rcv_detail_code))+1
from ins_premium_det i),'34178','34178','02', '11000003','00','Request by Mr. Saqib Saleem 31-Dec-2024 Hold');</v>
      </c>
    </row>
    <row r="74" spans="1:8" ht="105" x14ac:dyDescent="0.25">
      <c r="A74" s="9" t="s">
        <v>12075</v>
      </c>
      <c r="B74" s="25" t="str">
        <f>VLOOKUP(A74,policy1!B:C,2,0)</f>
        <v>070000171985</v>
      </c>
      <c r="C74" s="11">
        <v>23508</v>
      </c>
      <c r="D74" s="26">
        <f t="shared" si="5"/>
        <v>23508</v>
      </c>
      <c r="E74" s="24" t="s">
        <v>13296</v>
      </c>
      <c r="F74" s="27" t="str">
        <f t="shared" si="4"/>
        <v>insert into ins_premium_det (premium_rcv_code,assorted_code, rec_amount,premium_rcv_detail_code,remaining_amt, payrec, mode_code,coinsurance_code,class_cd,it_remarks) values</v>
      </c>
      <c r="G74" s="28" t="str">
        <f t="shared" si="6"/>
        <v>('30Dec240042','070000171985','23508',(select max(to_number(i.premium_rcv_detail_code))+1
from ins_premium_det i),'23508','23508','02', '11000003','00','Request by Mr. Saqib Saleem 31-Dec-2024 Hold');</v>
      </c>
      <c r="H74" s="29" t="str">
        <f t="shared" si="7"/>
        <v>insert into ins_premium_det (premium_rcv_code,assorted_code, rec_amount,premium_rcv_detail_code,remaining_amt, payrec, mode_code,coinsurance_code,class_cd,it_remarks) values('30Dec240042','070000171985','23508',(select max(to_number(i.premium_rcv_detail_code))+1
from ins_premium_det i),'23508','23508','02', '11000003','00','Request by Mr. Saqib Saleem 31-Dec-2024 Hold');</v>
      </c>
    </row>
    <row r="75" spans="1:8" ht="105" x14ac:dyDescent="0.25">
      <c r="A75" s="12" t="s">
        <v>12076</v>
      </c>
      <c r="B75" s="25" t="str">
        <f>VLOOKUP(A75,policy1!B:C,2,0)</f>
        <v>070000171986</v>
      </c>
      <c r="C75" s="13">
        <v>31194</v>
      </c>
      <c r="D75" s="26">
        <f t="shared" si="5"/>
        <v>31194</v>
      </c>
      <c r="E75" s="24" t="s">
        <v>13296</v>
      </c>
      <c r="F75" s="27" t="str">
        <f t="shared" si="4"/>
        <v>insert into ins_premium_det (premium_rcv_code,assorted_code, rec_amount,premium_rcv_detail_code,remaining_amt, payrec, mode_code,coinsurance_code,class_cd,it_remarks) values</v>
      </c>
      <c r="G75" s="28" t="str">
        <f t="shared" si="6"/>
        <v>('30Dec240042','070000171986','31194',(select max(to_number(i.premium_rcv_detail_code))+1
from ins_premium_det i),'31194','31194','02', '11000003','00','Request by Mr. Saqib Saleem 31-Dec-2024 Hold');</v>
      </c>
      <c r="H75" s="29" t="str">
        <f t="shared" si="7"/>
        <v>insert into ins_premium_det (premium_rcv_code,assorted_code, rec_amount,premium_rcv_detail_code,remaining_amt, payrec, mode_code,coinsurance_code,class_cd,it_remarks) values('30Dec240042','070000171986','31194',(select max(to_number(i.premium_rcv_detail_code))+1
from ins_premium_det i),'31194','31194','02', '11000003','00','Request by Mr. Saqib Saleem 31-Dec-2024 Hold');</v>
      </c>
    </row>
    <row r="76" spans="1:8" ht="105" x14ac:dyDescent="0.25">
      <c r="A76" s="9" t="s">
        <v>12077</v>
      </c>
      <c r="B76" s="25" t="str">
        <f>VLOOKUP(A76,policy1!B:C,2,0)</f>
        <v>070000171990</v>
      </c>
      <c r="C76" s="11">
        <v>167177</v>
      </c>
      <c r="D76" s="26">
        <f t="shared" si="5"/>
        <v>167177</v>
      </c>
      <c r="E76" s="24" t="s">
        <v>13296</v>
      </c>
      <c r="F76" s="27" t="str">
        <f t="shared" si="4"/>
        <v>insert into ins_premium_det (premium_rcv_code,assorted_code, rec_amount,premium_rcv_detail_code,remaining_amt, payrec, mode_code,coinsurance_code,class_cd,it_remarks) values</v>
      </c>
      <c r="G76" s="28" t="str">
        <f t="shared" si="6"/>
        <v>('30Dec240042','070000171990','167177',(select max(to_number(i.premium_rcv_detail_code))+1
from ins_premium_det i),'167177','167177','02', '11000003','00','Request by Mr. Saqib Saleem 31-Dec-2024 Hold');</v>
      </c>
      <c r="H76" s="29" t="str">
        <f t="shared" si="7"/>
        <v>insert into ins_premium_det (premium_rcv_code,assorted_code, rec_amount,premium_rcv_detail_code,remaining_amt, payrec, mode_code,coinsurance_code,class_cd,it_remarks) values('30Dec240042','070000171990','167177',(select max(to_number(i.premium_rcv_detail_code))+1
from ins_premium_det i),'167177','167177','02', '11000003','00','Request by Mr. Saqib Saleem 31-Dec-2024 Hold');</v>
      </c>
    </row>
    <row r="77" spans="1:8" ht="105" x14ac:dyDescent="0.25">
      <c r="A77" s="12" t="s">
        <v>12078</v>
      </c>
      <c r="B77" s="25" t="str">
        <f>VLOOKUP(A77,policy1!B:C,2,0)</f>
        <v>070000171993</v>
      </c>
      <c r="C77" s="13">
        <v>19913</v>
      </c>
      <c r="D77" s="26">
        <f t="shared" si="5"/>
        <v>19913</v>
      </c>
      <c r="E77" s="24" t="s">
        <v>13296</v>
      </c>
      <c r="F77" s="27" t="str">
        <f t="shared" si="4"/>
        <v>insert into ins_premium_det (premium_rcv_code,assorted_code, rec_amount,premium_rcv_detail_code,remaining_amt, payrec, mode_code,coinsurance_code,class_cd,it_remarks) values</v>
      </c>
      <c r="G77" s="28" t="str">
        <f t="shared" si="6"/>
        <v>('30Dec240042','070000171993','19913',(select max(to_number(i.premium_rcv_detail_code))+1
from ins_premium_det i),'19913','19913','02', '11000003','00','Request by Mr. Saqib Saleem 31-Dec-2024 Hold');</v>
      </c>
      <c r="H77" s="29" t="str">
        <f t="shared" si="7"/>
        <v>insert into ins_premium_det (premium_rcv_code,assorted_code, rec_amount,premium_rcv_detail_code,remaining_amt, payrec, mode_code,coinsurance_code,class_cd,it_remarks) values('30Dec240042','070000171993','19913',(select max(to_number(i.premium_rcv_detail_code))+1
from ins_premium_det i),'19913','19913','02', '11000003','00','Request by Mr. Saqib Saleem 31-Dec-2024 Hold');</v>
      </c>
    </row>
    <row r="78" spans="1:8" ht="105" x14ac:dyDescent="0.25">
      <c r="A78" s="9" t="s">
        <v>12079</v>
      </c>
      <c r="B78" s="25" t="str">
        <f>VLOOKUP(A78,policy1!B:C,2,0)</f>
        <v>070000171994</v>
      </c>
      <c r="C78" s="11">
        <v>65160</v>
      </c>
      <c r="D78" s="26">
        <f t="shared" si="5"/>
        <v>65160</v>
      </c>
      <c r="E78" s="24" t="s">
        <v>13296</v>
      </c>
      <c r="F78" s="27" t="str">
        <f t="shared" si="4"/>
        <v>insert into ins_premium_det (premium_rcv_code,assorted_code, rec_amount,premium_rcv_detail_code,remaining_amt, payrec, mode_code,coinsurance_code,class_cd,it_remarks) values</v>
      </c>
      <c r="G78" s="28" t="str">
        <f t="shared" si="6"/>
        <v>('30Dec240042','070000171994','65160',(select max(to_number(i.premium_rcv_detail_code))+1
from ins_premium_det i),'65160','65160','02', '11000003','00','Request by Mr. Saqib Saleem 31-Dec-2024 Hold');</v>
      </c>
      <c r="H78" s="29" t="str">
        <f t="shared" si="7"/>
        <v>insert into ins_premium_det (premium_rcv_code,assorted_code, rec_amount,premium_rcv_detail_code,remaining_amt, payrec, mode_code,coinsurance_code,class_cd,it_remarks) values('30Dec240042','070000171994','65160',(select max(to_number(i.premium_rcv_detail_code))+1
from ins_premium_det i),'65160','65160','02', '11000003','00','Request by Mr. Saqib Saleem 31-Dec-2024 Hold');</v>
      </c>
    </row>
    <row r="79" spans="1:8" ht="105" x14ac:dyDescent="0.25">
      <c r="A79" s="12" t="s">
        <v>12080</v>
      </c>
      <c r="B79" s="25" t="str">
        <f>VLOOKUP(A79,policy1!B:C,2,0)</f>
        <v>070000171995</v>
      </c>
      <c r="C79" s="13">
        <v>44625</v>
      </c>
      <c r="D79" s="26">
        <f t="shared" si="5"/>
        <v>44625</v>
      </c>
      <c r="E79" s="24" t="s">
        <v>13296</v>
      </c>
      <c r="F79" s="27" t="str">
        <f t="shared" si="4"/>
        <v>insert into ins_premium_det (premium_rcv_code,assorted_code, rec_amount,premium_rcv_detail_code,remaining_amt, payrec, mode_code,coinsurance_code,class_cd,it_remarks) values</v>
      </c>
      <c r="G79" s="28" t="str">
        <f t="shared" si="6"/>
        <v>('30Dec240042','070000171995','44625',(select max(to_number(i.premium_rcv_detail_code))+1
from ins_premium_det i),'44625','44625','02', '11000003','00','Request by Mr. Saqib Saleem 31-Dec-2024 Hold');</v>
      </c>
      <c r="H79" s="29" t="str">
        <f t="shared" si="7"/>
        <v>insert into ins_premium_det (premium_rcv_code,assorted_code, rec_amount,premium_rcv_detail_code,remaining_amt, payrec, mode_code,coinsurance_code,class_cd,it_remarks) values('30Dec240042','070000171995','44625',(select max(to_number(i.premium_rcv_detail_code))+1
from ins_premium_det i),'44625','44625','02', '11000003','00','Request by Mr. Saqib Saleem 31-Dec-2024 Hold');</v>
      </c>
    </row>
    <row r="80" spans="1:8" ht="105" x14ac:dyDescent="0.25">
      <c r="A80" s="9" t="s">
        <v>12081</v>
      </c>
      <c r="B80" s="25" t="str">
        <f>VLOOKUP(A80,policy1!B:C,2,0)</f>
        <v>070000171997</v>
      </c>
      <c r="C80" s="11">
        <v>39525</v>
      </c>
      <c r="D80" s="26">
        <f t="shared" si="5"/>
        <v>39525</v>
      </c>
      <c r="E80" s="24" t="s">
        <v>13296</v>
      </c>
      <c r="F80" s="27" t="str">
        <f t="shared" si="4"/>
        <v>insert into ins_premium_det (premium_rcv_code,assorted_code, rec_amount,premium_rcv_detail_code,remaining_amt, payrec, mode_code,coinsurance_code,class_cd,it_remarks) values</v>
      </c>
      <c r="G80" s="28" t="str">
        <f t="shared" si="6"/>
        <v>('30Dec240042','070000171997','39525',(select max(to_number(i.premium_rcv_detail_code))+1
from ins_premium_det i),'39525','39525','02', '11000003','00','Request by Mr. Saqib Saleem 31-Dec-2024 Hold');</v>
      </c>
      <c r="H80" s="29" t="str">
        <f t="shared" si="7"/>
        <v>insert into ins_premium_det (premium_rcv_code,assorted_code, rec_amount,premium_rcv_detail_code,remaining_amt, payrec, mode_code,coinsurance_code,class_cd,it_remarks) values('30Dec240042','070000171997','39525',(select max(to_number(i.premium_rcv_detail_code))+1
from ins_premium_det i),'39525','39525','02', '11000003','00','Request by Mr. Saqib Saleem 31-Dec-2024 Hold');</v>
      </c>
    </row>
    <row r="81" spans="1:8" ht="105" x14ac:dyDescent="0.25">
      <c r="A81" s="12" t="s">
        <v>12082</v>
      </c>
      <c r="B81" s="25" t="str">
        <f>VLOOKUP(A81,policy1!B:C,2,0)</f>
        <v>070000171998</v>
      </c>
      <c r="C81" s="13">
        <v>49088</v>
      </c>
      <c r="D81" s="26">
        <f t="shared" si="5"/>
        <v>49088</v>
      </c>
      <c r="E81" s="24" t="s">
        <v>13296</v>
      </c>
      <c r="F81" s="27" t="str">
        <f t="shared" si="4"/>
        <v>insert into ins_premium_det (premium_rcv_code,assorted_code, rec_amount,premium_rcv_detail_code,remaining_amt, payrec, mode_code,coinsurance_code,class_cd,it_remarks) values</v>
      </c>
      <c r="G81" s="28" t="str">
        <f t="shared" si="6"/>
        <v>('30Dec240042','070000171998','49088',(select max(to_number(i.premium_rcv_detail_code))+1
from ins_premium_det i),'49088','49088','02', '11000003','00','Request by Mr. Saqib Saleem 31-Dec-2024 Hold');</v>
      </c>
      <c r="H81" s="29" t="str">
        <f t="shared" si="7"/>
        <v>insert into ins_premium_det (premium_rcv_code,assorted_code, rec_amount,premium_rcv_detail_code,remaining_amt, payrec, mode_code,coinsurance_code,class_cd,it_remarks) values('30Dec240042','070000171998','49088',(select max(to_number(i.premium_rcv_detail_code))+1
from ins_premium_det i),'49088','49088','02', '11000003','00','Request by Mr. Saqib Saleem 31-Dec-2024 Hold');</v>
      </c>
    </row>
    <row r="82" spans="1:8" ht="105" x14ac:dyDescent="0.25">
      <c r="A82" s="9" t="s">
        <v>12083</v>
      </c>
      <c r="B82" s="25" t="str">
        <f>VLOOKUP(A82,policy1!B:C,2,0)</f>
        <v>070000172000</v>
      </c>
      <c r="C82" s="11">
        <v>39206</v>
      </c>
      <c r="D82" s="26">
        <f t="shared" si="5"/>
        <v>39206</v>
      </c>
      <c r="E82" s="24" t="s">
        <v>13296</v>
      </c>
      <c r="F82" s="27" t="str">
        <f t="shared" si="4"/>
        <v>insert into ins_premium_det (premium_rcv_code,assorted_code, rec_amount,premium_rcv_detail_code,remaining_amt, payrec, mode_code,coinsurance_code,class_cd,it_remarks) values</v>
      </c>
      <c r="G82" s="28" t="str">
        <f t="shared" si="6"/>
        <v>('30Dec240042','070000172000','39206',(select max(to_number(i.premium_rcv_detail_code))+1
from ins_premium_det i),'39206','39206','02', '11000003','00','Request by Mr. Saqib Saleem 31-Dec-2024 Hold');</v>
      </c>
      <c r="H82" s="29" t="str">
        <f t="shared" si="7"/>
        <v>insert into ins_premium_det (premium_rcv_code,assorted_code, rec_amount,premium_rcv_detail_code,remaining_amt, payrec, mode_code,coinsurance_code,class_cd,it_remarks) values('30Dec240042','070000172000','39206',(select max(to_number(i.premium_rcv_detail_code))+1
from ins_premium_det i),'39206','39206','02', '11000003','00','Request by Mr. Saqib Saleem 31-Dec-2024 Hold');</v>
      </c>
    </row>
    <row r="83" spans="1:8" ht="105" x14ac:dyDescent="0.25">
      <c r="A83" s="12" t="s">
        <v>12084</v>
      </c>
      <c r="B83" s="25" t="str">
        <f>VLOOKUP(A83,policy1!B:C,2,0)</f>
        <v>070000172001</v>
      </c>
      <c r="C83" s="13">
        <v>51760</v>
      </c>
      <c r="D83" s="26">
        <f t="shared" si="5"/>
        <v>51760</v>
      </c>
      <c r="E83" s="24" t="s">
        <v>13296</v>
      </c>
      <c r="F83" s="27" t="str">
        <f t="shared" si="4"/>
        <v>insert into ins_premium_det (premium_rcv_code,assorted_code, rec_amount,premium_rcv_detail_code,remaining_amt, payrec, mode_code,coinsurance_code,class_cd,it_remarks) values</v>
      </c>
      <c r="G83" s="28" t="str">
        <f t="shared" si="6"/>
        <v>('30Dec240042','070000172001','51760',(select max(to_number(i.premium_rcv_detail_code))+1
from ins_premium_det i),'51760','51760','02', '11000003','00','Request by Mr. Saqib Saleem 31-Dec-2024 Hold');</v>
      </c>
      <c r="H83" s="29" t="str">
        <f t="shared" si="7"/>
        <v>insert into ins_premium_det (premium_rcv_code,assorted_code, rec_amount,premium_rcv_detail_code,remaining_amt, payrec, mode_code,coinsurance_code,class_cd,it_remarks) values('30Dec240042','070000172001','51760',(select max(to_number(i.premium_rcv_detail_code))+1
from ins_premium_det i),'51760','51760','02', '11000003','00','Request by Mr. Saqib Saleem 31-Dec-2024 Hold');</v>
      </c>
    </row>
    <row r="84" spans="1:8" ht="105" x14ac:dyDescent="0.25">
      <c r="A84" s="9" t="s">
        <v>12085</v>
      </c>
      <c r="B84" s="25" t="str">
        <f>VLOOKUP(A84,policy1!B:C,2,0)</f>
        <v>070000172002</v>
      </c>
      <c r="C84" s="11">
        <v>36975</v>
      </c>
      <c r="D84" s="26">
        <f t="shared" si="5"/>
        <v>36975</v>
      </c>
      <c r="E84" s="24" t="s">
        <v>13296</v>
      </c>
      <c r="F84" s="27" t="str">
        <f t="shared" si="4"/>
        <v>insert into ins_premium_det (premium_rcv_code,assorted_code, rec_amount,premium_rcv_detail_code,remaining_amt, payrec, mode_code,coinsurance_code,class_cd,it_remarks) values</v>
      </c>
      <c r="G84" s="28" t="str">
        <f t="shared" si="6"/>
        <v>('30Dec240042','070000172002','36975',(select max(to_number(i.premium_rcv_detail_code))+1
from ins_premium_det i),'36975','36975','02', '11000003','00','Request by Mr. Saqib Saleem 31-Dec-2024 Hold');</v>
      </c>
      <c r="H84" s="29" t="str">
        <f t="shared" si="7"/>
        <v>insert into ins_premium_det (premium_rcv_code,assorted_code, rec_amount,premium_rcv_detail_code,remaining_amt, payrec, mode_code,coinsurance_code,class_cd,it_remarks) values('30Dec240042','070000172002','36975',(select max(to_number(i.premium_rcv_detail_code))+1
from ins_premium_det i),'36975','36975','02', '11000003','00','Request by Mr. Saqib Saleem 31-Dec-2024 Hold');</v>
      </c>
    </row>
    <row r="85" spans="1:8" ht="105" x14ac:dyDescent="0.25">
      <c r="A85" s="12" t="s">
        <v>12086</v>
      </c>
      <c r="B85" s="25" t="str">
        <f>VLOOKUP(A85,policy1!B:C,2,0)</f>
        <v>070000172003</v>
      </c>
      <c r="C85" s="13">
        <v>35700</v>
      </c>
      <c r="D85" s="26">
        <f t="shared" si="5"/>
        <v>35700</v>
      </c>
      <c r="E85" s="24" t="s">
        <v>13296</v>
      </c>
      <c r="F85" s="27" t="str">
        <f t="shared" si="4"/>
        <v>insert into ins_premium_det (premium_rcv_code,assorted_code, rec_amount,premium_rcv_detail_code,remaining_amt, payrec, mode_code,coinsurance_code,class_cd,it_remarks) values</v>
      </c>
      <c r="G85" s="28" t="str">
        <f t="shared" si="6"/>
        <v>('30Dec240042','070000172003','35700',(select max(to_number(i.premium_rcv_detail_code))+1
from ins_premium_det i),'35700','35700','02', '11000003','00','Request by Mr. Saqib Saleem 31-Dec-2024 Hold');</v>
      </c>
      <c r="H85" s="29" t="str">
        <f t="shared" si="7"/>
        <v>insert into ins_premium_det (premium_rcv_code,assorted_code, rec_amount,premium_rcv_detail_code,remaining_amt, payrec, mode_code,coinsurance_code,class_cd,it_remarks) values('30Dec240042','070000172003','35700',(select max(to_number(i.premium_rcv_detail_code))+1
from ins_premium_det i),'35700','35700','02', '11000003','00','Request by Mr. Saqib Saleem 31-Dec-2024 Hold');</v>
      </c>
    </row>
    <row r="86" spans="1:8" ht="105" x14ac:dyDescent="0.25">
      <c r="A86" s="9" t="s">
        <v>12087</v>
      </c>
      <c r="B86" s="25" t="str">
        <f>VLOOKUP(A86,policy1!B:C,2,0)</f>
        <v>070000172004</v>
      </c>
      <c r="C86" s="11">
        <v>45840</v>
      </c>
      <c r="D86" s="26">
        <f t="shared" si="5"/>
        <v>45840</v>
      </c>
      <c r="E86" s="24" t="s">
        <v>13296</v>
      </c>
      <c r="F86" s="27" t="str">
        <f t="shared" si="4"/>
        <v>insert into ins_premium_det (premium_rcv_code,assorted_code, rec_amount,premium_rcv_detail_code,remaining_amt, payrec, mode_code,coinsurance_code,class_cd,it_remarks) values</v>
      </c>
      <c r="G86" s="28" t="str">
        <f t="shared" si="6"/>
        <v>('30Dec240042','070000172004','45840',(select max(to_number(i.premium_rcv_detail_code))+1
from ins_premium_det i),'45840','45840','02', '11000003','00','Request by Mr. Saqib Saleem 31-Dec-2024 Hold');</v>
      </c>
      <c r="H86" s="29" t="str">
        <f t="shared" si="7"/>
        <v>insert into ins_premium_det (premium_rcv_code,assorted_code, rec_amount,premium_rcv_detail_code,remaining_amt, payrec, mode_code,coinsurance_code,class_cd,it_remarks) values('30Dec240042','070000172004','45840',(select max(to_number(i.premium_rcv_detail_code))+1
from ins_premium_det i),'45840','45840','02', '11000003','00','Request by Mr. Saqib Saleem 31-Dec-2024 Hold');</v>
      </c>
    </row>
    <row r="87" spans="1:8" ht="105" x14ac:dyDescent="0.25">
      <c r="A87" s="12" t="s">
        <v>12088</v>
      </c>
      <c r="B87" s="25" t="str">
        <f>VLOOKUP(A87,policy1!B:C,2,0)</f>
        <v>070000172005</v>
      </c>
      <c r="C87" s="13">
        <v>25118</v>
      </c>
      <c r="D87" s="26">
        <f t="shared" si="5"/>
        <v>25118</v>
      </c>
      <c r="E87" s="24" t="s">
        <v>13296</v>
      </c>
      <c r="F87" s="27" t="str">
        <f t="shared" si="4"/>
        <v>insert into ins_premium_det (premium_rcv_code,assorted_code, rec_amount,premium_rcv_detail_code,remaining_amt, payrec, mode_code,coinsurance_code,class_cd,it_remarks) values</v>
      </c>
      <c r="G87" s="28" t="str">
        <f t="shared" si="6"/>
        <v>('30Dec240042','070000172005','25118',(select max(to_number(i.premium_rcv_detail_code))+1
from ins_premium_det i),'25118','25118','02', '11000003','00','Request by Mr. Saqib Saleem 31-Dec-2024 Hold');</v>
      </c>
      <c r="H87" s="29" t="str">
        <f t="shared" si="7"/>
        <v>insert into ins_premium_det (premium_rcv_code,assorted_code, rec_amount,premium_rcv_detail_code,remaining_amt, payrec, mode_code,coinsurance_code,class_cd,it_remarks) values('30Dec240042','070000172005','25118',(select max(to_number(i.premium_rcv_detail_code))+1
from ins_premium_det i),'25118','25118','02', '11000003','00','Request by Mr. Saqib Saleem 31-Dec-2024 Hold');</v>
      </c>
    </row>
    <row r="88" spans="1:8" ht="105" x14ac:dyDescent="0.25">
      <c r="A88" s="9" t="s">
        <v>12089</v>
      </c>
      <c r="B88" s="25" t="str">
        <f>VLOOKUP(A88,policy1!B:C,2,0)</f>
        <v>070000172006</v>
      </c>
      <c r="C88" s="11">
        <v>25500</v>
      </c>
      <c r="D88" s="26">
        <f t="shared" si="5"/>
        <v>25500</v>
      </c>
      <c r="E88" s="24" t="s">
        <v>13296</v>
      </c>
      <c r="F88" s="27" t="str">
        <f t="shared" si="4"/>
        <v>insert into ins_premium_det (premium_rcv_code,assorted_code, rec_amount,premium_rcv_detail_code,remaining_amt, payrec, mode_code,coinsurance_code,class_cd,it_remarks) values</v>
      </c>
      <c r="G88" s="28" t="str">
        <f t="shared" si="6"/>
        <v>('30Dec240042','070000172006','25500',(select max(to_number(i.premium_rcv_detail_code))+1
from ins_premium_det i),'25500','25500','02', '11000003','00','Request by Mr. Saqib Saleem 31-Dec-2024 Hold');</v>
      </c>
      <c r="H88" s="29" t="str">
        <f t="shared" si="7"/>
        <v>insert into ins_premium_det (premium_rcv_code,assorted_code, rec_amount,premium_rcv_detail_code,remaining_amt, payrec, mode_code,coinsurance_code,class_cd,it_remarks) values('30Dec240042','070000172006','25500',(select max(to_number(i.premium_rcv_detail_code))+1
from ins_premium_det i),'25500','25500','02', '11000003','00','Request by Mr. Saqib Saleem 31-Dec-2024 Hold');</v>
      </c>
    </row>
    <row r="89" spans="1:8" ht="105" x14ac:dyDescent="0.25">
      <c r="A89" s="12" t="s">
        <v>12090</v>
      </c>
      <c r="B89" s="25" t="str">
        <f>VLOOKUP(A89,policy1!B:C,2,0)</f>
        <v>070000172007</v>
      </c>
      <c r="C89" s="13">
        <v>32800</v>
      </c>
      <c r="D89" s="26">
        <f t="shared" si="5"/>
        <v>32800</v>
      </c>
      <c r="E89" s="24" t="s">
        <v>13296</v>
      </c>
      <c r="F89" s="27" t="str">
        <f t="shared" si="4"/>
        <v>insert into ins_premium_det (premium_rcv_code,assorted_code, rec_amount,premium_rcv_detail_code,remaining_amt, payrec, mode_code,coinsurance_code,class_cd,it_remarks) values</v>
      </c>
      <c r="G89" s="28" t="str">
        <f t="shared" si="6"/>
        <v>('30Dec240042','070000172007','32800',(select max(to_number(i.premium_rcv_detail_code))+1
from ins_premium_det i),'32800','32800','02', '11000003','00','Request by Mr. Saqib Saleem 31-Dec-2024 Hold');</v>
      </c>
      <c r="H89" s="29" t="str">
        <f t="shared" si="7"/>
        <v>insert into ins_premium_det (premium_rcv_code,assorted_code, rec_amount,premium_rcv_detail_code,remaining_amt, payrec, mode_code,coinsurance_code,class_cd,it_remarks) values('30Dec240042','070000172007','32800',(select max(to_number(i.premium_rcv_detail_code))+1
from ins_premium_det i),'32800','32800','02', '11000003','00','Request by Mr. Saqib Saleem 31-Dec-2024 Hold');</v>
      </c>
    </row>
    <row r="90" spans="1:8" ht="105" x14ac:dyDescent="0.25">
      <c r="A90" s="9" t="s">
        <v>12091</v>
      </c>
      <c r="B90" s="25" t="str">
        <f>VLOOKUP(A90,policy1!B:C,2,0)</f>
        <v>070000172008</v>
      </c>
      <c r="C90" s="11">
        <v>30752</v>
      </c>
      <c r="D90" s="26">
        <f t="shared" si="5"/>
        <v>30752</v>
      </c>
      <c r="E90" s="24" t="s">
        <v>13296</v>
      </c>
      <c r="F90" s="27" t="str">
        <f t="shared" si="4"/>
        <v>insert into ins_premium_det (premium_rcv_code,assorted_code, rec_amount,premium_rcv_detail_code,remaining_amt, payrec, mode_code,coinsurance_code,class_cd,it_remarks) values</v>
      </c>
      <c r="G90" s="28" t="str">
        <f t="shared" si="6"/>
        <v>('30Dec240042','070000172008','30752',(select max(to_number(i.premium_rcv_detail_code))+1
from ins_premium_det i),'30752','30752','02', '11000003','00','Request by Mr. Saqib Saleem 31-Dec-2024 Hold');</v>
      </c>
      <c r="H90" s="29" t="str">
        <f t="shared" si="7"/>
        <v>insert into ins_premium_det (premium_rcv_code,assorted_code, rec_amount,premium_rcv_detail_code,remaining_amt, payrec, mode_code,coinsurance_code,class_cd,it_remarks) values('30Dec240042','070000172008','30752',(select max(to_number(i.premium_rcv_detail_code))+1
from ins_premium_det i),'30752','30752','02', '11000003','00','Request by Mr. Saqib Saleem 31-Dec-2024 Hold');</v>
      </c>
    </row>
    <row r="91" spans="1:8" ht="105" x14ac:dyDescent="0.25">
      <c r="A91" s="12" t="s">
        <v>12092</v>
      </c>
      <c r="B91" s="25" t="str">
        <f>VLOOKUP(A91,policy1!B:C,2,0)</f>
        <v>070000172011</v>
      </c>
      <c r="C91" s="13">
        <v>25857</v>
      </c>
      <c r="D91" s="26">
        <f t="shared" si="5"/>
        <v>25857</v>
      </c>
      <c r="E91" s="24" t="s">
        <v>13296</v>
      </c>
      <c r="F91" s="27" t="str">
        <f t="shared" si="4"/>
        <v>insert into ins_premium_det (premium_rcv_code,assorted_code, rec_amount,premium_rcv_detail_code,remaining_amt, payrec, mode_code,coinsurance_code,class_cd,it_remarks) values</v>
      </c>
      <c r="G91" s="28" t="str">
        <f t="shared" si="6"/>
        <v>('30Dec240042','070000172011','25857',(select max(to_number(i.premium_rcv_detail_code))+1
from ins_premium_det i),'25857','25857','02', '11000003','00','Request by Mr. Saqib Saleem 31-Dec-2024 Hold');</v>
      </c>
      <c r="H91" s="29" t="str">
        <f t="shared" si="7"/>
        <v>insert into ins_premium_det (premium_rcv_code,assorted_code, rec_amount,premium_rcv_detail_code,remaining_amt, payrec, mode_code,coinsurance_code,class_cd,it_remarks) values('30Dec240042','070000172011','25857',(select max(to_number(i.premium_rcv_detail_code))+1
from ins_premium_det i),'25857','25857','02', '11000003','00','Request by Mr. Saqib Saleem 31-Dec-2024 Hold');</v>
      </c>
    </row>
    <row r="92" spans="1:8" ht="105" x14ac:dyDescent="0.25">
      <c r="A92" s="9" t="s">
        <v>12093</v>
      </c>
      <c r="B92" s="25" t="str">
        <f>VLOOKUP(A92,policy1!B:C,2,0)</f>
        <v>070000172012</v>
      </c>
      <c r="C92" s="11">
        <v>35700</v>
      </c>
      <c r="D92" s="26">
        <f t="shared" si="5"/>
        <v>35700</v>
      </c>
      <c r="E92" s="24" t="s">
        <v>13296</v>
      </c>
      <c r="F92" s="27" t="str">
        <f t="shared" si="4"/>
        <v>insert into ins_premium_det (premium_rcv_code,assorted_code, rec_amount,premium_rcv_detail_code,remaining_amt, payrec, mode_code,coinsurance_code,class_cd,it_remarks) values</v>
      </c>
      <c r="G92" s="28" t="str">
        <f t="shared" si="6"/>
        <v>('30Dec240042','070000172012','35700',(select max(to_number(i.premium_rcv_detail_code))+1
from ins_premium_det i),'35700','35700','02', '11000003','00','Request by Mr. Saqib Saleem 31-Dec-2024 Hold');</v>
      </c>
      <c r="H92" s="29" t="str">
        <f t="shared" si="7"/>
        <v>insert into ins_premium_det (premium_rcv_code,assorted_code, rec_amount,premium_rcv_detail_code,remaining_amt, payrec, mode_code,coinsurance_code,class_cd,it_remarks) values('30Dec240042','070000172012','35700',(select max(to_number(i.premium_rcv_detail_code))+1
from ins_premium_det i),'35700','35700','02', '11000003','00','Request by Mr. Saqib Saleem 31-Dec-2024 Hold');</v>
      </c>
    </row>
    <row r="93" spans="1:8" ht="105" x14ac:dyDescent="0.25">
      <c r="A93" s="12" t="s">
        <v>12094</v>
      </c>
      <c r="B93" s="25" t="str">
        <f>VLOOKUP(A93,policy1!B:C,2,0)</f>
        <v>070000172014</v>
      </c>
      <c r="C93" s="13">
        <v>17850</v>
      </c>
      <c r="D93" s="26">
        <f t="shared" si="5"/>
        <v>17850</v>
      </c>
      <c r="E93" s="24" t="s">
        <v>13296</v>
      </c>
      <c r="F93" s="27" t="str">
        <f t="shared" si="4"/>
        <v>insert into ins_premium_det (premium_rcv_code,assorted_code, rec_amount,premium_rcv_detail_code,remaining_amt, payrec, mode_code,coinsurance_code,class_cd,it_remarks) values</v>
      </c>
      <c r="G93" s="28" t="str">
        <f t="shared" si="6"/>
        <v>('30Dec240042','070000172014','17850',(select max(to_number(i.premium_rcv_detail_code))+1
from ins_premium_det i),'17850','17850','02', '11000003','00','Request by Mr. Saqib Saleem 31-Dec-2024 Hold');</v>
      </c>
      <c r="H93" s="29" t="str">
        <f t="shared" si="7"/>
        <v>insert into ins_premium_det (premium_rcv_code,assorted_code, rec_amount,premium_rcv_detail_code,remaining_amt, payrec, mode_code,coinsurance_code,class_cd,it_remarks) values('30Dec240042','070000172014','17850',(select max(to_number(i.premium_rcv_detail_code))+1
from ins_premium_det i),'17850','17850','02', '11000003','00','Request by Mr. Saqib Saleem 31-Dec-2024 Hold');</v>
      </c>
    </row>
    <row r="94" spans="1:8" ht="105" x14ac:dyDescent="0.25">
      <c r="A94" s="9" t="s">
        <v>12095</v>
      </c>
      <c r="B94" s="25" t="str">
        <f>VLOOKUP(A94,policy1!B:C,2,0)</f>
        <v>070000172018</v>
      </c>
      <c r="C94" s="11">
        <v>40312</v>
      </c>
      <c r="D94" s="26">
        <f t="shared" si="5"/>
        <v>40312</v>
      </c>
      <c r="E94" s="24" t="s">
        <v>13296</v>
      </c>
      <c r="F94" s="27" t="str">
        <f t="shared" si="4"/>
        <v>insert into ins_premium_det (premium_rcv_code,assorted_code, rec_amount,premium_rcv_detail_code,remaining_amt, payrec, mode_code,coinsurance_code,class_cd,it_remarks) values</v>
      </c>
      <c r="G94" s="28" t="str">
        <f t="shared" si="6"/>
        <v>('30Dec240042','070000172018','40312',(select max(to_number(i.premium_rcv_detail_code))+1
from ins_premium_det i),'40312','40312','02', '11000003','00','Request by Mr. Saqib Saleem 31-Dec-2024 Hold');</v>
      </c>
      <c r="H94" s="29" t="str">
        <f t="shared" si="7"/>
        <v>insert into ins_premium_det (premium_rcv_code,assorted_code, rec_amount,premium_rcv_detail_code,remaining_amt, payrec, mode_code,coinsurance_code,class_cd,it_remarks) values('30Dec240042','070000172018','40312',(select max(to_number(i.premium_rcv_detail_code))+1
from ins_premium_det i),'40312','40312','02', '11000003','00','Request by Mr. Saqib Saleem 31-Dec-2024 Hold');</v>
      </c>
    </row>
    <row r="95" spans="1:8" ht="105" x14ac:dyDescent="0.25">
      <c r="A95" s="12" t="s">
        <v>12096</v>
      </c>
      <c r="B95" s="25" t="str">
        <f>VLOOKUP(A95,policy1!B:C,2,0)</f>
        <v>070000172019</v>
      </c>
      <c r="C95" s="13">
        <v>17085</v>
      </c>
      <c r="D95" s="26">
        <f t="shared" si="5"/>
        <v>17085</v>
      </c>
      <c r="E95" s="24" t="s">
        <v>13296</v>
      </c>
      <c r="F95" s="27" t="str">
        <f t="shared" si="4"/>
        <v>insert into ins_premium_det (premium_rcv_code,assorted_code, rec_amount,premium_rcv_detail_code,remaining_amt, payrec, mode_code,coinsurance_code,class_cd,it_remarks) values</v>
      </c>
      <c r="G95" s="28" t="str">
        <f t="shared" si="6"/>
        <v>('30Dec240042','070000172019','17085',(select max(to_number(i.premium_rcv_detail_code))+1
from ins_premium_det i),'17085','17085','02', '11000003','00','Request by Mr. Saqib Saleem 31-Dec-2024 Hold');</v>
      </c>
      <c r="H95" s="29" t="str">
        <f t="shared" si="7"/>
        <v>insert into ins_premium_det (premium_rcv_code,assorted_code, rec_amount,premium_rcv_detail_code,remaining_amt, payrec, mode_code,coinsurance_code,class_cd,it_remarks) values('30Dec240042','070000172019','17085',(select max(to_number(i.premium_rcv_detail_code))+1
from ins_premium_det i),'17085','17085','02', '11000003','00','Request by Mr. Saqib Saleem 31-Dec-2024 Hold');</v>
      </c>
    </row>
    <row r="96" spans="1:8" ht="105" x14ac:dyDescent="0.25">
      <c r="A96" s="9" t="s">
        <v>12097</v>
      </c>
      <c r="B96" s="25" t="str">
        <f>VLOOKUP(A96,policy1!B:C,2,0)</f>
        <v>070000172020</v>
      </c>
      <c r="C96" s="11">
        <v>27400</v>
      </c>
      <c r="D96" s="26">
        <f t="shared" si="5"/>
        <v>27400</v>
      </c>
      <c r="E96" s="24" t="s">
        <v>13296</v>
      </c>
      <c r="F96" s="27" t="str">
        <f t="shared" si="4"/>
        <v>insert into ins_premium_det (premium_rcv_code,assorted_code, rec_amount,premium_rcv_detail_code,remaining_amt, payrec, mode_code,coinsurance_code,class_cd,it_remarks) values</v>
      </c>
      <c r="G96" s="28" t="str">
        <f t="shared" si="6"/>
        <v>('30Dec240042','070000172020','27400',(select max(to_number(i.premium_rcv_detail_code))+1
from ins_premium_det i),'27400','27400','02', '11000003','00','Request by Mr. Saqib Saleem 31-Dec-2024 Hold');</v>
      </c>
      <c r="H96" s="29" t="str">
        <f t="shared" si="7"/>
        <v>insert into ins_premium_det (premium_rcv_code,assorted_code, rec_amount,premium_rcv_detail_code,remaining_amt, payrec, mode_code,coinsurance_code,class_cd,it_remarks) values('30Dec240042','070000172020','27400',(select max(to_number(i.premium_rcv_detail_code))+1
from ins_premium_det i),'27400','27400','02', '11000003','00','Request by Mr. Saqib Saleem 31-Dec-2024 Hold');</v>
      </c>
    </row>
    <row r="97" spans="1:8" ht="105" x14ac:dyDescent="0.25">
      <c r="A97" s="12" t="s">
        <v>12098</v>
      </c>
      <c r="B97" s="25" t="str">
        <f>VLOOKUP(A97,policy1!B:C,2,0)</f>
        <v>070000172021</v>
      </c>
      <c r="C97" s="13">
        <v>38438</v>
      </c>
      <c r="D97" s="26">
        <f t="shared" si="5"/>
        <v>38438</v>
      </c>
      <c r="E97" s="24" t="s">
        <v>13296</v>
      </c>
      <c r="F97" s="27" t="str">
        <f t="shared" si="4"/>
        <v>insert into ins_premium_det (premium_rcv_code,assorted_code, rec_amount,premium_rcv_detail_code,remaining_amt, payrec, mode_code,coinsurance_code,class_cd,it_remarks) values</v>
      </c>
      <c r="G97" s="28" t="str">
        <f t="shared" si="6"/>
        <v>('30Dec240042','070000172021','38438',(select max(to_number(i.premium_rcv_detail_code))+1
from ins_premium_det i),'38438','38438','02', '11000003','00','Request by Mr. Saqib Saleem 31-Dec-2024 Hold');</v>
      </c>
      <c r="H97" s="29" t="str">
        <f t="shared" si="7"/>
        <v>insert into ins_premium_det (premium_rcv_code,assorted_code, rec_amount,premium_rcv_detail_code,remaining_amt, payrec, mode_code,coinsurance_code,class_cd,it_remarks) values('30Dec240042','070000172021','38438',(select max(to_number(i.premium_rcv_detail_code))+1
from ins_premium_det i),'38438','38438','02', '11000003','00','Request by Mr. Saqib Saleem 31-Dec-2024 Hold');</v>
      </c>
    </row>
    <row r="98" spans="1:8" ht="105" x14ac:dyDescent="0.25">
      <c r="A98" s="9" t="s">
        <v>12099</v>
      </c>
      <c r="B98" s="25" t="str">
        <f>VLOOKUP(A98,policy1!B:C,2,0)</f>
        <v>070000172022</v>
      </c>
      <c r="C98" s="11">
        <v>24525</v>
      </c>
      <c r="D98" s="26">
        <f t="shared" si="5"/>
        <v>24525</v>
      </c>
      <c r="E98" s="24" t="s">
        <v>13296</v>
      </c>
      <c r="F98" s="27" t="str">
        <f t="shared" si="4"/>
        <v>insert into ins_premium_det (premium_rcv_code,assorted_code, rec_amount,premium_rcv_detail_code,remaining_amt, payrec, mode_code,coinsurance_code,class_cd,it_remarks) values</v>
      </c>
      <c r="G98" s="28" t="str">
        <f t="shared" si="6"/>
        <v>('30Dec240042','070000172022','24525',(select max(to_number(i.premium_rcv_detail_code))+1
from ins_premium_det i),'24525','24525','02', '11000003','00','Request by Mr. Saqib Saleem 31-Dec-2024 Hold');</v>
      </c>
      <c r="H98" s="29" t="str">
        <f t="shared" si="7"/>
        <v>insert into ins_premium_det (premium_rcv_code,assorted_code, rec_amount,premium_rcv_detail_code,remaining_amt, payrec, mode_code,coinsurance_code,class_cd,it_remarks) values('30Dec240042','070000172022','24525',(select max(to_number(i.premium_rcv_detail_code))+1
from ins_premium_det i),'24525','24525','02', '11000003','00','Request by Mr. Saqib Saleem 31-Dec-2024 Hold');</v>
      </c>
    </row>
    <row r="99" spans="1:8" ht="105" x14ac:dyDescent="0.25">
      <c r="A99" s="12" t="s">
        <v>12100</v>
      </c>
      <c r="B99" s="25" t="str">
        <f>VLOOKUP(A99,policy1!B:C,2,0)</f>
        <v>070000172023</v>
      </c>
      <c r="C99" s="13">
        <v>23438</v>
      </c>
      <c r="D99" s="26">
        <f t="shared" si="5"/>
        <v>23438</v>
      </c>
      <c r="E99" s="24" t="s">
        <v>13296</v>
      </c>
      <c r="F99" s="27" t="str">
        <f t="shared" si="4"/>
        <v>insert into ins_premium_det (premium_rcv_code,assorted_code, rec_amount,premium_rcv_detail_code,remaining_amt, payrec, mode_code,coinsurance_code,class_cd,it_remarks) values</v>
      </c>
      <c r="G99" s="28" t="str">
        <f t="shared" si="6"/>
        <v>('30Dec240042','070000172023','23438',(select max(to_number(i.premium_rcv_detail_code))+1
from ins_premium_det i),'23438','23438','02', '11000003','00','Request by Mr. Saqib Saleem 31-Dec-2024 Hold');</v>
      </c>
      <c r="H99" s="29" t="str">
        <f t="shared" si="7"/>
        <v>insert into ins_premium_det (premium_rcv_code,assorted_code, rec_amount,premium_rcv_detail_code,remaining_amt, payrec, mode_code,coinsurance_code,class_cd,it_remarks) values('30Dec240042','070000172023','23438',(select max(to_number(i.premium_rcv_detail_code))+1
from ins_premium_det i),'23438','23438','02', '11000003','00','Request by Mr. Saqib Saleem 31-Dec-2024 Hold');</v>
      </c>
    </row>
    <row r="100" spans="1:8" ht="105" x14ac:dyDescent="0.25">
      <c r="A100" s="9" t="s">
        <v>12101</v>
      </c>
      <c r="B100" s="25" t="str">
        <f>VLOOKUP(A100,policy1!B:C,2,0)</f>
        <v>070000172028</v>
      </c>
      <c r="C100" s="11">
        <v>11348</v>
      </c>
      <c r="D100" s="26">
        <f t="shared" si="5"/>
        <v>11348</v>
      </c>
      <c r="E100" s="24" t="s">
        <v>13296</v>
      </c>
      <c r="F100" s="27" t="str">
        <f t="shared" si="4"/>
        <v>insert into ins_premium_det (premium_rcv_code,assorted_code, rec_amount,premium_rcv_detail_code,remaining_amt, payrec, mode_code,coinsurance_code,class_cd,it_remarks) values</v>
      </c>
      <c r="G100" s="28" t="str">
        <f t="shared" si="6"/>
        <v>('30Dec240042','070000172028','11348',(select max(to_number(i.premium_rcv_detail_code))+1
from ins_premium_det i),'11348','11348','02', '11000003','00','Request by Mr. Saqib Saleem 31-Dec-2024 Hold');</v>
      </c>
      <c r="H100" s="29" t="str">
        <f t="shared" si="7"/>
        <v>insert into ins_premium_det (premium_rcv_code,assorted_code, rec_amount,premium_rcv_detail_code,remaining_amt, payrec, mode_code,coinsurance_code,class_cd,it_remarks) values('30Dec240042','070000172028','11348',(select max(to_number(i.premium_rcv_detail_code))+1
from ins_premium_det i),'11348','11348','02', '11000003','00','Request by Mr. Saqib Saleem 31-Dec-2024 Hold');</v>
      </c>
    </row>
    <row r="101" spans="1:8" ht="105" x14ac:dyDescent="0.25">
      <c r="A101" s="12" t="s">
        <v>12102</v>
      </c>
      <c r="B101" s="25" t="str">
        <f>VLOOKUP(A101,policy1!B:C,2,0)</f>
        <v>070000172029</v>
      </c>
      <c r="C101" s="13">
        <v>13920</v>
      </c>
      <c r="D101" s="26">
        <f t="shared" si="5"/>
        <v>13920</v>
      </c>
      <c r="E101" s="24" t="s">
        <v>13296</v>
      </c>
      <c r="F101" s="27" t="str">
        <f t="shared" si="4"/>
        <v>insert into ins_premium_det (premium_rcv_code,assorted_code, rec_amount,premium_rcv_detail_code,remaining_amt, payrec, mode_code,coinsurance_code,class_cd,it_remarks) values</v>
      </c>
      <c r="G101" s="28" t="str">
        <f t="shared" si="6"/>
        <v>('30Dec240042','070000172029','13920',(select max(to_number(i.premium_rcv_detail_code))+1
from ins_premium_det i),'13920','13920','02', '11000003','00','Request by Mr. Saqib Saleem 31-Dec-2024 Hold');</v>
      </c>
      <c r="H101" s="29" t="str">
        <f t="shared" si="7"/>
        <v>insert into ins_premium_det (premium_rcv_code,assorted_code, rec_amount,premium_rcv_detail_code,remaining_amt, payrec, mode_code,coinsurance_code,class_cd,it_remarks) values('30Dec240042','070000172029','13920',(select max(to_number(i.premium_rcv_detail_code))+1
from ins_premium_det i),'13920','13920','02', '11000003','00','Request by Mr. Saqib Saleem 31-Dec-2024 Hold');</v>
      </c>
    </row>
    <row r="102" spans="1:8" ht="105" x14ac:dyDescent="0.25">
      <c r="A102" s="9" t="s">
        <v>12103</v>
      </c>
      <c r="B102" s="25" t="str">
        <f>VLOOKUP(A102,policy1!B:C,2,0)</f>
        <v>070000172030</v>
      </c>
      <c r="C102" s="11">
        <v>33184</v>
      </c>
      <c r="D102" s="26">
        <f t="shared" si="5"/>
        <v>33184</v>
      </c>
      <c r="E102" s="24" t="s">
        <v>13296</v>
      </c>
      <c r="F102" s="27" t="str">
        <f t="shared" si="4"/>
        <v>insert into ins_premium_det (premium_rcv_code,assorted_code, rec_amount,premium_rcv_detail_code,remaining_amt, payrec, mode_code,coinsurance_code,class_cd,it_remarks) values</v>
      </c>
      <c r="G102" s="28" t="str">
        <f t="shared" si="6"/>
        <v>('30Dec240042','070000172030','33184',(select max(to_number(i.premium_rcv_detail_code))+1
from ins_premium_det i),'33184','33184','02', '11000003','00','Request by Mr. Saqib Saleem 31-Dec-2024 Hold');</v>
      </c>
      <c r="H102" s="29" t="str">
        <f t="shared" si="7"/>
        <v>insert into ins_premium_det (premium_rcv_code,assorted_code, rec_amount,premium_rcv_detail_code,remaining_amt, payrec, mode_code,coinsurance_code,class_cd,it_remarks) values('30Dec240042','070000172030','33184',(select max(to_number(i.premium_rcv_detail_code))+1
from ins_premium_det i),'33184','33184','02', '11000003','00','Request by Mr. Saqib Saleem 31-Dec-2024 Hold');</v>
      </c>
    </row>
    <row r="103" spans="1:8" ht="105" x14ac:dyDescent="0.25">
      <c r="A103" s="12" t="s">
        <v>12104</v>
      </c>
      <c r="B103" s="25" t="str">
        <f>VLOOKUP(A103,policy1!B:C,2,0)</f>
        <v>070000172031</v>
      </c>
      <c r="C103" s="13">
        <v>38194</v>
      </c>
      <c r="D103" s="26">
        <f t="shared" si="5"/>
        <v>38194</v>
      </c>
      <c r="E103" s="24" t="s">
        <v>13296</v>
      </c>
      <c r="F103" s="27" t="str">
        <f t="shared" si="4"/>
        <v>insert into ins_premium_det (premium_rcv_code,assorted_code, rec_amount,premium_rcv_detail_code,remaining_amt, payrec, mode_code,coinsurance_code,class_cd,it_remarks) values</v>
      </c>
      <c r="G103" s="28" t="str">
        <f t="shared" si="6"/>
        <v>('30Dec240042','070000172031','38194',(select max(to_number(i.premium_rcv_detail_code))+1
from ins_premium_det i),'38194','38194','02', '11000003','00','Request by Mr. Saqib Saleem 31-Dec-2024 Hold');</v>
      </c>
      <c r="H103" s="29" t="str">
        <f t="shared" si="7"/>
        <v>insert into ins_premium_det (premium_rcv_code,assorted_code, rec_amount,premium_rcv_detail_code,remaining_amt, payrec, mode_code,coinsurance_code,class_cd,it_remarks) values('30Dec240042','070000172031','38194',(select max(to_number(i.premium_rcv_detail_code))+1
from ins_premium_det i),'38194','38194','02', '11000003','00','Request by Mr. Saqib Saleem 31-Dec-2024 Hold');</v>
      </c>
    </row>
    <row r="104" spans="1:8" ht="105" x14ac:dyDescent="0.25">
      <c r="A104" s="9" t="s">
        <v>12105</v>
      </c>
      <c r="B104" s="25" t="str">
        <f>VLOOKUP(A104,policy1!B:C,2,0)</f>
        <v>070000172032</v>
      </c>
      <c r="C104" s="11">
        <v>50400</v>
      </c>
      <c r="D104" s="26">
        <f t="shared" si="5"/>
        <v>50400</v>
      </c>
      <c r="E104" s="24" t="s">
        <v>13296</v>
      </c>
      <c r="F104" s="27" t="str">
        <f t="shared" si="4"/>
        <v>insert into ins_premium_det (premium_rcv_code,assorted_code, rec_amount,premium_rcv_detail_code,remaining_amt, payrec, mode_code,coinsurance_code,class_cd,it_remarks) values</v>
      </c>
      <c r="G104" s="28" t="str">
        <f t="shared" si="6"/>
        <v>('30Dec240042','070000172032','50400',(select max(to_number(i.premium_rcv_detail_code))+1
from ins_premium_det i),'50400','50400','02', '11000003','00','Request by Mr. Saqib Saleem 31-Dec-2024 Hold');</v>
      </c>
      <c r="H104" s="29" t="str">
        <f t="shared" si="7"/>
        <v>insert into ins_premium_det (premium_rcv_code,assorted_code, rec_amount,premium_rcv_detail_code,remaining_amt, payrec, mode_code,coinsurance_code,class_cd,it_remarks) values('30Dec240042','070000172032','50400',(select max(to_number(i.premium_rcv_detail_code))+1
from ins_premium_det i),'50400','50400','02', '11000003','00','Request by Mr. Saqib Saleem 31-Dec-2024 Hold');</v>
      </c>
    </row>
    <row r="105" spans="1:8" ht="105" x14ac:dyDescent="0.25">
      <c r="A105" s="12" t="s">
        <v>12106</v>
      </c>
      <c r="B105" s="25" t="str">
        <f>VLOOKUP(A105,policy1!B:C,2,0)</f>
        <v>070000172033</v>
      </c>
      <c r="C105" s="13">
        <v>24990</v>
      </c>
      <c r="D105" s="26">
        <f t="shared" si="5"/>
        <v>24990</v>
      </c>
      <c r="E105" s="24" t="s">
        <v>13296</v>
      </c>
      <c r="F105" s="27" t="str">
        <f t="shared" si="4"/>
        <v>insert into ins_premium_det (premium_rcv_code,assorted_code, rec_amount,premium_rcv_detail_code,remaining_amt, payrec, mode_code,coinsurance_code,class_cd,it_remarks) values</v>
      </c>
      <c r="G105" s="28" t="str">
        <f t="shared" si="6"/>
        <v>('30Dec240042','070000172033','24990',(select max(to_number(i.premium_rcv_detail_code))+1
from ins_premium_det i),'24990','24990','02', '11000003','00','Request by Mr. Saqib Saleem 31-Dec-2024 Hold');</v>
      </c>
      <c r="H105" s="29" t="str">
        <f t="shared" si="7"/>
        <v>insert into ins_premium_det (premium_rcv_code,assorted_code, rec_amount,premium_rcv_detail_code,remaining_amt, payrec, mode_code,coinsurance_code,class_cd,it_remarks) values('30Dec240042','070000172033','24990',(select max(to_number(i.premium_rcv_detail_code))+1
from ins_premium_det i),'24990','24990','02', '11000003','00','Request by Mr. Saqib Saleem 31-Dec-2024 Hold');</v>
      </c>
    </row>
    <row r="106" spans="1:8" ht="105" x14ac:dyDescent="0.25">
      <c r="A106" s="17" t="s">
        <v>12217</v>
      </c>
      <c r="B106" s="25" t="str">
        <f>VLOOKUP(A106,policy1!B:C,2,0)</f>
        <v>070000172035</v>
      </c>
      <c r="C106" s="11">
        <v>31984</v>
      </c>
      <c r="D106" s="26">
        <f t="shared" si="5"/>
        <v>31984</v>
      </c>
      <c r="E106" s="24" t="s">
        <v>13296</v>
      </c>
      <c r="F106" s="27" t="str">
        <f t="shared" si="4"/>
        <v>insert into ins_premium_det (premium_rcv_code,assorted_code, rec_amount,premium_rcv_detail_code,remaining_amt, payrec, mode_code,coinsurance_code,class_cd,it_remarks) values</v>
      </c>
      <c r="G106" s="28" t="str">
        <f t="shared" si="6"/>
        <v>('30Dec240042','070000172035','31984',(select max(to_number(i.premium_rcv_detail_code))+1
from ins_premium_det i),'31984','31984','02', '11000003','00','Request by Mr. Saqib Saleem 31-Dec-2024 Hold');</v>
      </c>
      <c r="H106" s="29" t="str">
        <f t="shared" si="7"/>
        <v>insert into ins_premium_det (premium_rcv_code,assorted_code, rec_amount,premium_rcv_detail_code,remaining_amt, payrec, mode_code,coinsurance_code,class_cd,it_remarks) values('30Dec240042','070000172035','31984',(select max(to_number(i.premium_rcv_detail_code))+1
from ins_premium_det i),'31984','31984','02', '11000003','00','Request by Mr. Saqib Saleem 31-Dec-2024 Hold');</v>
      </c>
    </row>
    <row r="107" spans="1:8" ht="105" x14ac:dyDescent="0.25">
      <c r="A107" s="12" t="s">
        <v>12107</v>
      </c>
      <c r="B107" s="25" t="str">
        <f>VLOOKUP(A107,policy1!B:C,2,0)</f>
        <v>070000172036</v>
      </c>
      <c r="C107" s="13">
        <v>42525</v>
      </c>
      <c r="D107" s="26">
        <f t="shared" si="5"/>
        <v>42525</v>
      </c>
      <c r="E107" s="24" t="s">
        <v>13296</v>
      </c>
      <c r="F107" s="27" t="str">
        <f t="shared" si="4"/>
        <v>insert into ins_premium_det (premium_rcv_code,assorted_code, rec_amount,premium_rcv_detail_code,remaining_amt, payrec, mode_code,coinsurance_code,class_cd,it_remarks) values</v>
      </c>
      <c r="G107" s="28" t="str">
        <f t="shared" si="6"/>
        <v>('30Dec240042','070000172036','42525',(select max(to_number(i.premium_rcv_detail_code))+1
from ins_premium_det i),'42525','42525','02', '11000003','00','Request by Mr. Saqib Saleem 31-Dec-2024 Hold');</v>
      </c>
      <c r="H107" s="29" t="str">
        <f t="shared" si="7"/>
        <v>insert into ins_premium_det (premium_rcv_code,assorted_code, rec_amount,premium_rcv_detail_code,remaining_amt, payrec, mode_code,coinsurance_code,class_cd,it_remarks) values('30Dec240042','070000172036','42525',(select max(to_number(i.premium_rcv_detail_code))+1
from ins_premium_det i),'42525','42525','02', '11000003','00','Request by Mr. Saqib Saleem 31-Dec-2024 Hold');</v>
      </c>
    </row>
    <row r="108" spans="1:8" ht="105" x14ac:dyDescent="0.25">
      <c r="A108" s="9" t="s">
        <v>12108</v>
      </c>
      <c r="B108" s="25" t="str">
        <f>VLOOKUP(A108,policy1!B:C,2,0)</f>
        <v>070000172037</v>
      </c>
      <c r="C108" s="11">
        <v>44132</v>
      </c>
      <c r="D108" s="26">
        <f t="shared" si="5"/>
        <v>44132</v>
      </c>
      <c r="E108" s="24" t="s">
        <v>13296</v>
      </c>
      <c r="F108" s="27" t="str">
        <f t="shared" si="4"/>
        <v>insert into ins_premium_det (premium_rcv_code,assorted_code, rec_amount,premium_rcv_detail_code,remaining_amt, payrec, mode_code,coinsurance_code,class_cd,it_remarks) values</v>
      </c>
      <c r="G108" s="28" t="str">
        <f t="shared" si="6"/>
        <v>('30Dec240042','070000172037','44132',(select max(to_number(i.premium_rcv_detail_code))+1
from ins_premium_det i),'44132','44132','02', '11000003','00','Request by Mr. Saqib Saleem 31-Dec-2024 Hold');</v>
      </c>
      <c r="H108" s="29" t="str">
        <f t="shared" si="7"/>
        <v>insert into ins_premium_det (premium_rcv_code,assorted_code, rec_amount,premium_rcv_detail_code,remaining_amt, payrec, mode_code,coinsurance_code,class_cd,it_remarks) values('30Dec240042','070000172037','44132',(select max(to_number(i.premium_rcv_detail_code))+1
from ins_premium_det i),'44132','44132','02', '11000003','00','Request by Mr. Saqib Saleem 31-Dec-2024 Hold');</v>
      </c>
    </row>
    <row r="109" spans="1:8" ht="105" x14ac:dyDescent="0.25">
      <c r="A109" s="12" t="s">
        <v>12109</v>
      </c>
      <c r="B109" s="25" t="str">
        <f>VLOOKUP(A109,policy1!B:C,2,0)</f>
        <v>070000172038</v>
      </c>
      <c r="C109" s="13">
        <v>38194</v>
      </c>
      <c r="D109" s="26">
        <f t="shared" si="5"/>
        <v>38194</v>
      </c>
      <c r="E109" s="24" t="s">
        <v>13296</v>
      </c>
      <c r="F109" s="27" t="str">
        <f t="shared" si="4"/>
        <v>insert into ins_premium_det (premium_rcv_code,assorted_code, rec_amount,premium_rcv_detail_code,remaining_amt, payrec, mode_code,coinsurance_code,class_cd,it_remarks) values</v>
      </c>
      <c r="G109" s="28" t="str">
        <f t="shared" si="6"/>
        <v>('30Dec240042','070000172038','38194',(select max(to_number(i.premium_rcv_detail_code))+1
from ins_premium_det i),'38194','38194','02', '11000003','00','Request by Mr. Saqib Saleem 31-Dec-2024 Hold');</v>
      </c>
      <c r="H109" s="29" t="str">
        <f t="shared" si="7"/>
        <v>insert into ins_premium_det (premium_rcv_code,assorted_code, rec_amount,premium_rcv_detail_code,remaining_amt, payrec, mode_code,coinsurance_code,class_cd,it_remarks) values('30Dec240042','070000172038','38194',(select max(to_number(i.premium_rcv_detail_code))+1
from ins_premium_det i),'38194','38194','02', '11000003','00','Request by Mr. Saqib Saleem 31-Dec-2024 Hold');</v>
      </c>
    </row>
    <row r="110" spans="1:8" ht="105" x14ac:dyDescent="0.25">
      <c r="A110" s="9" t="s">
        <v>12110</v>
      </c>
      <c r="B110" s="25" t="str">
        <f>VLOOKUP(A110,policy1!B:C,2,0)</f>
        <v>070000172039</v>
      </c>
      <c r="C110" s="11">
        <v>47628</v>
      </c>
      <c r="D110" s="26">
        <f t="shared" si="5"/>
        <v>47628</v>
      </c>
      <c r="E110" s="24" t="s">
        <v>13296</v>
      </c>
      <c r="F110" s="27" t="str">
        <f t="shared" si="4"/>
        <v>insert into ins_premium_det (premium_rcv_code,assorted_code, rec_amount,premium_rcv_detail_code,remaining_amt, payrec, mode_code,coinsurance_code,class_cd,it_remarks) values</v>
      </c>
      <c r="G110" s="28" t="str">
        <f t="shared" si="6"/>
        <v>('30Dec240042','070000172039','47628',(select max(to_number(i.premium_rcv_detail_code))+1
from ins_premium_det i),'47628','47628','02', '11000003','00','Request by Mr. Saqib Saleem 31-Dec-2024 Hold');</v>
      </c>
      <c r="H110" s="29" t="str">
        <f t="shared" si="7"/>
        <v>insert into ins_premium_det (premium_rcv_code,assorted_code, rec_amount,premium_rcv_detail_code,remaining_amt, payrec, mode_code,coinsurance_code,class_cd,it_remarks) values('30Dec240042','070000172039','47628',(select max(to_number(i.premium_rcv_detail_code))+1
from ins_premium_det i),'47628','47628','02', '11000003','00','Request by Mr. Saqib Saleem 31-Dec-2024 Hold');</v>
      </c>
    </row>
    <row r="111" spans="1:8" ht="105" x14ac:dyDescent="0.25">
      <c r="A111" s="12" t="s">
        <v>12111</v>
      </c>
      <c r="B111" s="25" t="str">
        <f>VLOOKUP(A111,policy1!B:C,2,0)</f>
        <v>070000172041</v>
      </c>
      <c r="C111" s="13">
        <v>68574</v>
      </c>
      <c r="D111" s="26">
        <f t="shared" si="5"/>
        <v>68574</v>
      </c>
      <c r="E111" s="24" t="s">
        <v>13296</v>
      </c>
      <c r="F111" s="27" t="str">
        <f t="shared" si="4"/>
        <v>insert into ins_premium_det (premium_rcv_code,assorted_code, rec_amount,premium_rcv_detail_code,remaining_amt, payrec, mode_code,coinsurance_code,class_cd,it_remarks) values</v>
      </c>
      <c r="G111" s="28" t="str">
        <f t="shared" si="6"/>
        <v>('30Dec240042','070000172041','68574',(select max(to_number(i.premium_rcv_detail_code))+1
from ins_premium_det i),'68574','68574','02', '11000003','00','Request by Mr. Saqib Saleem 31-Dec-2024 Hold');</v>
      </c>
      <c r="H111" s="29" t="str">
        <f t="shared" si="7"/>
        <v>insert into ins_premium_det (premium_rcv_code,assorted_code, rec_amount,premium_rcv_detail_code,remaining_amt, payrec, mode_code,coinsurance_code,class_cd,it_remarks) values('30Dec240042','070000172041','68574',(select max(to_number(i.premium_rcv_detail_code))+1
from ins_premium_det i),'68574','68574','02', '11000003','00','Request by Mr. Saqib Saleem 31-Dec-2024 Hold');</v>
      </c>
    </row>
    <row r="112" spans="1:8" ht="105" x14ac:dyDescent="0.25">
      <c r="A112" s="9" t="s">
        <v>12112</v>
      </c>
      <c r="B112" s="25" t="str">
        <f>VLOOKUP(A112,policy1!B:C,2,0)</f>
        <v>070000172046</v>
      </c>
      <c r="C112" s="11">
        <v>48450</v>
      </c>
      <c r="D112" s="26">
        <f t="shared" si="5"/>
        <v>48450</v>
      </c>
      <c r="E112" s="24" t="s">
        <v>13296</v>
      </c>
      <c r="F112" s="27" t="str">
        <f t="shared" si="4"/>
        <v>insert into ins_premium_det (premium_rcv_code,assorted_code, rec_amount,premium_rcv_detail_code,remaining_amt, payrec, mode_code,coinsurance_code,class_cd,it_remarks) values</v>
      </c>
      <c r="G112" s="28" t="str">
        <f t="shared" si="6"/>
        <v>('30Dec240042','070000172046','48450',(select max(to_number(i.premium_rcv_detail_code))+1
from ins_premium_det i),'48450','48450','02', '11000003','00','Request by Mr. Saqib Saleem 31-Dec-2024 Hold');</v>
      </c>
      <c r="H112" s="29" t="str">
        <f t="shared" si="7"/>
        <v>insert into ins_premium_det (premium_rcv_code,assorted_code, rec_amount,premium_rcv_detail_code,remaining_amt, payrec, mode_code,coinsurance_code,class_cd,it_remarks) values('30Dec240042','070000172046','48450',(select max(to_number(i.premium_rcv_detail_code))+1
from ins_premium_det i),'48450','48450','02', '11000003','00','Request by Mr. Saqib Saleem 31-Dec-2024 Hold');</v>
      </c>
    </row>
    <row r="113" spans="1:8" ht="105" x14ac:dyDescent="0.25">
      <c r="A113" s="12" t="s">
        <v>12113</v>
      </c>
      <c r="B113" s="25" t="str">
        <f>VLOOKUP(A113,policy1!B:C,2,0)</f>
        <v>070000172047</v>
      </c>
      <c r="C113" s="13">
        <v>44625</v>
      </c>
      <c r="D113" s="26">
        <f t="shared" si="5"/>
        <v>44625</v>
      </c>
      <c r="E113" s="24" t="s">
        <v>13296</v>
      </c>
      <c r="F113" s="27" t="str">
        <f t="shared" si="4"/>
        <v>insert into ins_premium_det (premium_rcv_code,assorted_code, rec_amount,premium_rcv_detail_code,remaining_amt, payrec, mode_code,coinsurance_code,class_cd,it_remarks) values</v>
      </c>
      <c r="G113" s="28" t="str">
        <f t="shared" si="6"/>
        <v>('30Dec240042','070000172047','44625',(select max(to_number(i.premium_rcv_detail_code))+1
from ins_premium_det i),'44625','44625','02', '11000003','00','Request by Mr. Saqib Saleem 31-Dec-2024 Hold');</v>
      </c>
      <c r="H113" s="29" t="str">
        <f t="shared" si="7"/>
        <v>insert into ins_premium_det (premium_rcv_code,assorted_code, rec_amount,premium_rcv_detail_code,remaining_amt, payrec, mode_code,coinsurance_code,class_cd,it_remarks) values('30Dec240042','070000172047','44625',(select max(to_number(i.premium_rcv_detail_code))+1
from ins_premium_det i),'44625','44625','02', '11000003','00','Request by Mr. Saqib Saleem 31-Dec-2024 Hold');</v>
      </c>
    </row>
    <row r="114" spans="1:8" ht="105" x14ac:dyDescent="0.25">
      <c r="A114" s="9" t="s">
        <v>12114</v>
      </c>
      <c r="B114" s="25" t="str">
        <f>VLOOKUP(A114,policy1!B:C,2,0)</f>
        <v>070000172049</v>
      </c>
      <c r="C114" s="11">
        <v>50439</v>
      </c>
      <c r="D114" s="26">
        <f t="shared" si="5"/>
        <v>50439</v>
      </c>
      <c r="E114" s="24" t="s">
        <v>13296</v>
      </c>
      <c r="F114" s="27" t="str">
        <f t="shared" si="4"/>
        <v>insert into ins_premium_det (premium_rcv_code,assorted_code, rec_amount,premium_rcv_detail_code,remaining_amt, payrec, mode_code,coinsurance_code,class_cd,it_remarks) values</v>
      </c>
      <c r="G114" s="28" t="str">
        <f t="shared" si="6"/>
        <v>('30Dec240042','070000172049','50439',(select max(to_number(i.premium_rcv_detail_code))+1
from ins_premium_det i),'50439','50439','02', '11000003','00','Request by Mr. Saqib Saleem 31-Dec-2024 Hold');</v>
      </c>
      <c r="H114" s="29" t="str">
        <f t="shared" si="7"/>
        <v>insert into ins_premium_det (premium_rcv_code,assorted_code, rec_amount,premium_rcv_detail_code,remaining_amt, payrec, mode_code,coinsurance_code,class_cd,it_remarks) values('30Dec240042','070000172049','50439',(select max(to_number(i.premium_rcv_detail_code))+1
from ins_premium_det i),'50439','50439','02', '11000003','00','Request by Mr. Saqib Saleem 31-Dec-2024 Hold');</v>
      </c>
    </row>
    <row r="115" spans="1:8" ht="105" x14ac:dyDescent="0.25">
      <c r="A115" s="12" t="s">
        <v>12115</v>
      </c>
      <c r="B115" s="25" t="str">
        <f>VLOOKUP(A115,policy1!B:C,2,0)</f>
        <v>070000172056</v>
      </c>
      <c r="C115" s="13">
        <v>28433</v>
      </c>
      <c r="D115" s="26">
        <f t="shared" si="5"/>
        <v>28433</v>
      </c>
      <c r="E115" s="24" t="s">
        <v>13296</v>
      </c>
      <c r="F115" s="27" t="str">
        <f t="shared" si="4"/>
        <v>insert into ins_premium_det (premium_rcv_code,assorted_code, rec_amount,premium_rcv_detail_code,remaining_amt, payrec, mode_code,coinsurance_code,class_cd,it_remarks) values</v>
      </c>
      <c r="G115" s="28" t="str">
        <f t="shared" si="6"/>
        <v>('30Dec240042','070000172056','28433',(select max(to_number(i.premium_rcv_detail_code))+1
from ins_premium_det i),'28433','28433','02', '11000003','00','Request by Mr. Saqib Saleem 31-Dec-2024 Hold');</v>
      </c>
      <c r="H115" s="29" t="str">
        <f t="shared" si="7"/>
        <v>insert into ins_premium_det (premium_rcv_code,assorted_code, rec_amount,premium_rcv_detail_code,remaining_amt, payrec, mode_code,coinsurance_code,class_cd,it_remarks) values('30Dec240042','070000172056','28433',(select max(to_number(i.premium_rcv_detail_code))+1
from ins_premium_det i),'28433','28433','02', '11000003','00','Request by Mr. Saqib Saleem 31-Dec-2024 Hold');</v>
      </c>
    </row>
    <row r="116" spans="1:8" ht="105" x14ac:dyDescent="0.25">
      <c r="A116" s="9" t="s">
        <v>12116</v>
      </c>
      <c r="B116" s="25" t="str">
        <f>VLOOKUP(A116,policy1!B:C,2,0)</f>
        <v>070000172059</v>
      </c>
      <c r="C116" s="11">
        <v>26775</v>
      </c>
      <c r="D116" s="26">
        <f t="shared" si="5"/>
        <v>26775</v>
      </c>
      <c r="E116" s="24" t="s">
        <v>13296</v>
      </c>
      <c r="F116" s="27" t="str">
        <f t="shared" si="4"/>
        <v>insert into ins_premium_det (premium_rcv_code,assorted_code, rec_amount,premium_rcv_detail_code,remaining_amt, payrec, mode_code,coinsurance_code,class_cd,it_remarks) values</v>
      </c>
      <c r="G116" s="28" t="str">
        <f t="shared" si="6"/>
        <v>('30Dec240042','070000172059','26775',(select max(to_number(i.premium_rcv_detail_code))+1
from ins_premium_det i),'26775','26775','02', '11000003','00','Request by Mr. Saqib Saleem 31-Dec-2024 Hold');</v>
      </c>
      <c r="H116" s="29" t="str">
        <f t="shared" si="7"/>
        <v>insert into ins_premium_det (premium_rcv_code,assorted_code, rec_amount,premium_rcv_detail_code,remaining_amt, payrec, mode_code,coinsurance_code,class_cd,it_remarks) values('30Dec240042','070000172059','26775',(select max(to_number(i.premium_rcv_detail_code))+1
from ins_premium_det i),'26775','26775','02', '11000003','00','Request by Mr. Saqib Saleem 31-Dec-2024 Hold');</v>
      </c>
    </row>
    <row r="117" spans="1:8" ht="105" x14ac:dyDescent="0.25">
      <c r="A117" s="12" t="s">
        <v>12117</v>
      </c>
      <c r="B117" s="25" t="str">
        <f>VLOOKUP(A117,policy1!B:C,2,0)</f>
        <v>070000172062</v>
      </c>
      <c r="C117" s="13">
        <v>51200</v>
      </c>
      <c r="D117" s="26">
        <f t="shared" si="5"/>
        <v>51200</v>
      </c>
      <c r="E117" s="24" t="s">
        <v>13296</v>
      </c>
      <c r="F117" s="27" t="str">
        <f t="shared" si="4"/>
        <v>insert into ins_premium_det (premium_rcv_code,assorted_code, rec_amount,premium_rcv_detail_code,remaining_amt, payrec, mode_code,coinsurance_code,class_cd,it_remarks) values</v>
      </c>
      <c r="G117" s="28" t="str">
        <f t="shared" si="6"/>
        <v>('30Dec240042','070000172062','51200',(select max(to_number(i.premium_rcv_detail_code))+1
from ins_premium_det i),'51200','51200','02', '11000003','00','Request by Mr. Saqib Saleem 31-Dec-2024 Hold');</v>
      </c>
      <c r="H117" s="29" t="str">
        <f t="shared" si="7"/>
        <v>insert into ins_premium_det (premium_rcv_code,assorted_code, rec_amount,premium_rcv_detail_code,remaining_amt, payrec, mode_code,coinsurance_code,class_cd,it_remarks) values('30Dec240042','070000172062','51200',(select max(to_number(i.premium_rcv_detail_code))+1
from ins_premium_det i),'51200','51200','02', '11000003','00','Request by Mr. Saqib Saleem 31-Dec-2024 Hold');</v>
      </c>
    </row>
    <row r="118" spans="1:8" ht="105" x14ac:dyDescent="0.25">
      <c r="A118" s="9" t="s">
        <v>12118</v>
      </c>
      <c r="B118" s="25" t="str">
        <f>VLOOKUP(A118,policy1!B:C,2,0)</f>
        <v>070000172064</v>
      </c>
      <c r="C118" s="11">
        <v>23588</v>
      </c>
      <c r="D118" s="26">
        <f t="shared" si="5"/>
        <v>23588</v>
      </c>
      <c r="E118" s="24" t="s">
        <v>13296</v>
      </c>
      <c r="F118" s="27" t="str">
        <f t="shared" si="4"/>
        <v>insert into ins_premium_det (premium_rcv_code,assorted_code, rec_amount,premium_rcv_detail_code,remaining_amt, payrec, mode_code,coinsurance_code,class_cd,it_remarks) values</v>
      </c>
      <c r="G118" s="28" t="str">
        <f t="shared" si="6"/>
        <v>('30Dec240042','070000172064','23588',(select max(to_number(i.premium_rcv_detail_code))+1
from ins_premium_det i),'23588','23588','02', '11000003','00','Request by Mr. Saqib Saleem 31-Dec-2024 Hold');</v>
      </c>
      <c r="H118" s="29" t="str">
        <f t="shared" si="7"/>
        <v>insert into ins_premium_det (premium_rcv_code,assorted_code, rec_amount,premium_rcv_detail_code,remaining_amt, payrec, mode_code,coinsurance_code,class_cd,it_remarks) values('30Dec240042','070000172064','23588',(select max(to_number(i.premium_rcv_detail_code))+1
from ins_premium_det i),'23588','23588','02', '11000003','00','Request by Mr. Saqib Saleem 31-Dec-2024 Hold');</v>
      </c>
    </row>
    <row r="119" spans="1:8" ht="105" x14ac:dyDescent="0.25">
      <c r="A119" s="12" t="s">
        <v>12119</v>
      </c>
      <c r="B119" s="25" t="str">
        <f>VLOOKUP(A119,policy1!B:C,2,0)</f>
        <v>070000172066</v>
      </c>
      <c r="C119" s="13">
        <v>24225</v>
      </c>
      <c r="D119" s="26">
        <f t="shared" si="5"/>
        <v>24225</v>
      </c>
      <c r="E119" s="24" t="s">
        <v>13296</v>
      </c>
      <c r="F119" s="27" t="str">
        <f t="shared" si="4"/>
        <v>insert into ins_premium_det (premium_rcv_code,assorted_code, rec_amount,premium_rcv_detail_code,remaining_amt, payrec, mode_code,coinsurance_code,class_cd,it_remarks) values</v>
      </c>
      <c r="G119" s="28" t="str">
        <f t="shared" si="6"/>
        <v>('30Dec240042','070000172066','24225',(select max(to_number(i.premium_rcv_detail_code))+1
from ins_premium_det i),'24225','24225','02', '11000003','00','Request by Mr. Saqib Saleem 31-Dec-2024 Hold');</v>
      </c>
      <c r="H119" s="29" t="str">
        <f t="shared" si="7"/>
        <v>insert into ins_premium_det (premium_rcv_code,assorted_code, rec_amount,premium_rcv_detail_code,remaining_amt, payrec, mode_code,coinsurance_code,class_cd,it_remarks) values('30Dec240042','070000172066','24225',(select max(to_number(i.premium_rcv_detail_code))+1
from ins_premium_det i),'24225','24225','02', '11000003','00','Request by Mr. Saqib Saleem 31-Dec-2024 Hold');</v>
      </c>
    </row>
    <row r="120" spans="1:8" ht="105" x14ac:dyDescent="0.25">
      <c r="A120" s="9" t="s">
        <v>12120</v>
      </c>
      <c r="B120" s="25" t="str">
        <f>VLOOKUP(A120,policy1!B:C,2,0)</f>
        <v>070000172067</v>
      </c>
      <c r="C120" s="11">
        <v>20273</v>
      </c>
      <c r="D120" s="26">
        <f t="shared" si="5"/>
        <v>20273</v>
      </c>
      <c r="E120" s="24" t="s">
        <v>13296</v>
      </c>
      <c r="F120" s="27" t="str">
        <f t="shared" si="4"/>
        <v>insert into ins_premium_det (premium_rcv_code,assorted_code, rec_amount,premium_rcv_detail_code,remaining_amt, payrec, mode_code,coinsurance_code,class_cd,it_remarks) values</v>
      </c>
      <c r="G120" s="28" t="str">
        <f t="shared" si="6"/>
        <v>('30Dec240042','070000172067','20273',(select max(to_number(i.premium_rcv_detail_code))+1
from ins_premium_det i),'20273','20273','02', '11000003','00','Request by Mr. Saqib Saleem 31-Dec-2024 Hold');</v>
      </c>
      <c r="H120" s="29" t="str">
        <f t="shared" si="7"/>
        <v>insert into ins_premium_det (premium_rcv_code,assorted_code, rec_amount,premium_rcv_detail_code,remaining_amt, payrec, mode_code,coinsurance_code,class_cd,it_remarks) values('30Dec240042','070000172067','20273',(select max(to_number(i.premium_rcv_detail_code))+1
from ins_premium_det i),'20273','20273','02', '11000003','00','Request by Mr. Saqib Saleem 31-Dec-2024 Hold');</v>
      </c>
    </row>
    <row r="121" spans="1:8" ht="105" x14ac:dyDescent="0.25">
      <c r="A121" s="12" t="s">
        <v>12121</v>
      </c>
      <c r="B121" s="25" t="str">
        <f>VLOOKUP(A121,policy1!B:C,2,0)</f>
        <v>070000172069</v>
      </c>
      <c r="C121" s="13">
        <v>19393</v>
      </c>
      <c r="D121" s="26">
        <f t="shared" si="5"/>
        <v>19393</v>
      </c>
      <c r="E121" s="24" t="s">
        <v>13296</v>
      </c>
      <c r="F121" s="27" t="str">
        <f t="shared" si="4"/>
        <v>insert into ins_premium_det (premium_rcv_code,assorted_code, rec_amount,premium_rcv_detail_code,remaining_amt, payrec, mode_code,coinsurance_code,class_cd,it_remarks) values</v>
      </c>
      <c r="G121" s="28" t="str">
        <f t="shared" si="6"/>
        <v>('30Dec240042','070000172069','19393',(select max(to_number(i.premium_rcv_detail_code))+1
from ins_premium_det i),'19393','19393','02', '11000003','00','Request by Mr. Saqib Saleem 31-Dec-2024 Hold');</v>
      </c>
      <c r="H121" s="29" t="str">
        <f t="shared" si="7"/>
        <v>insert into ins_premium_det (premium_rcv_code,assorted_code, rec_amount,premium_rcv_detail_code,remaining_amt, payrec, mode_code,coinsurance_code,class_cd,it_remarks) values('30Dec240042','070000172069','19393',(select max(to_number(i.premium_rcv_detail_code))+1
from ins_premium_det i),'19393','19393','02', '11000003','00','Request by Mr. Saqib Saleem 31-Dec-2024 Hold');</v>
      </c>
    </row>
    <row r="122" spans="1:8" ht="105" x14ac:dyDescent="0.25">
      <c r="A122" s="9" t="s">
        <v>12122</v>
      </c>
      <c r="B122" s="25" t="str">
        <f>VLOOKUP(A122,policy1!B:C,2,0)</f>
        <v>070000172070</v>
      </c>
      <c r="C122" s="11">
        <v>27370</v>
      </c>
      <c r="D122" s="26">
        <f t="shared" si="5"/>
        <v>27370</v>
      </c>
      <c r="E122" s="24" t="s">
        <v>13296</v>
      </c>
      <c r="F122" s="27" t="str">
        <f t="shared" si="4"/>
        <v>insert into ins_premium_det (premium_rcv_code,assorted_code, rec_amount,premium_rcv_detail_code,remaining_amt, payrec, mode_code,coinsurance_code,class_cd,it_remarks) values</v>
      </c>
      <c r="G122" s="28" t="str">
        <f t="shared" si="6"/>
        <v>('30Dec240042','070000172070','27370',(select max(to_number(i.premium_rcv_detail_code))+1
from ins_premium_det i),'27370','27370','02', '11000003','00','Request by Mr. Saqib Saleem 31-Dec-2024 Hold');</v>
      </c>
      <c r="H122" s="29" t="str">
        <f t="shared" si="7"/>
        <v>insert into ins_premium_det (premium_rcv_code,assorted_code, rec_amount,premium_rcv_detail_code,remaining_amt, payrec, mode_code,coinsurance_code,class_cd,it_remarks) values('30Dec240042','070000172070','27370',(select max(to_number(i.premium_rcv_detail_code))+1
from ins_premium_det i),'27370','27370','02', '11000003','00','Request by Mr. Saqib Saleem 31-Dec-2024 Hold');</v>
      </c>
    </row>
    <row r="123" spans="1:8" ht="105" x14ac:dyDescent="0.25">
      <c r="A123" s="12" t="s">
        <v>12123</v>
      </c>
      <c r="B123" s="25" t="str">
        <f>VLOOKUP(A123,policy1!B:C,2,0)</f>
        <v>070000172071</v>
      </c>
      <c r="C123" s="13">
        <v>26128</v>
      </c>
      <c r="D123" s="26">
        <f t="shared" si="5"/>
        <v>26128</v>
      </c>
      <c r="E123" s="24" t="s">
        <v>13296</v>
      </c>
      <c r="F123" s="27" t="str">
        <f t="shared" si="4"/>
        <v>insert into ins_premium_det (premium_rcv_code,assorted_code, rec_amount,premium_rcv_detail_code,remaining_amt, payrec, mode_code,coinsurance_code,class_cd,it_remarks) values</v>
      </c>
      <c r="G123" s="28" t="str">
        <f t="shared" si="6"/>
        <v>('30Dec240042','070000172071','26128',(select max(to_number(i.premium_rcv_detail_code))+1
from ins_premium_det i),'26128','26128','02', '11000003','00','Request by Mr. Saqib Saleem 31-Dec-2024 Hold');</v>
      </c>
      <c r="H123" s="29" t="str">
        <f t="shared" si="7"/>
        <v>insert into ins_premium_det (premium_rcv_code,assorted_code, rec_amount,premium_rcv_detail_code,remaining_amt, payrec, mode_code,coinsurance_code,class_cd,it_remarks) values('30Dec240042','070000172071','26128',(select max(to_number(i.premium_rcv_detail_code))+1
from ins_premium_det i),'26128','26128','02', '11000003','00','Request by Mr. Saqib Saleem 31-Dec-2024 Hold');</v>
      </c>
    </row>
    <row r="124" spans="1:8" ht="105" x14ac:dyDescent="0.25">
      <c r="A124" s="9" t="s">
        <v>12124</v>
      </c>
      <c r="B124" s="25" t="str">
        <f>VLOOKUP(A124,policy1!B:C,2,0)</f>
        <v>070000172075</v>
      </c>
      <c r="C124" s="11">
        <v>27646</v>
      </c>
      <c r="D124" s="26">
        <f t="shared" si="5"/>
        <v>27646</v>
      </c>
      <c r="E124" s="24" t="s">
        <v>13296</v>
      </c>
      <c r="F124" s="27" t="str">
        <f t="shared" si="4"/>
        <v>insert into ins_premium_det (premium_rcv_code,assorted_code, rec_amount,premium_rcv_detail_code,remaining_amt, payrec, mode_code,coinsurance_code,class_cd,it_remarks) values</v>
      </c>
      <c r="G124" s="28" t="str">
        <f t="shared" si="6"/>
        <v>('30Dec240042','070000172075','27646',(select max(to_number(i.premium_rcv_detail_code))+1
from ins_premium_det i),'27646','27646','02', '11000003','00','Request by Mr. Saqib Saleem 31-Dec-2024 Hold');</v>
      </c>
      <c r="H124" s="29" t="str">
        <f t="shared" si="7"/>
        <v>insert into ins_premium_det (premium_rcv_code,assorted_code, rec_amount,premium_rcv_detail_code,remaining_amt, payrec, mode_code,coinsurance_code,class_cd,it_remarks) values('30Dec240042','070000172075','27646',(select max(to_number(i.premium_rcv_detail_code))+1
from ins_premium_det i),'27646','27646','02', '11000003','00','Request by Mr. Saqib Saleem 31-Dec-2024 Hold');</v>
      </c>
    </row>
    <row r="125" spans="1:8" ht="105" x14ac:dyDescent="0.25">
      <c r="A125" s="12" t="s">
        <v>12125</v>
      </c>
      <c r="B125" s="25" t="str">
        <f>VLOOKUP(A125,policy1!B:C,2,0)</f>
        <v>070000172076</v>
      </c>
      <c r="C125" s="13">
        <v>42075</v>
      </c>
      <c r="D125" s="26">
        <f t="shared" si="5"/>
        <v>42075</v>
      </c>
      <c r="E125" s="24" t="s">
        <v>13296</v>
      </c>
      <c r="F125" s="27" t="str">
        <f t="shared" si="4"/>
        <v>insert into ins_premium_det (premium_rcv_code,assorted_code, rec_amount,premium_rcv_detail_code,remaining_amt, payrec, mode_code,coinsurance_code,class_cd,it_remarks) values</v>
      </c>
      <c r="G125" s="28" t="str">
        <f t="shared" si="6"/>
        <v>('30Dec240042','070000172076','42075',(select max(to_number(i.premium_rcv_detail_code))+1
from ins_premium_det i),'42075','42075','02', '11000003','00','Request by Mr. Saqib Saleem 31-Dec-2024 Hold');</v>
      </c>
      <c r="H125" s="29" t="str">
        <f t="shared" si="7"/>
        <v>insert into ins_premium_det (premium_rcv_code,assorted_code, rec_amount,premium_rcv_detail_code,remaining_amt, payrec, mode_code,coinsurance_code,class_cd,it_remarks) values('30Dec240042','070000172076','42075',(select max(to_number(i.premium_rcv_detail_code))+1
from ins_premium_det i),'42075','42075','02', '11000003','00','Request by Mr. Saqib Saleem 31-Dec-2024 Hold');</v>
      </c>
    </row>
    <row r="126" spans="1:8" ht="105" x14ac:dyDescent="0.25">
      <c r="A126" s="9" t="s">
        <v>12126</v>
      </c>
      <c r="B126" s="25" t="str">
        <f>VLOOKUP(A126,policy1!B:C,2,0)</f>
        <v>070000172077</v>
      </c>
      <c r="C126" s="11">
        <v>52763</v>
      </c>
      <c r="D126" s="26">
        <f t="shared" si="5"/>
        <v>52763</v>
      </c>
      <c r="E126" s="24" t="s">
        <v>13296</v>
      </c>
      <c r="F126" s="27" t="str">
        <f t="shared" si="4"/>
        <v>insert into ins_premium_det (premium_rcv_code,assorted_code, rec_amount,premium_rcv_detail_code,remaining_amt, payrec, mode_code,coinsurance_code,class_cd,it_remarks) values</v>
      </c>
      <c r="G126" s="28" t="str">
        <f t="shared" si="6"/>
        <v>('30Dec240042','070000172077','52763',(select max(to_number(i.premium_rcv_detail_code))+1
from ins_premium_det i),'52763','52763','02', '11000003','00','Request by Mr. Saqib Saleem 31-Dec-2024 Hold');</v>
      </c>
      <c r="H126" s="29" t="str">
        <f t="shared" si="7"/>
        <v>insert into ins_premium_det (premium_rcv_code,assorted_code, rec_amount,premium_rcv_detail_code,remaining_amt, payrec, mode_code,coinsurance_code,class_cd,it_remarks) values('30Dec240042','070000172077','52763',(select max(to_number(i.premium_rcv_detail_code))+1
from ins_premium_det i),'52763','52763','02', '11000003','00','Request by Mr. Saqib Saleem 31-Dec-2024 Hold');</v>
      </c>
    </row>
    <row r="127" spans="1:8" ht="105" x14ac:dyDescent="0.25">
      <c r="A127" s="12" t="s">
        <v>12127</v>
      </c>
      <c r="B127" s="25" t="str">
        <f>VLOOKUP(A127,policy1!B:C,2,0)</f>
        <v>070000172078</v>
      </c>
      <c r="C127" s="13">
        <v>41738</v>
      </c>
      <c r="D127" s="26">
        <f t="shared" si="5"/>
        <v>41738</v>
      </c>
      <c r="E127" s="24" t="s">
        <v>13296</v>
      </c>
      <c r="F127" s="27" t="str">
        <f t="shared" si="4"/>
        <v>insert into ins_premium_det (premium_rcv_code,assorted_code, rec_amount,premium_rcv_detail_code,remaining_amt, payrec, mode_code,coinsurance_code,class_cd,it_remarks) values</v>
      </c>
      <c r="G127" s="28" t="str">
        <f t="shared" si="6"/>
        <v>('30Dec240042','070000172078','41738',(select max(to_number(i.premium_rcv_detail_code))+1
from ins_premium_det i),'41738','41738','02', '11000003','00','Request by Mr. Saqib Saleem 31-Dec-2024 Hold');</v>
      </c>
      <c r="H127" s="29" t="str">
        <f t="shared" si="7"/>
        <v>insert into ins_premium_det (premium_rcv_code,assorted_code, rec_amount,premium_rcv_detail_code,remaining_amt, payrec, mode_code,coinsurance_code,class_cd,it_remarks) values('30Dec240042','070000172078','41738',(select max(to_number(i.premium_rcv_detail_code))+1
from ins_premium_det i),'41738','41738','02', '11000003','00','Request by Mr. Saqib Saleem 31-Dec-2024 Hold');</v>
      </c>
    </row>
    <row r="128" spans="1:8" ht="105" x14ac:dyDescent="0.25">
      <c r="A128" s="9" t="s">
        <v>12128</v>
      </c>
      <c r="B128" s="25" t="str">
        <f>VLOOKUP(A128,policy1!B:C,2,0)</f>
        <v>070000172079</v>
      </c>
      <c r="C128" s="11">
        <v>12113</v>
      </c>
      <c r="D128" s="26">
        <f t="shared" si="5"/>
        <v>12113</v>
      </c>
      <c r="E128" s="24" t="s">
        <v>13296</v>
      </c>
      <c r="F128" s="27" t="str">
        <f t="shared" si="4"/>
        <v>insert into ins_premium_det (premium_rcv_code,assorted_code, rec_amount,premium_rcv_detail_code,remaining_amt, payrec, mode_code,coinsurance_code,class_cd,it_remarks) values</v>
      </c>
      <c r="G128" s="28" t="str">
        <f t="shared" si="6"/>
        <v>('30Dec240042','070000172079','12113',(select max(to_number(i.premium_rcv_detail_code))+1
from ins_premium_det i),'12113','12113','02', '11000003','00','Request by Mr. Saqib Saleem 31-Dec-2024 Hold');</v>
      </c>
      <c r="H128" s="29" t="str">
        <f t="shared" si="7"/>
        <v>insert into ins_premium_det (premium_rcv_code,assorted_code, rec_amount,premium_rcv_detail_code,remaining_amt, payrec, mode_code,coinsurance_code,class_cd,it_remarks) values('30Dec240042','070000172079','12113',(select max(to_number(i.premium_rcv_detail_code))+1
from ins_premium_det i),'12113','12113','02', '11000003','00','Request by Mr. Saqib Saleem 31-Dec-2024 Hold');</v>
      </c>
    </row>
    <row r="129" spans="1:8" ht="105" x14ac:dyDescent="0.25">
      <c r="A129" s="12" t="s">
        <v>12129</v>
      </c>
      <c r="B129" s="25" t="str">
        <f>VLOOKUP(A129,policy1!B:C,2,0)</f>
        <v>070000172080</v>
      </c>
      <c r="C129" s="13">
        <v>27351</v>
      </c>
      <c r="D129" s="26">
        <f t="shared" si="5"/>
        <v>27351</v>
      </c>
      <c r="E129" s="24" t="s">
        <v>13296</v>
      </c>
      <c r="F129" s="27" t="str">
        <f t="shared" si="4"/>
        <v>insert into ins_premium_det (premium_rcv_code,assorted_code, rec_amount,premium_rcv_detail_code,remaining_amt, payrec, mode_code,coinsurance_code,class_cd,it_remarks) values</v>
      </c>
      <c r="G129" s="28" t="str">
        <f t="shared" si="6"/>
        <v>('30Dec240042','070000172080','27351',(select max(to_number(i.premium_rcv_detail_code))+1
from ins_premium_det i),'27351','27351','02', '11000003','00','Request by Mr. Saqib Saleem 31-Dec-2024 Hold');</v>
      </c>
      <c r="H129" s="29" t="str">
        <f t="shared" si="7"/>
        <v>insert into ins_premium_det (premium_rcv_code,assorted_code, rec_amount,premium_rcv_detail_code,remaining_amt, payrec, mode_code,coinsurance_code,class_cd,it_remarks) values('30Dec240042','070000172080','27351',(select max(to_number(i.premium_rcv_detail_code))+1
from ins_premium_det i),'27351','27351','02', '11000003','00','Request by Mr. Saqib Saleem 31-Dec-2024 Hold');</v>
      </c>
    </row>
    <row r="130" spans="1:8" ht="105" x14ac:dyDescent="0.25">
      <c r="A130" s="9" t="s">
        <v>12130</v>
      </c>
      <c r="B130" s="25" t="str">
        <f>VLOOKUP(A130,policy1!B:C,2,0)</f>
        <v>070000172081</v>
      </c>
      <c r="C130" s="11">
        <v>63738</v>
      </c>
      <c r="D130" s="26">
        <f t="shared" si="5"/>
        <v>63738</v>
      </c>
      <c r="E130" s="24" t="s">
        <v>13296</v>
      </c>
      <c r="F130" s="27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28" t="str">
        <f t="shared" si="6"/>
        <v>('30Dec240042','070000172081','63738',(select max(to_number(i.premium_rcv_detail_code))+1
from ins_premium_det i),'63738','63738','02', '11000003','00','Request by Mr. Saqib Saleem 31-Dec-2024 Hold');</v>
      </c>
      <c r="H130" s="29" t="str">
        <f t="shared" si="7"/>
        <v>insert into ins_premium_det (premium_rcv_code,assorted_code, rec_amount,premium_rcv_detail_code,remaining_amt, payrec, mode_code,coinsurance_code,class_cd,it_remarks) values('30Dec240042','070000172081','63738',(select max(to_number(i.premium_rcv_detail_code))+1
from ins_premium_det i),'63738','63738','02', '11000003','00','Request by Mr. Saqib Saleem 31-Dec-2024 Hold');</v>
      </c>
    </row>
    <row r="131" spans="1:8" ht="105" x14ac:dyDescent="0.25">
      <c r="A131" s="12" t="s">
        <v>12131</v>
      </c>
      <c r="B131" s="25" t="str">
        <f>VLOOKUP(A131,policy1!B:C,2,0)</f>
        <v>070000172084</v>
      </c>
      <c r="C131" s="13">
        <v>88230</v>
      </c>
      <c r="D131" s="26">
        <f t="shared" ref="D131:D194" si="9">ROUND(C131,0)</f>
        <v>88230</v>
      </c>
      <c r="E131" s="24" t="s">
        <v>13296</v>
      </c>
      <c r="F131" s="27" t="str">
        <f t="shared" si="8"/>
        <v>insert into ins_premium_det (premium_rcv_code,assorted_code, rec_amount,premium_rcv_detail_code,remaining_amt, payrec, mode_code,coinsurance_code,class_cd,it_remarks) values</v>
      </c>
      <c r="G131" s="28" t="str">
        <f t="shared" ref="G131:G194" si="10">"('"&amp;E131&amp;"','"&amp;B131&amp;"','"&amp;D131&amp;"',(select max(to_number(i.premium_rcv_detail_code))+1
from ins_premium_det i),'"&amp;D131&amp;"','"&amp;D131&amp;"','02', '11000003','00','Request by Mr. Saqib Saleem 31-Dec-2024 Hold');"</f>
        <v>('30Dec240042','070000172084','88230',(select max(to_number(i.premium_rcv_detail_code))+1
from ins_premium_det i),'88230','88230','02', '11000003','00','Request by Mr. Saqib Saleem 31-Dec-2024 Hold');</v>
      </c>
      <c r="H131" s="29" t="str">
        <f t="shared" ref="H131:H194" si="11">F131&amp;G131</f>
        <v>insert into ins_premium_det (premium_rcv_code,assorted_code, rec_amount,premium_rcv_detail_code,remaining_amt, payrec, mode_code,coinsurance_code,class_cd,it_remarks) values('30Dec240042','070000172084','88230',(select max(to_number(i.premium_rcv_detail_code))+1
from ins_premium_det i),'88230','88230','02', '11000003','00','Request by Mr. Saqib Saleem 31-Dec-2024 Hold');</v>
      </c>
    </row>
    <row r="132" spans="1:8" ht="105" x14ac:dyDescent="0.25">
      <c r="A132" s="9" t="s">
        <v>12132</v>
      </c>
      <c r="B132" s="25" t="str">
        <f>VLOOKUP(A132,policy1!B:C,2,0)</f>
        <v>070000172085</v>
      </c>
      <c r="C132" s="11">
        <v>47813</v>
      </c>
      <c r="D132" s="26">
        <f t="shared" si="9"/>
        <v>47813</v>
      </c>
      <c r="E132" s="24" t="s">
        <v>13296</v>
      </c>
      <c r="F132" s="27" t="str">
        <f t="shared" si="8"/>
        <v>insert into ins_premium_det (premium_rcv_code,assorted_code, rec_amount,premium_rcv_detail_code,remaining_amt, payrec, mode_code,coinsurance_code,class_cd,it_remarks) values</v>
      </c>
      <c r="G132" s="28" t="str">
        <f t="shared" si="10"/>
        <v>('30Dec240042','070000172085','47813',(select max(to_number(i.premium_rcv_detail_code))+1
from ins_premium_det i),'47813','47813','02', '11000003','00','Request by Mr. Saqib Saleem 31-Dec-2024 Hold');</v>
      </c>
      <c r="H132" s="29" t="str">
        <f t="shared" si="11"/>
        <v>insert into ins_premium_det (premium_rcv_code,assorted_code, rec_amount,premium_rcv_detail_code,remaining_amt, payrec, mode_code,coinsurance_code,class_cd,it_remarks) values('30Dec240042','070000172085','47813',(select max(to_number(i.premium_rcv_detail_code))+1
from ins_premium_det i),'47813','47813','02', '11000003','00','Request by Mr. Saqib Saleem 31-Dec-2024 Hold');</v>
      </c>
    </row>
    <row r="133" spans="1:8" ht="105" x14ac:dyDescent="0.25">
      <c r="A133" s="12" t="s">
        <v>12133</v>
      </c>
      <c r="B133" s="25" t="str">
        <f>VLOOKUP(A133,policy1!B:C,2,0)</f>
        <v>070000172089</v>
      </c>
      <c r="C133" s="13">
        <v>68315</v>
      </c>
      <c r="D133" s="26">
        <f t="shared" si="9"/>
        <v>68315</v>
      </c>
      <c r="E133" s="24" t="s">
        <v>13296</v>
      </c>
      <c r="F133" s="27" t="str">
        <f t="shared" si="8"/>
        <v>insert into ins_premium_det (premium_rcv_code,assorted_code, rec_amount,premium_rcv_detail_code,remaining_amt, payrec, mode_code,coinsurance_code,class_cd,it_remarks) values</v>
      </c>
      <c r="G133" s="28" t="str">
        <f t="shared" si="10"/>
        <v>('30Dec240042','070000172089','68315',(select max(to_number(i.premium_rcv_detail_code))+1
from ins_premium_det i),'68315','68315','02', '11000003','00','Request by Mr. Saqib Saleem 31-Dec-2024 Hold');</v>
      </c>
      <c r="H133" s="29" t="str">
        <f t="shared" si="11"/>
        <v>insert into ins_premium_det (premium_rcv_code,assorted_code, rec_amount,premium_rcv_detail_code,remaining_amt, payrec, mode_code,coinsurance_code,class_cd,it_remarks) values('30Dec240042','070000172089','68315',(select max(to_number(i.premium_rcv_detail_code))+1
from ins_premium_det i),'68315','68315','02', '11000003','00','Request by Mr. Saqib Saleem 31-Dec-2024 Hold');</v>
      </c>
    </row>
    <row r="134" spans="1:8" ht="105" x14ac:dyDescent="0.25">
      <c r="A134" s="9" t="s">
        <v>12134</v>
      </c>
      <c r="B134" s="25" t="str">
        <f>VLOOKUP(A134,policy1!B:C,2,0)</f>
        <v>070000172092</v>
      </c>
      <c r="C134" s="11">
        <v>45050</v>
      </c>
      <c r="D134" s="26">
        <f t="shared" si="9"/>
        <v>45050</v>
      </c>
      <c r="E134" s="24" t="s">
        <v>13296</v>
      </c>
      <c r="F134" s="27" t="str">
        <f t="shared" si="8"/>
        <v>insert into ins_premium_det (premium_rcv_code,assorted_code, rec_amount,premium_rcv_detail_code,remaining_amt, payrec, mode_code,coinsurance_code,class_cd,it_remarks) values</v>
      </c>
      <c r="G134" s="28" t="str">
        <f t="shared" si="10"/>
        <v>('30Dec240042','070000172092','45050',(select max(to_number(i.premium_rcv_detail_code))+1
from ins_premium_det i),'45050','45050','02', '11000003','00','Request by Mr. Saqib Saleem 31-Dec-2024 Hold');</v>
      </c>
      <c r="H134" s="29" t="str">
        <f t="shared" si="11"/>
        <v>insert into ins_premium_det (premium_rcv_code,assorted_code, rec_amount,premium_rcv_detail_code,remaining_amt, payrec, mode_code,coinsurance_code,class_cd,it_remarks) values('30Dec240042','070000172092','45050',(select max(to_number(i.premium_rcv_detail_code))+1
from ins_premium_det i),'45050','45050','02', '11000003','00','Request by Mr. Saqib Saleem 31-Dec-2024 Hold');</v>
      </c>
    </row>
    <row r="135" spans="1:8" ht="105" x14ac:dyDescent="0.25">
      <c r="A135" s="12" t="s">
        <v>12135</v>
      </c>
      <c r="B135" s="25" t="str">
        <f>VLOOKUP(A135,policy1!B:C,2,0)</f>
        <v>070000172095</v>
      </c>
      <c r="C135" s="13">
        <v>48000</v>
      </c>
      <c r="D135" s="26">
        <f t="shared" si="9"/>
        <v>48000</v>
      </c>
      <c r="E135" s="24" t="s">
        <v>13296</v>
      </c>
      <c r="F135" s="27" t="str">
        <f t="shared" si="8"/>
        <v>insert into ins_premium_det (premium_rcv_code,assorted_code, rec_amount,premium_rcv_detail_code,remaining_amt, payrec, mode_code,coinsurance_code,class_cd,it_remarks) values</v>
      </c>
      <c r="G135" s="28" t="str">
        <f t="shared" si="10"/>
        <v>('30Dec240042','070000172095','48000',(select max(to_number(i.premium_rcv_detail_code))+1
from ins_premium_det i),'48000','48000','02', '11000003','00','Request by Mr. Saqib Saleem 31-Dec-2024 Hold');</v>
      </c>
      <c r="H135" s="29" t="str">
        <f t="shared" si="11"/>
        <v>insert into ins_premium_det (premium_rcv_code,assorted_code, rec_amount,premium_rcv_detail_code,remaining_amt, payrec, mode_code,coinsurance_code,class_cd,it_remarks) values('30Dec240042','070000172095','48000',(select max(to_number(i.premium_rcv_detail_code))+1
from ins_premium_det i),'48000','48000','02', '11000003','00','Request by Mr. Saqib Saleem 31-Dec-2024 Hold');</v>
      </c>
    </row>
    <row r="136" spans="1:8" ht="105" x14ac:dyDescent="0.25">
      <c r="A136" s="9" t="s">
        <v>12136</v>
      </c>
      <c r="B136" s="25" t="str">
        <f>VLOOKUP(A136,policy1!B:C,2,0)</f>
        <v>070000172096</v>
      </c>
      <c r="C136" s="11">
        <v>33596</v>
      </c>
      <c r="D136" s="26">
        <f t="shared" si="9"/>
        <v>33596</v>
      </c>
      <c r="E136" s="24" t="s">
        <v>13296</v>
      </c>
      <c r="F136" s="27" t="str">
        <f t="shared" si="8"/>
        <v>insert into ins_premium_det (premium_rcv_code,assorted_code, rec_amount,premium_rcv_detail_code,remaining_amt, payrec, mode_code,coinsurance_code,class_cd,it_remarks) values</v>
      </c>
      <c r="G136" s="28" t="str">
        <f t="shared" si="10"/>
        <v>('30Dec240042','070000172096','33596',(select max(to_number(i.premium_rcv_detail_code))+1
from ins_premium_det i),'33596','33596','02', '11000003','00','Request by Mr. Saqib Saleem 31-Dec-2024 Hold');</v>
      </c>
      <c r="H136" s="29" t="str">
        <f t="shared" si="11"/>
        <v>insert into ins_premium_det (premium_rcv_code,assorted_code, rec_amount,premium_rcv_detail_code,remaining_amt, payrec, mode_code,coinsurance_code,class_cd,it_remarks) values('30Dec240042','070000172096','33596',(select max(to_number(i.premium_rcv_detail_code))+1
from ins_premium_det i),'33596','33596','02', '11000003','00','Request by Mr. Saqib Saleem 31-Dec-2024 Hold');</v>
      </c>
    </row>
    <row r="137" spans="1:8" ht="105" x14ac:dyDescent="0.25">
      <c r="A137" s="12" t="s">
        <v>12137</v>
      </c>
      <c r="B137" s="25" t="str">
        <f>VLOOKUP(A137,policy1!B:C,2,0)</f>
        <v>070000172098</v>
      </c>
      <c r="C137" s="13">
        <v>25500</v>
      </c>
      <c r="D137" s="26">
        <f t="shared" si="9"/>
        <v>25500</v>
      </c>
      <c r="E137" s="24" t="s">
        <v>13296</v>
      </c>
      <c r="F137" s="27" t="str">
        <f t="shared" si="8"/>
        <v>insert into ins_premium_det (premium_rcv_code,assorted_code, rec_amount,premium_rcv_detail_code,remaining_amt, payrec, mode_code,coinsurance_code,class_cd,it_remarks) values</v>
      </c>
      <c r="G137" s="28" t="str">
        <f t="shared" si="10"/>
        <v>('30Dec240042','070000172098','25500',(select max(to_number(i.premium_rcv_detail_code))+1
from ins_premium_det i),'25500','25500','02', '11000003','00','Request by Mr. Saqib Saleem 31-Dec-2024 Hold');</v>
      </c>
      <c r="H137" s="29" t="str">
        <f t="shared" si="11"/>
        <v>insert into ins_premium_det (premium_rcv_code,assorted_code, rec_amount,premium_rcv_detail_code,remaining_amt, payrec, mode_code,coinsurance_code,class_cd,it_remarks) values('30Dec240042','070000172098','25500',(select max(to_number(i.premium_rcv_detail_code))+1
from ins_premium_det i),'25500','25500','02', '11000003','00','Request by Mr. Saqib Saleem 31-Dec-2024 Hold');</v>
      </c>
    </row>
    <row r="138" spans="1:8" ht="105" x14ac:dyDescent="0.25">
      <c r="A138" s="9" t="s">
        <v>12138</v>
      </c>
      <c r="B138" s="25" t="str">
        <f>VLOOKUP(A138,policy1!B:C,2,0)</f>
        <v>070000172099</v>
      </c>
      <c r="C138" s="11">
        <v>23269</v>
      </c>
      <c r="D138" s="26">
        <f t="shared" si="9"/>
        <v>23269</v>
      </c>
      <c r="E138" s="24" t="s">
        <v>13296</v>
      </c>
      <c r="F138" s="27" t="str">
        <f t="shared" si="8"/>
        <v>insert into ins_premium_det (premium_rcv_code,assorted_code, rec_amount,premium_rcv_detail_code,remaining_amt, payrec, mode_code,coinsurance_code,class_cd,it_remarks) values</v>
      </c>
      <c r="G138" s="28" t="str">
        <f t="shared" si="10"/>
        <v>('30Dec240042','070000172099','23269',(select max(to_number(i.premium_rcv_detail_code))+1
from ins_premium_det i),'23269','23269','02', '11000003','00','Request by Mr. Saqib Saleem 31-Dec-2024 Hold');</v>
      </c>
      <c r="H138" s="29" t="str">
        <f t="shared" si="11"/>
        <v>insert into ins_premium_det (premium_rcv_code,assorted_code, rec_amount,premium_rcv_detail_code,remaining_amt, payrec, mode_code,coinsurance_code,class_cd,it_remarks) values('30Dec240042','070000172099','23269',(select max(to_number(i.premium_rcv_detail_code))+1
from ins_premium_det i),'23269','23269','02', '11000003','00','Request by Mr. Saqib Saleem 31-Dec-2024 Hold');</v>
      </c>
    </row>
    <row r="139" spans="1:8" ht="105" x14ac:dyDescent="0.25">
      <c r="A139" s="12" t="s">
        <v>12139</v>
      </c>
      <c r="B139" s="25" t="str">
        <f>VLOOKUP(A139,policy1!B:C,2,0)</f>
        <v>070000172100</v>
      </c>
      <c r="C139" s="13">
        <v>31875</v>
      </c>
      <c r="D139" s="26">
        <f t="shared" si="9"/>
        <v>31875</v>
      </c>
      <c r="E139" s="24" t="s">
        <v>13296</v>
      </c>
      <c r="F139" s="27" t="str">
        <f t="shared" si="8"/>
        <v>insert into ins_premium_det (premium_rcv_code,assorted_code, rec_amount,premium_rcv_detail_code,remaining_amt, payrec, mode_code,coinsurance_code,class_cd,it_remarks) values</v>
      </c>
      <c r="G139" s="28" t="str">
        <f t="shared" si="10"/>
        <v>('30Dec240042','070000172100','31875',(select max(to_number(i.premium_rcv_detail_code))+1
from ins_premium_det i),'31875','31875','02', '11000003','00','Request by Mr. Saqib Saleem 31-Dec-2024 Hold');</v>
      </c>
      <c r="H139" s="29" t="str">
        <f t="shared" si="11"/>
        <v>insert into ins_premium_det (premium_rcv_code,assorted_code, rec_amount,premium_rcv_detail_code,remaining_amt, payrec, mode_code,coinsurance_code,class_cd,it_remarks) values('30Dec240042','070000172100','31875',(select max(to_number(i.premium_rcv_detail_code))+1
from ins_premium_det i),'31875','31875','02', '11000003','00','Request by Mr. Saqib Saleem 31-Dec-2024 Hold');</v>
      </c>
    </row>
    <row r="140" spans="1:8" ht="105" x14ac:dyDescent="0.25">
      <c r="A140" s="9" t="s">
        <v>12140</v>
      </c>
      <c r="B140" s="25" t="str">
        <f>VLOOKUP(A140,policy1!B:C,2,0)</f>
        <v>070000172101</v>
      </c>
      <c r="C140" s="11">
        <v>26163</v>
      </c>
      <c r="D140" s="26">
        <f t="shared" si="9"/>
        <v>26163</v>
      </c>
      <c r="E140" s="24" t="s">
        <v>13296</v>
      </c>
      <c r="F140" s="27" t="str">
        <f t="shared" si="8"/>
        <v>insert into ins_premium_det (premium_rcv_code,assorted_code, rec_amount,premium_rcv_detail_code,remaining_amt, payrec, mode_code,coinsurance_code,class_cd,it_remarks) values</v>
      </c>
      <c r="G140" s="28" t="str">
        <f t="shared" si="10"/>
        <v>('30Dec240042','070000172101','26163',(select max(to_number(i.premium_rcv_detail_code))+1
from ins_premium_det i),'26163','26163','02', '11000003','00','Request by Mr. Saqib Saleem 31-Dec-2024 Hold');</v>
      </c>
      <c r="H140" s="29" t="str">
        <f t="shared" si="11"/>
        <v>insert into ins_premium_det (premium_rcv_code,assorted_code, rec_amount,premium_rcv_detail_code,remaining_amt, payrec, mode_code,coinsurance_code,class_cd,it_remarks) values('30Dec240042','070000172101','26163',(select max(to_number(i.premium_rcv_detail_code))+1
from ins_premium_det i),'26163','26163','02', '11000003','00','Request by Mr. Saqib Saleem 31-Dec-2024 Hold');</v>
      </c>
    </row>
    <row r="141" spans="1:8" ht="105" x14ac:dyDescent="0.25">
      <c r="A141" s="12" t="s">
        <v>12141</v>
      </c>
      <c r="B141" s="25" t="str">
        <f>VLOOKUP(A141,policy1!B:C,2,0)</f>
        <v>070000172103</v>
      </c>
      <c r="C141" s="13">
        <v>17850</v>
      </c>
      <c r="D141" s="26">
        <f t="shared" si="9"/>
        <v>17850</v>
      </c>
      <c r="E141" s="24" t="s">
        <v>13296</v>
      </c>
      <c r="F141" s="27" t="str">
        <f t="shared" si="8"/>
        <v>insert into ins_premium_det (premium_rcv_code,assorted_code, rec_amount,premium_rcv_detail_code,remaining_amt, payrec, mode_code,coinsurance_code,class_cd,it_remarks) values</v>
      </c>
      <c r="G141" s="28" t="str">
        <f t="shared" si="10"/>
        <v>('30Dec240042','070000172103','17850',(select max(to_number(i.premium_rcv_detail_code))+1
from ins_premium_det i),'17850','17850','02', '11000003','00','Request by Mr. Saqib Saleem 31-Dec-2024 Hold');</v>
      </c>
      <c r="H141" s="29" t="str">
        <f t="shared" si="11"/>
        <v>insert into ins_premium_det (premium_rcv_code,assorted_code, rec_amount,premium_rcv_detail_code,remaining_amt, payrec, mode_code,coinsurance_code,class_cd,it_remarks) values('30Dec240042','070000172103','17850',(select max(to_number(i.premium_rcv_detail_code))+1
from ins_premium_det i),'17850','17850','02', '11000003','00','Request by Mr. Saqib Saleem 31-Dec-2024 Hold');</v>
      </c>
    </row>
    <row r="142" spans="1:8" ht="105" x14ac:dyDescent="0.25">
      <c r="A142" s="9" t="s">
        <v>12142</v>
      </c>
      <c r="B142" s="25" t="str">
        <f>VLOOKUP(A142,policy1!B:C,2,0)</f>
        <v>070000172104</v>
      </c>
      <c r="C142" s="11">
        <v>22928</v>
      </c>
      <c r="D142" s="26">
        <f t="shared" si="9"/>
        <v>22928</v>
      </c>
      <c r="E142" s="24" t="s">
        <v>13296</v>
      </c>
      <c r="F142" s="27" t="str">
        <f t="shared" si="8"/>
        <v>insert into ins_premium_det (premium_rcv_code,assorted_code, rec_amount,premium_rcv_detail_code,remaining_amt, payrec, mode_code,coinsurance_code,class_cd,it_remarks) values</v>
      </c>
      <c r="G142" s="28" t="str">
        <f t="shared" si="10"/>
        <v>('30Dec240042','070000172104','22928',(select max(to_number(i.premium_rcv_detail_code))+1
from ins_premium_det i),'22928','22928','02', '11000003','00','Request by Mr. Saqib Saleem 31-Dec-2024 Hold');</v>
      </c>
      <c r="H142" s="29" t="str">
        <f t="shared" si="11"/>
        <v>insert into ins_premium_det (premium_rcv_code,assorted_code, rec_amount,premium_rcv_detail_code,remaining_amt, payrec, mode_code,coinsurance_code,class_cd,it_remarks) values('30Dec240042','070000172104','22928',(select max(to_number(i.premium_rcv_detail_code))+1
from ins_premium_det i),'22928','22928','02', '11000003','00','Request by Mr. Saqib Saleem 31-Dec-2024 Hold');</v>
      </c>
    </row>
    <row r="143" spans="1:8" ht="105" x14ac:dyDescent="0.25">
      <c r="A143" s="12" t="s">
        <v>12143</v>
      </c>
      <c r="B143" s="25" t="str">
        <f>VLOOKUP(A143,policy1!B:C,2,0)</f>
        <v>070000172105</v>
      </c>
      <c r="C143" s="13">
        <v>20783</v>
      </c>
      <c r="D143" s="26">
        <f t="shared" si="9"/>
        <v>20783</v>
      </c>
      <c r="E143" s="24" t="s">
        <v>13296</v>
      </c>
      <c r="F143" s="27" t="str">
        <f t="shared" si="8"/>
        <v>insert into ins_premium_det (premium_rcv_code,assorted_code, rec_amount,premium_rcv_detail_code,remaining_amt, payrec, mode_code,coinsurance_code,class_cd,it_remarks) values</v>
      </c>
      <c r="G143" s="28" t="str">
        <f t="shared" si="10"/>
        <v>('30Dec240042','070000172105','20783',(select max(to_number(i.premium_rcv_detail_code))+1
from ins_premium_det i),'20783','20783','02', '11000003','00','Request by Mr. Saqib Saleem 31-Dec-2024 Hold');</v>
      </c>
      <c r="H143" s="29" t="str">
        <f t="shared" si="11"/>
        <v>insert into ins_premium_det (premium_rcv_code,assorted_code, rec_amount,premium_rcv_detail_code,remaining_amt, payrec, mode_code,coinsurance_code,class_cd,it_remarks) values('30Dec240042','070000172105','20783',(select max(to_number(i.premium_rcv_detail_code))+1
from ins_premium_det i),'20783','20783','02', '11000003','00','Request by Mr. Saqib Saleem 31-Dec-2024 Hold');</v>
      </c>
    </row>
    <row r="144" spans="1:8" ht="105" x14ac:dyDescent="0.25">
      <c r="A144" s="9" t="s">
        <v>12144</v>
      </c>
      <c r="B144" s="25" t="str">
        <f>VLOOKUP(A144,policy1!B:C,2,0)</f>
        <v>070000172106</v>
      </c>
      <c r="C144" s="11">
        <v>27370</v>
      </c>
      <c r="D144" s="26">
        <f t="shared" si="9"/>
        <v>27370</v>
      </c>
      <c r="E144" s="24" t="s">
        <v>13296</v>
      </c>
      <c r="F144" s="27" t="str">
        <f t="shared" si="8"/>
        <v>insert into ins_premium_det (premium_rcv_code,assorted_code, rec_amount,premium_rcv_detail_code,remaining_amt, payrec, mode_code,coinsurance_code,class_cd,it_remarks) values</v>
      </c>
      <c r="G144" s="28" t="str">
        <f t="shared" si="10"/>
        <v>('30Dec240042','070000172106','27370',(select max(to_number(i.premium_rcv_detail_code))+1
from ins_premium_det i),'27370','27370','02', '11000003','00','Request by Mr. Saqib Saleem 31-Dec-2024 Hold');</v>
      </c>
      <c r="H144" s="29" t="str">
        <f t="shared" si="11"/>
        <v>insert into ins_premium_det (premium_rcv_code,assorted_code, rec_amount,premium_rcv_detail_code,remaining_amt, payrec, mode_code,coinsurance_code,class_cd,it_remarks) values('30Dec240042','070000172106','27370',(select max(to_number(i.premium_rcv_detail_code))+1
from ins_premium_det i),'27370','27370','02', '11000003','00','Request by Mr. Saqib Saleem 31-Dec-2024 Hold');</v>
      </c>
    </row>
    <row r="145" spans="1:8" ht="105" x14ac:dyDescent="0.25">
      <c r="A145" s="12" t="s">
        <v>12145</v>
      </c>
      <c r="B145" s="25" t="str">
        <f>VLOOKUP(A145,policy1!B:C,2,0)</f>
        <v>070000172107</v>
      </c>
      <c r="C145" s="13">
        <v>18921</v>
      </c>
      <c r="D145" s="26">
        <f t="shared" si="9"/>
        <v>18921</v>
      </c>
      <c r="E145" s="24" t="s">
        <v>13296</v>
      </c>
      <c r="F145" s="27" t="str">
        <f t="shared" si="8"/>
        <v>insert into ins_premium_det (premium_rcv_code,assorted_code, rec_amount,premium_rcv_detail_code,remaining_amt, payrec, mode_code,coinsurance_code,class_cd,it_remarks) values</v>
      </c>
      <c r="G145" s="28" t="str">
        <f t="shared" si="10"/>
        <v>('30Dec240042','070000172107','18921',(select max(to_number(i.premium_rcv_detail_code))+1
from ins_premium_det i),'18921','18921','02', '11000003','00','Request by Mr. Saqib Saleem 31-Dec-2024 Hold');</v>
      </c>
      <c r="H145" s="29" t="str">
        <f t="shared" si="11"/>
        <v>insert into ins_premium_det (premium_rcv_code,assorted_code, rec_amount,premium_rcv_detail_code,remaining_amt, payrec, mode_code,coinsurance_code,class_cd,it_remarks) values('30Dec240042','070000172107','18921',(select max(to_number(i.premium_rcv_detail_code))+1
from ins_premium_det i),'18921','18921','02', '11000003','00','Request by Mr. Saqib Saleem 31-Dec-2024 Hold');</v>
      </c>
    </row>
    <row r="146" spans="1:8" ht="105" x14ac:dyDescent="0.25">
      <c r="A146" s="9" t="s">
        <v>12146</v>
      </c>
      <c r="B146" s="25" t="str">
        <f>VLOOKUP(A146,policy1!B:C,2,0)</f>
        <v>070000172108</v>
      </c>
      <c r="C146" s="11">
        <v>9945</v>
      </c>
      <c r="D146" s="26">
        <f t="shared" si="9"/>
        <v>9945</v>
      </c>
      <c r="E146" s="24" t="s">
        <v>13296</v>
      </c>
      <c r="F146" s="27" t="str">
        <f t="shared" si="8"/>
        <v>insert into ins_premium_det (premium_rcv_code,assorted_code, rec_amount,premium_rcv_detail_code,remaining_amt, payrec, mode_code,coinsurance_code,class_cd,it_remarks) values</v>
      </c>
      <c r="G146" s="28" t="str">
        <f t="shared" si="10"/>
        <v>('30Dec240042','070000172108','9945',(select max(to_number(i.premium_rcv_detail_code))+1
from ins_premium_det i),'9945','9945','02', '11000003','00','Request by Mr. Saqib Saleem 31-Dec-2024 Hold');</v>
      </c>
      <c r="H146" s="29" t="str">
        <f t="shared" si="11"/>
        <v>insert into ins_premium_det (premium_rcv_code,assorted_code, rec_amount,premium_rcv_detail_code,remaining_amt, payrec, mode_code,coinsurance_code,class_cd,it_remarks) values('30Dec240042','070000172108','9945',(select max(to_number(i.premium_rcv_detail_code))+1
from ins_premium_det i),'9945','9945','02', '11000003','00','Request by Mr. Saqib Saleem 31-Dec-2024 Hold');</v>
      </c>
    </row>
    <row r="147" spans="1:8" ht="105" x14ac:dyDescent="0.25">
      <c r="A147" s="12" t="s">
        <v>12147</v>
      </c>
      <c r="B147" s="25" t="str">
        <f>VLOOKUP(A147,policy1!B:C,2,0)</f>
        <v>070000172110</v>
      </c>
      <c r="C147" s="13">
        <v>49088</v>
      </c>
      <c r="D147" s="26">
        <f t="shared" si="9"/>
        <v>49088</v>
      </c>
      <c r="E147" s="24" t="s">
        <v>13296</v>
      </c>
      <c r="F147" s="27" t="str">
        <f t="shared" si="8"/>
        <v>insert into ins_premium_det (premium_rcv_code,assorted_code, rec_amount,premium_rcv_detail_code,remaining_amt, payrec, mode_code,coinsurance_code,class_cd,it_remarks) values</v>
      </c>
      <c r="G147" s="28" t="str">
        <f t="shared" si="10"/>
        <v>('30Dec240042','070000172110','49088',(select max(to_number(i.premium_rcv_detail_code))+1
from ins_premium_det i),'49088','49088','02', '11000003','00','Request by Mr. Saqib Saleem 31-Dec-2024 Hold');</v>
      </c>
      <c r="H147" s="29" t="str">
        <f t="shared" si="11"/>
        <v>insert into ins_premium_det (premium_rcv_code,assorted_code, rec_amount,premium_rcv_detail_code,remaining_amt, payrec, mode_code,coinsurance_code,class_cd,it_remarks) values('30Dec240042','070000172110','49088',(select max(to_number(i.premium_rcv_detail_code))+1
from ins_premium_det i),'49088','49088','02', '11000003','00','Request by Mr. Saqib Saleem 31-Dec-2024 Hold');</v>
      </c>
    </row>
    <row r="148" spans="1:8" ht="105" x14ac:dyDescent="0.25">
      <c r="A148" s="9" t="s">
        <v>12148</v>
      </c>
      <c r="B148" s="25" t="str">
        <f>VLOOKUP(A148,policy1!B:C,2,0)</f>
        <v>070000172111</v>
      </c>
      <c r="C148" s="11">
        <v>31875</v>
      </c>
      <c r="D148" s="26">
        <f t="shared" si="9"/>
        <v>31875</v>
      </c>
      <c r="E148" s="24" t="s">
        <v>13296</v>
      </c>
      <c r="F148" s="27" t="str">
        <f t="shared" si="8"/>
        <v>insert into ins_premium_det (premium_rcv_code,assorted_code, rec_amount,premium_rcv_detail_code,remaining_amt, payrec, mode_code,coinsurance_code,class_cd,it_remarks) values</v>
      </c>
      <c r="G148" s="28" t="str">
        <f t="shared" si="10"/>
        <v>('30Dec240042','070000172111','31875',(select max(to_number(i.premium_rcv_detail_code))+1
from ins_premium_det i),'31875','31875','02', '11000003','00','Request by Mr. Saqib Saleem 31-Dec-2024 Hold');</v>
      </c>
      <c r="H148" s="29" t="str">
        <f t="shared" si="11"/>
        <v>insert into ins_premium_det (premium_rcv_code,assorted_code, rec_amount,premium_rcv_detail_code,remaining_amt, payrec, mode_code,coinsurance_code,class_cd,it_remarks) values('30Dec240042','070000172111','31875',(select max(to_number(i.premium_rcv_detail_code))+1
from ins_premium_det i),'31875','31875','02', '11000003','00','Request by Mr. Saqib Saleem 31-Dec-2024 Hold');</v>
      </c>
    </row>
    <row r="149" spans="1:8" ht="105" x14ac:dyDescent="0.25">
      <c r="A149" s="12" t="s">
        <v>12149</v>
      </c>
      <c r="B149" s="25" t="str">
        <f>VLOOKUP(A149,policy1!B:C,2,0)</f>
        <v>070000172113</v>
      </c>
      <c r="C149" s="13">
        <v>18979</v>
      </c>
      <c r="D149" s="26">
        <f t="shared" si="9"/>
        <v>18979</v>
      </c>
      <c r="E149" s="24" t="s">
        <v>13296</v>
      </c>
      <c r="F149" s="27" t="str">
        <f t="shared" si="8"/>
        <v>insert into ins_premium_det (premium_rcv_code,assorted_code, rec_amount,premium_rcv_detail_code,remaining_amt, payrec, mode_code,coinsurance_code,class_cd,it_remarks) values</v>
      </c>
      <c r="G149" s="28" t="str">
        <f t="shared" si="10"/>
        <v>('30Dec240042','070000172113','18979',(select max(to_number(i.premium_rcv_detail_code))+1
from ins_premium_det i),'18979','18979','02', '11000003','00','Request by Mr. Saqib Saleem 31-Dec-2024 Hold');</v>
      </c>
      <c r="H149" s="29" t="str">
        <f t="shared" si="11"/>
        <v>insert into ins_premium_det (premium_rcv_code,assorted_code, rec_amount,premium_rcv_detail_code,remaining_amt, payrec, mode_code,coinsurance_code,class_cd,it_remarks) values('30Dec240042','070000172113','18979',(select max(to_number(i.premium_rcv_detail_code))+1
from ins_premium_det i),'18979','18979','02', '11000003','00','Request by Mr. Saqib Saleem 31-Dec-2024 Hold');</v>
      </c>
    </row>
    <row r="150" spans="1:8" ht="105" x14ac:dyDescent="0.25">
      <c r="A150" s="9" t="s">
        <v>12150</v>
      </c>
      <c r="B150" s="25" t="str">
        <f>VLOOKUP(A150,policy1!B:C,2,0)</f>
        <v>070000172115</v>
      </c>
      <c r="C150" s="11">
        <v>66938</v>
      </c>
      <c r="D150" s="26">
        <f t="shared" si="9"/>
        <v>66938</v>
      </c>
      <c r="E150" s="24" t="s">
        <v>13296</v>
      </c>
      <c r="F150" s="27" t="str">
        <f t="shared" si="8"/>
        <v>insert into ins_premium_det (premium_rcv_code,assorted_code, rec_amount,premium_rcv_detail_code,remaining_amt, payrec, mode_code,coinsurance_code,class_cd,it_remarks) values</v>
      </c>
      <c r="G150" s="28" t="str">
        <f t="shared" si="10"/>
        <v>('30Dec240042','070000172115','66938',(select max(to_number(i.premium_rcv_detail_code))+1
from ins_premium_det i),'66938','66938','02', '11000003','00','Request by Mr. Saqib Saleem 31-Dec-2024 Hold');</v>
      </c>
      <c r="H150" s="29" t="str">
        <f t="shared" si="11"/>
        <v>insert into ins_premium_det (premium_rcv_code,assorted_code, rec_amount,premium_rcv_detail_code,remaining_amt, payrec, mode_code,coinsurance_code,class_cd,it_remarks) values('30Dec240042','070000172115','66938',(select max(to_number(i.premium_rcv_detail_code))+1
from ins_premium_det i),'66938','66938','02', '11000003','00','Request by Mr. Saqib Saleem 31-Dec-2024 Hold');</v>
      </c>
    </row>
    <row r="151" spans="1:8" ht="105" x14ac:dyDescent="0.25">
      <c r="A151" s="12" t="s">
        <v>12151</v>
      </c>
      <c r="B151" s="25" t="str">
        <f>VLOOKUP(A151,policy1!B:C,2,0)</f>
        <v>070000172116</v>
      </c>
      <c r="C151" s="13">
        <v>41139</v>
      </c>
      <c r="D151" s="26">
        <f t="shared" si="9"/>
        <v>41139</v>
      </c>
      <c r="E151" s="24" t="s">
        <v>13296</v>
      </c>
      <c r="F151" s="27" t="str">
        <f t="shared" si="8"/>
        <v>insert into ins_premium_det (premium_rcv_code,assorted_code, rec_amount,premium_rcv_detail_code,remaining_amt, payrec, mode_code,coinsurance_code,class_cd,it_remarks) values</v>
      </c>
      <c r="G151" s="28" t="str">
        <f t="shared" si="10"/>
        <v>('30Dec240042','070000172116','41139',(select max(to_number(i.premium_rcv_detail_code))+1
from ins_premium_det i),'41139','41139','02', '11000003','00','Request by Mr. Saqib Saleem 31-Dec-2024 Hold');</v>
      </c>
      <c r="H151" s="29" t="str">
        <f t="shared" si="11"/>
        <v>insert into ins_premium_det (premium_rcv_code,assorted_code, rec_amount,premium_rcv_detail_code,remaining_amt, payrec, mode_code,coinsurance_code,class_cd,it_remarks) values('30Dec240042','070000172116','41139',(select max(to_number(i.premium_rcv_detail_code))+1
from ins_premium_det i),'41139','41139','02', '11000003','00','Request by Mr. Saqib Saleem 31-Dec-2024 Hold');</v>
      </c>
    </row>
    <row r="152" spans="1:8" ht="105" x14ac:dyDescent="0.25">
      <c r="A152" s="9" t="s">
        <v>12152</v>
      </c>
      <c r="B152" s="25" t="str">
        <f>VLOOKUP(A152,policy1!B:C,2,0)</f>
        <v>070000172118</v>
      </c>
      <c r="C152" s="11">
        <v>41531</v>
      </c>
      <c r="D152" s="26">
        <f t="shared" si="9"/>
        <v>41531</v>
      </c>
      <c r="E152" s="24" t="s">
        <v>13296</v>
      </c>
      <c r="F152" s="27" t="str">
        <f t="shared" si="8"/>
        <v>insert into ins_premium_det (premium_rcv_code,assorted_code, rec_amount,premium_rcv_detail_code,remaining_amt, payrec, mode_code,coinsurance_code,class_cd,it_remarks) values</v>
      </c>
      <c r="G152" s="28" t="str">
        <f t="shared" si="10"/>
        <v>('30Dec240042','070000172118','41531',(select max(to_number(i.premium_rcv_detail_code))+1
from ins_premium_det i),'41531','41531','02', '11000003','00','Request by Mr. Saqib Saleem 31-Dec-2024 Hold');</v>
      </c>
      <c r="H152" s="29" t="str">
        <f t="shared" si="11"/>
        <v>insert into ins_premium_det (premium_rcv_code,assorted_code, rec_amount,premium_rcv_detail_code,remaining_amt, payrec, mode_code,coinsurance_code,class_cd,it_remarks) values('30Dec240042','070000172118','41531',(select max(to_number(i.premium_rcv_detail_code))+1
from ins_premium_det i),'41531','41531','02', '11000003','00','Request by Mr. Saqib Saleem 31-Dec-2024 Hold');</v>
      </c>
    </row>
    <row r="153" spans="1:8" ht="105" x14ac:dyDescent="0.25">
      <c r="A153" s="12" t="s">
        <v>12153</v>
      </c>
      <c r="B153" s="25" t="str">
        <f>VLOOKUP(A153,policy1!B:C,2,0)</f>
        <v>070000172119</v>
      </c>
      <c r="C153" s="13">
        <v>24225</v>
      </c>
      <c r="D153" s="26">
        <f t="shared" si="9"/>
        <v>24225</v>
      </c>
      <c r="E153" s="24" t="s">
        <v>13296</v>
      </c>
      <c r="F153" s="27" t="str">
        <f t="shared" si="8"/>
        <v>insert into ins_premium_det (premium_rcv_code,assorted_code, rec_amount,premium_rcv_detail_code,remaining_amt, payrec, mode_code,coinsurance_code,class_cd,it_remarks) values</v>
      </c>
      <c r="G153" s="28" t="str">
        <f t="shared" si="10"/>
        <v>('30Dec240042','070000172119','24225',(select max(to_number(i.premium_rcv_detail_code))+1
from ins_premium_det i),'24225','24225','02', '11000003','00','Request by Mr. Saqib Saleem 31-Dec-2024 Hold');</v>
      </c>
      <c r="H153" s="29" t="str">
        <f t="shared" si="11"/>
        <v>insert into ins_premium_det (premium_rcv_code,assorted_code, rec_amount,premium_rcv_detail_code,remaining_amt, payrec, mode_code,coinsurance_code,class_cd,it_remarks) values('30Dec240042','070000172119','24225',(select max(to_number(i.premium_rcv_detail_code))+1
from ins_premium_det i),'24225','24225','02', '11000003','00','Request by Mr. Saqib Saleem 31-Dec-2024 Hold');</v>
      </c>
    </row>
    <row r="154" spans="1:8" ht="105" x14ac:dyDescent="0.25">
      <c r="A154" s="9" t="s">
        <v>12154</v>
      </c>
      <c r="B154" s="25" t="str">
        <f>VLOOKUP(A154,policy1!B:C,2,0)</f>
        <v>070000172121</v>
      </c>
      <c r="C154" s="11">
        <v>29963</v>
      </c>
      <c r="D154" s="26">
        <f t="shared" si="9"/>
        <v>29963</v>
      </c>
      <c r="E154" s="24" t="s">
        <v>13296</v>
      </c>
      <c r="F154" s="27" t="str">
        <f t="shared" si="8"/>
        <v>insert into ins_premium_det (premium_rcv_code,assorted_code, rec_amount,premium_rcv_detail_code,remaining_amt, payrec, mode_code,coinsurance_code,class_cd,it_remarks) values</v>
      </c>
      <c r="G154" s="28" t="str">
        <f t="shared" si="10"/>
        <v>('30Dec240042','070000172121','29963',(select max(to_number(i.premium_rcv_detail_code))+1
from ins_premium_det i),'29963','29963','02', '11000003','00','Request by Mr. Saqib Saleem 31-Dec-2024 Hold');</v>
      </c>
      <c r="H154" s="29" t="str">
        <f t="shared" si="11"/>
        <v>insert into ins_premium_det (premium_rcv_code,assorted_code, rec_amount,premium_rcv_detail_code,remaining_amt, payrec, mode_code,coinsurance_code,class_cd,it_remarks) values('30Dec240042','070000172121','29963',(select max(to_number(i.premium_rcv_detail_code))+1
from ins_premium_det i),'29963','29963','02', '11000003','00','Request by Mr. Saqib Saleem 31-Dec-2024 Hold');</v>
      </c>
    </row>
    <row r="155" spans="1:8" ht="105" x14ac:dyDescent="0.25">
      <c r="A155" s="12" t="s">
        <v>12155</v>
      </c>
      <c r="B155" s="25" t="str">
        <f>VLOOKUP(A155,policy1!B:C,2,0)</f>
        <v>070000172122</v>
      </c>
      <c r="C155" s="13">
        <v>45900</v>
      </c>
      <c r="D155" s="26">
        <f t="shared" si="9"/>
        <v>45900</v>
      </c>
      <c r="E155" s="24" t="s">
        <v>13296</v>
      </c>
      <c r="F155" s="27" t="str">
        <f t="shared" si="8"/>
        <v>insert into ins_premium_det (premium_rcv_code,assorted_code, rec_amount,premium_rcv_detail_code,remaining_amt, payrec, mode_code,coinsurance_code,class_cd,it_remarks) values</v>
      </c>
      <c r="G155" s="28" t="str">
        <f t="shared" si="10"/>
        <v>('30Dec240042','070000172122','45900',(select max(to_number(i.premium_rcv_detail_code))+1
from ins_premium_det i),'45900','45900','02', '11000003','00','Request by Mr. Saqib Saleem 31-Dec-2024 Hold');</v>
      </c>
      <c r="H155" s="29" t="str">
        <f t="shared" si="11"/>
        <v>insert into ins_premium_det (premium_rcv_code,assorted_code, rec_amount,premium_rcv_detail_code,remaining_amt, payrec, mode_code,coinsurance_code,class_cd,it_remarks) values('30Dec240042','070000172122','45900',(select max(to_number(i.premium_rcv_detail_code))+1
from ins_premium_det i),'45900','45900','02', '11000003','00','Request by Mr. Saqib Saleem 31-Dec-2024 Hold');</v>
      </c>
    </row>
    <row r="156" spans="1:8" ht="105" x14ac:dyDescent="0.25">
      <c r="A156" s="9" t="s">
        <v>12156</v>
      </c>
      <c r="B156" s="25" t="str">
        <f>VLOOKUP(A156,policy1!B:C,2,0)</f>
        <v>070000172123</v>
      </c>
      <c r="C156" s="11">
        <v>33405</v>
      </c>
      <c r="D156" s="26">
        <f t="shared" si="9"/>
        <v>33405</v>
      </c>
      <c r="E156" s="24" t="s">
        <v>13296</v>
      </c>
      <c r="F156" s="27" t="str">
        <f t="shared" si="8"/>
        <v>insert into ins_premium_det (premium_rcv_code,assorted_code, rec_amount,premium_rcv_detail_code,remaining_amt, payrec, mode_code,coinsurance_code,class_cd,it_remarks) values</v>
      </c>
      <c r="G156" s="28" t="str">
        <f t="shared" si="10"/>
        <v>('30Dec240042','070000172123','33405',(select max(to_number(i.premium_rcv_detail_code))+1
from ins_premium_det i),'33405','33405','02', '11000003','00','Request by Mr. Saqib Saleem 31-Dec-2024 Hold');</v>
      </c>
      <c r="H156" s="29" t="str">
        <f t="shared" si="11"/>
        <v>insert into ins_premium_det (premium_rcv_code,assorted_code, rec_amount,premium_rcv_detail_code,remaining_amt, payrec, mode_code,coinsurance_code,class_cd,it_remarks) values('30Dec240042','070000172123','33405',(select max(to_number(i.premium_rcv_detail_code))+1
from ins_premium_det i),'33405','33405','02', '11000003','00','Request by Mr. Saqib Saleem 31-Dec-2024 Hold');</v>
      </c>
    </row>
    <row r="157" spans="1:8" ht="105" x14ac:dyDescent="0.25">
      <c r="A157" s="12" t="s">
        <v>12157</v>
      </c>
      <c r="B157" s="25" t="str">
        <f>VLOOKUP(A157,policy1!B:C,2,0)</f>
        <v>070000172125</v>
      </c>
      <c r="C157" s="13">
        <v>32513</v>
      </c>
      <c r="D157" s="26">
        <f t="shared" si="9"/>
        <v>32513</v>
      </c>
      <c r="E157" s="24" t="s">
        <v>13296</v>
      </c>
      <c r="F157" s="27" t="str">
        <f t="shared" si="8"/>
        <v>insert into ins_premium_det (premium_rcv_code,assorted_code, rec_amount,premium_rcv_detail_code,remaining_amt, payrec, mode_code,coinsurance_code,class_cd,it_remarks) values</v>
      </c>
      <c r="G157" s="28" t="str">
        <f t="shared" si="10"/>
        <v>('30Dec240042','070000172125','32513',(select max(to_number(i.premium_rcv_detail_code))+1
from ins_premium_det i),'32513','32513','02', '11000003','00','Request by Mr. Saqib Saleem 31-Dec-2024 Hold');</v>
      </c>
      <c r="H157" s="29" t="str">
        <f t="shared" si="11"/>
        <v>insert into ins_premium_det (premium_rcv_code,assorted_code, rec_amount,premium_rcv_detail_code,remaining_amt, payrec, mode_code,coinsurance_code,class_cd,it_remarks) values('30Dec240042','070000172125','32513',(select max(to_number(i.premium_rcv_detail_code))+1
from ins_premium_det i),'32513','32513','02', '11000003','00','Request by Mr. Saqib Saleem 31-Dec-2024 Hold');</v>
      </c>
    </row>
    <row r="158" spans="1:8" ht="105" x14ac:dyDescent="0.25">
      <c r="A158" s="9" t="s">
        <v>12158</v>
      </c>
      <c r="B158" s="25" t="str">
        <f>VLOOKUP(A158,policy1!B:C,2,0)</f>
        <v>070000172126</v>
      </c>
      <c r="C158" s="11">
        <v>19125</v>
      </c>
      <c r="D158" s="26">
        <f t="shared" si="9"/>
        <v>19125</v>
      </c>
      <c r="E158" s="24" t="s">
        <v>13296</v>
      </c>
      <c r="F158" s="27" t="str">
        <f t="shared" si="8"/>
        <v>insert into ins_premium_det (premium_rcv_code,assorted_code, rec_amount,premium_rcv_detail_code,remaining_amt, payrec, mode_code,coinsurance_code,class_cd,it_remarks) values</v>
      </c>
      <c r="G158" s="28" t="str">
        <f t="shared" si="10"/>
        <v>('30Dec240042','070000172126','19125',(select max(to_number(i.premium_rcv_detail_code))+1
from ins_premium_det i),'19125','19125','02', '11000003','00','Request by Mr. Saqib Saleem 31-Dec-2024 Hold');</v>
      </c>
      <c r="H158" s="29" t="str">
        <f t="shared" si="11"/>
        <v>insert into ins_premium_det (premium_rcv_code,assorted_code, rec_amount,premium_rcv_detail_code,remaining_amt, payrec, mode_code,coinsurance_code,class_cd,it_remarks) values('30Dec240042','070000172126','19125',(select max(to_number(i.premium_rcv_detail_code))+1
from ins_premium_det i),'19125','19125','02', '11000003','00','Request by Mr. Saqib Saleem 31-Dec-2024 Hold');</v>
      </c>
    </row>
    <row r="159" spans="1:8" ht="105" x14ac:dyDescent="0.25">
      <c r="A159" s="12" t="s">
        <v>12159</v>
      </c>
      <c r="B159" s="25" t="str">
        <f>VLOOKUP(A159,policy1!B:C,2,0)</f>
        <v>070000172127</v>
      </c>
      <c r="C159" s="13">
        <v>28463</v>
      </c>
      <c r="D159" s="26">
        <f t="shared" si="9"/>
        <v>28463</v>
      </c>
      <c r="E159" s="24" t="s">
        <v>13296</v>
      </c>
      <c r="F159" s="27" t="str">
        <f t="shared" si="8"/>
        <v>insert into ins_premium_det (premium_rcv_code,assorted_code, rec_amount,premium_rcv_detail_code,remaining_amt, payrec, mode_code,coinsurance_code,class_cd,it_remarks) values</v>
      </c>
      <c r="G159" s="28" t="str">
        <f t="shared" si="10"/>
        <v>('30Dec240042','070000172127','28463',(select max(to_number(i.premium_rcv_detail_code))+1
from ins_premium_det i),'28463','28463','02', '11000003','00','Request by Mr. Saqib Saleem 31-Dec-2024 Hold');</v>
      </c>
      <c r="H159" s="29" t="str">
        <f t="shared" si="11"/>
        <v>insert into ins_premium_det (premium_rcv_code,assorted_code, rec_amount,premium_rcv_detail_code,remaining_amt, payrec, mode_code,coinsurance_code,class_cd,it_remarks) values('30Dec240042','070000172127','28463',(select max(to_number(i.premium_rcv_detail_code))+1
from ins_premium_det i),'28463','28463','02', '11000003','00','Request by Mr. Saqib Saleem 31-Dec-2024 Hold');</v>
      </c>
    </row>
    <row r="160" spans="1:8" ht="105" x14ac:dyDescent="0.25">
      <c r="A160" s="9" t="s">
        <v>12160</v>
      </c>
      <c r="B160" s="25" t="str">
        <f>VLOOKUP(A160,policy1!B:C,2,0)</f>
        <v>070000172128</v>
      </c>
      <c r="C160" s="11">
        <v>19125</v>
      </c>
      <c r="D160" s="26">
        <f t="shared" si="9"/>
        <v>19125</v>
      </c>
      <c r="E160" s="24" t="s">
        <v>13296</v>
      </c>
      <c r="F160" s="27" t="str">
        <f t="shared" si="8"/>
        <v>insert into ins_premium_det (premium_rcv_code,assorted_code, rec_amount,premium_rcv_detail_code,remaining_amt, payrec, mode_code,coinsurance_code,class_cd,it_remarks) values</v>
      </c>
      <c r="G160" s="28" t="str">
        <f t="shared" si="10"/>
        <v>('30Dec240042','070000172128','19125',(select max(to_number(i.premium_rcv_detail_code))+1
from ins_premium_det i),'19125','19125','02', '11000003','00','Request by Mr. Saqib Saleem 31-Dec-2024 Hold');</v>
      </c>
      <c r="H160" s="29" t="str">
        <f t="shared" si="11"/>
        <v>insert into ins_premium_det (premium_rcv_code,assorted_code, rec_amount,premium_rcv_detail_code,remaining_amt, payrec, mode_code,coinsurance_code,class_cd,it_remarks) values('30Dec240042','070000172128','19125',(select max(to_number(i.premium_rcv_detail_code))+1
from ins_premium_det i),'19125','19125','02', '11000003','00','Request by Mr. Saqib Saleem 31-Dec-2024 Hold');</v>
      </c>
    </row>
    <row r="161" spans="1:8" ht="105" x14ac:dyDescent="0.25">
      <c r="A161" s="12" t="s">
        <v>12161</v>
      </c>
      <c r="B161" s="25" t="str">
        <f>VLOOKUP(A161,policy1!B:C,2,0)</f>
        <v>070000172129</v>
      </c>
      <c r="C161" s="13">
        <v>22695</v>
      </c>
      <c r="D161" s="26">
        <f t="shared" si="9"/>
        <v>22695</v>
      </c>
      <c r="E161" s="24" t="s">
        <v>13296</v>
      </c>
      <c r="F161" s="27" t="str">
        <f t="shared" si="8"/>
        <v>insert into ins_premium_det (premium_rcv_code,assorted_code, rec_amount,premium_rcv_detail_code,remaining_amt, payrec, mode_code,coinsurance_code,class_cd,it_remarks) values</v>
      </c>
      <c r="G161" s="28" t="str">
        <f t="shared" si="10"/>
        <v>('30Dec240042','070000172129','22695',(select max(to_number(i.premium_rcv_detail_code))+1
from ins_premium_det i),'22695','22695','02', '11000003','00','Request by Mr. Saqib Saleem 31-Dec-2024 Hold');</v>
      </c>
      <c r="H161" s="29" t="str">
        <f t="shared" si="11"/>
        <v>insert into ins_premium_det (premium_rcv_code,assorted_code, rec_amount,premium_rcv_detail_code,remaining_amt, payrec, mode_code,coinsurance_code,class_cd,it_remarks) values('30Dec240042','070000172129','22695',(select max(to_number(i.premium_rcv_detail_code))+1
from ins_premium_det i),'22695','22695','02', '11000003','00','Request by Mr. Saqib Saleem 31-Dec-2024 Hold');</v>
      </c>
    </row>
    <row r="162" spans="1:8" ht="105" x14ac:dyDescent="0.25">
      <c r="A162" s="9" t="s">
        <v>12162</v>
      </c>
      <c r="B162" s="25" t="str">
        <f>VLOOKUP(A162,policy1!B:C,2,0)</f>
        <v>070000172130</v>
      </c>
      <c r="C162" s="11">
        <v>14663</v>
      </c>
      <c r="D162" s="26">
        <f t="shared" si="9"/>
        <v>14663</v>
      </c>
      <c r="E162" s="24" t="s">
        <v>13296</v>
      </c>
      <c r="F162" s="27" t="str">
        <f t="shared" si="8"/>
        <v>insert into ins_premium_det (premium_rcv_code,assorted_code, rec_amount,premium_rcv_detail_code,remaining_amt, payrec, mode_code,coinsurance_code,class_cd,it_remarks) values</v>
      </c>
      <c r="G162" s="28" t="str">
        <f t="shared" si="10"/>
        <v>('30Dec240042','070000172130','14663',(select max(to_number(i.premium_rcv_detail_code))+1
from ins_premium_det i),'14663','14663','02', '11000003','00','Request by Mr. Saqib Saleem 31-Dec-2024 Hold');</v>
      </c>
      <c r="H162" s="29" t="str">
        <f t="shared" si="11"/>
        <v>insert into ins_premium_det (premium_rcv_code,assorted_code, rec_amount,premium_rcv_detail_code,remaining_amt, payrec, mode_code,coinsurance_code,class_cd,it_remarks) values('30Dec240042','070000172130','14663',(select max(to_number(i.premium_rcv_detail_code))+1
from ins_premium_det i),'14663','14663','02', '11000003','00','Request by Mr. Saqib Saleem 31-Dec-2024 Hold');</v>
      </c>
    </row>
    <row r="163" spans="1:8" ht="105" x14ac:dyDescent="0.25">
      <c r="A163" s="12" t="s">
        <v>12163</v>
      </c>
      <c r="B163" s="25" t="str">
        <f>VLOOKUP(A163,policy1!B:C,2,0)</f>
        <v>070000172132</v>
      </c>
      <c r="C163" s="13">
        <v>22950</v>
      </c>
      <c r="D163" s="26">
        <f t="shared" si="9"/>
        <v>22950</v>
      </c>
      <c r="E163" s="24" t="s">
        <v>13296</v>
      </c>
      <c r="F163" s="27" t="str">
        <f t="shared" si="8"/>
        <v>insert into ins_premium_det (premium_rcv_code,assorted_code, rec_amount,premium_rcv_detail_code,remaining_amt, payrec, mode_code,coinsurance_code,class_cd,it_remarks) values</v>
      </c>
      <c r="G163" s="28" t="str">
        <f t="shared" si="10"/>
        <v>('30Dec240042','070000172132','22950',(select max(to_number(i.premium_rcv_detail_code))+1
from ins_premium_det i),'22950','22950','02', '11000003','00','Request by Mr. Saqib Saleem 31-Dec-2024 Hold');</v>
      </c>
      <c r="H163" s="29" t="str">
        <f t="shared" si="11"/>
        <v>insert into ins_premium_det (premium_rcv_code,assorted_code, rec_amount,premium_rcv_detail_code,remaining_amt, payrec, mode_code,coinsurance_code,class_cd,it_remarks) values('30Dec240042','070000172132','22950',(select max(to_number(i.premium_rcv_detail_code))+1
from ins_premium_det i),'22950','22950','02', '11000003','00','Request by Mr. Saqib Saleem 31-Dec-2024 Hold');</v>
      </c>
    </row>
    <row r="164" spans="1:8" ht="105" x14ac:dyDescent="0.25">
      <c r="A164" s="9" t="s">
        <v>12164</v>
      </c>
      <c r="B164" s="25" t="str">
        <f>VLOOKUP(A164,policy1!B:C,2,0)</f>
        <v>070000172135</v>
      </c>
      <c r="C164" s="11">
        <v>26550</v>
      </c>
      <c r="D164" s="26">
        <f t="shared" si="9"/>
        <v>26550</v>
      </c>
      <c r="E164" s="24" t="s">
        <v>13296</v>
      </c>
      <c r="F164" s="27" t="str">
        <f t="shared" si="8"/>
        <v>insert into ins_premium_det (premium_rcv_code,assorted_code, rec_amount,premium_rcv_detail_code,remaining_amt, payrec, mode_code,coinsurance_code,class_cd,it_remarks) values</v>
      </c>
      <c r="G164" s="28" t="str">
        <f t="shared" si="10"/>
        <v>('30Dec240042','070000172135','26550',(select max(to_number(i.premium_rcv_detail_code))+1
from ins_premium_det i),'26550','26550','02', '11000003','00','Request by Mr. Saqib Saleem 31-Dec-2024 Hold');</v>
      </c>
      <c r="H164" s="29" t="str">
        <f t="shared" si="11"/>
        <v>insert into ins_premium_det (premium_rcv_code,assorted_code, rec_amount,premium_rcv_detail_code,remaining_amt, payrec, mode_code,coinsurance_code,class_cd,it_remarks) values('30Dec240042','070000172135','26550',(select max(to_number(i.premium_rcv_detail_code))+1
from ins_premium_det i),'26550','26550','02', '11000003','00','Request by Mr. Saqib Saleem 31-Dec-2024 Hold');</v>
      </c>
    </row>
    <row r="165" spans="1:8" ht="105" x14ac:dyDescent="0.25">
      <c r="A165" s="12" t="s">
        <v>12165</v>
      </c>
      <c r="B165" s="25" t="str">
        <f>VLOOKUP(A165,policy1!B:C,2,0)</f>
        <v>070000172138</v>
      </c>
      <c r="C165" s="13">
        <v>65160</v>
      </c>
      <c r="D165" s="26">
        <f t="shared" si="9"/>
        <v>65160</v>
      </c>
      <c r="E165" s="24" t="s">
        <v>13296</v>
      </c>
      <c r="F165" s="27" t="str">
        <f t="shared" si="8"/>
        <v>insert into ins_premium_det (premium_rcv_code,assorted_code, rec_amount,premium_rcv_detail_code,remaining_amt, payrec, mode_code,coinsurance_code,class_cd,it_remarks) values</v>
      </c>
      <c r="G165" s="28" t="str">
        <f t="shared" si="10"/>
        <v>('30Dec240042','070000172138','65160',(select max(to_number(i.premium_rcv_detail_code))+1
from ins_premium_det i),'65160','65160','02', '11000003','00','Request by Mr. Saqib Saleem 31-Dec-2024 Hold');</v>
      </c>
      <c r="H165" s="29" t="str">
        <f t="shared" si="11"/>
        <v>insert into ins_premium_det (premium_rcv_code,assorted_code, rec_amount,premium_rcv_detail_code,remaining_amt, payrec, mode_code,coinsurance_code,class_cd,it_remarks) values('30Dec240042','070000172138','65160',(select max(to_number(i.premium_rcv_detail_code))+1
from ins_premium_det i),'65160','65160','02', '11000003','00','Request by Mr. Saqib Saleem 31-Dec-2024 Hold');</v>
      </c>
    </row>
    <row r="166" spans="1:8" ht="105" x14ac:dyDescent="0.25">
      <c r="A166" s="9" t="s">
        <v>12166</v>
      </c>
      <c r="B166" s="25" t="str">
        <f>VLOOKUP(A166,policy1!B:C,2,0)</f>
        <v>070000172139</v>
      </c>
      <c r="C166" s="11">
        <v>51000</v>
      </c>
      <c r="D166" s="26">
        <f t="shared" si="9"/>
        <v>51000</v>
      </c>
      <c r="E166" s="24" t="s">
        <v>13296</v>
      </c>
      <c r="F166" s="27" t="str">
        <f t="shared" si="8"/>
        <v>insert into ins_premium_det (premium_rcv_code,assorted_code, rec_amount,premium_rcv_detail_code,remaining_amt, payrec, mode_code,coinsurance_code,class_cd,it_remarks) values</v>
      </c>
      <c r="G166" s="28" t="str">
        <f t="shared" si="10"/>
        <v>('30Dec240042','070000172139','51000',(select max(to_number(i.premium_rcv_detail_code))+1
from ins_premium_det i),'51000','51000','02', '11000003','00','Request by Mr. Saqib Saleem 31-Dec-2024 Hold');</v>
      </c>
      <c r="H166" s="29" t="str">
        <f t="shared" si="11"/>
        <v>insert into ins_premium_det (premium_rcv_code,assorted_code, rec_amount,premium_rcv_detail_code,remaining_amt, payrec, mode_code,coinsurance_code,class_cd,it_remarks) values('30Dec240042','070000172139','51000',(select max(to_number(i.premium_rcv_detail_code))+1
from ins_premium_det i),'51000','51000','02', '11000003','00','Request by Mr. Saqib Saleem 31-Dec-2024 Hold');</v>
      </c>
    </row>
    <row r="167" spans="1:8" ht="105" x14ac:dyDescent="0.25">
      <c r="A167" s="12" t="s">
        <v>12167</v>
      </c>
      <c r="B167" s="25" t="str">
        <f>VLOOKUP(A167,policy1!B:C,2,0)</f>
        <v>070000172140</v>
      </c>
      <c r="C167" s="13">
        <v>45900</v>
      </c>
      <c r="D167" s="26">
        <f t="shared" si="9"/>
        <v>45900</v>
      </c>
      <c r="E167" s="24" t="s">
        <v>13296</v>
      </c>
      <c r="F167" s="27" t="str">
        <f t="shared" si="8"/>
        <v>insert into ins_premium_det (premium_rcv_code,assorted_code, rec_amount,premium_rcv_detail_code,remaining_amt, payrec, mode_code,coinsurance_code,class_cd,it_remarks) values</v>
      </c>
      <c r="G167" s="28" t="str">
        <f t="shared" si="10"/>
        <v>('30Dec240042','070000172140','45900',(select max(to_number(i.premium_rcv_detail_code))+1
from ins_premium_det i),'45900','45900','02', '11000003','00','Request by Mr. Saqib Saleem 31-Dec-2024 Hold');</v>
      </c>
      <c r="H167" s="29" t="str">
        <f t="shared" si="11"/>
        <v>insert into ins_premium_det (premium_rcv_code,assorted_code, rec_amount,premium_rcv_detail_code,remaining_amt, payrec, mode_code,coinsurance_code,class_cd,it_remarks) values('30Dec240042','070000172140','45900',(select max(to_number(i.premium_rcv_detail_code))+1
from ins_premium_det i),'45900','45900','02', '11000003','00','Request by Mr. Saqib Saleem 31-Dec-2024 Hold');</v>
      </c>
    </row>
    <row r="168" spans="1:8" ht="105" x14ac:dyDescent="0.25">
      <c r="A168" s="9" t="s">
        <v>12168</v>
      </c>
      <c r="B168" s="25" t="str">
        <f>VLOOKUP(A168,policy1!B:C,2,0)</f>
        <v>070000172143</v>
      </c>
      <c r="C168" s="11">
        <v>45900</v>
      </c>
      <c r="D168" s="26">
        <f t="shared" si="9"/>
        <v>45900</v>
      </c>
      <c r="E168" s="24" t="s">
        <v>13296</v>
      </c>
      <c r="F168" s="27" t="str">
        <f t="shared" si="8"/>
        <v>insert into ins_premium_det (premium_rcv_code,assorted_code, rec_amount,premium_rcv_detail_code,remaining_amt, payrec, mode_code,coinsurance_code,class_cd,it_remarks) values</v>
      </c>
      <c r="G168" s="28" t="str">
        <f t="shared" si="10"/>
        <v>('30Dec240042','070000172143','45900',(select max(to_number(i.premium_rcv_detail_code))+1
from ins_premium_det i),'45900','45900','02', '11000003','00','Request by Mr. Saqib Saleem 31-Dec-2024 Hold');</v>
      </c>
      <c r="H168" s="29" t="str">
        <f t="shared" si="11"/>
        <v>insert into ins_premium_det (premium_rcv_code,assorted_code, rec_amount,premium_rcv_detail_code,remaining_amt, payrec, mode_code,coinsurance_code,class_cd,it_remarks) values('30Dec240042','070000172143','45900',(select max(to_number(i.premium_rcv_detail_code))+1
from ins_premium_det i),'45900','45900','02', '11000003','00','Request by Mr. Saqib Saleem 31-Dec-2024 Hold');</v>
      </c>
    </row>
    <row r="169" spans="1:8" ht="105" x14ac:dyDescent="0.25">
      <c r="A169" s="12" t="s">
        <v>12169</v>
      </c>
      <c r="B169" s="25" t="str">
        <f>VLOOKUP(A169,policy1!B:C,2,0)</f>
        <v>070000172144</v>
      </c>
      <c r="C169" s="13">
        <v>55913</v>
      </c>
      <c r="D169" s="26">
        <f t="shared" si="9"/>
        <v>55913</v>
      </c>
      <c r="E169" s="24" t="s">
        <v>13296</v>
      </c>
      <c r="F169" s="27" t="str">
        <f t="shared" si="8"/>
        <v>insert into ins_premium_det (premium_rcv_code,assorted_code, rec_amount,premium_rcv_detail_code,remaining_amt, payrec, mode_code,coinsurance_code,class_cd,it_remarks) values</v>
      </c>
      <c r="G169" s="28" t="str">
        <f t="shared" si="10"/>
        <v>('30Dec240042','070000172144','55913',(select max(to_number(i.premium_rcv_detail_code))+1
from ins_premium_det i),'55913','55913','02', '11000003','00','Request by Mr. Saqib Saleem 31-Dec-2024 Hold');</v>
      </c>
      <c r="H169" s="29" t="str">
        <f t="shared" si="11"/>
        <v>insert into ins_premium_det (premium_rcv_code,assorted_code, rec_amount,premium_rcv_detail_code,remaining_amt, payrec, mode_code,coinsurance_code,class_cd,it_remarks) values('30Dec240042','070000172144','55913',(select max(to_number(i.premium_rcv_detail_code))+1
from ins_premium_det i),'55913','55913','02', '11000003','00','Request by Mr. Saqib Saleem 31-Dec-2024 Hold');</v>
      </c>
    </row>
    <row r="170" spans="1:8" ht="105" x14ac:dyDescent="0.25">
      <c r="A170" s="9" t="s">
        <v>12170</v>
      </c>
      <c r="B170" s="25" t="str">
        <f>VLOOKUP(A170,policy1!B:C,2,0)</f>
        <v>070000172145</v>
      </c>
      <c r="C170" s="11">
        <v>40163</v>
      </c>
      <c r="D170" s="26">
        <f t="shared" si="9"/>
        <v>40163</v>
      </c>
      <c r="E170" s="24" t="s">
        <v>13296</v>
      </c>
      <c r="F170" s="27" t="str">
        <f t="shared" si="8"/>
        <v>insert into ins_premium_det (premium_rcv_code,assorted_code, rec_amount,premium_rcv_detail_code,remaining_amt, payrec, mode_code,coinsurance_code,class_cd,it_remarks) values</v>
      </c>
      <c r="G170" s="28" t="str">
        <f t="shared" si="10"/>
        <v>('30Dec240042','070000172145','40163',(select max(to_number(i.premium_rcv_detail_code))+1
from ins_premium_det i),'40163','40163','02', '11000003','00','Request by Mr. Saqib Saleem 31-Dec-2024 Hold');</v>
      </c>
      <c r="H170" s="29" t="str">
        <f t="shared" si="11"/>
        <v>insert into ins_premium_det (premium_rcv_code,assorted_code, rec_amount,premium_rcv_detail_code,remaining_amt, payrec, mode_code,coinsurance_code,class_cd,it_remarks) values('30Dec240042','070000172145','40163',(select max(to_number(i.premium_rcv_detail_code))+1
from ins_premium_det i),'40163','40163','02', '11000003','00','Request by Mr. Saqib Saleem 31-Dec-2024 Hold');</v>
      </c>
    </row>
    <row r="171" spans="1:8" ht="105" x14ac:dyDescent="0.25">
      <c r="A171" s="12" t="s">
        <v>12171</v>
      </c>
      <c r="B171" s="25" t="str">
        <f>VLOOKUP(A171,policy1!B:C,2,0)</f>
        <v>070000172146</v>
      </c>
      <c r="C171" s="13">
        <v>34425</v>
      </c>
      <c r="D171" s="26">
        <f t="shared" si="9"/>
        <v>34425</v>
      </c>
      <c r="E171" s="24" t="s">
        <v>13296</v>
      </c>
      <c r="F171" s="27" t="str">
        <f t="shared" si="8"/>
        <v>insert into ins_premium_det (premium_rcv_code,assorted_code, rec_amount,premium_rcv_detail_code,remaining_amt, payrec, mode_code,coinsurance_code,class_cd,it_remarks) values</v>
      </c>
      <c r="G171" s="28" t="str">
        <f t="shared" si="10"/>
        <v>('30Dec240042','070000172146','34425',(select max(to_number(i.premium_rcv_detail_code))+1
from ins_premium_det i),'34425','34425','02', '11000003','00','Request by Mr. Saqib Saleem 31-Dec-2024 Hold');</v>
      </c>
      <c r="H171" s="29" t="str">
        <f t="shared" si="11"/>
        <v>insert into ins_premium_det (premium_rcv_code,assorted_code, rec_amount,premium_rcv_detail_code,remaining_amt, payrec, mode_code,coinsurance_code,class_cd,it_remarks) values('30Dec240042','070000172146','34425',(select max(to_number(i.premium_rcv_detail_code))+1
from ins_premium_det i),'34425','34425','02', '11000003','00','Request by Mr. Saqib Saleem 31-Dec-2024 Hold');</v>
      </c>
    </row>
    <row r="172" spans="1:8" ht="105" x14ac:dyDescent="0.25">
      <c r="A172" s="9" t="s">
        <v>12172</v>
      </c>
      <c r="B172" s="25" t="str">
        <f>VLOOKUP(A172,policy1!B:C,2,0)</f>
        <v>070000172147</v>
      </c>
      <c r="C172" s="11">
        <v>53488</v>
      </c>
      <c r="D172" s="26">
        <f t="shared" si="9"/>
        <v>53488</v>
      </c>
      <c r="E172" s="24" t="s">
        <v>13296</v>
      </c>
      <c r="F172" s="27" t="str">
        <f t="shared" si="8"/>
        <v>insert into ins_premium_det (premium_rcv_code,assorted_code, rec_amount,premium_rcv_detail_code,remaining_amt, payrec, mode_code,coinsurance_code,class_cd,it_remarks) values</v>
      </c>
      <c r="G172" s="28" t="str">
        <f t="shared" si="10"/>
        <v>('30Dec240042','070000172147','53488',(select max(to_number(i.premium_rcv_detail_code))+1
from ins_premium_det i),'53488','53488','02', '11000003','00','Request by Mr. Saqib Saleem 31-Dec-2024 Hold');</v>
      </c>
      <c r="H172" s="29" t="str">
        <f t="shared" si="11"/>
        <v>insert into ins_premium_det (premium_rcv_code,assorted_code, rec_amount,premium_rcv_detail_code,remaining_amt, payrec, mode_code,coinsurance_code,class_cd,it_remarks) values('30Dec240042','070000172147','53488',(select max(to_number(i.premium_rcv_detail_code))+1
from ins_premium_det i),'53488','53488','02', '11000003','00','Request by Mr. Saqib Saleem 31-Dec-2024 Hold');</v>
      </c>
    </row>
    <row r="173" spans="1:8" ht="105" x14ac:dyDescent="0.25">
      <c r="A173" s="12" t="s">
        <v>12173</v>
      </c>
      <c r="B173" s="25" t="str">
        <f>VLOOKUP(A173,policy1!B:C,2,0)</f>
        <v>070000172148</v>
      </c>
      <c r="C173" s="13">
        <v>24225</v>
      </c>
      <c r="D173" s="26">
        <f t="shared" si="9"/>
        <v>24225</v>
      </c>
      <c r="E173" s="24" t="s">
        <v>13296</v>
      </c>
      <c r="F173" s="27" t="str">
        <f t="shared" si="8"/>
        <v>insert into ins_premium_det (premium_rcv_code,assorted_code, rec_amount,premium_rcv_detail_code,remaining_amt, payrec, mode_code,coinsurance_code,class_cd,it_remarks) values</v>
      </c>
      <c r="G173" s="28" t="str">
        <f t="shared" si="10"/>
        <v>('30Dec240042','070000172148','24225',(select max(to_number(i.premium_rcv_detail_code))+1
from ins_premium_det i),'24225','24225','02', '11000003','00','Request by Mr. Saqib Saleem 31-Dec-2024 Hold');</v>
      </c>
      <c r="H173" s="29" t="str">
        <f t="shared" si="11"/>
        <v>insert into ins_premium_det (premium_rcv_code,assorted_code, rec_amount,premium_rcv_detail_code,remaining_amt, payrec, mode_code,coinsurance_code,class_cd,it_remarks) values('30Dec240042','070000172148','24225',(select max(to_number(i.premium_rcv_detail_code))+1
from ins_premium_det i),'24225','24225','02', '11000003','00','Request by Mr. Saqib Saleem 31-Dec-2024 Hold');</v>
      </c>
    </row>
    <row r="174" spans="1:8" ht="105" x14ac:dyDescent="0.25">
      <c r="A174" s="9" t="s">
        <v>12174</v>
      </c>
      <c r="B174" s="25" t="str">
        <f>VLOOKUP(A174,policy1!B:C,2,0)</f>
        <v>070000172149</v>
      </c>
      <c r="C174" s="11">
        <v>33184</v>
      </c>
      <c r="D174" s="26">
        <f t="shared" si="9"/>
        <v>33184</v>
      </c>
      <c r="E174" s="24" t="s">
        <v>13296</v>
      </c>
      <c r="F174" s="27" t="str">
        <f t="shared" si="8"/>
        <v>insert into ins_premium_det (premium_rcv_code,assorted_code, rec_amount,premium_rcv_detail_code,remaining_amt, payrec, mode_code,coinsurance_code,class_cd,it_remarks) values</v>
      </c>
      <c r="G174" s="28" t="str">
        <f t="shared" si="10"/>
        <v>('30Dec240042','070000172149','33184',(select max(to_number(i.premium_rcv_detail_code))+1
from ins_premium_det i),'33184','33184','02', '11000003','00','Request by Mr. Saqib Saleem 31-Dec-2024 Hold');</v>
      </c>
      <c r="H174" s="29" t="str">
        <f t="shared" si="11"/>
        <v>insert into ins_premium_det (premium_rcv_code,assorted_code, rec_amount,premium_rcv_detail_code,remaining_amt, payrec, mode_code,coinsurance_code,class_cd,it_remarks) values('30Dec240042','070000172149','33184',(select max(to_number(i.premium_rcv_detail_code))+1
from ins_premium_det i),'33184','33184','02', '11000003','00','Request by Mr. Saqib Saleem 31-Dec-2024 Hold');</v>
      </c>
    </row>
    <row r="175" spans="1:8" ht="105" x14ac:dyDescent="0.25">
      <c r="A175" s="12" t="s">
        <v>12175</v>
      </c>
      <c r="B175" s="25" t="str">
        <f>VLOOKUP(A175,policy1!B:C,2,0)</f>
        <v>070000172153</v>
      </c>
      <c r="C175" s="13">
        <v>68408</v>
      </c>
      <c r="D175" s="26">
        <f t="shared" si="9"/>
        <v>68408</v>
      </c>
      <c r="E175" s="24" t="s">
        <v>13296</v>
      </c>
      <c r="F175" s="27" t="str">
        <f t="shared" si="8"/>
        <v>insert into ins_premium_det (premium_rcv_code,assorted_code, rec_amount,premium_rcv_detail_code,remaining_amt, payrec, mode_code,coinsurance_code,class_cd,it_remarks) values</v>
      </c>
      <c r="G175" s="28" t="str">
        <f t="shared" si="10"/>
        <v>('30Dec240042','070000172153','68408',(select max(to_number(i.premium_rcv_detail_code))+1
from ins_premium_det i),'68408','68408','02', '11000003','00','Request by Mr. Saqib Saleem 31-Dec-2024 Hold');</v>
      </c>
      <c r="H175" s="29" t="str">
        <f t="shared" si="11"/>
        <v>insert into ins_premium_det (premium_rcv_code,assorted_code, rec_amount,premium_rcv_detail_code,remaining_amt, payrec, mode_code,coinsurance_code,class_cd,it_remarks) values('30Dec240042','070000172153','68408',(select max(to_number(i.premium_rcv_detail_code))+1
from ins_premium_det i),'68408','68408','02', '11000003','00','Request by Mr. Saqib Saleem 31-Dec-2024 Hold');</v>
      </c>
    </row>
    <row r="176" spans="1:8" ht="105" x14ac:dyDescent="0.25">
      <c r="A176" s="9" t="s">
        <v>12176</v>
      </c>
      <c r="B176" s="25" t="str">
        <f>VLOOKUP(A176,policy1!B:C,2,0)</f>
        <v>070000172156</v>
      </c>
      <c r="C176" s="11">
        <v>21420</v>
      </c>
      <c r="D176" s="26">
        <f t="shared" si="9"/>
        <v>21420</v>
      </c>
      <c r="E176" s="24" t="s">
        <v>13296</v>
      </c>
      <c r="F176" s="27" t="str">
        <f t="shared" si="8"/>
        <v>insert into ins_premium_det (premium_rcv_code,assorted_code, rec_amount,premium_rcv_detail_code,remaining_amt, payrec, mode_code,coinsurance_code,class_cd,it_remarks) values</v>
      </c>
      <c r="G176" s="28" t="str">
        <f t="shared" si="10"/>
        <v>('30Dec240042','070000172156','21420',(select max(to_number(i.premium_rcv_detail_code))+1
from ins_premium_det i),'21420','21420','02', '11000003','00','Request by Mr. Saqib Saleem 31-Dec-2024 Hold');</v>
      </c>
      <c r="H176" s="29" t="str">
        <f t="shared" si="11"/>
        <v>insert into ins_premium_det (premium_rcv_code,assorted_code, rec_amount,premium_rcv_detail_code,remaining_amt, payrec, mode_code,coinsurance_code,class_cd,it_remarks) values('30Dec240042','070000172156','21420',(select max(to_number(i.premium_rcv_detail_code))+1
from ins_premium_det i),'21420','21420','02', '11000003','00','Request by Mr. Saqib Saleem 31-Dec-2024 Hold');</v>
      </c>
    </row>
    <row r="177" spans="1:8" ht="105" x14ac:dyDescent="0.25">
      <c r="A177" s="12" t="s">
        <v>12177</v>
      </c>
      <c r="B177" s="25" t="str">
        <f>VLOOKUP(A177,policy1!B:C,2,0)</f>
        <v>070000172157</v>
      </c>
      <c r="C177" s="13">
        <v>25857</v>
      </c>
      <c r="D177" s="26">
        <f t="shared" si="9"/>
        <v>25857</v>
      </c>
      <c r="E177" s="24" t="s">
        <v>13296</v>
      </c>
      <c r="F177" s="27" t="str">
        <f t="shared" si="8"/>
        <v>insert into ins_premium_det (premium_rcv_code,assorted_code, rec_amount,premium_rcv_detail_code,remaining_amt, payrec, mode_code,coinsurance_code,class_cd,it_remarks) values</v>
      </c>
      <c r="G177" s="28" t="str">
        <f t="shared" si="10"/>
        <v>('30Dec240042','070000172157','25857',(select max(to_number(i.premium_rcv_detail_code))+1
from ins_premium_det i),'25857','25857','02', '11000003','00','Request by Mr. Saqib Saleem 31-Dec-2024 Hold');</v>
      </c>
      <c r="H177" s="29" t="str">
        <f t="shared" si="11"/>
        <v>insert into ins_premium_det (premium_rcv_code,assorted_code, rec_amount,premium_rcv_detail_code,remaining_amt, payrec, mode_code,coinsurance_code,class_cd,it_remarks) values('30Dec240042','070000172157','25857',(select max(to_number(i.premium_rcv_detail_code))+1
from ins_premium_det i),'25857','25857','02', '11000003','00','Request by Mr. Saqib Saleem 31-Dec-2024 Hold');</v>
      </c>
    </row>
    <row r="178" spans="1:8" ht="105" x14ac:dyDescent="0.25">
      <c r="A178" s="9" t="s">
        <v>12178</v>
      </c>
      <c r="B178" s="25" t="str">
        <f>VLOOKUP(A178,policy1!B:C,2,0)</f>
        <v>070000172158</v>
      </c>
      <c r="C178" s="11">
        <v>22695</v>
      </c>
      <c r="D178" s="26">
        <f t="shared" si="9"/>
        <v>22695</v>
      </c>
      <c r="E178" s="24" t="s">
        <v>13296</v>
      </c>
      <c r="F178" s="27" t="str">
        <f t="shared" si="8"/>
        <v>insert into ins_premium_det (premium_rcv_code,assorted_code, rec_amount,premium_rcv_detail_code,remaining_amt, payrec, mode_code,coinsurance_code,class_cd,it_remarks) values</v>
      </c>
      <c r="G178" s="28" t="str">
        <f t="shared" si="10"/>
        <v>('30Dec240042','070000172158','22695',(select max(to_number(i.premium_rcv_detail_code))+1
from ins_premium_det i),'22695','22695','02', '11000003','00','Request by Mr. Saqib Saleem 31-Dec-2024 Hold');</v>
      </c>
      <c r="H178" s="29" t="str">
        <f t="shared" si="11"/>
        <v>insert into ins_premium_det (premium_rcv_code,assorted_code, rec_amount,premium_rcv_detail_code,remaining_amt, payrec, mode_code,coinsurance_code,class_cd,it_remarks) values('30Dec240042','070000172158','22695',(select max(to_number(i.premium_rcv_detail_code))+1
from ins_premium_det i),'22695','22695','02', '11000003','00','Request by Mr. Saqib Saleem 31-Dec-2024 Hold');</v>
      </c>
    </row>
    <row r="179" spans="1:8" ht="105" x14ac:dyDescent="0.25">
      <c r="A179" s="12" t="s">
        <v>12179</v>
      </c>
      <c r="B179" s="25" t="str">
        <f>VLOOKUP(A179,policy1!B:C,2,0)</f>
        <v>070000172160</v>
      </c>
      <c r="C179" s="13">
        <v>16575</v>
      </c>
      <c r="D179" s="26">
        <f t="shared" si="9"/>
        <v>16575</v>
      </c>
      <c r="E179" s="24" t="s">
        <v>13296</v>
      </c>
      <c r="F179" s="27" t="str">
        <f t="shared" si="8"/>
        <v>insert into ins_premium_det (premium_rcv_code,assorted_code, rec_amount,premium_rcv_detail_code,remaining_amt, payrec, mode_code,coinsurance_code,class_cd,it_remarks) values</v>
      </c>
      <c r="G179" s="28" t="str">
        <f t="shared" si="10"/>
        <v>('30Dec240042','070000172160','16575',(select max(to_number(i.premium_rcv_detail_code))+1
from ins_premium_det i),'16575','16575','02', '11000003','00','Request by Mr. Saqib Saleem 31-Dec-2024 Hold');</v>
      </c>
      <c r="H179" s="29" t="str">
        <f t="shared" si="11"/>
        <v>insert into ins_premium_det (premium_rcv_code,assorted_code, rec_amount,premium_rcv_detail_code,remaining_amt, payrec, mode_code,coinsurance_code,class_cd,it_remarks) values('30Dec240042','070000172160','16575',(select max(to_number(i.premium_rcv_detail_code))+1
from ins_premium_det i),'16575','16575','02', '11000003','00','Request by Mr. Saqib Saleem 31-Dec-2024 Hold');</v>
      </c>
    </row>
    <row r="180" spans="1:8" ht="105" x14ac:dyDescent="0.25">
      <c r="A180" s="9" t="s">
        <v>12180</v>
      </c>
      <c r="B180" s="25" t="str">
        <f>VLOOKUP(A180,policy1!B:C,2,0)</f>
        <v>070000172162</v>
      </c>
      <c r="C180" s="11">
        <v>22695</v>
      </c>
      <c r="D180" s="26">
        <f t="shared" si="9"/>
        <v>22695</v>
      </c>
      <c r="E180" s="24" t="s">
        <v>13296</v>
      </c>
      <c r="F180" s="27" t="str">
        <f t="shared" si="8"/>
        <v>insert into ins_premium_det (premium_rcv_code,assorted_code, rec_amount,premium_rcv_detail_code,remaining_amt, payrec, mode_code,coinsurance_code,class_cd,it_remarks) values</v>
      </c>
      <c r="G180" s="28" t="str">
        <f t="shared" si="10"/>
        <v>('30Dec240042','070000172162','22695',(select max(to_number(i.premium_rcv_detail_code))+1
from ins_premium_det i),'22695','22695','02', '11000003','00','Request by Mr. Saqib Saleem 31-Dec-2024 Hold');</v>
      </c>
      <c r="H180" s="29" t="str">
        <f t="shared" si="11"/>
        <v>insert into ins_premium_det (premium_rcv_code,assorted_code, rec_amount,premium_rcv_detail_code,remaining_amt, payrec, mode_code,coinsurance_code,class_cd,it_remarks) values('30Dec240042','070000172162','22695',(select max(to_number(i.premium_rcv_detail_code))+1
from ins_premium_det i),'22695','22695','02', '11000003','00','Request by Mr. Saqib Saleem 31-Dec-2024 Hold');</v>
      </c>
    </row>
    <row r="181" spans="1:8" ht="105" x14ac:dyDescent="0.25">
      <c r="A181" s="12" t="s">
        <v>12181</v>
      </c>
      <c r="B181" s="25" t="str">
        <f>VLOOKUP(A181,policy1!B:C,2,0)</f>
        <v>070000172163</v>
      </c>
      <c r="C181" s="13">
        <v>21930</v>
      </c>
      <c r="D181" s="26">
        <f t="shared" si="9"/>
        <v>21930</v>
      </c>
      <c r="E181" s="24" t="s">
        <v>13296</v>
      </c>
      <c r="F181" s="27" t="str">
        <f t="shared" si="8"/>
        <v>insert into ins_premium_det (premium_rcv_code,assorted_code, rec_amount,premium_rcv_detail_code,remaining_amt, payrec, mode_code,coinsurance_code,class_cd,it_remarks) values</v>
      </c>
      <c r="G181" s="28" t="str">
        <f t="shared" si="10"/>
        <v>('30Dec240042','070000172163','21930',(select max(to_number(i.premium_rcv_detail_code))+1
from ins_premium_det i),'21930','21930','02', '11000003','00','Request by Mr. Saqib Saleem 31-Dec-2024 Hold');</v>
      </c>
      <c r="H181" s="29" t="str">
        <f t="shared" si="11"/>
        <v>insert into ins_premium_det (premium_rcv_code,assorted_code, rec_amount,premium_rcv_detail_code,remaining_amt, payrec, mode_code,coinsurance_code,class_cd,it_remarks) values('30Dec240042','070000172163','21930',(select max(to_number(i.premium_rcv_detail_code))+1
from ins_premium_det i),'21930','21930','02', '11000003','00','Request by Mr. Saqib Saleem 31-Dec-2024 Hold');</v>
      </c>
    </row>
    <row r="182" spans="1:8" ht="105" x14ac:dyDescent="0.25">
      <c r="A182" s="9" t="s">
        <v>12182</v>
      </c>
      <c r="B182" s="25" t="str">
        <f>VLOOKUP(A182,policy1!B:C,2,0)</f>
        <v>070000172165</v>
      </c>
      <c r="C182" s="11">
        <v>28135</v>
      </c>
      <c r="D182" s="26">
        <f t="shared" si="9"/>
        <v>28135</v>
      </c>
      <c r="E182" s="24" t="s">
        <v>13296</v>
      </c>
      <c r="F182" s="27" t="str">
        <f t="shared" si="8"/>
        <v>insert into ins_premium_det (premium_rcv_code,assorted_code, rec_amount,premium_rcv_detail_code,remaining_amt, payrec, mode_code,coinsurance_code,class_cd,it_remarks) values</v>
      </c>
      <c r="G182" s="28" t="str">
        <f t="shared" si="10"/>
        <v>('30Dec240042','070000172165','28135',(select max(to_number(i.premium_rcv_detail_code))+1
from ins_premium_det i),'28135','28135','02', '11000003','00','Request by Mr. Saqib Saleem 31-Dec-2024 Hold');</v>
      </c>
      <c r="H182" s="29" t="str">
        <f t="shared" si="11"/>
        <v>insert into ins_premium_det (premium_rcv_code,assorted_code, rec_amount,premium_rcv_detail_code,remaining_amt, payrec, mode_code,coinsurance_code,class_cd,it_remarks) values('30Dec240042','070000172165','28135',(select max(to_number(i.premium_rcv_detail_code))+1
from ins_premium_det i),'28135','28135','02', '11000003','00','Request by Mr. Saqib Saleem 31-Dec-2024 Hold');</v>
      </c>
    </row>
    <row r="183" spans="1:8" ht="105" x14ac:dyDescent="0.25">
      <c r="A183" s="12" t="s">
        <v>12183</v>
      </c>
      <c r="B183" s="25" t="str">
        <f>VLOOKUP(A183,policy1!B:C,2,0)</f>
        <v>070000172169</v>
      </c>
      <c r="C183" s="13">
        <v>49600</v>
      </c>
      <c r="D183" s="26">
        <f t="shared" si="9"/>
        <v>49600</v>
      </c>
      <c r="E183" s="24" t="s">
        <v>13296</v>
      </c>
      <c r="F183" s="27" t="str">
        <f t="shared" si="8"/>
        <v>insert into ins_premium_det (premium_rcv_code,assorted_code, rec_amount,premium_rcv_detail_code,remaining_amt, payrec, mode_code,coinsurance_code,class_cd,it_remarks) values</v>
      </c>
      <c r="G183" s="28" t="str">
        <f t="shared" si="10"/>
        <v>('30Dec240042','070000172169','49600',(select max(to_number(i.premium_rcv_detail_code))+1
from ins_premium_det i),'49600','49600','02', '11000003','00','Request by Mr. Saqib Saleem 31-Dec-2024 Hold');</v>
      </c>
      <c r="H183" s="29" t="str">
        <f t="shared" si="11"/>
        <v>insert into ins_premium_det (premium_rcv_code,assorted_code, rec_amount,premium_rcv_detail_code,remaining_amt, payrec, mode_code,coinsurance_code,class_cd,it_remarks) values('30Dec240042','070000172169','49600',(select max(to_number(i.premium_rcv_detail_code))+1
from ins_premium_det i),'49600','49600','02', '11000003','00','Request by Mr. Saqib Saleem 31-Dec-2024 Hold');</v>
      </c>
    </row>
    <row r="184" spans="1:8" ht="105" x14ac:dyDescent="0.25">
      <c r="A184" s="9" t="s">
        <v>12184</v>
      </c>
      <c r="B184" s="25" t="str">
        <f>VLOOKUP(A184,policy1!B:C,2,0)</f>
        <v>070000172170</v>
      </c>
      <c r="C184" s="11">
        <v>39611</v>
      </c>
      <c r="D184" s="26">
        <f t="shared" si="9"/>
        <v>39611</v>
      </c>
      <c r="E184" s="24" t="s">
        <v>13296</v>
      </c>
      <c r="F184" s="27" t="str">
        <f t="shared" si="8"/>
        <v>insert into ins_premium_det (premium_rcv_code,assorted_code, rec_amount,premium_rcv_detail_code,remaining_amt, payrec, mode_code,coinsurance_code,class_cd,it_remarks) values</v>
      </c>
      <c r="G184" s="28" t="str">
        <f t="shared" si="10"/>
        <v>('30Dec240042','070000172170','39611',(select max(to_number(i.premium_rcv_detail_code))+1
from ins_premium_det i),'39611','39611','02', '11000003','00','Request by Mr. Saqib Saleem 31-Dec-2024 Hold');</v>
      </c>
      <c r="H184" s="29" t="str">
        <f t="shared" si="11"/>
        <v>insert into ins_premium_det (premium_rcv_code,assorted_code, rec_amount,premium_rcv_detail_code,remaining_amt, payrec, mode_code,coinsurance_code,class_cd,it_remarks) values('30Dec240042','070000172170','39611',(select max(to_number(i.premium_rcv_detail_code))+1
from ins_premium_det i),'39611','39611','02', '11000003','00','Request by Mr. Saqib Saleem 31-Dec-2024 Hold');</v>
      </c>
    </row>
    <row r="185" spans="1:8" ht="105" x14ac:dyDescent="0.25">
      <c r="A185" s="12" t="s">
        <v>12185</v>
      </c>
      <c r="B185" s="25" t="str">
        <f>VLOOKUP(A185,policy1!B:C,2,0)</f>
        <v>070000172171</v>
      </c>
      <c r="C185" s="13">
        <v>55335</v>
      </c>
      <c r="D185" s="26">
        <f t="shared" si="9"/>
        <v>55335</v>
      </c>
      <c r="E185" s="24" t="s">
        <v>13296</v>
      </c>
      <c r="F185" s="27" t="str">
        <f t="shared" si="8"/>
        <v>insert into ins_premium_det (premium_rcv_code,assorted_code, rec_amount,premium_rcv_detail_code,remaining_amt, payrec, mode_code,coinsurance_code,class_cd,it_remarks) values</v>
      </c>
      <c r="G185" s="28" t="str">
        <f t="shared" si="10"/>
        <v>('30Dec240042','070000172171','55335',(select max(to_number(i.premium_rcv_detail_code))+1
from ins_premium_det i),'55335','55335','02', '11000003','00','Request by Mr. Saqib Saleem 31-Dec-2024 Hold');</v>
      </c>
      <c r="H185" s="29" t="str">
        <f t="shared" si="11"/>
        <v>insert into ins_premium_det (premium_rcv_code,assorted_code, rec_amount,premium_rcv_detail_code,remaining_amt, payrec, mode_code,coinsurance_code,class_cd,it_remarks) values('30Dec240042','070000172171','55335',(select max(to_number(i.premium_rcv_detail_code))+1
from ins_premium_det i),'55335','55335','02', '11000003','00','Request by Mr. Saqib Saleem 31-Dec-2024 Hold');</v>
      </c>
    </row>
    <row r="186" spans="1:8" ht="105" x14ac:dyDescent="0.25">
      <c r="A186" s="9" t="s">
        <v>12186</v>
      </c>
      <c r="B186" s="25" t="str">
        <f>VLOOKUP(A186,policy1!B:C,2,0)</f>
        <v>070000172172</v>
      </c>
      <c r="C186" s="11">
        <v>32513</v>
      </c>
      <c r="D186" s="26">
        <f t="shared" si="9"/>
        <v>32513</v>
      </c>
      <c r="E186" s="24" t="s">
        <v>13296</v>
      </c>
      <c r="F186" s="27" t="str">
        <f t="shared" si="8"/>
        <v>insert into ins_premium_det (premium_rcv_code,assorted_code, rec_amount,premium_rcv_detail_code,remaining_amt, payrec, mode_code,coinsurance_code,class_cd,it_remarks) values</v>
      </c>
      <c r="G186" s="28" t="str">
        <f t="shared" si="10"/>
        <v>('30Dec240042','070000172172','32513',(select max(to_number(i.premium_rcv_detail_code))+1
from ins_premium_det i),'32513','32513','02', '11000003','00','Request by Mr. Saqib Saleem 31-Dec-2024 Hold');</v>
      </c>
      <c r="H186" s="29" t="str">
        <f t="shared" si="11"/>
        <v>insert into ins_premium_det (premium_rcv_code,assorted_code, rec_amount,premium_rcv_detail_code,remaining_amt, payrec, mode_code,coinsurance_code,class_cd,it_remarks) values('30Dec240042','070000172172','32513',(select max(to_number(i.premium_rcv_detail_code))+1
from ins_premium_det i),'32513','32513','02', '11000003','00','Request by Mr. Saqib Saleem 31-Dec-2024 Hold');</v>
      </c>
    </row>
    <row r="187" spans="1:8" ht="105" x14ac:dyDescent="0.25">
      <c r="A187" s="12" t="s">
        <v>12187</v>
      </c>
      <c r="B187" s="25" t="str">
        <f>VLOOKUP(A187,policy1!B:C,2,0)</f>
        <v>070000172174</v>
      </c>
      <c r="C187" s="13">
        <v>65960</v>
      </c>
      <c r="D187" s="26">
        <f t="shared" si="9"/>
        <v>65960</v>
      </c>
      <c r="E187" s="24" t="s">
        <v>13296</v>
      </c>
      <c r="F187" s="27" t="str">
        <f t="shared" si="8"/>
        <v>insert into ins_premium_det (premium_rcv_code,assorted_code, rec_amount,premium_rcv_detail_code,remaining_amt, payrec, mode_code,coinsurance_code,class_cd,it_remarks) values</v>
      </c>
      <c r="G187" s="28" t="str">
        <f t="shared" si="10"/>
        <v>('30Dec240042','070000172174','65960',(select max(to_number(i.premium_rcv_detail_code))+1
from ins_premium_det i),'65960','65960','02', '11000003','00','Request by Mr. Saqib Saleem 31-Dec-2024 Hold');</v>
      </c>
      <c r="H187" s="29" t="str">
        <f t="shared" si="11"/>
        <v>insert into ins_premium_det (premium_rcv_code,assorted_code, rec_amount,premium_rcv_detail_code,remaining_amt, payrec, mode_code,coinsurance_code,class_cd,it_remarks) values('30Dec240042','070000172174','65960',(select max(to_number(i.premium_rcv_detail_code))+1
from ins_premium_det i),'65960','65960','02', '11000003','00','Request by Mr. Saqib Saleem 31-Dec-2024 Hold');</v>
      </c>
    </row>
    <row r="188" spans="1:8" ht="105" x14ac:dyDescent="0.25">
      <c r="A188" s="9" t="s">
        <v>12188</v>
      </c>
      <c r="B188" s="25" t="str">
        <f>VLOOKUP(A188,policy1!B:C,2,0)</f>
        <v>070000172175</v>
      </c>
      <c r="C188" s="11">
        <v>50405</v>
      </c>
      <c r="D188" s="26">
        <f t="shared" si="9"/>
        <v>50405</v>
      </c>
      <c r="E188" s="24" t="s">
        <v>13296</v>
      </c>
      <c r="F188" s="27" t="str">
        <f t="shared" si="8"/>
        <v>insert into ins_premium_det (premium_rcv_code,assorted_code, rec_amount,premium_rcv_detail_code,remaining_amt, payrec, mode_code,coinsurance_code,class_cd,it_remarks) values</v>
      </c>
      <c r="G188" s="28" t="str">
        <f t="shared" si="10"/>
        <v>('30Dec240042','070000172175','50405',(select max(to_number(i.premium_rcv_detail_code))+1
from ins_premium_det i),'50405','50405','02', '11000003','00','Request by Mr. Saqib Saleem 31-Dec-2024 Hold');</v>
      </c>
      <c r="H188" s="29" t="str">
        <f t="shared" si="11"/>
        <v>insert into ins_premium_det (premium_rcv_code,assorted_code, rec_amount,premium_rcv_detail_code,remaining_amt, payrec, mode_code,coinsurance_code,class_cd,it_remarks) values('30Dec240042','070000172175','50405',(select max(to_number(i.premium_rcv_detail_code))+1
from ins_premium_det i),'50405','50405','02', '11000003','00','Request by Mr. Saqib Saleem 31-Dec-2024 Hold');</v>
      </c>
    </row>
    <row r="189" spans="1:8" ht="105" x14ac:dyDescent="0.25">
      <c r="A189" s="12" t="s">
        <v>12189</v>
      </c>
      <c r="B189" s="25" t="str">
        <f>VLOOKUP(A189,policy1!B:C,2,0)</f>
        <v>070000172178</v>
      </c>
      <c r="C189" s="13">
        <v>30752</v>
      </c>
      <c r="D189" s="26">
        <f t="shared" si="9"/>
        <v>30752</v>
      </c>
      <c r="E189" s="24" t="s">
        <v>13296</v>
      </c>
      <c r="F189" s="27" t="str">
        <f t="shared" si="8"/>
        <v>insert into ins_premium_det (premium_rcv_code,assorted_code, rec_amount,premium_rcv_detail_code,remaining_amt, payrec, mode_code,coinsurance_code,class_cd,it_remarks) values</v>
      </c>
      <c r="G189" s="28" t="str">
        <f t="shared" si="10"/>
        <v>('30Dec240042','070000172178','30752',(select max(to_number(i.premium_rcv_detail_code))+1
from ins_premium_det i),'30752','30752','02', '11000003','00','Request by Mr. Saqib Saleem 31-Dec-2024 Hold');</v>
      </c>
      <c r="H189" s="29" t="str">
        <f t="shared" si="11"/>
        <v>insert into ins_premium_det (premium_rcv_code,assorted_code, rec_amount,premium_rcv_detail_code,remaining_amt, payrec, mode_code,coinsurance_code,class_cd,it_remarks) values('30Dec240042','070000172178','30752',(select max(to_number(i.premium_rcv_detail_code))+1
from ins_premium_det i),'30752','30752','02', '11000003','00','Request by Mr. Saqib Saleem 31-Dec-2024 Hold');</v>
      </c>
    </row>
    <row r="190" spans="1:8" ht="105" x14ac:dyDescent="0.25">
      <c r="A190" s="9" t="s">
        <v>12190</v>
      </c>
      <c r="B190" s="25" t="str">
        <f>VLOOKUP(A190,policy1!B:C,2,0)</f>
        <v>070000172186</v>
      </c>
      <c r="C190" s="11">
        <v>92633</v>
      </c>
      <c r="D190" s="26">
        <f t="shared" si="9"/>
        <v>92633</v>
      </c>
      <c r="E190" s="24" t="s">
        <v>13296</v>
      </c>
      <c r="F190" s="27" t="str">
        <f t="shared" si="8"/>
        <v>insert into ins_premium_det (premium_rcv_code,assorted_code, rec_amount,premium_rcv_detail_code,remaining_amt, payrec, mode_code,coinsurance_code,class_cd,it_remarks) values</v>
      </c>
      <c r="G190" s="28" t="str">
        <f t="shared" si="10"/>
        <v>('30Dec240042','070000172186','92633',(select max(to_number(i.premium_rcv_detail_code))+1
from ins_premium_det i),'92633','92633','02', '11000003','00','Request by Mr. Saqib Saleem 31-Dec-2024 Hold');</v>
      </c>
      <c r="H190" s="29" t="str">
        <f t="shared" si="11"/>
        <v>insert into ins_premium_det (premium_rcv_code,assorted_code, rec_amount,premium_rcv_detail_code,remaining_amt, payrec, mode_code,coinsurance_code,class_cd,it_remarks) values('30Dec240042','070000172186','92633',(select max(to_number(i.premium_rcv_detail_code))+1
from ins_premium_det i),'92633','92633','02', '11000003','00','Request by Mr. Saqib Saleem 31-Dec-2024 Hold');</v>
      </c>
    </row>
    <row r="191" spans="1:8" ht="105" x14ac:dyDescent="0.25">
      <c r="A191" s="12" t="s">
        <v>12191</v>
      </c>
      <c r="B191" s="25" t="str">
        <f>VLOOKUP(A191,policy1!B:C,2,0)</f>
        <v>070000172188</v>
      </c>
      <c r="C191" s="13">
        <v>78120</v>
      </c>
      <c r="D191" s="26">
        <f t="shared" si="9"/>
        <v>78120</v>
      </c>
      <c r="E191" s="24" t="s">
        <v>13296</v>
      </c>
      <c r="F191" s="27" t="str">
        <f t="shared" si="8"/>
        <v>insert into ins_premium_det (premium_rcv_code,assorted_code, rec_amount,premium_rcv_detail_code,remaining_amt, payrec, mode_code,coinsurance_code,class_cd,it_remarks) values</v>
      </c>
      <c r="G191" s="28" t="str">
        <f t="shared" si="10"/>
        <v>('30Dec240042','070000172188','78120',(select max(to_number(i.premium_rcv_detail_code))+1
from ins_premium_det i),'78120','78120','02', '11000003','00','Request by Mr. Saqib Saleem 31-Dec-2024 Hold');</v>
      </c>
      <c r="H191" s="29" t="str">
        <f t="shared" si="11"/>
        <v>insert into ins_premium_det (premium_rcv_code,assorted_code, rec_amount,premium_rcv_detail_code,remaining_amt, payrec, mode_code,coinsurance_code,class_cd,it_remarks) values('30Dec240042','070000172188','78120',(select max(to_number(i.premium_rcv_detail_code))+1
from ins_premium_det i),'78120','78120','02', '11000003','00','Request by Mr. Saqib Saleem 31-Dec-2024 Hold');</v>
      </c>
    </row>
    <row r="192" spans="1:8" ht="105" x14ac:dyDescent="0.25">
      <c r="A192" s="9" t="s">
        <v>12192</v>
      </c>
      <c r="B192" s="25" t="str">
        <f>VLOOKUP(A192,policy1!B:C,2,0)</f>
        <v>070000148559</v>
      </c>
      <c r="C192" s="11">
        <v>68374</v>
      </c>
      <c r="D192" s="26">
        <f t="shared" si="9"/>
        <v>68374</v>
      </c>
      <c r="E192" s="24" t="s">
        <v>13296</v>
      </c>
      <c r="F192" s="27" t="str">
        <f t="shared" si="8"/>
        <v>insert into ins_premium_det (premium_rcv_code,assorted_code, rec_amount,premium_rcv_detail_code,remaining_amt, payrec, mode_code,coinsurance_code,class_cd,it_remarks) values</v>
      </c>
      <c r="G192" s="28" t="str">
        <f t="shared" si="10"/>
        <v>('30Dec240042','070000148559','68374',(select max(to_number(i.premium_rcv_detail_code))+1
from ins_premium_det i),'68374','68374','02', '11000003','00','Request by Mr. Saqib Saleem 31-Dec-2024 Hold');</v>
      </c>
      <c r="H192" s="29" t="str">
        <f t="shared" si="11"/>
        <v>insert into ins_premium_det (premium_rcv_code,assorted_code, rec_amount,premium_rcv_detail_code,remaining_amt, payrec, mode_code,coinsurance_code,class_cd,it_remarks) values('30Dec240042','070000148559','68374',(select max(to_number(i.premium_rcv_detail_code))+1
from ins_premium_det i),'68374','68374','02', '11000003','00','Request by Mr. Saqib Saleem 31-Dec-2024 Hold');</v>
      </c>
    </row>
    <row r="193" spans="1:8" ht="105" x14ac:dyDescent="0.25">
      <c r="A193" s="12" t="s">
        <v>12193</v>
      </c>
      <c r="B193" s="25" t="str">
        <f>VLOOKUP(A193,policy1!B:C,2,0)</f>
        <v>070000172206</v>
      </c>
      <c r="C193" s="13">
        <v>66691</v>
      </c>
      <c r="D193" s="26">
        <f t="shared" si="9"/>
        <v>66691</v>
      </c>
      <c r="E193" s="24" t="s">
        <v>13296</v>
      </c>
      <c r="F193" s="27" t="str">
        <f t="shared" si="8"/>
        <v>insert into ins_premium_det (premium_rcv_code,assorted_code, rec_amount,premium_rcv_detail_code,remaining_amt, payrec, mode_code,coinsurance_code,class_cd,it_remarks) values</v>
      </c>
      <c r="G193" s="28" t="str">
        <f t="shared" si="10"/>
        <v>('30Dec240042','070000172206','66691',(select max(to_number(i.premium_rcv_detail_code))+1
from ins_premium_det i),'66691','66691','02', '11000003','00','Request by Mr. Saqib Saleem 31-Dec-2024 Hold');</v>
      </c>
      <c r="H193" s="29" t="str">
        <f t="shared" si="11"/>
        <v>insert into ins_premium_det (premium_rcv_code,assorted_code, rec_amount,premium_rcv_detail_code,remaining_amt, payrec, mode_code,coinsurance_code,class_cd,it_remarks) values('30Dec240042','070000172206','66691',(select max(to_number(i.premium_rcv_detail_code))+1
from ins_premium_det i),'66691','66691','02', '11000003','00','Request by Mr. Saqib Saleem 31-Dec-2024 Hold');</v>
      </c>
    </row>
    <row r="194" spans="1:8" ht="105" x14ac:dyDescent="0.25">
      <c r="A194" s="9" t="s">
        <v>12194</v>
      </c>
      <c r="B194" s="25" t="str">
        <f>VLOOKUP(A194,policy1!B:C,2,0)</f>
        <v>070000172207</v>
      </c>
      <c r="C194" s="11">
        <v>43628</v>
      </c>
      <c r="D194" s="26">
        <f t="shared" si="9"/>
        <v>43628</v>
      </c>
      <c r="E194" s="24" t="s">
        <v>13296</v>
      </c>
      <c r="F194" s="27" t="str">
        <f t="shared" ref="F194:F215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28" t="str">
        <f t="shared" si="10"/>
        <v>('30Dec240042','070000172207','43628',(select max(to_number(i.premium_rcv_detail_code))+1
from ins_premium_det i),'43628','43628','02', '11000003','00','Request by Mr. Saqib Saleem 31-Dec-2024 Hold');</v>
      </c>
      <c r="H194" s="29" t="str">
        <f t="shared" si="11"/>
        <v>insert into ins_premium_det (premium_rcv_code,assorted_code, rec_amount,premium_rcv_detail_code,remaining_amt, payrec, mode_code,coinsurance_code,class_cd,it_remarks) values('30Dec240042','070000172207','43628',(select max(to_number(i.premium_rcv_detail_code))+1
from ins_premium_det i),'43628','43628','02', '11000003','00','Request by Mr. Saqib Saleem 31-Dec-2024 Hold');</v>
      </c>
    </row>
    <row r="195" spans="1:8" ht="105" x14ac:dyDescent="0.25">
      <c r="A195" s="12" t="s">
        <v>12195</v>
      </c>
      <c r="B195" s="25" t="str">
        <f>VLOOKUP(A195,policy1!B:C,2,0)</f>
        <v>070000172217</v>
      </c>
      <c r="C195" s="13">
        <v>31484</v>
      </c>
      <c r="D195" s="26">
        <f t="shared" ref="D195:D215" si="13">ROUND(C195,0)</f>
        <v>31484</v>
      </c>
      <c r="E195" s="24" t="s">
        <v>13296</v>
      </c>
      <c r="F195" s="27" t="str">
        <f t="shared" si="12"/>
        <v>insert into ins_premium_det (premium_rcv_code,assorted_code, rec_amount,premium_rcv_detail_code,remaining_amt, payrec, mode_code,coinsurance_code,class_cd,it_remarks) values</v>
      </c>
      <c r="G195" s="28" t="str">
        <f t="shared" ref="G195:G215" si="14">"('"&amp;E195&amp;"','"&amp;B195&amp;"','"&amp;D195&amp;"',(select max(to_number(i.premium_rcv_detail_code))+1
from ins_premium_det i),'"&amp;D195&amp;"','"&amp;D195&amp;"','02', '11000003','00','Request by Mr. Saqib Saleem 31-Dec-2024 Hold');"</f>
        <v>('30Dec240042','070000172217','31484',(select max(to_number(i.premium_rcv_detail_code))+1
from ins_premium_det i),'31484','31484','02', '11000003','00','Request by Mr. Saqib Saleem 31-Dec-2024 Hold');</v>
      </c>
      <c r="H195" s="29" t="str">
        <f t="shared" ref="H195:H215" si="15">F195&amp;G195</f>
        <v>insert into ins_premium_det (premium_rcv_code,assorted_code, rec_amount,premium_rcv_detail_code,remaining_amt, payrec, mode_code,coinsurance_code,class_cd,it_remarks) values('30Dec240042','070000172217','31484',(select max(to_number(i.premium_rcv_detail_code))+1
from ins_premium_det i),'31484','31484','02', '11000003','00','Request by Mr. Saqib Saleem 31-Dec-2024 Hold');</v>
      </c>
    </row>
    <row r="196" spans="1:8" ht="105" x14ac:dyDescent="0.25">
      <c r="A196" s="9" t="s">
        <v>12196</v>
      </c>
      <c r="B196" s="25" t="str">
        <f>VLOOKUP(A196,policy1!B:C,2,0)</f>
        <v>070000172221</v>
      </c>
      <c r="C196" s="11">
        <v>28480</v>
      </c>
      <c r="D196" s="26">
        <f t="shared" si="13"/>
        <v>28480</v>
      </c>
      <c r="E196" s="24" t="s">
        <v>13296</v>
      </c>
      <c r="F196" s="27" t="str">
        <f t="shared" si="12"/>
        <v>insert into ins_premium_det (premium_rcv_code,assorted_code, rec_amount,premium_rcv_detail_code,remaining_amt, payrec, mode_code,coinsurance_code,class_cd,it_remarks) values</v>
      </c>
      <c r="G196" s="28" t="str">
        <f t="shared" si="14"/>
        <v>('30Dec240042','070000172221','28480',(select max(to_number(i.premium_rcv_detail_code))+1
from ins_premium_det i),'28480','28480','02', '11000003','00','Request by Mr. Saqib Saleem 31-Dec-2024 Hold');</v>
      </c>
      <c r="H196" s="29" t="str">
        <f t="shared" si="15"/>
        <v>insert into ins_premium_det (premium_rcv_code,assorted_code, rec_amount,premium_rcv_detail_code,remaining_amt, payrec, mode_code,coinsurance_code,class_cd,it_remarks) values('30Dec240042','070000172221','28480',(select max(to_number(i.premium_rcv_detail_code))+1
from ins_premium_det i),'28480','28480','02', '11000003','00','Request by Mr. Saqib Saleem 31-Dec-2024 Hold');</v>
      </c>
    </row>
    <row r="197" spans="1:8" ht="105" x14ac:dyDescent="0.25">
      <c r="A197" s="12" t="s">
        <v>12197</v>
      </c>
      <c r="B197" s="25" t="str">
        <f>VLOOKUP(A197,policy1!B:C,2,0)</f>
        <v>070000172222</v>
      </c>
      <c r="C197" s="13">
        <v>31484</v>
      </c>
      <c r="D197" s="26">
        <f t="shared" si="13"/>
        <v>31484</v>
      </c>
      <c r="E197" s="24" t="s">
        <v>13296</v>
      </c>
      <c r="F197" s="27" t="str">
        <f t="shared" si="12"/>
        <v>insert into ins_premium_det (premium_rcv_code,assorted_code, rec_amount,premium_rcv_detail_code,remaining_amt, payrec, mode_code,coinsurance_code,class_cd,it_remarks) values</v>
      </c>
      <c r="G197" s="28" t="str">
        <f t="shared" si="14"/>
        <v>('30Dec240042','070000172222','31484',(select max(to_number(i.premium_rcv_detail_code))+1
from ins_premium_det i),'31484','31484','02', '11000003','00','Request by Mr. Saqib Saleem 31-Dec-2024 Hold');</v>
      </c>
      <c r="H197" s="29" t="str">
        <f t="shared" si="15"/>
        <v>insert into ins_premium_det (premium_rcv_code,assorted_code, rec_amount,premium_rcv_detail_code,remaining_amt, payrec, mode_code,coinsurance_code,class_cd,it_remarks) values('30Dec240042','070000172222','31484',(select max(to_number(i.premium_rcv_detail_code))+1
from ins_premium_det i),'31484','31484','02', '11000003','00','Request by Mr. Saqib Saleem 31-Dec-2024 Hold');</v>
      </c>
    </row>
    <row r="198" spans="1:8" ht="105" x14ac:dyDescent="0.25">
      <c r="A198" s="9" t="s">
        <v>12198</v>
      </c>
      <c r="B198" s="25" t="str">
        <f>VLOOKUP(A198,policy1!B:C,2,0)</f>
        <v>070000172224</v>
      </c>
      <c r="C198" s="11">
        <v>12750</v>
      </c>
      <c r="D198" s="26">
        <f t="shared" si="13"/>
        <v>12750</v>
      </c>
      <c r="E198" s="24" t="s">
        <v>13296</v>
      </c>
      <c r="F198" s="27" t="str">
        <f t="shared" si="12"/>
        <v>insert into ins_premium_det (premium_rcv_code,assorted_code, rec_amount,premium_rcv_detail_code,remaining_amt, payrec, mode_code,coinsurance_code,class_cd,it_remarks) values</v>
      </c>
      <c r="G198" s="28" t="str">
        <f t="shared" si="14"/>
        <v>('30Dec240042','070000172224','12750',(select max(to_number(i.premium_rcv_detail_code))+1
from ins_premium_det i),'12750','12750','02', '11000003','00','Request by Mr. Saqib Saleem 31-Dec-2024 Hold');</v>
      </c>
      <c r="H198" s="29" t="str">
        <f t="shared" si="15"/>
        <v>insert into ins_premium_det (premium_rcv_code,assorted_code, rec_amount,premium_rcv_detail_code,remaining_amt, payrec, mode_code,coinsurance_code,class_cd,it_remarks) values('30Dec240042','070000172224','12750',(select max(to_number(i.premium_rcv_detail_code))+1
from ins_premium_det i),'12750','12750','02', '11000003','00','Request by Mr. Saqib Saleem 31-Dec-2024 Hold');</v>
      </c>
    </row>
    <row r="199" spans="1:8" ht="105" x14ac:dyDescent="0.25">
      <c r="A199" s="12" t="s">
        <v>12199</v>
      </c>
      <c r="B199" s="25" t="str">
        <f>VLOOKUP(A199,policy1!B:C,2,0)</f>
        <v>070000172234</v>
      </c>
      <c r="C199" s="13">
        <v>43401</v>
      </c>
      <c r="D199" s="26">
        <f t="shared" si="13"/>
        <v>43401</v>
      </c>
      <c r="E199" s="24" t="s">
        <v>13296</v>
      </c>
      <c r="F199" s="27" t="str">
        <f t="shared" si="12"/>
        <v>insert into ins_premium_det (premium_rcv_code,assorted_code, rec_amount,premium_rcv_detail_code,remaining_amt, payrec, mode_code,coinsurance_code,class_cd,it_remarks) values</v>
      </c>
      <c r="G199" s="28" t="str">
        <f t="shared" si="14"/>
        <v>('30Dec240042','070000172234','43401',(select max(to_number(i.premium_rcv_detail_code))+1
from ins_premium_det i),'43401','43401','02', '11000003','00','Request by Mr. Saqib Saleem 31-Dec-2024 Hold');</v>
      </c>
      <c r="H199" s="29" t="str">
        <f t="shared" si="15"/>
        <v>insert into ins_premium_det (premium_rcv_code,assorted_code, rec_amount,premium_rcv_detail_code,remaining_amt, payrec, mode_code,coinsurance_code,class_cd,it_remarks) values('30Dec240042','070000172234','43401',(select max(to_number(i.premium_rcv_detail_code))+1
from ins_premium_det i),'43401','43401','02', '11000003','00','Request by Mr. Saqib Saleem 31-Dec-2024 Hold');</v>
      </c>
    </row>
    <row r="200" spans="1:8" ht="105" x14ac:dyDescent="0.25">
      <c r="A200" s="9" t="s">
        <v>12200</v>
      </c>
      <c r="B200" s="25" t="str">
        <f>VLOOKUP(A200,policy1!B:C,2,0)</f>
        <v>070000172235</v>
      </c>
      <c r="C200" s="11">
        <v>49861</v>
      </c>
      <c r="D200" s="26">
        <f t="shared" si="13"/>
        <v>49861</v>
      </c>
      <c r="E200" s="24" t="s">
        <v>13296</v>
      </c>
      <c r="F200" s="27" t="str">
        <f t="shared" si="12"/>
        <v>insert into ins_premium_det (premium_rcv_code,assorted_code, rec_amount,premium_rcv_detail_code,remaining_amt, payrec, mode_code,coinsurance_code,class_cd,it_remarks) values</v>
      </c>
      <c r="G200" s="28" t="str">
        <f t="shared" si="14"/>
        <v>('30Dec240042','070000172235','49861',(select max(to_number(i.premium_rcv_detail_code))+1
from ins_premium_det i),'49861','49861','02', '11000003','00','Request by Mr. Saqib Saleem 31-Dec-2024 Hold');</v>
      </c>
      <c r="H200" s="29" t="str">
        <f t="shared" si="15"/>
        <v>insert into ins_premium_det (premium_rcv_code,assorted_code, rec_amount,premium_rcv_detail_code,remaining_amt, payrec, mode_code,coinsurance_code,class_cd,it_remarks) values('30Dec240042','070000172235','49861',(select max(to_number(i.premium_rcv_detail_code))+1
from ins_premium_det i),'49861','49861','02', '11000003','00','Request by Mr. Saqib Saleem 31-Dec-2024 Hold');</v>
      </c>
    </row>
    <row r="201" spans="1:8" ht="105" x14ac:dyDescent="0.25">
      <c r="A201" s="12" t="s">
        <v>12201</v>
      </c>
      <c r="B201" s="25" t="str">
        <f>VLOOKUP(A201,policy1!B:C,2,0)</f>
        <v>070000172251</v>
      </c>
      <c r="C201" s="13">
        <v>11475</v>
      </c>
      <c r="D201" s="26">
        <f t="shared" si="13"/>
        <v>11475</v>
      </c>
      <c r="E201" s="24" t="s">
        <v>13296</v>
      </c>
      <c r="F201" s="27" t="str">
        <f t="shared" si="12"/>
        <v>insert into ins_premium_det (premium_rcv_code,assorted_code, rec_amount,premium_rcv_detail_code,remaining_amt, payrec, mode_code,coinsurance_code,class_cd,it_remarks) values</v>
      </c>
      <c r="G201" s="28" t="str">
        <f t="shared" si="14"/>
        <v>('30Dec240042','070000172251','11475',(select max(to_number(i.premium_rcv_detail_code))+1
from ins_premium_det i),'11475','11475','02', '11000003','00','Request by Mr. Saqib Saleem 31-Dec-2024 Hold');</v>
      </c>
      <c r="H201" s="29" t="str">
        <f t="shared" si="15"/>
        <v>insert into ins_premium_det (premium_rcv_code,assorted_code, rec_amount,premium_rcv_detail_code,remaining_amt, payrec, mode_code,coinsurance_code,class_cd,it_remarks) values('30Dec240042','070000172251','11475',(select max(to_number(i.premium_rcv_detail_code))+1
from ins_premium_det i),'11475','11475','02', '11000003','00','Request by Mr. Saqib Saleem 31-Dec-2024 Hold');</v>
      </c>
    </row>
    <row r="202" spans="1:8" ht="105" x14ac:dyDescent="0.25">
      <c r="A202" s="9" t="s">
        <v>12202</v>
      </c>
      <c r="B202" s="25" t="str">
        <f>VLOOKUP(A202,policy1!B:C,2,0)</f>
        <v>070000172253</v>
      </c>
      <c r="C202" s="11">
        <v>49071</v>
      </c>
      <c r="D202" s="26">
        <f t="shared" si="13"/>
        <v>49071</v>
      </c>
      <c r="E202" s="24" t="s">
        <v>13296</v>
      </c>
      <c r="F202" s="27" t="str">
        <f t="shared" si="12"/>
        <v>insert into ins_premium_det (premium_rcv_code,assorted_code, rec_amount,premium_rcv_detail_code,remaining_amt, payrec, mode_code,coinsurance_code,class_cd,it_remarks) values</v>
      </c>
      <c r="G202" s="28" t="str">
        <f t="shared" si="14"/>
        <v>('30Dec240042','070000172253','49071',(select max(to_number(i.premium_rcv_detail_code))+1
from ins_premium_det i),'49071','49071','02', '11000003','00','Request by Mr. Saqib Saleem 31-Dec-2024 Hold');</v>
      </c>
      <c r="H202" s="29" t="str">
        <f t="shared" si="15"/>
        <v>insert into ins_premium_det (premium_rcv_code,assorted_code, rec_amount,premium_rcv_detail_code,remaining_amt, payrec, mode_code,coinsurance_code,class_cd,it_remarks) values('30Dec240042','070000172253','49071',(select max(to_number(i.premium_rcv_detail_code))+1
from ins_premium_det i),'49071','49071','02', '11000003','00','Request by Mr. Saqib Saleem 31-Dec-2024 Hold');</v>
      </c>
    </row>
    <row r="203" spans="1:8" ht="105" x14ac:dyDescent="0.25">
      <c r="A203" s="12" t="s">
        <v>12203</v>
      </c>
      <c r="B203" s="25" t="str">
        <f>VLOOKUP(A203,policy1!B:C,2,0)</f>
        <v>070000172265</v>
      </c>
      <c r="C203" s="13">
        <v>52830</v>
      </c>
      <c r="D203" s="26">
        <f t="shared" si="13"/>
        <v>52830</v>
      </c>
      <c r="E203" s="24" t="s">
        <v>13296</v>
      </c>
      <c r="F203" s="27" t="str">
        <f t="shared" si="12"/>
        <v>insert into ins_premium_det (premium_rcv_code,assorted_code, rec_amount,premium_rcv_detail_code,remaining_amt, payrec, mode_code,coinsurance_code,class_cd,it_remarks) values</v>
      </c>
      <c r="G203" s="28" t="str">
        <f t="shared" si="14"/>
        <v>('30Dec240042','070000172265','52830',(select max(to_number(i.premium_rcv_detail_code))+1
from ins_premium_det i),'52830','52830','02', '11000003','00','Request by Mr. Saqib Saleem 31-Dec-2024 Hold');</v>
      </c>
      <c r="H203" s="29" t="str">
        <f t="shared" si="15"/>
        <v>insert into ins_premium_det (premium_rcv_code,assorted_code, rec_amount,premium_rcv_detail_code,remaining_amt, payrec, mode_code,coinsurance_code,class_cd,it_remarks) values('30Dec240042','070000172265','52830',(select max(to_number(i.premium_rcv_detail_code))+1
from ins_premium_det i),'52830','52830','02', '11000003','00','Request by Mr. Saqib Saleem 31-Dec-2024 Hold');</v>
      </c>
    </row>
    <row r="204" spans="1:8" ht="105" x14ac:dyDescent="0.25">
      <c r="A204" s="9" t="s">
        <v>12204</v>
      </c>
      <c r="B204" s="25" t="str">
        <f>VLOOKUP(A204,policy1!B:C,2,0)</f>
        <v>070000172257</v>
      </c>
      <c r="C204" s="11">
        <v>62055</v>
      </c>
      <c r="D204" s="26">
        <f t="shared" si="13"/>
        <v>62055</v>
      </c>
      <c r="E204" s="24" t="s">
        <v>13296</v>
      </c>
      <c r="F204" s="27" t="str">
        <f t="shared" si="12"/>
        <v>insert into ins_premium_det (premium_rcv_code,assorted_code, rec_amount,premium_rcv_detail_code,remaining_amt, payrec, mode_code,coinsurance_code,class_cd,it_remarks) values</v>
      </c>
      <c r="G204" s="28" t="str">
        <f t="shared" si="14"/>
        <v>('30Dec240042','070000172257','62055',(select max(to_number(i.premium_rcv_detail_code))+1
from ins_premium_det i),'62055','62055','02', '11000003','00','Request by Mr. Saqib Saleem 31-Dec-2024 Hold');</v>
      </c>
      <c r="H204" s="29" t="str">
        <f t="shared" si="15"/>
        <v>insert into ins_premium_det (premium_rcv_code,assorted_code, rec_amount,premium_rcv_detail_code,remaining_amt, payrec, mode_code,coinsurance_code,class_cd,it_remarks) values('30Dec240042','070000172257','62055',(select max(to_number(i.premium_rcv_detail_code))+1
from ins_premium_det i),'62055','62055','02', '11000003','00','Request by Mr. Saqib Saleem 31-Dec-2024 Hold');</v>
      </c>
    </row>
    <row r="205" spans="1:8" ht="105" x14ac:dyDescent="0.25">
      <c r="A205" s="12" t="s">
        <v>12205</v>
      </c>
      <c r="B205" s="25" t="str">
        <f>VLOOKUP(A205,policy1!B:C,2,0)</f>
        <v>070000172237</v>
      </c>
      <c r="C205" s="13">
        <v>30600</v>
      </c>
      <c r="D205" s="26">
        <f t="shared" si="13"/>
        <v>30600</v>
      </c>
      <c r="E205" s="24" t="s">
        <v>13296</v>
      </c>
      <c r="F205" s="27" t="str">
        <f t="shared" si="12"/>
        <v>insert into ins_premium_det (premium_rcv_code,assorted_code, rec_amount,premium_rcv_detail_code,remaining_amt, payrec, mode_code,coinsurance_code,class_cd,it_remarks) values</v>
      </c>
      <c r="G205" s="28" t="str">
        <f t="shared" si="14"/>
        <v>('30Dec240042','070000172237','30600',(select max(to_number(i.premium_rcv_detail_code))+1
from ins_premium_det i),'30600','30600','02', '11000003','00','Request by Mr. Saqib Saleem 31-Dec-2024 Hold');</v>
      </c>
      <c r="H205" s="29" t="str">
        <f t="shared" si="15"/>
        <v>insert into ins_premium_det (premium_rcv_code,assorted_code, rec_amount,premium_rcv_detail_code,remaining_amt, payrec, mode_code,coinsurance_code,class_cd,it_remarks) values('30Dec240042','070000172237','30600',(select max(to_number(i.premium_rcv_detail_code))+1
from ins_premium_det i),'30600','30600','02', '11000003','00','Request by Mr. Saqib Saleem 31-Dec-2024 Hold');</v>
      </c>
    </row>
    <row r="206" spans="1:8" ht="105" x14ac:dyDescent="0.25">
      <c r="A206" s="9" t="s">
        <v>12206</v>
      </c>
      <c r="B206" s="25" t="str">
        <f>VLOOKUP(A206,policy1!B:C,2,0)</f>
        <v>070000172161</v>
      </c>
      <c r="C206" s="11">
        <v>21675</v>
      </c>
      <c r="D206" s="26">
        <f t="shared" si="13"/>
        <v>21675</v>
      </c>
      <c r="E206" s="24" t="s">
        <v>13296</v>
      </c>
      <c r="F206" s="27" t="str">
        <f t="shared" si="12"/>
        <v>insert into ins_premium_det (premium_rcv_code,assorted_code, rec_amount,premium_rcv_detail_code,remaining_amt, payrec, mode_code,coinsurance_code,class_cd,it_remarks) values</v>
      </c>
      <c r="G206" s="28" t="str">
        <f t="shared" si="14"/>
        <v>('30Dec240042','070000172161','21675',(select max(to_number(i.premium_rcv_detail_code))+1
from ins_premium_det i),'21675','21675','02', '11000003','00','Request by Mr. Saqib Saleem 31-Dec-2024 Hold');</v>
      </c>
      <c r="H206" s="29" t="str">
        <f t="shared" si="15"/>
        <v>insert into ins_premium_det (premium_rcv_code,assorted_code, rec_amount,premium_rcv_detail_code,remaining_amt, payrec, mode_code,coinsurance_code,class_cd,it_remarks) values('30Dec240042','070000172161','21675',(select max(to_number(i.premium_rcv_detail_code))+1
from ins_premium_det i),'21675','21675','02', '11000003','00','Request by Mr. Saqib Saleem 31-Dec-2024 Hold');</v>
      </c>
    </row>
    <row r="207" spans="1:8" ht="105" x14ac:dyDescent="0.25">
      <c r="A207" s="12" t="s">
        <v>12207</v>
      </c>
      <c r="B207" s="25" t="str">
        <f>VLOOKUP(A207,policy1!B:C,2,0)</f>
        <v>070000172097</v>
      </c>
      <c r="C207" s="13">
        <v>71132</v>
      </c>
      <c r="D207" s="26">
        <f t="shared" si="13"/>
        <v>71132</v>
      </c>
      <c r="E207" s="24" t="s">
        <v>13296</v>
      </c>
      <c r="F207" s="27" t="str">
        <f t="shared" si="12"/>
        <v>insert into ins_premium_det (premium_rcv_code,assorted_code, rec_amount,premium_rcv_detail_code,remaining_amt, payrec, mode_code,coinsurance_code,class_cd,it_remarks) values</v>
      </c>
      <c r="G207" s="28" t="str">
        <f t="shared" si="14"/>
        <v>('30Dec240042','070000172097','71132',(select max(to_number(i.premium_rcv_detail_code))+1
from ins_premium_det i),'71132','71132','02', '11000003','00','Request by Mr. Saqib Saleem 31-Dec-2024 Hold');</v>
      </c>
      <c r="H207" s="29" t="str">
        <f t="shared" si="15"/>
        <v>insert into ins_premium_det (premium_rcv_code,assorted_code, rec_amount,premium_rcv_detail_code,remaining_amt, payrec, mode_code,coinsurance_code,class_cd,it_remarks) values('30Dec240042','070000172097','71132',(select max(to_number(i.premium_rcv_detail_code))+1
from ins_premium_det i),'71132','71132','02', '11000003','00','Request by Mr. Saqib Saleem 31-Dec-2024 Hold');</v>
      </c>
    </row>
    <row r="208" spans="1:8" ht="105" x14ac:dyDescent="0.25">
      <c r="A208" s="9" t="s">
        <v>12208</v>
      </c>
      <c r="B208" s="25" t="str">
        <f>VLOOKUP(A208,policy1!B:C,2,0)</f>
        <v>070000172086</v>
      </c>
      <c r="C208" s="11">
        <v>23188</v>
      </c>
      <c r="D208" s="26">
        <f t="shared" si="13"/>
        <v>23188</v>
      </c>
      <c r="E208" s="24" t="s">
        <v>13296</v>
      </c>
      <c r="F208" s="27" t="str">
        <f t="shared" si="12"/>
        <v>insert into ins_premium_det (premium_rcv_code,assorted_code, rec_amount,premium_rcv_detail_code,remaining_amt, payrec, mode_code,coinsurance_code,class_cd,it_remarks) values</v>
      </c>
      <c r="G208" s="28" t="str">
        <f t="shared" si="14"/>
        <v>('30Dec240042','070000172086','23188',(select max(to_number(i.premium_rcv_detail_code))+1
from ins_premium_det i),'23188','23188','02', '11000003','00','Request by Mr. Saqib Saleem 31-Dec-2024 Hold');</v>
      </c>
      <c r="H208" s="29" t="str">
        <f t="shared" si="15"/>
        <v>insert into ins_premium_det (premium_rcv_code,assorted_code, rec_amount,premium_rcv_detail_code,remaining_amt, payrec, mode_code,coinsurance_code,class_cd,it_remarks) values('30Dec240042','070000172086','23188',(select max(to_number(i.premium_rcv_detail_code))+1
from ins_premium_det i),'23188','23188','02', '11000003','00','Request by Mr. Saqib Saleem 31-Dec-2024 Hold');</v>
      </c>
    </row>
    <row r="209" spans="1:8" ht="105" x14ac:dyDescent="0.25">
      <c r="A209" s="12" t="s">
        <v>12209</v>
      </c>
      <c r="B209" s="25" t="str">
        <f>VLOOKUP(A209,policy1!B:C,2,0)</f>
        <v>070000172065</v>
      </c>
      <c r="C209" s="13">
        <v>78391</v>
      </c>
      <c r="D209" s="26">
        <f t="shared" si="13"/>
        <v>78391</v>
      </c>
      <c r="E209" s="24" t="s">
        <v>13296</v>
      </c>
      <c r="F209" s="27" t="str">
        <f t="shared" si="12"/>
        <v>insert into ins_premium_det (premium_rcv_code,assorted_code, rec_amount,premium_rcv_detail_code,remaining_amt, payrec, mode_code,coinsurance_code,class_cd,it_remarks) values</v>
      </c>
      <c r="G209" s="28" t="str">
        <f t="shared" si="14"/>
        <v>('30Dec240042','070000172065','78391',(select max(to_number(i.premium_rcv_detail_code))+1
from ins_premium_det i),'78391','78391','02', '11000003','00','Request by Mr. Saqib Saleem 31-Dec-2024 Hold');</v>
      </c>
      <c r="H209" s="29" t="str">
        <f t="shared" si="15"/>
        <v>insert into ins_premium_det (premium_rcv_code,assorted_code, rec_amount,premium_rcv_detail_code,remaining_amt, payrec, mode_code,coinsurance_code,class_cd,it_remarks) values('30Dec240042','070000172065','78391',(select max(to_number(i.premium_rcv_detail_code))+1
from ins_premium_det i),'78391','78391','02', '11000003','00','Request by Mr. Saqib Saleem 31-Dec-2024 Hold');</v>
      </c>
    </row>
    <row r="210" spans="1:8" ht="105" x14ac:dyDescent="0.25">
      <c r="A210" s="9" t="s">
        <v>12210</v>
      </c>
      <c r="B210" s="25" t="str">
        <f>VLOOKUP(A210,policy1!B:C,2,0)</f>
        <v>070000172058</v>
      </c>
      <c r="C210" s="11">
        <v>57600</v>
      </c>
      <c r="D210" s="26">
        <f t="shared" si="13"/>
        <v>57600</v>
      </c>
      <c r="E210" s="24" t="s">
        <v>13296</v>
      </c>
      <c r="F210" s="27" t="str">
        <f t="shared" si="12"/>
        <v>insert into ins_premium_det (premium_rcv_code,assorted_code, rec_amount,premium_rcv_detail_code,remaining_amt, payrec, mode_code,coinsurance_code,class_cd,it_remarks) values</v>
      </c>
      <c r="G210" s="28" t="str">
        <f t="shared" si="14"/>
        <v>('30Dec240042','070000172058','57600',(select max(to_number(i.premium_rcv_detail_code))+1
from ins_premium_det i),'57600','57600','02', '11000003','00','Request by Mr. Saqib Saleem 31-Dec-2024 Hold');</v>
      </c>
      <c r="H210" s="29" t="str">
        <f t="shared" si="15"/>
        <v>insert into ins_premium_det (premium_rcv_code,assorted_code, rec_amount,premium_rcv_detail_code,remaining_amt, payrec, mode_code,coinsurance_code,class_cd,it_remarks) values('30Dec240042','070000172058','57600',(select max(to_number(i.premium_rcv_detail_code))+1
from ins_premium_det i),'57600','57600','02', '11000003','00','Request by Mr. Saqib Saleem 31-Dec-2024 Hold');</v>
      </c>
    </row>
    <row r="211" spans="1:8" ht="105" x14ac:dyDescent="0.25">
      <c r="A211" s="12" t="s">
        <v>12211</v>
      </c>
      <c r="B211" s="25" t="str">
        <f>VLOOKUP(A211,policy1!B:C,2,0)</f>
        <v>070000172054</v>
      </c>
      <c r="C211" s="13">
        <v>37383</v>
      </c>
      <c r="D211" s="26">
        <f t="shared" si="13"/>
        <v>37383</v>
      </c>
      <c r="E211" s="24" t="s">
        <v>13296</v>
      </c>
      <c r="F211" s="27" t="str">
        <f t="shared" si="12"/>
        <v>insert into ins_premium_det (premium_rcv_code,assorted_code, rec_amount,premium_rcv_detail_code,remaining_amt, payrec, mode_code,coinsurance_code,class_cd,it_remarks) values</v>
      </c>
      <c r="G211" s="28" t="str">
        <f t="shared" si="14"/>
        <v>('30Dec240042','070000172054','37383',(select max(to_number(i.premium_rcv_detail_code))+1
from ins_premium_det i),'37383','37383','02', '11000003','00','Request by Mr. Saqib Saleem 31-Dec-2024 Hold');</v>
      </c>
      <c r="H211" s="29" t="str">
        <f t="shared" si="15"/>
        <v>insert into ins_premium_det (premium_rcv_code,assorted_code, rec_amount,premium_rcv_detail_code,remaining_amt, payrec, mode_code,coinsurance_code,class_cd,it_remarks) values('30Dec240042','070000172054','37383',(select max(to_number(i.premium_rcv_detail_code))+1
from ins_premium_det i),'37383','37383','02', '11000003','00','Request by Mr. Saqib Saleem 31-Dec-2024 Hold');</v>
      </c>
    </row>
    <row r="212" spans="1:8" ht="105" x14ac:dyDescent="0.25">
      <c r="A212" s="17" t="s">
        <v>12218</v>
      </c>
      <c r="B212" s="25" t="str">
        <f>VLOOKUP(A212,policy1!B:C,2,0)</f>
        <v>070000171943</v>
      </c>
      <c r="C212" s="11">
        <v>66677</v>
      </c>
      <c r="D212" s="26">
        <f t="shared" si="13"/>
        <v>66677</v>
      </c>
      <c r="E212" s="24" t="s">
        <v>13296</v>
      </c>
      <c r="F212" s="27" t="str">
        <f t="shared" si="12"/>
        <v>insert into ins_premium_det (premium_rcv_code,assorted_code, rec_amount,premium_rcv_detail_code,remaining_amt, payrec, mode_code,coinsurance_code,class_cd,it_remarks) values</v>
      </c>
      <c r="G212" s="28" t="str">
        <f t="shared" si="14"/>
        <v>('30Dec240042','070000171943','66677',(select max(to_number(i.premium_rcv_detail_code))+1
from ins_premium_det i),'66677','66677','02', '11000003','00','Request by Mr. Saqib Saleem 31-Dec-2024 Hold');</v>
      </c>
      <c r="H212" s="29" t="str">
        <f t="shared" si="15"/>
        <v>insert into ins_premium_det (premium_rcv_code,assorted_code, rec_amount,premium_rcv_detail_code,remaining_amt, payrec, mode_code,coinsurance_code,class_cd,it_remarks) values('30Dec240042','070000171943','66677',(select max(to_number(i.premium_rcv_detail_code))+1
from ins_premium_det i),'66677','66677','02', '11000003','00','Request by Mr. Saqib Saleem 31-Dec-2024 Hold');</v>
      </c>
    </row>
    <row r="213" spans="1:8" ht="105" x14ac:dyDescent="0.25">
      <c r="A213" s="12" t="s">
        <v>12212</v>
      </c>
      <c r="B213" s="25" t="str">
        <f>VLOOKUP(A213,policy1!B:C,2,0)</f>
        <v>070000171904</v>
      </c>
      <c r="C213" s="13">
        <v>88902</v>
      </c>
      <c r="D213" s="26">
        <f t="shared" si="13"/>
        <v>88902</v>
      </c>
      <c r="E213" s="24" t="s">
        <v>13296</v>
      </c>
      <c r="F213" s="27" t="str">
        <f t="shared" si="12"/>
        <v>insert into ins_premium_det (premium_rcv_code,assorted_code, rec_amount,premium_rcv_detail_code,remaining_amt, payrec, mode_code,coinsurance_code,class_cd,it_remarks) values</v>
      </c>
      <c r="G213" s="28" t="str">
        <f t="shared" si="14"/>
        <v>('30Dec240042','070000171904','88902',(select max(to_number(i.premium_rcv_detail_code))+1
from ins_premium_det i),'88902','88902','02', '11000003','00','Request by Mr. Saqib Saleem 31-Dec-2024 Hold');</v>
      </c>
      <c r="H213" s="29" t="str">
        <f t="shared" si="15"/>
        <v>insert into ins_premium_det (premium_rcv_code,assorted_code, rec_amount,premium_rcv_detail_code,remaining_amt, payrec, mode_code,coinsurance_code,class_cd,it_remarks) values('30Dec240042','070000171904','88902',(select max(to_number(i.premium_rcv_detail_code))+1
from ins_premium_det i),'88902','88902','02', '11000003','00','Request by Mr. Saqib Saleem 31-Dec-2024 Hold');</v>
      </c>
    </row>
    <row r="214" spans="1:8" ht="105" x14ac:dyDescent="0.25">
      <c r="A214" s="9" t="s">
        <v>12213</v>
      </c>
      <c r="B214" s="25" t="str">
        <f>VLOOKUP(A214,policy1!B:C,2,0)</f>
        <v>070000170745</v>
      </c>
      <c r="C214" s="11">
        <v>116268</v>
      </c>
      <c r="D214" s="26">
        <f t="shared" si="13"/>
        <v>116268</v>
      </c>
      <c r="E214" s="24" t="s">
        <v>13296</v>
      </c>
      <c r="F214" s="27" t="str">
        <f t="shared" si="12"/>
        <v>insert into ins_premium_det (premium_rcv_code,assorted_code, rec_amount,premium_rcv_detail_code,remaining_amt, payrec, mode_code,coinsurance_code,class_cd,it_remarks) values</v>
      </c>
      <c r="G214" s="28" t="str">
        <f t="shared" si="14"/>
        <v>('30Dec240042','070000170745','116268',(select max(to_number(i.premium_rcv_detail_code))+1
from ins_premium_det i),'116268','116268','02', '11000003','00','Request by Mr. Saqib Saleem 31-Dec-2024 Hold');</v>
      </c>
      <c r="H214" s="29" t="str">
        <f t="shared" si="15"/>
        <v>insert into ins_premium_det (premium_rcv_code,assorted_code, rec_amount,premium_rcv_detail_code,remaining_amt, payrec, mode_code,coinsurance_code,class_cd,it_remarks) values('30Dec240042','070000170745','116268',(select max(to_number(i.premium_rcv_detail_code))+1
from ins_premium_det i),'116268','116268','02', '11000003','00','Request by Mr. Saqib Saleem 31-Dec-2024 Hold');</v>
      </c>
    </row>
    <row r="215" spans="1:8" ht="105" x14ac:dyDescent="0.25">
      <c r="A215" s="12" t="s">
        <v>12214</v>
      </c>
      <c r="B215" s="25" t="str">
        <f>VLOOKUP(A215,policy1!B:C,2,0)</f>
        <v>070000170739</v>
      </c>
      <c r="C215" s="13">
        <v>24047</v>
      </c>
      <c r="D215" s="26">
        <f t="shared" si="13"/>
        <v>24047</v>
      </c>
      <c r="E215" s="24" t="s">
        <v>13296</v>
      </c>
      <c r="F215" s="27" t="str">
        <f t="shared" si="12"/>
        <v>insert into ins_premium_det (premium_rcv_code,assorted_code, rec_amount,premium_rcv_detail_code,remaining_amt, payrec, mode_code,coinsurance_code,class_cd,it_remarks) values</v>
      </c>
      <c r="G215" s="28" t="str">
        <f t="shared" si="14"/>
        <v>('30Dec240042','070000170739','24047',(select max(to_number(i.premium_rcv_detail_code))+1
from ins_premium_det i),'24047','24047','02', '11000003','00','Request by Mr. Saqib Saleem 31-Dec-2024 Hold');</v>
      </c>
      <c r="H215" s="29" t="str">
        <f t="shared" si="15"/>
        <v>insert into ins_premium_det (premium_rcv_code,assorted_code, rec_amount,premium_rcv_detail_code,remaining_amt, payrec, mode_code,coinsurance_code,class_cd,it_remarks) values('30Dec240042','070000170739','24047',(select max(to_number(i.premium_rcv_detail_code))+1
from ins_premium_det i),'24047','24047','02', '11000003','00','Request by Mr. Saqib Saleem 31-Dec-2024 Hold');</v>
      </c>
    </row>
    <row r="216" spans="1:8" x14ac:dyDescent="0.25">
      <c r="C216" s="30">
        <f>SUM(C2:C215)</f>
        <v>8327474</v>
      </c>
      <c r="D216" s="30">
        <f>SUM(D2:D215)</f>
        <v>8327474</v>
      </c>
    </row>
  </sheetData>
  <conditionalFormatting sqref="A1">
    <cfRule type="duplicateValues" dxfId="3" priority="1"/>
  </conditionalFormatting>
  <conditionalFormatting sqref="A2:B2 B3:B215">
    <cfRule type="duplicateValues" dxfId="2" priority="2"/>
    <cfRule type="duplicateValues" dxfId="1" priority="3"/>
    <cfRule type="duplicateValues" dxfId="0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71154-5292-4F5A-9EFF-6A22AD28D1DB}">
  <dimension ref="A1:J215"/>
  <sheetViews>
    <sheetView topLeftCell="A181" workbookViewId="0">
      <selection activeCell="G192" sqref="G192"/>
    </sheetView>
  </sheetViews>
  <sheetFormatPr defaultRowHeight="15" x14ac:dyDescent="0.25"/>
  <cols>
    <col min="1" max="1" width="44.28515625" bestFit="1" customWidth="1"/>
  </cols>
  <sheetData>
    <row r="1" spans="1:10" x14ac:dyDescent="0.25">
      <c r="H1" t="s">
        <v>13299</v>
      </c>
    </row>
    <row r="2" spans="1:10" x14ac:dyDescent="0.25">
      <c r="A2" s="9" t="s">
        <v>12005</v>
      </c>
      <c r="B2" t="s">
        <v>13297</v>
      </c>
      <c r="H2">
        <v>93577</v>
      </c>
      <c r="I2" t="s">
        <v>12257</v>
      </c>
      <c r="J2" t="str">
        <f>"ia.assorted_string like '%"&amp;H2&amp;"-"&amp;I2&amp;B2&amp;"%' or"</f>
        <v>ia.assorted_string like '%93577-00007-07-2024%' or</v>
      </c>
    </row>
    <row r="3" spans="1:10" x14ac:dyDescent="0.25">
      <c r="A3" s="12" t="s">
        <v>12006</v>
      </c>
      <c r="B3" t="s">
        <v>13297</v>
      </c>
      <c r="H3">
        <v>93577</v>
      </c>
      <c r="I3" t="s">
        <v>12258</v>
      </c>
      <c r="J3" t="str">
        <f t="shared" ref="J3:J66" si="0">"ia.assorted_string like '%"&amp;H3&amp;"-"&amp;I3&amp;B3&amp;"%' or"</f>
        <v>ia.assorted_string like '%93577-00008-07-2024%' or</v>
      </c>
    </row>
    <row r="4" spans="1:10" x14ac:dyDescent="0.25">
      <c r="A4" s="9" t="s">
        <v>12007</v>
      </c>
      <c r="B4" t="s">
        <v>12250</v>
      </c>
      <c r="H4">
        <v>99821</v>
      </c>
      <c r="I4" t="s">
        <v>12486</v>
      </c>
      <c r="J4" t="str">
        <f t="shared" si="0"/>
        <v>ia.assorted_string like '%99821-00332-10-2024%' or</v>
      </c>
    </row>
    <row r="5" spans="1:10" x14ac:dyDescent="0.25">
      <c r="A5" s="17" t="s">
        <v>12215</v>
      </c>
      <c r="B5" t="s">
        <v>12249</v>
      </c>
      <c r="H5">
        <v>103702</v>
      </c>
      <c r="I5" t="s">
        <v>12261</v>
      </c>
      <c r="J5" t="str">
        <f t="shared" si="0"/>
        <v>ia.assorted_string like '%103702-00012-12-2024%' or</v>
      </c>
    </row>
    <row r="6" spans="1:10" x14ac:dyDescent="0.25">
      <c r="A6" s="9" t="s">
        <v>12008</v>
      </c>
      <c r="B6" t="s">
        <v>12249</v>
      </c>
      <c r="H6">
        <v>103702</v>
      </c>
      <c r="I6" t="s">
        <v>12262</v>
      </c>
      <c r="J6" t="str">
        <f t="shared" si="0"/>
        <v>ia.assorted_string like '%103702-00013-12-2024%' or</v>
      </c>
    </row>
    <row r="7" spans="1:10" x14ac:dyDescent="0.25">
      <c r="A7" s="12" t="s">
        <v>12009</v>
      </c>
      <c r="B7" t="s">
        <v>12249</v>
      </c>
      <c r="H7">
        <v>103702</v>
      </c>
      <c r="I7" t="s">
        <v>12263</v>
      </c>
      <c r="J7" t="str">
        <f t="shared" si="0"/>
        <v>ia.assorted_string like '%103702-00014-12-2024%' or</v>
      </c>
    </row>
    <row r="8" spans="1:10" x14ac:dyDescent="0.25">
      <c r="A8" s="9" t="s">
        <v>12010</v>
      </c>
      <c r="B8" t="s">
        <v>12249</v>
      </c>
      <c r="H8">
        <v>103702</v>
      </c>
      <c r="I8" t="s">
        <v>12264</v>
      </c>
      <c r="J8" t="str">
        <f t="shared" si="0"/>
        <v>ia.assorted_string like '%103702-00015-12-2024%' or</v>
      </c>
    </row>
    <row r="9" spans="1:10" x14ac:dyDescent="0.25">
      <c r="A9" s="12" t="s">
        <v>12011</v>
      </c>
      <c r="B9" t="s">
        <v>12249</v>
      </c>
      <c r="H9">
        <v>103702</v>
      </c>
      <c r="I9" t="s">
        <v>12265</v>
      </c>
      <c r="J9" t="str">
        <f t="shared" si="0"/>
        <v>ia.assorted_string like '%103702-00016-12-2024%' or</v>
      </c>
    </row>
    <row r="10" spans="1:10" x14ac:dyDescent="0.25">
      <c r="A10" s="9" t="s">
        <v>12012</v>
      </c>
      <c r="B10" t="s">
        <v>12249</v>
      </c>
      <c r="H10">
        <v>103702</v>
      </c>
      <c r="I10" t="s">
        <v>12664</v>
      </c>
      <c r="J10" t="str">
        <f t="shared" si="0"/>
        <v>ia.assorted_string like '%103702-00019-12-2024%' or</v>
      </c>
    </row>
    <row r="11" spans="1:10" x14ac:dyDescent="0.25">
      <c r="A11" s="12" t="s">
        <v>12013</v>
      </c>
      <c r="B11" t="s">
        <v>12249</v>
      </c>
      <c r="H11">
        <v>103702</v>
      </c>
      <c r="I11" t="s">
        <v>12663</v>
      </c>
      <c r="J11" t="str">
        <f t="shared" si="0"/>
        <v>ia.assorted_string like '%103702-00025-12-2024%' or</v>
      </c>
    </row>
    <row r="12" spans="1:10" x14ac:dyDescent="0.25">
      <c r="A12" s="9" t="s">
        <v>12014</v>
      </c>
      <c r="B12" t="s">
        <v>12249</v>
      </c>
      <c r="H12">
        <v>103702</v>
      </c>
      <c r="I12" t="s">
        <v>12661</v>
      </c>
      <c r="J12" t="str">
        <f t="shared" si="0"/>
        <v>ia.assorted_string like '%103702-00029-12-2024%' or</v>
      </c>
    </row>
    <row r="13" spans="1:10" x14ac:dyDescent="0.25">
      <c r="A13" s="12" t="s">
        <v>12015</v>
      </c>
      <c r="B13" t="s">
        <v>12249</v>
      </c>
      <c r="H13">
        <v>103702</v>
      </c>
      <c r="I13" t="s">
        <v>12274</v>
      </c>
      <c r="J13" t="str">
        <f t="shared" si="0"/>
        <v>ia.assorted_string like '%103702-00031-12-2024%' or</v>
      </c>
    </row>
    <row r="14" spans="1:10" x14ac:dyDescent="0.25">
      <c r="A14" s="9" t="s">
        <v>12016</v>
      </c>
      <c r="B14" t="s">
        <v>12249</v>
      </c>
      <c r="H14">
        <v>103702</v>
      </c>
      <c r="I14" t="s">
        <v>12659</v>
      </c>
      <c r="J14" t="str">
        <f t="shared" si="0"/>
        <v>ia.assorted_string like '%103702-00032-12-2024%' or</v>
      </c>
    </row>
    <row r="15" spans="1:10" x14ac:dyDescent="0.25">
      <c r="A15" s="12" t="s">
        <v>12017</v>
      </c>
      <c r="B15" t="s">
        <v>12249</v>
      </c>
      <c r="H15">
        <v>103702</v>
      </c>
      <c r="I15" t="s">
        <v>12657</v>
      </c>
      <c r="J15" t="str">
        <f t="shared" si="0"/>
        <v>ia.assorted_string like '%103702-00034-12-2024%' or</v>
      </c>
    </row>
    <row r="16" spans="1:10" x14ac:dyDescent="0.25">
      <c r="A16" s="9" t="s">
        <v>12018</v>
      </c>
      <c r="B16" t="s">
        <v>12249</v>
      </c>
      <c r="H16">
        <v>103702</v>
      </c>
      <c r="I16" t="s">
        <v>12280</v>
      </c>
      <c r="J16" t="str">
        <f t="shared" si="0"/>
        <v>ia.assorted_string like '%103702-00042-12-2024%' or</v>
      </c>
    </row>
    <row r="17" spans="1:10" x14ac:dyDescent="0.25">
      <c r="A17" s="12" t="s">
        <v>12019</v>
      </c>
      <c r="B17" t="s">
        <v>12249</v>
      </c>
      <c r="H17">
        <v>103702</v>
      </c>
      <c r="I17" t="s">
        <v>12281</v>
      </c>
      <c r="J17" t="str">
        <f t="shared" si="0"/>
        <v>ia.assorted_string like '%103702-00044-12-2024%' or</v>
      </c>
    </row>
    <row r="18" spans="1:10" x14ac:dyDescent="0.25">
      <c r="A18" s="9" t="s">
        <v>12020</v>
      </c>
      <c r="B18" t="s">
        <v>12249</v>
      </c>
      <c r="H18">
        <v>103702</v>
      </c>
      <c r="I18" t="s">
        <v>12652</v>
      </c>
      <c r="J18" t="str">
        <f t="shared" si="0"/>
        <v>ia.assorted_string like '%103702-00046-12-2024%' or</v>
      </c>
    </row>
    <row r="19" spans="1:10" x14ac:dyDescent="0.25">
      <c r="A19" s="12" t="s">
        <v>12021</v>
      </c>
      <c r="B19" t="s">
        <v>12249</v>
      </c>
      <c r="H19">
        <v>103702</v>
      </c>
      <c r="I19" t="s">
        <v>12283</v>
      </c>
      <c r="J19" t="str">
        <f t="shared" si="0"/>
        <v>ia.assorted_string like '%103702-00047-12-2024%' or</v>
      </c>
    </row>
    <row r="20" spans="1:10" x14ac:dyDescent="0.25">
      <c r="A20" s="9" t="s">
        <v>12022</v>
      </c>
      <c r="B20" t="s">
        <v>12249</v>
      </c>
      <c r="H20">
        <v>103702</v>
      </c>
      <c r="I20" t="s">
        <v>12284</v>
      </c>
      <c r="J20" t="str">
        <f t="shared" si="0"/>
        <v>ia.assorted_string like '%103702-00048-12-2024%' or</v>
      </c>
    </row>
    <row r="21" spans="1:10" x14ac:dyDescent="0.25">
      <c r="A21" s="12" t="s">
        <v>12023</v>
      </c>
      <c r="B21" t="s">
        <v>12249</v>
      </c>
      <c r="H21">
        <v>103702</v>
      </c>
      <c r="I21" t="s">
        <v>12285</v>
      </c>
      <c r="J21" t="str">
        <f t="shared" si="0"/>
        <v>ia.assorted_string like '%103702-00049-12-2024%' or</v>
      </c>
    </row>
    <row r="22" spans="1:10" x14ac:dyDescent="0.25">
      <c r="A22" s="9" t="s">
        <v>12024</v>
      </c>
      <c r="B22" t="s">
        <v>12249</v>
      </c>
      <c r="H22">
        <v>103702</v>
      </c>
      <c r="I22" t="s">
        <v>12286</v>
      </c>
      <c r="J22" t="str">
        <f t="shared" si="0"/>
        <v>ia.assorted_string like '%103702-00050-12-2024%' or</v>
      </c>
    </row>
    <row r="23" spans="1:10" x14ac:dyDescent="0.25">
      <c r="A23" s="12" t="s">
        <v>12025</v>
      </c>
      <c r="B23" t="s">
        <v>12249</v>
      </c>
      <c r="H23">
        <v>103702</v>
      </c>
      <c r="I23" t="s">
        <v>12287</v>
      </c>
      <c r="J23" t="str">
        <f t="shared" si="0"/>
        <v>ia.assorted_string like '%103702-00051-12-2024%' or</v>
      </c>
    </row>
    <row r="24" spans="1:10" x14ac:dyDescent="0.25">
      <c r="A24" s="9" t="s">
        <v>12026</v>
      </c>
      <c r="B24" t="s">
        <v>12249</v>
      </c>
      <c r="H24">
        <v>103702</v>
      </c>
      <c r="I24" t="s">
        <v>12288</v>
      </c>
      <c r="J24" t="str">
        <f t="shared" si="0"/>
        <v>ia.assorted_string like '%103702-00052-12-2024%' or</v>
      </c>
    </row>
    <row r="25" spans="1:10" x14ac:dyDescent="0.25">
      <c r="A25" s="12" t="s">
        <v>12027</v>
      </c>
      <c r="B25" t="s">
        <v>12249</v>
      </c>
      <c r="H25">
        <v>103702</v>
      </c>
      <c r="I25" t="s">
        <v>12289</v>
      </c>
      <c r="J25" t="str">
        <f t="shared" si="0"/>
        <v>ia.assorted_string like '%103702-00053-12-2024%' or</v>
      </c>
    </row>
    <row r="26" spans="1:10" x14ac:dyDescent="0.25">
      <c r="A26" s="9" t="s">
        <v>12028</v>
      </c>
      <c r="B26" t="s">
        <v>12249</v>
      </c>
      <c r="H26">
        <v>103702</v>
      </c>
      <c r="I26" t="s">
        <v>12290</v>
      </c>
      <c r="J26" t="str">
        <f t="shared" si="0"/>
        <v>ia.assorted_string like '%103702-00054-12-2024%' or</v>
      </c>
    </row>
    <row r="27" spans="1:10" x14ac:dyDescent="0.25">
      <c r="A27" s="12" t="s">
        <v>12029</v>
      </c>
      <c r="B27" t="s">
        <v>12249</v>
      </c>
      <c r="H27">
        <v>103702</v>
      </c>
      <c r="I27" t="s">
        <v>12651</v>
      </c>
      <c r="J27" t="str">
        <f t="shared" si="0"/>
        <v>ia.assorted_string like '%103702-00056-12-2024%' or</v>
      </c>
    </row>
    <row r="28" spans="1:10" x14ac:dyDescent="0.25">
      <c r="A28" s="9" t="s">
        <v>12030</v>
      </c>
      <c r="B28" t="s">
        <v>12249</v>
      </c>
      <c r="H28">
        <v>103702</v>
      </c>
      <c r="I28" t="s">
        <v>13300</v>
      </c>
      <c r="J28" t="str">
        <f t="shared" si="0"/>
        <v>ia.assorted_string like '%103702-00057-12-2024%' or</v>
      </c>
    </row>
    <row r="29" spans="1:10" x14ac:dyDescent="0.25">
      <c r="A29" s="12" t="s">
        <v>12031</v>
      </c>
      <c r="B29" t="s">
        <v>12249</v>
      </c>
      <c r="H29">
        <v>103702</v>
      </c>
      <c r="I29" t="s">
        <v>12536</v>
      </c>
      <c r="J29" t="str">
        <f t="shared" si="0"/>
        <v>ia.assorted_string like '%103702-00058-12-2024%' or</v>
      </c>
    </row>
    <row r="30" spans="1:10" x14ac:dyDescent="0.25">
      <c r="A30" s="9" t="s">
        <v>12032</v>
      </c>
      <c r="B30" t="s">
        <v>12249</v>
      </c>
      <c r="H30">
        <v>103702</v>
      </c>
      <c r="I30" t="s">
        <v>12650</v>
      </c>
      <c r="J30" t="str">
        <f t="shared" si="0"/>
        <v>ia.assorted_string like '%103702-00059-12-2024%' or</v>
      </c>
    </row>
    <row r="31" spans="1:10" x14ac:dyDescent="0.25">
      <c r="A31" s="12" t="s">
        <v>12033</v>
      </c>
      <c r="B31" t="s">
        <v>12249</v>
      </c>
      <c r="H31">
        <v>103702</v>
      </c>
      <c r="I31" t="s">
        <v>12294</v>
      </c>
      <c r="J31" t="str">
        <f t="shared" si="0"/>
        <v>ia.assorted_string like '%103702-00061-12-2024%' or</v>
      </c>
    </row>
    <row r="32" spans="1:10" x14ac:dyDescent="0.25">
      <c r="A32" s="9" t="s">
        <v>12034</v>
      </c>
      <c r="B32" t="s">
        <v>12249</v>
      </c>
      <c r="H32">
        <v>103702</v>
      </c>
      <c r="I32" t="s">
        <v>12295</v>
      </c>
      <c r="J32" t="str">
        <f t="shared" si="0"/>
        <v>ia.assorted_string like '%103702-00062-12-2024%' or</v>
      </c>
    </row>
    <row r="33" spans="1:10" x14ac:dyDescent="0.25">
      <c r="A33" s="12" t="s">
        <v>12035</v>
      </c>
      <c r="B33" t="s">
        <v>12249</v>
      </c>
      <c r="H33">
        <v>103702</v>
      </c>
      <c r="I33" t="s">
        <v>12648</v>
      </c>
      <c r="J33" t="str">
        <f t="shared" si="0"/>
        <v>ia.assorted_string like '%103702-00065-12-2024%' or</v>
      </c>
    </row>
    <row r="34" spans="1:10" x14ac:dyDescent="0.25">
      <c r="A34" s="9" t="s">
        <v>12036</v>
      </c>
      <c r="B34" t="s">
        <v>12249</v>
      </c>
      <c r="H34">
        <v>103702</v>
      </c>
      <c r="I34" t="s">
        <v>12297</v>
      </c>
      <c r="J34" t="str">
        <f t="shared" si="0"/>
        <v>ia.assorted_string like '%103702-00067-12-2024%' or</v>
      </c>
    </row>
    <row r="35" spans="1:10" x14ac:dyDescent="0.25">
      <c r="A35" s="12" t="s">
        <v>12037</v>
      </c>
      <c r="B35" t="s">
        <v>12249</v>
      </c>
      <c r="H35">
        <v>103702</v>
      </c>
      <c r="I35" t="s">
        <v>12298</v>
      </c>
      <c r="J35" t="str">
        <f t="shared" si="0"/>
        <v>ia.assorted_string like '%103702-00068-12-2024%' or</v>
      </c>
    </row>
    <row r="36" spans="1:10" x14ac:dyDescent="0.25">
      <c r="A36" s="9" t="s">
        <v>12038</v>
      </c>
      <c r="B36" t="s">
        <v>12249</v>
      </c>
      <c r="H36">
        <v>103702</v>
      </c>
      <c r="I36" t="s">
        <v>12646</v>
      </c>
      <c r="J36" t="str">
        <f t="shared" si="0"/>
        <v>ia.assorted_string like '%103702-00070-12-2024%' or</v>
      </c>
    </row>
    <row r="37" spans="1:10" x14ac:dyDescent="0.25">
      <c r="A37" s="12" t="s">
        <v>12039</v>
      </c>
      <c r="B37" t="s">
        <v>12249</v>
      </c>
      <c r="H37">
        <v>103702</v>
      </c>
      <c r="I37" t="s">
        <v>12645</v>
      </c>
      <c r="J37" t="str">
        <f t="shared" si="0"/>
        <v>ia.assorted_string like '%103702-00071-12-2024%' or</v>
      </c>
    </row>
    <row r="38" spans="1:10" x14ac:dyDescent="0.25">
      <c r="A38" s="9" t="s">
        <v>12040</v>
      </c>
      <c r="B38" t="s">
        <v>12249</v>
      </c>
      <c r="H38">
        <v>103702</v>
      </c>
      <c r="I38" t="s">
        <v>12643</v>
      </c>
      <c r="J38" t="str">
        <f t="shared" si="0"/>
        <v>ia.assorted_string like '%103702-00073-12-2024%' or</v>
      </c>
    </row>
    <row r="39" spans="1:10" x14ac:dyDescent="0.25">
      <c r="A39" s="12" t="s">
        <v>12041</v>
      </c>
      <c r="B39" t="s">
        <v>12249</v>
      </c>
      <c r="H39">
        <v>103702</v>
      </c>
      <c r="I39" t="s">
        <v>12301</v>
      </c>
      <c r="J39" t="str">
        <f t="shared" si="0"/>
        <v>ia.assorted_string like '%103702-00075-12-2024%' or</v>
      </c>
    </row>
    <row r="40" spans="1:10" x14ac:dyDescent="0.25">
      <c r="A40" s="9" t="s">
        <v>12042</v>
      </c>
      <c r="B40" t="s">
        <v>12249</v>
      </c>
      <c r="H40">
        <v>103702</v>
      </c>
      <c r="I40" t="s">
        <v>12303</v>
      </c>
      <c r="J40" t="str">
        <f t="shared" si="0"/>
        <v>ia.assorted_string like '%103702-00077-12-2024%' or</v>
      </c>
    </row>
    <row r="41" spans="1:10" x14ac:dyDescent="0.25">
      <c r="A41" s="12" t="s">
        <v>12043</v>
      </c>
      <c r="B41" t="s">
        <v>12249</v>
      </c>
      <c r="H41">
        <v>103702</v>
      </c>
      <c r="I41" t="s">
        <v>12304</v>
      </c>
      <c r="J41" t="str">
        <f t="shared" si="0"/>
        <v>ia.assorted_string like '%103702-00078-12-2024%' or</v>
      </c>
    </row>
    <row r="42" spans="1:10" x14ac:dyDescent="0.25">
      <c r="A42" s="9" t="s">
        <v>12044</v>
      </c>
      <c r="B42" t="s">
        <v>12249</v>
      </c>
      <c r="H42">
        <v>103702</v>
      </c>
      <c r="I42" t="s">
        <v>12642</v>
      </c>
      <c r="J42" t="str">
        <f t="shared" si="0"/>
        <v>ia.assorted_string like '%103702-00079-12-2024%' or</v>
      </c>
    </row>
    <row r="43" spans="1:10" x14ac:dyDescent="0.25">
      <c r="A43" s="12" t="s">
        <v>12045</v>
      </c>
      <c r="B43" t="s">
        <v>12249</v>
      </c>
      <c r="H43">
        <v>103702</v>
      </c>
      <c r="I43" t="s">
        <v>12305</v>
      </c>
      <c r="J43" t="str">
        <f t="shared" si="0"/>
        <v>ia.assorted_string like '%103702-00080-12-2024%' or</v>
      </c>
    </row>
    <row r="44" spans="1:10" x14ac:dyDescent="0.25">
      <c r="A44" s="9" t="s">
        <v>12046</v>
      </c>
      <c r="B44" t="s">
        <v>12249</v>
      </c>
      <c r="H44">
        <v>103702</v>
      </c>
      <c r="I44" t="s">
        <v>12640</v>
      </c>
      <c r="J44" t="str">
        <f t="shared" si="0"/>
        <v>ia.assorted_string like '%103702-00081-12-2024%' or</v>
      </c>
    </row>
    <row r="45" spans="1:10" x14ac:dyDescent="0.25">
      <c r="A45" s="12" t="s">
        <v>12047</v>
      </c>
      <c r="B45" t="s">
        <v>12249</v>
      </c>
      <c r="H45">
        <v>103702</v>
      </c>
      <c r="I45" t="s">
        <v>12306</v>
      </c>
      <c r="J45" t="str">
        <f t="shared" si="0"/>
        <v>ia.assorted_string like '%103702-00083-12-2024%' or</v>
      </c>
    </row>
    <row r="46" spans="1:10" x14ac:dyDescent="0.25">
      <c r="A46" s="9" t="s">
        <v>12048</v>
      </c>
      <c r="B46" t="s">
        <v>12249</v>
      </c>
      <c r="H46">
        <v>103702</v>
      </c>
      <c r="I46" t="s">
        <v>12638</v>
      </c>
      <c r="J46" t="str">
        <f t="shared" si="0"/>
        <v>ia.assorted_string like '%103702-00084-12-2024%' or</v>
      </c>
    </row>
    <row r="47" spans="1:10" x14ac:dyDescent="0.25">
      <c r="A47" s="12" t="s">
        <v>12049</v>
      </c>
      <c r="B47" t="s">
        <v>12249</v>
      </c>
      <c r="H47">
        <v>103702</v>
      </c>
      <c r="I47" t="s">
        <v>12309</v>
      </c>
      <c r="J47" t="str">
        <f t="shared" si="0"/>
        <v>ia.assorted_string like '%103702-00087-12-2024%' or</v>
      </c>
    </row>
    <row r="48" spans="1:10" x14ac:dyDescent="0.25">
      <c r="A48" s="9" t="s">
        <v>12050</v>
      </c>
      <c r="B48" t="s">
        <v>12249</v>
      </c>
      <c r="H48">
        <v>103702</v>
      </c>
      <c r="I48" t="s">
        <v>12311</v>
      </c>
      <c r="J48" t="str">
        <f t="shared" si="0"/>
        <v>ia.assorted_string like '%103702-00089-12-2024%' or</v>
      </c>
    </row>
    <row r="49" spans="1:10" x14ac:dyDescent="0.25">
      <c r="A49" s="12" t="s">
        <v>12051</v>
      </c>
      <c r="B49" t="s">
        <v>12249</v>
      </c>
      <c r="H49">
        <v>103702</v>
      </c>
      <c r="I49" t="s">
        <v>12637</v>
      </c>
      <c r="J49" t="str">
        <f t="shared" si="0"/>
        <v>ia.assorted_string like '%103702-00090-12-2024%' or</v>
      </c>
    </row>
    <row r="50" spans="1:10" x14ac:dyDescent="0.25">
      <c r="A50" s="9" t="s">
        <v>12052</v>
      </c>
      <c r="B50" t="s">
        <v>12249</v>
      </c>
      <c r="H50">
        <v>103702</v>
      </c>
      <c r="I50" t="s">
        <v>12538</v>
      </c>
      <c r="J50" t="str">
        <f t="shared" si="0"/>
        <v>ia.assorted_string like '%103702-00091-12-2024%' or</v>
      </c>
    </row>
    <row r="51" spans="1:10" x14ac:dyDescent="0.25">
      <c r="A51" s="12" t="s">
        <v>12053</v>
      </c>
      <c r="B51" t="s">
        <v>12249</v>
      </c>
      <c r="H51">
        <v>103702</v>
      </c>
      <c r="I51" t="s">
        <v>12636</v>
      </c>
      <c r="J51" t="str">
        <f t="shared" si="0"/>
        <v>ia.assorted_string like '%103702-00092-12-2024%' or</v>
      </c>
    </row>
    <row r="52" spans="1:10" x14ac:dyDescent="0.25">
      <c r="A52" s="9" t="s">
        <v>12054</v>
      </c>
      <c r="B52" t="s">
        <v>12249</v>
      </c>
      <c r="H52">
        <v>103702</v>
      </c>
      <c r="I52" t="s">
        <v>12313</v>
      </c>
      <c r="J52" t="str">
        <f t="shared" si="0"/>
        <v>ia.assorted_string like '%103702-00096-12-2024%' or</v>
      </c>
    </row>
    <row r="53" spans="1:10" x14ac:dyDescent="0.25">
      <c r="A53" s="12" t="s">
        <v>12055</v>
      </c>
      <c r="B53" t="s">
        <v>12249</v>
      </c>
      <c r="H53">
        <v>103702</v>
      </c>
      <c r="I53" t="s">
        <v>12315</v>
      </c>
      <c r="J53" t="str">
        <f t="shared" si="0"/>
        <v>ia.assorted_string like '%103702-00098-12-2024%' or</v>
      </c>
    </row>
    <row r="54" spans="1:10" x14ac:dyDescent="0.25">
      <c r="A54" s="9" t="s">
        <v>12056</v>
      </c>
      <c r="B54" t="s">
        <v>12249</v>
      </c>
      <c r="H54">
        <v>103702</v>
      </c>
      <c r="I54" t="s">
        <v>12631</v>
      </c>
      <c r="J54" t="str">
        <f t="shared" si="0"/>
        <v>ia.assorted_string like '%103702-00106-12-2024%' or</v>
      </c>
    </row>
    <row r="55" spans="1:10" x14ac:dyDescent="0.25">
      <c r="A55" s="12" t="s">
        <v>12057</v>
      </c>
      <c r="B55" t="s">
        <v>12249</v>
      </c>
      <c r="H55">
        <v>103702</v>
      </c>
      <c r="I55" t="s">
        <v>12630</v>
      </c>
      <c r="J55" t="str">
        <f t="shared" si="0"/>
        <v>ia.assorted_string like '%103702-00107-12-2024%' or</v>
      </c>
    </row>
    <row r="56" spans="1:10" x14ac:dyDescent="0.25">
      <c r="A56" s="9" t="s">
        <v>12058</v>
      </c>
      <c r="B56" t="s">
        <v>12249</v>
      </c>
      <c r="H56">
        <v>103702</v>
      </c>
      <c r="I56" t="s">
        <v>12628</v>
      </c>
      <c r="J56" t="str">
        <f t="shared" si="0"/>
        <v>ia.assorted_string like '%103702-00111-12-2024%' or</v>
      </c>
    </row>
    <row r="57" spans="1:10" x14ac:dyDescent="0.25">
      <c r="A57" s="12" t="s">
        <v>12059</v>
      </c>
      <c r="B57" t="s">
        <v>12249</v>
      </c>
      <c r="H57">
        <v>103702</v>
      </c>
      <c r="I57" t="s">
        <v>12321</v>
      </c>
      <c r="J57" t="str">
        <f t="shared" si="0"/>
        <v>ia.assorted_string like '%103702-00113-12-2024%' or</v>
      </c>
    </row>
    <row r="58" spans="1:10" x14ac:dyDescent="0.25">
      <c r="A58" s="9" t="s">
        <v>12060</v>
      </c>
      <c r="B58" t="s">
        <v>12249</v>
      </c>
      <c r="H58">
        <v>103702</v>
      </c>
      <c r="I58" t="s">
        <v>12324</v>
      </c>
      <c r="J58" t="str">
        <f t="shared" si="0"/>
        <v>ia.assorted_string like '%103702-00117-12-2024%' or</v>
      </c>
    </row>
    <row r="59" spans="1:10" x14ac:dyDescent="0.25">
      <c r="A59" s="12" t="s">
        <v>12061</v>
      </c>
      <c r="B59" t="s">
        <v>12249</v>
      </c>
      <c r="H59">
        <v>103702</v>
      </c>
      <c r="I59" t="s">
        <v>12623</v>
      </c>
      <c r="J59" t="str">
        <f t="shared" si="0"/>
        <v>ia.assorted_string like '%103702-00118-12-2024%' or</v>
      </c>
    </row>
    <row r="60" spans="1:10" x14ac:dyDescent="0.25">
      <c r="A60" s="9" t="s">
        <v>12062</v>
      </c>
      <c r="B60" t="s">
        <v>12249</v>
      </c>
      <c r="H60">
        <v>103702</v>
      </c>
      <c r="I60" t="s">
        <v>12622</v>
      </c>
      <c r="J60" t="str">
        <f t="shared" si="0"/>
        <v>ia.assorted_string like '%103702-00119-12-2024%' or</v>
      </c>
    </row>
    <row r="61" spans="1:10" x14ac:dyDescent="0.25">
      <c r="A61" s="12" t="s">
        <v>12063</v>
      </c>
      <c r="B61" t="s">
        <v>12249</v>
      </c>
      <c r="H61">
        <v>103702</v>
      </c>
      <c r="I61" t="s">
        <v>12620</v>
      </c>
      <c r="J61" t="str">
        <f t="shared" si="0"/>
        <v>ia.assorted_string like '%103702-00120-12-2024%' or</v>
      </c>
    </row>
    <row r="62" spans="1:10" x14ac:dyDescent="0.25">
      <c r="A62" s="9" t="s">
        <v>12064</v>
      </c>
      <c r="B62" t="s">
        <v>12249</v>
      </c>
      <c r="H62">
        <v>103702</v>
      </c>
      <c r="I62" t="s">
        <v>12619</v>
      </c>
      <c r="J62" t="str">
        <f t="shared" si="0"/>
        <v>ia.assorted_string like '%103702-00121-12-2024%' or</v>
      </c>
    </row>
    <row r="63" spans="1:10" x14ac:dyDescent="0.25">
      <c r="A63" s="12" t="s">
        <v>12065</v>
      </c>
      <c r="B63" t="s">
        <v>12249</v>
      </c>
      <c r="H63">
        <v>103702</v>
      </c>
      <c r="I63" t="s">
        <v>12325</v>
      </c>
      <c r="J63" t="str">
        <f t="shared" si="0"/>
        <v>ia.assorted_string like '%103702-00122-12-2024%' or</v>
      </c>
    </row>
    <row r="64" spans="1:10" x14ac:dyDescent="0.25">
      <c r="A64" s="9" t="s">
        <v>12066</v>
      </c>
      <c r="B64" t="s">
        <v>12249</v>
      </c>
      <c r="H64">
        <v>103702</v>
      </c>
      <c r="I64" t="s">
        <v>12618</v>
      </c>
      <c r="J64" t="str">
        <f t="shared" si="0"/>
        <v>ia.assorted_string like '%103702-00123-12-2024%' or</v>
      </c>
    </row>
    <row r="65" spans="1:10" x14ac:dyDescent="0.25">
      <c r="A65" s="17" t="s">
        <v>12216</v>
      </c>
      <c r="B65" t="s">
        <v>12249</v>
      </c>
      <c r="H65">
        <v>103702</v>
      </c>
      <c r="I65" t="s">
        <v>12543</v>
      </c>
      <c r="J65" t="str">
        <f t="shared" si="0"/>
        <v>ia.assorted_string like '%103702-00125-12-2024%' or</v>
      </c>
    </row>
    <row r="66" spans="1:10" x14ac:dyDescent="0.25">
      <c r="A66" s="9" t="s">
        <v>12067</v>
      </c>
      <c r="B66" t="s">
        <v>12249</v>
      </c>
      <c r="H66">
        <v>103702</v>
      </c>
      <c r="I66" t="s">
        <v>12326</v>
      </c>
      <c r="J66" t="str">
        <f t="shared" si="0"/>
        <v>ia.assorted_string like '%103702-00126-12-2024%' or</v>
      </c>
    </row>
    <row r="67" spans="1:10" x14ac:dyDescent="0.25">
      <c r="A67" s="12" t="s">
        <v>12068</v>
      </c>
      <c r="B67" t="s">
        <v>12249</v>
      </c>
      <c r="H67">
        <v>103702</v>
      </c>
      <c r="I67" t="s">
        <v>12327</v>
      </c>
      <c r="J67" t="str">
        <f t="shared" ref="J67:J130" si="1">"ia.assorted_string like '%"&amp;H67&amp;"-"&amp;I67&amp;B67&amp;"%' or"</f>
        <v>ia.assorted_string like '%103702-00127-12-2024%' or</v>
      </c>
    </row>
    <row r="68" spans="1:10" x14ac:dyDescent="0.25">
      <c r="A68" s="9" t="s">
        <v>12069</v>
      </c>
      <c r="B68" t="s">
        <v>12249</v>
      </c>
      <c r="H68">
        <v>103702</v>
      </c>
      <c r="I68" t="s">
        <v>12612</v>
      </c>
      <c r="J68" t="str">
        <f t="shared" si="1"/>
        <v>ia.assorted_string like '%103702-00128-12-2024%' or</v>
      </c>
    </row>
    <row r="69" spans="1:10" x14ac:dyDescent="0.25">
      <c r="A69" s="12" t="s">
        <v>12070</v>
      </c>
      <c r="B69" t="s">
        <v>12249</v>
      </c>
      <c r="H69">
        <v>103702</v>
      </c>
      <c r="I69" t="s">
        <v>12544</v>
      </c>
      <c r="J69" t="str">
        <f t="shared" si="1"/>
        <v>ia.assorted_string like '%103702-00129-12-2024%' or</v>
      </c>
    </row>
    <row r="70" spans="1:10" x14ac:dyDescent="0.25">
      <c r="A70" s="9" t="s">
        <v>12071</v>
      </c>
      <c r="B70" t="s">
        <v>12249</v>
      </c>
      <c r="H70">
        <v>103702</v>
      </c>
      <c r="I70" t="s">
        <v>12328</v>
      </c>
      <c r="J70" t="str">
        <f t="shared" si="1"/>
        <v>ia.assorted_string like '%103702-00130-12-2024%' or</v>
      </c>
    </row>
    <row r="71" spans="1:10" x14ac:dyDescent="0.25">
      <c r="A71" s="12" t="s">
        <v>12072</v>
      </c>
      <c r="B71" t="s">
        <v>12249</v>
      </c>
      <c r="H71">
        <v>103702</v>
      </c>
      <c r="I71" t="s">
        <v>12611</v>
      </c>
      <c r="J71" t="str">
        <f t="shared" si="1"/>
        <v>ia.assorted_string like '%103702-00132-12-2024%' or</v>
      </c>
    </row>
    <row r="72" spans="1:10" x14ac:dyDescent="0.25">
      <c r="A72" s="9" t="s">
        <v>12073</v>
      </c>
      <c r="B72" t="s">
        <v>12249</v>
      </c>
      <c r="H72">
        <v>103702</v>
      </c>
      <c r="I72" t="s">
        <v>12545</v>
      </c>
      <c r="J72" t="str">
        <f t="shared" si="1"/>
        <v>ia.assorted_string like '%103702-00134-12-2024%' or</v>
      </c>
    </row>
    <row r="73" spans="1:10" x14ac:dyDescent="0.25">
      <c r="A73" s="12" t="s">
        <v>12074</v>
      </c>
      <c r="B73" t="s">
        <v>12249</v>
      </c>
      <c r="H73">
        <v>103702</v>
      </c>
      <c r="I73" t="s">
        <v>12609</v>
      </c>
      <c r="J73" t="str">
        <f t="shared" si="1"/>
        <v>ia.assorted_string like '%103702-00135-12-2024%' or</v>
      </c>
    </row>
    <row r="74" spans="1:10" x14ac:dyDescent="0.25">
      <c r="A74" s="9" t="s">
        <v>12075</v>
      </c>
      <c r="B74" t="s">
        <v>12249</v>
      </c>
      <c r="H74">
        <v>103702</v>
      </c>
      <c r="I74" t="s">
        <v>12608</v>
      </c>
      <c r="J74" t="str">
        <f t="shared" si="1"/>
        <v>ia.assorted_string like '%103702-00136-12-2024%' or</v>
      </c>
    </row>
    <row r="75" spans="1:10" x14ac:dyDescent="0.25">
      <c r="A75" s="12" t="s">
        <v>12076</v>
      </c>
      <c r="B75" t="s">
        <v>12249</v>
      </c>
      <c r="H75">
        <v>103702</v>
      </c>
      <c r="I75" t="s">
        <v>12607</v>
      </c>
      <c r="J75" t="str">
        <f t="shared" si="1"/>
        <v>ia.assorted_string like '%103702-00137-12-2024%' or</v>
      </c>
    </row>
    <row r="76" spans="1:10" x14ac:dyDescent="0.25">
      <c r="A76" s="9" t="s">
        <v>12077</v>
      </c>
      <c r="B76" t="s">
        <v>12249</v>
      </c>
      <c r="H76">
        <v>103702</v>
      </c>
      <c r="I76" t="s">
        <v>12604</v>
      </c>
      <c r="J76" t="str">
        <f t="shared" si="1"/>
        <v>ia.assorted_string like '%103702-00141-12-2024%' or</v>
      </c>
    </row>
    <row r="77" spans="1:10" x14ac:dyDescent="0.25">
      <c r="A77" s="12" t="s">
        <v>12078</v>
      </c>
      <c r="B77" t="s">
        <v>12249</v>
      </c>
      <c r="H77">
        <v>103702</v>
      </c>
      <c r="I77" t="s">
        <v>12331</v>
      </c>
      <c r="J77" t="str">
        <f t="shared" si="1"/>
        <v>ia.assorted_string like '%103702-00144-12-2024%' or</v>
      </c>
    </row>
    <row r="78" spans="1:10" x14ac:dyDescent="0.25">
      <c r="A78" s="9" t="s">
        <v>12079</v>
      </c>
      <c r="B78" t="s">
        <v>12249</v>
      </c>
      <c r="H78">
        <v>103702</v>
      </c>
      <c r="I78" t="s">
        <v>12332</v>
      </c>
      <c r="J78" t="str">
        <f t="shared" si="1"/>
        <v>ia.assorted_string like '%103702-00145-12-2024%' or</v>
      </c>
    </row>
    <row r="79" spans="1:10" x14ac:dyDescent="0.25">
      <c r="A79" s="12" t="s">
        <v>12080</v>
      </c>
      <c r="B79" t="s">
        <v>12249</v>
      </c>
      <c r="H79">
        <v>103702</v>
      </c>
      <c r="I79" t="s">
        <v>12599</v>
      </c>
      <c r="J79" t="str">
        <f t="shared" si="1"/>
        <v>ia.assorted_string like '%103702-00146-12-2024%' or</v>
      </c>
    </row>
    <row r="80" spans="1:10" x14ac:dyDescent="0.25">
      <c r="A80" s="9" t="s">
        <v>12081</v>
      </c>
      <c r="B80" t="s">
        <v>12249</v>
      </c>
      <c r="H80">
        <v>103702</v>
      </c>
      <c r="I80" t="s">
        <v>12596</v>
      </c>
      <c r="J80" t="str">
        <f t="shared" si="1"/>
        <v>ia.assorted_string like '%103702-00148-12-2024%' or</v>
      </c>
    </row>
    <row r="81" spans="1:10" x14ac:dyDescent="0.25">
      <c r="A81" s="12" t="s">
        <v>12082</v>
      </c>
      <c r="B81" t="s">
        <v>12249</v>
      </c>
      <c r="H81">
        <v>103702</v>
      </c>
      <c r="I81" t="s">
        <v>12593</v>
      </c>
      <c r="J81" t="str">
        <f t="shared" si="1"/>
        <v>ia.assorted_string like '%103702-00149-12-2024%' or</v>
      </c>
    </row>
    <row r="82" spans="1:10" x14ac:dyDescent="0.25">
      <c r="A82" s="9" t="s">
        <v>12083</v>
      </c>
      <c r="B82" t="s">
        <v>12249</v>
      </c>
      <c r="H82">
        <v>103702</v>
      </c>
      <c r="I82" t="s">
        <v>12334</v>
      </c>
      <c r="J82" t="str">
        <f t="shared" si="1"/>
        <v>ia.assorted_string like '%103702-00151-12-2024%' or</v>
      </c>
    </row>
    <row r="83" spans="1:10" x14ac:dyDescent="0.25">
      <c r="A83" s="12" t="s">
        <v>12084</v>
      </c>
      <c r="B83" t="s">
        <v>12249</v>
      </c>
      <c r="H83">
        <v>103702</v>
      </c>
      <c r="I83" t="s">
        <v>12335</v>
      </c>
      <c r="J83" t="str">
        <f t="shared" si="1"/>
        <v>ia.assorted_string like '%103702-00152-12-2024%' or</v>
      </c>
    </row>
    <row r="84" spans="1:10" x14ac:dyDescent="0.25">
      <c r="A84" s="9" t="s">
        <v>12085</v>
      </c>
      <c r="B84" t="s">
        <v>12249</v>
      </c>
      <c r="H84">
        <v>103702</v>
      </c>
      <c r="I84" t="s">
        <v>12336</v>
      </c>
      <c r="J84" t="str">
        <f t="shared" si="1"/>
        <v>ia.assorted_string like '%103702-00153-12-2024%' or</v>
      </c>
    </row>
    <row r="85" spans="1:10" x14ac:dyDescent="0.25">
      <c r="A85" s="12" t="s">
        <v>12086</v>
      </c>
      <c r="B85" t="s">
        <v>12249</v>
      </c>
      <c r="H85">
        <v>103702</v>
      </c>
      <c r="I85" t="s">
        <v>12590</v>
      </c>
      <c r="J85" t="str">
        <f t="shared" si="1"/>
        <v>ia.assorted_string like '%103702-00154-12-2024%' or</v>
      </c>
    </row>
    <row r="86" spans="1:10" x14ac:dyDescent="0.25">
      <c r="A86" s="9" t="s">
        <v>12087</v>
      </c>
      <c r="B86" t="s">
        <v>12249</v>
      </c>
      <c r="H86">
        <v>103702</v>
      </c>
      <c r="I86" t="s">
        <v>12337</v>
      </c>
      <c r="J86" t="str">
        <f t="shared" si="1"/>
        <v>ia.assorted_string like '%103702-00155-12-2024%' or</v>
      </c>
    </row>
    <row r="87" spans="1:10" x14ac:dyDescent="0.25">
      <c r="A87" s="12" t="s">
        <v>12088</v>
      </c>
      <c r="B87" t="s">
        <v>12249</v>
      </c>
      <c r="H87">
        <v>103702</v>
      </c>
      <c r="I87" t="s">
        <v>12338</v>
      </c>
      <c r="J87" t="str">
        <f t="shared" si="1"/>
        <v>ia.assorted_string like '%103702-00156-12-2024%' or</v>
      </c>
    </row>
    <row r="88" spans="1:10" x14ac:dyDescent="0.25">
      <c r="A88" s="9" t="s">
        <v>12089</v>
      </c>
      <c r="B88" t="s">
        <v>12249</v>
      </c>
      <c r="H88">
        <v>103702</v>
      </c>
      <c r="I88" t="s">
        <v>12589</v>
      </c>
      <c r="J88" t="str">
        <f t="shared" si="1"/>
        <v>ia.assorted_string like '%103702-00157-12-2024%' or</v>
      </c>
    </row>
    <row r="89" spans="1:10" x14ac:dyDescent="0.25">
      <c r="A89" s="12" t="s">
        <v>12090</v>
      </c>
      <c r="B89" t="s">
        <v>12249</v>
      </c>
      <c r="H89">
        <v>103702</v>
      </c>
      <c r="I89" t="s">
        <v>12339</v>
      </c>
      <c r="J89" t="str">
        <f t="shared" si="1"/>
        <v>ia.assorted_string like '%103702-00158-12-2024%' or</v>
      </c>
    </row>
    <row r="90" spans="1:10" x14ac:dyDescent="0.25">
      <c r="A90" s="9" t="s">
        <v>12091</v>
      </c>
      <c r="B90" t="s">
        <v>12249</v>
      </c>
      <c r="H90">
        <v>103702</v>
      </c>
      <c r="I90" t="s">
        <v>12340</v>
      </c>
      <c r="J90" t="str">
        <f t="shared" si="1"/>
        <v>ia.assorted_string like '%103702-00159-12-2024%' or</v>
      </c>
    </row>
    <row r="91" spans="1:10" x14ac:dyDescent="0.25">
      <c r="A91" s="12" t="s">
        <v>12092</v>
      </c>
      <c r="B91" t="s">
        <v>12249</v>
      </c>
      <c r="H91">
        <v>103702</v>
      </c>
      <c r="I91" t="s">
        <v>12343</v>
      </c>
      <c r="J91" t="str">
        <f t="shared" si="1"/>
        <v>ia.assorted_string like '%103702-00162-12-2024%' or</v>
      </c>
    </row>
    <row r="92" spans="1:10" x14ac:dyDescent="0.25">
      <c r="A92" s="9" t="s">
        <v>12093</v>
      </c>
      <c r="B92" t="s">
        <v>12249</v>
      </c>
      <c r="H92">
        <v>103702</v>
      </c>
      <c r="I92" t="s">
        <v>13301</v>
      </c>
      <c r="J92" t="str">
        <f t="shared" si="1"/>
        <v>ia.assorted_string like '%103702-00163-12-2024%' or</v>
      </c>
    </row>
    <row r="93" spans="1:10" x14ac:dyDescent="0.25">
      <c r="A93" s="12" t="s">
        <v>12094</v>
      </c>
      <c r="B93" t="s">
        <v>12249</v>
      </c>
      <c r="H93">
        <v>103702</v>
      </c>
      <c r="I93" t="s">
        <v>12344</v>
      </c>
      <c r="J93" t="str">
        <f t="shared" si="1"/>
        <v>ia.assorted_string like '%103702-00165-12-2024%' or</v>
      </c>
    </row>
    <row r="94" spans="1:10" x14ac:dyDescent="0.25">
      <c r="A94" s="9" t="s">
        <v>12095</v>
      </c>
      <c r="B94" t="s">
        <v>12249</v>
      </c>
      <c r="H94">
        <v>103702</v>
      </c>
      <c r="I94" t="s">
        <v>12585</v>
      </c>
      <c r="J94" t="str">
        <f t="shared" si="1"/>
        <v>ia.assorted_string like '%103702-00169-12-2024%' or</v>
      </c>
    </row>
    <row r="95" spans="1:10" x14ac:dyDescent="0.25">
      <c r="A95" s="12" t="s">
        <v>12096</v>
      </c>
      <c r="B95" t="s">
        <v>12249</v>
      </c>
      <c r="H95">
        <v>103702</v>
      </c>
      <c r="I95" t="s">
        <v>12347</v>
      </c>
      <c r="J95" t="str">
        <f t="shared" si="1"/>
        <v>ia.assorted_string like '%103702-00170-12-2024%' or</v>
      </c>
    </row>
    <row r="96" spans="1:10" x14ac:dyDescent="0.25">
      <c r="A96" s="9" t="s">
        <v>12097</v>
      </c>
      <c r="B96" t="s">
        <v>12249</v>
      </c>
      <c r="H96">
        <v>103702</v>
      </c>
      <c r="I96" t="s">
        <v>12348</v>
      </c>
      <c r="J96" t="str">
        <f t="shared" si="1"/>
        <v>ia.assorted_string like '%103702-00171-12-2024%' or</v>
      </c>
    </row>
    <row r="97" spans="1:10" x14ac:dyDescent="0.25">
      <c r="A97" s="12" t="s">
        <v>12098</v>
      </c>
      <c r="B97" t="s">
        <v>12249</v>
      </c>
      <c r="H97">
        <v>103702</v>
      </c>
      <c r="I97" t="s">
        <v>12349</v>
      </c>
      <c r="J97" t="str">
        <f t="shared" si="1"/>
        <v>ia.assorted_string like '%103702-00172-12-2024%' or</v>
      </c>
    </row>
    <row r="98" spans="1:10" x14ac:dyDescent="0.25">
      <c r="A98" s="9" t="s">
        <v>12099</v>
      </c>
      <c r="B98" t="s">
        <v>12249</v>
      </c>
      <c r="H98">
        <v>103702</v>
      </c>
      <c r="I98" t="s">
        <v>12584</v>
      </c>
      <c r="J98" t="str">
        <f t="shared" si="1"/>
        <v>ia.assorted_string like '%103702-00173-12-2024%' or</v>
      </c>
    </row>
    <row r="99" spans="1:10" x14ac:dyDescent="0.25">
      <c r="A99" s="12" t="s">
        <v>12100</v>
      </c>
      <c r="B99" t="s">
        <v>12249</v>
      </c>
      <c r="H99">
        <v>103702</v>
      </c>
      <c r="I99" t="s">
        <v>12547</v>
      </c>
      <c r="J99" t="str">
        <f t="shared" si="1"/>
        <v>ia.assorted_string like '%103702-00174-12-2024%' or</v>
      </c>
    </row>
    <row r="100" spans="1:10" x14ac:dyDescent="0.25">
      <c r="A100" s="9" t="s">
        <v>12101</v>
      </c>
      <c r="B100" t="s">
        <v>12249</v>
      </c>
      <c r="H100">
        <v>103702</v>
      </c>
      <c r="I100" t="s">
        <v>12581</v>
      </c>
      <c r="J100" t="str">
        <f t="shared" si="1"/>
        <v>ia.assorted_string like '%103702-00179-12-2024%' or</v>
      </c>
    </row>
    <row r="101" spans="1:10" x14ac:dyDescent="0.25">
      <c r="A101" s="12" t="s">
        <v>12102</v>
      </c>
      <c r="B101" t="s">
        <v>12249</v>
      </c>
      <c r="H101">
        <v>103702</v>
      </c>
      <c r="I101" t="s">
        <v>13302</v>
      </c>
      <c r="J101" t="str">
        <f t="shared" si="1"/>
        <v>ia.assorted_string like '%103702-00180-12-2024%' or</v>
      </c>
    </row>
    <row r="102" spans="1:10" x14ac:dyDescent="0.25">
      <c r="A102" s="9" t="s">
        <v>12103</v>
      </c>
      <c r="B102" t="s">
        <v>12249</v>
      </c>
      <c r="H102">
        <v>103702</v>
      </c>
      <c r="I102" t="s">
        <v>12353</v>
      </c>
      <c r="J102" t="str">
        <f t="shared" si="1"/>
        <v>ia.assorted_string like '%103702-00181-12-2024%' or</v>
      </c>
    </row>
    <row r="103" spans="1:10" x14ac:dyDescent="0.25">
      <c r="A103" s="12" t="s">
        <v>12104</v>
      </c>
      <c r="B103" t="s">
        <v>12249</v>
      </c>
      <c r="H103">
        <v>103702</v>
      </c>
      <c r="I103" t="s">
        <v>12580</v>
      </c>
      <c r="J103" t="str">
        <f t="shared" si="1"/>
        <v>ia.assorted_string like '%103702-00182-12-2024%' or</v>
      </c>
    </row>
    <row r="104" spans="1:10" x14ac:dyDescent="0.25">
      <c r="A104" s="9" t="s">
        <v>12105</v>
      </c>
      <c r="B104" t="s">
        <v>12249</v>
      </c>
      <c r="H104">
        <v>103702</v>
      </c>
      <c r="I104" t="s">
        <v>12551</v>
      </c>
      <c r="J104" t="str">
        <f t="shared" si="1"/>
        <v>ia.assorted_string like '%103702-00183-12-2024%' or</v>
      </c>
    </row>
    <row r="105" spans="1:10" x14ac:dyDescent="0.25">
      <c r="A105" s="12" t="s">
        <v>12106</v>
      </c>
      <c r="B105" t="s">
        <v>12249</v>
      </c>
      <c r="H105">
        <v>103702</v>
      </c>
      <c r="I105" t="s">
        <v>12579</v>
      </c>
      <c r="J105" t="str">
        <f t="shared" si="1"/>
        <v>ia.assorted_string like '%103702-00184-12-2024%' or</v>
      </c>
    </row>
    <row r="106" spans="1:10" x14ac:dyDescent="0.25">
      <c r="A106" s="17" t="s">
        <v>12217</v>
      </c>
      <c r="B106" t="s">
        <v>12249</v>
      </c>
      <c r="H106">
        <v>103702</v>
      </c>
      <c r="I106" t="s">
        <v>12354</v>
      </c>
      <c r="J106" t="str">
        <f t="shared" si="1"/>
        <v>ia.assorted_string like '%103702-00186-12-2024%' or</v>
      </c>
    </row>
    <row r="107" spans="1:10" x14ac:dyDescent="0.25">
      <c r="A107" s="12" t="s">
        <v>12107</v>
      </c>
      <c r="B107" t="s">
        <v>12249</v>
      </c>
      <c r="H107">
        <v>103702</v>
      </c>
      <c r="I107" t="s">
        <v>12577</v>
      </c>
      <c r="J107" t="str">
        <f t="shared" si="1"/>
        <v>ia.assorted_string like '%103702-00187-12-2024%' or</v>
      </c>
    </row>
    <row r="108" spans="1:10" x14ac:dyDescent="0.25">
      <c r="A108" s="9" t="s">
        <v>12108</v>
      </c>
      <c r="B108" t="s">
        <v>12249</v>
      </c>
      <c r="H108">
        <v>103702</v>
      </c>
      <c r="I108" t="s">
        <v>12576</v>
      </c>
      <c r="J108" t="str">
        <f t="shared" si="1"/>
        <v>ia.assorted_string like '%103702-00188-12-2024%' or</v>
      </c>
    </row>
    <row r="109" spans="1:10" x14ac:dyDescent="0.25">
      <c r="A109" s="12" t="s">
        <v>12109</v>
      </c>
      <c r="B109" t="s">
        <v>12249</v>
      </c>
      <c r="H109">
        <v>103702</v>
      </c>
      <c r="I109" t="s">
        <v>12575</v>
      </c>
      <c r="J109" t="str">
        <f t="shared" si="1"/>
        <v>ia.assorted_string like '%103702-00189-12-2024%' or</v>
      </c>
    </row>
    <row r="110" spans="1:10" x14ac:dyDescent="0.25">
      <c r="A110" s="9" t="s">
        <v>12110</v>
      </c>
      <c r="B110" t="s">
        <v>12249</v>
      </c>
      <c r="H110">
        <v>103702</v>
      </c>
      <c r="I110" t="s">
        <v>12574</v>
      </c>
      <c r="J110" t="str">
        <f t="shared" si="1"/>
        <v>ia.assorted_string like '%103702-00190-12-2024%' or</v>
      </c>
    </row>
    <row r="111" spans="1:10" x14ac:dyDescent="0.25">
      <c r="A111" s="12" t="s">
        <v>12111</v>
      </c>
      <c r="B111" t="s">
        <v>12249</v>
      </c>
      <c r="H111">
        <v>103702</v>
      </c>
      <c r="I111" t="s">
        <v>13303</v>
      </c>
      <c r="J111" t="str">
        <f t="shared" si="1"/>
        <v>ia.assorted_string like '%103702-00192-12-2024%' or</v>
      </c>
    </row>
    <row r="112" spans="1:10" x14ac:dyDescent="0.25">
      <c r="A112" s="9" t="s">
        <v>12112</v>
      </c>
      <c r="B112" t="s">
        <v>12249</v>
      </c>
      <c r="H112">
        <v>103702</v>
      </c>
      <c r="I112" t="s">
        <v>12573</v>
      </c>
      <c r="J112" t="str">
        <f t="shared" si="1"/>
        <v>ia.assorted_string like '%103702-00197-12-2024%' or</v>
      </c>
    </row>
    <row r="113" spans="1:10" x14ac:dyDescent="0.25">
      <c r="A113" s="12" t="s">
        <v>12113</v>
      </c>
      <c r="B113" t="s">
        <v>12249</v>
      </c>
      <c r="H113">
        <v>103702</v>
      </c>
      <c r="I113" t="s">
        <v>12572</v>
      </c>
      <c r="J113" t="str">
        <f t="shared" si="1"/>
        <v>ia.assorted_string like '%103702-00198-12-2024%' or</v>
      </c>
    </row>
    <row r="114" spans="1:10" x14ac:dyDescent="0.25">
      <c r="A114" s="9" t="s">
        <v>12114</v>
      </c>
      <c r="B114" t="s">
        <v>12249</v>
      </c>
      <c r="H114">
        <v>103702</v>
      </c>
      <c r="I114" t="s">
        <v>12571</v>
      </c>
      <c r="J114" t="str">
        <f t="shared" si="1"/>
        <v>ia.assorted_string like '%103702-00200-12-2024%' or</v>
      </c>
    </row>
    <row r="115" spans="1:10" x14ac:dyDescent="0.25">
      <c r="A115" s="12" t="s">
        <v>12115</v>
      </c>
      <c r="B115" t="s">
        <v>12249</v>
      </c>
      <c r="H115">
        <v>103702</v>
      </c>
      <c r="I115" t="s">
        <v>12361</v>
      </c>
      <c r="J115" t="str">
        <f t="shared" si="1"/>
        <v>ia.assorted_string like '%103702-00207-12-2024%' or</v>
      </c>
    </row>
    <row r="116" spans="1:10" x14ac:dyDescent="0.25">
      <c r="A116" s="9" t="s">
        <v>12116</v>
      </c>
      <c r="B116" t="s">
        <v>12249</v>
      </c>
      <c r="H116">
        <v>103702</v>
      </c>
      <c r="I116" t="s">
        <v>12363</v>
      </c>
      <c r="J116" t="str">
        <f t="shared" si="1"/>
        <v>ia.assorted_string like '%103702-00210-12-2024%' or</v>
      </c>
    </row>
    <row r="117" spans="1:10" x14ac:dyDescent="0.25">
      <c r="A117" s="12" t="s">
        <v>12117</v>
      </c>
      <c r="B117" t="s">
        <v>12249</v>
      </c>
      <c r="H117">
        <v>103702</v>
      </c>
      <c r="I117" t="s">
        <v>13304</v>
      </c>
      <c r="J117" t="str">
        <f t="shared" si="1"/>
        <v>ia.assorted_string like '%103702-00213-12-2024%' or</v>
      </c>
    </row>
    <row r="118" spans="1:10" x14ac:dyDescent="0.25">
      <c r="A118" s="9" t="s">
        <v>12118</v>
      </c>
      <c r="B118" t="s">
        <v>12249</v>
      </c>
      <c r="H118">
        <v>103702</v>
      </c>
      <c r="I118" t="s">
        <v>12564</v>
      </c>
      <c r="J118" t="str">
        <f t="shared" si="1"/>
        <v>ia.assorted_string like '%103702-00215-12-2024%' or</v>
      </c>
    </row>
    <row r="119" spans="1:10" x14ac:dyDescent="0.25">
      <c r="A119" s="12" t="s">
        <v>12119</v>
      </c>
      <c r="B119" t="s">
        <v>12249</v>
      </c>
      <c r="H119">
        <v>103702</v>
      </c>
      <c r="I119" t="s">
        <v>12367</v>
      </c>
      <c r="J119" t="str">
        <f t="shared" si="1"/>
        <v>ia.assorted_string like '%103702-00217-12-2024%' or</v>
      </c>
    </row>
    <row r="120" spans="1:10" x14ac:dyDescent="0.25">
      <c r="A120" s="9" t="s">
        <v>12120</v>
      </c>
      <c r="B120" t="s">
        <v>12249</v>
      </c>
      <c r="H120">
        <v>103702</v>
      </c>
      <c r="I120" t="s">
        <v>12563</v>
      </c>
      <c r="J120" t="str">
        <f t="shared" si="1"/>
        <v>ia.assorted_string like '%103702-00218-12-2024%' or</v>
      </c>
    </row>
    <row r="121" spans="1:10" x14ac:dyDescent="0.25">
      <c r="A121" s="12" t="s">
        <v>12121</v>
      </c>
      <c r="B121" t="s">
        <v>12249</v>
      </c>
      <c r="H121">
        <v>103702</v>
      </c>
      <c r="I121" t="s">
        <v>12369</v>
      </c>
      <c r="J121" t="str">
        <f t="shared" si="1"/>
        <v>ia.assorted_string like '%103702-00220-12-2024%' or</v>
      </c>
    </row>
    <row r="122" spans="1:10" x14ac:dyDescent="0.25">
      <c r="A122" s="9" t="s">
        <v>12122</v>
      </c>
      <c r="B122" t="s">
        <v>12249</v>
      </c>
      <c r="H122">
        <v>103702</v>
      </c>
      <c r="I122" t="s">
        <v>12370</v>
      </c>
      <c r="J122" t="str">
        <f t="shared" si="1"/>
        <v>ia.assorted_string like '%103702-00221-12-2024%' or</v>
      </c>
    </row>
    <row r="123" spans="1:10" x14ac:dyDescent="0.25">
      <c r="A123" s="12" t="s">
        <v>12123</v>
      </c>
      <c r="B123" t="s">
        <v>12249</v>
      </c>
      <c r="H123">
        <v>103702</v>
      </c>
      <c r="I123" t="s">
        <v>12371</v>
      </c>
      <c r="J123" t="str">
        <f t="shared" si="1"/>
        <v>ia.assorted_string like '%103702-00222-12-2024%' or</v>
      </c>
    </row>
    <row r="124" spans="1:10" x14ac:dyDescent="0.25">
      <c r="A124" s="9" t="s">
        <v>12124</v>
      </c>
      <c r="B124" t="s">
        <v>12249</v>
      </c>
      <c r="H124">
        <v>103702</v>
      </c>
      <c r="I124" t="s">
        <v>12559</v>
      </c>
      <c r="J124" t="str">
        <f t="shared" si="1"/>
        <v>ia.assorted_string like '%103702-00226-12-2024%' or</v>
      </c>
    </row>
    <row r="125" spans="1:10" x14ac:dyDescent="0.25">
      <c r="A125" s="12" t="s">
        <v>12125</v>
      </c>
      <c r="B125" t="s">
        <v>12249</v>
      </c>
      <c r="H125">
        <v>103702</v>
      </c>
      <c r="I125" t="s">
        <v>12372</v>
      </c>
      <c r="J125" t="str">
        <f t="shared" si="1"/>
        <v>ia.assorted_string like '%103702-00227-12-2024%' or</v>
      </c>
    </row>
    <row r="126" spans="1:10" x14ac:dyDescent="0.25">
      <c r="A126" s="9" t="s">
        <v>12126</v>
      </c>
      <c r="B126" t="s">
        <v>12249</v>
      </c>
      <c r="H126">
        <v>103702</v>
      </c>
      <c r="I126" t="s">
        <v>12558</v>
      </c>
      <c r="J126" t="str">
        <f t="shared" si="1"/>
        <v>ia.assorted_string like '%103702-00228-12-2024%' or</v>
      </c>
    </row>
    <row r="127" spans="1:10" x14ac:dyDescent="0.25">
      <c r="A127" s="12" t="s">
        <v>12127</v>
      </c>
      <c r="B127" t="s">
        <v>12249</v>
      </c>
      <c r="H127">
        <v>103702</v>
      </c>
      <c r="I127" t="s">
        <v>12373</v>
      </c>
      <c r="J127" t="str">
        <f t="shared" si="1"/>
        <v>ia.assorted_string like '%103702-00229-12-2024%' or</v>
      </c>
    </row>
    <row r="128" spans="1:10" x14ac:dyDescent="0.25">
      <c r="A128" s="9" t="s">
        <v>12128</v>
      </c>
      <c r="B128" t="s">
        <v>12249</v>
      </c>
      <c r="H128">
        <v>103702</v>
      </c>
      <c r="I128" t="s">
        <v>12557</v>
      </c>
      <c r="J128" t="str">
        <f t="shared" si="1"/>
        <v>ia.assorted_string like '%103702-00230-12-2024%' or</v>
      </c>
    </row>
    <row r="129" spans="1:10" x14ac:dyDescent="0.25">
      <c r="A129" s="12" t="s">
        <v>12129</v>
      </c>
      <c r="B129" t="s">
        <v>12249</v>
      </c>
      <c r="H129">
        <v>103702</v>
      </c>
      <c r="I129" t="s">
        <v>12556</v>
      </c>
      <c r="J129" t="str">
        <f t="shared" si="1"/>
        <v>ia.assorted_string like '%103702-00231-12-2024%' or</v>
      </c>
    </row>
    <row r="130" spans="1:10" x14ac:dyDescent="0.25">
      <c r="A130" s="9" t="s">
        <v>12130</v>
      </c>
      <c r="B130" t="s">
        <v>12249</v>
      </c>
      <c r="H130">
        <v>103702</v>
      </c>
      <c r="I130" t="s">
        <v>12555</v>
      </c>
      <c r="J130" t="str">
        <f t="shared" si="1"/>
        <v>ia.assorted_string like '%103702-00232-12-2024%' or</v>
      </c>
    </row>
    <row r="131" spans="1:10" x14ac:dyDescent="0.25">
      <c r="A131" s="12" t="s">
        <v>12131</v>
      </c>
      <c r="B131" t="s">
        <v>12249</v>
      </c>
      <c r="H131">
        <v>103702</v>
      </c>
      <c r="I131" t="s">
        <v>12550</v>
      </c>
      <c r="J131" t="str">
        <f t="shared" ref="J131:J194" si="2">"ia.assorted_string like '%"&amp;H131&amp;"-"&amp;I131&amp;B131&amp;"%' or"</f>
        <v>ia.assorted_string like '%103702-00235-12-2024%' or</v>
      </c>
    </row>
    <row r="132" spans="1:10" x14ac:dyDescent="0.25">
      <c r="A132" s="9" t="s">
        <v>12132</v>
      </c>
      <c r="B132" t="s">
        <v>12249</v>
      </c>
      <c r="H132">
        <v>103702</v>
      </c>
      <c r="I132" t="s">
        <v>12549</v>
      </c>
      <c r="J132" t="str">
        <f t="shared" si="2"/>
        <v>ia.assorted_string like '%103702-00236-12-2024%' or</v>
      </c>
    </row>
    <row r="133" spans="1:10" x14ac:dyDescent="0.25">
      <c r="A133" s="12" t="s">
        <v>12133</v>
      </c>
      <c r="B133" t="s">
        <v>12249</v>
      </c>
      <c r="H133">
        <v>103702</v>
      </c>
      <c r="I133" t="s">
        <v>12374</v>
      </c>
      <c r="J133" t="str">
        <f t="shared" si="2"/>
        <v>ia.assorted_string like '%103702-00240-12-2024%' or</v>
      </c>
    </row>
    <row r="134" spans="1:10" x14ac:dyDescent="0.25">
      <c r="A134" s="9" t="s">
        <v>12134</v>
      </c>
      <c r="B134" t="s">
        <v>12249</v>
      </c>
      <c r="H134">
        <v>103702</v>
      </c>
      <c r="I134" t="s">
        <v>12535</v>
      </c>
      <c r="J134" t="str">
        <f t="shared" si="2"/>
        <v>ia.assorted_string like '%103702-00243-12-2024%' or</v>
      </c>
    </row>
    <row r="135" spans="1:10" x14ac:dyDescent="0.25">
      <c r="A135" s="12" t="s">
        <v>12135</v>
      </c>
      <c r="B135" t="s">
        <v>12249</v>
      </c>
      <c r="H135">
        <v>103702</v>
      </c>
      <c r="I135" t="s">
        <v>12376</v>
      </c>
      <c r="J135" t="str">
        <f t="shared" si="2"/>
        <v>ia.assorted_string like '%103702-00246-12-2024%' or</v>
      </c>
    </row>
    <row r="136" spans="1:10" x14ac:dyDescent="0.25">
      <c r="A136" s="9" t="s">
        <v>12136</v>
      </c>
      <c r="B136" t="s">
        <v>12249</v>
      </c>
      <c r="H136">
        <v>103702</v>
      </c>
      <c r="I136" t="s">
        <v>12377</v>
      </c>
      <c r="J136" t="str">
        <f t="shared" si="2"/>
        <v>ia.assorted_string like '%103702-00247-12-2024%' or</v>
      </c>
    </row>
    <row r="137" spans="1:10" x14ac:dyDescent="0.25">
      <c r="A137" s="12" t="s">
        <v>12137</v>
      </c>
      <c r="B137" t="s">
        <v>12249</v>
      </c>
      <c r="H137">
        <v>103702</v>
      </c>
      <c r="I137" t="s">
        <v>12532</v>
      </c>
      <c r="J137" t="str">
        <f t="shared" si="2"/>
        <v>ia.assorted_string like '%103702-00249-12-2024%' or</v>
      </c>
    </row>
    <row r="138" spans="1:10" x14ac:dyDescent="0.25">
      <c r="A138" s="9" t="s">
        <v>12138</v>
      </c>
      <c r="B138" t="s">
        <v>12249</v>
      </c>
      <c r="H138">
        <v>103702</v>
      </c>
      <c r="I138" t="s">
        <v>12379</v>
      </c>
      <c r="J138" t="str">
        <f t="shared" si="2"/>
        <v>ia.assorted_string like '%103702-00250-12-2024%' or</v>
      </c>
    </row>
    <row r="139" spans="1:10" x14ac:dyDescent="0.25">
      <c r="A139" s="12" t="s">
        <v>12139</v>
      </c>
      <c r="B139" t="s">
        <v>12249</v>
      </c>
      <c r="H139">
        <v>103702</v>
      </c>
      <c r="I139" t="s">
        <v>12380</v>
      </c>
      <c r="J139" t="str">
        <f t="shared" si="2"/>
        <v>ia.assorted_string like '%103702-00251-12-2024%' or</v>
      </c>
    </row>
    <row r="140" spans="1:10" x14ac:dyDescent="0.25">
      <c r="A140" s="9" t="s">
        <v>12140</v>
      </c>
      <c r="B140" t="s">
        <v>12249</v>
      </c>
      <c r="H140">
        <v>103702</v>
      </c>
      <c r="I140" t="s">
        <v>12531</v>
      </c>
      <c r="J140" t="str">
        <f t="shared" si="2"/>
        <v>ia.assorted_string like '%103702-00252-12-2024%' or</v>
      </c>
    </row>
    <row r="141" spans="1:10" x14ac:dyDescent="0.25">
      <c r="A141" s="12" t="s">
        <v>12141</v>
      </c>
      <c r="B141" t="s">
        <v>12249</v>
      </c>
      <c r="H141">
        <v>103702</v>
      </c>
      <c r="I141" t="s">
        <v>12529</v>
      </c>
      <c r="J141" t="str">
        <f t="shared" si="2"/>
        <v>ia.assorted_string like '%103702-00254-12-2024%' or</v>
      </c>
    </row>
    <row r="142" spans="1:10" x14ac:dyDescent="0.25">
      <c r="A142" s="9" t="s">
        <v>12142</v>
      </c>
      <c r="B142" t="s">
        <v>12249</v>
      </c>
      <c r="H142">
        <v>103702</v>
      </c>
      <c r="I142" t="s">
        <v>12528</v>
      </c>
      <c r="J142" t="str">
        <f t="shared" si="2"/>
        <v>ia.assorted_string like '%103702-00255-12-2024%' or</v>
      </c>
    </row>
    <row r="143" spans="1:10" x14ac:dyDescent="0.25">
      <c r="A143" s="12" t="s">
        <v>12143</v>
      </c>
      <c r="B143" t="s">
        <v>12249</v>
      </c>
      <c r="H143">
        <v>103702</v>
      </c>
      <c r="I143" t="s">
        <v>12527</v>
      </c>
      <c r="J143" t="str">
        <f t="shared" si="2"/>
        <v>ia.assorted_string like '%103702-00256-12-2024%' or</v>
      </c>
    </row>
    <row r="144" spans="1:10" x14ac:dyDescent="0.25">
      <c r="A144" s="9" t="s">
        <v>12144</v>
      </c>
      <c r="B144" t="s">
        <v>12249</v>
      </c>
      <c r="H144">
        <v>103702</v>
      </c>
      <c r="I144" t="s">
        <v>12526</v>
      </c>
      <c r="J144" t="str">
        <f t="shared" si="2"/>
        <v>ia.assorted_string like '%103702-00257-12-2024%' or</v>
      </c>
    </row>
    <row r="145" spans="1:10" x14ac:dyDescent="0.25">
      <c r="A145" s="12" t="s">
        <v>12145</v>
      </c>
      <c r="B145" t="s">
        <v>12249</v>
      </c>
      <c r="H145">
        <v>103702</v>
      </c>
      <c r="I145" t="s">
        <v>12381</v>
      </c>
      <c r="J145" t="str">
        <f t="shared" si="2"/>
        <v>ia.assorted_string like '%103702-00258-12-2024%' or</v>
      </c>
    </row>
    <row r="146" spans="1:10" x14ac:dyDescent="0.25">
      <c r="A146" s="9" t="s">
        <v>12146</v>
      </c>
      <c r="B146" t="s">
        <v>12249</v>
      </c>
      <c r="H146">
        <v>103702</v>
      </c>
      <c r="I146" t="s">
        <v>12382</v>
      </c>
      <c r="J146" t="str">
        <f t="shared" si="2"/>
        <v>ia.assorted_string like '%103702-00259-12-2024%' or</v>
      </c>
    </row>
    <row r="147" spans="1:10" x14ac:dyDescent="0.25">
      <c r="A147" s="12" t="s">
        <v>12147</v>
      </c>
      <c r="B147" t="s">
        <v>12249</v>
      </c>
      <c r="H147">
        <v>103702</v>
      </c>
      <c r="I147" t="s">
        <v>12525</v>
      </c>
      <c r="J147" t="str">
        <f t="shared" si="2"/>
        <v>ia.assorted_string like '%103702-00261-12-2024%' or</v>
      </c>
    </row>
    <row r="148" spans="1:10" x14ac:dyDescent="0.25">
      <c r="A148" s="9" t="s">
        <v>12148</v>
      </c>
      <c r="B148" t="s">
        <v>12249</v>
      </c>
      <c r="H148">
        <v>103702</v>
      </c>
      <c r="I148" t="s">
        <v>12524</v>
      </c>
      <c r="J148" t="str">
        <f t="shared" si="2"/>
        <v>ia.assorted_string like '%103702-00262-12-2024%' or</v>
      </c>
    </row>
    <row r="149" spans="1:10" x14ac:dyDescent="0.25">
      <c r="A149" s="12" t="s">
        <v>12149</v>
      </c>
      <c r="B149" t="s">
        <v>12249</v>
      </c>
      <c r="H149">
        <v>103702</v>
      </c>
      <c r="I149" t="s">
        <v>12523</v>
      </c>
      <c r="J149" t="str">
        <f t="shared" si="2"/>
        <v>ia.assorted_string like '%103702-00264-12-2024%' or</v>
      </c>
    </row>
    <row r="150" spans="1:10" x14ac:dyDescent="0.25">
      <c r="A150" s="9" t="s">
        <v>12150</v>
      </c>
      <c r="B150" t="s">
        <v>12249</v>
      </c>
      <c r="H150">
        <v>103702</v>
      </c>
      <c r="I150" t="s">
        <v>12522</v>
      </c>
      <c r="J150" t="str">
        <f t="shared" si="2"/>
        <v>ia.assorted_string like '%103702-00266-12-2024%' or</v>
      </c>
    </row>
    <row r="151" spans="1:10" x14ac:dyDescent="0.25">
      <c r="A151" s="12" t="s">
        <v>12151</v>
      </c>
      <c r="B151" t="s">
        <v>12249</v>
      </c>
      <c r="H151">
        <v>103702</v>
      </c>
      <c r="I151" t="s">
        <v>12521</v>
      </c>
      <c r="J151" t="str">
        <f t="shared" si="2"/>
        <v>ia.assorted_string like '%103702-00267-12-2024%' or</v>
      </c>
    </row>
    <row r="152" spans="1:10" x14ac:dyDescent="0.25">
      <c r="A152" s="9" t="s">
        <v>12152</v>
      </c>
      <c r="B152" t="s">
        <v>12249</v>
      </c>
      <c r="H152">
        <v>103702</v>
      </c>
      <c r="I152" t="s">
        <v>12520</v>
      </c>
      <c r="J152" t="str">
        <f t="shared" si="2"/>
        <v>ia.assorted_string like '%103702-00269-12-2024%' or</v>
      </c>
    </row>
    <row r="153" spans="1:10" x14ac:dyDescent="0.25">
      <c r="A153" s="12" t="s">
        <v>12153</v>
      </c>
      <c r="B153" t="s">
        <v>12249</v>
      </c>
      <c r="H153">
        <v>103702</v>
      </c>
      <c r="I153" t="s">
        <v>12387</v>
      </c>
      <c r="J153" t="str">
        <f t="shared" si="2"/>
        <v>ia.assorted_string like '%103702-00270-12-2024%' or</v>
      </c>
    </row>
    <row r="154" spans="1:10" x14ac:dyDescent="0.25">
      <c r="A154" s="9" t="s">
        <v>12154</v>
      </c>
      <c r="B154" t="s">
        <v>12249</v>
      </c>
      <c r="H154">
        <v>103702</v>
      </c>
      <c r="I154" t="s">
        <v>12518</v>
      </c>
      <c r="J154" t="str">
        <f t="shared" si="2"/>
        <v>ia.assorted_string like '%103702-00272-12-2024%' or</v>
      </c>
    </row>
    <row r="155" spans="1:10" x14ac:dyDescent="0.25">
      <c r="A155" s="12" t="s">
        <v>12155</v>
      </c>
      <c r="B155" t="s">
        <v>12249</v>
      </c>
      <c r="H155">
        <v>103702</v>
      </c>
      <c r="I155" t="s">
        <v>12388</v>
      </c>
      <c r="J155" t="str">
        <f t="shared" si="2"/>
        <v>ia.assorted_string like '%103702-00273-12-2024%' or</v>
      </c>
    </row>
    <row r="156" spans="1:10" x14ac:dyDescent="0.25">
      <c r="A156" s="9" t="s">
        <v>12156</v>
      </c>
      <c r="B156" t="s">
        <v>12249</v>
      </c>
      <c r="H156">
        <v>103702</v>
      </c>
      <c r="I156" t="s">
        <v>12517</v>
      </c>
      <c r="J156" t="str">
        <f t="shared" si="2"/>
        <v>ia.assorted_string like '%103702-00274-12-2024%' or</v>
      </c>
    </row>
    <row r="157" spans="1:10" x14ac:dyDescent="0.25">
      <c r="A157" s="12" t="s">
        <v>12157</v>
      </c>
      <c r="B157" t="s">
        <v>12249</v>
      </c>
      <c r="H157">
        <v>103702</v>
      </c>
      <c r="I157" t="s">
        <v>12515</v>
      </c>
      <c r="J157" t="str">
        <f t="shared" si="2"/>
        <v>ia.assorted_string like '%103702-00276-12-2024%' or</v>
      </c>
    </row>
    <row r="158" spans="1:10" x14ac:dyDescent="0.25">
      <c r="A158" s="9" t="s">
        <v>12158</v>
      </c>
      <c r="B158" t="s">
        <v>12249</v>
      </c>
      <c r="H158">
        <v>103702</v>
      </c>
      <c r="I158" t="s">
        <v>12389</v>
      </c>
      <c r="J158" t="str">
        <f t="shared" si="2"/>
        <v>ia.assorted_string like '%103702-00277-12-2024%' or</v>
      </c>
    </row>
    <row r="159" spans="1:10" x14ac:dyDescent="0.25">
      <c r="A159" s="12" t="s">
        <v>12159</v>
      </c>
      <c r="B159" t="s">
        <v>12249</v>
      </c>
      <c r="H159">
        <v>103702</v>
      </c>
      <c r="I159" t="s">
        <v>12390</v>
      </c>
      <c r="J159" t="str">
        <f t="shared" si="2"/>
        <v>ia.assorted_string like '%103702-00278-12-2024%' or</v>
      </c>
    </row>
    <row r="160" spans="1:10" x14ac:dyDescent="0.25">
      <c r="A160" s="9" t="s">
        <v>12160</v>
      </c>
      <c r="B160" t="s">
        <v>12249</v>
      </c>
      <c r="H160">
        <v>103702</v>
      </c>
      <c r="I160" t="s">
        <v>12514</v>
      </c>
      <c r="J160" t="str">
        <f t="shared" si="2"/>
        <v>ia.assorted_string like '%103702-00279-12-2024%' or</v>
      </c>
    </row>
    <row r="161" spans="1:10" x14ac:dyDescent="0.25">
      <c r="A161" s="12" t="s">
        <v>12161</v>
      </c>
      <c r="B161" t="s">
        <v>12249</v>
      </c>
      <c r="H161">
        <v>103702</v>
      </c>
      <c r="I161" t="s">
        <v>12513</v>
      </c>
      <c r="J161" t="str">
        <f t="shared" si="2"/>
        <v>ia.assorted_string like '%103702-00280-12-2024%' or</v>
      </c>
    </row>
    <row r="162" spans="1:10" x14ac:dyDescent="0.25">
      <c r="A162" s="9" t="s">
        <v>12162</v>
      </c>
      <c r="B162" t="s">
        <v>12249</v>
      </c>
      <c r="H162">
        <v>103702</v>
      </c>
      <c r="I162" t="s">
        <v>12512</v>
      </c>
      <c r="J162" t="str">
        <f t="shared" si="2"/>
        <v>ia.assorted_string like '%103702-00281-12-2024%' or</v>
      </c>
    </row>
    <row r="163" spans="1:10" x14ac:dyDescent="0.25">
      <c r="A163" s="12" t="s">
        <v>12163</v>
      </c>
      <c r="B163" t="s">
        <v>12249</v>
      </c>
      <c r="H163">
        <v>103702</v>
      </c>
      <c r="I163" t="s">
        <v>12392</v>
      </c>
      <c r="J163" t="str">
        <f t="shared" si="2"/>
        <v>ia.assorted_string like '%103702-00283-12-2024%' or</v>
      </c>
    </row>
    <row r="164" spans="1:10" x14ac:dyDescent="0.25">
      <c r="A164" s="9" t="s">
        <v>12164</v>
      </c>
      <c r="B164" t="s">
        <v>12249</v>
      </c>
      <c r="H164">
        <v>103702</v>
      </c>
      <c r="I164" t="s">
        <v>12395</v>
      </c>
      <c r="J164" t="str">
        <f t="shared" si="2"/>
        <v>ia.assorted_string like '%103702-00286-12-2024%' or</v>
      </c>
    </row>
    <row r="165" spans="1:10" x14ac:dyDescent="0.25">
      <c r="A165" s="12" t="s">
        <v>12165</v>
      </c>
      <c r="B165" t="s">
        <v>12249</v>
      </c>
      <c r="H165">
        <v>103702</v>
      </c>
      <c r="I165" t="s">
        <v>12510</v>
      </c>
      <c r="J165" t="str">
        <f t="shared" si="2"/>
        <v>ia.assorted_string like '%103702-00289-12-2024%' or</v>
      </c>
    </row>
    <row r="166" spans="1:10" x14ac:dyDescent="0.25">
      <c r="A166" s="9" t="s">
        <v>12166</v>
      </c>
      <c r="B166" t="s">
        <v>12249</v>
      </c>
      <c r="H166">
        <v>103702</v>
      </c>
      <c r="I166" t="s">
        <v>12509</v>
      </c>
      <c r="J166" t="str">
        <f t="shared" si="2"/>
        <v>ia.assorted_string like '%103702-00290-12-2024%' or</v>
      </c>
    </row>
    <row r="167" spans="1:10" x14ac:dyDescent="0.25">
      <c r="A167" s="12" t="s">
        <v>12167</v>
      </c>
      <c r="B167" t="s">
        <v>12249</v>
      </c>
      <c r="H167">
        <v>103702</v>
      </c>
      <c r="I167" t="s">
        <v>12508</v>
      </c>
      <c r="J167" t="str">
        <f t="shared" si="2"/>
        <v>ia.assorted_string like '%103702-00291-12-2024%' or</v>
      </c>
    </row>
    <row r="168" spans="1:10" x14ac:dyDescent="0.25">
      <c r="A168" s="9" t="s">
        <v>12168</v>
      </c>
      <c r="B168" t="s">
        <v>12249</v>
      </c>
      <c r="H168">
        <v>103702</v>
      </c>
      <c r="I168" t="s">
        <v>12506</v>
      </c>
      <c r="J168" t="str">
        <f t="shared" si="2"/>
        <v>ia.assorted_string like '%103702-00294-12-2024%' or</v>
      </c>
    </row>
    <row r="169" spans="1:10" x14ac:dyDescent="0.25">
      <c r="A169" s="12" t="s">
        <v>12169</v>
      </c>
      <c r="B169" t="s">
        <v>12249</v>
      </c>
      <c r="H169">
        <v>103702</v>
      </c>
      <c r="I169" t="s">
        <v>12398</v>
      </c>
      <c r="J169" t="str">
        <f t="shared" si="2"/>
        <v>ia.assorted_string like '%103702-00295-12-2024%' or</v>
      </c>
    </row>
    <row r="170" spans="1:10" x14ac:dyDescent="0.25">
      <c r="A170" s="9" t="s">
        <v>12170</v>
      </c>
      <c r="B170" t="s">
        <v>12249</v>
      </c>
      <c r="H170">
        <v>103702</v>
      </c>
      <c r="I170" t="s">
        <v>12399</v>
      </c>
      <c r="J170" t="str">
        <f t="shared" si="2"/>
        <v>ia.assorted_string like '%103702-00296-12-2024%' or</v>
      </c>
    </row>
    <row r="171" spans="1:10" x14ac:dyDescent="0.25">
      <c r="A171" s="12" t="s">
        <v>12171</v>
      </c>
      <c r="B171" t="s">
        <v>12249</v>
      </c>
      <c r="H171">
        <v>103702</v>
      </c>
      <c r="I171" t="s">
        <v>12505</v>
      </c>
      <c r="J171" t="str">
        <f t="shared" si="2"/>
        <v>ia.assorted_string like '%103702-00297-12-2024%' or</v>
      </c>
    </row>
    <row r="172" spans="1:10" x14ac:dyDescent="0.25">
      <c r="A172" s="9" t="s">
        <v>12172</v>
      </c>
      <c r="B172" t="s">
        <v>12249</v>
      </c>
      <c r="H172">
        <v>103702</v>
      </c>
      <c r="I172" t="s">
        <v>13305</v>
      </c>
      <c r="J172" t="str">
        <f t="shared" si="2"/>
        <v>ia.assorted_string like '%103702-00298-12-2024%' or</v>
      </c>
    </row>
    <row r="173" spans="1:10" x14ac:dyDescent="0.25">
      <c r="A173" s="12" t="s">
        <v>12173</v>
      </c>
      <c r="B173" t="s">
        <v>12249</v>
      </c>
      <c r="H173">
        <v>103702</v>
      </c>
      <c r="I173" t="s">
        <v>12504</v>
      </c>
      <c r="J173" t="str">
        <f t="shared" si="2"/>
        <v>ia.assorted_string like '%103702-00299-12-2024%' or</v>
      </c>
    </row>
    <row r="174" spans="1:10" x14ac:dyDescent="0.25">
      <c r="A174" s="9" t="s">
        <v>12174</v>
      </c>
      <c r="B174" t="s">
        <v>12249</v>
      </c>
      <c r="H174">
        <v>103702</v>
      </c>
      <c r="I174" t="s">
        <v>12503</v>
      </c>
      <c r="J174" t="str">
        <f t="shared" si="2"/>
        <v>ia.assorted_string like '%103702-00300-12-2024%' or</v>
      </c>
    </row>
    <row r="175" spans="1:10" x14ac:dyDescent="0.25">
      <c r="A175" s="12" t="s">
        <v>12175</v>
      </c>
      <c r="B175" t="s">
        <v>12249</v>
      </c>
      <c r="H175">
        <v>103702</v>
      </c>
      <c r="I175" t="s">
        <v>12499</v>
      </c>
      <c r="J175" t="str">
        <f t="shared" si="2"/>
        <v>ia.assorted_string like '%103702-00304-12-2024%' or</v>
      </c>
    </row>
    <row r="176" spans="1:10" x14ac:dyDescent="0.25">
      <c r="A176" s="9" t="s">
        <v>12176</v>
      </c>
      <c r="B176" t="s">
        <v>12249</v>
      </c>
      <c r="H176">
        <v>103702</v>
      </c>
      <c r="I176" t="s">
        <v>12497</v>
      </c>
      <c r="J176" t="str">
        <f t="shared" si="2"/>
        <v>ia.assorted_string like '%103702-00307-12-2024%' or</v>
      </c>
    </row>
    <row r="177" spans="1:10" x14ac:dyDescent="0.25">
      <c r="A177" s="12" t="s">
        <v>12177</v>
      </c>
      <c r="B177" t="s">
        <v>12249</v>
      </c>
      <c r="H177">
        <v>103702</v>
      </c>
      <c r="I177" t="s">
        <v>12496</v>
      </c>
      <c r="J177" t="str">
        <f t="shared" si="2"/>
        <v>ia.assorted_string like '%103702-00308-12-2024%' or</v>
      </c>
    </row>
    <row r="178" spans="1:10" x14ac:dyDescent="0.25">
      <c r="A178" s="9" t="s">
        <v>12178</v>
      </c>
      <c r="B178" t="s">
        <v>12249</v>
      </c>
      <c r="H178">
        <v>103702</v>
      </c>
      <c r="I178" t="s">
        <v>12495</v>
      </c>
      <c r="J178" t="str">
        <f t="shared" si="2"/>
        <v>ia.assorted_string like '%103702-00309-12-2024%' or</v>
      </c>
    </row>
    <row r="179" spans="1:10" x14ac:dyDescent="0.25">
      <c r="A179" s="12" t="s">
        <v>12179</v>
      </c>
      <c r="B179" t="s">
        <v>12249</v>
      </c>
      <c r="H179">
        <v>103702</v>
      </c>
      <c r="I179" t="s">
        <v>12401</v>
      </c>
      <c r="J179" t="str">
        <f t="shared" si="2"/>
        <v>ia.assorted_string like '%103702-00311-12-2024%' or</v>
      </c>
    </row>
    <row r="180" spans="1:10" x14ac:dyDescent="0.25">
      <c r="A180" s="9" t="s">
        <v>12180</v>
      </c>
      <c r="B180" t="s">
        <v>12249</v>
      </c>
      <c r="H180">
        <v>103702</v>
      </c>
      <c r="I180" t="s">
        <v>12402</v>
      </c>
      <c r="J180" t="str">
        <f t="shared" si="2"/>
        <v>ia.assorted_string like '%103702-00313-12-2024%' or</v>
      </c>
    </row>
    <row r="181" spans="1:10" x14ac:dyDescent="0.25">
      <c r="A181" s="12" t="s">
        <v>12181</v>
      </c>
      <c r="B181" t="s">
        <v>12249</v>
      </c>
      <c r="H181">
        <v>103702</v>
      </c>
      <c r="I181" t="s">
        <v>12403</v>
      </c>
      <c r="J181" t="str">
        <f t="shared" si="2"/>
        <v>ia.assorted_string like '%103702-00314-12-2024%' or</v>
      </c>
    </row>
    <row r="182" spans="1:10" x14ac:dyDescent="0.25">
      <c r="A182" s="9" t="s">
        <v>12182</v>
      </c>
      <c r="B182" t="s">
        <v>12249</v>
      </c>
      <c r="H182">
        <v>103702</v>
      </c>
      <c r="I182" t="s">
        <v>12493</v>
      </c>
      <c r="J182" t="str">
        <f t="shared" si="2"/>
        <v>ia.assorted_string like '%103702-00316-12-2024%' or</v>
      </c>
    </row>
    <row r="183" spans="1:10" x14ac:dyDescent="0.25">
      <c r="A183" s="12" t="s">
        <v>12183</v>
      </c>
      <c r="B183" t="s">
        <v>12249</v>
      </c>
      <c r="H183">
        <v>103702</v>
      </c>
      <c r="I183" t="s">
        <v>12408</v>
      </c>
      <c r="J183" t="str">
        <f t="shared" si="2"/>
        <v>ia.assorted_string like '%103702-00320-12-2024%' or</v>
      </c>
    </row>
    <row r="184" spans="1:10" x14ac:dyDescent="0.25">
      <c r="A184" s="9" t="s">
        <v>12184</v>
      </c>
      <c r="B184" t="s">
        <v>12249</v>
      </c>
      <c r="H184">
        <v>103702</v>
      </c>
      <c r="I184" t="s">
        <v>12409</v>
      </c>
      <c r="J184" t="str">
        <f t="shared" si="2"/>
        <v>ia.assorted_string like '%103702-00321-12-2024%' or</v>
      </c>
    </row>
    <row r="185" spans="1:10" x14ac:dyDescent="0.25">
      <c r="A185" s="12" t="s">
        <v>12185</v>
      </c>
      <c r="B185" t="s">
        <v>12249</v>
      </c>
      <c r="H185">
        <v>103702</v>
      </c>
      <c r="I185" t="s">
        <v>12410</v>
      </c>
      <c r="J185" t="str">
        <f t="shared" si="2"/>
        <v>ia.assorted_string like '%103702-00322-12-2024%' or</v>
      </c>
    </row>
    <row r="186" spans="1:10" x14ac:dyDescent="0.25">
      <c r="A186" s="9" t="s">
        <v>12186</v>
      </c>
      <c r="B186" t="s">
        <v>12249</v>
      </c>
      <c r="H186">
        <v>103702</v>
      </c>
      <c r="I186" t="s">
        <v>12411</v>
      </c>
      <c r="J186" t="str">
        <f t="shared" si="2"/>
        <v>ia.assorted_string like '%103702-00323-12-2024%' or</v>
      </c>
    </row>
    <row r="187" spans="1:10" x14ac:dyDescent="0.25">
      <c r="A187" s="12" t="s">
        <v>12187</v>
      </c>
      <c r="B187" t="s">
        <v>12249</v>
      </c>
      <c r="H187">
        <v>103702</v>
      </c>
      <c r="I187" t="s">
        <v>12491</v>
      </c>
      <c r="J187" t="str">
        <f t="shared" si="2"/>
        <v>ia.assorted_string like '%103702-00325-12-2024%' or</v>
      </c>
    </row>
    <row r="188" spans="1:10" x14ac:dyDescent="0.25">
      <c r="A188" s="9" t="s">
        <v>12188</v>
      </c>
      <c r="B188" t="s">
        <v>12249</v>
      </c>
      <c r="H188">
        <v>103702</v>
      </c>
      <c r="I188" t="s">
        <v>12490</v>
      </c>
      <c r="J188" t="str">
        <f t="shared" si="2"/>
        <v>ia.assorted_string like '%103702-00326-12-2024%' or</v>
      </c>
    </row>
    <row r="189" spans="1:10" x14ac:dyDescent="0.25">
      <c r="A189" s="12" t="s">
        <v>12189</v>
      </c>
      <c r="B189" t="s">
        <v>12249</v>
      </c>
      <c r="H189">
        <v>103702</v>
      </c>
      <c r="I189" t="s">
        <v>12489</v>
      </c>
      <c r="J189" t="str">
        <f t="shared" si="2"/>
        <v>ia.assorted_string like '%103702-00329-12-2024%' or</v>
      </c>
    </row>
    <row r="190" spans="1:10" x14ac:dyDescent="0.25">
      <c r="A190" s="9" t="s">
        <v>12190</v>
      </c>
      <c r="B190" t="s">
        <v>12249</v>
      </c>
      <c r="H190">
        <v>103702</v>
      </c>
      <c r="I190" t="s">
        <v>12481</v>
      </c>
      <c r="J190" t="str">
        <f t="shared" si="2"/>
        <v>ia.assorted_string like '%103702-00337-12-2024%' or</v>
      </c>
    </row>
    <row r="191" spans="1:10" x14ac:dyDescent="0.25">
      <c r="A191" s="12" t="s">
        <v>12191</v>
      </c>
      <c r="B191" t="s">
        <v>12249</v>
      </c>
      <c r="H191">
        <v>103702</v>
      </c>
      <c r="I191" t="s">
        <v>12480</v>
      </c>
      <c r="J191" t="str">
        <f t="shared" si="2"/>
        <v>ia.assorted_string like '%103702-00339-12-2024%' or</v>
      </c>
    </row>
    <row r="192" spans="1:10" x14ac:dyDescent="0.25">
      <c r="A192" s="9" t="s">
        <v>12192</v>
      </c>
      <c r="B192" t="s">
        <v>13298</v>
      </c>
      <c r="H192">
        <v>80441</v>
      </c>
      <c r="I192" t="s">
        <v>12315</v>
      </c>
      <c r="J192" t="str">
        <f t="shared" si="2"/>
        <v>ia.assorted_string like '%80441-00098-12-2023%' or</v>
      </c>
    </row>
    <row r="193" spans="1:10" x14ac:dyDescent="0.25">
      <c r="A193" s="12" t="s">
        <v>12193</v>
      </c>
      <c r="B193" t="s">
        <v>12249</v>
      </c>
      <c r="H193">
        <v>103702</v>
      </c>
      <c r="I193" t="s">
        <v>12469</v>
      </c>
      <c r="J193" t="str">
        <f t="shared" si="2"/>
        <v>ia.assorted_string like '%103702-00357-12-2024%' or</v>
      </c>
    </row>
    <row r="194" spans="1:10" x14ac:dyDescent="0.25">
      <c r="A194" s="9" t="s">
        <v>12194</v>
      </c>
      <c r="B194" t="s">
        <v>12249</v>
      </c>
      <c r="H194">
        <v>103702</v>
      </c>
      <c r="I194" t="s">
        <v>12468</v>
      </c>
      <c r="J194" t="str">
        <f t="shared" si="2"/>
        <v>ia.assorted_string like '%103702-00358-12-2024%' or</v>
      </c>
    </row>
    <row r="195" spans="1:10" x14ac:dyDescent="0.25">
      <c r="A195" s="12" t="s">
        <v>12195</v>
      </c>
      <c r="B195" t="s">
        <v>12249</v>
      </c>
      <c r="H195">
        <v>103702</v>
      </c>
      <c r="I195" t="s">
        <v>12462</v>
      </c>
      <c r="J195" t="str">
        <f t="shared" ref="J195:J215" si="3">"ia.assorted_string like '%"&amp;H195&amp;"-"&amp;I195&amp;B195&amp;"%' or"</f>
        <v>ia.assorted_string like '%103702-00368-12-2024%' or</v>
      </c>
    </row>
    <row r="196" spans="1:10" x14ac:dyDescent="0.25">
      <c r="A196" s="9" t="s">
        <v>12196</v>
      </c>
      <c r="B196" t="s">
        <v>12249</v>
      </c>
      <c r="H196">
        <v>103702</v>
      </c>
      <c r="I196" t="s">
        <v>12427</v>
      </c>
      <c r="J196" t="str">
        <f t="shared" si="3"/>
        <v>ia.assorted_string like '%103702-00372-12-2024%' or</v>
      </c>
    </row>
    <row r="197" spans="1:10" x14ac:dyDescent="0.25">
      <c r="A197" s="12" t="s">
        <v>12197</v>
      </c>
      <c r="B197" t="s">
        <v>12249</v>
      </c>
      <c r="H197">
        <v>103702</v>
      </c>
      <c r="I197" t="s">
        <v>12461</v>
      </c>
      <c r="J197" t="str">
        <f t="shared" si="3"/>
        <v>ia.assorted_string like '%103702-00373-12-2024%' or</v>
      </c>
    </row>
    <row r="198" spans="1:10" x14ac:dyDescent="0.25">
      <c r="A198" s="9" t="s">
        <v>12198</v>
      </c>
      <c r="B198" t="s">
        <v>12249</v>
      </c>
      <c r="H198">
        <v>103702</v>
      </c>
      <c r="I198" t="s">
        <v>12460</v>
      </c>
      <c r="J198" t="str">
        <f t="shared" si="3"/>
        <v>ia.assorted_string like '%103702-00375-12-2024%' or</v>
      </c>
    </row>
    <row r="199" spans="1:10" x14ac:dyDescent="0.25">
      <c r="A199" s="12" t="s">
        <v>12199</v>
      </c>
      <c r="B199" t="s">
        <v>12249</v>
      </c>
      <c r="H199">
        <v>103702</v>
      </c>
      <c r="I199" t="s">
        <v>12455</v>
      </c>
      <c r="J199" t="str">
        <f t="shared" si="3"/>
        <v>ia.assorted_string like '%103702-00385-12-2024%' or</v>
      </c>
    </row>
    <row r="200" spans="1:10" x14ac:dyDescent="0.25">
      <c r="A200" s="9" t="s">
        <v>12200</v>
      </c>
      <c r="B200" t="s">
        <v>12249</v>
      </c>
      <c r="H200">
        <v>103702</v>
      </c>
      <c r="I200" t="s">
        <v>12434</v>
      </c>
      <c r="J200" t="str">
        <f t="shared" si="3"/>
        <v>ia.assorted_string like '%103702-00386-12-2024%' or</v>
      </c>
    </row>
    <row r="201" spans="1:10" x14ac:dyDescent="0.25">
      <c r="A201" s="12" t="s">
        <v>12201</v>
      </c>
      <c r="B201" t="s">
        <v>12249</v>
      </c>
      <c r="H201">
        <v>103702</v>
      </c>
      <c r="I201" t="s">
        <v>12442</v>
      </c>
      <c r="J201" t="str">
        <f t="shared" si="3"/>
        <v>ia.assorted_string like '%103702-00402-12-2024%' or</v>
      </c>
    </row>
    <row r="202" spans="1:10" x14ac:dyDescent="0.25">
      <c r="A202" s="9" t="s">
        <v>12202</v>
      </c>
      <c r="B202" t="s">
        <v>12249</v>
      </c>
      <c r="H202">
        <v>103702</v>
      </c>
      <c r="I202" t="s">
        <v>12445</v>
      </c>
      <c r="J202" t="str">
        <f t="shared" si="3"/>
        <v>ia.assorted_string like '%103702-00404-12-2024%' or</v>
      </c>
    </row>
    <row r="203" spans="1:10" x14ac:dyDescent="0.25">
      <c r="A203" s="12" t="s">
        <v>12203</v>
      </c>
      <c r="B203" t="s">
        <v>12249</v>
      </c>
      <c r="H203">
        <v>103702</v>
      </c>
      <c r="I203" t="s">
        <v>13306</v>
      </c>
      <c r="J203" t="str">
        <f t="shared" si="3"/>
        <v>ia.assorted_string like '%103702-00416-12-2024%' or</v>
      </c>
    </row>
    <row r="204" spans="1:10" x14ac:dyDescent="0.25">
      <c r="A204" s="9" t="s">
        <v>12204</v>
      </c>
      <c r="B204" t="s">
        <v>12249</v>
      </c>
      <c r="H204">
        <v>103702</v>
      </c>
      <c r="I204" t="s">
        <v>13307</v>
      </c>
      <c r="J204" t="str">
        <f t="shared" si="3"/>
        <v>ia.assorted_string like '%103702-00408-12-2024%' or</v>
      </c>
    </row>
    <row r="205" spans="1:10" x14ac:dyDescent="0.25">
      <c r="A205" s="12" t="s">
        <v>12205</v>
      </c>
      <c r="B205" t="s">
        <v>12249</v>
      </c>
      <c r="H205">
        <v>103702</v>
      </c>
      <c r="I205" t="s">
        <v>12453</v>
      </c>
      <c r="J205" t="str">
        <f t="shared" si="3"/>
        <v>ia.assorted_string like '%103702-00388-12-2024%' or</v>
      </c>
    </row>
    <row r="206" spans="1:10" x14ac:dyDescent="0.25">
      <c r="A206" s="9" t="s">
        <v>12206</v>
      </c>
      <c r="B206" t="s">
        <v>12249</v>
      </c>
      <c r="H206">
        <v>103702</v>
      </c>
      <c r="I206" t="s">
        <v>13308</v>
      </c>
      <c r="J206" t="str">
        <f t="shared" si="3"/>
        <v>ia.assorted_string like '%103702-00312-12-2024%' or</v>
      </c>
    </row>
    <row r="207" spans="1:10" x14ac:dyDescent="0.25">
      <c r="A207" s="12" t="s">
        <v>12207</v>
      </c>
      <c r="B207" t="s">
        <v>12249</v>
      </c>
      <c r="H207">
        <v>103702</v>
      </c>
      <c r="I207" t="s">
        <v>12378</v>
      </c>
      <c r="J207" t="str">
        <f t="shared" si="3"/>
        <v>ia.assorted_string like '%103702-00248-12-2024%' or</v>
      </c>
    </row>
    <row r="208" spans="1:10" x14ac:dyDescent="0.25">
      <c r="A208" s="9" t="s">
        <v>12208</v>
      </c>
      <c r="B208" t="s">
        <v>12249</v>
      </c>
      <c r="H208">
        <v>103702</v>
      </c>
      <c r="I208" t="s">
        <v>12548</v>
      </c>
      <c r="J208" t="str">
        <f t="shared" si="3"/>
        <v>ia.assorted_string like '%103702-00237-12-2024%' or</v>
      </c>
    </row>
    <row r="209" spans="1:10" x14ac:dyDescent="0.25">
      <c r="A209" s="12" t="s">
        <v>12209</v>
      </c>
      <c r="B209" t="s">
        <v>12249</v>
      </c>
      <c r="H209">
        <v>103702</v>
      </c>
      <c r="I209" t="s">
        <v>12366</v>
      </c>
      <c r="J209" t="str">
        <f t="shared" si="3"/>
        <v>ia.assorted_string like '%103702-00216-12-2024%' or</v>
      </c>
    </row>
    <row r="210" spans="1:10" x14ac:dyDescent="0.25">
      <c r="A210" s="9" t="s">
        <v>12210</v>
      </c>
      <c r="B210" t="s">
        <v>12249</v>
      </c>
      <c r="H210">
        <v>103702</v>
      </c>
      <c r="I210" t="s">
        <v>12362</v>
      </c>
      <c r="J210" t="str">
        <f t="shared" si="3"/>
        <v>ia.assorted_string like '%103702-00209-12-2024%' or</v>
      </c>
    </row>
    <row r="211" spans="1:10" x14ac:dyDescent="0.25">
      <c r="A211" s="12" t="s">
        <v>12211</v>
      </c>
      <c r="B211" t="s">
        <v>12249</v>
      </c>
      <c r="H211">
        <v>103702</v>
      </c>
      <c r="I211" t="s">
        <v>12360</v>
      </c>
      <c r="J211" t="str">
        <f t="shared" si="3"/>
        <v>ia.assorted_string like '%103702-00205-12-2024%' or</v>
      </c>
    </row>
    <row r="212" spans="1:10" x14ac:dyDescent="0.25">
      <c r="A212" s="17" t="s">
        <v>12218</v>
      </c>
      <c r="B212" t="s">
        <v>12249</v>
      </c>
      <c r="H212">
        <v>103702</v>
      </c>
      <c r="I212" t="s">
        <v>12312</v>
      </c>
      <c r="J212" t="str">
        <f t="shared" si="3"/>
        <v>ia.assorted_string like '%103702-00094-12-2024%' or</v>
      </c>
    </row>
    <row r="213" spans="1:10" x14ac:dyDescent="0.25">
      <c r="A213" s="12" t="s">
        <v>12212</v>
      </c>
      <c r="B213" t="s">
        <v>12249</v>
      </c>
      <c r="H213">
        <v>103702</v>
      </c>
      <c r="I213" t="s">
        <v>12291</v>
      </c>
      <c r="J213" t="str">
        <f t="shared" si="3"/>
        <v>ia.assorted_string like '%103702-00055-12-2024%' or</v>
      </c>
    </row>
    <row r="214" spans="1:10" x14ac:dyDescent="0.25">
      <c r="A214" s="9" t="s">
        <v>12213</v>
      </c>
      <c r="B214" t="s">
        <v>12248</v>
      </c>
      <c r="H214">
        <v>102086</v>
      </c>
      <c r="I214" t="s">
        <v>13302</v>
      </c>
      <c r="J214" t="str">
        <f t="shared" si="3"/>
        <v>ia.assorted_string like '%102086-00180-11-2024%' or</v>
      </c>
    </row>
    <row r="215" spans="1:10" x14ac:dyDescent="0.25">
      <c r="A215" s="12" t="s">
        <v>12214</v>
      </c>
      <c r="B215" t="s">
        <v>12248</v>
      </c>
      <c r="H215">
        <v>102086</v>
      </c>
      <c r="I215" t="s">
        <v>12547</v>
      </c>
      <c r="J215" t="str">
        <f t="shared" si="3"/>
        <v>ia.assorted_string like '%102086-00174-11-2024%' or</v>
      </c>
    </row>
  </sheetData>
  <autoFilter ref="H1:H215" xr:uid="{DDF71154-5292-4F5A-9EFF-6A22AD28D1DB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EB197-B664-4C8A-8607-1CB709EFBB4A}">
  <dimension ref="A1:C215"/>
  <sheetViews>
    <sheetView workbookViewId="0">
      <selection activeCell="H11" sqref="H11"/>
    </sheetView>
  </sheetViews>
  <sheetFormatPr defaultColWidth="7.85546875" defaultRowHeight="15" x14ac:dyDescent="0.25"/>
  <cols>
    <col min="1" max="1" width="3.140625" customWidth="1"/>
    <col min="2" max="2" width="34.28515625" customWidth="1"/>
    <col min="3" max="3" width="14" customWidth="1"/>
  </cols>
  <sheetData>
    <row r="1" spans="1:3" s="21" customFormat="1" ht="12" x14ac:dyDescent="0.2">
      <c r="A1" s="21" t="s">
        <v>12669</v>
      </c>
      <c r="B1" s="21" t="s">
        <v>12670</v>
      </c>
      <c r="C1" s="21" t="s">
        <v>12671</v>
      </c>
    </row>
    <row r="2" spans="1:3" x14ac:dyDescent="0.25">
      <c r="A2">
        <v>1</v>
      </c>
      <c r="B2" t="s">
        <v>12192</v>
      </c>
      <c r="C2" t="s">
        <v>13309</v>
      </c>
    </row>
    <row r="3" spans="1:3" x14ac:dyDescent="0.25">
      <c r="A3">
        <v>2</v>
      </c>
      <c r="B3" t="s">
        <v>12007</v>
      </c>
      <c r="C3" t="s">
        <v>13310</v>
      </c>
    </row>
    <row r="4" spans="1:3" x14ac:dyDescent="0.25">
      <c r="A4">
        <v>3</v>
      </c>
      <c r="B4" t="s">
        <v>12005</v>
      </c>
      <c r="C4" t="s">
        <v>13311</v>
      </c>
    </row>
    <row r="5" spans="1:3" x14ac:dyDescent="0.25">
      <c r="A5">
        <v>4</v>
      </c>
      <c r="B5" t="s">
        <v>12006</v>
      </c>
      <c r="C5" t="s">
        <v>13312</v>
      </c>
    </row>
    <row r="6" spans="1:3" x14ac:dyDescent="0.25">
      <c r="A6">
        <v>5</v>
      </c>
      <c r="B6" t="s">
        <v>12214</v>
      </c>
      <c r="C6" t="s">
        <v>13313</v>
      </c>
    </row>
    <row r="7" spans="1:3" x14ac:dyDescent="0.25">
      <c r="A7">
        <v>6</v>
      </c>
      <c r="B7" t="s">
        <v>12213</v>
      </c>
      <c r="C7" t="s">
        <v>13314</v>
      </c>
    </row>
    <row r="8" spans="1:3" x14ac:dyDescent="0.25">
      <c r="A8">
        <v>7</v>
      </c>
      <c r="B8" t="s">
        <v>12029</v>
      </c>
      <c r="C8" t="s">
        <v>13315</v>
      </c>
    </row>
    <row r="9" spans="1:3" x14ac:dyDescent="0.25">
      <c r="A9">
        <v>8</v>
      </c>
      <c r="B9" t="s">
        <v>12030</v>
      </c>
      <c r="C9" t="s">
        <v>13316</v>
      </c>
    </row>
    <row r="10" spans="1:3" x14ac:dyDescent="0.25">
      <c r="A10">
        <v>9</v>
      </c>
      <c r="B10" t="s">
        <v>12031</v>
      </c>
      <c r="C10" t="s">
        <v>13317</v>
      </c>
    </row>
    <row r="11" spans="1:3" x14ac:dyDescent="0.25">
      <c r="A11">
        <v>10</v>
      </c>
      <c r="B11" t="s">
        <v>12032</v>
      </c>
      <c r="C11" t="s">
        <v>13318</v>
      </c>
    </row>
    <row r="12" spans="1:3" x14ac:dyDescent="0.25">
      <c r="A12">
        <v>11</v>
      </c>
      <c r="B12" t="s">
        <v>12033</v>
      </c>
      <c r="C12" t="s">
        <v>13319</v>
      </c>
    </row>
    <row r="13" spans="1:3" x14ac:dyDescent="0.25">
      <c r="A13">
        <v>12</v>
      </c>
      <c r="B13" t="s">
        <v>12034</v>
      </c>
      <c r="C13" t="s">
        <v>13320</v>
      </c>
    </row>
    <row r="14" spans="1:3" x14ac:dyDescent="0.25">
      <c r="A14">
        <v>13</v>
      </c>
      <c r="B14" t="s">
        <v>12035</v>
      </c>
      <c r="C14" t="s">
        <v>13321</v>
      </c>
    </row>
    <row r="15" spans="1:3" x14ac:dyDescent="0.25">
      <c r="A15">
        <v>14</v>
      </c>
      <c r="B15" t="s">
        <v>12037</v>
      </c>
      <c r="C15" t="s">
        <v>13322</v>
      </c>
    </row>
    <row r="16" spans="1:3" x14ac:dyDescent="0.25">
      <c r="A16">
        <v>15</v>
      </c>
      <c r="B16" t="s">
        <v>12038</v>
      </c>
      <c r="C16" t="s">
        <v>13323</v>
      </c>
    </row>
    <row r="17" spans="1:3" x14ac:dyDescent="0.25">
      <c r="A17">
        <v>16</v>
      </c>
      <c r="B17" t="s">
        <v>12040</v>
      </c>
      <c r="C17" t="s">
        <v>13324</v>
      </c>
    </row>
    <row r="18" spans="1:3" x14ac:dyDescent="0.25">
      <c r="A18">
        <v>17</v>
      </c>
      <c r="B18" t="s">
        <v>12041</v>
      </c>
      <c r="C18" t="s">
        <v>13325</v>
      </c>
    </row>
    <row r="19" spans="1:3" x14ac:dyDescent="0.25">
      <c r="A19">
        <v>18</v>
      </c>
      <c r="B19" t="s">
        <v>12042</v>
      </c>
      <c r="C19" t="s">
        <v>13326</v>
      </c>
    </row>
    <row r="20" spans="1:3" x14ac:dyDescent="0.25">
      <c r="A20">
        <v>19</v>
      </c>
      <c r="B20" t="s">
        <v>12044</v>
      </c>
      <c r="C20" t="s">
        <v>13327</v>
      </c>
    </row>
    <row r="21" spans="1:3" x14ac:dyDescent="0.25">
      <c r="A21">
        <v>20</v>
      </c>
      <c r="B21" t="s">
        <v>12045</v>
      </c>
      <c r="C21" t="s">
        <v>13328</v>
      </c>
    </row>
    <row r="22" spans="1:3" x14ac:dyDescent="0.25">
      <c r="A22">
        <v>21</v>
      </c>
      <c r="B22" t="s">
        <v>12047</v>
      </c>
      <c r="C22" t="s">
        <v>13329</v>
      </c>
    </row>
    <row r="23" spans="1:3" x14ac:dyDescent="0.25">
      <c r="A23">
        <v>22</v>
      </c>
      <c r="B23" t="s">
        <v>12048</v>
      </c>
      <c r="C23" t="s">
        <v>13330</v>
      </c>
    </row>
    <row r="24" spans="1:3" x14ac:dyDescent="0.25">
      <c r="A24">
        <v>23</v>
      </c>
      <c r="B24" t="s">
        <v>12049</v>
      </c>
      <c r="C24" t="s">
        <v>13331</v>
      </c>
    </row>
    <row r="25" spans="1:3" x14ac:dyDescent="0.25">
      <c r="A25">
        <v>24</v>
      </c>
      <c r="B25" t="s">
        <v>12050</v>
      </c>
      <c r="C25" t="s">
        <v>13332</v>
      </c>
    </row>
    <row r="26" spans="1:3" x14ac:dyDescent="0.25">
      <c r="A26">
        <v>25</v>
      </c>
      <c r="B26" t="s">
        <v>12051</v>
      </c>
      <c r="C26" t="s">
        <v>13333</v>
      </c>
    </row>
    <row r="27" spans="1:3" x14ac:dyDescent="0.25">
      <c r="A27">
        <v>26</v>
      </c>
      <c r="B27" t="s">
        <v>12053</v>
      </c>
      <c r="C27" t="s">
        <v>13334</v>
      </c>
    </row>
    <row r="28" spans="1:3" x14ac:dyDescent="0.25">
      <c r="A28">
        <v>27</v>
      </c>
      <c r="B28" t="s">
        <v>12054</v>
      </c>
      <c r="C28" t="s">
        <v>13335</v>
      </c>
    </row>
    <row r="29" spans="1:3" x14ac:dyDescent="0.25">
      <c r="A29">
        <v>28</v>
      </c>
      <c r="B29" t="s">
        <v>12056</v>
      </c>
      <c r="C29" t="s">
        <v>13336</v>
      </c>
    </row>
    <row r="30" spans="1:3" x14ac:dyDescent="0.25">
      <c r="A30">
        <v>29</v>
      </c>
      <c r="B30" t="s">
        <v>12057</v>
      </c>
      <c r="C30" t="s">
        <v>13337</v>
      </c>
    </row>
    <row r="31" spans="1:3" x14ac:dyDescent="0.25">
      <c r="A31">
        <v>30</v>
      </c>
      <c r="B31" t="s">
        <v>12058</v>
      </c>
      <c r="C31" t="s">
        <v>13338</v>
      </c>
    </row>
    <row r="32" spans="1:3" x14ac:dyDescent="0.25">
      <c r="A32">
        <v>31</v>
      </c>
      <c r="B32" t="s">
        <v>12059</v>
      </c>
      <c r="C32" t="s">
        <v>13339</v>
      </c>
    </row>
    <row r="33" spans="1:3" x14ac:dyDescent="0.25">
      <c r="A33">
        <v>32</v>
      </c>
      <c r="B33" t="s">
        <v>12060</v>
      </c>
      <c r="C33" t="s">
        <v>13340</v>
      </c>
    </row>
    <row r="34" spans="1:3" x14ac:dyDescent="0.25">
      <c r="A34">
        <v>33</v>
      </c>
      <c r="B34" t="s">
        <v>12062</v>
      </c>
      <c r="C34" t="s">
        <v>13341</v>
      </c>
    </row>
    <row r="35" spans="1:3" x14ac:dyDescent="0.25">
      <c r="A35">
        <v>34</v>
      </c>
      <c r="B35" t="s">
        <v>12063</v>
      </c>
      <c r="C35" t="s">
        <v>13342</v>
      </c>
    </row>
    <row r="36" spans="1:3" x14ac:dyDescent="0.25">
      <c r="A36">
        <v>35</v>
      </c>
      <c r="B36" t="s">
        <v>12065</v>
      </c>
      <c r="C36" t="s">
        <v>13343</v>
      </c>
    </row>
    <row r="37" spans="1:3" x14ac:dyDescent="0.25">
      <c r="A37">
        <v>36</v>
      </c>
      <c r="B37" t="s">
        <v>12066</v>
      </c>
      <c r="C37" t="s">
        <v>13344</v>
      </c>
    </row>
    <row r="38" spans="1:3" x14ac:dyDescent="0.25">
      <c r="A38">
        <v>37</v>
      </c>
      <c r="B38" t="s">
        <v>12067</v>
      </c>
      <c r="C38" t="s">
        <v>13345</v>
      </c>
    </row>
    <row r="39" spans="1:3" x14ac:dyDescent="0.25">
      <c r="A39">
        <v>38</v>
      </c>
      <c r="B39" t="s">
        <v>12068</v>
      </c>
      <c r="C39" t="s">
        <v>13346</v>
      </c>
    </row>
    <row r="40" spans="1:3" x14ac:dyDescent="0.25">
      <c r="A40">
        <v>39</v>
      </c>
      <c r="B40" t="s">
        <v>12070</v>
      </c>
      <c r="C40" t="s">
        <v>13347</v>
      </c>
    </row>
    <row r="41" spans="1:3" x14ac:dyDescent="0.25">
      <c r="A41">
        <v>40</v>
      </c>
      <c r="B41" t="s">
        <v>12071</v>
      </c>
      <c r="C41" t="s">
        <v>13348</v>
      </c>
    </row>
    <row r="42" spans="1:3" x14ac:dyDescent="0.25">
      <c r="A42">
        <v>41</v>
      </c>
      <c r="B42" t="s">
        <v>12073</v>
      </c>
      <c r="C42" t="s">
        <v>13349</v>
      </c>
    </row>
    <row r="43" spans="1:3" x14ac:dyDescent="0.25">
      <c r="A43">
        <v>42</v>
      </c>
      <c r="B43" t="s">
        <v>12075</v>
      </c>
      <c r="C43" t="s">
        <v>13350</v>
      </c>
    </row>
    <row r="44" spans="1:3" x14ac:dyDescent="0.25">
      <c r="A44">
        <v>43</v>
      </c>
      <c r="B44" t="s">
        <v>12076</v>
      </c>
      <c r="C44" t="s">
        <v>13351</v>
      </c>
    </row>
    <row r="45" spans="1:3" x14ac:dyDescent="0.25">
      <c r="A45">
        <v>44</v>
      </c>
      <c r="B45" t="s">
        <v>12077</v>
      </c>
      <c r="C45" t="s">
        <v>13352</v>
      </c>
    </row>
    <row r="46" spans="1:3" x14ac:dyDescent="0.25">
      <c r="A46">
        <v>45</v>
      </c>
      <c r="B46" t="s">
        <v>12078</v>
      </c>
      <c r="C46" t="s">
        <v>13353</v>
      </c>
    </row>
    <row r="47" spans="1:3" x14ac:dyDescent="0.25">
      <c r="A47">
        <v>46</v>
      </c>
      <c r="B47" t="s">
        <v>12080</v>
      </c>
      <c r="C47" t="s">
        <v>13354</v>
      </c>
    </row>
    <row r="48" spans="1:3" x14ac:dyDescent="0.25">
      <c r="A48">
        <v>47</v>
      </c>
      <c r="B48" t="s">
        <v>12082</v>
      </c>
      <c r="C48" t="s">
        <v>13355</v>
      </c>
    </row>
    <row r="49" spans="1:3" x14ac:dyDescent="0.25">
      <c r="A49">
        <v>48</v>
      </c>
      <c r="B49" t="s">
        <v>12083</v>
      </c>
      <c r="C49" t="s">
        <v>13356</v>
      </c>
    </row>
    <row r="50" spans="1:3" x14ac:dyDescent="0.25">
      <c r="A50">
        <v>49</v>
      </c>
      <c r="B50" t="s">
        <v>12085</v>
      </c>
      <c r="C50" t="s">
        <v>13357</v>
      </c>
    </row>
    <row r="51" spans="1:3" x14ac:dyDescent="0.25">
      <c r="A51">
        <v>50</v>
      </c>
      <c r="B51" t="s">
        <v>12086</v>
      </c>
      <c r="C51" t="s">
        <v>13358</v>
      </c>
    </row>
    <row r="52" spans="1:3" x14ac:dyDescent="0.25">
      <c r="A52">
        <v>51</v>
      </c>
      <c r="B52" t="s">
        <v>12088</v>
      </c>
      <c r="C52" t="s">
        <v>13359</v>
      </c>
    </row>
    <row r="53" spans="1:3" x14ac:dyDescent="0.25">
      <c r="A53">
        <v>52</v>
      </c>
      <c r="B53" t="s">
        <v>12089</v>
      </c>
      <c r="C53" t="s">
        <v>13360</v>
      </c>
    </row>
    <row r="54" spans="1:3" x14ac:dyDescent="0.25">
      <c r="A54">
        <v>53</v>
      </c>
      <c r="B54" t="s">
        <v>12090</v>
      </c>
      <c r="C54" t="s">
        <v>13361</v>
      </c>
    </row>
    <row r="55" spans="1:3" x14ac:dyDescent="0.25">
      <c r="A55">
        <v>54</v>
      </c>
      <c r="B55" t="s">
        <v>12093</v>
      </c>
      <c r="C55" t="s">
        <v>13362</v>
      </c>
    </row>
    <row r="56" spans="1:3" x14ac:dyDescent="0.25">
      <c r="A56">
        <v>55</v>
      </c>
      <c r="B56" t="s">
        <v>12008</v>
      </c>
      <c r="C56" t="s">
        <v>13363</v>
      </c>
    </row>
    <row r="57" spans="1:3" x14ac:dyDescent="0.25">
      <c r="A57">
        <v>56</v>
      </c>
      <c r="B57" t="s">
        <v>12019</v>
      </c>
      <c r="C57" t="s">
        <v>13364</v>
      </c>
    </row>
    <row r="58" spans="1:3" x14ac:dyDescent="0.25">
      <c r="A58">
        <v>57</v>
      </c>
      <c r="B58" t="s">
        <v>12036</v>
      </c>
      <c r="C58" t="s">
        <v>13365</v>
      </c>
    </row>
    <row r="59" spans="1:3" x14ac:dyDescent="0.25">
      <c r="A59">
        <v>58</v>
      </c>
      <c r="B59" t="s">
        <v>12039</v>
      </c>
      <c r="C59" t="s">
        <v>13366</v>
      </c>
    </row>
    <row r="60" spans="1:3" x14ac:dyDescent="0.25">
      <c r="A60">
        <v>59</v>
      </c>
      <c r="B60" t="s">
        <v>12021</v>
      </c>
      <c r="C60" t="s">
        <v>13367</v>
      </c>
    </row>
    <row r="61" spans="1:3" x14ac:dyDescent="0.25">
      <c r="A61">
        <v>60</v>
      </c>
      <c r="B61" t="s">
        <v>12025</v>
      </c>
      <c r="C61" t="s">
        <v>13368</v>
      </c>
    </row>
    <row r="62" spans="1:3" x14ac:dyDescent="0.25">
      <c r="A62">
        <v>61</v>
      </c>
      <c r="B62" t="s">
        <v>12028</v>
      </c>
      <c r="C62" t="s">
        <v>13369</v>
      </c>
    </row>
    <row r="63" spans="1:3" x14ac:dyDescent="0.25">
      <c r="A63">
        <v>62</v>
      </c>
      <c r="B63" t="s">
        <v>12163</v>
      </c>
      <c r="C63" t="s">
        <v>13370</v>
      </c>
    </row>
    <row r="64" spans="1:3" x14ac:dyDescent="0.25">
      <c r="A64">
        <v>63</v>
      </c>
      <c r="B64" t="s">
        <v>12190</v>
      </c>
      <c r="C64" t="s">
        <v>13371</v>
      </c>
    </row>
    <row r="65" spans="1:3" x14ac:dyDescent="0.25">
      <c r="A65">
        <v>64</v>
      </c>
      <c r="B65" t="s">
        <v>12218</v>
      </c>
      <c r="C65" t="s">
        <v>13372</v>
      </c>
    </row>
    <row r="66" spans="1:3" x14ac:dyDescent="0.25">
      <c r="A66">
        <v>65</v>
      </c>
      <c r="B66" t="s">
        <v>12055</v>
      </c>
      <c r="C66" t="s">
        <v>13373</v>
      </c>
    </row>
    <row r="67" spans="1:3" x14ac:dyDescent="0.25">
      <c r="A67">
        <v>66</v>
      </c>
      <c r="B67" t="s">
        <v>12061</v>
      </c>
      <c r="C67" t="s">
        <v>13374</v>
      </c>
    </row>
    <row r="68" spans="1:3" x14ac:dyDescent="0.25">
      <c r="A68">
        <v>67</v>
      </c>
      <c r="B68" t="s">
        <v>12064</v>
      </c>
      <c r="C68" t="s">
        <v>13375</v>
      </c>
    </row>
    <row r="69" spans="1:3" x14ac:dyDescent="0.25">
      <c r="A69">
        <v>68</v>
      </c>
      <c r="B69" t="s">
        <v>12216</v>
      </c>
      <c r="C69" t="s">
        <v>13376</v>
      </c>
    </row>
    <row r="70" spans="1:3" x14ac:dyDescent="0.25">
      <c r="A70">
        <v>69</v>
      </c>
      <c r="B70" t="s">
        <v>12069</v>
      </c>
      <c r="C70" t="s">
        <v>13377</v>
      </c>
    </row>
    <row r="71" spans="1:3" x14ac:dyDescent="0.25">
      <c r="A71">
        <v>70</v>
      </c>
      <c r="B71" t="s">
        <v>12072</v>
      </c>
      <c r="C71" t="s">
        <v>13378</v>
      </c>
    </row>
    <row r="72" spans="1:3" x14ac:dyDescent="0.25">
      <c r="A72">
        <v>71</v>
      </c>
      <c r="B72" t="s">
        <v>12074</v>
      </c>
      <c r="C72" t="s">
        <v>13379</v>
      </c>
    </row>
    <row r="73" spans="1:3" x14ac:dyDescent="0.25">
      <c r="A73">
        <v>72</v>
      </c>
      <c r="B73" t="s">
        <v>12079</v>
      </c>
      <c r="C73" t="s">
        <v>13380</v>
      </c>
    </row>
    <row r="74" spans="1:3" x14ac:dyDescent="0.25">
      <c r="A74">
        <v>73</v>
      </c>
      <c r="B74" t="s">
        <v>12084</v>
      </c>
      <c r="C74" t="s">
        <v>13381</v>
      </c>
    </row>
    <row r="75" spans="1:3" x14ac:dyDescent="0.25">
      <c r="A75">
        <v>74</v>
      </c>
      <c r="B75" t="s">
        <v>12087</v>
      </c>
      <c r="C75" t="s">
        <v>13382</v>
      </c>
    </row>
    <row r="76" spans="1:3" x14ac:dyDescent="0.25">
      <c r="A76">
        <v>75</v>
      </c>
      <c r="B76" t="s">
        <v>12091</v>
      </c>
      <c r="C76" t="s">
        <v>13383</v>
      </c>
    </row>
    <row r="77" spans="1:3" x14ac:dyDescent="0.25">
      <c r="A77">
        <v>76</v>
      </c>
      <c r="B77" t="s">
        <v>12092</v>
      </c>
      <c r="C77" t="s">
        <v>13384</v>
      </c>
    </row>
    <row r="78" spans="1:3" x14ac:dyDescent="0.25">
      <c r="A78">
        <v>77</v>
      </c>
      <c r="B78" t="s">
        <v>12098</v>
      </c>
      <c r="C78" t="s">
        <v>13385</v>
      </c>
    </row>
    <row r="79" spans="1:3" x14ac:dyDescent="0.25">
      <c r="A79">
        <v>78</v>
      </c>
      <c r="B79" t="s">
        <v>12101</v>
      </c>
      <c r="C79" t="s">
        <v>13386</v>
      </c>
    </row>
    <row r="80" spans="1:3" x14ac:dyDescent="0.25">
      <c r="A80">
        <v>79</v>
      </c>
      <c r="B80" t="s">
        <v>12094</v>
      </c>
      <c r="C80" t="s">
        <v>13387</v>
      </c>
    </row>
    <row r="81" spans="1:3" x14ac:dyDescent="0.25">
      <c r="A81">
        <v>80</v>
      </c>
      <c r="B81" t="s">
        <v>12095</v>
      </c>
      <c r="C81" t="s">
        <v>13388</v>
      </c>
    </row>
    <row r="82" spans="1:3" x14ac:dyDescent="0.25">
      <c r="A82">
        <v>81</v>
      </c>
      <c r="B82" t="s">
        <v>12096</v>
      </c>
      <c r="C82" t="s">
        <v>13389</v>
      </c>
    </row>
    <row r="83" spans="1:3" x14ac:dyDescent="0.25">
      <c r="A83">
        <v>82</v>
      </c>
      <c r="B83" t="s">
        <v>12097</v>
      </c>
      <c r="C83" t="s">
        <v>13390</v>
      </c>
    </row>
    <row r="84" spans="1:3" x14ac:dyDescent="0.25">
      <c r="A84">
        <v>83</v>
      </c>
      <c r="B84" t="s">
        <v>12099</v>
      </c>
      <c r="C84" t="s">
        <v>13391</v>
      </c>
    </row>
    <row r="85" spans="1:3" x14ac:dyDescent="0.25">
      <c r="A85">
        <v>84</v>
      </c>
      <c r="B85" t="s">
        <v>12100</v>
      </c>
      <c r="C85" t="s">
        <v>13392</v>
      </c>
    </row>
    <row r="86" spans="1:3" x14ac:dyDescent="0.25">
      <c r="A86">
        <v>85</v>
      </c>
      <c r="B86" t="s">
        <v>12102</v>
      </c>
      <c r="C86" t="s">
        <v>13393</v>
      </c>
    </row>
    <row r="87" spans="1:3" x14ac:dyDescent="0.25">
      <c r="A87">
        <v>86</v>
      </c>
      <c r="B87" t="s">
        <v>12103</v>
      </c>
      <c r="C87" t="s">
        <v>13394</v>
      </c>
    </row>
    <row r="88" spans="1:3" x14ac:dyDescent="0.25">
      <c r="A88">
        <v>87</v>
      </c>
      <c r="B88" t="s">
        <v>12105</v>
      </c>
      <c r="C88" t="s">
        <v>13395</v>
      </c>
    </row>
    <row r="89" spans="1:3" x14ac:dyDescent="0.25">
      <c r="A89">
        <v>88</v>
      </c>
      <c r="B89" t="s">
        <v>12106</v>
      </c>
      <c r="C89" t="s">
        <v>13396</v>
      </c>
    </row>
    <row r="90" spans="1:3" x14ac:dyDescent="0.25">
      <c r="A90">
        <v>89</v>
      </c>
      <c r="B90" t="s">
        <v>12107</v>
      </c>
      <c r="C90" t="s">
        <v>13397</v>
      </c>
    </row>
    <row r="91" spans="1:3" x14ac:dyDescent="0.25">
      <c r="A91">
        <v>90</v>
      </c>
      <c r="B91" t="s">
        <v>12108</v>
      </c>
      <c r="C91" t="s">
        <v>13398</v>
      </c>
    </row>
    <row r="92" spans="1:3" x14ac:dyDescent="0.25">
      <c r="A92">
        <v>91</v>
      </c>
      <c r="B92" t="s">
        <v>12110</v>
      </c>
      <c r="C92" t="s">
        <v>13399</v>
      </c>
    </row>
    <row r="93" spans="1:3" x14ac:dyDescent="0.25">
      <c r="A93">
        <v>92</v>
      </c>
      <c r="B93" t="s">
        <v>12043</v>
      </c>
      <c r="C93" t="s">
        <v>13400</v>
      </c>
    </row>
    <row r="94" spans="1:3" x14ac:dyDescent="0.25">
      <c r="A94">
        <v>93</v>
      </c>
      <c r="B94" t="s">
        <v>12046</v>
      </c>
      <c r="C94" t="s">
        <v>13401</v>
      </c>
    </row>
    <row r="95" spans="1:3" x14ac:dyDescent="0.25">
      <c r="A95">
        <v>94</v>
      </c>
      <c r="B95" t="s">
        <v>12052</v>
      </c>
      <c r="C95" t="s">
        <v>13402</v>
      </c>
    </row>
    <row r="96" spans="1:3" x14ac:dyDescent="0.25">
      <c r="A96">
        <v>95</v>
      </c>
      <c r="B96" t="s">
        <v>12081</v>
      </c>
      <c r="C96" t="s">
        <v>13403</v>
      </c>
    </row>
    <row r="97" spans="1:3" x14ac:dyDescent="0.25">
      <c r="A97">
        <v>96</v>
      </c>
      <c r="B97" t="s">
        <v>12127</v>
      </c>
      <c r="C97" t="s">
        <v>13404</v>
      </c>
    </row>
    <row r="98" spans="1:3" x14ac:dyDescent="0.25">
      <c r="A98">
        <v>97</v>
      </c>
      <c r="B98" t="s">
        <v>12143</v>
      </c>
      <c r="C98" t="s">
        <v>13405</v>
      </c>
    </row>
    <row r="99" spans="1:3" x14ac:dyDescent="0.25">
      <c r="A99">
        <v>98</v>
      </c>
      <c r="B99" t="s">
        <v>12166</v>
      </c>
      <c r="C99" t="s">
        <v>13406</v>
      </c>
    </row>
    <row r="100" spans="1:3" x14ac:dyDescent="0.25">
      <c r="A100">
        <v>99</v>
      </c>
      <c r="B100" t="s">
        <v>12168</v>
      </c>
      <c r="C100" t="s">
        <v>13407</v>
      </c>
    </row>
    <row r="101" spans="1:3" x14ac:dyDescent="0.25">
      <c r="A101">
        <v>100</v>
      </c>
      <c r="B101" t="s">
        <v>12171</v>
      </c>
      <c r="C101" t="s">
        <v>13408</v>
      </c>
    </row>
    <row r="102" spans="1:3" x14ac:dyDescent="0.25">
      <c r="A102">
        <v>101</v>
      </c>
      <c r="B102" t="s">
        <v>12176</v>
      </c>
      <c r="C102" t="s">
        <v>13409</v>
      </c>
    </row>
    <row r="103" spans="1:3" x14ac:dyDescent="0.25">
      <c r="A103">
        <v>102</v>
      </c>
      <c r="B103" t="s">
        <v>12181</v>
      </c>
      <c r="C103" t="s">
        <v>13410</v>
      </c>
    </row>
    <row r="104" spans="1:3" x14ac:dyDescent="0.25">
      <c r="A104">
        <v>103</v>
      </c>
      <c r="B104" t="s">
        <v>12184</v>
      </c>
      <c r="C104" t="s">
        <v>13411</v>
      </c>
    </row>
    <row r="105" spans="1:3" x14ac:dyDescent="0.25">
      <c r="A105">
        <v>104</v>
      </c>
      <c r="B105" t="s">
        <v>12104</v>
      </c>
      <c r="C105" t="s">
        <v>13412</v>
      </c>
    </row>
    <row r="106" spans="1:3" x14ac:dyDescent="0.25">
      <c r="A106">
        <v>105</v>
      </c>
      <c r="B106" t="s">
        <v>12217</v>
      </c>
      <c r="C106" t="s">
        <v>13413</v>
      </c>
    </row>
    <row r="107" spans="1:3" x14ac:dyDescent="0.25">
      <c r="A107">
        <v>106</v>
      </c>
      <c r="B107" t="s">
        <v>12109</v>
      </c>
      <c r="C107" t="s">
        <v>13414</v>
      </c>
    </row>
    <row r="108" spans="1:3" x14ac:dyDescent="0.25">
      <c r="A108">
        <v>107</v>
      </c>
      <c r="B108" t="s">
        <v>12210</v>
      </c>
      <c r="C108" t="s">
        <v>13415</v>
      </c>
    </row>
    <row r="109" spans="1:3" x14ac:dyDescent="0.25">
      <c r="A109">
        <v>108</v>
      </c>
      <c r="B109" t="s">
        <v>12117</v>
      </c>
      <c r="C109" t="s">
        <v>13416</v>
      </c>
    </row>
    <row r="110" spans="1:3" x14ac:dyDescent="0.25">
      <c r="A110">
        <v>109</v>
      </c>
      <c r="B110" t="s">
        <v>12209</v>
      </c>
      <c r="C110" t="s">
        <v>13417</v>
      </c>
    </row>
    <row r="111" spans="1:3" x14ac:dyDescent="0.25">
      <c r="A111">
        <v>110</v>
      </c>
      <c r="B111" t="s">
        <v>12124</v>
      </c>
      <c r="C111" t="s">
        <v>13418</v>
      </c>
    </row>
    <row r="112" spans="1:3" x14ac:dyDescent="0.25">
      <c r="A112">
        <v>111</v>
      </c>
      <c r="B112" t="s">
        <v>12132</v>
      </c>
      <c r="C112" t="s">
        <v>13419</v>
      </c>
    </row>
    <row r="113" spans="1:3" x14ac:dyDescent="0.25">
      <c r="A113">
        <v>112</v>
      </c>
      <c r="B113" t="s">
        <v>12133</v>
      </c>
      <c r="C113" t="s">
        <v>13420</v>
      </c>
    </row>
    <row r="114" spans="1:3" x14ac:dyDescent="0.25">
      <c r="A114">
        <v>113</v>
      </c>
      <c r="B114" t="s">
        <v>12134</v>
      </c>
      <c r="C114" t="s">
        <v>13421</v>
      </c>
    </row>
    <row r="115" spans="1:3" x14ac:dyDescent="0.25">
      <c r="A115">
        <v>114</v>
      </c>
      <c r="B115" t="s">
        <v>12151</v>
      </c>
      <c r="C115" t="s">
        <v>13422</v>
      </c>
    </row>
    <row r="116" spans="1:3" x14ac:dyDescent="0.25">
      <c r="A116">
        <v>115</v>
      </c>
      <c r="B116" t="s">
        <v>12153</v>
      </c>
      <c r="C116" t="s">
        <v>13423</v>
      </c>
    </row>
    <row r="117" spans="1:3" x14ac:dyDescent="0.25">
      <c r="A117">
        <v>116</v>
      </c>
      <c r="B117" t="s">
        <v>12111</v>
      </c>
      <c r="C117" t="s">
        <v>13424</v>
      </c>
    </row>
    <row r="118" spans="1:3" x14ac:dyDescent="0.25">
      <c r="A118">
        <v>117</v>
      </c>
      <c r="B118" t="s">
        <v>12112</v>
      </c>
      <c r="C118" t="s">
        <v>13425</v>
      </c>
    </row>
    <row r="119" spans="1:3" x14ac:dyDescent="0.25">
      <c r="A119">
        <v>118</v>
      </c>
      <c r="B119" t="s">
        <v>12113</v>
      </c>
      <c r="C119" t="s">
        <v>13426</v>
      </c>
    </row>
    <row r="120" spans="1:3" x14ac:dyDescent="0.25">
      <c r="A120">
        <v>119</v>
      </c>
      <c r="B120" t="s">
        <v>12114</v>
      </c>
      <c r="C120" t="s">
        <v>13427</v>
      </c>
    </row>
    <row r="121" spans="1:3" x14ac:dyDescent="0.25">
      <c r="A121">
        <v>120</v>
      </c>
      <c r="B121" t="s">
        <v>12211</v>
      </c>
      <c r="C121" t="s">
        <v>13428</v>
      </c>
    </row>
    <row r="122" spans="1:3" x14ac:dyDescent="0.25">
      <c r="A122">
        <v>121</v>
      </c>
      <c r="B122" t="s">
        <v>12115</v>
      </c>
      <c r="C122" t="s">
        <v>13429</v>
      </c>
    </row>
    <row r="123" spans="1:3" x14ac:dyDescent="0.25">
      <c r="A123">
        <v>122</v>
      </c>
      <c r="B123" t="s">
        <v>12116</v>
      </c>
      <c r="C123" t="s">
        <v>13430</v>
      </c>
    </row>
    <row r="124" spans="1:3" x14ac:dyDescent="0.25">
      <c r="A124">
        <v>123</v>
      </c>
      <c r="B124" t="s">
        <v>12118</v>
      </c>
      <c r="C124" t="s">
        <v>13431</v>
      </c>
    </row>
    <row r="125" spans="1:3" x14ac:dyDescent="0.25">
      <c r="A125">
        <v>124</v>
      </c>
      <c r="B125" t="s">
        <v>12119</v>
      </c>
      <c r="C125" t="s">
        <v>13432</v>
      </c>
    </row>
    <row r="126" spans="1:3" x14ac:dyDescent="0.25">
      <c r="A126">
        <v>125</v>
      </c>
      <c r="B126" t="s">
        <v>12205</v>
      </c>
      <c r="C126" t="s">
        <v>13433</v>
      </c>
    </row>
    <row r="127" spans="1:3" x14ac:dyDescent="0.25">
      <c r="A127">
        <v>126</v>
      </c>
      <c r="B127" t="s">
        <v>12161</v>
      </c>
      <c r="C127" t="s">
        <v>13434</v>
      </c>
    </row>
    <row r="128" spans="1:3" x14ac:dyDescent="0.25">
      <c r="A128">
        <v>127</v>
      </c>
      <c r="B128" t="s">
        <v>12195</v>
      </c>
      <c r="C128" t="s">
        <v>13435</v>
      </c>
    </row>
    <row r="129" spans="1:3" x14ac:dyDescent="0.25">
      <c r="A129">
        <v>128</v>
      </c>
      <c r="B129" t="s">
        <v>12198</v>
      </c>
      <c r="C129" t="s">
        <v>13436</v>
      </c>
    </row>
    <row r="130" spans="1:3" x14ac:dyDescent="0.25">
      <c r="A130">
        <v>129</v>
      </c>
      <c r="B130" t="s">
        <v>12201</v>
      </c>
      <c r="C130" t="s">
        <v>13437</v>
      </c>
    </row>
    <row r="131" spans="1:3" x14ac:dyDescent="0.25">
      <c r="A131">
        <v>130</v>
      </c>
      <c r="B131" t="s">
        <v>12120</v>
      </c>
      <c r="C131" t="s">
        <v>13438</v>
      </c>
    </row>
    <row r="132" spans="1:3" x14ac:dyDescent="0.25">
      <c r="A132">
        <v>131</v>
      </c>
      <c r="B132" t="s">
        <v>12121</v>
      </c>
      <c r="C132" t="s">
        <v>13439</v>
      </c>
    </row>
    <row r="133" spans="1:3" x14ac:dyDescent="0.25">
      <c r="A133">
        <v>132</v>
      </c>
      <c r="B133" t="s">
        <v>12122</v>
      </c>
      <c r="C133" t="s">
        <v>13440</v>
      </c>
    </row>
    <row r="134" spans="1:3" x14ac:dyDescent="0.25">
      <c r="A134">
        <v>133</v>
      </c>
      <c r="B134" t="s">
        <v>12123</v>
      </c>
      <c r="C134" t="s">
        <v>13441</v>
      </c>
    </row>
    <row r="135" spans="1:3" x14ac:dyDescent="0.25">
      <c r="A135">
        <v>134</v>
      </c>
      <c r="B135" t="s">
        <v>12125</v>
      </c>
      <c r="C135" t="s">
        <v>13442</v>
      </c>
    </row>
    <row r="136" spans="1:3" x14ac:dyDescent="0.25">
      <c r="A136">
        <v>135</v>
      </c>
      <c r="B136" t="s">
        <v>12126</v>
      </c>
      <c r="C136" t="s">
        <v>13443</v>
      </c>
    </row>
    <row r="137" spans="1:3" x14ac:dyDescent="0.25">
      <c r="A137">
        <v>136</v>
      </c>
      <c r="B137" t="s">
        <v>12128</v>
      </c>
      <c r="C137" t="s">
        <v>13444</v>
      </c>
    </row>
    <row r="138" spans="1:3" x14ac:dyDescent="0.25">
      <c r="A138">
        <v>137</v>
      </c>
      <c r="B138" t="s">
        <v>12129</v>
      </c>
      <c r="C138" t="s">
        <v>13445</v>
      </c>
    </row>
    <row r="139" spans="1:3" x14ac:dyDescent="0.25">
      <c r="A139">
        <v>138</v>
      </c>
      <c r="B139" t="s">
        <v>12130</v>
      </c>
      <c r="C139" t="s">
        <v>13446</v>
      </c>
    </row>
    <row r="140" spans="1:3" x14ac:dyDescent="0.25">
      <c r="A140">
        <v>139</v>
      </c>
      <c r="B140" t="s">
        <v>12131</v>
      </c>
      <c r="C140" t="s">
        <v>13447</v>
      </c>
    </row>
    <row r="141" spans="1:3" x14ac:dyDescent="0.25">
      <c r="A141">
        <v>140</v>
      </c>
      <c r="B141" t="s">
        <v>12208</v>
      </c>
      <c r="C141" t="s">
        <v>13448</v>
      </c>
    </row>
    <row r="142" spans="1:3" x14ac:dyDescent="0.25">
      <c r="A142">
        <v>141</v>
      </c>
      <c r="B142" t="s">
        <v>12135</v>
      </c>
      <c r="C142" t="s">
        <v>13449</v>
      </c>
    </row>
    <row r="143" spans="1:3" x14ac:dyDescent="0.25">
      <c r="A143">
        <v>142</v>
      </c>
      <c r="B143" t="s">
        <v>12136</v>
      </c>
      <c r="C143" t="s">
        <v>13450</v>
      </c>
    </row>
    <row r="144" spans="1:3" x14ac:dyDescent="0.25">
      <c r="A144">
        <v>143</v>
      </c>
      <c r="B144" t="s">
        <v>12207</v>
      </c>
      <c r="C144" t="s">
        <v>13451</v>
      </c>
    </row>
    <row r="145" spans="1:3" x14ac:dyDescent="0.25">
      <c r="A145">
        <v>144</v>
      </c>
      <c r="B145" t="s">
        <v>12137</v>
      </c>
      <c r="C145" t="s">
        <v>13452</v>
      </c>
    </row>
    <row r="146" spans="1:3" x14ac:dyDescent="0.25">
      <c r="A146">
        <v>145</v>
      </c>
      <c r="B146" t="s">
        <v>12138</v>
      </c>
      <c r="C146" t="s">
        <v>13453</v>
      </c>
    </row>
    <row r="147" spans="1:3" x14ac:dyDescent="0.25">
      <c r="A147">
        <v>146</v>
      </c>
      <c r="B147" t="s">
        <v>12139</v>
      </c>
      <c r="C147" t="s">
        <v>13454</v>
      </c>
    </row>
    <row r="148" spans="1:3" x14ac:dyDescent="0.25">
      <c r="A148">
        <v>147</v>
      </c>
      <c r="B148" t="s">
        <v>12140</v>
      </c>
      <c r="C148" t="s">
        <v>13455</v>
      </c>
    </row>
    <row r="149" spans="1:3" x14ac:dyDescent="0.25">
      <c r="A149">
        <v>148</v>
      </c>
      <c r="B149" t="s">
        <v>12141</v>
      </c>
      <c r="C149" t="s">
        <v>13456</v>
      </c>
    </row>
    <row r="150" spans="1:3" x14ac:dyDescent="0.25">
      <c r="A150">
        <v>149</v>
      </c>
      <c r="B150" t="s">
        <v>12142</v>
      </c>
      <c r="C150" t="s">
        <v>13457</v>
      </c>
    </row>
    <row r="151" spans="1:3" x14ac:dyDescent="0.25">
      <c r="A151">
        <v>150</v>
      </c>
      <c r="B151" t="s">
        <v>12144</v>
      </c>
      <c r="C151" t="s">
        <v>13458</v>
      </c>
    </row>
    <row r="152" spans="1:3" x14ac:dyDescent="0.25">
      <c r="A152">
        <v>151</v>
      </c>
      <c r="B152" t="s">
        <v>12145</v>
      </c>
      <c r="C152" t="s">
        <v>13459</v>
      </c>
    </row>
    <row r="153" spans="1:3" x14ac:dyDescent="0.25">
      <c r="A153">
        <v>152</v>
      </c>
      <c r="B153" t="s">
        <v>12146</v>
      </c>
      <c r="C153" t="s">
        <v>13460</v>
      </c>
    </row>
    <row r="154" spans="1:3" x14ac:dyDescent="0.25">
      <c r="A154">
        <v>153</v>
      </c>
      <c r="B154" t="s">
        <v>12147</v>
      </c>
      <c r="C154" t="s">
        <v>13461</v>
      </c>
    </row>
    <row r="155" spans="1:3" x14ac:dyDescent="0.25">
      <c r="A155">
        <v>154</v>
      </c>
      <c r="B155" t="s">
        <v>12148</v>
      </c>
      <c r="C155" t="s">
        <v>13462</v>
      </c>
    </row>
    <row r="156" spans="1:3" x14ac:dyDescent="0.25">
      <c r="A156">
        <v>155</v>
      </c>
      <c r="B156" t="s">
        <v>12149</v>
      </c>
      <c r="C156" t="s">
        <v>13463</v>
      </c>
    </row>
    <row r="157" spans="1:3" x14ac:dyDescent="0.25">
      <c r="A157">
        <v>156</v>
      </c>
      <c r="B157" t="s">
        <v>12150</v>
      </c>
      <c r="C157" t="s">
        <v>13464</v>
      </c>
    </row>
    <row r="158" spans="1:3" x14ac:dyDescent="0.25">
      <c r="A158">
        <v>157</v>
      </c>
      <c r="B158" t="s">
        <v>12152</v>
      </c>
      <c r="C158" t="s">
        <v>13465</v>
      </c>
    </row>
    <row r="159" spans="1:3" x14ac:dyDescent="0.25">
      <c r="A159">
        <v>158</v>
      </c>
      <c r="B159" t="s">
        <v>12154</v>
      </c>
      <c r="C159" t="s">
        <v>13466</v>
      </c>
    </row>
    <row r="160" spans="1:3" x14ac:dyDescent="0.25">
      <c r="A160">
        <v>159</v>
      </c>
      <c r="B160" t="s">
        <v>12155</v>
      </c>
      <c r="C160" t="s">
        <v>13467</v>
      </c>
    </row>
    <row r="161" spans="1:3" x14ac:dyDescent="0.25">
      <c r="A161">
        <v>160</v>
      </c>
      <c r="B161" t="s">
        <v>12156</v>
      </c>
      <c r="C161" t="s">
        <v>13468</v>
      </c>
    </row>
    <row r="162" spans="1:3" x14ac:dyDescent="0.25">
      <c r="A162">
        <v>161</v>
      </c>
      <c r="B162" t="s">
        <v>12157</v>
      </c>
      <c r="C162" t="s">
        <v>13469</v>
      </c>
    </row>
    <row r="163" spans="1:3" x14ac:dyDescent="0.25">
      <c r="A163">
        <v>162</v>
      </c>
      <c r="B163" t="s">
        <v>12158</v>
      </c>
      <c r="C163" t="s">
        <v>13470</v>
      </c>
    </row>
    <row r="164" spans="1:3" x14ac:dyDescent="0.25">
      <c r="A164">
        <v>163</v>
      </c>
      <c r="B164" t="s">
        <v>12159</v>
      </c>
      <c r="C164" t="s">
        <v>13471</v>
      </c>
    </row>
    <row r="165" spans="1:3" x14ac:dyDescent="0.25">
      <c r="A165">
        <v>164</v>
      </c>
      <c r="B165" t="s">
        <v>12160</v>
      </c>
      <c r="C165" t="s">
        <v>13472</v>
      </c>
    </row>
    <row r="166" spans="1:3" x14ac:dyDescent="0.25">
      <c r="A166">
        <v>165</v>
      </c>
      <c r="B166" t="s">
        <v>12162</v>
      </c>
      <c r="C166" t="s">
        <v>13473</v>
      </c>
    </row>
    <row r="167" spans="1:3" x14ac:dyDescent="0.25">
      <c r="A167">
        <v>166</v>
      </c>
      <c r="B167" t="s">
        <v>12164</v>
      </c>
      <c r="C167" t="s">
        <v>13474</v>
      </c>
    </row>
    <row r="168" spans="1:3" x14ac:dyDescent="0.25">
      <c r="A168">
        <v>167</v>
      </c>
      <c r="B168" t="s">
        <v>12165</v>
      </c>
      <c r="C168" t="s">
        <v>13475</v>
      </c>
    </row>
    <row r="169" spans="1:3" x14ac:dyDescent="0.25">
      <c r="A169">
        <v>168</v>
      </c>
      <c r="B169" t="s">
        <v>12167</v>
      </c>
      <c r="C169" t="s">
        <v>13476</v>
      </c>
    </row>
    <row r="170" spans="1:3" x14ac:dyDescent="0.25">
      <c r="A170">
        <v>169</v>
      </c>
      <c r="B170" t="s">
        <v>12169</v>
      </c>
      <c r="C170" t="s">
        <v>13477</v>
      </c>
    </row>
    <row r="171" spans="1:3" x14ac:dyDescent="0.25">
      <c r="A171">
        <v>170</v>
      </c>
      <c r="B171" t="s">
        <v>12170</v>
      </c>
      <c r="C171" t="s">
        <v>13478</v>
      </c>
    </row>
    <row r="172" spans="1:3" x14ac:dyDescent="0.25">
      <c r="A172">
        <v>171</v>
      </c>
      <c r="B172" t="s">
        <v>12172</v>
      </c>
      <c r="C172" t="s">
        <v>13479</v>
      </c>
    </row>
    <row r="173" spans="1:3" x14ac:dyDescent="0.25">
      <c r="A173">
        <v>172</v>
      </c>
      <c r="B173" t="s">
        <v>12173</v>
      </c>
      <c r="C173" t="s">
        <v>13480</v>
      </c>
    </row>
    <row r="174" spans="1:3" x14ac:dyDescent="0.25">
      <c r="A174">
        <v>173</v>
      </c>
      <c r="B174" t="s">
        <v>12174</v>
      </c>
      <c r="C174" t="s">
        <v>13481</v>
      </c>
    </row>
    <row r="175" spans="1:3" x14ac:dyDescent="0.25">
      <c r="A175">
        <v>174</v>
      </c>
      <c r="B175" t="s">
        <v>12175</v>
      </c>
      <c r="C175" t="s">
        <v>13482</v>
      </c>
    </row>
    <row r="176" spans="1:3" x14ac:dyDescent="0.25">
      <c r="A176">
        <v>175</v>
      </c>
      <c r="B176" t="s">
        <v>12177</v>
      </c>
      <c r="C176" t="s">
        <v>13483</v>
      </c>
    </row>
    <row r="177" spans="1:3" x14ac:dyDescent="0.25">
      <c r="A177">
        <v>176</v>
      </c>
      <c r="B177" t="s">
        <v>12178</v>
      </c>
      <c r="C177" t="s">
        <v>13484</v>
      </c>
    </row>
    <row r="178" spans="1:3" x14ac:dyDescent="0.25">
      <c r="A178">
        <v>177</v>
      </c>
      <c r="B178" t="s">
        <v>12179</v>
      </c>
      <c r="C178" t="s">
        <v>13485</v>
      </c>
    </row>
    <row r="179" spans="1:3" x14ac:dyDescent="0.25">
      <c r="A179">
        <v>178</v>
      </c>
      <c r="B179" t="s">
        <v>12206</v>
      </c>
      <c r="C179" t="s">
        <v>13486</v>
      </c>
    </row>
    <row r="180" spans="1:3" x14ac:dyDescent="0.25">
      <c r="A180">
        <v>179</v>
      </c>
      <c r="B180" t="s">
        <v>12180</v>
      </c>
      <c r="C180" t="s">
        <v>13487</v>
      </c>
    </row>
    <row r="181" spans="1:3" x14ac:dyDescent="0.25">
      <c r="A181">
        <v>180</v>
      </c>
      <c r="B181" t="s">
        <v>12182</v>
      </c>
      <c r="C181" t="s">
        <v>13488</v>
      </c>
    </row>
    <row r="182" spans="1:3" x14ac:dyDescent="0.25">
      <c r="A182">
        <v>181</v>
      </c>
      <c r="B182" t="s">
        <v>12183</v>
      </c>
      <c r="C182" t="s">
        <v>13489</v>
      </c>
    </row>
    <row r="183" spans="1:3" x14ac:dyDescent="0.25">
      <c r="A183">
        <v>182</v>
      </c>
      <c r="B183" t="s">
        <v>12185</v>
      </c>
      <c r="C183" t="s">
        <v>13490</v>
      </c>
    </row>
    <row r="184" spans="1:3" x14ac:dyDescent="0.25">
      <c r="A184">
        <v>183</v>
      </c>
      <c r="B184" t="s">
        <v>12186</v>
      </c>
      <c r="C184" t="s">
        <v>13491</v>
      </c>
    </row>
    <row r="185" spans="1:3" x14ac:dyDescent="0.25">
      <c r="A185">
        <v>184</v>
      </c>
      <c r="B185" t="s">
        <v>12187</v>
      </c>
      <c r="C185" t="s">
        <v>13492</v>
      </c>
    </row>
    <row r="186" spans="1:3" x14ac:dyDescent="0.25">
      <c r="A186">
        <v>185</v>
      </c>
      <c r="B186" t="s">
        <v>12188</v>
      </c>
      <c r="C186" t="s">
        <v>13493</v>
      </c>
    </row>
    <row r="187" spans="1:3" x14ac:dyDescent="0.25">
      <c r="A187">
        <v>186</v>
      </c>
      <c r="B187" t="s">
        <v>12189</v>
      </c>
      <c r="C187" t="s">
        <v>13494</v>
      </c>
    </row>
    <row r="188" spans="1:3" x14ac:dyDescent="0.25">
      <c r="A188">
        <v>187</v>
      </c>
      <c r="B188" t="s">
        <v>12191</v>
      </c>
      <c r="C188" t="s">
        <v>13495</v>
      </c>
    </row>
    <row r="189" spans="1:3" x14ac:dyDescent="0.25">
      <c r="A189">
        <v>188</v>
      </c>
      <c r="B189" t="s">
        <v>12193</v>
      </c>
      <c r="C189" t="s">
        <v>13496</v>
      </c>
    </row>
    <row r="190" spans="1:3" x14ac:dyDescent="0.25">
      <c r="A190">
        <v>189</v>
      </c>
      <c r="B190" t="s">
        <v>12194</v>
      </c>
      <c r="C190" t="s">
        <v>13497</v>
      </c>
    </row>
    <row r="191" spans="1:3" x14ac:dyDescent="0.25">
      <c r="A191">
        <v>190</v>
      </c>
      <c r="B191" t="s">
        <v>12196</v>
      </c>
      <c r="C191" t="s">
        <v>13498</v>
      </c>
    </row>
    <row r="192" spans="1:3" x14ac:dyDescent="0.25">
      <c r="A192">
        <v>191</v>
      </c>
      <c r="B192" t="s">
        <v>12197</v>
      </c>
      <c r="C192" t="s">
        <v>13499</v>
      </c>
    </row>
    <row r="193" spans="1:3" x14ac:dyDescent="0.25">
      <c r="A193">
        <v>192</v>
      </c>
      <c r="B193" t="s">
        <v>12199</v>
      </c>
      <c r="C193" t="s">
        <v>13500</v>
      </c>
    </row>
    <row r="194" spans="1:3" x14ac:dyDescent="0.25">
      <c r="A194">
        <v>193</v>
      </c>
      <c r="B194" t="s">
        <v>12200</v>
      </c>
      <c r="C194" t="s">
        <v>13501</v>
      </c>
    </row>
    <row r="195" spans="1:3" x14ac:dyDescent="0.25">
      <c r="A195">
        <v>194</v>
      </c>
      <c r="B195" t="s">
        <v>12202</v>
      </c>
      <c r="C195" t="s">
        <v>13502</v>
      </c>
    </row>
    <row r="196" spans="1:3" x14ac:dyDescent="0.25">
      <c r="A196">
        <v>195</v>
      </c>
      <c r="B196" t="s">
        <v>12204</v>
      </c>
      <c r="C196" t="s">
        <v>13503</v>
      </c>
    </row>
    <row r="197" spans="1:3" x14ac:dyDescent="0.25">
      <c r="A197">
        <v>196</v>
      </c>
      <c r="B197" t="s">
        <v>12203</v>
      </c>
      <c r="C197" t="s">
        <v>13504</v>
      </c>
    </row>
    <row r="198" spans="1:3" x14ac:dyDescent="0.25">
      <c r="A198">
        <v>197</v>
      </c>
      <c r="B198" t="s">
        <v>12215</v>
      </c>
      <c r="C198" t="s">
        <v>13505</v>
      </c>
    </row>
    <row r="199" spans="1:3" x14ac:dyDescent="0.25">
      <c r="A199">
        <v>198</v>
      </c>
      <c r="B199" t="s">
        <v>12009</v>
      </c>
      <c r="C199" t="s">
        <v>13506</v>
      </c>
    </row>
    <row r="200" spans="1:3" x14ac:dyDescent="0.25">
      <c r="A200">
        <v>199</v>
      </c>
      <c r="B200" t="s">
        <v>12010</v>
      </c>
      <c r="C200" t="s">
        <v>13507</v>
      </c>
    </row>
    <row r="201" spans="1:3" x14ac:dyDescent="0.25">
      <c r="A201">
        <v>200</v>
      </c>
      <c r="B201" t="s">
        <v>12011</v>
      </c>
      <c r="C201" t="s">
        <v>13508</v>
      </c>
    </row>
    <row r="202" spans="1:3" x14ac:dyDescent="0.25">
      <c r="A202">
        <v>201</v>
      </c>
      <c r="B202" t="s">
        <v>12012</v>
      </c>
      <c r="C202" t="s">
        <v>13509</v>
      </c>
    </row>
    <row r="203" spans="1:3" x14ac:dyDescent="0.25">
      <c r="A203">
        <v>202</v>
      </c>
      <c r="B203" t="s">
        <v>12013</v>
      </c>
      <c r="C203" t="s">
        <v>13510</v>
      </c>
    </row>
    <row r="204" spans="1:3" x14ac:dyDescent="0.25">
      <c r="A204">
        <v>203</v>
      </c>
      <c r="B204" t="s">
        <v>12014</v>
      </c>
      <c r="C204" t="s">
        <v>13511</v>
      </c>
    </row>
    <row r="205" spans="1:3" x14ac:dyDescent="0.25">
      <c r="A205">
        <v>204</v>
      </c>
      <c r="B205" t="s">
        <v>12015</v>
      </c>
      <c r="C205" t="s">
        <v>13512</v>
      </c>
    </row>
    <row r="206" spans="1:3" x14ac:dyDescent="0.25">
      <c r="A206">
        <v>205</v>
      </c>
      <c r="B206" t="s">
        <v>12016</v>
      </c>
      <c r="C206" t="s">
        <v>13513</v>
      </c>
    </row>
    <row r="207" spans="1:3" x14ac:dyDescent="0.25">
      <c r="A207">
        <v>206</v>
      </c>
      <c r="B207" t="s">
        <v>12017</v>
      </c>
      <c r="C207" t="s">
        <v>13514</v>
      </c>
    </row>
    <row r="208" spans="1:3" x14ac:dyDescent="0.25">
      <c r="A208">
        <v>207</v>
      </c>
      <c r="B208" t="s">
        <v>12018</v>
      </c>
      <c r="C208" t="s">
        <v>13515</v>
      </c>
    </row>
    <row r="209" spans="1:3" x14ac:dyDescent="0.25">
      <c r="A209">
        <v>208</v>
      </c>
      <c r="B209" t="s">
        <v>12020</v>
      </c>
      <c r="C209" t="s">
        <v>13516</v>
      </c>
    </row>
    <row r="210" spans="1:3" x14ac:dyDescent="0.25">
      <c r="A210">
        <v>209</v>
      </c>
      <c r="B210" t="s">
        <v>12022</v>
      </c>
      <c r="C210" t="s">
        <v>13517</v>
      </c>
    </row>
    <row r="211" spans="1:3" x14ac:dyDescent="0.25">
      <c r="A211">
        <v>210</v>
      </c>
      <c r="B211" t="s">
        <v>12023</v>
      </c>
      <c r="C211" t="s">
        <v>13518</v>
      </c>
    </row>
    <row r="212" spans="1:3" x14ac:dyDescent="0.25">
      <c r="A212">
        <v>211</v>
      </c>
      <c r="B212" t="s">
        <v>12024</v>
      </c>
      <c r="C212" t="s">
        <v>13519</v>
      </c>
    </row>
    <row r="213" spans="1:3" x14ac:dyDescent="0.25">
      <c r="A213">
        <v>212</v>
      </c>
      <c r="B213" t="s">
        <v>12026</v>
      </c>
      <c r="C213" t="s">
        <v>13520</v>
      </c>
    </row>
    <row r="214" spans="1:3" x14ac:dyDescent="0.25">
      <c r="A214">
        <v>213</v>
      </c>
      <c r="B214" t="s">
        <v>12027</v>
      </c>
      <c r="C214" t="s">
        <v>13521</v>
      </c>
    </row>
    <row r="215" spans="1:3" x14ac:dyDescent="0.25">
      <c r="A215">
        <v>214</v>
      </c>
      <c r="B215" t="s">
        <v>12212</v>
      </c>
      <c r="C215" t="s">
        <v>13522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T-PAK</vt:lpstr>
      <vt:lpstr>Active cases</vt:lpstr>
      <vt:lpstr>working</vt:lpstr>
      <vt:lpstr>Sheet2</vt:lpstr>
      <vt:lpstr>policy</vt:lpstr>
      <vt:lpstr>Hold cases</vt:lpstr>
      <vt:lpstr>working1</vt:lpstr>
      <vt:lpstr>Sheet5</vt:lpstr>
      <vt:lpstr>policy1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Safi Ul Islam</dc:creator>
  <cp:lastModifiedBy>IT User Software</cp:lastModifiedBy>
  <dcterms:created xsi:type="dcterms:W3CDTF">2024-12-30T09:41:46Z</dcterms:created>
  <dcterms:modified xsi:type="dcterms:W3CDTF">2025-01-01T06:31:11Z</dcterms:modified>
</cp:coreProperties>
</file>