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Raheel Malik\02-Dec-2024\"/>
    </mc:Choice>
  </mc:AlternateContent>
  <xr:revisionPtr revIDLastSave="0" documentId="13_ncr:1_{DE66E20E-9E54-437A-9CC6-F2BC9BD663A6}" xr6:coauthVersionLast="47" xr6:coauthVersionMax="47" xr10:uidLastSave="{00000000-0000-0000-0000-000000000000}"/>
  <bookViews>
    <workbookView xWindow="-120" yWindow="-120" windowWidth="20730" windowHeight="11040" activeTab="4" xr2:uid="{5C2CC574-83C8-46DB-9B1E-A9537E9BB01A}"/>
  </bookViews>
  <sheets>
    <sheet name="Fresh" sheetId="1" r:id="rId1"/>
    <sheet name="working" sheetId="3" r:id="rId2"/>
    <sheet name="Sheet2" sheetId="4" r:id="rId3"/>
    <sheet name="policy" sheetId="5" r:id="rId4"/>
    <sheet name="Renewal" sheetId="2" r:id="rId5"/>
    <sheet name="working1" sheetId="6" r:id="rId6"/>
    <sheet name="Sheet5" sheetId="7" r:id="rId7"/>
    <sheet name="policy1" sheetId="8" r:id="rId8"/>
  </sheets>
  <definedNames>
    <definedName name="_xlnm._FilterDatabase" localSheetId="0" hidden="1">Fresh!$A$1:$AH$53</definedName>
    <definedName name="_xlnm._FilterDatabase" localSheetId="4" hidden="1">Renewal!$A$1:$AH$172</definedName>
    <definedName name="_xlnm._FilterDatabase" localSheetId="2" hidden="1">Sheet2!$H$1:$I$53</definedName>
    <definedName name="_xlnm._FilterDatabase" localSheetId="6" hidden="1">Sheet5!$H$1:$H$172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3" i="6" l="1"/>
  <c r="D173" i="6"/>
  <c r="C54" i="3"/>
  <c r="D5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2" i="3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2" i="6"/>
  <c r="D2" i="6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2" i="6"/>
  <c r="F2" i="6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2" i="3"/>
  <c r="F2" i="3"/>
  <c r="D2" i="3"/>
  <c r="H2" i="6" l="1"/>
  <c r="H2" i="3"/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2" i="7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2" i="4"/>
  <c r="AG174" i="2" l="1"/>
  <c r="Y174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2" i="2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2" i="1"/>
  <c r="AG55" i="1"/>
  <c r="Y55" i="1"/>
</calcChain>
</file>

<file path=xl/sharedStrings.xml><?xml version="1.0" encoding="utf-8"?>
<sst xmlns="http://schemas.openxmlformats.org/spreadsheetml/2006/main" count="5242" uniqueCount="2172">
  <si>
    <t>Fresh / Renewal</t>
  </si>
  <si>
    <t>Proposal No.</t>
  </si>
  <si>
    <t>Billing Month</t>
  </si>
  <si>
    <t>Takaful Company</t>
  </si>
  <si>
    <t>PMD / Cert</t>
  </si>
  <si>
    <t>Takaful Start Date</t>
  </si>
  <si>
    <t>Takaful End Date</t>
  </si>
  <si>
    <t>Customer Name</t>
  </si>
  <si>
    <t>CNIC</t>
  </si>
  <si>
    <t>Vehicle Make</t>
  </si>
  <si>
    <t>Reg. No</t>
  </si>
  <si>
    <t>Engine No</t>
  </si>
  <si>
    <t>Chassis No</t>
  </si>
  <si>
    <t>Region</t>
  </si>
  <si>
    <t>Unit ID</t>
  </si>
  <si>
    <t>BR #</t>
  </si>
  <si>
    <t>Financing Date</t>
  </si>
  <si>
    <t>Maturity Date</t>
  </si>
  <si>
    <t>Asset Value</t>
  </si>
  <si>
    <t>Dep. %</t>
  </si>
  <si>
    <t>Dep. Amount</t>
  </si>
  <si>
    <t>Sum Cover Amount</t>
  </si>
  <si>
    <t>Takaful Rate</t>
  </si>
  <si>
    <t>Premium Amount</t>
  </si>
  <si>
    <t>For Takaful Company Rectifications</t>
  </si>
  <si>
    <t>For COD Status</t>
  </si>
  <si>
    <t>PO No.</t>
  </si>
  <si>
    <t>PO Dates</t>
  </si>
  <si>
    <t>Proposal Status</t>
  </si>
  <si>
    <t>Default Case (Overdue Days)</t>
  </si>
  <si>
    <t>Fresh</t>
  </si>
  <si>
    <t>75893/1</t>
  </si>
  <si>
    <t>SALAAM TAKAFUL LTD</t>
  </si>
  <si>
    <t>KHI/HO/D/MO/PC COMP/C/98823/51/10/2024</t>
  </si>
  <si>
    <t>KHURRAM  MUSADDIQ</t>
  </si>
  <si>
    <t>TOYOTA COROLLA ALTIS (MANUAL)</t>
  </si>
  <si>
    <t>BAA-759</t>
  </si>
  <si>
    <t>6074725</t>
  </si>
  <si>
    <t>North</t>
  </si>
  <si>
    <t>0804</t>
  </si>
  <si>
    <t>242368</t>
  </si>
  <si>
    <t>paid</t>
  </si>
  <si>
    <t>DISBURSED</t>
  </si>
  <si>
    <t>76157/1</t>
  </si>
  <si>
    <t>KHI/HO/D/MO/PC COMP/C/98823/50/10/2024</t>
  </si>
  <si>
    <t>MUHAMMAD  SHAHBAZ</t>
  </si>
  <si>
    <t>DAYZ</t>
  </si>
  <si>
    <t>BTH-458</t>
  </si>
  <si>
    <t>3B20LK5102</t>
  </si>
  <si>
    <t>W0484257</t>
  </si>
  <si>
    <t>South</t>
  </si>
  <si>
    <t>0144</t>
  </si>
  <si>
    <t>343045</t>
  </si>
  <si>
    <t>76158/1</t>
  </si>
  <si>
    <t>KHI/HO/D/MO/PC COMP/C/98823/49/10/2024</t>
  </si>
  <si>
    <t>SHAKEEL  AHMAD</t>
  </si>
  <si>
    <t>TOYOTA COROLLA GLI</t>
  </si>
  <si>
    <t>AAL-595</t>
  </si>
  <si>
    <t>Z574209</t>
  </si>
  <si>
    <t>R-4200501</t>
  </si>
  <si>
    <t>Central</t>
  </si>
  <si>
    <t>0329</t>
  </si>
  <si>
    <t>497100</t>
  </si>
  <si>
    <t>75915/1</t>
  </si>
  <si>
    <t>KHI/HO/D/MO/PC COMP/C/98823/48/10/2024</t>
  </si>
  <si>
    <t>MUHAMMAD  ASIM</t>
  </si>
  <si>
    <t>ALSVIN 1.5 L LUMIERE</t>
  </si>
  <si>
    <t>AZT-636</t>
  </si>
  <si>
    <t>1009870</t>
  </si>
  <si>
    <t>164222</t>
  </si>
  <si>
    <t>76079/1</t>
  </si>
  <si>
    <t>KHI/HO/D/MO/PC COMP/C/98823/47/10/2024</t>
  </si>
  <si>
    <t>ALI   HUSSNAIN</t>
  </si>
  <si>
    <t>ALSVIN 1.3</t>
  </si>
  <si>
    <t>-</t>
  </si>
  <si>
    <t>1002216</t>
  </si>
  <si>
    <t>0555</t>
  </si>
  <si>
    <t>657557</t>
  </si>
  <si>
    <t>75688/1</t>
  </si>
  <si>
    <t>KHI/HO/D/MO/PC COMP/C/98823/46/10/2024</t>
  </si>
  <si>
    <t>RAJA RIZWAN LATIF</t>
  </si>
  <si>
    <t>MEHRAN VXR (METALLIC)</t>
  </si>
  <si>
    <t>LEB-17A-5788</t>
  </si>
  <si>
    <t>PKB708422</t>
  </si>
  <si>
    <t>PK01246990</t>
  </si>
  <si>
    <t>659875</t>
  </si>
  <si>
    <t>75570/1</t>
  </si>
  <si>
    <t>KHI/HO/D/MO/PC COMP/C/98823/45/10/2024</t>
  </si>
  <si>
    <t>NABEEL   AHMED</t>
  </si>
  <si>
    <t>AHA-376</t>
  </si>
  <si>
    <t>1006094</t>
  </si>
  <si>
    <t>659581</t>
  </si>
  <si>
    <t>74166/1</t>
  </si>
  <si>
    <t>KHI/HO/D/MO/PC COMP/C/98823/44/10/2024</t>
  </si>
  <si>
    <t>MUHAMMAD   ASGHAR</t>
  </si>
  <si>
    <t>ALTO VXR  (METALLIC)</t>
  </si>
  <si>
    <t>AAK-969</t>
  </si>
  <si>
    <t>6R138903</t>
  </si>
  <si>
    <t>H1038896</t>
  </si>
  <si>
    <t>296002</t>
  </si>
  <si>
    <t>75618/1</t>
  </si>
  <si>
    <t>KHI/HO/D/MO/PC COMP/C/98823/43/10/2024</t>
  </si>
  <si>
    <t>SALMAN UL HASAN FAROOQUI</t>
  </si>
  <si>
    <t>YARIS</t>
  </si>
  <si>
    <t>BTJ-559</t>
  </si>
  <si>
    <t>7014189</t>
  </si>
  <si>
    <t>0150</t>
  </si>
  <si>
    <t>660005</t>
  </si>
  <si>
    <t>75942/1</t>
  </si>
  <si>
    <t>KHI/HO/D/MO/PC COMP/C/98823/42/10/2024</t>
  </si>
  <si>
    <t>HAIDER  ALI</t>
  </si>
  <si>
    <t>CIVIC (MANUAL)</t>
  </si>
  <si>
    <t>LEA-18-903</t>
  </si>
  <si>
    <t>R030285</t>
  </si>
  <si>
    <t>0431</t>
  </si>
  <si>
    <t>661080</t>
  </si>
  <si>
    <t>75891/1</t>
  </si>
  <si>
    <t>KHI/HO/D/MO/PC COMP/C/98823/41/10/2024</t>
  </si>
  <si>
    <t>QAMAR UZ ZAMAN</t>
  </si>
  <si>
    <t>ALTO VXR  (NON-METALLIC)</t>
  </si>
  <si>
    <t>6R323153</t>
  </si>
  <si>
    <t>H1223088</t>
  </si>
  <si>
    <t>626392</t>
  </si>
  <si>
    <t>75543/1</t>
  </si>
  <si>
    <t>KHI/HO/D/MO/PC COMP/C/98823/40/10/2024</t>
  </si>
  <si>
    <t>MUHAMMAD MUZAFFAR ALI KHAN</t>
  </si>
  <si>
    <t>CULTUS VXR (METALIC)</t>
  </si>
  <si>
    <t>ABV-425</t>
  </si>
  <si>
    <t>541421</t>
  </si>
  <si>
    <t>659612</t>
  </si>
  <si>
    <t>76121/1</t>
  </si>
  <si>
    <t>KHI/HO/D/MO/PC COMP/C/98823/39/10/2024</t>
  </si>
  <si>
    <t>REHAN  NAZIR</t>
  </si>
  <si>
    <t>TOYOTA COROLLA ALTIS (AUTOMATIC)</t>
  </si>
  <si>
    <t>BRP-676</t>
  </si>
  <si>
    <t>Q062300</t>
  </si>
  <si>
    <t>6039799</t>
  </si>
  <si>
    <t>436812</t>
  </si>
  <si>
    <t>75678/1</t>
  </si>
  <si>
    <t>KHI/HO/D/MO/PC COMP/C/98823/38/10/2024</t>
  </si>
  <si>
    <t>WASEEM   AHMED</t>
  </si>
  <si>
    <t>AJB-244</t>
  </si>
  <si>
    <t>R197948</t>
  </si>
  <si>
    <t>1097956</t>
  </si>
  <si>
    <t>660574</t>
  </si>
  <si>
    <t>75529/1</t>
  </si>
  <si>
    <t>KHI/HO/D/MO/PC COMP/C/98823/37/10/2024</t>
  </si>
  <si>
    <t>KASHIF FAZAL  HUSSAIN</t>
  </si>
  <si>
    <t>CITY (AUTOMATIC)</t>
  </si>
  <si>
    <t>RR044847</t>
  </si>
  <si>
    <t>340359</t>
  </si>
  <si>
    <t>76128/1</t>
  </si>
  <si>
    <t>KHI/HO/D/MO/PC COMP/C/98823/36/10/2024</t>
  </si>
  <si>
    <t>AWAIS  ZAHID</t>
  </si>
  <si>
    <t>REVO</t>
  </si>
  <si>
    <t>KW-8800</t>
  </si>
  <si>
    <t>0963412</t>
  </si>
  <si>
    <t>592294</t>
  </si>
  <si>
    <t>75659/1</t>
  </si>
  <si>
    <t>KHI/HO/D/MO/PC COMP/C/98823/35/10/2024</t>
  </si>
  <si>
    <t>ABDUL RAZZAK VOHRA</t>
  </si>
  <si>
    <t>ALTO VXL</t>
  </si>
  <si>
    <t>BZD-477</t>
  </si>
  <si>
    <t>6R284803</t>
  </si>
  <si>
    <t>H1185221</t>
  </si>
  <si>
    <t>659794</t>
  </si>
  <si>
    <t>75276/1</t>
  </si>
  <si>
    <t>KHI/HO/D/MO/PC COMP/C/98823/34/10/2024</t>
  </si>
  <si>
    <t>HARIS ZAHID BUTT</t>
  </si>
  <si>
    <t>SWIFT GL CVT</t>
  </si>
  <si>
    <t>LED-19-2722</t>
  </si>
  <si>
    <t>PKS13045075</t>
  </si>
  <si>
    <t>PK100450</t>
  </si>
  <si>
    <t>430990</t>
  </si>
  <si>
    <t>75419/1</t>
  </si>
  <si>
    <t>KHI/HO/D/MO/PC COMP/C/98823/33/10/2024</t>
  </si>
  <si>
    <t>HASSAN  RAZA</t>
  </si>
  <si>
    <t>GRANDE AT</t>
  </si>
  <si>
    <t>LEF-16-163</t>
  </si>
  <si>
    <t>Q317215</t>
  </si>
  <si>
    <t>R7016267</t>
  </si>
  <si>
    <t>635955</t>
  </si>
  <si>
    <t>75744/1</t>
  </si>
  <si>
    <t>KHI/HO/D/MO/PC COMP/C/98823/32/10/2024</t>
  </si>
  <si>
    <t>MUHAMMAD   NAZEEM</t>
  </si>
  <si>
    <t>ALTO VXL AGS</t>
  </si>
  <si>
    <t>BZL-889</t>
  </si>
  <si>
    <t>6R294906</t>
  </si>
  <si>
    <t>1194752</t>
  </si>
  <si>
    <t>0155</t>
  </si>
  <si>
    <t>575700</t>
  </si>
  <si>
    <t>75404/1</t>
  </si>
  <si>
    <t>KHI/HO/D/MO/PC COMP/C/98823/31/10/2024</t>
  </si>
  <si>
    <t>NASEEB  ULLAH</t>
  </si>
  <si>
    <t>BWV-034</t>
  </si>
  <si>
    <t>Q350356</t>
  </si>
  <si>
    <t>7049517</t>
  </si>
  <si>
    <t>658879</t>
  </si>
  <si>
    <t>75532/1</t>
  </si>
  <si>
    <t>KHI/HO/D/MO/PC COMP/C/98823/30/10/2024</t>
  </si>
  <si>
    <t>KAMRAN  KHAN</t>
  </si>
  <si>
    <t>R323698</t>
  </si>
  <si>
    <t>1223645</t>
  </si>
  <si>
    <t>658220</t>
  </si>
  <si>
    <t>75064/1</t>
  </si>
  <si>
    <t>KHI/HO/D/MO/PC COMP/C/98823/29/10/2024</t>
  </si>
  <si>
    <t>MUHAMMAD ATIF MAQSOOD</t>
  </si>
  <si>
    <t>LEB-19-1822</t>
  </si>
  <si>
    <t>Q048527</t>
  </si>
  <si>
    <t>6026008</t>
  </si>
  <si>
    <t>557830</t>
  </si>
  <si>
    <t>75560/1</t>
  </si>
  <si>
    <t>KHI/HO/D/MO/PC COMP/C/98823/28/10/2024</t>
  </si>
  <si>
    <t>GHULAM  MUJTABA</t>
  </si>
  <si>
    <t>LEA-17A-2349</t>
  </si>
  <si>
    <t>L13Z17500856</t>
  </si>
  <si>
    <t>NFBGM1640HR210005</t>
  </si>
  <si>
    <t>0423</t>
  </si>
  <si>
    <t>15130</t>
  </si>
  <si>
    <t>75540/1</t>
  </si>
  <si>
    <t>KHI/HO/D/MO/PC COMP/C/98823/27/10/2024</t>
  </si>
  <si>
    <t>ADU-892</t>
  </si>
  <si>
    <t>544430</t>
  </si>
  <si>
    <t>75189/1</t>
  </si>
  <si>
    <t>KHI/HO/D/MO/PC COMP/C/98823/26/10/2024</t>
  </si>
  <si>
    <t>SHAHBAZ  ALI</t>
  </si>
  <si>
    <t>ACF-477</t>
  </si>
  <si>
    <t>Q319940</t>
  </si>
  <si>
    <t>NRE172R-7018991</t>
  </si>
  <si>
    <t>658243</t>
  </si>
  <si>
    <t>75030/1</t>
  </si>
  <si>
    <t>KHI/HO/D/MO/PC COMP/C/98823/25/10/2024</t>
  </si>
  <si>
    <t>EJAZ  MASIH</t>
  </si>
  <si>
    <t>MEHRAN VX (NON-METALLIC)</t>
  </si>
  <si>
    <t>ALG-208</t>
  </si>
  <si>
    <t>1294616</t>
  </si>
  <si>
    <t>660018</t>
  </si>
  <si>
    <t>75522/1</t>
  </si>
  <si>
    <t>KHI/HO/D/MO/PC COMP/C/98823/24/10/2024</t>
  </si>
  <si>
    <t>REHMAN ALI KHAN</t>
  </si>
  <si>
    <t>SWIFT GL M/T</t>
  </si>
  <si>
    <t>BDW-794</t>
  </si>
  <si>
    <t>K12MR1019201</t>
  </si>
  <si>
    <t>NF1SZC63S00201884</t>
  </si>
  <si>
    <t>659341</t>
  </si>
  <si>
    <t>76083/1</t>
  </si>
  <si>
    <t>KHI/HO/D/MO/PC COMP/C/98823/22/10/2024</t>
  </si>
  <si>
    <t>ABDUL  QAYOUM</t>
  </si>
  <si>
    <t>1224757</t>
  </si>
  <si>
    <t>0341</t>
  </si>
  <si>
    <t>610578</t>
  </si>
  <si>
    <t>75945/1</t>
  </si>
  <si>
    <t>KHI/HO/D/MO/PC COMP/C/98823/21/10/2024</t>
  </si>
  <si>
    <t>IZHAR  ALI</t>
  </si>
  <si>
    <t>FORTUNER</t>
  </si>
  <si>
    <t>APS-777</t>
  </si>
  <si>
    <t>1 GD0768522</t>
  </si>
  <si>
    <t>GUN156R-1093247</t>
  </si>
  <si>
    <t>658761</t>
  </si>
  <si>
    <t>74929/1</t>
  </si>
  <si>
    <t>KHI/HO/D/MO/CV/C/100145/1/10/2024</t>
  </si>
  <si>
    <t>MUHAMMAD  AMIR</t>
  </si>
  <si>
    <t>RAVI</t>
  </si>
  <si>
    <t>498041</t>
  </si>
  <si>
    <t>656990</t>
  </si>
  <si>
    <t>74284/1</t>
  </si>
  <si>
    <t>KHI/HO/D/MO/PC COMP/C/98823/20/10/2024</t>
  </si>
  <si>
    <t>SAMAD  KHAN</t>
  </si>
  <si>
    <t>MEHRAN VX (METALLIC)</t>
  </si>
  <si>
    <t>LEC-19-7620</t>
  </si>
  <si>
    <t>PKB723603</t>
  </si>
  <si>
    <t>SB308PK01262094</t>
  </si>
  <si>
    <t>654335</t>
  </si>
  <si>
    <t>75605/1</t>
  </si>
  <si>
    <t>KHI/HO/D/MO/PC COMP/C/98823/19/10/2024</t>
  </si>
  <si>
    <t>MASOOD   AKHTAR</t>
  </si>
  <si>
    <t>AMT 813</t>
  </si>
  <si>
    <t>6R265885</t>
  </si>
  <si>
    <t>H1165789</t>
  </si>
  <si>
    <t>659689</t>
  </si>
  <si>
    <t>75858/1</t>
  </si>
  <si>
    <t>KHI/HO/D/MO/PC COMP/C/98823/18/10/2024</t>
  </si>
  <si>
    <t>ABRAR   AHMED</t>
  </si>
  <si>
    <t>LEF-19-3080</t>
  </si>
  <si>
    <t>250853</t>
  </si>
  <si>
    <t>75454/1</t>
  </si>
  <si>
    <t>KHI/HO/D/MO/PC COMP/C/98823/17/10/2024</t>
  </si>
  <si>
    <t>SUMBLE  RIAZ</t>
  </si>
  <si>
    <t>SUZUKI CULTUS AGS</t>
  </si>
  <si>
    <t>LE-19A-9305</t>
  </si>
  <si>
    <t>10053471</t>
  </si>
  <si>
    <t>658995</t>
  </si>
  <si>
    <t>75067/1</t>
  </si>
  <si>
    <t>KHI/HO/D/MO/PC COMP/C/98823/16/10/2024</t>
  </si>
  <si>
    <t>MUHAMMAD  IMRAN  NAWAZ</t>
  </si>
  <si>
    <t>WAGON R VXL</t>
  </si>
  <si>
    <t>LEB-18A-6817</t>
  </si>
  <si>
    <t>PK10B173696</t>
  </si>
  <si>
    <t>A1J310PK10073695</t>
  </si>
  <si>
    <t>393963</t>
  </si>
  <si>
    <t>74356/1</t>
  </si>
  <si>
    <t>KHI/HO/D/MO/PC COMP/C/98823/15/10/2024</t>
  </si>
  <si>
    <t>SALMAN  RASHEED</t>
  </si>
  <si>
    <t>KIA SPORTAGE AWD</t>
  </si>
  <si>
    <t>LEA-20-8936</t>
  </si>
  <si>
    <t>H301680</t>
  </si>
  <si>
    <t>P300770</t>
  </si>
  <si>
    <t>544238</t>
  </si>
  <si>
    <t>75409/1</t>
  </si>
  <si>
    <t>KHI/HO/D/MO/PC COMP/C/98823/14/10/2024</t>
  </si>
  <si>
    <t>BILAL  ASLAM</t>
  </si>
  <si>
    <t>CITY ASPIRE PT</t>
  </si>
  <si>
    <t>RR044063</t>
  </si>
  <si>
    <t>658874</t>
  </si>
  <si>
    <t>75459/1</t>
  </si>
  <si>
    <t>KHI/HO/D/MO/PC COMP/C/98823/13/10/2024</t>
  </si>
  <si>
    <t>MOHSIN   ALI</t>
  </si>
  <si>
    <t>CHANGAN KARVAAN</t>
  </si>
  <si>
    <t>AGE-578</t>
  </si>
  <si>
    <t>1002268</t>
  </si>
  <si>
    <t>0401</t>
  </si>
  <si>
    <t>658987</t>
  </si>
  <si>
    <t>75195/1</t>
  </si>
  <si>
    <t>KHI/HO/D/MO/PC COMP/C/98823/12/10/2024</t>
  </si>
  <si>
    <t>IMRAN SANA ULLAH</t>
  </si>
  <si>
    <t>JL473QFR3CAD517793</t>
  </si>
  <si>
    <t>NKMA2ASE5R1011817</t>
  </si>
  <si>
    <t>658240</t>
  </si>
  <si>
    <t>74945/1</t>
  </si>
  <si>
    <t>KHI/HO/D/MO/PC COMP/C/98823/11/10/2024</t>
  </si>
  <si>
    <t>GHULAM   ABBAS</t>
  </si>
  <si>
    <t>SWIFT GLX CVT</t>
  </si>
  <si>
    <t>APU-290</t>
  </si>
  <si>
    <t>S00110453</t>
  </si>
  <si>
    <t>652219</t>
  </si>
  <si>
    <t>74873/1</t>
  </si>
  <si>
    <t>KHI/HO/D/MO/PC COMP/C/98823/10/10/2024</t>
  </si>
  <si>
    <t>GULZAR AHMAD NASIR</t>
  </si>
  <si>
    <t>OSHAN X7</t>
  </si>
  <si>
    <t>JL473ZQ7RN8AT248857</t>
  </si>
  <si>
    <t>NKMASE2E9R1000692</t>
  </si>
  <si>
    <t>453224</t>
  </si>
  <si>
    <t>75418/1</t>
  </si>
  <si>
    <t>KHI/HO/D/MO/PC COMP/C/98823/9/10/2024</t>
  </si>
  <si>
    <t>ASAD  NAZIR</t>
  </si>
  <si>
    <t>CIVIC (AUTOMATIC) UPGRADED PTSR</t>
  </si>
  <si>
    <t>LEA-17A-8105</t>
  </si>
  <si>
    <t>HR025663</t>
  </si>
  <si>
    <t>658718</t>
  </si>
  <si>
    <t>74915/1</t>
  </si>
  <si>
    <t>KHI/HO/D/MO/PC COMP/C/98823/8/10/2024</t>
  </si>
  <si>
    <t>MUHAMMAD RAZA GHOURI</t>
  </si>
  <si>
    <t>YARIS ATIV CVT 1.5</t>
  </si>
  <si>
    <t>BUL-072</t>
  </si>
  <si>
    <t>9513364</t>
  </si>
  <si>
    <t>657259</t>
  </si>
  <si>
    <t>73425/1</t>
  </si>
  <si>
    <t>KHI/HO/D/MO/PC COMP/C/98823/7/10/2024</t>
  </si>
  <si>
    <t>HASSAN  SHABBIR</t>
  </si>
  <si>
    <t>6R319986</t>
  </si>
  <si>
    <t>H1219926</t>
  </si>
  <si>
    <t>545258</t>
  </si>
  <si>
    <t>74672/1</t>
  </si>
  <si>
    <t>KHI/HO/D/MO/PC COMP/C/98823/6/10/2024</t>
  </si>
  <si>
    <t>FAWAD   BUTT</t>
  </si>
  <si>
    <t>AGQ-519</t>
  </si>
  <si>
    <t>1095231</t>
  </si>
  <si>
    <t>655887</t>
  </si>
  <si>
    <t>72804/1</t>
  </si>
  <si>
    <t>KHI/HO/D/MO/PC COMP/C/98823/5/10/2024</t>
  </si>
  <si>
    <t>JAVAID   AHMAD</t>
  </si>
  <si>
    <t>SWIFT</t>
  </si>
  <si>
    <t>205354</t>
  </si>
  <si>
    <t>649254</t>
  </si>
  <si>
    <t>73706/1</t>
  </si>
  <si>
    <t>KHI/HO/D/MO/PC COMP/C/98823/4/10/2024</t>
  </si>
  <si>
    <t>MUHAMMAD   USMAN</t>
  </si>
  <si>
    <t>ATH-585</t>
  </si>
  <si>
    <t>Q370853</t>
  </si>
  <si>
    <t>7070042</t>
  </si>
  <si>
    <t>652326</t>
  </si>
  <si>
    <t>74299/1</t>
  </si>
  <si>
    <t>KHI/HO/D/MO/PC COMP/C/98823/3/10/2024</t>
  </si>
  <si>
    <t>KHAWAR  GUL</t>
  </si>
  <si>
    <t>CAK-237</t>
  </si>
  <si>
    <t>6R321275</t>
  </si>
  <si>
    <t>1221317</t>
  </si>
  <si>
    <t>485575</t>
  </si>
  <si>
    <t>75156/1</t>
  </si>
  <si>
    <t>KHI/HO/D/MO/PC COMP/C/98823/2/10/2024</t>
  </si>
  <si>
    <t>MUHAMMAD  ARIF</t>
  </si>
  <si>
    <t>LEC-18A-4889</t>
  </si>
  <si>
    <t>B172029</t>
  </si>
  <si>
    <t>10072061</t>
  </si>
  <si>
    <t>375777</t>
  </si>
  <si>
    <t>75357/1</t>
  </si>
  <si>
    <t>KHI/HO/D/MO/PC COMP/C/98823/1/10/2024</t>
  </si>
  <si>
    <t>AMIR  ESBHANI</t>
  </si>
  <si>
    <t>BEE-755</t>
  </si>
  <si>
    <t>10029139</t>
  </si>
  <si>
    <t>412025</t>
  </si>
  <si>
    <t>75993/1</t>
  </si>
  <si>
    <t>KHI/HO/D/MO/PC COMP/C/100245/1/10/2024</t>
  </si>
  <si>
    <t>Mr Syed Sajid Ali Shah
Hpa M/S. Al Baraka Bank (Pakistan) Limited</t>
  </si>
  <si>
    <t>SUZUKI CULTUS VXR EURO-II</t>
  </si>
  <si>
    <t>LEH-17-9557</t>
  </si>
  <si>
    <t>10004378</t>
  </si>
  <si>
    <t>463247</t>
  </si>
  <si>
    <t>Renewal</t>
  </si>
  <si>
    <t>66295/1</t>
  </si>
  <si>
    <t>KHI/HO/D/MO/PC COMP/C/100245/58/10/2024</t>
  </si>
  <si>
    <t>SHAHBAZ  QADEER</t>
  </si>
  <si>
    <t>3520296702827</t>
  </si>
  <si>
    <t>SUZUKI BOLAN VX  EURO II</t>
  </si>
  <si>
    <t>LET-16-2248</t>
  </si>
  <si>
    <t>PKT932090</t>
  </si>
  <si>
    <t>PK01048577</t>
  </si>
  <si>
    <t>622993</t>
  </si>
  <si>
    <t>54142/1</t>
  </si>
  <si>
    <t>KHI/HO/D/MO/PC COMP/C/100245/145/10/2024</t>
  </si>
  <si>
    <t>ZEESHAN  ALI</t>
  </si>
  <si>
    <t>3330313904909</t>
  </si>
  <si>
    <t>TOYOTA COROLLA ALTIS VVT-</t>
  </si>
  <si>
    <t>NA-295</t>
  </si>
  <si>
    <t>Q100687</t>
  </si>
  <si>
    <t>6078161</t>
  </si>
  <si>
    <t>0454</t>
  </si>
  <si>
    <t>492664</t>
  </si>
  <si>
    <t>67392/1</t>
  </si>
  <si>
    <t>KHI/HO/D/MO/PC COMP/C/100245/64/10/2024</t>
  </si>
  <si>
    <t>MEHWISH  FAREED</t>
  </si>
  <si>
    <t>3460391725170</t>
  </si>
  <si>
    <t>SUZUKI ALTO AGS A/T</t>
  </si>
  <si>
    <t>AKN-394</t>
  </si>
  <si>
    <t>6R225831</t>
  </si>
  <si>
    <t>6H1125988</t>
  </si>
  <si>
    <t>582757</t>
  </si>
  <si>
    <t>51399/1</t>
  </si>
  <si>
    <t>KHI/HO/D/MO/PC COMP/C/100245/29/10/2024</t>
  </si>
  <si>
    <t>MANSOOR  ELAHI</t>
  </si>
  <si>
    <t>3520251957221</t>
  </si>
  <si>
    <t>TOYOTA COROLLA GLI M/T 1.</t>
  </si>
  <si>
    <t>LEA-17A-9517</t>
  </si>
  <si>
    <t>Z505322</t>
  </si>
  <si>
    <t>4131361</t>
  </si>
  <si>
    <t>545670</t>
  </si>
  <si>
    <t>60332/3</t>
  </si>
  <si>
    <t>KHI/HO/D/MO/PC COMP/C/100245/152/10/2024</t>
  </si>
  <si>
    <t>RAO AZHAR HUSSAIN</t>
  </si>
  <si>
    <t>4220103914415</t>
  </si>
  <si>
    <t>SUZUKI ALTO</t>
  </si>
  <si>
    <t>BVB-980</t>
  </si>
  <si>
    <t>R-173845</t>
  </si>
  <si>
    <t>1073867</t>
  </si>
  <si>
    <t>0136</t>
  </si>
  <si>
    <t>566743</t>
  </si>
  <si>
    <t>58841/3</t>
  </si>
  <si>
    <t>KHI/HO/D/MO/PC COMP/C/100245/149/10/2024</t>
  </si>
  <si>
    <t>MUHAMMAD   ALI</t>
  </si>
  <si>
    <t>4230101503407</t>
  </si>
  <si>
    <t>CHANGAN KARVAAN PLUS</t>
  </si>
  <si>
    <t>SA-0960</t>
  </si>
  <si>
    <t>1016773</t>
  </si>
  <si>
    <t>334871</t>
  </si>
  <si>
    <t>56084/1</t>
  </si>
  <si>
    <t>KHI/HO/D/MO/PC COMP/C/100245/130/10/2024</t>
  </si>
  <si>
    <t>MARYAM  FAHEEM</t>
  </si>
  <si>
    <t>3740682376118</t>
  </si>
  <si>
    <t>TOYOTA YARIS ATIV X CVT</t>
  </si>
  <si>
    <t>AMG-993</t>
  </si>
  <si>
    <t>2A57141</t>
  </si>
  <si>
    <t>7036144</t>
  </si>
  <si>
    <t>257363</t>
  </si>
  <si>
    <t>44005/1</t>
  </si>
  <si>
    <t>KHI/HO/D/MO/PC COMP/C/100245/55/10/2024</t>
  </si>
  <si>
    <t>MUHAMMAD  RIAZ</t>
  </si>
  <si>
    <t>3310421179559</t>
  </si>
  <si>
    <t>SUZUKI HUSTLER</t>
  </si>
  <si>
    <t>LEF-18-9188</t>
  </si>
  <si>
    <t>R06AF623590</t>
  </si>
  <si>
    <t>MR31S257835</t>
  </si>
  <si>
    <t>0556</t>
  </si>
  <si>
    <t>225506</t>
  </si>
  <si>
    <t>43873/1</t>
  </si>
  <si>
    <t>KHI/HO/D/MO/PC COMP/C/100245/53/10/2024</t>
  </si>
  <si>
    <t>MUHAMMAD   DANISH</t>
  </si>
  <si>
    <t>3740575939467</t>
  </si>
  <si>
    <t>SUZUKI WAGON-R VXL E2</t>
  </si>
  <si>
    <t>ART-569</t>
  </si>
  <si>
    <t>10106359</t>
  </si>
  <si>
    <t>503851</t>
  </si>
  <si>
    <t>43867/1</t>
  </si>
  <si>
    <t>KHI/HO/D/MO/PC COMP/C/100245/44/10/2024</t>
  </si>
  <si>
    <t>MEHMOOD   RAZA</t>
  </si>
  <si>
    <t>3640119159919</t>
  </si>
  <si>
    <t>SUZUKI ALTO VXL AGS E-2</t>
  </si>
  <si>
    <t>AAR-518</t>
  </si>
  <si>
    <t>1030881</t>
  </si>
  <si>
    <t>503036</t>
  </si>
  <si>
    <t>56146/1</t>
  </si>
  <si>
    <t>KHI/HO/D/MO/PC COMP/C/100245/20/10/2024</t>
  </si>
  <si>
    <t>MALIK MUHAMMAD ABID SARWAR</t>
  </si>
  <si>
    <t>3520290433639</t>
  </si>
  <si>
    <t>ALZ-845</t>
  </si>
  <si>
    <t>R250930</t>
  </si>
  <si>
    <t>H1150937</t>
  </si>
  <si>
    <t>568203</t>
  </si>
  <si>
    <t>53963/1</t>
  </si>
  <si>
    <t>KHI/HO/D/MO/PC COMP/C/100245/155/10/2024</t>
  </si>
  <si>
    <t>SHAFIQ UR REHMAN</t>
  </si>
  <si>
    <t>3520146667101</t>
  </si>
  <si>
    <t>TOYOTA COROLLA ALTIS</t>
  </si>
  <si>
    <t>ALY-767</t>
  </si>
  <si>
    <t>Q100675</t>
  </si>
  <si>
    <t>6078158</t>
  </si>
  <si>
    <t>421089</t>
  </si>
  <si>
    <t>53438/1</t>
  </si>
  <si>
    <t>KHI/HO/D/MO/PC COMP/C/100245/131/10/2024</t>
  </si>
  <si>
    <t>SHAZIA  SHEIKH</t>
  </si>
  <si>
    <t>3740540534006</t>
  </si>
  <si>
    <t>TOYOTA COROLLA ALTIS  A/T</t>
  </si>
  <si>
    <t>BAS-44</t>
  </si>
  <si>
    <t>6078124</t>
  </si>
  <si>
    <t>555744</t>
  </si>
  <si>
    <t>60376/1</t>
  </si>
  <si>
    <t>KHI/HO/D/MO/PC COMP/C/100245/110/10/2024</t>
  </si>
  <si>
    <t>SHABBIR  ALI</t>
  </si>
  <si>
    <t>3530290311197</t>
  </si>
  <si>
    <t>LEC-18-2015</t>
  </si>
  <si>
    <t>B152238</t>
  </si>
  <si>
    <t>K10052199</t>
  </si>
  <si>
    <t>587906</t>
  </si>
  <si>
    <t>55589/1</t>
  </si>
  <si>
    <t>KHI/HO/D/MO/PC COMP/C/100245/25/10/2024</t>
  </si>
  <si>
    <t>KASHIF   SARWAR</t>
  </si>
  <si>
    <t>3520296205209</t>
  </si>
  <si>
    <t>SUZUKI ALTO VX</t>
  </si>
  <si>
    <t>ALZ-871</t>
  </si>
  <si>
    <t>6R250670</t>
  </si>
  <si>
    <t>1150672</t>
  </si>
  <si>
    <t>566286</t>
  </si>
  <si>
    <t>60342/1</t>
  </si>
  <si>
    <t>KHI/HO/D/MO/PC COMP/C/100245/165/10/2024</t>
  </si>
  <si>
    <t>SULEMAN   AHMED</t>
  </si>
  <si>
    <t>3740581806851</t>
  </si>
  <si>
    <t>SUZUKI ALTO VXR E-2</t>
  </si>
  <si>
    <t>APG-782</t>
  </si>
  <si>
    <t>1011332</t>
  </si>
  <si>
    <t>579263</t>
  </si>
  <si>
    <t>60426/1</t>
  </si>
  <si>
    <t>KHI/HO/D/MO/PC COMP/C/100245/87/10/2024</t>
  </si>
  <si>
    <t>BASHARAT  HUSSAIN  AWAN</t>
  </si>
  <si>
    <t>3740579404039</t>
  </si>
  <si>
    <t>SUZUKI SWIFT DLX A/T NAV.</t>
  </si>
  <si>
    <t>APY-145</t>
  </si>
  <si>
    <t>10047826</t>
  </si>
  <si>
    <t>586649</t>
  </si>
  <si>
    <t>60393/1</t>
  </si>
  <si>
    <t>KHI/HO/D/MO/PC COMP/C/100245/86/10/2024</t>
  </si>
  <si>
    <t>WAQAR  ZULFIQAR</t>
  </si>
  <si>
    <t>3520239789593</t>
  </si>
  <si>
    <t>AML-960</t>
  </si>
  <si>
    <t>B241216</t>
  </si>
  <si>
    <t>K10141215</t>
  </si>
  <si>
    <t>585391</t>
  </si>
  <si>
    <t>60379/1</t>
  </si>
  <si>
    <t>KHI/HO/D/MO/PC COMP/C/100245/85/10/2024</t>
  </si>
  <si>
    <t>MASOOD   AHMED</t>
  </si>
  <si>
    <t>4210111858317</t>
  </si>
  <si>
    <t>BQP-342</t>
  </si>
  <si>
    <t>6R100907</t>
  </si>
  <si>
    <t>1000912</t>
  </si>
  <si>
    <t>587460</t>
  </si>
  <si>
    <t>55108/1</t>
  </si>
  <si>
    <t>KHI/HO/D/MO/PC COMP/C/100245/84/10/2024</t>
  </si>
  <si>
    <t>MUHAMMAD ZAHID  AWAN</t>
  </si>
  <si>
    <t>3520154692391</t>
  </si>
  <si>
    <t>alz-189</t>
  </si>
  <si>
    <t>6R250564</t>
  </si>
  <si>
    <t>6H1150569</t>
  </si>
  <si>
    <t>0314</t>
  </si>
  <si>
    <t>568886</t>
  </si>
  <si>
    <t>43907/1</t>
  </si>
  <si>
    <t>KHI/HO/D/MO/PC COMP/C/100245/56/10/2024</t>
  </si>
  <si>
    <t>TAHIR  MAHMOOD</t>
  </si>
  <si>
    <t>3520182730219</t>
  </si>
  <si>
    <t>HONDA CITY I-VTEC A/T PT</t>
  </si>
  <si>
    <t>AAS-317</t>
  </si>
  <si>
    <t>264152</t>
  </si>
  <si>
    <t>191712</t>
  </si>
  <si>
    <t>51486/1</t>
  </si>
  <si>
    <t>KHI/HO/D/MO/PC COMP/C/100245/32/10/2024</t>
  </si>
  <si>
    <t>JAVED   IQBAL</t>
  </si>
  <si>
    <t>3520198788985</t>
  </si>
  <si>
    <t>SUZUKI WAGON R VXL AGS</t>
  </si>
  <si>
    <t>AGQ-752</t>
  </si>
  <si>
    <t>10114327</t>
  </si>
  <si>
    <t>0322</t>
  </si>
  <si>
    <t>545272</t>
  </si>
  <si>
    <t>60412/1</t>
  </si>
  <si>
    <t>KHI/HO/D/MO/PC COMP/C/100245/89/10/2024</t>
  </si>
  <si>
    <t>MUHAMMAD  BABAR</t>
  </si>
  <si>
    <t>3520233874473</t>
  </si>
  <si>
    <t>HONDA CITY I-VTEC (M/T)</t>
  </si>
  <si>
    <t>LEE-18-3628</t>
  </si>
  <si>
    <t>219022</t>
  </si>
  <si>
    <t>584800</t>
  </si>
  <si>
    <t>60447/1</t>
  </si>
  <si>
    <t>KHI/HO/D/MO/PC COMP/C/100245/88/10/2024</t>
  </si>
  <si>
    <t>GHULAM  MUSTAFA</t>
  </si>
  <si>
    <t>3210171174349</t>
  </si>
  <si>
    <t>SUZUKI Swift GL CVT</t>
  </si>
  <si>
    <t>AMF-561</t>
  </si>
  <si>
    <t>107572</t>
  </si>
  <si>
    <t>0567</t>
  </si>
  <si>
    <t>587184</t>
  </si>
  <si>
    <t>66433/1</t>
  </si>
  <si>
    <t>KHI/HO/D/MO/PC COMP/C/100245/77/10/2024</t>
  </si>
  <si>
    <t>MUHAMMAD  ALEEM  KHAN</t>
  </si>
  <si>
    <t>3520215315397</t>
  </si>
  <si>
    <t>SUZUKI WAGON R VXL</t>
  </si>
  <si>
    <t>LEB-17A-9781</t>
  </si>
  <si>
    <t>10042672</t>
  </si>
  <si>
    <t>623608</t>
  </si>
  <si>
    <t>48688/1</t>
  </si>
  <si>
    <t>KHI/HO/D/MO/PC COMP/C/100245/34/10/2024</t>
  </si>
  <si>
    <t>NAZMA  MANZOOR</t>
  </si>
  <si>
    <t>8220393528592</t>
  </si>
  <si>
    <t>SUZUKI ALTO VXR EURO II A</t>
  </si>
  <si>
    <t>AVJ-134</t>
  </si>
  <si>
    <t>1086458</t>
  </si>
  <si>
    <t>0482</t>
  </si>
  <si>
    <t>533714</t>
  </si>
  <si>
    <t>48864/2</t>
  </si>
  <si>
    <t>KHI/HO/D/MO/PC COMP/C/100245/33/10/2024</t>
  </si>
  <si>
    <t>SHAHEEN  KHALIL</t>
  </si>
  <si>
    <t>3520227462346</t>
  </si>
  <si>
    <t>AFD-307</t>
  </si>
  <si>
    <t>1086432</t>
  </si>
  <si>
    <t>0336</t>
  </si>
  <si>
    <t>537654</t>
  </si>
  <si>
    <t>56107/2</t>
  </si>
  <si>
    <t>KHI/HO/D/MO/PC COMP/C/100245/14/10/2024</t>
  </si>
  <si>
    <t>MUHAMMAD  ISRAR UL  HAQ</t>
  </si>
  <si>
    <t>3740581548867</t>
  </si>
  <si>
    <t>SUZUKI ALTO VXR</t>
  </si>
  <si>
    <t>BAK-594</t>
  </si>
  <si>
    <t>1151776</t>
  </si>
  <si>
    <t>0566</t>
  </si>
  <si>
    <t>571646</t>
  </si>
  <si>
    <t>51592/1</t>
  </si>
  <si>
    <t>KHI/HO/D/MO/PC COMP/C/100245/115/10/2024</t>
  </si>
  <si>
    <t>HAFIZ  MUHAMMAD AWAIS  MINHAS</t>
  </si>
  <si>
    <t>3520111007395</t>
  </si>
  <si>
    <t>AFP-268</t>
  </si>
  <si>
    <t>10120362</t>
  </si>
  <si>
    <t>303653</t>
  </si>
  <si>
    <t>60441/1</t>
  </si>
  <si>
    <t>KHI/HO/D/MO/PC COMP/C/100245/90/10/2024</t>
  </si>
  <si>
    <t>NAZAM   ALI</t>
  </si>
  <si>
    <t>3530153829015</t>
  </si>
  <si>
    <t>TOYOTA COROLLA XLI M/T 1.</t>
  </si>
  <si>
    <t>LEA-19-2982</t>
  </si>
  <si>
    <t>4170156</t>
  </si>
  <si>
    <t>469913</t>
  </si>
  <si>
    <t>51559/1</t>
  </si>
  <si>
    <t>KHI/HO/D/MO/PC COMP/C/100245/116/10/2024</t>
  </si>
  <si>
    <t>MALIK SAEED AHMED</t>
  </si>
  <si>
    <t>3720117383927</t>
  </si>
  <si>
    <t>SUZUKI CULTUS VXL EURO II</t>
  </si>
  <si>
    <t>AJG-586</t>
  </si>
  <si>
    <t>10022847</t>
  </si>
  <si>
    <t>0414</t>
  </si>
  <si>
    <t>550645</t>
  </si>
  <si>
    <t>60496/1</t>
  </si>
  <si>
    <t>KHI/HO/D/MO/PC COMP/C/100245/146/10/2024</t>
  </si>
  <si>
    <t>MUHAMMAD  ALTAF</t>
  </si>
  <si>
    <t>3520224816611</t>
  </si>
  <si>
    <t>AMD-552</t>
  </si>
  <si>
    <t>10141686</t>
  </si>
  <si>
    <t>580892</t>
  </si>
  <si>
    <t>60587/1</t>
  </si>
  <si>
    <t>KHI/HO/D/MO/PC COMP/C/100245/93/10/2024</t>
  </si>
  <si>
    <t>NAVEED  AHMAD</t>
  </si>
  <si>
    <t>3410438657695</t>
  </si>
  <si>
    <t>AMB-755</t>
  </si>
  <si>
    <t>10099750</t>
  </si>
  <si>
    <t>588729</t>
  </si>
  <si>
    <t>60521/1</t>
  </si>
  <si>
    <t>KHI/HO/D/MO/PC COMP/C/100245/92/10/2024</t>
  </si>
  <si>
    <t>ATIF   PERVAIZ</t>
  </si>
  <si>
    <t>3520090645731</t>
  </si>
  <si>
    <t>LED-17-5064</t>
  </si>
  <si>
    <t>Z488878</t>
  </si>
  <si>
    <t>4115019</t>
  </si>
  <si>
    <t>584165</t>
  </si>
  <si>
    <t>60489/1</t>
  </si>
  <si>
    <t>KHI/HO/D/MO/PC COMP/C/100245/91/10/2024</t>
  </si>
  <si>
    <t>GHULAM MOHIUDIN AKRAM</t>
  </si>
  <si>
    <t>3520205547117</t>
  </si>
  <si>
    <t>SUZUKI WAGON-R VXR</t>
  </si>
  <si>
    <t>AMX-122</t>
  </si>
  <si>
    <t>10139277</t>
  </si>
  <si>
    <t>445576</t>
  </si>
  <si>
    <t>43981/1</t>
  </si>
  <si>
    <t>KHI/HO/D/MO/PC COMP/C/100245/35/10/2024</t>
  </si>
  <si>
    <t>SYED  SAJJAD  ALAM</t>
  </si>
  <si>
    <t>4220140055805</t>
  </si>
  <si>
    <t>BFL-705</t>
  </si>
  <si>
    <t>PK10B113731</t>
  </si>
  <si>
    <t>PK10013738</t>
  </si>
  <si>
    <t>505452</t>
  </si>
  <si>
    <t>50547/1</t>
  </si>
  <si>
    <t>KHI/HO/D/MO/PC COMP/C/100245/27/10/2024</t>
  </si>
  <si>
    <t>ZAIN UL ABIDEEN</t>
  </si>
  <si>
    <t>3520229898629</t>
  </si>
  <si>
    <t>TOYOTA YARIS ATIV AT</t>
  </si>
  <si>
    <t>AFK-622</t>
  </si>
  <si>
    <t>2A38540</t>
  </si>
  <si>
    <t>7024157</t>
  </si>
  <si>
    <t>417895</t>
  </si>
  <si>
    <t>44039/1</t>
  </si>
  <si>
    <t>KHI/HO/D/MO/PC COMP/C/100245/157/10/2024</t>
  </si>
  <si>
    <t>SAJID  ALI</t>
  </si>
  <si>
    <t>3530119827983</t>
  </si>
  <si>
    <t>HONDA CIVIC VTI  ORIEL PT</t>
  </si>
  <si>
    <t>ACJ-107</t>
  </si>
  <si>
    <t>R18Z12927750</t>
  </si>
  <si>
    <t>JR031095</t>
  </si>
  <si>
    <t>503273</t>
  </si>
  <si>
    <t>67359/1</t>
  </si>
  <si>
    <t>KHI/HO/D/MO/PC COMP/C/100245/82/10/2024</t>
  </si>
  <si>
    <t>AMMAD  UL HAQ  ABBASI</t>
  </si>
  <si>
    <t>6110112010251</t>
  </si>
  <si>
    <t>SUZUKI MEHRAN VXR EURO-II</t>
  </si>
  <si>
    <t>ANF-701</t>
  </si>
  <si>
    <t>01307444</t>
  </si>
  <si>
    <t>592795</t>
  </si>
  <si>
    <t>67318/1</t>
  </si>
  <si>
    <t>KHI/HO/D/MO/PC COMP/C/100245/81/10/2024</t>
  </si>
  <si>
    <t>SADIA  RAFIQUE</t>
  </si>
  <si>
    <t>3520239412044</t>
  </si>
  <si>
    <t>SUZUKI MEHRAN</t>
  </si>
  <si>
    <t>LEE-18-7907</t>
  </si>
  <si>
    <t>1267306</t>
  </si>
  <si>
    <t>627538</t>
  </si>
  <si>
    <t>44060/1</t>
  </si>
  <si>
    <t>KHI/HO/D/MO/PC COMP/C/100245/36/10/2024</t>
  </si>
  <si>
    <t>HAFIZ AMMAR KAUSAR</t>
  </si>
  <si>
    <t>3530113691841</t>
  </si>
  <si>
    <t>ABC-537</t>
  </si>
  <si>
    <t>10062955</t>
  </si>
  <si>
    <t>0559</t>
  </si>
  <si>
    <t>174778</t>
  </si>
  <si>
    <t>42044/1</t>
  </si>
  <si>
    <t>KHI/HO/D/MO/PC COMP/C/100245/2/10/2024</t>
  </si>
  <si>
    <t>REHMAN  ALAM</t>
  </si>
  <si>
    <t>3520281912247</t>
  </si>
  <si>
    <t>TOYOTA YARIS GLI MT</t>
  </si>
  <si>
    <t>ABL-870</t>
  </si>
  <si>
    <t>2A09078</t>
  </si>
  <si>
    <t>7005085</t>
  </si>
  <si>
    <t>354966</t>
  </si>
  <si>
    <t>38948/2</t>
  </si>
  <si>
    <t>KHI/HO/D/MO/PC COMP/C/100245/164/10/2024</t>
  </si>
  <si>
    <t>WASEEM  ASGHARI</t>
  </si>
  <si>
    <t>4230175313155</t>
  </si>
  <si>
    <t>HONDA CIVIC</t>
  </si>
  <si>
    <t>BRA-664</t>
  </si>
  <si>
    <t>058444</t>
  </si>
  <si>
    <t>461707</t>
  </si>
  <si>
    <t>39031/1</t>
  </si>
  <si>
    <t>KHI/HO/D/MO/PC COMP/C/100245/12/10/2024</t>
  </si>
  <si>
    <t>ZAHOOR  AHMAD</t>
  </si>
  <si>
    <t>3110132179777</t>
  </si>
  <si>
    <t>HONDA BRV MTI I-VTEC 1.5L</t>
  </si>
  <si>
    <t>LE-19a-5015</t>
  </si>
  <si>
    <t>KR016887</t>
  </si>
  <si>
    <t>0563</t>
  </si>
  <si>
    <t>464016</t>
  </si>
  <si>
    <t>60542/2</t>
  </si>
  <si>
    <t>KHI/HO/D/MO/PC COMP/C/100245/147/10/2024</t>
  </si>
  <si>
    <t>FAISAL   MUSHAQ</t>
  </si>
  <si>
    <t>3740549368543</t>
  </si>
  <si>
    <t>AFY-333</t>
  </si>
  <si>
    <t>014181</t>
  </si>
  <si>
    <t>588004</t>
  </si>
  <si>
    <t>60216/4</t>
  </si>
  <si>
    <t>KHI/HO/D/MO/PC COMP/C/100245/94/10/2024</t>
  </si>
  <si>
    <t>ZOHAIB   AZIZ</t>
  </si>
  <si>
    <t>4220167102031</t>
  </si>
  <si>
    <t>PRINCE PEARL</t>
  </si>
  <si>
    <t>BYB-152</t>
  </si>
  <si>
    <t>N04603104W</t>
  </si>
  <si>
    <t>RAILPPM22H04258</t>
  </si>
  <si>
    <t>272601</t>
  </si>
  <si>
    <t>67611/1</t>
  </si>
  <si>
    <t>KHI/HO/D/MO/PC COMP/C/100245/83/10/2024</t>
  </si>
  <si>
    <t>USAMA  -</t>
  </si>
  <si>
    <t>3520232780061</t>
  </si>
  <si>
    <t>AAH-655</t>
  </si>
  <si>
    <t>LO5604902W</t>
  </si>
  <si>
    <t>PM20H00874</t>
  </si>
  <si>
    <t>628396</t>
  </si>
  <si>
    <t>67190/1</t>
  </si>
  <si>
    <t>KHI/HO/D/MO/PC COMP/C/100245/59/10/2024</t>
  </si>
  <si>
    <t>HAMZA  NAVEED</t>
  </si>
  <si>
    <t>6110127817107</t>
  </si>
  <si>
    <t>SUZUKI CULTUS VXL</t>
  </si>
  <si>
    <t>AJK-889</t>
  </si>
  <si>
    <t>10023788</t>
  </si>
  <si>
    <t>535583</t>
  </si>
  <si>
    <t>68039/1</t>
  </si>
  <si>
    <t>KHI/HO/D/MO/PC COMP/C/100245/133/10/2024</t>
  </si>
  <si>
    <t>RIZWAN  MEHMOOD</t>
  </si>
  <si>
    <t>3310211821623</t>
  </si>
  <si>
    <t>TOYOTA YARIS 1.3 H CVT</t>
  </si>
  <si>
    <t>AAS-898</t>
  </si>
  <si>
    <t>2A 09966</t>
  </si>
  <si>
    <t>NSP150R7005708</t>
  </si>
  <si>
    <t>617234</t>
  </si>
  <si>
    <t>67532/1</t>
  </si>
  <si>
    <t>KHI/HO/D/MO/PC COMP/C/100245/132/10/2024</t>
  </si>
  <si>
    <t>ABDUL  SALAM</t>
  </si>
  <si>
    <t>3660312621647</t>
  </si>
  <si>
    <t>HONDA CITY ASPIRE CVT PT</t>
  </si>
  <si>
    <t>ATE-423</t>
  </si>
  <si>
    <t>L15A79801190</t>
  </si>
  <si>
    <t>MR269798</t>
  </si>
  <si>
    <t>628010</t>
  </si>
  <si>
    <t>67399/1</t>
  </si>
  <si>
    <t>KHI/HO/D/MO/PC COMP/C/100245/60/10/2024</t>
  </si>
  <si>
    <t>MAJID IQBAL BUTT</t>
  </si>
  <si>
    <t>3520227186499</t>
  </si>
  <si>
    <t>AQE-421</t>
  </si>
  <si>
    <t>R283541</t>
  </si>
  <si>
    <t>H1183511</t>
  </si>
  <si>
    <t>627482</t>
  </si>
  <si>
    <t>44128/1</t>
  </si>
  <si>
    <t>KHI/HO/D/MO/PC COMP/C/100245/37/10/2024</t>
  </si>
  <si>
    <t>MASOOMA  AZHAR</t>
  </si>
  <si>
    <t>3820292687384</t>
  </si>
  <si>
    <t>AAV-058</t>
  </si>
  <si>
    <t>1042669</t>
  </si>
  <si>
    <t>0413</t>
  </si>
  <si>
    <t>504665</t>
  </si>
  <si>
    <t>44168/1</t>
  </si>
  <si>
    <t>KHI/HO/D/MO/PC COMP/C/100245/158/10/2024</t>
  </si>
  <si>
    <t>ABDUL  REHMAN</t>
  </si>
  <si>
    <t>3310603587765</t>
  </si>
  <si>
    <t>ARX-542</t>
  </si>
  <si>
    <t>LR065900</t>
  </si>
  <si>
    <t>0426</t>
  </si>
  <si>
    <t>504424</t>
  </si>
  <si>
    <t>67521/1</t>
  </si>
  <si>
    <t>KHI/HO/D/MO/PC COMP/C/100245/134/10/2024</t>
  </si>
  <si>
    <t>SHER  ALI</t>
  </si>
  <si>
    <t>3520229866143</t>
  </si>
  <si>
    <t>ACX-293</t>
  </si>
  <si>
    <t>PK10K171613</t>
  </si>
  <si>
    <t>H10071608</t>
  </si>
  <si>
    <t>476480</t>
  </si>
  <si>
    <t>66982/1</t>
  </si>
  <si>
    <t>KHI/HO/D/MO/PC COMP/C/100245/61/10/2024</t>
  </si>
  <si>
    <t>MUHAMMAD  FAYYAZ</t>
  </si>
  <si>
    <t>6110106116701</t>
  </si>
  <si>
    <t>BCW-180</t>
  </si>
  <si>
    <t>1186076</t>
  </si>
  <si>
    <t>625891</t>
  </si>
  <si>
    <t>44170/1</t>
  </si>
  <si>
    <t>KHI/HO/D/MO/PC COMP/C/100245/38/10/2024</t>
  </si>
  <si>
    <t>MUHAMMAD  FURQAN</t>
  </si>
  <si>
    <t>3840322239127</t>
  </si>
  <si>
    <t>SUZUKI CULTUS VXR</t>
  </si>
  <si>
    <t>AAV-351</t>
  </si>
  <si>
    <t>10062532</t>
  </si>
  <si>
    <t>0451</t>
  </si>
  <si>
    <t>504478</t>
  </si>
  <si>
    <t>56888/1</t>
  </si>
  <si>
    <t>KHI/HO/D/MO/PC COMP/C/100245/19/10/2024</t>
  </si>
  <si>
    <t>MIRZA  MUHAMMAD  YOUSAF</t>
  </si>
  <si>
    <t>3630278418057</t>
  </si>
  <si>
    <t>AMD-763</t>
  </si>
  <si>
    <t>6R252938</t>
  </si>
  <si>
    <t>1152931</t>
  </si>
  <si>
    <t>575120</t>
  </si>
  <si>
    <t>56520/1</t>
  </si>
  <si>
    <t>KHI/HO/D/MO/PC COMP/C/100245/18/10/2024</t>
  </si>
  <si>
    <t>ALI  RAZA</t>
  </si>
  <si>
    <t>3420131097449</t>
  </si>
  <si>
    <t>AMC-627</t>
  </si>
  <si>
    <t>6R251065</t>
  </si>
  <si>
    <t>6H1151048</t>
  </si>
  <si>
    <t>0411</t>
  </si>
  <si>
    <t>573392</t>
  </si>
  <si>
    <t>56006/1</t>
  </si>
  <si>
    <t>KHI/HO/D/MO/PC COMP/C/100245/114/10/2024</t>
  </si>
  <si>
    <t>JAMEEL  AHMED</t>
  </si>
  <si>
    <t>4220155423633</t>
  </si>
  <si>
    <t>BXT-236</t>
  </si>
  <si>
    <t>6R252563</t>
  </si>
  <si>
    <t>1152573</t>
  </si>
  <si>
    <t>561327</t>
  </si>
  <si>
    <t>60604/1</t>
  </si>
  <si>
    <t>KHI/HO/D/MO/PC COMP/C/100245/96/10/2024</t>
  </si>
  <si>
    <t>MUHAMMAD  SUFYAN</t>
  </si>
  <si>
    <t>6110116250121</t>
  </si>
  <si>
    <t>BAK-510</t>
  </si>
  <si>
    <t>10139628</t>
  </si>
  <si>
    <t>588057</t>
  </si>
  <si>
    <t>60611/1</t>
  </si>
  <si>
    <t>KHI/HO/D/MO/PC COMP/C/100245/95/10/2024</t>
  </si>
  <si>
    <t>USMAN   NAZIR</t>
  </si>
  <si>
    <t>3610118588365</t>
  </si>
  <si>
    <t>ANG-210</t>
  </si>
  <si>
    <t>10141603</t>
  </si>
  <si>
    <t>588180</t>
  </si>
  <si>
    <t>56561/1</t>
  </si>
  <si>
    <t>KHI/HO/D/MO/PC COMP/C/100245/21/10/2024</t>
  </si>
  <si>
    <t>ASGHAR  ALI</t>
  </si>
  <si>
    <t>3660379568349</t>
  </si>
  <si>
    <t>AMB-474</t>
  </si>
  <si>
    <t>6R251770</t>
  </si>
  <si>
    <t>6H1151774</t>
  </si>
  <si>
    <t>0553</t>
  </si>
  <si>
    <t>46907</t>
  </si>
  <si>
    <t>44231/1</t>
  </si>
  <si>
    <t>KHI/HO/D/MO/PC COMP/C/100245/39/10/2024</t>
  </si>
  <si>
    <t>SHAHZAD  AKRAM</t>
  </si>
  <si>
    <t>4250115549435</t>
  </si>
  <si>
    <t>BQX-810</t>
  </si>
  <si>
    <t>4188571</t>
  </si>
  <si>
    <t>429594</t>
  </si>
  <si>
    <t>44210/1</t>
  </si>
  <si>
    <t>KHI/HO/D/MO/PC COMP/C/100245/41/10/2024</t>
  </si>
  <si>
    <t>GHALIB  AHMAD</t>
  </si>
  <si>
    <t>3520291816449</t>
  </si>
  <si>
    <t>ABM-085</t>
  </si>
  <si>
    <t>2A08517</t>
  </si>
  <si>
    <t>9503593</t>
  </si>
  <si>
    <t>9400</t>
  </si>
  <si>
    <t>41708/1</t>
  </si>
  <si>
    <t>KHI/HO/D/MO/PC COMP/C/100245/3/10/2024</t>
  </si>
  <si>
    <t>SHOAIB  HUSSAIN</t>
  </si>
  <si>
    <t>3220362537621</t>
  </si>
  <si>
    <t>ABN-545</t>
  </si>
  <si>
    <t>2A10345</t>
  </si>
  <si>
    <t>7005969</t>
  </si>
  <si>
    <t>412880</t>
  </si>
  <si>
    <t>42494/1</t>
  </si>
  <si>
    <t>KHI/HO/D/MO/PC COMP/C/100245/159/10/2024</t>
  </si>
  <si>
    <t>KHALIL  MUNAWAR</t>
  </si>
  <si>
    <t>3130322214775</t>
  </si>
  <si>
    <t>TOYOTA COROLLA ALTIS GRAN</t>
  </si>
  <si>
    <t>ANG-400</t>
  </si>
  <si>
    <t>Q345514</t>
  </si>
  <si>
    <t>7044694</t>
  </si>
  <si>
    <t>0461</t>
  </si>
  <si>
    <t>493210</t>
  </si>
  <si>
    <t>60670/1</t>
  </si>
  <si>
    <t>KHI/HO/D/MO/PC COMP/C/100245/97/10/2024</t>
  </si>
  <si>
    <t>FAISAL  ZAMIR</t>
  </si>
  <si>
    <t>3410129782703</t>
  </si>
  <si>
    <t>LEC-19-8085</t>
  </si>
  <si>
    <t>PK10087778</t>
  </si>
  <si>
    <t>588769</t>
  </si>
  <si>
    <t>67700/1</t>
  </si>
  <si>
    <t>KHI/HO/D/MO/PC COMP/C/100245/65/10/2024</t>
  </si>
  <si>
    <t>SAMEENA  WASEEM</t>
  </si>
  <si>
    <t>3310056657324</t>
  </si>
  <si>
    <t>AQG-071</t>
  </si>
  <si>
    <t>1186122</t>
  </si>
  <si>
    <t>628694</t>
  </si>
  <si>
    <t>66145/1</t>
  </si>
  <si>
    <t>KHI/HO/D/MO/PC COMP/C/100245/63/10/2024</t>
  </si>
  <si>
    <t>AYAZ  MAHMOOD</t>
  </si>
  <si>
    <t>3120256143727</t>
  </si>
  <si>
    <t>LED-18-4225</t>
  </si>
  <si>
    <t>10054981</t>
  </si>
  <si>
    <t>622675</t>
  </si>
  <si>
    <t>68009/1</t>
  </si>
  <si>
    <t>KHI/HO/D/MO/CV/C/100348/4/10/2024</t>
  </si>
  <si>
    <t>MUHAMMAD AHSAN  MUNIR</t>
  </si>
  <si>
    <t>SUZUKI RAVI VX EURO II</t>
  </si>
  <si>
    <t>CAQ-8414</t>
  </si>
  <si>
    <t>495211</t>
  </si>
  <si>
    <t>391539</t>
  </si>
  <si>
    <t>51773/1</t>
  </si>
  <si>
    <t>KHI/HO/D/MO/PC COMP/C/100245/118/10/2024</t>
  </si>
  <si>
    <t>MUHAMMAD ALI RAZA</t>
  </si>
  <si>
    <t>3520270258163</t>
  </si>
  <si>
    <t>AFW-570</t>
  </si>
  <si>
    <t>10122358</t>
  </si>
  <si>
    <t>0313</t>
  </si>
  <si>
    <t>550524</t>
  </si>
  <si>
    <t>51757/1</t>
  </si>
  <si>
    <t>KHI/HO/D/MO/PC COMP/C/100245/117/10/2024</t>
  </si>
  <si>
    <t>ABID   ALI</t>
  </si>
  <si>
    <t>3520284772495</t>
  </si>
  <si>
    <t>AFS-763</t>
  </si>
  <si>
    <t>1089005</t>
  </si>
  <si>
    <t>550291</t>
  </si>
  <si>
    <t>60666/1</t>
  </si>
  <si>
    <t>KHI/HO/D/MO/PC COMP/C/100245/99/10/2024</t>
  </si>
  <si>
    <t>MUHAMMAD   UMAR</t>
  </si>
  <si>
    <t>3310239559705</t>
  </si>
  <si>
    <t>LEF-19-5852</t>
  </si>
  <si>
    <t>B191766</t>
  </si>
  <si>
    <t>K10091756</t>
  </si>
  <si>
    <t>552079</t>
  </si>
  <si>
    <t>60621/1</t>
  </si>
  <si>
    <t>KHI/HO/D/MO/PC COMP/C/100245/98/10/2024</t>
  </si>
  <si>
    <t>4220171850031</t>
  </si>
  <si>
    <t>BQE-865</t>
  </si>
  <si>
    <t>10045843</t>
  </si>
  <si>
    <t>589117</t>
  </si>
  <si>
    <t>67696/1</t>
  </si>
  <si>
    <t>KHI/HO/D/MO/PC COMP/C/100245/68/10/2024</t>
  </si>
  <si>
    <t>KAMRAN  JAVED</t>
  </si>
  <si>
    <t>3310260139401</t>
  </si>
  <si>
    <t>AQG-182</t>
  </si>
  <si>
    <t>1185886</t>
  </si>
  <si>
    <t>629575</t>
  </si>
  <si>
    <t>67771/1</t>
  </si>
  <si>
    <t>KHI/HO/D/MO/PC COMP/C/100245/67/10/2024</t>
  </si>
  <si>
    <t>SAAD  MAQSOOD</t>
  </si>
  <si>
    <t>3520115048549</t>
  </si>
  <si>
    <t>ABX-674</t>
  </si>
  <si>
    <t>1045435</t>
  </si>
  <si>
    <t>628976</t>
  </si>
  <si>
    <t>39107/1</t>
  </si>
  <si>
    <t>KHI/HO/D/MO/PC COMP/C/100245/9/10/2024</t>
  </si>
  <si>
    <t>MEHR MUHAMMAD .</t>
  </si>
  <si>
    <t>9030301132371</t>
  </si>
  <si>
    <t>HONDA CITY ASPIRE 1.5  I-</t>
  </si>
  <si>
    <t>LEA-19A-1645</t>
  </si>
  <si>
    <t>KR255972</t>
  </si>
  <si>
    <t>261634</t>
  </si>
  <si>
    <t>67820/1</t>
  </si>
  <si>
    <t>KHI/HO/D/MO/CV/C/100348/1/10/2024</t>
  </si>
  <si>
    <t>FARHAN RASHEED BUTT</t>
  </si>
  <si>
    <t>SUZUKI RAVI PICK UP</t>
  </si>
  <si>
    <t>493486</t>
  </si>
  <si>
    <t>0561</t>
  </si>
  <si>
    <t>521843</t>
  </si>
  <si>
    <t>60689/1</t>
  </si>
  <si>
    <t>KHI/HO/D/MO/PC COMP/C/100245/150/10/2024</t>
  </si>
  <si>
    <t>ZAHID  SALEEM</t>
  </si>
  <si>
    <t>3520254542531</t>
  </si>
  <si>
    <t>SUZUKI Swift GLX CVT</t>
  </si>
  <si>
    <t>AMB-824</t>
  </si>
  <si>
    <t>108767</t>
  </si>
  <si>
    <t>589520</t>
  </si>
  <si>
    <t>51791/1</t>
  </si>
  <si>
    <t>KHI/HO/D/MO/PC COMP/C/100245/119/10/2024</t>
  </si>
  <si>
    <t>TAUSEEF  AHMAD</t>
  </si>
  <si>
    <t>3520262886883</t>
  </si>
  <si>
    <t>AFR-644</t>
  </si>
  <si>
    <t>1089118</t>
  </si>
  <si>
    <t>444147</t>
  </si>
  <si>
    <t>67663/1</t>
  </si>
  <si>
    <t>KHI/HO/D/MO/PC COMP/C/100245/69/10/2024</t>
  </si>
  <si>
    <t>FARMAN  YOUSUF</t>
  </si>
  <si>
    <t>3520176603941</t>
  </si>
  <si>
    <t>ALT-470</t>
  </si>
  <si>
    <t>6R242886</t>
  </si>
  <si>
    <t>H1142901</t>
  </si>
  <si>
    <t>628457</t>
  </si>
  <si>
    <t>56648/1</t>
  </si>
  <si>
    <t>KHI/HO/D/MO/PC COMP/C/100245/22/10/2024</t>
  </si>
  <si>
    <t>ZAHOOR  KHAN</t>
  </si>
  <si>
    <t>3320349828761</t>
  </si>
  <si>
    <t>AMC-089</t>
  </si>
  <si>
    <t>6R252842</t>
  </si>
  <si>
    <t>6H1152841</t>
  </si>
  <si>
    <t>0455</t>
  </si>
  <si>
    <t>573387</t>
  </si>
  <si>
    <t>44409/1</t>
  </si>
  <si>
    <t>KHI/HO/D/MO/PC COMP/C/100245/162/10/2024</t>
  </si>
  <si>
    <t>MUHAMMAD  IQBAL</t>
  </si>
  <si>
    <t>3510206871309</t>
  </si>
  <si>
    <t>KIA SPORTAGE AWD-CW</t>
  </si>
  <si>
    <t>ABP-651</t>
  </si>
  <si>
    <t>505428</t>
  </si>
  <si>
    <t>508078</t>
  </si>
  <si>
    <t>43922/2</t>
  </si>
  <si>
    <t>KHI/HO/D/MO/PC COMP/C/100245/161/10/2024</t>
  </si>
  <si>
    <t>SHARIQ   SAEED</t>
  </si>
  <si>
    <t>4230177310463</t>
  </si>
  <si>
    <t>HONDA BRV I-VTEC S STD</t>
  </si>
  <si>
    <t>BH-8548</t>
  </si>
  <si>
    <t>019646</t>
  </si>
  <si>
    <t>279374</t>
  </si>
  <si>
    <t>44272/1</t>
  </si>
  <si>
    <t>KHI/HO/D/MO/PC COMP/C/100245/160/10/2024</t>
  </si>
  <si>
    <t>TARIQ   MEHMOOD</t>
  </si>
  <si>
    <t>3740502762485</t>
  </si>
  <si>
    <t>ARW-743</t>
  </si>
  <si>
    <t>1042990</t>
  </si>
  <si>
    <t>292628</t>
  </si>
  <si>
    <t>67285/1</t>
  </si>
  <si>
    <t>KHI/HO/D/MO/PC COMP/C/100245/136/10/2024</t>
  </si>
  <si>
    <t>MUHAMMAD KAMRAN  SARFRAZ</t>
  </si>
  <si>
    <t>3520204118905</t>
  </si>
  <si>
    <t>HONDA BRV - S</t>
  </si>
  <si>
    <t>LEH-17-756</t>
  </si>
  <si>
    <t>HR002121</t>
  </si>
  <si>
    <t>627312</t>
  </si>
  <si>
    <t>67533/1</t>
  </si>
  <si>
    <t>KHI/HO/D/MO/PC COMP/C/100245/135/10/2024</t>
  </si>
  <si>
    <t>MUHAMMAD  SHOAIB</t>
  </si>
  <si>
    <t>3840203188931</t>
  </si>
  <si>
    <t>HONDA CITY</t>
  </si>
  <si>
    <t>LEF-19-7223</t>
  </si>
  <si>
    <t>A79795697</t>
  </si>
  <si>
    <t>KR2660745</t>
  </si>
  <si>
    <t>628063</t>
  </si>
  <si>
    <t>51803/1</t>
  </si>
  <si>
    <t>KHI/HO/D/MO/PC COMP/C/100245/120/10/2024</t>
  </si>
  <si>
    <t>NASEER  AHMED</t>
  </si>
  <si>
    <t>3520202521899</t>
  </si>
  <si>
    <t>AFS-428</t>
  </si>
  <si>
    <t>1012214</t>
  </si>
  <si>
    <t>549316</t>
  </si>
  <si>
    <t>60721/1</t>
  </si>
  <si>
    <t>KHI/HO/D/MO/PC COMP/C/100245/101/10/2024</t>
  </si>
  <si>
    <t>MUHAMMAD ATIF BUTT</t>
  </si>
  <si>
    <t>3520220380725</t>
  </si>
  <si>
    <t>AJF-844</t>
  </si>
  <si>
    <t>1104042</t>
  </si>
  <si>
    <t>589359</t>
  </si>
  <si>
    <t>60705/1</t>
  </si>
  <si>
    <t>KHI/HO/D/MO/PC COMP/C/100245/100/10/2024</t>
  </si>
  <si>
    <t>RANA MUHAMMAD USAMA</t>
  </si>
  <si>
    <t>3520111364299</t>
  </si>
  <si>
    <t>LEB-17A-7057</t>
  </si>
  <si>
    <t>10042906</t>
  </si>
  <si>
    <t>589115</t>
  </si>
  <si>
    <t>67882/1</t>
  </si>
  <si>
    <t>KHI/HO/D/MO/PC COMP/C/100245/72/10/2024</t>
  </si>
  <si>
    <t>AKHTAR  RASOOL</t>
  </si>
  <si>
    <t>3310153724259</t>
  </si>
  <si>
    <t>AMZ-387</t>
  </si>
  <si>
    <t>6R268574</t>
  </si>
  <si>
    <t>NF1AET306H1168469</t>
  </si>
  <si>
    <t>418729</t>
  </si>
  <si>
    <t>67812/1</t>
  </si>
  <si>
    <t>KHI/HO/D/MO/PC COMP/C/100245/71/10/2024</t>
  </si>
  <si>
    <t>ADNAN  -</t>
  </si>
  <si>
    <t>3520267323825</t>
  </si>
  <si>
    <t>LEH-18-6965</t>
  </si>
  <si>
    <t>B160178</t>
  </si>
  <si>
    <t>PK10060240</t>
  </si>
  <si>
    <t>629083</t>
  </si>
  <si>
    <t>68090/1</t>
  </si>
  <si>
    <t>KHI/HO/D/MO/PC COMP/C/100245/70/10/2024</t>
  </si>
  <si>
    <t>MUHAMMAD  REHAN  QURESHI</t>
  </si>
  <si>
    <t>4120484751373</t>
  </si>
  <si>
    <t>BKG-426</t>
  </si>
  <si>
    <t>01235487</t>
  </si>
  <si>
    <t>627506</t>
  </si>
  <si>
    <t>68063/1</t>
  </si>
  <si>
    <t>KHI/HO/D/MO/PC COMP/C/100245/66/10/2024</t>
  </si>
  <si>
    <t>3520211216961</t>
  </si>
  <si>
    <t>KIA PICANTO 1.0L A/T</t>
  </si>
  <si>
    <t>AFQ-951</t>
  </si>
  <si>
    <t>MP107949</t>
  </si>
  <si>
    <t>KP707710</t>
  </si>
  <si>
    <t>629557</t>
  </si>
  <si>
    <t>44317/1</t>
  </si>
  <si>
    <t>KHI/HO/D/MO/PC COMP/C/100245/42/10/2024</t>
  </si>
  <si>
    <t>USMAN  SARWAR</t>
  </si>
  <si>
    <t>3410404071861</t>
  </si>
  <si>
    <t>SUZUKI EVERY WAGON</t>
  </si>
  <si>
    <t>AAW-745</t>
  </si>
  <si>
    <t>R06A-1723268</t>
  </si>
  <si>
    <t>DA17V-127480</t>
  </si>
  <si>
    <t>0457</t>
  </si>
  <si>
    <t>509495</t>
  </si>
  <si>
    <t>56853/1</t>
  </si>
  <si>
    <t>KHI/HO/D/MO/PC COMP/C/100245/23/10/2024</t>
  </si>
  <si>
    <t>HAFIZ MUHAMMAD AZEEM</t>
  </si>
  <si>
    <t>6110119729833</t>
  </si>
  <si>
    <t>BAT-497</t>
  </si>
  <si>
    <t>1153982</t>
  </si>
  <si>
    <t>292743</t>
  </si>
  <si>
    <t>41810/1</t>
  </si>
  <si>
    <t>KHI/HO/D/MO/PC COMP/C/100245/4/10/2024</t>
  </si>
  <si>
    <t>MUMTAZ  HUSSAIN</t>
  </si>
  <si>
    <t>3630327209945</t>
  </si>
  <si>
    <t>AAU-762</t>
  </si>
  <si>
    <t>2A10391</t>
  </si>
  <si>
    <t>7005876</t>
  </si>
  <si>
    <t>493358</t>
  </si>
  <si>
    <t>52049/1</t>
  </si>
  <si>
    <t>KHI/HO/D/MO/PC COMP/C/100245/156/10/2024</t>
  </si>
  <si>
    <t>AMMAR  AKHTAR</t>
  </si>
  <si>
    <t>3540431646889</t>
  </si>
  <si>
    <t>PRINCE GLORY 580 PRO TURB</t>
  </si>
  <si>
    <t>AEC-395</t>
  </si>
  <si>
    <t>21G1256</t>
  </si>
  <si>
    <t>550432</t>
  </si>
  <si>
    <t>60805/1</t>
  </si>
  <si>
    <t>KHI/HO/D/MO/PC COMP/C/100245/151/10/2024</t>
  </si>
  <si>
    <t>MUHAMMAD TANVEER  HUSSAIN</t>
  </si>
  <si>
    <t>3310053248507</t>
  </si>
  <si>
    <t>HONDA CIVIC VTI ORIEL PT</t>
  </si>
  <si>
    <t>APZ-882</t>
  </si>
  <si>
    <t>R18Z12955221</t>
  </si>
  <si>
    <t>NFBFC6664K058993</t>
  </si>
  <si>
    <t>589814</t>
  </si>
  <si>
    <t>51874/1</t>
  </si>
  <si>
    <t>KHI/HO/D/MO/PC COMP/C/100245/122/10/2024</t>
  </si>
  <si>
    <t>MUHAMMAD  AQIB</t>
  </si>
  <si>
    <t>3310068607505</t>
  </si>
  <si>
    <t>SUZUKI CULTUS VXL AGS</t>
  </si>
  <si>
    <t>LEE-18-1219</t>
  </si>
  <si>
    <t>PK10K120043</t>
  </si>
  <si>
    <t>NF1AVK31H10019883</t>
  </si>
  <si>
    <t>550665</t>
  </si>
  <si>
    <t>51815/1</t>
  </si>
  <si>
    <t>KHI/HO/D/MO/PC COMP/C/100245/121/10/2024</t>
  </si>
  <si>
    <t>RANA   BILAWAL</t>
  </si>
  <si>
    <t>3520204160719</t>
  </si>
  <si>
    <t>HONDA CITY 1.2  LS CVT</t>
  </si>
  <si>
    <t>AGG-114</t>
  </si>
  <si>
    <t>MR001879</t>
  </si>
  <si>
    <t>552999</t>
  </si>
  <si>
    <t>60730/1</t>
  </si>
  <si>
    <t>KHI/HO/D/MO/PC COMP/C/100245/102/10/2024</t>
  </si>
  <si>
    <t>ZABEEH  AHMAD MALIK</t>
  </si>
  <si>
    <t>6110159876405</t>
  </si>
  <si>
    <t>BAV-314</t>
  </si>
  <si>
    <t>10141571</t>
  </si>
  <si>
    <t>589871</t>
  </si>
  <si>
    <t>44339/1</t>
  </si>
  <si>
    <t>KHI/HO/D/MO/PC COMP/C/100245/48/10/2024</t>
  </si>
  <si>
    <t>MUHAMMAD  ISHFAQ</t>
  </si>
  <si>
    <t>3520288311413</t>
  </si>
  <si>
    <t>TOYOTA YARIS ATIV CVT</t>
  </si>
  <si>
    <t>AAZ-688</t>
  </si>
  <si>
    <t>2A10113</t>
  </si>
  <si>
    <t>7005788</t>
  </si>
  <si>
    <t>506600</t>
  </si>
  <si>
    <t>44342/1</t>
  </si>
  <si>
    <t>KHI/HO/D/MO/PC COMP/C/100245/47/10/2024</t>
  </si>
  <si>
    <t>HASSAN  RAZA SHAMSI</t>
  </si>
  <si>
    <t>3540181745711</t>
  </si>
  <si>
    <t>ROAD PRINCE PEARL</t>
  </si>
  <si>
    <t>AAV-480</t>
  </si>
  <si>
    <t>L06605750W</t>
  </si>
  <si>
    <t>RAILPPM20i1033</t>
  </si>
  <si>
    <t>0339</t>
  </si>
  <si>
    <t>507387</t>
  </si>
  <si>
    <t>44358/1</t>
  </si>
  <si>
    <t>KHI/HO/D/MO/PC COMP/C/100245/46/10/2024</t>
  </si>
  <si>
    <t>AHMAD  ALI</t>
  </si>
  <si>
    <t>3520236704745</t>
  </si>
  <si>
    <t>LEC-18-1499</t>
  </si>
  <si>
    <t>Q051753</t>
  </si>
  <si>
    <t>ZRE171R6029264</t>
  </si>
  <si>
    <t>507294</t>
  </si>
  <si>
    <t>44310/1</t>
  </si>
  <si>
    <t>KHI/HO/D/MO/PC COMP/C/100245/45/10/2024</t>
  </si>
  <si>
    <t>SABIR  ALI</t>
  </si>
  <si>
    <t>3510264251401</t>
  </si>
  <si>
    <t>LE-16-1943</t>
  </si>
  <si>
    <t>4058178</t>
  </si>
  <si>
    <t>506507</t>
  </si>
  <si>
    <t>44395/1</t>
  </si>
  <si>
    <t>KHI/HO/D/MO/PC COMP/C/100245/43/10/2024</t>
  </si>
  <si>
    <t>EHSAN  MOHSIN</t>
  </si>
  <si>
    <t>3840171972631</t>
  </si>
  <si>
    <t>AAY-645</t>
  </si>
  <si>
    <t>10104635</t>
  </si>
  <si>
    <t>0452</t>
  </si>
  <si>
    <t>205025</t>
  </si>
  <si>
    <t>51841/1</t>
  </si>
  <si>
    <t>KHI/HO/D/MO/PC COMP/C/100245/30/10/2024</t>
  </si>
  <si>
    <t>SALMAN  ALI</t>
  </si>
  <si>
    <t>3520129914855</t>
  </si>
  <si>
    <t>FV-277</t>
  </si>
  <si>
    <t>Z354262</t>
  </si>
  <si>
    <t>R-4053333</t>
  </si>
  <si>
    <t>544558</t>
  </si>
  <si>
    <t>56644/1</t>
  </si>
  <si>
    <t>KHI/HO/D/MO/PC COMP/C/100245/24/10/2024</t>
  </si>
  <si>
    <t>MUHAMMAD  NADEEM</t>
  </si>
  <si>
    <t>3520172565281</t>
  </si>
  <si>
    <t>AMD-977</t>
  </si>
  <si>
    <t>NR027073</t>
  </si>
  <si>
    <t>548846</t>
  </si>
  <si>
    <t>52014/1</t>
  </si>
  <si>
    <t>KHI/HO/D/MO/PC COMP/C/100245/129/10/2024</t>
  </si>
  <si>
    <t>MUHAMMAD USMAN YOUSAF</t>
  </si>
  <si>
    <t>3520176470043</t>
  </si>
  <si>
    <t>AAJ-371</t>
  </si>
  <si>
    <t>24878</t>
  </si>
  <si>
    <t>550418</t>
  </si>
  <si>
    <t>52056/1</t>
  </si>
  <si>
    <t>KHI/HO/D/MO/PC COMP/C/100245/128/10/2024</t>
  </si>
  <si>
    <t>ABDUL  QAYYUM</t>
  </si>
  <si>
    <t>1730131330369</t>
  </si>
  <si>
    <t>TOYOTA C. ALTIS 138B GRAN</t>
  </si>
  <si>
    <t>APT-255</t>
  </si>
  <si>
    <t>6037844</t>
  </si>
  <si>
    <t>0603</t>
  </si>
  <si>
    <t>551951</t>
  </si>
  <si>
    <t>52017/1</t>
  </si>
  <si>
    <t>KHI/HO/D/MO/PC COMP/C/100245/127/10/2024</t>
  </si>
  <si>
    <t>USMAN  KHALIL</t>
  </si>
  <si>
    <t>3520230172463</t>
  </si>
  <si>
    <t>FY-304</t>
  </si>
  <si>
    <t>PKB633046</t>
  </si>
  <si>
    <t>K01171564</t>
  </si>
  <si>
    <t>552912</t>
  </si>
  <si>
    <t>52045/1</t>
  </si>
  <si>
    <t>KHI/HO/D/MO/PC COMP/C/100245/126/10/2024</t>
  </si>
  <si>
    <t>MUHAMMAD AZHAR HUSSAIN</t>
  </si>
  <si>
    <t>3620324446665</t>
  </si>
  <si>
    <t>AFT-784</t>
  </si>
  <si>
    <t>10122608</t>
  </si>
  <si>
    <t>552189</t>
  </si>
  <si>
    <t>51968/1</t>
  </si>
  <si>
    <t>KHI/HO/D/MO/PC COMP/C/100245/125/10/2024</t>
  </si>
  <si>
    <t>MUHAMMAD  MUAVIA</t>
  </si>
  <si>
    <t>3840393048433</t>
  </si>
  <si>
    <t>AFT-757</t>
  </si>
  <si>
    <t>10122864</t>
  </si>
  <si>
    <t>552284</t>
  </si>
  <si>
    <t>51911/1</t>
  </si>
  <si>
    <t>KHI/HO/D/MO/PC COMP/C/100245/124/10/2024</t>
  </si>
  <si>
    <t>NAILA  BOOTA</t>
  </si>
  <si>
    <t>3520231760666</t>
  </si>
  <si>
    <t>LEA-20-3094</t>
  </si>
  <si>
    <t>10101072</t>
  </si>
  <si>
    <t>552641</t>
  </si>
  <si>
    <t>51916/1</t>
  </si>
  <si>
    <t>KHI/HO/D/MO/PC COMP/C/100245/123/10/2024</t>
  </si>
  <si>
    <t>DANISH   TARIQ</t>
  </si>
  <si>
    <t>3520185689539</t>
  </si>
  <si>
    <t>TOYOTA YARIS ATIV X CVT 1</t>
  </si>
  <si>
    <t>AFM-210</t>
  </si>
  <si>
    <t>2A39342</t>
  </si>
  <si>
    <t>7024598</t>
  </si>
  <si>
    <t>552674</t>
  </si>
  <si>
    <t>60726/1</t>
  </si>
  <si>
    <t>KHI/HO/D/MO/PC COMP/C/100245/103/10/2024</t>
  </si>
  <si>
    <t>AHSAN ALI KHAN</t>
  </si>
  <si>
    <t>4220117625961</t>
  </si>
  <si>
    <t>BVG-852</t>
  </si>
  <si>
    <t>R-119739</t>
  </si>
  <si>
    <t>1019923</t>
  </si>
  <si>
    <t>516386</t>
  </si>
  <si>
    <t>44334/1</t>
  </si>
  <si>
    <t>KHI/HO/D/MO/PC COMP/C/100245/52/10/2024</t>
  </si>
  <si>
    <t>SADIA SHAKIR SHAH</t>
  </si>
  <si>
    <t>6110173443278</t>
  </si>
  <si>
    <t>ARY-655</t>
  </si>
  <si>
    <t>1044093</t>
  </si>
  <si>
    <t>509710</t>
  </si>
  <si>
    <t>44368/1</t>
  </si>
  <si>
    <t>KHI/HO/D/MO/PC COMP/C/100245/51/10/2024</t>
  </si>
  <si>
    <t>MUHAMMAD  QASIM</t>
  </si>
  <si>
    <t>3410124858841</t>
  </si>
  <si>
    <t>TOYOTA COROLLA XLI 1.3</t>
  </si>
  <si>
    <t>LE-16A-5049</t>
  </si>
  <si>
    <t>Z462095</t>
  </si>
  <si>
    <t>NZE170R-4089313</t>
  </si>
  <si>
    <t>507784</t>
  </si>
  <si>
    <t>44371/1</t>
  </si>
  <si>
    <t>KHI/HO/D/MO/PC COMP/C/100245/50/10/2024</t>
  </si>
  <si>
    <t>MUHAMMAD KAMRAN BHATTI</t>
  </si>
  <si>
    <t>3410199558751</t>
  </si>
  <si>
    <t>ABA-415</t>
  </si>
  <si>
    <t>1043980</t>
  </si>
  <si>
    <t>375523</t>
  </si>
  <si>
    <t>44289/1</t>
  </si>
  <si>
    <t>KHI/HO/D/MO/PC COMP/C/100245/49/10/2024</t>
  </si>
  <si>
    <t>NISAR AHMED  .</t>
  </si>
  <si>
    <t>4220159862947</t>
  </si>
  <si>
    <t>TOYOTA AQUA HYBRID</t>
  </si>
  <si>
    <t>BMB-542</t>
  </si>
  <si>
    <t>1NZ-7558945</t>
  </si>
  <si>
    <t>2461604</t>
  </si>
  <si>
    <t>376983</t>
  </si>
  <si>
    <t>51885/1</t>
  </si>
  <si>
    <t>KHI/HO/D/MO/PC COMP/C/100245/31/10/2024</t>
  </si>
  <si>
    <t>MUHAMMAD ASIF AFZAL</t>
  </si>
  <si>
    <t>3620328081885</t>
  </si>
  <si>
    <t>AFW-302</t>
  </si>
  <si>
    <t>10122397</t>
  </si>
  <si>
    <t>0471</t>
  </si>
  <si>
    <t>548351</t>
  </si>
  <si>
    <t>33815/1</t>
  </si>
  <si>
    <t>KHI/HO/D/MO/PC COMP/C/100245/6/10/2024</t>
  </si>
  <si>
    <t>SHAHBAZ HAIDER BUTT</t>
  </si>
  <si>
    <t>3520222028729</t>
  </si>
  <si>
    <t>TOYOTA COROLLA GLI A/T 1.</t>
  </si>
  <si>
    <t>LEC-18A-4310</t>
  </si>
  <si>
    <t>4165453</t>
  </si>
  <si>
    <t>0318</t>
  </si>
  <si>
    <t>426422</t>
  </si>
  <si>
    <t>51939/1</t>
  </si>
  <si>
    <t>KHI/HO/D/MO/CV/C/100346/2/10/2024</t>
  </si>
  <si>
    <t>MUHAMMAD SAEED SALEEM</t>
  </si>
  <si>
    <t>LA-6888</t>
  </si>
  <si>
    <t>481343</t>
  </si>
  <si>
    <t>529857</t>
  </si>
  <si>
    <t>52025/1</t>
  </si>
  <si>
    <t>KHI/HO/D/MO/CV/C/100346/1/10/2024</t>
  </si>
  <si>
    <t>MUHAMMAD ARSALAN HAIDER</t>
  </si>
  <si>
    <t>CAG-7368</t>
  </si>
  <si>
    <t>PKT376619</t>
  </si>
  <si>
    <t>SR308PK481289</t>
  </si>
  <si>
    <t>528223</t>
  </si>
  <si>
    <t>39204/1</t>
  </si>
  <si>
    <t>KHI/HO/D/MO/PC COMP/C/100245/163/10/2024</t>
  </si>
  <si>
    <t>MOHSIN  ALI</t>
  </si>
  <si>
    <t>3840394398199</t>
  </si>
  <si>
    <t>APU-823</t>
  </si>
  <si>
    <t>057451</t>
  </si>
  <si>
    <t>465458</t>
  </si>
  <si>
    <t>67484/1</t>
  </si>
  <si>
    <t>KHI/HO/D/MO/PC COMP/C/100245/137/10/2024</t>
  </si>
  <si>
    <t>MUHAMMAD TALAT MEHMOOD</t>
  </si>
  <si>
    <t>3330145533631</t>
  </si>
  <si>
    <t>TOYOTA COROLLA ALTIS  1.6</t>
  </si>
  <si>
    <t>LEA-16-6855</t>
  </si>
  <si>
    <t>Q029419</t>
  </si>
  <si>
    <t>R6006886</t>
  </si>
  <si>
    <t>627884</t>
  </si>
  <si>
    <t>67753/1</t>
  </si>
  <si>
    <t>KHI/HO/D/MO/PC COMP/C/100245/74/10/2024</t>
  </si>
  <si>
    <t>SHAHID MAHMOOD QURESHI</t>
  </si>
  <si>
    <t>3740520152685</t>
  </si>
  <si>
    <t>SUZUKI ALTO VXR AGS</t>
  </si>
  <si>
    <t>NEW</t>
  </si>
  <si>
    <t>1185776</t>
  </si>
  <si>
    <t>417104</t>
  </si>
  <si>
    <t>67579/1</t>
  </si>
  <si>
    <t>KHI/HO/D/MO/PC COMP/C/100245/73/10/2024</t>
  </si>
  <si>
    <t>TAHIR  MEHMOOD</t>
  </si>
  <si>
    <t>3520280696037</t>
  </si>
  <si>
    <t>LE-16-5856</t>
  </si>
  <si>
    <t>B111541</t>
  </si>
  <si>
    <t>PK10011536</t>
  </si>
  <si>
    <t>628977</t>
  </si>
  <si>
    <t>33888/1</t>
  </si>
  <si>
    <t>KHI/HO/D/MO/PC COMP/C/100245/10/10/2024</t>
  </si>
  <si>
    <t>MUHAMMAD IMRAN SAQIB</t>
  </si>
  <si>
    <t>3410204560219</t>
  </si>
  <si>
    <t>HONDA CITY M/T</t>
  </si>
  <si>
    <t>le-19-3770</t>
  </si>
  <si>
    <t>JR234153</t>
  </si>
  <si>
    <t>47097</t>
  </si>
  <si>
    <t>39165/1</t>
  </si>
  <si>
    <t>KHI/HO/D/MO/PC COMP/C/100245/8/10/2024</t>
  </si>
  <si>
    <t>NIDA  IRTAZA</t>
  </si>
  <si>
    <t>3520288143404</t>
  </si>
  <si>
    <t>HONDA CITY CVT ASPIRE A/T</t>
  </si>
  <si>
    <t>LE-20-7788</t>
  </si>
  <si>
    <t>256576</t>
  </si>
  <si>
    <t>466176</t>
  </si>
  <si>
    <t>60806/1</t>
  </si>
  <si>
    <t>KHI/HO/D/MO/PC COMP/C/100245/154/10/2024</t>
  </si>
  <si>
    <t>IRFAN   MAHMOOD</t>
  </si>
  <si>
    <t>3310014226121</t>
  </si>
  <si>
    <t>ANV-771</t>
  </si>
  <si>
    <t>R18Z12951314</t>
  </si>
  <si>
    <t>NFBFC6661KR055789</t>
  </si>
  <si>
    <t>589819</t>
  </si>
  <si>
    <t>60731/1</t>
  </si>
  <si>
    <t>KHI/HO/D/MO/PC COMP/C/100245/153/10/2024</t>
  </si>
  <si>
    <t>ALI  MURTAZA  AWAN</t>
  </si>
  <si>
    <t>4130369662501</t>
  </si>
  <si>
    <t>BXC-610</t>
  </si>
  <si>
    <t>000910</t>
  </si>
  <si>
    <t>589635</t>
  </si>
  <si>
    <t>68222/2</t>
  </si>
  <si>
    <t>KHI/HO/D/MO/PC COMP/C/100245/144/10/2024</t>
  </si>
  <si>
    <t>MUHAMMAD  KASHIF</t>
  </si>
  <si>
    <t>3520157223917</t>
  </si>
  <si>
    <t>LEF-18-8425</t>
  </si>
  <si>
    <t>5380441</t>
  </si>
  <si>
    <t>565825</t>
  </si>
  <si>
    <t>67818/1</t>
  </si>
  <si>
    <t>KHI/HO/D/MO/PC COMP/C/100245/143/10/2024</t>
  </si>
  <si>
    <t>SHABBIR  HUSSAIN</t>
  </si>
  <si>
    <t>3520206494583</t>
  </si>
  <si>
    <t>LEH-19-90</t>
  </si>
  <si>
    <t>Z12951902</t>
  </si>
  <si>
    <t>KR055293</t>
  </si>
  <si>
    <t>509286</t>
  </si>
  <si>
    <t>67914/1</t>
  </si>
  <si>
    <t>KHI/HO/D/MO/PC COMP/C/100245/142/10/2024</t>
  </si>
  <si>
    <t>ZULQARNAIN  .</t>
  </si>
  <si>
    <t>3520150133135</t>
  </si>
  <si>
    <t>LEB-20-6289</t>
  </si>
  <si>
    <t>LR260516</t>
  </si>
  <si>
    <t>629539</t>
  </si>
  <si>
    <t>67602/1</t>
  </si>
  <si>
    <t>KHI/HO/D/MO/PC COMP/C/100245/141/10/2024</t>
  </si>
  <si>
    <t>MUHAMMAD ASAD ULLAH TAYYAB CH</t>
  </si>
  <si>
    <t>3520190110181</t>
  </si>
  <si>
    <t>ARY-723</t>
  </si>
  <si>
    <t>R019729</t>
  </si>
  <si>
    <t>628398</t>
  </si>
  <si>
    <t>67538/1</t>
  </si>
  <si>
    <t>KHI/HO/D/MO/PC COMP/C/100245/140/10/2024</t>
  </si>
  <si>
    <t>SHAUKAT HUSSAIN SAFDARI</t>
  </si>
  <si>
    <t>8220363207561</t>
  </si>
  <si>
    <t>BAW-561</t>
  </si>
  <si>
    <t>00110460</t>
  </si>
  <si>
    <t>628095</t>
  </si>
  <si>
    <t>68154/1</t>
  </si>
  <si>
    <t>KHI/HO/D/MO/PC COMP/C/100245/139/10/2024</t>
  </si>
  <si>
    <t>MUHAMMAD  IMRAN</t>
  </si>
  <si>
    <t>3520174726985</t>
  </si>
  <si>
    <t>TOYOTA AQUA</t>
  </si>
  <si>
    <t>APZ-632</t>
  </si>
  <si>
    <t>1NZ-7901411</t>
  </si>
  <si>
    <t>NHP10-6501131</t>
  </si>
  <si>
    <t>628988</t>
  </si>
  <si>
    <t>67766/1</t>
  </si>
  <si>
    <t>KHI/HO/D/MO/PC COMP/C/100245/138/10/2024</t>
  </si>
  <si>
    <t>MUHAMMAD  ATHAR</t>
  </si>
  <si>
    <t>3310021521835</t>
  </si>
  <si>
    <t>CHANGAN ALSVIN LUMEIRE</t>
  </si>
  <si>
    <t>ALH-599</t>
  </si>
  <si>
    <t>JL473QFN3CAD505127</t>
  </si>
  <si>
    <t>NKMA2ASE5N1009474</t>
  </si>
  <si>
    <t>609341</t>
  </si>
  <si>
    <t>67226/1</t>
  </si>
  <si>
    <t>KHI/HO/D/MO/PC COMP/C/100245/111/10/2024</t>
  </si>
  <si>
    <t>MUHAMMAD NADEEM ASLAM HANFI</t>
  </si>
  <si>
    <t>3330121406091</t>
  </si>
  <si>
    <t>LEF-19-6843</t>
  </si>
  <si>
    <t>PK10B187854</t>
  </si>
  <si>
    <t>PK10087848</t>
  </si>
  <si>
    <t>47416</t>
  </si>
  <si>
    <t>60793/1</t>
  </si>
  <si>
    <t>KHI/HO/D/MO/PC COMP/C/100245/109/10/2024</t>
  </si>
  <si>
    <t>FAHEEM   RAZA</t>
  </si>
  <si>
    <t>4530252862615</t>
  </si>
  <si>
    <t>BMN-601</t>
  </si>
  <si>
    <t>10018001</t>
  </si>
  <si>
    <t>591142</t>
  </si>
  <si>
    <t>60773/1</t>
  </si>
  <si>
    <t>KHI/HO/D/MO/PC COMP/C/100245/108/10/2024</t>
  </si>
  <si>
    <t>AMIR  YOUNUS</t>
  </si>
  <si>
    <t>4230198656847</t>
  </si>
  <si>
    <t>BVR-076</t>
  </si>
  <si>
    <t>6R195477</t>
  </si>
  <si>
    <t>H1095404</t>
  </si>
  <si>
    <t>590922</t>
  </si>
  <si>
    <t>60791/1</t>
  </si>
  <si>
    <t>KHI/HO/D/MO/PC COMP/C/100245/107/10/2024</t>
  </si>
  <si>
    <t>SUZUKI MEHRAN VXR</t>
  </si>
  <si>
    <t>BMV-549</t>
  </si>
  <si>
    <t>01274362</t>
  </si>
  <si>
    <t>60740/1</t>
  </si>
  <si>
    <t>KHI/HO/D/MO/PC COMP/C/100245/106/10/2024</t>
  </si>
  <si>
    <t>OUMAIS   MUSHTAQ</t>
  </si>
  <si>
    <t>4210175642065</t>
  </si>
  <si>
    <t>BVU-336</t>
  </si>
  <si>
    <t>1109624</t>
  </si>
  <si>
    <t>590908</t>
  </si>
  <si>
    <t>60779/1</t>
  </si>
  <si>
    <t>KHI/HO/D/MO/PC COMP/C/100245/105/10/2024</t>
  </si>
  <si>
    <t>ALI  HAMZA  MANZOOR</t>
  </si>
  <si>
    <t>3520269283701</t>
  </si>
  <si>
    <t>AMG-780</t>
  </si>
  <si>
    <t>PK10B241640</t>
  </si>
  <si>
    <t>A1J310PK10141631</t>
  </si>
  <si>
    <t>588932</t>
  </si>
  <si>
    <t>60795/1</t>
  </si>
  <si>
    <t>KHI/HO/D/MO/PC COMP/C/100245/104/10/2024</t>
  </si>
  <si>
    <t>KHALIL   AHMAD</t>
  </si>
  <si>
    <t>3520289269561</t>
  </si>
  <si>
    <t>KIA PICANTO 1.0L M/T</t>
  </si>
  <si>
    <t>AMG-781</t>
  </si>
  <si>
    <t>NP022286</t>
  </si>
  <si>
    <t>KP503652</t>
  </si>
  <si>
    <t>590541</t>
  </si>
  <si>
    <t>67905/1</t>
  </si>
  <si>
    <t>KHI/HO/D/MO/PC COMP/C/100245/80/10/2024</t>
  </si>
  <si>
    <t>HARIS  KHAN</t>
  </si>
  <si>
    <t>3520278075723</t>
  </si>
  <si>
    <t>LE-15A-3265</t>
  </si>
  <si>
    <t>FR176374</t>
  </si>
  <si>
    <t>629559</t>
  </si>
  <si>
    <t>67221/1</t>
  </si>
  <si>
    <t>KHI/HO/D/MO/PC COMP/C/100245/79/10/2024</t>
  </si>
  <si>
    <t>MALIK KAMRAN  YOUSAF</t>
  </si>
  <si>
    <t>6110124354151</t>
  </si>
  <si>
    <t>ADZ-569</t>
  </si>
  <si>
    <t>1227561</t>
  </si>
  <si>
    <t>569306</t>
  </si>
  <si>
    <t>67855/1</t>
  </si>
  <si>
    <t>KHI/HO/D/MO/PC COMP/C/100245/78/10/2024</t>
  </si>
  <si>
    <t>SYED DANISH RAZA</t>
  </si>
  <si>
    <t>6110193754063</t>
  </si>
  <si>
    <t>SUZUKI ALTO VXL</t>
  </si>
  <si>
    <t>AJJ-935</t>
  </si>
  <si>
    <t>10021973</t>
  </si>
  <si>
    <t>629590</t>
  </si>
  <si>
    <t>67799/1</t>
  </si>
  <si>
    <t>KHI/HO/D/MO/PC COMP/C/100245/76/10/2024</t>
  </si>
  <si>
    <t>ZEESHAN  SAEED</t>
  </si>
  <si>
    <t>3630270432115</t>
  </si>
  <si>
    <t>LEF-18-5402</t>
  </si>
  <si>
    <t>10020558</t>
  </si>
  <si>
    <t>598482</t>
  </si>
  <si>
    <t>67356/1</t>
  </si>
  <si>
    <t>KHI/HO/D/MO/PC COMP/C/100245/75/10/2024</t>
  </si>
  <si>
    <t>HUSNAIN  ALI</t>
  </si>
  <si>
    <t>3520213856073</t>
  </si>
  <si>
    <t>SUZUKI CULTUS</t>
  </si>
  <si>
    <t>ATU-503</t>
  </si>
  <si>
    <t>K169595</t>
  </si>
  <si>
    <t>H10069582</t>
  </si>
  <si>
    <t>628173</t>
  </si>
  <si>
    <t>33887/1</t>
  </si>
  <si>
    <t>KHI/HO/D/MO/PC COMP/C/100245/11/10/2024</t>
  </si>
  <si>
    <t>MUHAMMAD SALMAN</t>
  </si>
  <si>
    <t>3520242418733</t>
  </si>
  <si>
    <t>HONDA CIVIC VTI ORIEL PT/</t>
  </si>
  <si>
    <t>LEC-18A-144</t>
  </si>
  <si>
    <t>JR047269</t>
  </si>
  <si>
    <t>344710</t>
  </si>
  <si>
    <t>33858/1</t>
  </si>
  <si>
    <t>KHI/HO/D/MO/PC COMP/C/100245/5/10/2024</t>
  </si>
  <si>
    <t>MUMTAZ ALI KALWAR</t>
  </si>
  <si>
    <t>6110103655583</t>
  </si>
  <si>
    <t>TOYOTA COROLLA GLI  SE</t>
  </si>
  <si>
    <t>ALC-746</t>
  </si>
  <si>
    <t>Z540006</t>
  </si>
  <si>
    <t>NZE170R-4165847</t>
  </si>
  <si>
    <t>0810</t>
  </si>
  <si>
    <t>410090</t>
  </si>
  <si>
    <t>67784/1</t>
  </si>
  <si>
    <t>KHI/HO/D/MO/CV/C/100348/3/10/2024</t>
  </si>
  <si>
    <t>AMEER  FAZAL</t>
  </si>
  <si>
    <t>FORLAND PICKUP C-10</t>
  </si>
  <si>
    <t>N05603558</t>
  </si>
  <si>
    <t>5268</t>
  </si>
  <si>
    <t>528020</t>
  </si>
  <si>
    <t>66858/1</t>
  </si>
  <si>
    <t>KHI/HO/D/MO/CV/C/100348/2/10/2024</t>
  </si>
  <si>
    <t>RAMSHA   ASAD</t>
  </si>
  <si>
    <t>495017</t>
  </si>
  <si>
    <t>625600</t>
  </si>
  <si>
    <t>60736/1</t>
  </si>
  <si>
    <t>KHI/HO/D/MO/CV/C/100347/2/10/2024</t>
  </si>
  <si>
    <t>ZAFAR   AHMED</t>
  </si>
  <si>
    <t>SUZUKI RAVI VX</t>
  </si>
  <si>
    <t>LC-1235</t>
  </si>
  <si>
    <t>491585</t>
  </si>
  <si>
    <t>276724</t>
  </si>
  <si>
    <t>60768/1</t>
  </si>
  <si>
    <t>KHI/HO/D/MO/CV/C/100347/1/10/2024</t>
  </si>
  <si>
    <t>MUHAMMAD JAMAL  NASIR</t>
  </si>
  <si>
    <t>TAB-510</t>
  </si>
  <si>
    <t>490793</t>
  </si>
  <si>
    <t>0822</t>
  </si>
  <si>
    <t>469263</t>
  </si>
  <si>
    <t>67298/1</t>
  </si>
  <si>
    <t>KHI/HO/D/MO/PC COMP/C/100245/167/10/2024</t>
  </si>
  <si>
    <t>AHMAD  SHAHWEZ</t>
  </si>
  <si>
    <t>3310003355499</t>
  </si>
  <si>
    <t>AHG-884</t>
  </si>
  <si>
    <t>JL473QFM3CAD531426</t>
  </si>
  <si>
    <t>NKMA2ASE5N1006091</t>
  </si>
  <si>
    <t>597804</t>
  </si>
  <si>
    <t>67936/1</t>
  </si>
  <si>
    <t>KHI/HO/D/MO/PC COMP/C/100245/166/10/2024</t>
  </si>
  <si>
    <t>MUHAMMAD  TAHIR</t>
  </si>
  <si>
    <t>3520269914887</t>
  </si>
  <si>
    <t>HYUNDAI ELANTRA 2.0 MP1 A</t>
  </si>
  <si>
    <t>APE-246</t>
  </si>
  <si>
    <t>305470</t>
  </si>
  <si>
    <t>592018</t>
  </si>
  <si>
    <t>67977/1</t>
  </si>
  <si>
    <t>KHI/HO/D/MO/PC COMP/C/100245/113/10/2024</t>
  </si>
  <si>
    <t>WASEEM   AKRAM</t>
  </si>
  <si>
    <t>3310260447387</t>
  </si>
  <si>
    <t>SUZUKI WAGON-R</t>
  </si>
  <si>
    <t>LEB-19-7963</t>
  </si>
  <si>
    <t>PK10B185971</t>
  </si>
  <si>
    <t>A1J310PK10085992</t>
  </si>
  <si>
    <t>592280</t>
  </si>
  <si>
    <t>67813/1</t>
  </si>
  <si>
    <t>KHI/HO/D/MO/PC COMP/C/100245/112/10/2024</t>
  </si>
  <si>
    <t>SHAIKH ABDUL REHMAN</t>
  </si>
  <si>
    <t>3520225770867</t>
  </si>
  <si>
    <t>ST-20-6</t>
  </si>
  <si>
    <t>10054885</t>
  </si>
  <si>
    <t>629041</t>
  </si>
  <si>
    <t>56791/2</t>
  </si>
  <si>
    <t>KHI/HO/D/MO/PC COMP/C/100245/57/10/2024</t>
  </si>
  <si>
    <t>ROYAL  ENTERPRISES</t>
  </si>
  <si>
    <t>3130188798809</t>
  </si>
  <si>
    <t>ANK-737</t>
  </si>
  <si>
    <t>1153933</t>
  </si>
  <si>
    <t>0475</t>
  </si>
  <si>
    <t>514569</t>
  </si>
  <si>
    <t>58943/1</t>
  </si>
  <si>
    <t>KHI/HO/D/MO/PC COMP/C/96729/1/09/2024</t>
  </si>
  <si>
    <t>USMAN  SHARIF</t>
  </si>
  <si>
    <t>HYN ELANTRA 2.0 MP1 AT</t>
  </si>
  <si>
    <t>ALS-482</t>
  </si>
  <si>
    <t>MNN304896</t>
  </si>
  <si>
    <t>582743</t>
  </si>
  <si>
    <t>55156/1</t>
  </si>
  <si>
    <t>KHI/HO/D/MO/PC COMP/C/96729/3/09/2024</t>
  </si>
  <si>
    <t>ALI  NAWAZ</t>
  </si>
  <si>
    <t>S ALTO VX</t>
  </si>
  <si>
    <t xml:space="preserve"> AME-376 </t>
  </si>
  <si>
    <t>1148611</t>
  </si>
  <si>
    <t>567879</t>
  </si>
  <si>
    <t>49202/1</t>
  </si>
  <si>
    <t>KHI/HO/D/MO/PC COMP/C/96721/7/09/2024</t>
  </si>
  <si>
    <t>MUHAMMAD SHAH NAWAZ</t>
  </si>
  <si>
    <t>3130490402153</t>
  </si>
  <si>
    <t>T.YARIS</t>
  </si>
  <si>
    <t>BUK-180</t>
  </si>
  <si>
    <t>2A35165</t>
  </si>
  <si>
    <t>R-7021901</t>
  </si>
  <si>
    <t>539397</t>
  </si>
  <si>
    <t>52240/2</t>
  </si>
  <si>
    <t>KHI/HO/D/MO/PC COMP/C/96721/26/09/2024</t>
  </si>
  <si>
    <t>ZAMEER UL HASSAN</t>
  </si>
  <si>
    <t>T YARIS CVT</t>
  </si>
  <si>
    <t>AEB-684</t>
  </si>
  <si>
    <t>2A33144</t>
  </si>
  <si>
    <t xml:space="preserve">  NSP151R-9512598</t>
  </si>
  <si>
    <t>537123</t>
  </si>
  <si>
    <t>38862/1</t>
  </si>
  <si>
    <t>KHI/HO/D/MO/PC COMP/C/96731/4/09/2024</t>
  </si>
  <si>
    <t>KHURAM  AYUB</t>
  </si>
  <si>
    <t>COROLLA GLI M/T 1.3</t>
  </si>
  <si>
    <t>LEH-19-8849</t>
  </si>
  <si>
    <t>Z569110</t>
  </si>
  <si>
    <t>4194388</t>
  </si>
  <si>
    <t>462779</t>
  </si>
  <si>
    <t>49341/1</t>
  </si>
  <si>
    <t>KHI/HO/D/MO/PC COMP/C/96721/38/09/2024</t>
  </si>
  <si>
    <t>IMRAN  ALI</t>
  </si>
  <si>
    <t>S ALTO AGS E-2</t>
  </si>
  <si>
    <t>1084192</t>
  </si>
  <si>
    <t>539379</t>
  </si>
  <si>
    <t>44007/1</t>
  </si>
  <si>
    <t>KHI/HO/D/MO/PC COMP/C/93460/6/07/2024</t>
  </si>
  <si>
    <t>MUHAMMAD SAAD RAZA</t>
  </si>
  <si>
    <t xml:space="preserve"> LE-16-1967</t>
  </si>
  <si>
    <t xml:space="preserve"> Z093708</t>
  </si>
  <si>
    <t xml:space="preserve"> 4001853</t>
  </si>
  <si>
    <t>0571</t>
  </si>
  <si>
    <t>502442</t>
  </si>
  <si>
    <t>64238/1</t>
  </si>
  <si>
    <t>KHI/HO/D/MO/PC COMP/C/90920/191/06/2024</t>
  </si>
  <si>
    <t>SHEHBAZ  AHMED</t>
  </si>
  <si>
    <t>3540490551235</t>
  </si>
  <si>
    <t>COROLLA GLI 1.3 LE</t>
  </si>
  <si>
    <t>LEA-19-3080</t>
  </si>
  <si>
    <t>Z543369</t>
  </si>
  <si>
    <t>R4169065</t>
  </si>
  <si>
    <t>612350</t>
  </si>
  <si>
    <t>Tms Prem</t>
  </si>
  <si>
    <t>Difference</t>
  </si>
  <si>
    <t>Policy # 2024</t>
  </si>
  <si>
    <t>00051</t>
  </si>
  <si>
    <t>00050</t>
  </si>
  <si>
    <t>00049</t>
  </si>
  <si>
    <t>00048</t>
  </si>
  <si>
    <t>00047</t>
  </si>
  <si>
    <t>00046</t>
  </si>
  <si>
    <t>00045</t>
  </si>
  <si>
    <t>00044</t>
  </si>
  <si>
    <t>00043</t>
  </si>
  <si>
    <t>00042</t>
  </si>
  <si>
    <t>00041</t>
  </si>
  <si>
    <t>00040</t>
  </si>
  <si>
    <t>00039</t>
  </si>
  <si>
    <t>00038</t>
  </si>
  <si>
    <t>00037</t>
  </si>
  <si>
    <t>00036</t>
  </si>
  <si>
    <t>00035</t>
  </si>
  <si>
    <t>00034</t>
  </si>
  <si>
    <t>00033</t>
  </si>
  <si>
    <t>00032</t>
  </si>
  <si>
    <t>00031</t>
  </si>
  <si>
    <t>00030</t>
  </si>
  <si>
    <t>00029</t>
  </si>
  <si>
    <t>00028</t>
  </si>
  <si>
    <t>00027</t>
  </si>
  <si>
    <t>00026</t>
  </si>
  <si>
    <t>00025</t>
  </si>
  <si>
    <t>00024</t>
  </si>
  <si>
    <t>00022</t>
  </si>
  <si>
    <t>00021</t>
  </si>
  <si>
    <t>00001</t>
  </si>
  <si>
    <t>00020</t>
  </si>
  <si>
    <t>00019</t>
  </si>
  <si>
    <t>00018</t>
  </si>
  <si>
    <t>00017</t>
  </si>
  <si>
    <t>00016</t>
  </si>
  <si>
    <t>00015</t>
  </si>
  <si>
    <t>00014</t>
  </si>
  <si>
    <t>00013</t>
  </si>
  <si>
    <t>00012</t>
  </si>
  <si>
    <t>00011</t>
  </si>
  <si>
    <t>00010</t>
  </si>
  <si>
    <t>00009</t>
  </si>
  <si>
    <t>00008</t>
  </si>
  <si>
    <t>00007</t>
  </si>
  <si>
    <t>00006</t>
  </si>
  <si>
    <t>00005</t>
  </si>
  <si>
    <t>00004</t>
  </si>
  <si>
    <t>00003</t>
  </si>
  <si>
    <t>00002</t>
  </si>
  <si>
    <t>-10-2024</t>
  </si>
  <si>
    <t xml:space="preserve"> </t>
  </si>
  <si>
    <t xml:space="preserve">   </t>
  </si>
  <si>
    <t>FUNC_ASSORTED_STRING(IA.ASSORTED_CODE)</t>
  </si>
  <si>
    <t>ASSORTED_CODE</t>
  </si>
  <si>
    <t>070000167273</t>
  </si>
  <si>
    <t>070000167626</t>
  </si>
  <si>
    <t>070000167628</t>
  </si>
  <si>
    <t>070000166962</t>
  </si>
  <si>
    <t>070000167548</t>
  </si>
  <si>
    <t>070000167614</t>
  </si>
  <si>
    <t>070000169381</t>
  </si>
  <si>
    <t>070000169368</t>
  </si>
  <si>
    <t>070000169374</t>
  </si>
  <si>
    <t>070000169375</t>
  </si>
  <si>
    <t>070000169377</t>
  </si>
  <si>
    <t>070000169290</t>
  </si>
  <si>
    <t>070000169041</t>
  </si>
  <si>
    <t>070000167949</t>
  </si>
  <si>
    <t>070000167950</t>
  </si>
  <si>
    <t>070000169379</t>
  </si>
  <si>
    <t>070000167437</t>
  </si>
  <si>
    <t>070000169337</t>
  </si>
  <si>
    <t>070000169017</t>
  </si>
  <si>
    <t>070000169425</t>
  </si>
  <si>
    <t>070000169410</t>
  </si>
  <si>
    <t>070000167884</t>
  </si>
  <si>
    <t>070000169362</t>
  </si>
  <si>
    <t>070000167389</t>
  </si>
  <si>
    <t>070000169378</t>
  </si>
  <si>
    <t>070000169039</t>
  </si>
  <si>
    <t>070000167185</t>
  </si>
  <si>
    <t>070000167632</t>
  </si>
  <si>
    <t>070000167448</t>
  </si>
  <si>
    <t>070000167449</t>
  </si>
  <si>
    <t>070000169385</t>
  </si>
  <si>
    <t>070000169419</t>
  </si>
  <si>
    <t>070000166988</t>
  </si>
  <si>
    <t>070000167851</t>
  </si>
  <si>
    <t>070000167853</t>
  </si>
  <si>
    <t>070000167539</t>
  </si>
  <si>
    <t>070000167434</t>
  </si>
  <si>
    <t>070000166959</t>
  </si>
  <si>
    <t>070000167003</t>
  </si>
  <si>
    <t>070000169427</t>
  </si>
  <si>
    <t>070000167622</t>
  </si>
  <si>
    <t>070000167875</t>
  </si>
  <si>
    <t>070000169341</t>
  </si>
  <si>
    <t>070000169395</t>
  </si>
  <si>
    <t>070000167131</t>
  </si>
  <si>
    <t>070000169034</t>
  </si>
  <si>
    <t>070000169424</t>
  </si>
  <si>
    <t>070000169426</t>
  </si>
  <si>
    <t>070000169012</t>
  </si>
  <si>
    <t>070000169423</t>
  </si>
  <si>
    <t>070000169382</t>
  </si>
  <si>
    <t>070000166939</t>
  </si>
  <si>
    <t>-09-2024</t>
  </si>
  <si>
    <t>-07-2024</t>
  </si>
  <si>
    <t>-06-2024</t>
  </si>
  <si>
    <t>00058</t>
  </si>
  <si>
    <t>00145</t>
  </si>
  <si>
    <t>00064</t>
  </si>
  <si>
    <t>00152</t>
  </si>
  <si>
    <t>00149</t>
  </si>
  <si>
    <t>00130</t>
  </si>
  <si>
    <t>00055</t>
  </si>
  <si>
    <t>00053</t>
  </si>
  <si>
    <t>00155</t>
  </si>
  <si>
    <t>00131</t>
  </si>
  <si>
    <t>00110</t>
  </si>
  <si>
    <t>00165</t>
  </si>
  <si>
    <t>00087</t>
  </si>
  <si>
    <t>00086</t>
  </si>
  <si>
    <t>00085</t>
  </si>
  <si>
    <t>00084</t>
  </si>
  <si>
    <t>00056</t>
  </si>
  <si>
    <t>00089</t>
  </si>
  <si>
    <t>00088</t>
  </si>
  <si>
    <t>00077</t>
  </si>
  <si>
    <t>00115</t>
  </si>
  <si>
    <t>00090</t>
  </si>
  <si>
    <t>00116</t>
  </si>
  <si>
    <t>00146</t>
  </si>
  <si>
    <t>00093</t>
  </si>
  <si>
    <t>00092</t>
  </si>
  <si>
    <t>00091</t>
  </si>
  <si>
    <t>00157</t>
  </si>
  <si>
    <t>00082</t>
  </si>
  <si>
    <t>00081</t>
  </si>
  <si>
    <t>00164</t>
  </si>
  <si>
    <t>00147</t>
  </si>
  <si>
    <t>00094</t>
  </si>
  <si>
    <t>00083</t>
  </si>
  <si>
    <t>00059</t>
  </si>
  <si>
    <t>00133</t>
  </si>
  <si>
    <t>00132</t>
  </si>
  <si>
    <t>00060</t>
  </si>
  <si>
    <t>00158</t>
  </si>
  <si>
    <t>00134</t>
  </si>
  <si>
    <t>00061</t>
  </si>
  <si>
    <t>00114</t>
  </si>
  <si>
    <t>00096</t>
  </si>
  <si>
    <t>00095</t>
  </si>
  <si>
    <t>00159</t>
  </si>
  <si>
    <t>00097</t>
  </si>
  <si>
    <t>00065</t>
  </si>
  <si>
    <t>00063</t>
  </si>
  <si>
    <t>00118</t>
  </si>
  <si>
    <t>00117</t>
  </si>
  <si>
    <t>00099</t>
  </si>
  <si>
    <t>00098</t>
  </si>
  <si>
    <t>00068</t>
  </si>
  <si>
    <t>00067</t>
  </si>
  <si>
    <t>00150</t>
  </si>
  <si>
    <t>00119</t>
  </si>
  <si>
    <t>00069</t>
  </si>
  <si>
    <t>00162</t>
  </si>
  <si>
    <t>00161</t>
  </si>
  <si>
    <t>00160</t>
  </si>
  <si>
    <t>00136</t>
  </si>
  <si>
    <t>00135</t>
  </si>
  <si>
    <t>00120</t>
  </si>
  <si>
    <t>00101</t>
  </si>
  <si>
    <t>00100</t>
  </si>
  <si>
    <t>00072</t>
  </si>
  <si>
    <t>00071</t>
  </si>
  <si>
    <t>00070</t>
  </si>
  <si>
    <t>00066</t>
  </si>
  <si>
    <t>00023</t>
  </si>
  <si>
    <t>00156</t>
  </si>
  <si>
    <t>00151</t>
  </si>
  <si>
    <t>00122</t>
  </si>
  <si>
    <t>00121</t>
  </si>
  <si>
    <t>00102</t>
  </si>
  <si>
    <t>00129</t>
  </si>
  <si>
    <t>00128</t>
  </si>
  <si>
    <t>00127</t>
  </si>
  <si>
    <t>00126</t>
  </si>
  <si>
    <t>00125</t>
  </si>
  <si>
    <t>00124</t>
  </si>
  <si>
    <t>00123</t>
  </si>
  <si>
    <t>00103</t>
  </si>
  <si>
    <t>00052</t>
  </si>
  <si>
    <t>00163</t>
  </si>
  <si>
    <t>00137</t>
  </si>
  <si>
    <t>00074</t>
  </si>
  <si>
    <t>00073</t>
  </si>
  <si>
    <t>00154</t>
  </si>
  <si>
    <t>00153</t>
  </si>
  <si>
    <t>00144</t>
  </si>
  <si>
    <t>00143</t>
  </si>
  <si>
    <t>00142</t>
  </si>
  <si>
    <t>00141</t>
  </si>
  <si>
    <t>00140</t>
  </si>
  <si>
    <t>00139</t>
  </si>
  <si>
    <t>00138</t>
  </si>
  <si>
    <t>00111</t>
  </si>
  <si>
    <t>00109</t>
  </si>
  <si>
    <t>00108</t>
  </si>
  <si>
    <t>00107</t>
  </si>
  <si>
    <t>00106</t>
  </si>
  <si>
    <t>00105</t>
  </si>
  <si>
    <t>00104</t>
  </si>
  <si>
    <t>00080</t>
  </si>
  <si>
    <t>00079</t>
  </si>
  <si>
    <t>00078</t>
  </si>
  <si>
    <t>00076</t>
  </si>
  <si>
    <t>00075</t>
  </si>
  <si>
    <t>00167</t>
  </si>
  <si>
    <t>00166</t>
  </si>
  <si>
    <t>00113</t>
  </si>
  <si>
    <t>00112</t>
  </si>
  <si>
    <t>00057</t>
  </si>
  <si>
    <t>00191</t>
  </si>
  <si>
    <t>070000165242</t>
  </si>
  <si>
    <t>070000165064</t>
  </si>
  <si>
    <t>070000165090</t>
  </si>
  <si>
    <t>070000165104</t>
  </si>
  <si>
    <t>070000165165</t>
  </si>
  <si>
    <t>070000165170</t>
  </si>
  <si>
    <t>070000168728</t>
  </si>
  <si>
    <t>070000168720</t>
  </si>
  <si>
    <t>070000168721</t>
  </si>
  <si>
    <t>070000162604</t>
  </si>
  <si>
    <t>070000161485</t>
  </si>
  <si>
    <t>070000169089</t>
  </si>
  <si>
    <t>070000169090</t>
  </si>
  <si>
    <t>070000169091</t>
  </si>
  <si>
    <t>070000169095</t>
  </si>
  <si>
    <t>070000169096</t>
  </si>
  <si>
    <t>070000169097</t>
  </si>
  <si>
    <t>070000169098</t>
  </si>
  <si>
    <t>070000169101</t>
  </si>
  <si>
    <t>070000169112</t>
  </si>
  <si>
    <t>070000169116</t>
  </si>
  <si>
    <t>070000169117</t>
  </si>
  <si>
    <t>070000169118</t>
  </si>
  <si>
    <t>070000169119</t>
  </si>
  <si>
    <t>070000169120</t>
  </si>
  <si>
    <t>070000169121</t>
  </si>
  <si>
    <t>070000169122</t>
  </si>
  <si>
    <t>070000169123</t>
  </si>
  <si>
    <t>070000169127</t>
  </si>
  <si>
    <t>070000169128</t>
  </si>
  <si>
    <t>070000169130</t>
  </si>
  <si>
    <t>070000169131</t>
  </si>
  <si>
    <t>070000169133</t>
  </si>
  <si>
    <t>070000169134</t>
  </si>
  <si>
    <t>070000169135</t>
  </si>
  <si>
    <t>070000169137</t>
  </si>
  <si>
    <t>070000169140</t>
  </si>
  <si>
    <t>070000169141</t>
  </si>
  <si>
    <t>070000169142</t>
  </si>
  <si>
    <t>070000169143</t>
  </si>
  <si>
    <t>070000169144</t>
  </si>
  <si>
    <t>070000169145</t>
  </si>
  <si>
    <t>070000169146</t>
  </si>
  <si>
    <t>070000169147</t>
  </si>
  <si>
    <t>070000169148</t>
  </si>
  <si>
    <t>070000169149</t>
  </si>
  <si>
    <t>070000169150</t>
  </si>
  <si>
    <t>070000169151</t>
  </si>
  <si>
    <t>070000169153</t>
  </si>
  <si>
    <t>070000169154</t>
  </si>
  <si>
    <t>070000169155</t>
  </si>
  <si>
    <t>070000169165</t>
  </si>
  <si>
    <t>070000169166</t>
  </si>
  <si>
    <t>070000169169</t>
  </si>
  <si>
    <t>070000169170</t>
  </si>
  <si>
    <t>070000169171</t>
  </si>
  <si>
    <t>070000169172</t>
  </si>
  <si>
    <t>070000169173</t>
  </si>
  <si>
    <t>070000169174</t>
  </si>
  <si>
    <t>070000169175</t>
  </si>
  <si>
    <t>070000169176</t>
  </si>
  <si>
    <t>070000169177</t>
  </si>
  <si>
    <t>070000169178</t>
  </si>
  <si>
    <t>070000169180</t>
  </si>
  <si>
    <t>070000169181</t>
  </si>
  <si>
    <t>070000169182</t>
  </si>
  <si>
    <t>070000169184</t>
  </si>
  <si>
    <t>070000169185</t>
  </si>
  <si>
    <t>070000169187</t>
  </si>
  <si>
    <t>070000169188</t>
  </si>
  <si>
    <t>070000169189</t>
  </si>
  <si>
    <t>070000169191</t>
  </si>
  <si>
    <t>070000169192</t>
  </si>
  <si>
    <t>070000169194</t>
  </si>
  <si>
    <t>070000169195</t>
  </si>
  <si>
    <t>070000169196</t>
  </si>
  <si>
    <t>070000169197</t>
  </si>
  <si>
    <t>070000169198</t>
  </si>
  <si>
    <t>070000169199</t>
  </si>
  <si>
    <t>070000169200</t>
  </si>
  <si>
    <t>070000169201</t>
  </si>
  <si>
    <t>070000169202</t>
  </si>
  <si>
    <t>070000169203</t>
  </si>
  <si>
    <t>070000169204</t>
  </si>
  <si>
    <t>070000169205</t>
  </si>
  <si>
    <t>070000169206</t>
  </si>
  <si>
    <t>070000169207</t>
  </si>
  <si>
    <t>070000169209</t>
  </si>
  <si>
    <t>070000169210</t>
  </si>
  <si>
    <t>070000169211</t>
  </si>
  <si>
    <t>070000169213</t>
  </si>
  <si>
    <t>070000169214</t>
  </si>
  <si>
    <t>070000169216</t>
  </si>
  <si>
    <t>070000169217</t>
  </si>
  <si>
    <t>070000169218</t>
  </si>
  <si>
    <t>070000169208</t>
  </si>
  <si>
    <t>070000169212</t>
  </si>
  <si>
    <t>070000169215</t>
  </si>
  <si>
    <t>070000169219</t>
  </si>
  <si>
    <t>070000169236</t>
  </si>
  <si>
    <t>070000169272</t>
  </si>
  <si>
    <t>070000169224</t>
  </si>
  <si>
    <t>070000169225</t>
  </si>
  <si>
    <t>070000169226</t>
  </si>
  <si>
    <t>070000169227</t>
  </si>
  <si>
    <t>070000169228</t>
  </si>
  <si>
    <t>070000169229</t>
  </si>
  <si>
    <t>070000169230</t>
  </si>
  <si>
    <t>070000169231</t>
  </si>
  <si>
    <t>070000169232</t>
  </si>
  <si>
    <t>070000169233</t>
  </si>
  <si>
    <t>070000169234</t>
  </si>
  <si>
    <t>070000169235</t>
  </si>
  <si>
    <t>070000169237</t>
  </si>
  <si>
    <t>070000169238</t>
  </si>
  <si>
    <t>070000169239</t>
  </si>
  <si>
    <t>070000169241</t>
  </si>
  <si>
    <t>070000169248</t>
  </si>
  <si>
    <t>070000169250</t>
  </si>
  <si>
    <t>070000169251</t>
  </si>
  <si>
    <t>070000169252</t>
  </si>
  <si>
    <t>070000169253</t>
  </si>
  <si>
    <t>070000169254</t>
  </si>
  <si>
    <t>070000169255</t>
  </si>
  <si>
    <t>070000169256</t>
  </si>
  <si>
    <t>070000169257</t>
  </si>
  <si>
    <t>070000169258</t>
  </si>
  <si>
    <t>070000169259</t>
  </si>
  <si>
    <t>070000169260</t>
  </si>
  <si>
    <t>070000169261</t>
  </si>
  <si>
    <t>070000169262</t>
  </si>
  <si>
    <t>070000169263</t>
  </si>
  <si>
    <t>070000169265</t>
  </si>
  <si>
    <t>070000169266</t>
  </si>
  <si>
    <t>070000169267</t>
  </si>
  <si>
    <t>070000169268</t>
  </si>
  <si>
    <t>070000169269</t>
  </si>
  <si>
    <t>070000169270</t>
  </si>
  <si>
    <t>070000169271</t>
  </si>
  <si>
    <t>070000169273</t>
  </si>
  <si>
    <t>070000169274</t>
  </si>
  <si>
    <t>070000169275</t>
  </si>
  <si>
    <t>070000169277</t>
  </si>
  <si>
    <t>070000169278</t>
  </si>
  <si>
    <t>070000169280</t>
  </si>
  <si>
    <t>070000169281</t>
  </si>
  <si>
    <t>070000169282</t>
  </si>
  <si>
    <t>070000169183</t>
  </si>
  <si>
    <t>070000169186</t>
  </si>
  <si>
    <t>070000169190</t>
  </si>
  <si>
    <t>070000169193</t>
  </si>
  <si>
    <t>070000169276</t>
  </si>
  <si>
    <t>070000169279</t>
  </si>
  <si>
    <t>070000169283</t>
  </si>
  <si>
    <t>070000169125</t>
  </si>
  <si>
    <t>070000169129</t>
  </si>
  <si>
    <t>070000169132</t>
  </si>
  <si>
    <t>070000169136</t>
  </si>
  <si>
    <t>070000169139</t>
  </si>
  <si>
    <t>070000169164</t>
  </si>
  <si>
    <t>070000169167</t>
  </si>
  <si>
    <t>070000169179</t>
  </si>
  <si>
    <t>070000169240</t>
  </si>
  <si>
    <t>070000169249</t>
  </si>
  <si>
    <t>070000169087</t>
  </si>
  <si>
    <t>070000169088</t>
  </si>
  <si>
    <t>070000168718</t>
  </si>
  <si>
    <t>070000168719</t>
  </si>
  <si>
    <t>070000168722</t>
  </si>
  <si>
    <t>070000168723</t>
  </si>
  <si>
    <t>070000168724</t>
  </si>
  <si>
    <t>28Nov240018</t>
  </si>
  <si>
    <t>POLICY NO.</t>
  </si>
  <si>
    <t>Assorted_code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</si>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</sst>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d\-mmm\-yyyy;@"/>
    <numFmt numFmtId="165" formatCode="[$-409]d\-mmm\-yy;@"/>
    <numFmt numFmtId="166" formatCode="_(* #,##0_);_(* \(#,##0\);_(* &quot;-&quot;??_);_(@_)"/>
    <numFmt numFmtId="167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name val="Calibri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43" fontId="3" fillId="0" borderId="0" applyFont="0" applyFill="0" applyBorder="0" applyAlignment="0" applyProtection="0">
      <alignment vertical="top"/>
    </xf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164" fontId="4" fillId="3" borderId="1" xfId="3" applyNumberFormat="1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164" fontId="4" fillId="2" borderId="1" xfId="3" applyNumberFormat="1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 wrapText="1"/>
    </xf>
    <xf numFmtId="166" fontId="4" fillId="2" borderId="1" xfId="3" applyNumberFormat="1" applyFont="1" applyFill="1" applyBorder="1" applyAlignment="1">
      <alignment horizontal="center" vertical="center" wrapText="1"/>
    </xf>
    <xf numFmtId="9" fontId="4" fillId="2" borderId="1" xfId="4" applyFont="1" applyFill="1" applyBorder="1" applyAlignment="1">
      <alignment horizontal="center" vertical="center" wrapText="1"/>
    </xf>
    <xf numFmtId="166" fontId="4" fillId="4" borderId="1" xfId="3" applyNumberFormat="1" applyFont="1" applyFill="1" applyBorder="1" applyAlignment="1">
      <alignment horizontal="center" vertical="center" wrapText="1"/>
    </xf>
    <xf numFmtId="43" fontId="4" fillId="4" borderId="1" xfId="3" applyFont="1" applyFill="1" applyBorder="1" applyAlignment="1">
      <alignment horizontal="center" vertical="center" wrapText="1"/>
    </xf>
    <xf numFmtId="166" fontId="4" fillId="5" borderId="1" xfId="3" applyNumberFormat="1" applyFont="1" applyFill="1" applyBorder="1" applyAlignment="1">
      <alignment horizontal="center" vertical="center" wrapText="1"/>
    </xf>
    <xf numFmtId="166" fontId="6" fillId="2" borderId="1" xfId="3" applyNumberFormat="1" applyFont="1" applyFill="1" applyBorder="1" applyAlignment="1">
      <alignment horizontal="center" vertical="center" wrapText="1"/>
    </xf>
    <xf numFmtId="166" fontId="7" fillId="2" borderId="1" xfId="3" applyNumberFormat="1" applyFont="1" applyFill="1" applyBorder="1" applyAlignment="1">
      <alignment horizontal="center" vertical="center" wrapText="1"/>
    </xf>
    <xf numFmtId="165" fontId="7" fillId="2" borderId="1" xfId="2" applyNumberFormat="1" applyFont="1" applyFill="1" applyBorder="1" applyAlignment="1">
      <alignment horizontal="center" vertical="center" wrapText="1"/>
    </xf>
    <xf numFmtId="166" fontId="4" fillId="3" borderId="1" xfId="3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left" vertical="center"/>
    </xf>
    <xf numFmtId="167" fontId="8" fillId="0" borderId="2" xfId="1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7" fontId="8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10" fillId="0" borderId="2" xfId="0" applyFont="1" applyBorder="1" applyAlignment="1">
      <alignment horizontal="left" vertical="center"/>
    </xf>
    <xf numFmtId="167" fontId="9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167" fontId="0" fillId="0" borderId="2" xfId="1" applyNumberFormat="1" applyFont="1" applyBorder="1"/>
    <xf numFmtId="166" fontId="0" fillId="0" borderId="2" xfId="0" applyNumberFormat="1" applyBorder="1"/>
    <xf numFmtId="167" fontId="2" fillId="4" borderId="2" xfId="1" applyNumberFormat="1" applyFont="1" applyFill="1" applyBorder="1"/>
    <xf numFmtId="167" fontId="0" fillId="0" borderId="2" xfId="0" applyNumberFormat="1" applyBorder="1"/>
    <xf numFmtId="0" fontId="12" fillId="0" borderId="0" xfId="0" applyFont="1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166" fontId="13" fillId="0" borderId="0" xfId="1" applyNumberFormat="1" applyFont="1" applyAlignment="1">
      <alignment vertical="top"/>
    </xf>
    <xf numFmtId="0" fontId="14" fillId="0" borderId="0" xfId="0" applyFont="1"/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6" fontId="0" fillId="0" borderId="0" xfId="0" applyNumberFormat="1"/>
  </cellXfs>
  <cellStyles count="5">
    <cellStyle name="Comma" xfId="1" builtinId="3"/>
    <cellStyle name="Comma 2" xfId="3" xr:uid="{16345F53-6395-4A79-8F48-3FB457D7C1C7}"/>
    <cellStyle name="Normal" xfId="0" builtinId="0"/>
    <cellStyle name="Normal 2 2 2" xfId="2" xr:uid="{27226DCE-1AD8-4613-940D-77F3D5FF9B3F}"/>
    <cellStyle name="Percent 2" xfId="4" xr:uid="{3A17A8B1-5686-4632-B82F-221BFF9692B4}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C102-49B0-4893-B84C-754B9CA7002E}">
  <dimension ref="A1:AH55"/>
  <sheetViews>
    <sheetView topLeftCell="U35" workbookViewId="0">
      <selection activeCell="AF2" sqref="AF2:AF53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10.140625" bestFit="1" customWidth="1"/>
    <col min="4" max="4" width="16.5703125" bestFit="1" customWidth="1"/>
    <col min="5" max="5" width="32.42578125" bestFit="1" customWidth="1"/>
    <col min="6" max="6" width="12.140625" bestFit="1" customWidth="1"/>
    <col min="7" max="7" width="11.42578125" bestFit="1" customWidth="1"/>
    <col min="8" max="8" width="46" bestFit="1" customWidth="1"/>
    <col min="9" max="9" width="12.140625" bestFit="1" customWidth="1"/>
    <col min="10" max="10" width="25.28515625" bestFit="1" customWidth="1"/>
    <col min="11" max="11" width="10.5703125" bestFit="1" customWidth="1"/>
    <col min="12" max="12" width="17" bestFit="1" customWidth="1"/>
    <col min="13" max="13" width="16.42578125" bestFit="1" customWidth="1"/>
    <col min="14" max="14" width="11.28515625" bestFit="1" customWidth="1"/>
    <col min="15" max="15" width="9.28515625" bestFit="1" customWidth="1"/>
    <col min="16" max="16" width="8.42578125" bestFit="1" customWidth="1"/>
    <col min="17" max="17" width="8.28515625" bestFit="1" customWidth="1"/>
    <col min="18" max="18" width="11.140625" bestFit="1" customWidth="1"/>
    <col min="19" max="19" width="10.7109375" bestFit="1" customWidth="1"/>
    <col min="20" max="20" width="9.5703125" bestFit="1" customWidth="1"/>
    <col min="21" max="21" width="8.7109375" bestFit="1" customWidth="1"/>
    <col min="22" max="22" width="9.5703125" bestFit="1" customWidth="1"/>
    <col min="23" max="23" width="12.85546875" bestFit="1" customWidth="1"/>
    <col min="24" max="24" width="10.42578125" bestFit="1" customWidth="1"/>
    <col min="25" max="25" width="12" bestFit="1" customWidth="1"/>
    <col min="26" max="26" width="13.140625" bestFit="1" customWidth="1"/>
    <col min="27" max="27" width="12.42578125" bestFit="1" customWidth="1"/>
    <col min="28" max="28" width="11.42578125" bestFit="1" customWidth="1"/>
    <col min="29" max="29" width="12.7109375" bestFit="1" customWidth="1"/>
    <col min="30" max="30" width="11.5703125" bestFit="1" customWidth="1"/>
    <col min="31" max="31" width="11.7109375" bestFit="1" customWidth="1"/>
    <col min="32" max="32" width="32.42578125" bestFit="1" customWidth="1"/>
    <col min="33" max="33" width="12" bestFit="1" customWidth="1"/>
    <col min="34" max="34" width="12.5703125" bestFit="1" customWidth="1"/>
  </cols>
  <sheetData>
    <row r="1" spans="1:34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5" t="s">
        <v>13</v>
      </c>
      <c r="P1" s="5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7" t="s">
        <v>20</v>
      </c>
      <c r="W1" s="9" t="s">
        <v>21</v>
      </c>
      <c r="X1" s="10" t="s">
        <v>22</v>
      </c>
      <c r="Y1" s="9" t="s">
        <v>23</v>
      </c>
      <c r="Z1" s="11" t="s">
        <v>24</v>
      </c>
      <c r="AA1" s="12" t="s">
        <v>25</v>
      </c>
      <c r="AB1" s="13" t="s">
        <v>26</v>
      </c>
      <c r="AC1" s="14" t="s">
        <v>27</v>
      </c>
      <c r="AD1" s="9" t="s">
        <v>28</v>
      </c>
      <c r="AE1" s="15" t="s">
        <v>29</v>
      </c>
      <c r="AF1" s="1" t="s">
        <v>1771</v>
      </c>
      <c r="AG1" s="1" t="s">
        <v>1769</v>
      </c>
      <c r="AH1" s="1" t="s">
        <v>1770</v>
      </c>
    </row>
    <row r="2" spans="1:34" x14ac:dyDescent="0.25">
      <c r="A2" s="16" t="s">
        <v>30</v>
      </c>
      <c r="B2" s="16" t="s">
        <v>31</v>
      </c>
      <c r="C2" s="17">
        <v>45566</v>
      </c>
      <c r="D2" s="16" t="s">
        <v>32</v>
      </c>
      <c r="E2" s="16" t="s">
        <v>33</v>
      </c>
      <c r="F2" s="18">
        <v>45596</v>
      </c>
      <c r="G2" s="18">
        <v>45960</v>
      </c>
      <c r="H2" s="19" t="s">
        <v>34</v>
      </c>
      <c r="I2" s="20">
        <v>1350332678601</v>
      </c>
      <c r="J2" s="21" t="s">
        <v>35</v>
      </c>
      <c r="K2" s="16" t="s">
        <v>36</v>
      </c>
      <c r="L2" s="16">
        <v>97221</v>
      </c>
      <c r="M2" s="16" t="s">
        <v>37</v>
      </c>
      <c r="N2" s="16" t="s">
        <v>31</v>
      </c>
      <c r="O2" s="16" t="s">
        <v>38</v>
      </c>
      <c r="P2" s="16" t="s">
        <v>39</v>
      </c>
      <c r="Q2" s="16" t="s">
        <v>40</v>
      </c>
      <c r="R2" s="18">
        <v>45597</v>
      </c>
      <c r="S2" s="18">
        <v>46696</v>
      </c>
      <c r="T2" s="22">
        <v>5000000</v>
      </c>
      <c r="U2" s="16"/>
      <c r="V2" s="16"/>
      <c r="W2" s="23">
        <v>5000000</v>
      </c>
      <c r="X2" s="24">
        <v>1.5</v>
      </c>
      <c r="Y2" s="23">
        <v>75000</v>
      </c>
      <c r="Z2" s="16"/>
      <c r="AA2" s="16" t="s">
        <v>41</v>
      </c>
      <c r="AB2" s="16">
        <v>1141071545</v>
      </c>
      <c r="AC2" s="25">
        <v>45622</v>
      </c>
      <c r="AD2" s="26" t="s">
        <v>42</v>
      </c>
      <c r="AE2" s="26">
        <v>0</v>
      </c>
      <c r="AF2" s="16" t="s">
        <v>33</v>
      </c>
      <c r="AG2" s="33">
        <v>75000</v>
      </c>
      <c r="AH2" s="34">
        <f>Y2-AG2</f>
        <v>0</v>
      </c>
    </row>
    <row r="3" spans="1:34" x14ac:dyDescent="0.25">
      <c r="A3" s="16" t="s">
        <v>30</v>
      </c>
      <c r="B3" s="16" t="s">
        <v>43</v>
      </c>
      <c r="C3" s="17">
        <v>45566</v>
      </c>
      <c r="D3" s="16" t="s">
        <v>32</v>
      </c>
      <c r="E3" s="16" t="s">
        <v>44</v>
      </c>
      <c r="F3" s="18">
        <v>45596</v>
      </c>
      <c r="G3" s="18">
        <v>45960</v>
      </c>
      <c r="H3" s="19" t="s">
        <v>45</v>
      </c>
      <c r="I3" s="20">
        <v>4220174438973</v>
      </c>
      <c r="J3" s="21" t="s">
        <v>46</v>
      </c>
      <c r="K3" s="16" t="s">
        <v>47</v>
      </c>
      <c r="L3" s="16" t="s">
        <v>48</v>
      </c>
      <c r="M3" s="16" t="s">
        <v>49</v>
      </c>
      <c r="N3" s="16" t="s">
        <v>43</v>
      </c>
      <c r="O3" s="16" t="s">
        <v>50</v>
      </c>
      <c r="P3" s="16" t="s">
        <v>51</v>
      </c>
      <c r="Q3" s="16" t="s">
        <v>52</v>
      </c>
      <c r="R3" s="18">
        <v>45597</v>
      </c>
      <c r="S3" s="18">
        <v>47063</v>
      </c>
      <c r="T3" s="22">
        <v>2700000</v>
      </c>
      <c r="U3" s="16"/>
      <c r="V3" s="16"/>
      <c r="W3" s="23">
        <v>2700000</v>
      </c>
      <c r="X3" s="24">
        <v>2</v>
      </c>
      <c r="Y3" s="23">
        <v>54000</v>
      </c>
      <c r="Z3" s="16"/>
      <c r="AA3" s="16" t="s">
        <v>41</v>
      </c>
      <c r="AB3" s="16">
        <v>1141071545</v>
      </c>
      <c r="AC3" s="25">
        <v>45622</v>
      </c>
      <c r="AD3" s="26" t="s">
        <v>42</v>
      </c>
      <c r="AE3" s="26">
        <v>0</v>
      </c>
      <c r="AF3" s="16" t="s">
        <v>44</v>
      </c>
      <c r="AG3" s="33">
        <v>54000</v>
      </c>
      <c r="AH3" s="34">
        <f t="shared" ref="AH3:AH53" si="0">Y3-AG3</f>
        <v>0</v>
      </c>
    </row>
    <row r="4" spans="1:34" x14ac:dyDescent="0.25">
      <c r="A4" s="16" t="s">
        <v>30</v>
      </c>
      <c r="B4" s="16" t="s">
        <v>53</v>
      </c>
      <c r="C4" s="17">
        <v>45566</v>
      </c>
      <c r="D4" s="16" t="s">
        <v>32</v>
      </c>
      <c r="E4" s="16" t="s">
        <v>54</v>
      </c>
      <c r="F4" s="18">
        <v>45596</v>
      </c>
      <c r="G4" s="18">
        <v>45960</v>
      </c>
      <c r="H4" s="19" t="s">
        <v>55</v>
      </c>
      <c r="I4" s="20">
        <v>3520211099861</v>
      </c>
      <c r="J4" s="21" t="s">
        <v>56</v>
      </c>
      <c r="K4" s="16" t="s">
        <v>57</v>
      </c>
      <c r="L4" s="16" t="s">
        <v>58</v>
      </c>
      <c r="M4" s="16" t="s">
        <v>59</v>
      </c>
      <c r="N4" s="16" t="s">
        <v>53</v>
      </c>
      <c r="O4" s="16" t="s">
        <v>60</v>
      </c>
      <c r="P4" s="16" t="s">
        <v>61</v>
      </c>
      <c r="Q4" s="16" t="s">
        <v>62</v>
      </c>
      <c r="R4" s="18">
        <v>45597</v>
      </c>
      <c r="S4" s="18">
        <v>47063</v>
      </c>
      <c r="T4" s="22">
        <v>4400000</v>
      </c>
      <c r="U4" s="16"/>
      <c r="V4" s="16"/>
      <c r="W4" s="23">
        <v>4400000</v>
      </c>
      <c r="X4" s="24">
        <v>1.5</v>
      </c>
      <c r="Y4" s="23">
        <v>66000</v>
      </c>
      <c r="Z4" s="16"/>
      <c r="AA4" s="16" t="s">
        <v>41</v>
      </c>
      <c r="AB4" s="16">
        <v>1141071545</v>
      </c>
      <c r="AC4" s="25">
        <v>45622</v>
      </c>
      <c r="AD4" s="26" t="s">
        <v>42</v>
      </c>
      <c r="AE4" s="26">
        <v>0</v>
      </c>
      <c r="AF4" s="16" t="s">
        <v>54</v>
      </c>
      <c r="AG4" s="33">
        <v>66000</v>
      </c>
      <c r="AH4" s="34">
        <f t="shared" si="0"/>
        <v>0</v>
      </c>
    </row>
    <row r="5" spans="1:34" x14ac:dyDescent="0.25">
      <c r="A5" s="16" t="s">
        <v>30</v>
      </c>
      <c r="B5" s="16" t="s">
        <v>63</v>
      </c>
      <c r="C5" s="17">
        <v>45566</v>
      </c>
      <c r="D5" s="16" t="s">
        <v>32</v>
      </c>
      <c r="E5" s="16" t="s">
        <v>64</v>
      </c>
      <c r="F5" s="18">
        <v>45596</v>
      </c>
      <c r="G5" s="18">
        <v>45960</v>
      </c>
      <c r="H5" s="19" t="s">
        <v>65</v>
      </c>
      <c r="I5" s="20">
        <v>1350333830439</v>
      </c>
      <c r="J5" s="21" t="s">
        <v>66</v>
      </c>
      <c r="K5" s="16" t="s">
        <v>67</v>
      </c>
      <c r="L5" s="16">
        <v>531660</v>
      </c>
      <c r="M5" s="16" t="s">
        <v>68</v>
      </c>
      <c r="N5" s="16" t="s">
        <v>63</v>
      </c>
      <c r="O5" s="16" t="s">
        <v>38</v>
      </c>
      <c r="P5" s="16" t="s">
        <v>39</v>
      </c>
      <c r="Q5" s="16" t="s">
        <v>69</v>
      </c>
      <c r="R5" s="18">
        <v>45597</v>
      </c>
      <c r="S5" s="18">
        <v>46696</v>
      </c>
      <c r="T5" s="22">
        <v>3900000</v>
      </c>
      <c r="U5" s="16"/>
      <c r="V5" s="16"/>
      <c r="W5" s="23">
        <v>3900000</v>
      </c>
      <c r="X5" s="24">
        <v>1.5</v>
      </c>
      <c r="Y5" s="23">
        <v>58500</v>
      </c>
      <c r="Z5" s="16"/>
      <c r="AA5" s="16" t="s">
        <v>41</v>
      </c>
      <c r="AB5" s="16">
        <v>1141071545</v>
      </c>
      <c r="AC5" s="25">
        <v>45622</v>
      </c>
      <c r="AD5" s="26" t="s">
        <v>42</v>
      </c>
      <c r="AE5" s="26">
        <v>0</v>
      </c>
      <c r="AF5" s="16" t="s">
        <v>64</v>
      </c>
      <c r="AG5" s="33">
        <v>58500</v>
      </c>
      <c r="AH5" s="34">
        <f t="shared" si="0"/>
        <v>0</v>
      </c>
    </row>
    <row r="6" spans="1:34" x14ac:dyDescent="0.25">
      <c r="A6" s="16" t="s">
        <v>30</v>
      </c>
      <c r="B6" s="16" t="s">
        <v>70</v>
      </c>
      <c r="C6" s="17">
        <v>45566</v>
      </c>
      <c r="D6" s="16" t="s">
        <v>32</v>
      </c>
      <c r="E6" s="16" t="s">
        <v>71</v>
      </c>
      <c r="F6" s="18">
        <v>45596</v>
      </c>
      <c r="G6" s="18">
        <v>45960</v>
      </c>
      <c r="H6" s="19" t="s">
        <v>72</v>
      </c>
      <c r="I6" s="20">
        <v>3660309485047</v>
      </c>
      <c r="J6" s="21" t="s">
        <v>73</v>
      </c>
      <c r="K6" s="21" t="s">
        <v>74</v>
      </c>
      <c r="L6" s="16">
        <v>503322</v>
      </c>
      <c r="M6" s="16" t="s">
        <v>75</v>
      </c>
      <c r="N6" s="16" t="s">
        <v>70</v>
      </c>
      <c r="O6" s="16" t="s">
        <v>60</v>
      </c>
      <c r="P6" s="16" t="s">
        <v>76</v>
      </c>
      <c r="Q6" s="16" t="s">
        <v>77</v>
      </c>
      <c r="R6" s="18">
        <v>45597</v>
      </c>
      <c r="S6" s="18">
        <v>46696</v>
      </c>
      <c r="T6" s="22">
        <v>3799000</v>
      </c>
      <c r="U6" s="16"/>
      <c r="V6" s="16"/>
      <c r="W6" s="23">
        <v>3799000</v>
      </c>
      <c r="X6" s="24">
        <v>1.5</v>
      </c>
      <c r="Y6" s="23">
        <v>56985</v>
      </c>
      <c r="Z6" s="16"/>
      <c r="AA6" s="16" t="s">
        <v>41</v>
      </c>
      <c r="AB6" s="16">
        <v>1141071545</v>
      </c>
      <c r="AC6" s="25">
        <v>45622</v>
      </c>
      <c r="AD6" s="26" t="s">
        <v>42</v>
      </c>
      <c r="AE6" s="26">
        <v>0</v>
      </c>
      <c r="AF6" s="16" t="s">
        <v>71</v>
      </c>
      <c r="AG6" s="33">
        <v>56985</v>
      </c>
      <c r="AH6" s="34">
        <f t="shared" si="0"/>
        <v>0</v>
      </c>
    </row>
    <row r="7" spans="1:34" x14ac:dyDescent="0.25">
      <c r="A7" s="16" t="s">
        <v>30</v>
      </c>
      <c r="B7" s="16" t="s">
        <v>78</v>
      </c>
      <c r="C7" s="17">
        <v>45566</v>
      </c>
      <c r="D7" s="16" t="s">
        <v>32</v>
      </c>
      <c r="E7" s="16" t="s">
        <v>79</v>
      </c>
      <c r="F7" s="18">
        <v>45596</v>
      </c>
      <c r="G7" s="18">
        <v>45960</v>
      </c>
      <c r="H7" s="19" t="s">
        <v>80</v>
      </c>
      <c r="I7" s="20">
        <v>3520220667145</v>
      </c>
      <c r="J7" s="21" t="s">
        <v>81</v>
      </c>
      <c r="K7" s="16" t="s">
        <v>82</v>
      </c>
      <c r="L7" s="16" t="s">
        <v>83</v>
      </c>
      <c r="M7" s="16" t="s">
        <v>84</v>
      </c>
      <c r="N7" s="16" t="s">
        <v>78</v>
      </c>
      <c r="O7" s="16" t="s">
        <v>60</v>
      </c>
      <c r="P7" s="16" t="s">
        <v>61</v>
      </c>
      <c r="Q7" s="16" t="s">
        <v>85</v>
      </c>
      <c r="R7" s="18">
        <v>45597</v>
      </c>
      <c r="S7" s="18">
        <v>47063</v>
      </c>
      <c r="T7" s="22">
        <v>1030000</v>
      </c>
      <c r="U7" s="16"/>
      <c r="V7" s="16"/>
      <c r="W7" s="23">
        <v>1030000</v>
      </c>
      <c r="X7" s="24">
        <v>2</v>
      </c>
      <c r="Y7" s="23">
        <v>20600</v>
      </c>
      <c r="Z7" s="16"/>
      <c r="AA7" s="16" t="s">
        <v>41</v>
      </c>
      <c r="AB7" s="16">
        <v>1141071545</v>
      </c>
      <c r="AC7" s="25">
        <v>45622</v>
      </c>
      <c r="AD7" s="26" t="s">
        <v>42</v>
      </c>
      <c r="AE7" s="26">
        <v>0</v>
      </c>
      <c r="AF7" s="16" t="s">
        <v>79</v>
      </c>
      <c r="AG7" s="33">
        <v>20600</v>
      </c>
      <c r="AH7" s="34">
        <f t="shared" si="0"/>
        <v>0</v>
      </c>
    </row>
    <row r="8" spans="1:34" x14ac:dyDescent="0.25">
      <c r="A8" s="16" t="s">
        <v>30</v>
      </c>
      <c r="B8" s="16" t="s">
        <v>86</v>
      </c>
      <c r="C8" s="17">
        <v>45566</v>
      </c>
      <c r="D8" s="16" t="s">
        <v>32</v>
      </c>
      <c r="E8" s="16" t="s">
        <v>87</v>
      </c>
      <c r="F8" s="18">
        <v>45596</v>
      </c>
      <c r="G8" s="18">
        <v>45960</v>
      </c>
      <c r="H8" s="19" t="s">
        <v>88</v>
      </c>
      <c r="I8" s="20">
        <v>3520230934073</v>
      </c>
      <c r="J8" s="21" t="s">
        <v>66</v>
      </c>
      <c r="K8" s="16" t="s">
        <v>89</v>
      </c>
      <c r="L8" s="16">
        <v>529309</v>
      </c>
      <c r="M8" s="16" t="s">
        <v>90</v>
      </c>
      <c r="N8" s="16" t="s">
        <v>86</v>
      </c>
      <c r="O8" s="16" t="s">
        <v>60</v>
      </c>
      <c r="P8" s="16" t="s">
        <v>61</v>
      </c>
      <c r="Q8" s="16" t="s">
        <v>91</v>
      </c>
      <c r="R8" s="18">
        <v>45597</v>
      </c>
      <c r="S8" s="18">
        <v>46696</v>
      </c>
      <c r="T8" s="22">
        <v>4000000</v>
      </c>
      <c r="U8" s="16"/>
      <c r="V8" s="16"/>
      <c r="W8" s="23">
        <v>4000000</v>
      </c>
      <c r="X8" s="24">
        <v>1.5</v>
      </c>
      <c r="Y8" s="23">
        <v>60000</v>
      </c>
      <c r="Z8" s="16"/>
      <c r="AA8" s="16" t="s">
        <v>41</v>
      </c>
      <c r="AB8" s="16">
        <v>1141071545</v>
      </c>
      <c r="AC8" s="25">
        <v>45622</v>
      </c>
      <c r="AD8" s="26" t="s">
        <v>42</v>
      </c>
      <c r="AE8" s="26">
        <v>0</v>
      </c>
      <c r="AF8" s="16" t="s">
        <v>87</v>
      </c>
      <c r="AG8" s="33">
        <v>60000</v>
      </c>
      <c r="AH8" s="34">
        <f t="shared" si="0"/>
        <v>0</v>
      </c>
    </row>
    <row r="9" spans="1:34" x14ac:dyDescent="0.25">
      <c r="A9" s="16" t="s">
        <v>30</v>
      </c>
      <c r="B9" s="16" t="s">
        <v>92</v>
      </c>
      <c r="C9" s="17">
        <v>45566</v>
      </c>
      <c r="D9" s="16" t="s">
        <v>32</v>
      </c>
      <c r="E9" s="16" t="s">
        <v>93</v>
      </c>
      <c r="F9" s="18">
        <v>45596</v>
      </c>
      <c r="G9" s="18">
        <v>45960</v>
      </c>
      <c r="H9" s="19" t="s">
        <v>94</v>
      </c>
      <c r="I9" s="20">
        <v>3520185477583</v>
      </c>
      <c r="J9" s="21" t="s">
        <v>95</v>
      </c>
      <c r="K9" s="16" t="s">
        <v>96</v>
      </c>
      <c r="L9" s="16" t="s">
        <v>97</v>
      </c>
      <c r="M9" s="16" t="s">
        <v>98</v>
      </c>
      <c r="N9" s="16" t="s">
        <v>92</v>
      </c>
      <c r="O9" s="16" t="s">
        <v>60</v>
      </c>
      <c r="P9" s="16" t="s">
        <v>61</v>
      </c>
      <c r="Q9" s="16" t="s">
        <v>99</v>
      </c>
      <c r="R9" s="18">
        <v>45597</v>
      </c>
      <c r="S9" s="18">
        <v>47427</v>
      </c>
      <c r="T9" s="22">
        <v>2150000</v>
      </c>
      <c r="U9" s="16"/>
      <c r="V9" s="16"/>
      <c r="W9" s="23">
        <v>2150000</v>
      </c>
      <c r="X9" s="24">
        <v>2</v>
      </c>
      <c r="Y9" s="23">
        <v>43000</v>
      </c>
      <c r="Z9" s="16"/>
      <c r="AA9" s="16" t="s">
        <v>41</v>
      </c>
      <c r="AB9" s="16">
        <v>1141071545</v>
      </c>
      <c r="AC9" s="25">
        <v>45622</v>
      </c>
      <c r="AD9" s="26" t="s">
        <v>42</v>
      </c>
      <c r="AE9" s="26">
        <v>0</v>
      </c>
      <c r="AF9" s="16" t="s">
        <v>93</v>
      </c>
      <c r="AG9" s="33">
        <v>43000</v>
      </c>
      <c r="AH9" s="34">
        <f t="shared" si="0"/>
        <v>0</v>
      </c>
    </row>
    <row r="10" spans="1:34" x14ac:dyDescent="0.25">
      <c r="A10" s="16" t="s">
        <v>30</v>
      </c>
      <c r="B10" s="16" t="s">
        <v>100</v>
      </c>
      <c r="C10" s="17">
        <v>45566</v>
      </c>
      <c r="D10" s="16" t="s">
        <v>32</v>
      </c>
      <c r="E10" s="16" t="s">
        <v>101</v>
      </c>
      <c r="F10" s="18">
        <v>45596</v>
      </c>
      <c r="G10" s="18">
        <v>45960</v>
      </c>
      <c r="H10" s="19" t="s">
        <v>102</v>
      </c>
      <c r="I10" s="20">
        <v>4220137933467</v>
      </c>
      <c r="J10" s="21" t="s">
        <v>103</v>
      </c>
      <c r="K10" s="16" t="s">
        <v>104</v>
      </c>
      <c r="L10" s="16">
        <v>23589</v>
      </c>
      <c r="M10" s="16" t="s">
        <v>105</v>
      </c>
      <c r="N10" s="16" t="s">
        <v>100</v>
      </c>
      <c r="O10" s="16" t="s">
        <v>50</v>
      </c>
      <c r="P10" s="16" t="s">
        <v>106</v>
      </c>
      <c r="Q10" s="16" t="s">
        <v>107</v>
      </c>
      <c r="R10" s="18">
        <v>45602</v>
      </c>
      <c r="S10" s="18">
        <v>46696</v>
      </c>
      <c r="T10" s="22">
        <v>3800000</v>
      </c>
      <c r="U10" s="16"/>
      <c r="V10" s="16"/>
      <c r="W10" s="23">
        <v>3800000</v>
      </c>
      <c r="X10" s="24">
        <v>1.5</v>
      </c>
      <c r="Y10" s="23">
        <v>57000</v>
      </c>
      <c r="Z10" s="16"/>
      <c r="AA10" s="16" t="s">
        <v>41</v>
      </c>
      <c r="AB10" s="16">
        <v>1141071545</v>
      </c>
      <c r="AC10" s="25">
        <v>45622</v>
      </c>
      <c r="AD10" s="26" t="s">
        <v>42</v>
      </c>
      <c r="AE10" s="26">
        <v>0</v>
      </c>
      <c r="AF10" s="16" t="s">
        <v>101</v>
      </c>
      <c r="AG10" s="33">
        <v>57000</v>
      </c>
      <c r="AH10" s="34">
        <f t="shared" si="0"/>
        <v>0</v>
      </c>
    </row>
    <row r="11" spans="1:34" x14ac:dyDescent="0.25">
      <c r="A11" s="16" t="s">
        <v>30</v>
      </c>
      <c r="B11" s="16" t="s">
        <v>108</v>
      </c>
      <c r="C11" s="17">
        <v>45566</v>
      </c>
      <c r="D11" s="16" t="s">
        <v>32</v>
      </c>
      <c r="E11" s="16" t="s">
        <v>109</v>
      </c>
      <c r="F11" s="18">
        <v>45595</v>
      </c>
      <c r="G11" s="18">
        <v>45959</v>
      </c>
      <c r="H11" s="19" t="s">
        <v>110</v>
      </c>
      <c r="I11" s="20">
        <v>9030901099687</v>
      </c>
      <c r="J11" s="21" t="s">
        <v>111</v>
      </c>
      <c r="K11" s="16" t="s">
        <v>112</v>
      </c>
      <c r="L11" s="16">
        <v>12926921</v>
      </c>
      <c r="M11" s="16" t="s">
        <v>113</v>
      </c>
      <c r="N11" s="16" t="s">
        <v>108</v>
      </c>
      <c r="O11" s="16" t="s">
        <v>60</v>
      </c>
      <c r="P11" s="16" t="s">
        <v>114</v>
      </c>
      <c r="Q11" s="16" t="s">
        <v>115</v>
      </c>
      <c r="R11" s="18">
        <v>45597</v>
      </c>
      <c r="S11" s="18">
        <v>46696</v>
      </c>
      <c r="T11" s="22">
        <v>4850000</v>
      </c>
      <c r="U11" s="16"/>
      <c r="V11" s="16"/>
      <c r="W11" s="23">
        <v>4850000</v>
      </c>
      <c r="X11" s="24">
        <v>1.5</v>
      </c>
      <c r="Y11" s="23">
        <v>72750</v>
      </c>
      <c r="Z11" s="16"/>
      <c r="AA11" s="16" t="s">
        <v>41</v>
      </c>
      <c r="AB11" s="16">
        <v>1141071545</v>
      </c>
      <c r="AC11" s="25">
        <v>45622</v>
      </c>
      <c r="AD11" s="26" t="s">
        <v>42</v>
      </c>
      <c r="AE11" s="26">
        <v>0</v>
      </c>
      <c r="AF11" s="16" t="s">
        <v>109</v>
      </c>
      <c r="AG11" s="33">
        <v>72750</v>
      </c>
      <c r="AH11" s="34">
        <f t="shared" si="0"/>
        <v>0</v>
      </c>
    </row>
    <row r="12" spans="1:34" x14ac:dyDescent="0.25">
      <c r="A12" s="16" t="s">
        <v>30</v>
      </c>
      <c r="B12" s="16" t="s">
        <v>116</v>
      </c>
      <c r="C12" s="17">
        <v>45566</v>
      </c>
      <c r="D12" s="16" t="s">
        <v>32</v>
      </c>
      <c r="E12" s="16" t="s">
        <v>117</v>
      </c>
      <c r="F12" s="18">
        <v>45595</v>
      </c>
      <c r="G12" s="18">
        <v>45959</v>
      </c>
      <c r="H12" s="19" t="s">
        <v>118</v>
      </c>
      <c r="I12" s="20">
        <v>3520243032339</v>
      </c>
      <c r="J12" s="21" t="s">
        <v>119</v>
      </c>
      <c r="K12" s="20" t="s">
        <v>74</v>
      </c>
      <c r="L12" s="16" t="s">
        <v>120</v>
      </c>
      <c r="M12" s="16" t="s">
        <v>121</v>
      </c>
      <c r="N12" s="16" t="s">
        <v>116</v>
      </c>
      <c r="O12" s="16" t="s">
        <v>60</v>
      </c>
      <c r="P12" s="16" t="s">
        <v>61</v>
      </c>
      <c r="Q12" s="16" t="s">
        <v>122</v>
      </c>
      <c r="R12" s="18">
        <v>45597</v>
      </c>
      <c r="S12" s="18">
        <v>46331</v>
      </c>
      <c r="T12" s="22">
        <v>2707000</v>
      </c>
      <c r="U12" s="16"/>
      <c r="V12" s="16"/>
      <c r="W12" s="23">
        <v>2707000</v>
      </c>
      <c r="X12" s="24">
        <v>2</v>
      </c>
      <c r="Y12" s="23">
        <v>54140</v>
      </c>
      <c r="Z12" s="16"/>
      <c r="AA12" s="16" t="s">
        <v>41</v>
      </c>
      <c r="AB12" s="16">
        <v>1141071545</v>
      </c>
      <c r="AC12" s="25">
        <v>45622</v>
      </c>
      <c r="AD12" s="26" t="s">
        <v>42</v>
      </c>
      <c r="AE12" s="26">
        <v>0</v>
      </c>
      <c r="AF12" s="16" t="s">
        <v>117</v>
      </c>
      <c r="AG12" s="33">
        <v>54140</v>
      </c>
      <c r="AH12" s="34">
        <f t="shared" si="0"/>
        <v>0</v>
      </c>
    </row>
    <row r="13" spans="1:34" x14ac:dyDescent="0.25">
      <c r="A13" s="16" t="s">
        <v>30</v>
      </c>
      <c r="B13" s="16" t="s">
        <v>123</v>
      </c>
      <c r="C13" s="17">
        <v>45566</v>
      </c>
      <c r="D13" s="16" t="s">
        <v>32</v>
      </c>
      <c r="E13" s="16" t="s">
        <v>124</v>
      </c>
      <c r="F13" s="18">
        <v>45595</v>
      </c>
      <c r="G13" s="18">
        <v>45959</v>
      </c>
      <c r="H13" s="19" t="s">
        <v>125</v>
      </c>
      <c r="I13" s="20">
        <v>3660151263187</v>
      </c>
      <c r="J13" s="21" t="s">
        <v>126</v>
      </c>
      <c r="K13" s="16" t="s">
        <v>127</v>
      </c>
      <c r="L13" s="16">
        <v>634550</v>
      </c>
      <c r="M13" s="16" t="s">
        <v>128</v>
      </c>
      <c r="N13" s="16" t="s">
        <v>123</v>
      </c>
      <c r="O13" s="16" t="s">
        <v>38</v>
      </c>
      <c r="P13" s="16" t="s">
        <v>39</v>
      </c>
      <c r="Q13" s="16" t="s">
        <v>129</v>
      </c>
      <c r="R13" s="18">
        <v>45596</v>
      </c>
      <c r="S13" s="18">
        <v>47063</v>
      </c>
      <c r="T13" s="22">
        <v>2120000</v>
      </c>
      <c r="U13" s="16"/>
      <c r="V13" s="16"/>
      <c r="W13" s="23">
        <v>2120000</v>
      </c>
      <c r="X13" s="24">
        <v>2</v>
      </c>
      <c r="Y13" s="23">
        <v>42400</v>
      </c>
      <c r="Z13" s="16"/>
      <c r="AA13" s="16" t="s">
        <v>41</v>
      </c>
      <c r="AB13" s="16">
        <v>1141071545</v>
      </c>
      <c r="AC13" s="25">
        <v>45622</v>
      </c>
      <c r="AD13" s="26" t="s">
        <v>42</v>
      </c>
      <c r="AE13" s="26">
        <v>0</v>
      </c>
      <c r="AF13" s="16" t="s">
        <v>124</v>
      </c>
      <c r="AG13" s="33">
        <v>42400</v>
      </c>
      <c r="AH13" s="34">
        <f t="shared" si="0"/>
        <v>0</v>
      </c>
    </row>
    <row r="14" spans="1:34" x14ac:dyDescent="0.25">
      <c r="A14" s="16" t="s">
        <v>30</v>
      </c>
      <c r="B14" s="16" t="s">
        <v>130</v>
      </c>
      <c r="C14" s="17">
        <v>45566</v>
      </c>
      <c r="D14" s="16" t="s">
        <v>32</v>
      </c>
      <c r="E14" s="16" t="s">
        <v>131</v>
      </c>
      <c r="F14" s="18">
        <v>45595</v>
      </c>
      <c r="G14" s="18">
        <v>45959</v>
      </c>
      <c r="H14" s="19" t="s">
        <v>132</v>
      </c>
      <c r="I14" s="20">
        <v>3610168395965</v>
      </c>
      <c r="J14" s="21" t="s">
        <v>133</v>
      </c>
      <c r="K14" s="16" t="s">
        <v>134</v>
      </c>
      <c r="L14" s="16" t="s">
        <v>135</v>
      </c>
      <c r="M14" s="16" t="s">
        <v>136</v>
      </c>
      <c r="N14" s="16" t="s">
        <v>130</v>
      </c>
      <c r="O14" s="16" t="s">
        <v>60</v>
      </c>
      <c r="P14" s="16" t="s">
        <v>114</v>
      </c>
      <c r="Q14" s="16" t="s">
        <v>137</v>
      </c>
      <c r="R14" s="18">
        <v>45597</v>
      </c>
      <c r="S14" s="18">
        <v>46696</v>
      </c>
      <c r="T14" s="22">
        <v>4700000</v>
      </c>
      <c r="U14" s="16"/>
      <c r="V14" s="16"/>
      <c r="W14" s="23">
        <v>4700000</v>
      </c>
      <c r="X14" s="24">
        <v>1.5</v>
      </c>
      <c r="Y14" s="23">
        <v>70500</v>
      </c>
      <c r="Z14" s="16"/>
      <c r="AA14" s="16" t="s">
        <v>41</v>
      </c>
      <c r="AB14" s="16">
        <v>1141071545</v>
      </c>
      <c r="AC14" s="25">
        <v>45622</v>
      </c>
      <c r="AD14" s="26" t="s">
        <v>42</v>
      </c>
      <c r="AE14" s="26">
        <v>0</v>
      </c>
      <c r="AF14" s="16" t="s">
        <v>131</v>
      </c>
      <c r="AG14" s="33">
        <v>70500</v>
      </c>
      <c r="AH14" s="34">
        <f t="shared" si="0"/>
        <v>0</v>
      </c>
    </row>
    <row r="15" spans="1:34" x14ac:dyDescent="0.25">
      <c r="A15" s="16" t="s">
        <v>30</v>
      </c>
      <c r="B15" s="16" t="s">
        <v>138</v>
      </c>
      <c r="C15" s="17">
        <v>45566</v>
      </c>
      <c r="D15" s="16" t="s">
        <v>32</v>
      </c>
      <c r="E15" s="16" t="s">
        <v>139</v>
      </c>
      <c r="F15" s="18">
        <v>45595</v>
      </c>
      <c r="G15" s="18">
        <v>45959</v>
      </c>
      <c r="H15" s="19" t="s">
        <v>140</v>
      </c>
      <c r="I15" s="20">
        <v>3520273878127</v>
      </c>
      <c r="J15" s="21" t="s">
        <v>119</v>
      </c>
      <c r="K15" s="16" t="s">
        <v>141</v>
      </c>
      <c r="L15" s="16" t="s">
        <v>142</v>
      </c>
      <c r="M15" s="16" t="s">
        <v>143</v>
      </c>
      <c r="N15" s="16" t="s">
        <v>138</v>
      </c>
      <c r="O15" s="16" t="s">
        <v>60</v>
      </c>
      <c r="P15" s="16" t="s">
        <v>61</v>
      </c>
      <c r="Q15" s="16" t="s">
        <v>144</v>
      </c>
      <c r="R15" s="18">
        <v>45597</v>
      </c>
      <c r="S15" s="18">
        <v>47427</v>
      </c>
      <c r="T15" s="22">
        <v>2400000</v>
      </c>
      <c r="U15" s="16"/>
      <c r="V15" s="16"/>
      <c r="W15" s="23">
        <v>2400000</v>
      </c>
      <c r="X15" s="24">
        <v>2</v>
      </c>
      <c r="Y15" s="23">
        <v>48000</v>
      </c>
      <c r="Z15" s="16"/>
      <c r="AA15" s="16" t="s">
        <v>41</v>
      </c>
      <c r="AB15" s="16">
        <v>1141071545</v>
      </c>
      <c r="AC15" s="25">
        <v>45622</v>
      </c>
      <c r="AD15" s="26" t="s">
        <v>42</v>
      </c>
      <c r="AE15" s="26">
        <v>0</v>
      </c>
      <c r="AF15" s="16" t="s">
        <v>139</v>
      </c>
      <c r="AG15" s="33">
        <v>48000</v>
      </c>
      <c r="AH15" s="34">
        <f t="shared" si="0"/>
        <v>0</v>
      </c>
    </row>
    <row r="16" spans="1:34" x14ac:dyDescent="0.25">
      <c r="A16" s="16" t="s">
        <v>30</v>
      </c>
      <c r="B16" s="16" t="s">
        <v>145</v>
      </c>
      <c r="C16" s="17">
        <v>45566</v>
      </c>
      <c r="D16" s="16" t="s">
        <v>32</v>
      </c>
      <c r="E16" s="16" t="s">
        <v>146</v>
      </c>
      <c r="F16" s="18">
        <v>45595</v>
      </c>
      <c r="G16" s="18">
        <v>45959</v>
      </c>
      <c r="H16" s="19" t="s">
        <v>147</v>
      </c>
      <c r="I16" s="20">
        <v>3410126964351</v>
      </c>
      <c r="J16" s="21" t="s">
        <v>148</v>
      </c>
      <c r="K16" s="20" t="s">
        <v>74</v>
      </c>
      <c r="L16" s="16">
        <v>1028092</v>
      </c>
      <c r="M16" s="16" t="s">
        <v>149</v>
      </c>
      <c r="N16" s="16" t="s">
        <v>145</v>
      </c>
      <c r="O16" s="16" t="s">
        <v>60</v>
      </c>
      <c r="P16" s="16" t="s">
        <v>61</v>
      </c>
      <c r="Q16" s="16" t="s">
        <v>150</v>
      </c>
      <c r="R16" s="18">
        <v>45597</v>
      </c>
      <c r="S16" s="18">
        <v>46696</v>
      </c>
      <c r="T16" s="22">
        <v>4749000</v>
      </c>
      <c r="U16" s="16"/>
      <c r="V16" s="16"/>
      <c r="W16" s="23">
        <v>4749000</v>
      </c>
      <c r="X16" s="24">
        <v>1.5</v>
      </c>
      <c r="Y16" s="23">
        <v>71235</v>
      </c>
      <c r="Z16" s="16"/>
      <c r="AA16" s="16" t="s">
        <v>41</v>
      </c>
      <c r="AB16" s="16">
        <v>1141071545</v>
      </c>
      <c r="AC16" s="25">
        <v>45622</v>
      </c>
      <c r="AD16" s="26" t="s">
        <v>42</v>
      </c>
      <c r="AE16" s="26">
        <v>0</v>
      </c>
      <c r="AF16" s="16" t="s">
        <v>146</v>
      </c>
      <c r="AG16" s="33">
        <v>71235</v>
      </c>
      <c r="AH16" s="34">
        <f t="shared" si="0"/>
        <v>0</v>
      </c>
    </row>
    <row r="17" spans="1:34" x14ac:dyDescent="0.25">
      <c r="A17" s="16" t="s">
        <v>30</v>
      </c>
      <c r="B17" s="16" t="s">
        <v>151</v>
      </c>
      <c r="C17" s="17">
        <v>45566</v>
      </c>
      <c r="D17" s="16" t="s">
        <v>32</v>
      </c>
      <c r="E17" s="16" t="s">
        <v>152</v>
      </c>
      <c r="F17" s="18">
        <v>45595</v>
      </c>
      <c r="G17" s="18">
        <v>45959</v>
      </c>
      <c r="H17" s="19" t="s">
        <v>153</v>
      </c>
      <c r="I17" s="20">
        <v>3520108366339</v>
      </c>
      <c r="J17" s="21" t="s">
        <v>154</v>
      </c>
      <c r="K17" s="16" t="s">
        <v>155</v>
      </c>
      <c r="L17" s="16">
        <v>963667</v>
      </c>
      <c r="M17" s="16" t="s">
        <v>156</v>
      </c>
      <c r="N17" s="16" t="s">
        <v>151</v>
      </c>
      <c r="O17" s="16" t="s">
        <v>60</v>
      </c>
      <c r="P17" s="16" t="s">
        <v>61</v>
      </c>
      <c r="Q17" s="16" t="s">
        <v>157</v>
      </c>
      <c r="R17" s="18">
        <v>45601</v>
      </c>
      <c r="S17" s="18">
        <v>47063</v>
      </c>
      <c r="T17" s="22">
        <v>8500000</v>
      </c>
      <c r="U17" s="16"/>
      <c r="V17" s="16"/>
      <c r="W17" s="23">
        <v>8500000</v>
      </c>
      <c r="X17" s="24">
        <v>1.5</v>
      </c>
      <c r="Y17" s="23">
        <v>127500</v>
      </c>
      <c r="Z17" s="16"/>
      <c r="AA17" s="16" t="s">
        <v>41</v>
      </c>
      <c r="AB17" s="16">
        <v>1141071545</v>
      </c>
      <c r="AC17" s="25">
        <v>45622</v>
      </c>
      <c r="AD17" s="26" t="s">
        <v>42</v>
      </c>
      <c r="AE17" s="26">
        <v>0</v>
      </c>
      <c r="AF17" s="16" t="s">
        <v>152</v>
      </c>
      <c r="AG17" s="33">
        <v>127500</v>
      </c>
      <c r="AH17" s="34">
        <f t="shared" si="0"/>
        <v>0</v>
      </c>
    </row>
    <row r="18" spans="1:34" x14ac:dyDescent="0.25">
      <c r="A18" s="16" t="s">
        <v>30</v>
      </c>
      <c r="B18" s="16" t="s">
        <v>158</v>
      </c>
      <c r="C18" s="17">
        <v>45566</v>
      </c>
      <c r="D18" s="16" t="s">
        <v>32</v>
      </c>
      <c r="E18" s="16" t="s">
        <v>159</v>
      </c>
      <c r="F18" s="18">
        <v>45595</v>
      </c>
      <c r="G18" s="18">
        <v>45959</v>
      </c>
      <c r="H18" s="19" t="s">
        <v>160</v>
      </c>
      <c r="I18" s="20">
        <v>4210160978429</v>
      </c>
      <c r="J18" s="21" t="s">
        <v>161</v>
      </c>
      <c r="K18" s="16" t="s">
        <v>162</v>
      </c>
      <c r="L18" s="16" t="s">
        <v>163</v>
      </c>
      <c r="M18" s="16" t="s">
        <v>164</v>
      </c>
      <c r="N18" s="16" t="s">
        <v>158</v>
      </c>
      <c r="O18" s="16" t="s">
        <v>50</v>
      </c>
      <c r="P18" s="16" t="s">
        <v>51</v>
      </c>
      <c r="Q18" s="16" t="s">
        <v>165</v>
      </c>
      <c r="R18" s="18">
        <v>45597</v>
      </c>
      <c r="S18" s="18">
        <v>47427</v>
      </c>
      <c r="T18" s="22">
        <v>2950000</v>
      </c>
      <c r="U18" s="16"/>
      <c r="V18" s="16"/>
      <c r="W18" s="23">
        <v>2950000</v>
      </c>
      <c r="X18" s="24">
        <v>2</v>
      </c>
      <c r="Y18" s="23">
        <v>59000</v>
      </c>
      <c r="Z18" s="16"/>
      <c r="AA18" s="16" t="s">
        <v>41</v>
      </c>
      <c r="AB18" s="16">
        <v>1141071545</v>
      </c>
      <c r="AC18" s="25">
        <v>45622</v>
      </c>
      <c r="AD18" s="26" t="s">
        <v>42</v>
      </c>
      <c r="AE18" s="26">
        <v>0</v>
      </c>
      <c r="AF18" s="16" t="s">
        <v>159</v>
      </c>
      <c r="AG18" s="33">
        <v>59000</v>
      </c>
      <c r="AH18" s="34">
        <f t="shared" si="0"/>
        <v>0</v>
      </c>
    </row>
    <row r="19" spans="1:34" x14ac:dyDescent="0.25">
      <c r="A19" s="16" t="s">
        <v>30</v>
      </c>
      <c r="B19" s="16" t="s">
        <v>166</v>
      </c>
      <c r="C19" s="17">
        <v>45566</v>
      </c>
      <c r="D19" s="16" t="s">
        <v>32</v>
      </c>
      <c r="E19" s="16" t="s">
        <v>167</v>
      </c>
      <c r="F19" s="18">
        <v>45595</v>
      </c>
      <c r="G19" s="18">
        <v>45959</v>
      </c>
      <c r="H19" s="19" t="s">
        <v>168</v>
      </c>
      <c r="I19" s="20">
        <v>3520260172681</v>
      </c>
      <c r="J19" s="21" t="s">
        <v>169</v>
      </c>
      <c r="K19" s="16" t="s">
        <v>170</v>
      </c>
      <c r="L19" s="16" t="s">
        <v>171</v>
      </c>
      <c r="M19" s="16" t="s">
        <v>172</v>
      </c>
      <c r="N19" s="16" t="s">
        <v>166</v>
      </c>
      <c r="O19" s="16" t="s">
        <v>60</v>
      </c>
      <c r="P19" s="16" t="s">
        <v>61</v>
      </c>
      <c r="Q19" s="16" t="s">
        <v>173</v>
      </c>
      <c r="R19" s="18">
        <v>45597</v>
      </c>
      <c r="S19" s="18">
        <v>46331</v>
      </c>
      <c r="T19" s="22">
        <v>2300000</v>
      </c>
      <c r="U19" s="16"/>
      <c r="V19" s="16"/>
      <c r="W19" s="23">
        <v>2300000</v>
      </c>
      <c r="X19" s="24">
        <v>2</v>
      </c>
      <c r="Y19" s="23">
        <v>46000</v>
      </c>
      <c r="Z19" s="16"/>
      <c r="AA19" s="16" t="s">
        <v>41</v>
      </c>
      <c r="AB19" s="16">
        <v>1141071545</v>
      </c>
      <c r="AC19" s="25">
        <v>45622</v>
      </c>
      <c r="AD19" s="26" t="s">
        <v>42</v>
      </c>
      <c r="AE19" s="26">
        <v>0</v>
      </c>
      <c r="AF19" s="16" t="s">
        <v>167</v>
      </c>
      <c r="AG19" s="33">
        <v>46000</v>
      </c>
      <c r="AH19" s="34">
        <f t="shared" si="0"/>
        <v>0</v>
      </c>
    </row>
    <row r="20" spans="1:34" x14ac:dyDescent="0.25">
      <c r="A20" s="16" t="s">
        <v>30</v>
      </c>
      <c r="B20" s="16" t="s">
        <v>174</v>
      </c>
      <c r="C20" s="17">
        <v>45566</v>
      </c>
      <c r="D20" s="16" t="s">
        <v>32</v>
      </c>
      <c r="E20" s="16" t="s">
        <v>175</v>
      </c>
      <c r="F20" s="18">
        <v>45594</v>
      </c>
      <c r="G20" s="18">
        <v>45958</v>
      </c>
      <c r="H20" s="19" t="s">
        <v>176</v>
      </c>
      <c r="I20" s="20">
        <v>3520161498951</v>
      </c>
      <c r="J20" s="21" t="s">
        <v>177</v>
      </c>
      <c r="K20" s="16" t="s">
        <v>178</v>
      </c>
      <c r="L20" s="16" t="s">
        <v>179</v>
      </c>
      <c r="M20" s="16" t="s">
        <v>180</v>
      </c>
      <c r="N20" s="16" t="s">
        <v>174</v>
      </c>
      <c r="O20" s="16" t="s">
        <v>60</v>
      </c>
      <c r="P20" s="16" t="s">
        <v>61</v>
      </c>
      <c r="Q20" s="16" t="s">
        <v>181</v>
      </c>
      <c r="R20" s="18">
        <v>45595</v>
      </c>
      <c r="S20" s="18">
        <v>46331</v>
      </c>
      <c r="T20" s="22">
        <v>3800000</v>
      </c>
      <c r="U20" s="16"/>
      <c r="V20" s="16"/>
      <c r="W20" s="23">
        <v>3800000</v>
      </c>
      <c r="X20" s="24">
        <v>1.5</v>
      </c>
      <c r="Y20" s="23">
        <v>57000</v>
      </c>
      <c r="Z20" s="16"/>
      <c r="AA20" s="16" t="s">
        <v>41</v>
      </c>
      <c r="AB20" s="16">
        <v>1141071545</v>
      </c>
      <c r="AC20" s="25">
        <v>45622</v>
      </c>
      <c r="AD20" s="26" t="s">
        <v>42</v>
      </c>
      <c r="AE20" s="26">
        <v>0</v>
      </c>
      <c r="AF20" s="16" t="s">
        <v>175</v>
      </c>
      <c r="AG20" s="33">
        <v>57000</v>
      </c>
      <c r="AH20" s="34">
        <f t="shared" si="0"/>
        <v>0</v>
      </c>
    </row>
    <row r="21" spans="1:34" x14ac:dyDescent="0.25">
      <c r="A21" s="16" t="s">
        <v>30</v>
      </c>
      <c r="B21" s="16" t="s">
        <v>182</v>
      </c>
      <c r="C21" s="17">
        <v>45566</v>
      </c>
      <c r="D21" s="16" t="s">
        <v>32</v>
      </c>
      <c r="E21" s="16" t="s">
        <v>183</v>
      </c>
      <c r="F21" s="18">
        <v>45594</v>
      </c>
      <c r="G21" s="18">
        <v>45958</v>
      </c>
      <c r="H21" s="19" t="s">
        <v>184</v>
      </c>
      <c r="I21" s="20">
        <v>4220105169215</v>
      </c>
      <c r="J21" s="21" t="s">
        <v>185</v>
      </c>
      <c r="K21" s="16" t="s">
        <v>186</v>
      </c>
      <c r="L21" s="16" t="s">
        <v>187</v>
      </c>
      <c r="M21" s="16" t="s">
        <v>188</v>
      </c>
      <c r="N21" s="16" t="s">
        <v>182</v>
      </c>
      <c r="O21" s="16" t="s">
        <v>50</v>
      </c>
      <c r="P21" s="16" t="s">
        <v>189</v>
      </c>
      <c r="Q21" s="16" t="s">
        <v>190</v>
      </c>
      <c r="R21" s="18">
        <v>45595</v>
      </c>
      <c r="S21" s="18">
        <v>46696</v>
      </c>
      <c r="T21" s="22">
        <v>3045000</v>
      </c>
      <c r="U21" s="16"/>
      <c r="V21" s="16"/>
      <c r="W21" s="23">
        <v>3045000</v>
      </c>
      <c r="X21" s="24">
        <v>2</v>
      </c>
      <c r="Y21" s="23">
        <v>60900</v>
      </c>
      <c r="Z21" s="16"/>
      <c r="AA21" s="16" t="s">
        <v>41</v>
      </c>
      <c r="AB21" s="16">
        <v>1141071545</v>
      </c>
      <c r="AC21" s="25">
        <v>45622</v>
      </c>
      <c r="AD21" s="26" t="s">
        <v>42</v>
      </c>
      <c r="AE21" s="26">
        <v>0</v>
      </c>
      <c r="AF21" s="16" t="s">
        <v>183</v>
      </c>
      <c r="AG21" s="33">
        <v>60900</v>
      </c>
      <c r="AH21" s="34">
        <f t="shared" si="0"/>
        <v>0</v>
      </c>
    </row>
    <row r="22" spans="1:34" x14ac:dyDescent="0.25">
      <c r="A22" s="16" t="s">
        <v>30</v>
      </c>
      <c r="B22" s="16" t="s">
        <v>191</v>
      </c>
      <c r="C22" s="17">
        <v>45566</v>
      </c>
      <c r="D22" s="16" t="s">
        <v>32</v>
      </c>
      <c r="E22" s="16" t="s">
        <v>192</v>
      </c>
      <c r="F22" s="18">
        <v>45593</v>
      </c>
      <c r="G22" s="18">
        <v>45957</v>
      </c>
      <c r="H22" s="19" t="s">
        <v>193</v>
      </c>
      <c r="I22" s="20">
        <v>4230136322853</v>
      </c>
      <c r="J22" s="21" t="s">
        <v>177</v>
      </c>
      <c r="K22" s="16" t="s">
        <v>194</v>
      </c>
      <c r="L22" s="16" t="s">
        <v>195</v>
      </c>
      <c r="M22" s="16" t="s">
        <v>196</v>
      </c>
      <c r="N22" s="16" t="s">
        <v>191</v>
      </c>
      <c r="O22" s="16" t="s">
        <v>50</v>
      </c>
      <c r="P22" s="16" t="s">
        <v>51</v>
      </c>
      <c r="Q22" s="16" t="s">
        <v>197</v>
      </c>
      <c r="R22" s="18">
        <v>45595</v>
      </c>
      <c r="S22" s="18">
        <v>46696</v>
      </c>
      <c r="T22" s="22">
        <v>5950000</v>
      </c>
      <c r="U22" s="16"/>
      <c r="V22" s="16"/>
      <c r="W22" s="23">
        <v>5950000</v>
      </c>
      <c r="X22" s="24">
        <v>1.5</v>
      </c>
      <c r="Y22" s="23">
        <v>89250</v>
      </c>
      <c r="Z22" s="16"/>
      <c r="AA22" s="16" t="s">
        <v>41</v>
      </c>
      <c r="AB22" s="16">
        <v>1141071545</v>
      </c>
      <c r="AC22" s="25">
        <v>45622</v>
      </c>
      <c r="AD22" s="26" t="s">
        <v>42</v>
      </c>
      <c r="AE22" s="26">
        <v>0</v>
      </c>
      <c r="AF22" s="16" t="s">
        <v>192</v>
      </c>
      <c r="AG22" s="33">
        <v>89250</v>
      </c>
      <c r="AH22" s="34">
        <f t="shared" si="0"/>
        <v>0</v>
      </c>
    </row>
    <row r="23" spans="1:34" x14ac:dyDescent="0.25">
      <c r="A23" s="16" t="s">
        <v>30</v>
      </c>
      <c r="B23" s="16" t="s">
        <v>198</v>
      </c>
      <c r="C23" s="17">
        <v>45566</v>
      </c>
      <c r="D23" s="16" t="s">
        <v>32</v>
      </c>
      <c r="E23" s="16" t="s">
        <v>199</v>
      </c>
      <c r="F23" s="18">
        <v>45590</v>
      </c>
      <c r="G23" s="18">
        <v>45590</v>
      </c>
      <c r="H23" s="19" t="s">
        <v>200</v>
      </c>
      <c r="I23" s="20">
        <v>3710480453647</v>
      </c>
      <c r="J23" s="21" t="s">
        <v>185</v>
      </c>
      <c r="K23" s="20" t="s">
        <v>74</v>
      </c>
      <c r="L23" s="16" t="s">
        <v>201</v>
      </c>
      <c r="M23" s="16" t="s">
        <v>202</v>
      </c>
      <c r="N23" s="16" t="s">
        <v>198</v>
      </c>
      <c r="O23" s="16" t="s">
        <v>38</v>
      </c>
      <c r="P23" s="16" t="s">
        <v>39</v>
      </c>
      <c r="Q23" s="16" t="s">
        <v>203</v>
      </c>
      <c r="R23" s="18">
        <v>45596</v>
      </c>
      <c r="S23" s="18">
        <v>47427</v>
      </c>
      <c r="T23" s="22">
        <v>3045000</v>
      </c>
      <c r="U23" s="16"/>
      <c r="V23" s="16"/>
      <c r="W23" s="23">
        <v>3045000</v>
      </c>
      <c r="X23" s="24">
        <v>2</v>
      </c>
      <c r="Y23" s="23">
        <v>60900</v>
      </c>
      <c r="Z23" s="16"/>
      <c r="AA23" s="16" t="s">
        <v>41</v>
      </c>
      <c r="AB23" s="16">
        <v>1141071545</v>
      </c>
      <c r="AC23" s="25">
        <v>45622</v>
      </c>
      <c r="AD23" s="26" t="s">
        <v>42</v>
      </c>
      <c r="AE23" s="26">
        <v>0</v>
      </c>
      <c r="AF23" s="16" t="s">
        <v>199</v>
      </c>
      <c r="AG23" s="33">
        <v>60900</v>
      </c>
      <c r="AH23" s="34">
        <f t="shared" si="0"/>
        <v>0</v>
      </c>
    </row>
    <row r="24" spans="1:34" x14ac:dyDescent="0.25">
      <c r="A24" s="16" t="s">
        <v>30</v>
      </c>
      <c r="B24" s="16" t="s">
        <v>204</v>
      </c>
      <c r="C24" s="17">
        <v>45566</v>
      </c>
      <c r="D24" s="16" t="s">
        <v>32</v>
      </c>
      <c r="E24" s="16" t="s">
        <v>205</v>
      </c>
      <c r="F24" s="18">
        <v>45590</v>
      </c>
      <c r="G24" s="18">
        <v>45590</v>
      </c>
      <c r="H24" s="19" t="s">
        <v>206</v>
      </c>
      <c r="I24" s="20">
        <v>3520230152945</v>
      </c>
      <c r="J24" s="21" t="s">
        <v>133</v>
      </c>
      <c r="K24" s="16" t="s">
        <v>207</v>
      </c>
      <c r="L24" s="16" t="s">
        <v>208</v>
      </c>
      <c r="M24" s="16" t="s">
        <v>209</v>
      </c>
      <c r="N24" s="16" t="s">
        <v>204</v>
      </c>
      <c r="O24" s="16" t="s">
        <v>60</v>
      </c>
      <c r="P24" s="16" t="s">
        <v>61</v>
      </c>
      <c r="Q24" s="16" t="s">
        <v>210</v>
      </c>
      <c r="R24" s="18">
        <v>45596</v>
      </c>
      <c r="S24" s="18">
        <v>46696</v>
      </c>
      <c r="T24" s="22">
        <v>4200000</v>
      </c>
      <c r="U24" s="16"/>
      <c r="V24" s="16"/>
      <c r="W24" s="23">
        <v>4200000</v>
      </c>
      <c r="X24" s="24">
        <v>1.5</v>
      </c>
      <c r="Y24" s="23">
        <v>63000</v>
      </c>
      <c r="Z24" s="16"/>
      <c r="AA24" s="16" t="s">
        <v>41</v>
      </c>
      <c r="AB24" s="16">
        <v>1141071545</v>
      </c>
      <c r="AC24" s="25">
        <v>45622</v>
      </c>
      <c r="AD24" s="26" t="s">
        <v>42</v>
      </c>
      <c r="AE24" s="26">
        <v>0</v>
      </c>
      <c r="AF24" s="16" t="s">
        <v>205</v>
      </c>
      <c r="AG24" s="33">
        <v>63000</v>
      </c>
      <c r="AH24" s="34">
        <f t="shared" si="0"/>
        <v>0</v>
      </c>
    </row>
    <row r="25" spans="1:34" x14ac:dyDescent="0.25">
      <c r="A25" s="16" t="s">
        <v>30</v>
      </c>
      <c r="B25" s="16" t="s">
        <v>211</v>
      </c>
      <c r="C25" s="17">
        <v>45566</v>
      </c>
      <c r="D25" s="16" t="s">
        <v>32</v>
      </c>
      <c r="E25" s="16" t="s">
        <v>212</v>
      </c>
      <c r="F25" s="18">
        <v>45590</v>
      </c>
      <c r="G25" s="18">
        <v>45590</v>
      </c>
      <c r="H25" s="19" t="s">
        <v>213</v>
      </c>
      <c r="I25" s="20">
        <v>3310015879093</v>
      </c>
      <c r="J25" s="21" t="s">
        <v>148</v>
      </c>
      <c r="K25" s="16" t="s">
        <v>214</v>
      </c>
      <c r="L25" s="16" t="s">
        <v>215</v>
      </c>
      <c r="M25" s="16" t="s">
        <v>216</v>
      </c>
      <c r="N25" s="16" t="s">
        <v>211</v>
      </c>
      <c r="O25" s="16" t="s">
        <v>60</v>
      </c>
      <c r="P25" s="16" t="s">
        <v>217</v>
      </c>
      <c r="Q25" s="16" t="s">
        <v>218</v>
      </c>
      <c r="R25" s="18">
        <v>45594</v>
      </c>
      <c r="S25" s="18">
        <v>46696</v>
      </c>
      <c r="T25" s="22">
        <v>3500000</v>
      </c>
      <c r="U25" s="16"/>
      <c r="V25" s="16"/>
      <c r="W25" s="23">
        <v>3500000</v>
      </c>
      <c r="X25" s="24">
        <v>1.5</v>
      </c>
      <c r="Y25" s="23">
        <v>52500</v>
      </c>
      <c r="Z25" s="16"/>
      <c r="AA25" s="16" t="s">
        <v>41</v>
      </c>
      <c r="AB25" s="16">
        <v>1141071545</v>
      </c>
      <c r="AC25" s="25">
        <v>45622</v>
      </c>
      <c r="AD25" s="26" t="s">
        <v>42</v>
      </c>
      <c r="AE25" s="26">
        <v>0</v>
      </c>
      <c r="AF25" s="16" t="s">
        <v>212</v>
      </c>
      <c r="AG25" s="33">
        <v>52500</v>
      </c>
      <c r="AH25" s="34">
        <f t="shared" si="0"/>
        <v>0</v>
      </c>
    </row>
    <row r="26" spans="1:34" x14ac:dyDescent="0.25">
      <c r="A26" s="16" t="s">
        <v>30</v>
      </c>
      <c r="B26" s="16" t="s">
        <v>219</v>
      </c>
      <c r="C26" s="17">
        <v>45566</v>
      </c>
      <c r="D26" s="16" t="s">
        <v>32</v>
      </c>
      <c r="E26" s="16" t="s">
        <v>220</v>
      </c>
      <c r="F26" s="18">
        <v>45590</v>
      </c>
      <c r="G26" s="18">
        <v>45590</v>
      </c>
      <c r="H26" s="19" t="s">
        <v>125</v>
      </c>
      <c r="I26" s="20">
        <v>3660151263187</v>
      </c>
      <c r="J26" s="21" t="s">
        <v>126</v>
      </c>
      <c r="K26" s="16" t="s">
        <v>221</v>
      </c>
      <c r="L26" s="16">
        <v>637570</v>
      </c>
      <c r="M26" s="16" t="s">
        <v>222</v>
      </c>
      <c r="N26" s="16" t="s">
        <v>219</v>
      </c>
      <c r="O26" s="16" t="s">
        <v>38</v>
      </c>
      <c r="P26" s="16" t="s">
        <v>39</v>
      </c>
      <c r="Q26" s="16" t="s">
        <v>129</v>
      </c>
      <c r="R26" s="18">
        <v>45596</v>
      </c>
      <c r="S26" s="18">
        <v>47063</v>
      </c>
      <c r="T26" s="22">
        <v>2150000</v>
      </c>
      <c r="U26" s="16"/>
      <c r="V26" s="16"/>
      <c r="W26" s="23">
        <v>2150000</v>
      </c>
      <c r="X26" s="24">
        <v>2</v>
      </c>
      <c r="Y26" s="23">
        <v>43000</v>
      </c>
      <c r="Z26" s="16"/>
      <c r="AA26" s="16" t="s">
        <v>41</v>
      </c>
      <c r="AB26" s="16">
        <v>1141071545</v>
      </c>
      <c r="AC26" s="25">
        <v>45622</v>
      </c>
      <c r="AD26" s="26" t="s">
        <v>42</v>
      </c>
      <c r="AE26" s="26">
        <v>0</v>
      </c>
      <c r="AF26" s="16" t="s">
        <v>220</v>
      </c>
      <c r="AG26" s="33">
        <v>43000</v>
      </c>
      <c r="AH26" s="34">
        <f t="shared" si="0"/>
        <v>0</v>
      </c>
    </row>
    <row r="27" spans="1:34" x14ac:dyDescent="0.25">
      <c r="A27" s="16" t="s">
        <v>30</v>
      </c>
      <c r="B27" s="16" t="s">
        <v>223</v>
      </c>
      <c r="C27" s="17">
        <v>45566</v>
      </c>
      <c r="D27" s="16" t="s">
        <v>32</v>
      </c>
      <c r="E27" s="16" t="s">
        <v>224</v>
      </c>
      <c r="F27" s="18">
        <v>45590</v>
      </c>
      <c r="G27" s="18">
        <v>45590</v>
      </c>
      <c r="H27" s="19" t="s">
        <v>225</v>
      </c>
      <c r="I27" s="20">
        <v>3310418487213</v>
      </c>
      <c r="J27" s="21" t="s">
        <v>177</v>
      </c>
      <c r="K27" s="16" t="s">
        <v>226</v>
      </c>
      <c r="L27" s="16" t="s">
        <v>227</v>
      </c>
      <c r="M27" s="16" t="s">
        <v>228</v>
      </c>
      <c r="N27" s="16" t="s">
        <v>223</v>
      </c>
      <c r="O27" s="16" t="s">
        <v>60</v>
      </c>
      <c r="P27" s="16" t="s">
        <v>217</v>
      </c>
      <c r="Q27" s="16" t="s">
        <v>229</v>
      </c>
      <c r="R27" s="18">
        <v>45594</v>
      </c>
      <c r="S27" s="18">
        <v>46696</v>
      </c>
      <c r="T27" s="22">
        <v>4500000</v>
      </c>
      <c r="U27" s="16"/>
      <c r="V27" s="16"/>
      <c r="W27" s="23">
        <v>4500000</v>
      </c>
      <c r="X27" s="24">
        <v>1.5</v>
      </c>
      <c r="Y27" s="23">
        <v>67500</v>
      </c>
      <c r="Z27" s="16"/>
      <c r="AA27" s="16" t="s">
        <v>41</v>
      </c>
      <c r="AB27" s="16">
        <v>1141071545</v>
      </c>
      <c r="AC27" s="25">
        <v>45622</v>
      </c>
      <c r="AD27" s="26" t="s">
        <v>42</v>
      </c>
      <c r="AE27" s="26">
        <v>0</v>
      </c>
      <c r="AF27" s="16" t="s">
        <v>224</v>
      </c>
      <c r="AG27" s="33">
        <v>67500</v>
      </c>
      <c r="AH27" s="34">
        <f t="shared" si="0"/>
        <v>0</v>
      </c>
    </row>
    <row r="28" spans="1:34" x14ac:dyDescent="0.25">
      <c r="A28" s="16" t="s">
        <v>30</v>
      </c>
      <c r="B28" s="16" t="s">
        <v>230</v>
      </c>
      <c r="C28" s="17">
        <v>45566</v>
      </c>
      <c r="D28" s="16" t="s">
        <v>32</v>
      </c>
      <c r="E28" s="16" t="s">
        <v>231</v>
      </c>
      <c r="F28" s="18">
        <v>45588</v>
      </c>
      <c r="G28" s="18">
        <v>45588</v>
      </c>
      <c r="H28" s="19" t="s">
        <v>232</v>
      </c>
      <c r="I28" s="20">
        <v>6110141122185</v>
      </c>
      <c r="J28" s="21" t="s">
        <v>233</v>
      </c>
      <c r="K28" s="16" t="s">
        <v>234</v>
      </c>
      <c r="L28" s="16">
        <v>756098</v>
      </c>
      <c r="M28" s="16" t="s">
        <v>235</v>
      </c>
      <c r="N28" s="16" t="s">
        <v>230</v>
      </c>
      <c r="O28" s="16" t="s">
        <v>38</v>
      </c>
      <c r="P28" s="16" t="s">
        <v>39</v>
      </c>
      <c r="Q28" s="16" t="s">
        <v>236</v>
      </c>
      <c r="R28" s="18">
        <v>45594</v>
      </c>
      <c r="S28" s="18">
        <v>47063</v>
      </c>
      <c r="T28" s="22">
        <v>1400000</v>
      </c>
      <c r="U28" s="16"/>
      <c r="V28" s="16"/>
      <c r="W28" s="23">
        <v>1400000</v>
      </c>
      <c r="X28" s="24">
        <v>2</v>
      </c>
      <c r="Y28" s="23">
        <v>28000</v>
      </c>
      <c r="Z28" s="16"/>
      <c r="AA28" s="16" t="s">
        <v>41</v>
      </c>
      <c r="AB28" s="16">
        <v>1141071545</v>
      </c>
      <c r="AC28" s="25">
        <v>45622</v>
      </c>
      <c r="AD28" s="26" t="s">
        <v>42</v>
      </c>
      <c r="AE28" s="26">
        <v>0</v>
      </c>
      <c r="AF28" s="16" t="s">
        <v>231</v>
      </c>
      <c r="AG28" s="33">
        <v>28000</v>
      </c>
      <c r="AH28" s="34">
        <f t="shared" si="0"/>
        <v>0</v>
      </c>
    </row>
    <row r="29" spans="1:34" x14ac:dyDescent="0.25">
      <c r="A29" s="16" t="s">
        <v>30</v>
      </c>
      <c r="B29" s="16" t="s">
        <v>237</v>
      </c>
      <c r="C29" s="17">
        <v>45566</v>
      </c>
      <c r="D29" s="16" t="s">
        <v>32</v>
      </c>
      <c r="E29" s="16" t="s">
        <v>238</v>
      </c>
      <c r="F29" s="18">
        <v>45587</v>
      </c>
      <c r="G29" s="18">
        <v>45587</v>
      </c>
      <c r="H29" s="19" t="s">
        <v>239</v>
      </c>
      <c r="I29" s="20">
        <v>3310242736081</v>
      </c>
      <c r="J29" s="21" t="s">
        <v>240</v>
      </c>
      <c r="K29" s="16" t="s">
        <v>241</v>
      </c>
      <c r="L29" s="16" t="s">
        <v>242</v>
      </c>
      <c r="M29" s="16" t="s">
        <v>243</v>
      </c>
      <c r="N29" s="16" t="s">
        <v>237</v>
      </c>
      <c r="O29" s="16" t="s">
        <v>60</v>
      </c>
      <c r="P29" s="16" t="s">
        <v>217</v>
      </c>
      <c r="Q29" s="16" t="s">
        <v>244</v>
      </c>
      <c r="R29" s="18">
        <v>45593</v>
      </c>
      <c r="S29" s="18">
        <v>46696</v>
      </c>
      <c r="T29" s="22">
        <v>4400000</v>
      </c>
      <c r="U29" s="16"/>
      <c r="V29" s="16"/>
      <c r="W29" s="23">
        <v>4400000</v>
      </c>
      <c r="X29" s="24">
        <v>1.5</v>
      </c>
      <c r="Y29" s="23">
        <v>66000</v>
      </c>
      <c r="Z29" s="16"/>
      <c r="AA29" s="16" t="s">
        <v>41</v>
      </c>
      <c r="AB29" s="16">
        <v>1141071545</v>
      </c>
      <c r="AC29" s="25">
        <v>45622</v>
      </c>
      <c r="AD29" s="26" t="s">
        <v>42</v>
      </c>
      <c r="AE29" s="26">
        <v>0</v>
      </c>
      <c r="AF29" s="16" t="s">
        <v>238</v>
      </c>
      <c r="AG29" s="33">
        <v>66000</v>
      </c>
      <c r="AH29" s="34">
        <f t="shared" si="0"/>
        <v>0</v>
      </c>
    </row>
    <row r="30" spans="1:34" x14ac:dyDescent="0.25">
      <c r="A30" s="16" t="s">
        <v>30</v>
      </c>
      <c r="B30" s="16" t="s">
        <v>245</v>
      </c>
      <c r="C30" s="17">
        <v>45566</v>
      </c>
      <c r="D30" s="16" t="s">
        <v>32</v>
      </c>
      <c r="E30" s="16" t="s">
        <v>246</v>
      </c>
      <c r="F30" s="18">
        <v>45587</v>
      </c>
      <c r="G30" s="18">
        <v>45587</v>
      </c>
      <c r="H30" s="19" t="s">
        <v>247</v>
      </c>
      <c r="I30" s="20">
        <v>3520198743205</v>
      </c>
      <c r="J30" s="21" t="s">
        <v>119</v>
      </c>
      <c r="K30" s="20" t="s">
        <v>74</v>
      </c>
      <c r="L30" s="16">
        <v>324746</v>
      </c>
      <c r="M30" s="16" t="s">
        <v>248</v>
      </c>
      <c r="N30" s="16" t="s">
        <v>245</v>
      </c>
      <c r="O30" s="16" t="s">
        <v>60</v>
      </c>
      <c r="P30" s="16" t="s">
        <v>249</v>
      </c>
      <c r="Q30" s="16" t="s">
        <v>250</v>
      </c>
      <c r="R30" s="18">
        <v>45597</v>
      </c>
      <c r="S30" s="18">
        <v>47427</v>
      </c>
      <c r="T30" s="22">
        <v>2707000</v>
      </c>
      <c r="U30" s="16"/>
      <c r="V30" s="16"/>
      <c r="W30" s="23">
        <v>2707000</v>
      </c>
      <c r="X30" s="24">
        <v>2</v>
      </c>
      <c r="Y30" s="23">
        <v>54140</v>
      </c>
      <c r="Z30" s="16"/>
      <c r="AA30" s="16" t="s">
        <v>41</v>
      </c>
      <c r="AB30" s="16">
        <v>1141071545</v>
      </c>
      <c r="AC30" s="25">
        <v>45622</v>
      </c>
      <c r="AD30" s="26" t="s">
        <v>42</v>
      </c>
      <c r="AE30" s="26">
        <v>0</v>
      </c>
      <c r="AF30" s="16" t="s">
        <v>246</v>
      </c>
      <c r="AG30" s="33">
        <v>54140</v>
      </c>
      <c r="AH30" s="34">
        <f t="shared" si="0"/>
        <v>0</v>
      </c>
    </row>
    <row r="31" spans="1:34" x14ac:dyDescent="0.25">
      <c r="A31" s="16" t="s">
        <v>30</v>
      </c>
      <c r="B31" s="16" t="s">
        <v>251</v>
      </c>
      <c r="C31" s="17">
        <v>45566</v>
      </c>
      <c r="D31" s="16" t="s">
        <v>32</v>
      </c>
      <c r="E31" s="16" t="s">
        <v>252</v>
      </c>
      <c r="F31" s="18">
        <v>45587</v>
      </c>
      <c r="G31" s="18">
        <v>45587</v>
      </c>
      <c r="H31" s="19" t="s">
        <v>253</v>
      </c>
      <c r="I31" s="20">
        <v>3310049923115</v>
      </c>
      <c r="J31" s="21" t="s">
        <v>254</v>
      </c>
      <c r="K31" s="16" t="s">
        <v>255</v>
      </c>
      <c r="L31" s="16" t="s">
        <v>256</v>
      </c>
      <c r="M31" s="16" t="s">
        <v>257</v>
      </c>
      <c r="N31" s="16" t="s">
        <v>251</v>
      </c>
      <c r="O31" s="16" t="s">
        <v>60</v>
      </c>
      <c r="P31" s="16" t="s">
        <v>217</v>
      </c>
      <c r="Q31" s="16" t="s">
        <v>258</v>
      </c>
      <c r="R31" s="18">
        <v>45589</v>
      </c>
      <c r="S31" s="18">
        <v>47063</v>
      </c>
      <c r="T31" s="22">
        <v>10500000</v>
      </c>
      <c r="U31" s="16"/>
      <c r="V31" s="16"/>
      <c r="W31" s="23">
        <v>10500000</v>
      </c>
      <c r="X31" s="24">
        <v>1.5</v>
      </c>
      <c r="Y31" s="23">
        <v>157500</v>
      </c>
      <c r="Z31" s="16"/>
      <c r="AA31" s="16" t="s">
        <v>41</v>
      </c>
      <c r="AB31" s="16">
        <v>1141071545</v>
      </c>
      <c r="AC31" s="25">
        <v>45622</v>
      </c>
      <c r="AD31" s="26" t="s">
        <v>42</v>
      </c>
      <c r="AE31" s="26">
        <v>0</v>
      </c>
      <c r="AF31" s="16" t="s">
        <v>252</v>
      </c>
      <c r="AG31" s="33">
        <v>157500</v>
      </c>
      <c r="AH31" s="34">
        <f t="shared" si="0"/>
        <v>0</v>
      </c>
    </row>
    <row r="32" spans="1:34" x14ac:dyDescent="0.25">
      <c r="A32" s="16" t="s">
        <v>30</v>
      </c>
      <c r="B32" s="16" t="s">
        <v>259</v>
      </c>
      <c r="C32" s="17">
        <v>45566</v>
      </c>
      <c r="D32" s="16" t="s">
        <v>32</v>
      </c>
      <c r="E32" s="16" t="s">
        <v>260</v>
      </c>
      <c r="F32" s="18">
        <v>45587</v>
      </c>
      <c r="G32" s="18">
        <v>45587</v>
      </c>
      <c r="H32" s="19" t="s">
        <v>261</v>
      </c>
      <c r="I32" s="20">
        <v>3520109166531</v>
      </c>
      <c r="J32" s="21" t="s">
        <v>262</v>
      </c>
      <c r="K32" s="20" t="s">
        <v>74</v>
      </c>
      <c r="L32" s="16">
        <v>393412</v>
      </c>
      <c r="M32" s="16" t="s">
        <v>263</v>
      </c>
      <c r="N32" s="16" t="s">
        <v>259</v>
      </c>
      <c r="O32" s="16" t="s">
        <v>38</v>
      </c>
      <c r="P32" s="16" t="s">
        <v>39</v>
      </c>
      <c r="Q32" s="16" t="s">
        <v>264</v>
      </c>
      <c r="R32" s="18">
        <v>45589</v>
      </c>
      <c r="S32" s="18">
        <v>46696</v>
      </c>
      <c r="T32" s="22">
        <v>1856000</v>
      </c>
      <c r="U32" s="16"/>
      <c r="V32" s="16"/>
      <c r="W32" s="23">
        <v>1856000</v>
      </c>
      <c r="X32" s="24">
        <v>2</v>
      </c>
      <c r="Y32" s="23">
        <v>37120</v>
      </c>
      <c r="Z32" s="16"/>
      <c r="AA32" s="16" t="s">
        <v>41</v>
      </c>
      <c r="AB32" s="16">
        <v>1141071545</v>
      </c>
      <c r="AC32" s="25">
        <v>45622</v>
      </c>
      <c r="AD32" s="26" t="s">
        <v>42</v>
      </c>
      <c r="AE32" s="26">
        <v>0</v>
      </c>
      <c r="AF32" s="16" t="s">
        <v>260</v>
      </c>
      <c r="AG32" s="33">
        <v>37120</v>
      </c>
      <c r="AH32" s="34">
        <f t="shared" si="0"/>
        <v>0</v>
      </c>
    </row>
    <row r="33" spans="1:34" x14ac:dyDescent="0.25">
      <c r="A33" s="16" t="s">
        <v>30</v>
      </c>
      <c r="B33" s="16" t="s">
        <v>265</v>
      </c>
      <c r="C33" s="17">
        <v>45566</v>
      </c>
      <c r="D33" s="16" t="s">
        <v>32</v>
      </c>
      <c r="E33" s="16" t="s">
        <v>266</v>
      </c>
      <c r="F33" s="18">
        <v>45586</v>
      </c>
      <c r="G33" s="18">
        <v>45586</v>
      </c>
      <c r="H33" s="19" t="s">
        <v>267</v>
      </c>
      <c r="I33" s="20">
        <v>3310019683673</v>
      </c>
      <c r="J33" s="21" t="s">
        <v>268</v>
      </c>
      <c r="K33" s="16" t="s">
        <v>269</v>
      </c>
      <c r="L33" s="16" t="s">
        <v>270</v>
      </c>
      <c r="M33" s="16" t="s">
        <v>271</v>
      </c>
      <c r="N33" s="16" t="s">
        <v>265</v>
      </c>
      <c r="O33" s="16" t="s">
        <v>60</v>
      </c>
      <c r="P33" s="16" t="s">
        <v>217</v>
      </c>
      <c r="Q33" s="16" t="s">
        <v>272</v>
      </c>
      <c r="R33" s="18">
        <v>45588</v>
      </c>
      <c r="S33" s="18">
        <v>46696</v>
      </c>
      <c r="T33" s="22">
        <v>1400000</v>
      </c>
      <c r="U33" s="16"/>
      <c r="V33" s="16"/>
      <c r="W33" s="23">
        <v>1400000</v>
      </c>
      <c r="X33" s="24">
        <v>2</v>
      </c>
      <c r="Y33" s="23">
        <v>28000</v>
      </c>
      <c r="Z33" s="16"/>
      <c r="AA33" s="16" t="s">
        <v>41</v>
      </c>
      <c r="AB33" s="16">
        <v>1141071545</v>
      </c>
      <c r="AC33" s="25">
        <v>45622</v>
      </c>
      <c r="AD33" s="26" t="s">
        <v>42</v>
      </c>
      <c r="AE33" s="26">
        <v>0</v>
      </c>
      <c r="AF33" s="16" t="s">
        <v>266</v>
      </c>
      <c r="AG33" s="33">
        <v>28000</v>
      </c>
      <c r="AH33" s="34">
        <f t="shared" si="0"/>
        <v>0</v>
      </c>
    </row>
    <row r="34" spans="1:34" x14ac:dyDescent="0.25">
      <c r="A34" s="16" t="s">
        <v>30</v>
      </c>
      <c r="B34" s="16" t="s">
        <v>273</v>
      </c>
      <c r="C34" s="17">
        <v>45566</v>
      </c>
      <c r="D34" s="16" t="s">
        <v>32</v>
      </c>
      <c r="E34" s="16" t="s">
        <v>274</v>
      </c>
      <c r="F34" s="18">
        <v>45583</v>
      </c>
      <c r="G34" s="18">
        <v>45583</v>
      </c>
      <c r="H34" s="19" t="s">
        <v>275</v>
      </c>
      <c r="I34" s="20">
        <v>3520290536175</v>
      </c>
      <c r="J34" s="21" t="s">
        <v>119</v>
      </c>
      <c r="K34" s="16" t="s">
        <v>276</v>
      </c>
      <c r="L34" s="16" t="s">
        <v>277</v>
      </c>
      <c r="M34" s="16" t="s">
        <v>278</v>
      </c>
      <c r="N34" s="16" t="s">
        <v>273</v>
      </c>
      <c r="O34" s="16" t="s">
        <v>60</v>
      </c>
      <c r="P34" s="16" t="s">
        <v>61</v>
      </c>
      <c r="Q34" s="16" t="s">
        <v>279</v>
      </c>
      <c r="R34" s="18">
        <v>45587</v>
      </c>
      <c r="S34" s="18">
        <v>47427</v>
      </c>
      <c r="T34" s="22">
        <v>2450000</v>
      </c>
      <c r="U34" s="16"/>
      <c r="V34" s="16"/>
      <c r="W34" s="23">
        <v>2450000</v>
      </c>
      <c r="X34" s="24">
        <v>2</v>
      </c>
      <c r="Y34" s="23">
        <v>49000</v>
      </c>
      <c r="Z34" s="16"/>
      <c r="AA34" s="16" t="s">
        <v>41</v>
      </c>
      <c r="AB34" s="16">
        <v>1141071545</v>
      </c>
      <c r="AC34" s="25">
        <v>45622</v>
      </c>
      <c r="AD34" s="26" t="s">
        <v>42</v>
      </c>
      <c r="AE34" s="26">
        <v>0</v>
      </c>
      <c r="AF34" s="16" t="s">
        <v>274</v>
      </c>
      <c r="AG34" s="33">
        <v>49000</v>
      </c>
      <c r="AH34" s="34">
        <f t="shared" si="0"/>
        <v>0</v>
      </c>
    </row>
    <row r="35" spans="1:34" x14ac:dyDescent="0.25">
      <c r="A35" s="16" t="s">
        <v>30</v>
      </c>
      <c r="B35" s="16" t="s">
        <v>280</v>
      </c>
      <c r="C35" s="17">
        <v>45566</v>
      </c>
      <c r="D35" s="16" t="s">
        <v>32</v>
      </c>
      <c r="E35" s="16" t="s">
        <v>281</v>
      </c>
      <c r="F35" s="18">
        <v>45583</v>
      </c>
      <c r="G35" s="18">
        <v>45583</v>
      </c>
      <c r="H35" s="19" t="s">
        <v>282</v>
      </c>
      <c r="I35" s="20">
        <v>4230121989345</v>
      </c>
      <c r="J35" s="21" t="s">
        <v>148</v>
      </c>
      <c r="K35" s="16" t="s">
        <v>283</v>
      </c>
      <c r="L35" s="16">
        <v>7531875</v>
      </c>
      <c r="M35" s="16" t="s">
        <v>284</v>
      </c>
      <c r="N35" s="16" t="s">
        <v>280</v>
      </c>
      <c r="O35" s="16" t="s">
        <v>60</v>
      </c>
      <c r="P35" s="16" t="s">
        <v>61</v>
      </c>
      <c r="Q35" s="16">
        <v>648575</v>
      </c>
      <c r="R35" s="18">
        <v>45588</v>
      </c>
      <c r="S35" s="18">
        <v>46696</v>
      </c>
      <c r="T35" s="22">
        <v>3600000</v>
      </c>
      <c r="U35" s="16"/>
      <c r="V35" s="16"/>
      <c r="W35" s="23">
        <v>3600000</v>
      </c>
      <c r="X35" s="24">
        <v>1.5</v>
      </c>
      <c r="Y35" s="23">
        <v>54000</v>
      </c>
      <c r="Z35" s="16"/>
      <c r="AA35" s="16" t="s">
        <v>41</v>
      </c>
      <c r="AB35" s="16">
        <v>1141071545</v>
      </c>
      <c r="AC35" s="25">
        <v>45622</v>
      </c>
      <c r="AD35" s="26" t="s">
        <v>42</v>
      </c>
      <c r="AE35" s="26">
        <v>0</v>
      </c>
      <c r="AF35" s="16" t="s">
        <v>281</v>
      </c>
      <c r="AG35" s="33">
        <v>54000</v>
      </c>
      <c r="AH35" s="34">
        <f t="shared" si="0"/>
        <v>0</v>
      </c>
    </row>
    <row r="36" spans="1:34" x14ac:dyDescent="0.25">
      <c r="A36" s="16" t="s">
        <v>30</v>
      </c>
      <c r="B36" s="16" t="s">
        <v>285</v>
      </c>
      <c r="C36" s="17">
        <v>45566</v>
      </c>
      <c r="D36" s="16" t="s">
        <v>32</v>
      </c>
      <c r="E36" s="16" t="s">
        <v>286</v>
      </c>
      <c r="F36" s="18">
        <v>45583</v>
      </c>
      <c r="G36" s="18">
        <v>45583</v>
      </c>
      <c r="H36" s="19" t="s">
        <v>287</v>
      </c>
      <c r="I36" s="20">
        <v>3520291735858</v>
      </c>
      <c r="J36" s="21" t="s">
        <v>288</v>
      </c>
      <c r="K36" s="16" t="s">
        <v>289</v>
      </c>
      <c r="L36" s="16">
        <v>153457</v>
      </c>
      <c r="M36" s="16" t="s">
        <v>290</v>
      </c>
      <c r="N36" s="16" t="s">
        <v>285</v>
      </c>
      <c r="O36" s="16" t="s">
        <v>60</v>
      </c>
      <c r="P36" s="16" t="s">
        <v>61</v>
      </c>
      <c r="Q36" s="16" t="s">
        <v>291</v>
      </c>
      <c r="R36" s="18">
        <v>45588</v>
      </c>
      <c r="S36" s="18">
        <v>47427</v>
      </c>
      <c r="T36" s="22">
        <v>2600000</v>
      </c>
      <c r="U36" s="16"/>
      <c r="V36" s="16"/>
      <c r="W36" s="23">
        <v>2600000</v>
      </c>
      <c r="X36" s="24">
        <v>2</v>
      </c>
      <c r="Y36" s="23">
        <v>52000</v>
      </c>
      <c r="Z36" s="16"/>
      <c r="AA36" s="16" t="s">
        <v>41</v>
      </c>
      <c r="AB36" s="16">
        <v>1141071545</v>
      </c>
      <c r="AC36" s="25">
        <v>45622</v>
      </c>
      <c r="AD36" s="26" t="s">
        <v>42</v>
      </c>
      <c r="AE36" s="26">
        <v>0</v>
      </c>
      <c r="AF36" s="16" t="s">
        <v>286</v>
      </c>
      <c r="AG36" s="33">
        <v>52000</v>
      </c>
      <c r="AH36" s="34">
        <f t="shared" si="0"/>
        <v>0</v>
      </c>
    </row>
    <row r="37" spans="1:34" x14ac:dyDescent="0.25">
      <c r="A37" s="16" t="s">
        <v>30</v>
      </c>
      <c r="B37" s="16" t="s">
        <v>292</v>
      </c>
      <c r="C37" s="17">
        <v>45566</v>
      </c>
      <c r="D37" s="16" t="s">
        <v>32</v>
      </c>
      <c r="E37" s="16" t="s">
        <v>293</v>
      </c>
      <c r="F37" s="18">
        <v>45583</v>
      </c>
      <c r="G37" s="18">
        <v>45583</v>
      </c>
      <c r="H37" s="19" t="s">
        <v>294</v>
      </c>
      <c r="I37" s="20">
        <v>3520155712061</v>
      </c>
      <c r="J37" s="21" t="s">
        <v>295</v>
      </c>
      <c r="K37" s="16" t="s">
        <v>296</v>
      </c>
      <c r="L37" s="16" t="s">
        <v>297</v>
      </c>
      <c r="M37" s="16" t="s">
        <v>298</v>
      </c>
      <c r="N37" s="16" t="s">
        <v>292</v>
      </c>
      <c r="O37" s="16" t="s">
        <v>60</v>
      </c>
      <c r="P37" s="16" t="s">
        <v>61</v>
      </c>
      <c r="Q37" s="16" t="s">
        <v>299</v>
      </c>
      <c r="R37" s="18">
        <v>45587</v>
      </c>
      <c r="S37" s="18">
        <v>47427</v>
      </c>
      <c r="T37" s="22">
        <v>2200000</v>
      </c>
      <c r="U37" s="16"/>
      <c r="V37" s="16"/>
      <c r="W37" s="23">
        <v>2200000</v>
      </c>
      <c r="X37" s="24">
        <v>2</v>
      </c>
      <c r="Y37" s="23">
        <v>44000</v>
      </c>
      <c r="Z37" s="16"/>
      <c r="AA37" s="16" t="s">
        <v>41</v>
      </c>
      <c r="AB37" s="16">
        <v>1141071545</v>
      </c>
      <c r="AC37" s="25">
        <v>45622</v>
      </c>
      <c r="AD37" s="26" t="s">
        <v>42</v>
      </c>
      <c r="AE37" s="26">
        <v>0</v>
      </c>
      <c r="AF37" s="16" t="s">
        <v>293</v>
      </c>
      <c r="AG37" s="33">
        <v>44000</v>
      </c>
      <c r="AH37" s="34">
        <f t="shared" si="0"/>
        <v>0</v>
      </c>
    </row>
    <row r="38" spans="1:34" x14ac:dyDescent="0.25">
      <c r="A38" s="16" t="s">
        <v>30</v>
      </c>
      <c r="B38" s="16" t="s">
        <v>300</v>
      </c>
      <c r="C38" s="17">
        <v>45566</v>
      </c>
      <c r="D38" s="16" t="s">
        <v>32</v>
      </c>
      <c r="E38" s="16" t="s">
        <v>301</v>
      </c>
      <c r="F38" s="18">
        <v>45581</v>
      </c>
      <c r="G38" s="18">
        <v>45581</v>
      </c>
      <c r="H38" s="19" t="s">
        <v>302</v>
      </c>
      <c r="I38" s="20">
        <v>3410195731381</v>
      </c>
      <c r="J38" s="21" t="s">
        <v>303</v>
      </c>
      <c r="K38" s="16" t="s">
        <v>304</v>
      </c>
      <c r="L38" s="16" t="s">
        <v>305</v>
      </c>
      <c r="M38" s="16" t="s">
        <v>306</v>
      </c>
      <c r="N38" s="16" t="s">
        <v>300</v>
      </c>
      <c r="O38" s="16" t="s">
        <v>60</v>
      </c>
      <c r="P38" s="16" t="s">
        <v>61</v>
      </c>
      <c r="Q38" s="16" t="s">
        <v>307</v>
      </c>
      <c r="R38" s="18">
        <v>45586</v>
      </c>
      <c r="S38" s="18">
        <v>46696</v>
      </c>
      <c r="T38" s="22">
        <v>6000000</v>
      </c>
      <c r="U38" s="16"/>
      <c r="V38" s="16"/>
      <c r="W38" s="23">
        <v>6000000</v>
      </c>
      <c r="X38" s="24">
        <v>1.5</v>
      </c>
      <c r="Y38" s="23">
        <v>90000</v>
      </c>
      <c r="Z38" s="16"/>
      <c r="AA38" s="16" t="s">
        <v>41</v>
      </c>
      <c r="AB38" s="16">
        <v>1141071545</v>
      </c>
      <c r="AC38" s="25">
        <v>45622</v>
      </c>
      <c r="AD38" s="26" t="s">
        <v>42</v>
      </c>
      <c r="AE38" s="26">
        <v>0</v>
      </c>
      <c r="AF38" s="16" t="s">
        <v>301</v>
      </c>
      <c r="AG38" s="33">
        <v>90000</v>
      </c>
      <c r="AH38" s="34">
        <f t="shared" si="0"/>
        <v>0</v>
      </c>
    </row>
    <row r="39" spans="1:34" x14ac:dyDescent="0.25">
      <c r="A39" s="16" t="s">
        <v>30</v>
      </c>
      <c r="B39" s="16" t="s">
        <v>308</v>
      </c>
      <c r="C39" s="17">
        <v>45566</v>
      </c>
      <c r="D39" s="16" t="s">
        <v>32</v>
      </c>
      <c r="E39" s="16" t="s">
        <v>309</v>
      </c>
      <c r="F39" s="18">
        <v>45581</v>
      </c>
      <c r="G39" s="18">
        <v>45581</v>
      </c>
      <c r="H39" s="19" t="s">
        <v>310</v>
      </c>
      <c r="I39" s="20">
        <v>3520230627787</v>
      </c>
      <c r="J39" s="21" t="s">
        <v>311</v>
      </c>
      <c r="K39" s="20" t="s">
        <v>74</v>
      </c>
      <c r="L39" s="16">
        <v>1027377</v>
      </c>
      <c r="M39" s="16" t="s">
        <v>312</v>
      </c>
      <c r="N39" s="16" t="s">
        <v>308</v>
      </c>
      <c r="O39" s="16" t="s">
        <v>60</v>
      </c>
      <c r="P39" s="16" t="s">
        <v>61</v>
      </c>
      <c r="Q39" s="16" t="s">
        <v>313</v>
      </c>
      <c r="R39" s="18">
        <v>45587</v>
      </c>
      <c r="S39" s="18">
        <v>46696</v>
      </c>
      <c r="T39" s="22">
        <v>4719000</v>
      </c>
      <c r="U39" s="16"/>
      <c r="V39" s="16"/>
      <c r="W39" s="23">
        <v>4719000</v>
      </c>
      <c r="X39" s="24">
        <v>1.5</v>
      </c>
      <c r="Y39" s="23">
        <v>70785</v>
      </c>
      <c r="Z39" s="16"/>
      <c r="AA39" s="16" t="s">
        <v>41</v>
      </c>
      <c r="AB39" s="16">
        <v>1141071545</v>
      </c>
      <c r="AC39" s="25">
        <v>45622</v>
      </c>
      <c r="AD39" s="26" t="s">
        <v>42</v>
      </c>
      <c r="AE39" s="26">
        <v>0</v>
      </c>
      <c r="AF39" s="16" t="s">
        <v>309</v>
      </c>
      <c r="AG39" s="33">
        <v>70785</v>
      </c>
      <c r="AH39" s="34">
        <f t="shared" si="0"/>
        <v>0</v>
      </c>
    </row>
    <row r="40" spans="1:34" x14ac:dyDescent="0.25">
      <c r="A40" s="16" t="s">
        <v>30</v>
      </c>
      <c r="B40" s="16" t="s">
        <v>314</v>
      </c>
      <c r="C40" s="17">
        <v>45566</v>
      </c>
      <c r="D40" s="16" t="s">
        <v>32</v>
      </c>
      <c r="E40" s="16" t="s">
        <v>315</v>
      </c>
      <c r="F40" s="18">
        <v>45579</v>
      </c>
      <c r="G40" s="18">
        <v>45579</v>
      </c>
      <c r="H40" s="19" t="s">
        <v>316</v>
      </c>
      <c r="I40" s="20">
        <v>3410166298665</v>
      </c>
      <c r="J40" s="21" t="s">
        <v>317</v>
      </c>
      <c r="K40" s="16" t="s">
        <v>318</v>
      </c>
      <c r="L40" s="16">
        <v>500489</v>
      </c>
      <c r="M40" s="16" t="s">
        <v>319</v>
      </c>
      <c r="N40" s="16" t="s">
        <v>314</v>
      </c>
      <c r="O40" s="16" t="s">
        <v>60</v>
      </c>
      <c r="P40" s="16" t="s">
        <v>320</v>
      </c>
      <c r="Q40" s="16" t="s">
        <v>321</v>
      </c>
      <c r="R40" s="18">
        <v>45580</v>
      </c>
      <c r="S40" s="18">
        <v>47396</v>
      </c>
      <c r="T40" s="22">
        <v>2200000</v>
      </c>
      <c r="U40" s="16"/>
      <c r="V40" s="16"/>
      <c r="W40" s="23">
        <v>2200000</v>
      </c>
      <c r="X40" s="24">
        <v>2</v>
      </c>
      <c r="Y40" s="23">
        <v>44000</v>
      </c>
      <c r="Z40" s="16"/>
      <c r="AA40" s="16" t="s">
        <v>41</v>
      </c>
      <c r="AB40" s="16">
        <v>1141071545</v>
      </c>
      <c r="AC40" s="25">
        <v>45622</v>
      </c>
      <c r="AD40" s="26" t="s">
        <v>42</v>
      </c>
      <c r="AE40" s="26">
        <v>10</v>
      </c>
      <c r="AF40" s="16" t="s">
        <v>315</v>
      </c>
      <c r="AG40" s="33">
        <v>44000</v>
      </c>
      <c r="AH40" s="34">
        <f t="shared" si="0"/>
        <v>0</v>
      </c>
    </row>
    <row r="41" spans="1:34" x14ac:dyDescent="0.25">
      <c r="A41" s="16" t="s">
        <v>30</v>
      </c>
      <c r="B41" s="16" t="s">
        <v>322</v>
      </c>
      <c r="C41" s="17">
        <v>45566</v>
      </c>
      <c r="D41" s="16" t="s">
        <v>32</v>
      </c>
      <c r="E41" s="16" t="s">
        <v>323</v>
      </c>
      <c r="F41" s="18">
        <v>45579</v>
      </c>
      <c r="G41" s="18">
        <v>45579</v>
      </c>
      <c r="H41" s="19" t="s">
        <v>324</v>
      </c>
      <c r="I41" s="20">
        <v>3310069338349</v>
      </c>
      <c r="J41" s="21" t="s">
        <v>73</v>
      </c>
      <c r="K41" s="20" t="s">
        <v>74</v>
      </c>
      <c r="L41" s="16" t="s">
        <v>325</v>
      </c>
      <c r="M41" s="16" t="s">
        <v>326</v>
      </c>
      <c r="N41" s="16" t="s">
        <v>322</v>
      </c>
      <c r="O41" s="16" t="s">
        <v>60</v>
      </c>
      <c r="P41" s="16" t="s">
        <v>217</v>
      </c>
      <c r="Q41" s="16" t="s">
        <v>327</v>
      </c>
      <c r="R41" s="18">
        <v>45587</v>
      </c>
      <c r="S41" s="18">
        <v>46696</v>
      </c>
      <c r="T41" s="22">
        <v>4549000</v>
      </c>
      <c r="U41" s="16"/>
      <c r="V41" s="16"/>
      <c r="W41" s="23">
        <v>4549000</v>
      </c>
      <c r="X41" s="24">
        <v>1.5</v>
      </c>
      <c r="Y41" s="23">
        <v>68235</v>
      </c>
      <c r="Z41" s="16"/>
      <c r="AA41" s="16" t="s">
        <v>41</v>
      </c>
      <c r="AB41" s="16">
        <v>1141071545</v>
      </c>
      <c r="AC41" s="25">
        <v>45622</v>
      </c>
      <c r="AD41" s="26" t="s">
        <v>42</v>
      </c>
      <c r="AE41" s="26">
        <v>0</v>
      </c>
      <c r="AF41" s="16" t="s">
        <v>323</v>
      </c>
      <c r="AG41" s="33">
        <v>68235</v>
      </c>
      <c r="AH41" s="34">
        <f t="shared" si="0"/>
        <v>0</v>
      </c>
    </row>
    <row r="42" spans="1:34" x14ac:dyDescent="0.25">
      <c r="A42" s="16" t="s">
        <v>30</v>
      </c>
      <c r="B42" s="16" t="s">
        <v>328</v>
      </c>
      <c r="C42" s="17">
        <v>45566</v>
      </c>
      <c r="D42" s="16" t="s">
        <v>32</v>
      </c>
      <c r="E42" s="16" t="s">
        <v>329</v>
      </c>
      <c r="F42" s="18">
        <v>45579</v>
      </c>
      <c r="G42" s="18">
        <v>45579</v>
      </c>
      <c r="H42" s="19" t="s">
        <v>330</v>
      </c>
      <c r="I42" s="20">
        <v>3640173840977</v>
      </c>
      <c r="J42" s="21" t="s">
        <v>331</v>
      </c>
      <c r="K42" s="16" t="s">
        <v>332</v>
      </c>
      <c r="L42" s="16">
        <v>1010504</v>
      </c>
      <c r="M42" s="16" t="s">
        <v>333</v>
      </c>
      <c r="N42" s="16" t="s">
        <v>328</v>
      </c>
      <c r="O42" s="16" t="s">
        <v>60</v>
      </c>
      <c r="P42" s="16" t="s">
        <v>61</v>
      </c>
      <c r="Q42" s="16" t="s">
        <v>334</v>
      </c>
      <c r="R42" s="18">
        <v>45581</v>
      </c>
      <c r="S42" s="18">
        <v>46696</v>
      </c>
      <c r="T42" s="22">
        <v>4450000</v>
      </c>
      <c r="U42" s="16"/>
      <c r="V42" s="16"/>
      <c r="W42" s="23">
        <v>4450000</v>
      </c>
      <c r="X42" s="24">
        <v>1.5</v>
      </c>
      <c r="Y42" s="23">
        <v>66750</v>
      </c>
      <c r="Z42" s="16"/>
      <c r="AA42" s="16" t="s">
        <v>41</v>
      </c>
      <c r="AB42" s="16">
        <v>1141071545</v>
      </c>
      <c r="AC42" s="25">
        <v>45622</v>
      </c>
      <c r="AD42" s="26" t="s">
        <v>42</v>
      </c>
      <c r="AE42" s="26">
        <v>0</v>
      </c>
      <c r="AF42" s="16" t="s">
        <v>329</v>
      </c>
      <c r="AG42" s="33">
        <v>66750</v>
      </c>
      <c r="AH42" s="34">
        <f t="shared" si="0"/>
        <v>0</v>
      </c>
    </row>
    <row r="43" spans="1:34" x14ac:dyDescent="0.25">
      <c r="A43" s="16" t="s">
        <v>30</v>
      </c>
      <c r="B43" s="16" t="s">
        <v>335</v>
      </c>
      <c r="C43" s="17">
        <v>45566</v>
      </c>
      <c r="D43" s="16" t="s">
        <v>32</v>
      </c>
      <c r="E43" s="16" t="s">
        <v>336</v>
      </c>
      <c r="F43" s="18">
        <v>45579</v>
      </c>
      <c r="G43" s="18">
        <v>45579</v>
      </c>
      <c r="H43" s="19" t="s">
        <v>337</v>
      </c>
      <c r="I43" s="20">
        <v>3310035648261</v>
      </c>
      <c r="J43" s="21" t="s">
        <v>338</v>
      </c>
      <c r="K43" s="20" t="s">
        <v>74</v>
      </c>
      <c r="L43" s="16" t="s">
        <v>339</v>
      </c>
      <c r="M43" s="16" t="s">
        <v>340</v>
      </c>
      <c r="N43" s="16" t="s">
        <v>335</v>
      </c>
      <c r="O43" s="16" t="s">
        <v>60</v>
      </c>
      <c r="P43" s="16" t="s">
        <v>217</v>
      </c>
      <c r="Q43" s="16" t="s">
        <v>341</v>
      </c>
      <c r="R43" s="18">
        <v>45582</v>
      </c>
      <c r="S43" s="18">
        <v>46696</v>
      </c>
      <c r="T43" s="22">
        <v>8899000</v>
      </c>
      <c r="U43" s="16"/>
      <c r="V43" s="16"/>
      <c r="W43" s="23">
        <v>8899000</v>
      </c>
      <c r="X43" s="24">
        <v>1.5</v>
      </c>
      <c r="Y43" s="23">
        <v>133485</v>
      </c>
      <c r="Z43" s="16"/>
      <c r="AA43" s="16" t="s">
        <v>41</v>
      </c>
      <c r="AB43" s="16">
        <v>1141071545</v>
      </c>
      <c r="AC43" s="25">
        <v>45622</v>
      </c>
      <c r="AD43" s="26" t="s">
        <v>42</v>
      </c>
      <c r="AE43" s="26">
        <v>0</v>
      </c>
      <c r="AF43" s="16" t="s">
        <v>336</v>
      </c>
      <c r="AG43" s="33">
        <v>133485</v>
      </c>
      <c r="AH43" s="34">
        <f t="shared" si="0"/>
        <v>0</v>
      </c>
    </row>
    <row r="44" spans="1:34" x14ac:dyDescent="0.25">
      <c r="A44" s="16" t="s">
        <v>30</v>
      </c>
      <c r="B44" s="16" t="s">
        <v>342</v>
      </c>
      <c r="C44" s="17">
        <v>45566</v>
      </c>
      <c r="D44" s="16" t="s">
        <v>32</v>
      </c>
      <c r="E44" s="16" t="s">
        <v>343</v>
      </c>
      <c r="F44" s="18">
        <v>45576</v>
      </c>
      <c r="G44" s="18">
        <v>45576</v>
      </c>
      <c r="H44" s="19" t="s">
        <v>344</v>
      </c>
      <c r="I44" s="20">
        <v>3520273429771</v>
      </c>
      <c r="J44" s="21" t="s">
        <v>345</v>
      </c>
      <c r="K44" s="16" t="s">
        <v>346</v>
      </c>
      <c r="L44" s="16">
        <v>12922308</v>
      </c>
      <c r="M44" s="16" t="s">
        <v>347</v>
      </c>
      <c r="N44" s="16" t="s">
        <v>342</v>
      </c>
      <c r="O44" s="16" t="s">
        <v>60</v>
      </c>
      <c r="P44" s="16" t="s">
        <v>61</v>
      </c>
      <c r="Q44" s="16" t="s">
        <v>348</v>
      </c>
      <c r="R44" s="18">
        <v>45579</v>
      </c>
      <c r="S44" s="18">
        <v>46665</v>
      </c>
      <c r="T44" s="22">
        <v>4700000</v>
      </c>
      <c r="U44" s="16"/>
      <c r="V44" s="16"/>
      <c r="W44" s="23">
        <v>4700000</v>
      </c>
      <c r="X44" s="24">
        <v>1.5</v>
      </c>
      <c r="Y44" s="23">
        <v>70500</v>
      </c>
      <c r="Z44" s="16"/>
      <c r="AA44" s="16" t="s">
        <v>41</v>
      </c>
      <c r="AB44" s="16">
        <v>1141071545</v>
      </c>
      <c r="AC44" s="25">
        <v>45622</v>
      </c>
      <c r="AD44" s="26" t="s">
        <v>42</v>
      </c>
      <c r="AE44" s="26">
        <v>0</v>
      </c>
      <c r="AF44" s="16" t="s">
        <v>343</v>
      </c>
      <c r="AG44" s="33">
        <v>70500</v>
      </c>
      <c r="AH44" s="34">
        <f t="shared" si="0"/>
        <v>0</v>
      </c>
    </row>
    <row r="45" spans="1:34" x14ac:dyDescent="0.25">
      <c r="A45" s="16" t="s">
        <v>30</v>
      </c>
      <c r="B45" s="16" t="s">
        <v>349</v>
      </c>
      <c r="C45" s="17">
        <v>45566</v>
      </c>
      <c r="D45" s="16" t="s">
        <v>32</v>
      </c>
      <c r="E45" s="16" t="s">
        <v>350</v>
      </c>
      <c r="F45" s="18">
        <v>45574</v>
      </c>
      <c r="G45" s="18">
        <v>45573</v>
      </c>
      <c r="H45" s="19" t="s">
        <v>351</v>
      </c>
      <c r="I45" s="20">
        <v>4250186755687</v>
      </c>
      <c r="J45" s="21" t="s">
        <v>352</v>
      </c>
      <c r="K45" s="16" t="s">
        <v>353</v>
      </c>
      <c r="L45" s="16">
        <v>35484</v>
      </c>
      <c r="M45" s="16" t="s">
        <v>354</v>
      </c>
      <c r="N45" s="16" t="s">
        <v>349</v>
      </c>
      <c r="O45" s="16" t="s">
        <v>50</v>
      </c>
      <c r="P45" s="16" t="s">
        <v>106</v>
      </c>
      <c r="Q45" s="16" t="s">
        <v>355</v>
      </c>
      <c r="R45" s="18">
        <v>45581</v>
      </c>
      <c r="S45" s="18">
        <v>46696</v>
      </c>
      <c r="T45" s="22">
        <v>4275000</v>
      </c>
      <c r="U45" s="16"/>
      <c r="V45" s="16"/>
      <c r="W45" s="23">
        <v>4275000</v>
      </c>
      <c r="X45" s="24">
        <v>1.5</v>
      </c>
      <c r="Y45" s="23">
        <v>64125</v>
      </c>
      <c r="Z45" s="16"/>
      <c r="AA45" s="16" t="s">
        <v>41</v>
      </c>
      <c r="AB45" s="16">
        <v>1141071545</v>
      </c>
      <c r="AC45" s="25">
        <v>45622</v>
      </c>
      <c r="AD45" s="26" t="s">
        <v>42</v>
      </c>
      <c r="AE45" s="26">
        <v>0</v>
      </c>
      <c r="AF45" s="16" t="s">
        <v>350</v>
      </c>
      <c r="AG45" s="33">
        <v>64125</v>
      </c>
      <c r="AH45" s="34">
        <f t="shared" si="0"/>
        <v>0</v>
      </c>
    </row>
    <row r="46" spans="1:34" x14ac:dyDescent="0.25">
      <c r="A46" s="16" t="s">
        <v>30</v>
      </c>
      <c r="B46" s="16" t="s">
        <v>356</v>
      </c>
      <c r="C46" s="17">
        <v>45566</v>
      </c>
      <c r="D46" s="16" t="s">
        <v>32</v>
      </c>
      <c r="E46" s="16" t="s">
        <v>357</v>
      </c>
      <c r="F46" s="18">
        <v>45573</v>
      </c>
      <c r="G46" s="18">
        <v>45573</v>
      </c>
      <c r="H46" s="19" t="s">
        <v>358</v>
      </c>
      <c r="I46" s="20">
        <v>3520282667891</v>
      </c>
      <c r="J46" s="21" t="s">
        <v>185</v>
      </c>
      <c r="K46" s="20" t="s">
        <v>74</v>
      </c>
      <c r="L46" s="16" t="s">
        <v>359</v>
      </c>
      <c r="M46" s="16" t="s">
        <v>360</v>
      </c>
      <c r="N46" s="16" t="s">
        <v>356</v>
      </c>
      <c r="O46" s="16" t="s">
        <v>60</v>
      </c>
      <c r="P46" s="16" t="s">
        <v>61</v>
      </c>
      <c r="Q46" s="16" t="s">
        <v>361</v>
      </c>
      <c r="R46" s="18">
        <v>45580</v>
      </c>
      <c r="S46" s="18">
        <v>46665</v>
      </c>
      <c r="T46" s="22">
        <v>3045000</v>
      </c>
      <c r="U46" s="16"/>
      <c r="V46" s="16"/>
      <c r="W46" s="23">
        <v>3045000</v>
      </c>
      <c r="X46" s="24">
        <v>2</v>
      </c>
      <c r="Y46" s="23">
        <v>60900</v>
      </c>
      <c r="Z46" s="16"/>
      <c r="AA46" s="16" t="s">
        <v>41</v>
      </c>
      <c r="AB46" s="16">
        <v>1141071545</v>
      </c>
      <c r="AC46" s="25">
        <v>45622</v>
      </c>
      <c r="AD46" s="26" t="s">
        <v>42</v>
      </c>
      <c r="AE46" s="26">
        <v>0</v>
      </c>
      <c r="AF46" s="16" t="s">
        <v>357</v>
      </c>
      <c r="AG46" s="33">
        <v>60900</v>
      </c>
      <c r="AH46" s="34">
        <f t="shared" si="0"/>
        <v>0</v>
      </c>
    </row>
    <row r="47" spans="1:34" x14ac:dyDescent="0.25">
      <c r="A47" s="16" t="s">
        <v>30</v>
      </c>
      <c r="B47" s="16" t="s">
        <v>362</v>
      </c>
      <c r="C47" s="17">
        <v>45566</v>
      </c>
      <c r="D47" s="16" t="s">
        <v>32</v>
      </c>
      <c r="E47" s="16" t="s">
        <v>363</v>
      </c>
      <c r="F47" s="18">
        <v>45572</v>
      </c>
      <c r="G47" s="18">
        <v>45572</v>
      </c>
      <c r="H47" s="19" t="s">
        <v>364</v>
      </c>
      <c r="I47" s="20">
        <v>3520269041399</v>
      </c>
      <c r="J47" s="21" t="s">
        <v>95</v>
      </c>
      <c r="K47" s="16" t="s">
        <v>365</v>
      </c>
      <c r="L47" s="16">
        <v>195205</v>
      </c>
      <c r="M47" s="16" t="s">
        <v>366</v>
      </c>
      <c r="N47" s="16" t="s">
        <v>362</v>
      </c>
      <c r="O47" s="16" t="s">
        <v>60</v>
      </c>
      <c r="P47" s="16" t="s">
        <v>61</v>
      </c>
      <c r="Q47" s="16" t="s">
        <v>367</v>
      </c>
      <c r="R47" s="18">
        <v>45575</v>
      </c>
      <c r="S47" s="18">
        <v>47396</v>
      </c>
      <c r="T47" s="22">
        <v>2250000</v>
      </c>
      <c r="U47" s="16"/>
      <c r="V47" s="16"/>
      <c r="W47" s="23">
        <v>2250000</v>
      </c>
      <c r="X47" s="24">
        <v>2</v>
      </c>
      <c r="Y47" s="23">
        <v>45000</v>
      </c>
      <c r="Z47" s="16"/>
      <c r="AA47" s="16" t="s">
        <v>41</v>
      </c>
      <c r="AB47" s="16">
        <v>1141071545</v>
      </c>
      <c r="AC47" s="25">
        <v>45622</v>
      </c>
      <c r="AD47" s="26" t="s">
        <v>42</v>
      </c>
      <c r="AE47" s="26">
        <v>0</v>
      </c>
      <c r="AF47" s="16" t="s">
        <v>363</v>
      </c>
      <c r="AG47" s="33">
        <v>45000</v>
      </c>
      <c r="AH47" s="34">
        <f t="shared" si="0"/>
        <v>0</v>
      </c>
    </row>
    <row r="48" spans="1:34" x14ac:dyDescent="0.25">
      <c r="A48" s="16" t="s">
        <v>30</v>
      </c>
      <c r="B48" s="16" t="s">
        <v>368</v>
      </c>
      <c r="C48" s="17">
        <v>45566</v>
      </c>
      <c r="D48" s="16" t="s">
        <v>32</v>
      </c>
      <c r="E48" s="16" t="s">
        <v>369</v>
      </c>
      <c r="F48" s="18">
        <v>45569</v>
      </c>
      <c r="G48" s="18">
        <v>45569</v>
      </c>
      <c r="H48" s="19" t="s">
        <v>370</v>
      </c>
      <c r="I48" s="20">
        <v>3650155855683</v>
      </c>
      <c r="J48" s="21" t="s">
        <v>371</v>
      </c>
      <c r="K48" s="20" t="s">
        <v>74</v>
      </c>
      <c r="L48" s="16">
        <v>1022683</v>
      </c>
      <c r="M48" s="16" t="s">
        <v>372</v>
      </c>
      <c r="N48" s="16" t="s">
        <v>368</v>
      </c>
      <c r="O48" s="16" t="s">
        <v>60</v>
      </c>
      <c r="P48" s="16" t="s">
        <v>61</v>
      </c>
      <c r="Q48" s="16" t="s">
        <v>373</v>
      </c>
      <c r="R48" s="18">
        <v>45569</v>
      </c>
      <c r="S48" s="18">
        <v>46300</v>
      </c>
      <c r="T48" s="22">
        <v>4719000</v>
      </c>
      <c r="U48" s="16"/>
      <c r="V48" s="16"/>
      <c r="W48" s="23">
        <v>4719000</v>
      </c>
      <c r="X48" s="24">
        <v>1.5</v>
      </c>
      <c r="Y48" s="23">
        <v>70785</v>
      </c>
      <c r="Z48" s="16"/>
      <c r="AA48" s="16" t="s">
        <v>41</v>
      </c>
      <c r="AB48" s="16">
        <v>1141071545</v>
      </c>
      <c r="AC48" s="25">
        <v>45622</v>
      </c>
      <c r="AD48" s="26" t="s">
        <v>42</v>
      </c>
      <c r="AE48" s="26">
        <v>10</v>
      </c>
      <c r="AF48" s="16" t="s">
        <v>369</v>
      </c>
      <c r="AG48" s="33">
        <v>70785</v>
      </c>
      <c r="AH48" s="34">
        <f t="shared" si="0"/>
        <v>0</v>
      </c>
    </row>
    <row r="49" spans="1:34" x14ac:dyDescent="0.25">
      <c r="A49" s="16" t="s">
        <v>30</v>
      </c>
      <c r="B49" s="16" t="s">
        <v>374</v>
      </c>
      <c r="C49" s="17">
        <v>45566</v>
      </c>
      <c r="D49" s="16" t="s">
        <v>32</v>
      </c>
      <c r="E49" s="16" t="s">
        <v>375</v>
      </c>
      <c r="F49" s="18">
        <v>45568</v>
      </c>
      <c r="G49" s="18">
        <v>45568</v>
      </c>
      <c r="H49" s="19" t="s">
        <v>376</v>
      </c>
      <c r="I49" s="20">
        <v>3520101349499</v>
      </c>
      <c r="J49" s="21" t="s">
        <v>177</v>
      </c>
      <c r="K49" s="16" t="s">
        <v>377</v>
      </c>
      <c r="L49" s="16" t="s">
        <v>378</v>
      </c>
      <c r="M49" s="16" t="s">
        <v>379</v>
      </c>
      <c r="N49" s="16" t="s">
        <v>374</v>
      </c>
      <c r="O49" s="16" t="s">
        <v>60</v>
      </c>
      <c r="P49" s="16" t="s">
        <v>61</v>
      </c>
      <c r="Q49" s="16" t="s">
        <v>380</v>
      </c>
      <c r="R49" s="18">
        <v>45569</v>
      </c>
      <c r="S49" s="18">
        <v>46665</v>
      </c>
      <c r="T49" s="22">
        <v>7631000</v>
      </c>
      <c r="U49" s="16"/>
      <c r="V49" s="16"/>
      <c r="W49" s="23">
        <v>7631000</v>
      </c>
      <c r="X49" s="24">
        <v>1.5</v>
      </c>
      <c r="Y49" s="23">
        <v>114465</v>
      </c>
      <c r="Z49" s="16"/>
      <c r="AA49" s="16" t="s">
        <v>41</v>
      </c>
      <c r="AB49" s="16">
        <v>1141071545</v>
      </c>
      <c r="AC49" s="25">
        <v>45622</v>
      </c>
      <c r="AD49" s="26" t="s">
        <v>42</v>
      </c>
      <c r="AE49" s="26">
        <v>0</v>
      </c>
      <c r="AF49" s="16" t="s">
        <v>375</v>
      </c>
      <c r="AG49" s="33">
        <v>114465</v>
      </c>
      <c r="AH49" s="34">
        <f t="shared" si="0"/>
        <v>0</v>
      </c>
    </row>
    <row r="50" spans="1:34" x14ac:dyDescent="0.25">
      <c r="A50" s="16" t="s">
        <v>30</v>
      </c>
      <c r="B50" s="16" t="s">
        <v>381</v>
      </c>
      <c r="C50" s="17">
        <v>45566</v>
      </c>
      <c r="D50" s="16" t="s">
        <v>32</v>
      </c>
      <c r="E50" s="16" t="s">
        <v>382</v>
      </c>
      <c r="F50" s="18">
        <v>45567</v>
      </c>
      <c r="G50" s="18">
        <v>45567</v>
      </c>
      <c r="H50" s="19" t="s">
        <v>383</v>
      </c>
      <c r="I50" s="20">
        <v>4230158395487</v>
      </c>
      <c r="J50" s="21" t="s">
        <v>185</v>
      </c>
      <c r="K50" s="16" t="s">
        <v>384</v>
      </c>
      <c r="L50" s="16" t="s">
        <v>385</v>
      </c>
      <c r="M50" s="16" t="s">
        <v>386</v>
      </c>
      <c r="N50" s="16" t="s">
        <v>381</v>
      </c>
      <c r="O50" s="16" t="s">
        <v>50</v>
      </c>
      <c r="P50" s="16" t="s">
        <v>51</v>
      </c>
      <c r="Q50" s="16" t="s">
        <v>387</v>
      </c>
      <c r="R50" s="18">
        <v>45568</v>
      </c>
      <c r="S50" s="18">
        <v>47031</v>
      </c>
      <c r="T50" s="22">
        <v>3045000</v>
      </c>
      <c r="U50" s="16"/>
      <c r="V50" s="16"/>
      <c r="W50" s="23">
        <v>3045000</v>
      </c>
      <c r="X50" s="24">
        <v>2</v>
      </c>
      <c r="Y50" s="23">
        <v>60900</v>
      </c>
      <c r="Z50" s="16"/>
      <c r="AA50" s="16" t="s">
        <v>41</v>
      </c>
      <c r="AB50" s="16">
        <v>1141071545</v>
      </c>
      <c r="AC50" s="25">
        <v>45622</v>
      </c>
      <c r="AD50" s="26" t="s">
        <v>42</v>
      </c>
      <c r="AE50" s="26">
        <v>0</v>
      </c>
      <c r="AF50" s="16" t="s">
        <v>382</v>
      </c>
      <c r="AG50" s="33">
        <v>60900</v>
      </c>
      <c r="AH50" s="34">
        <f t="shared" si="0"/>
        <v>0</v>
      </c>
    </row>
    <row r="51" spans="1:34" x14ac:dyDescent="0.25">
      <c r="A51" s="16" t="s">
        <v>30</v>
      </c>
      <c r="B51" s="16" t="s">
        <v>388</v>
      </c>
      <c r="C51" s="17">
        <v>45566</v>
      </c>
      <c r="D51" s="16" t="s">
        <v>32</v>
      </c>
      <c r="E51" s="16" t="s">
        <v>389</v>
      </c>
      <c r="F51" s="18">
        <v>45567</v>
      </c>
      <c r="G51" s="18">
        <v>45567</v>
      </c>
      <c r="H51" s="19" t="s">
        <v>390</v>
      </c>
      <c r="I51" s="20">
        <v>3410127302069</v>
      </c>
      <c r="J51" s="21" t="s">
        <v>295</v>
      </c>
      <c r="K51" s="16" t="s">
        <v>391</v>
      </c>
      <c r="L51" s="16" t="s">
        <v>392</v>
      </c>
      <c r="M51" s="16" t="s">
        <v>393</v>
      </c>
      <c r="N51" s="16" t="s">
        <v>388</v>
      </c>
      <c r="O51" s="16" t="s">
        <v>60</v>
      </c>
      <c r="P51" s="16" t="s">
        <v>320</v>
      </c>
      <c r="Q51" s="16" t="s">
        <v>394</v>
      </c>
      <c r="R51" s="18">
        <v>45568</v>
      </c>
      <c r="S51" s="18">
        <v>46665</v>
      </c>
      <c r="T51" s="22">
        <v>2000000</v>
      </c>
      <c r="U51" s="16"/>
      <c r="V51" s="16"/>
      <c r="W51" s="23">
        <v>2000000</v>
      </c>
      <c r="X51" s="24">
        <v>2</v>
      </c>
      <c r="Y51" s="23">
        <v>40000</v>
      </c>
      <c r="Z51" s="16"/>
      <c r="AA51" s="16" t="s">
        <v>41</v>
      </c>
      <c r="AB51" s="16">
        <v>1141071545</v>
      </c>
      <c r="AC51" s="25">
        <v>45622</v>
      </c>
      <c r="AD51" s="26" t="s">
        <v>42</v>
      </c>
      <c r="AE51" s="26">
        <v>0</v>
      </c>
      <c r="AF51" s="16" t="s">
        <v>389</v>
      </c>
      <c r="AG51" s="33">
        <v>40000</v>
      </c>
      <c r="AH51" s="34">
        <f t="shared" si="0"/>
        <v>0</v>
      </c>
    </row>
    <row r="52" spans="1:34" x14ac:dyDescent="0.25">
      <c r="A52" s="16" t="s">
        <v>30</v>
      </c>
      <c r="B52" s="16" t="s">
        <v>395</v>
      </c>
      <c r="C52" s="17">
        <v>45566</v>
      </c>
      <c r="D52" s="16" t="s">
        <v>32</v>
      </c>
      <c r="E52" s="16" t="s">
        <v>396</v>
      </c>
      <c r="F52" s="18">
        <v>45567</v>
      </c>
      <c r="G52" s="18">
        <v>45567</v>
      </c>
      <c r="H52" s="19" t="s">
        <v>397</v>
      </c>
      <c r="I52" s="20">
        <v>4230187398889</v>
      </c>
      <c r="J52" s="21" t="s">
        <v>371</v>
      </c>
      <c r="K52" s="16" t="s">
        <v>398</v>
      </c>
      <c r="L52" s="16">
        <v>13029141</v>
      </c>
      <c r="M52" s="16" t="s">
        <v>399</v>
      </c>
      <c r="N52" s="16" t="s">
        <v>395</v>
      </c>
      <c r="O52" s="16" t="s">
        <v>50</v>
      </c>
      <c r="P52" s="16" t="s">
        <v>51</v>
      </c>
      <c r="Q52" s="16" t="s">
        <v>400</v>
      </c>
      <c r="R52" s="18">
        <v>45573</v>
      </c>
      <c r="S52" s="18">
        <v>47031</v>
      </c>
      <c r="T52" s="22">
        <v>1700000</v>
      </c>
      <c r="U52" s="16"/>
      <c r="V52" s="16"/>
      <c r="W52" s="23">
        <v>1700000</v>
      </c>
      <c r="X52" s="24">
        <v>2</v>
      </c>
      <c r="Y52" s="23">
        <v>34000</v>
      </c>
      <c r="Z52" s="16"/>
      <c r="AA52" s="16" t="s">
        <v>41</v>
      </c>
      <c r="AB52" s="16">
        <v>1141071545</v>
      </c>
      <c r="AC52" s="25">
        <v>45622</v>
      </c>
      <c r="AD52" s="26" t="s">
        <v>42</v>
      </c>
      <c r="AE52" s="26">
        <v>0</v>
      </c>
      <c r="AF52" s="16" t="s">
        <v>396</v>
      </c>
      <c r="AG52" s="33">
        <v>34000</v>
      </c>
      <c r="AH52" s="34">
        <f t="shared" si="0"/>
        <v>0</v>
      </c>
    </row>
    <row r="53" spans="1:34" x14ac:dyDescent="0.25">
      <c r="A53" s="16" t="s">
        <v>30</v>
      </c>
      <c r="B53" s="16" t="s">
        <v>401</v>
      </c>
      <c r="C53" s="17">
        <v>45566</v>
      </c>
      <c r="D53" s="16" t="s">
        <v>32</v>
      </c>
      <c r="E53" s="16" t="s">
        <v>402</v>
      </c>
      <c r="F53" s="18">
        <v>45588</v>
      </c>
      <c r="G53" s="18">
        <v>45952</v>
      </c>
      <c r="H53" s="27" t="s">
        <v>403</v>
      </c>
      <c r="I53" s="20">
        <v>3520167437365</v>
      </c>
      <c r="J53" s="27" t="s">
        <v>404</v>
      </c>
      <c r="K53" s="16" t="s">
        <v>405</v>
      </c>
      <c r="L53" s="16">
        <v>104380</v>
      </c>
      <c r="M53" s="16" t="s">
        <v>406</v>
      </c>
      <c r="N53" s="16" t="s">
        <v>401</v>
      </c>
      <c r="O53" s="16" t="s">
        <v>60</v>
      </c>
      <c r="P53" s="16" t="s">
        <v>61</v>
      </c>
      <c r="Q53" s="16" t="s">
        <v>407</v>
      </c>
      <c r="R53" s="18">
        <v>45590</v>
      </c>
      <c r="S53" s="18">
        <v>47063</v>
      </c>
      <c r="T53" s="22">
        <v>2550000</v>
      </c>
      <c r="U53" s="16"/>
      <c r="V53" s="28"/>
      <c r="W53" s="23">
        <v>2550000</v>
      </c>
      <c r="X53" s="24">
        <v>2</v>
      </c>
      <c r="Y53" s="23">
        <v>51000</v>
      </c>
      <c r="Z53" s="29"/>
      <c r="AA53" s="16" t="s">
        <v>41</v>
      </c>
      <c r="AB53" s="16">
        <v>1141071545</v>
      </c>
      <c r="AC53" s="25">
        <v>45622</v>
      </c>
      <c r="AD53" s="26" t="s">
        <v>42</v>
      </c>
      <c r="AE53" s="26">
        <v>0</v>
      </c>
      <c r="AF53" s="16" t="s">
        <v>402</v>
      </c>
      <c r="AG53" s="33">
        <v>51000</v>
      </c>
      <c r="AH53" s="34">
        <f t="shared" si="0"/>
        <v>0</v>
      </c>
    </row>
    <row r="55" spans="1:34" x14ac:dyDescent="0.25">
      <c r="Y55" s="35">
        <f>SUBTOTAL(9,Y2:Y53)</f>
        <v>3231350</v>
      </c>
      <c r="AG55" s="35">
        <f>SUBTOTAL(9,AG2:AG53)</f>
        <v>3231350</v>
      </c>
    </row>
  </sheetData>
  <autoFilter ref="A1:AH53" xr:uid="{DE84C102-49B0-4893-B84C-754B9CA7002E}"/>
  <conditionalFormatting sqref="B3">
    <cfRule type="duplicateValues" dxfId="83" priority="15"/>
  </conditionalFormatting>
  <conditionalFormatting sqref="B4">
    <cfRule type="duplicateValues" dxfId="82" priority="14"/>
  </conditionalFormatting>
  <conditionalFormatting sqref="E2">
    <cfRule type="duplicateValues" dxfId="81" priority="28"/>
    <cfRule type="duplicateValues" dxfId="80" priority="29"/>
    <cfRule type="duplicateValues" dxfId="79" priority="30"/>
    <cfRule type="duplicateValues" dxfId="78" priority="31"/>
  </conditionalFormatting>
  <conditionalFormatting sqref="E3">
    <cfRule type="duplicateValues" dxfId="77" priority="24"/>
    <cfRule type="duplicateValues" dxfId="76" priority="25"/>
    <cfRule type="duplicateValues" dxfId="75" priority="26"/>
    <cfRule type="duplicateValues" dxfId="74" priority="27"/>
  </conditionalFormatting>
  <conditionalFormatting sqref="E4">
    <cfRule type="duplicateValues" dxfId="73" priority="18"/>
    <cfRule type="duplicateValues" dxfId="72" priority="19"/>
    <cfRule type="duplicateValues" dxfId="71" priority="20"/>
    <cfRule type="duplicateValues" dxfId="70" priority="21"/>
  </conditionalFormatting>
  <conditionalFormatting sqref="L2:M53">
    <cfRule type="duplicateValues" dxfId="69" priority="13"/>
  </conditionalFormatting>
  <conditionalFormatting sqref="L3:M3">
    <cfRule type="duplicateValues" dxfId="68" priority="22"/>
  </conditionalFormatting>
  <conditionalFormatting sqref="L4:M4">
    <cfRule type="duplicateValues" dxfId="67" priority="16"/>
  </conditionalFormatting>
  <conditionalFormatting sqref="N2:N53">
    <cfRule type="duplicateValues" dxfId="66" priority="32"/>
  </conditionalFormatting>
  <conditionalFormatting sqref="N3">
    <cfRule type="duplicateValues" dxfId="65" priority="23"/>
  </conditionalFormatting>
  <conditionalFormatting sqref="N4">
    <cfRule type="duplicateValues" dxfId="64" priority="17"/>
  </conditionalFormatting>
  <conditionalFormatting sqref="AF2">
    <cfRule type="duplicateValues" dxfId="63" priority="9"/>
    <cfRule type="duplicateValues" dxfId="62" priority="10"/>
    <cfRule type="duplicateValues" dxfId="61" priority="11"/>
    <cfRule type="duplicateValues" dxfId="60" priority="12"/>
  </conditionalFormatting>
  <conditionalFormatting sqref="AF3">
    <cfRule type="duplicateValues" dxfId="59" priority="5"/>
    <cfRule type="duplicateValues" dxfId="58" priority="6"/>
    <cfRule type="duplicateValues" dxfId="57" priority="7"/>
    <cfRule type="duplicateValues" dxfId="56" priority="8"/>
  </conditionalFormatting>
  <conditionalFormatting sqref="AF4">
    <cfRule type="duplicateValues" dxfId="55" priority="1"/>
    <cfRule type="duplicateValues" dxfId="54" priority="2"/>
    <cfRule type="duplicateValues" dxfId="53" priority="3"/>
    <cfRule type="duplicateValues" dxfId="52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3CEA-6E97-4445-BC10-58AE35DF2D04}">
  <dimension ref="A1:H54"/>
  <sheetViews>
    <sheetView topLeftCell="A51" workbookViewId="0">
      <selection activeCell="H53" sqref="H3:H53"/>
    </sheetView>
  </sheetViews>
  <sheetFormatPr defaultRowHeight="15" x14ac:dyDescent="0.25"/>
  <cols>
    <col min="1" max="1" width="38.7109375" bestFit="1" customWidth="1"/>
    <col min="2" max="2" width="14" bestFit="1" customWidth="1"/>
    <col min="3" max="3" width="13.28515625" bestFit="1" customWidth="1"/>
    <col min="4" max="4" width="10.5703125" bestFit="1" customWidth="1"/>
    <col min="5" max="5" width="13.7109375" bestFit="1" customWidth="1"/>
    <col min="6" max="6" width="99" customWidth="1"/>
    <col min="7" max="7" width="89.85546875" customWidth="1"/>
    <col min="8" max="8" width="80.5703125" customWidth="1"/>
  </cols>
  <sheetData>
    <row r="1" spans="1:8" x14ac:dyDescent="0.25">
      <c r="A1" s="45" t="s">
        <v>2169</v>
      </c>
      <c r="B1" t="s">
        <v>2170</v>
      </c>
      <c r="D1" s="46" t="s">
        <v>2171</v>
      </c>
      <c r="E1" s="41" t="s">
        <v>2168</v>
      </c>
    </row>
    <row r="2" spans="1:8" ht="87" customHeight="1" x14ac:dyDescent="0.25">
      <c r="A2" s="16" t="s">
        <v>33</v>
      </c>
      <c r="B2" s="38" t="str">
        <f>VLOOKUP(A2,policy!B:C,2,0)</f>
        <v>070000169427</v>
      </c>
      <c r="C2" s="39">
        <f>VLOOKUP(A2,Fresh!AF:AG,2,0)</f>
        <v>75000</v>
      </c>
      <c r="D2" s="40">
        <f>ROUND(C2,0)</f>
        <v>75000</v>
      </c>
      <c r="E2" s="41" t="s">
        <v>2168</v>
      </c>
      <c r="F2" s="42" t="str">
        <f t="shared" ref="F2:F53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3" t="str">
        <f>"('"&amp;E2&amp;"','"&amp;B2&amp;"','"&amp;D2&amp;"',(select max(to_number(i.premium_rcv_detail_code))+1
from ins_premium_det i),'"&amp;D2&amp;"','"&amp;D2&amp;"','02', '11000003','00','Request by Mr.Reheel Malik Fresh 02-Dec-2024');"</f>
        <v>('28Nov240018','070000169427','75000',(select max(to_number(i.premium_rcv_detail_code))+1
from ins_premium_det i),'75000','75000','02', '11000003','00','Request by Mr.Reheel Malik Fresh 02-Dec-2024');</v>
      </c>
      <c r="H2" s="44" t="str">
        <f>F2&amp;G2</f>
        <v>insert into ins_premium_det (premium_rcv_code,assorted_code, rec_amount,premium_rcv_detail_code,remaining_amt, payrec, mode_code,coinsurance_code,class_cd,it_remarks) values('28Nov240018','070000169427','75000',(select max(to_number(i.premium_rcv_detail_code))+1
from ins_premium_det i),'75000','75000','02', '11000003','00','Request by Mr.Reheel Malik Fresh 02-Dec-2024');</v>
      </c>
    </row>
    <row r="3" spans="1:8" ht="105" x14ac:dyDescent="0.25">
      <c r="A3" s="16" t="s">
        <v>44</v>
      </c>
      <c r="B3" s="38" t="str">
        <f>VLOOKUP(A3,policy!B:C,2,0)</f>
        <v>070000169426</v>
      </c>
      <c r="C3" s="39">
        <f>VLOOKUP(A3,Fresh!AF:AG,2,0)</f>
        <v>54000</v>
      </c>
      <c r="D3" s="40">
        <f t="shared" ref="D3:D53" si="1">ROUND(C3,0)</f>
        <v>54000</v>
      </c>
      <c r="E3" s="41" t="s">
        <v>2168</v>
      </c>
      <c r="F3" s="42" t="str">
        <f t="shared" si="0"/>
        <v>insert into ins_premium_det (premium_rcv_code,assorted_code, rec_amount,premium_rcv_detail_code,remaining_amt, payrec, mode_code,coinsurance_code,class_cd,it_remarks) values</v>
      </c>
      <c r="G3" s="43" t="str">
        <f t="shared" ref="G3:G53" si="2">"('"&amp;E3&amp;"','"&amp;B3&amp;"','"&amp;D3&amp;"',(select max(to_number(i.premium_rcv_detail_code))+1
from ins_premium_det i),'"&amp;D3&amp;"','"&amp;D3&amp;"','02', '11000003','00','Request by Mr.Reheel Malik Fresh 02-Dec-2024');"</f>
        <v>('28Nov240018','070000169426','54000',(select max(to_number(i.premium_rcv_detail_code))+1
from ins_premium_det i),'54000','54000','02', '11000003','00','Request by Mr.Reheel Malik Fresh 02-Dec-2024');</v>
      </c>
      <c r="H3" s="44" t="str">
        <f t="shared" ref="H3:H53" si="3">F3&amp;G3</f>
        <v>insert into ins_premium_det (premium_rcv_code,assorted_code, rec_amount,premium_rcv_detail_code,remaining_amt, payrec, mode_code,coinsurance_code,class_cd,it_remarks) values('28Nov240018','070000169426','54000',(select max(to_number(i.premium_rcv_detail_code))+1
from ins_premium_det i),'54000','54000','02', '11000003','00','Request by Mr.Reheel Malik Fresh 02-Dec-2024');</v>
      </c>
    </row>
    <row r="4" spans="1:8" ht="105" x14ac:dyDescent="0.25">
      <c r="A4" s="16" t="s">
        <v>54</v>
      </c>
      <c r="B4" s="38" t="str">
        <f>VLOOKUP(A4,policy!B:C,2,0)</f>
        <v>070000169425</v>
      </c>
      <c r="C4" s="39">
        <f>VLOOKUP(A4,Fresh!AF:AG,2,0)</f>
        <v>66000</v>
      </c>
      <c r="D4" s="40">
        <f t="shared" si="1"/>
        <v>66000</v>
      </c>
      <c r="E4" s="41" t="s">
        <v>2168</v>
      </c>
      <c r="F4" s="42" t="str">
        <f t="shared" si="0"/>
        <v>insert into ins_premium_det (premium_rcv_code,assorted_code, rec_amount,premium_rcv_detail_code,remaining_amt, payrec, mode_code,coinsurance_code,class_cd,it_remarks) values</v>
      </c>
      <c r="G4" s="43" t="str">
        <f t="shared" si="2"/>
        <v>('28Nov240018','070000169425','66000',(select max(to_number(i.premium_rcv_detail_code))+1
from ins_premium_det i),'66000','66000','02', '11000003','00','Request by Mr.Reheel Malik Fresh 02-Dec-2024');</v>
      </c>
      <c r="H4" s="44" t="str">
        <f t="shared" si="3"/>
        <v>insert into ins_premium_det (premium_rcv_code,assorted_code, rec_amount,premium_rcv_detail_code,remaining_amt, payrec, mode_code,coinsurance_code,class_cd,it_remarks) values('28Nov240018','070000169425','66000',(select max(to_number(i.premium_rcv_detail_code))+1
from ins_premium_det i),'66000','66000','02', '11000003','00','Request by Mr.Reheel Malik Fresh 02-Dec-2024');</v>
      </c>
    </row>
    <row r="5" spans="1:8" ht="105" x14ac:dyDescent="0.25">
      <c r="A5" s="16" t="s">
        <v>64</v>
      </c>
      <c r="B5" s="38" t="str">
        <f>VLOOKUP(A5,policy!B:C,2,0)</f>
        <v>070000169424</v>
      </c>
      <c r="C5" s="39">
        <f>VLOOKUP(A5,Fresh!AF:AG,2,0)</f>
        <v>58500</v>
      </c>
      <c r="D5" s="40">
        <f t="shared" si="1"/>
        <v>58500</v>
      </c>
      <c r="E5" s="41" t="s">
        <v>2168</v>
      </c>
      <c r="F5" s="42" t="str">
        <f t="shared" si="0"/>
        <v>insert into ins_premium_det (premium_rcv_code,assorted_code, rec_amount,premium_rcv_detail_code,remaining_amt, payrec, mode_code,coinsurance_code,class_cd,it_remarks) values</v>
      </c>
      <c r="G5" s="43" t="str">
        <f t="shared" si="2"/>
        <v>('28Nov240018','070000169424','58500',(select max(to_number(i.premium_rcv_detail_code))+1
from ins_premium_det i),'58500','58500','02', '11000003','00','Request by Mr.Reheel Malik Fresh 02-Dec-2024');</v>
      </c>
      <c r="H5" s="44" t="str">
        <f t="shared" si="3"/>
        <v>insert into ins_premium_det (premium_rcv_code,assorted_code, rec_amount,premium_rcv_detail_code,remaining_amt, payrec, mode_code,coinsurance_code,class_cd,it_remarks) values('28Nov240018','070000169424','58500',(select max(to_number(i.premium_rcv_detail_code))+1
from ins_premium_det i),'58500','58500','02', '11000003','00','Request by Mr.Reheel Malik Fresh 02-Dec-2024');</v>
      </c>
    </row>
    <row r="6" spans="1:8" ht="105" x14ac:dyDescent="0.25">
      <c r="A6" s="16" t="s">
        <v>71</v>
      </c>
      <c r="B6" s="38" t="str">
        <f>VLOOKUP(A6,policy!B:C,2,0)</f>
        <v>070000169423</v>
      </c>
      <c r="C6" s="39">
        <f>VLOOKUP(A6,Fresh!AF:AG,2,0)</f>
        <v>56985</v>
      </c>
      <c r="D6" s="40">
        <f t="shared" si="1"/>
        <v>56985</v>
      </c>
      <c r="E6" s="41" t="s">
        <v>2168</v>
      </c>
      <c r="F6" s="42" t="str">
        <f t="shared" si="0"/>
        <v>insert into ins_premium_det (premium_rcv_code,assorted_code, rec_amount,premium_rcv_detail_code,remaining_amt, payrec, mode_code,coinsurance_code,class_cd,it_remarks) values</v>
      </c>
      <c r="G6" s="43" t="str">
        <f t="shared" si="2"/>
        <v>('28Nov240018','070000169423','56985',(select max(to_number(i.premium_rcv_detail_code))+1
from ins_premium_det i),'56985','56985','02', '11000003','00','Request by Mr.Reheel Malik Fresh 02-Dec-2024');</v>
      </c>
      <c r="H6" s="44" t="str">
        <f t="shared" si="3"/>
        <v>insert into ins_premium_det (premium_rcv_code,assorted_code, rec_amount,premium_rcv_detail_code,remaining_amt, payrec, mode_code,coinsurance_code,class_cd,it_remarks) values('28Nov240018','070000169423','56985',(select max(to_number(i.premium_rcv_detail_code))+1
from ins_premium_det i),'56985','56985','02', '11000003','00','Request by Mr.Reheel Malik Fresh 02-Dec-2024');</v>
      </c>
    </row>
    <row r="7" spans="1:8" ht="105" x14ac:dyDescent="0.25">
      <c r="A7" s="16" t="s">
        <v>79</v>
      </c>
      <c r="B7" s="38" t="str">
        <f>VLOOKUP(A7,policy!B:C,2,0)</f>
        <v>070000169419</v>
      </c>
      <c r="C7" s="39">
        <f>VLOOKUP(A7,Fresh!AF:AG,2,0)</f>
        <v>20600</v>
      </c>
      <c r="D7" s="40">
        <f t="shared" si="1"/>
        <v>20600</v>
      </c>
      <c r="E7" s="41" t="s">
        <v>2168</v>
      </c>
      <c r="F7" s="42" t="str">
        <f t="shared" si="0"/>
        <v>insert into ins_premium_det (premium_rcv_code,assorted_code, rec_amount,premium_rcv_detail_code,remaining_amt, payrec, mode_code,coinsurance_code,class_cd,it_remarks) values</v>
      </c>
      <c r="G7" s="43" t="str">
        <f t="shared" si="2"/>
        <v>('28Nov240018','070000169419','20600',(select max(to_number(i.premium_rcv_detail_code))+1
from ins_premium_det i),'20600','20600','02', '11000003','00','Request by Mr.Reheel Malik Fresh 02-Dec-2024');</v>
      </c>
      <c r="H7" s="44" t="str">
        <f t="shared" si="3"/>
        <v>insert into ins_premium_det (premium_rcv_code,assorted_code, rec_amount,premium_rcv_detail_code,remaining_amt, payrec, mode_code,coinsurance_code,class_cd,it_remarks) values('28Nov240018','070000169419','20600',(select max(to_number(i.premium_rcv_detail_code))+1
from ins_premium_det i),'20600','20600','02', '11000003','00','Request by Mr.Reheel Malik Fresh 02-Dec-2024');</v>
      </c>
    </row>
    <row r="8" spans="1:8" ht="105" x14ac:dyDescent="0.25">
      <c r="A8" s="16" t="s">
        <v>87</v>
      </c>
      <c r="B8" s="38" t="str">
        <f>VLOOKUP(A8,policy!B:C,2,0)</f>
        <v>070000169410</v>
      </c>
      <c r="C8" s="39">
        <f>VLOOKUP(A8,Fresh!AF:AG,2,0)</f>
        <v>60000</v>
      </c>
      <c r="D8" s="40">
        <f t="shared" si="1"/>
        <v>60000</v>
      </c>
      <c r="E8" s="41" t="s">
        <v>2168</v>
      </c>
      <c r="F8" s="42" t="str">
        <f t="shared" si="0"/>
        <v>insert into ins_premium_det (premium_rcv_code,assorted_code, rec_amount,premium_rcv_detail_code,remaining_amt, payrec, mode_code,coinsurance_code,class_cd,it_remarks) values</v>
      </c>
      <c r="G8" s="43" t="str">
        <f t="shared" si="2"/>
        <v>('28Nov240018','070000169410','60000',(select max(to_number(i.premium_rcv_detail_code))+1
from ins_premium_det i),'60000','60000','02', '11000003','00','Request by Mr.Reheel Malik Fresh 02-Dec-2024');</v>
      </c>
      <c r="H8" s="44" t="str">
        <f t="shared" si="3"/>
        <v>insert into ins_premium_det (premium_rcv_code,assorted_code, rec_amount,premium_rcv_detail_code,remaining_amt, payrec, mode_code,coinsurance_code,class_cd,it_remarks) values('28Nov240018','070000169410','60000',(select max(to_number(i.premium_rcv_detail_code))+1
from ins_premium_det i),'60000','60000','02', '11000003','00','Request by Mr.Reheel Malik Fresh 02-Dec-2024');</v>
      </c>
    </row>
    <row r="9" spans="1:8" ht="105" x14ac:dyDescent="0.25">
      <c r="A9" s="16" t="s">
        <v>93</v>
      </c>
      <c r="B9" s="38" t="str">
        <f>VLOOKUP(A9,policy!B:C,2,0)</f>
        <v>070000169395</v>
      </c>
      <c r="C9" s="39">
        <f>VLOOKUP(A9,Fresh!AF:AG,2,0)</f>
        <v>43000</v>
      </c>
      <c r="D9" s="40">
        <f t="shared" si="1"/>
        <v>43000</v>
      </c>
      <c r="E9" s="41" t="s">
        <v>2168</v>
      </c>
      <c r="F9" s="42" t="str">
        <f t="shared" si="0"/>
        <v>insert into ins_premium_det (premium_rcv_code,assorted_code, rec_amount,premium_rcv_detail_code,remaining_amt, payrec, mode_code,coinsurance_code,class_cd,it_remarks) values</v>
      </c>
      <c r="G9" s="43" t="str">
        <f t="shared" si="2"/>
        <v>('28Nov240018','070000169395','43000',(select max(to_number(i.premium_rcv_detail_code))+1
from ins_premium_det i),'43000','43000','02', '11000003','00','Request by Mr.Reheel Malik Fresh 02-Dec-2024');</v>
      </c>
      <c r="H9" s="44" t="str">
        <f t="shared" si="3"/>
        <v>insert into ins_premium_det (premium_rcv_code,assorted_code, rec_amount,premium_rcv_detail_code,remaining_amt, payrec, mode_code,coinsurance_code,class_cd,it_remarks) values('28Nov240018','070000169395','43000',(select max(to_number(i.premium_rcv_detail_code))+1
from ins_premium_det i),'43000','43000','02', '11000003','00','Request by Mr.Reheel Malik Fresh 02-Dec-2024');</v>
      </c>
    </row>
    <row r="10" spans="1:8" ht="105" x14ac:dyDescent="0.25">
      <c r="A10" s="16" t="s">
        <v>101</v>
      </c>
      <c r="B10" s="38" t="str">
        <f>VLOOKUP(A10,policy!B:C,2,0)</f>
        <v>070000169385</v>
      </c>
      <c r="C10" s="39">
        <f>VLOOKUP(A10,Fresh!AF:AG,2,0)</f>
        <v>57000</v>
      </c>
      <c r="D10" s="40">
        <f t="shared" si="1"/>
        <v>57000</v>
      </c>
      <c r="E10" s="41" t="s">
        <v>2168</v>
      </c>
      <c r="F10" s="42" t="str">
        <f t="shared" si="0"/>
        <v>insert into ins_premium_det (premium_rcv_code,assorted_code, rec_amount,premium_rcv_detail_code,remaining_amt, payrec, mode_code,coinsurance_code,class_cd,it_remarks) values</v>
      </c>
      <c r="G10" s="43" t="str">
        <f t="shared" si="2"/>
        <v>('28Nov240018','070000169385','57000',(select max(to_number(i.premium_rcv_detail_code))+1
from ins_premium_det i),'57000','57000','02', '11000003','00','Request by Mr.Reheel Malik Fresh 02-Dec-2024');</v>
      </c>
      <c r="H10" s="44" t="str">
        <f t="shared" si="3"/>
        <v>insert into ins_premium_det (premium_rcv_code,assorted_code, rec_amount,premium_rcv_detail_code,remaining_amt, payrec, mode_code,coinsurance_code,class_cd,it_remarks) values('28Nov240018','070000169385','57000',(select max(to_number(i.premium_rcv_detail_code))+1
from ins_premium_det i),'57000','57000','02', '11000003','00','Request by Mr.Reheel Malik Fresh 02-Dec-2024');</v>
      </c>
    </row>
    <row r="11" spans="1:8" ht="105" x14ac:dyDescent="0.25">
      <c r="A11" s="16" t="s">
        <v>109</v>
      </c>
      <c r="B11" s="38" t="str">
        <f>VLOOKUP(A11,policy!B:C,2,0)</f>
        <v>070000169382</v>
      </c>
      <c r="C11" s="39">
        <f>VLOOKUP(A11,Fresh!AF:AG,2,0)</f>
        <v>72750</v>
      </c>
      <c r="D11" s="40">
        <f t="shared" si="1"/>
        <v>72750</v>
      </c>
      <c r="E11" s="41" t="s">
        <v>2168</v>
      </c>
      <c r="F11" s="42" t="str">
        <f t="shared" si="0"/>
        <v>insert into ins_premium_det (premium_rcv_code,assorted_code, rec_amount,premium_rcv_detail_code,remaining_amt, payrec, mode_code,coinsurance_code,class_cd,it_remarks) values</v>
      </c>
      <c r="G11" s="43" t="str">
        <f t="shared" si="2"/>
        <v>('28Nov240018','070000169382','72750',(select max(to_number(i.premium_rcv_detail_code))+1
from ins_premium_det i),'72750','72750','02', '11000003','00','Request by Mr.Reheel Malik Fresh 02-Dec-2024');</v>
      </c>
      <c r="H11" s="44" t="str">
        <f t="shared" si="3"/>
        <v>insert into ins_premium_det (premium_rcv_code,assorted_code, rec_amount,premium_rcv_detail_code,remaining_amt, payrec, mode_code,coinsurance_code,class_cd,it_remarks) values('28Nov240018','070000169382','72750',(select max(to_number(i.premium_rcv_detail_code))+1
from ins_premium_det i),'72750','72750','02', '11000003','00','Request by Mr.Reheel Malik Fresh 02-Dec-2024');</v>
      </c>
    </row>
    <row r="12" spans="1:8" ht="105" x14ac:dyDescent="0.25">
      <c r="A12" s="16" t="s">
        <v>117</v>
      </c>
      <c r="B12" s="38" t="str">
        <f>VLOOKUP(A12,policy!B:C,2,0)</f>
        <v>070000169381</v>
      </c>
      <c r="C12" s="39">
        <f>VLOOKUP(A12,Fresh!AF:AG,2,0)</f>
        <v>54140</v>
      </c>
      <c r="D12" s="40">
        <f t="shared" si="1"/>
        <v>54140</v>
      </c>
      <c r="E12" s="41" t="s">
        <v>2168</v>
      </c>
      <c r="F12" s="42" t="str">
        <f t="shared" si="0"/>
        <v>insert into ins_premium_det (premium_rcv_code,assorted_code, rec_amount,premium_rcv_detail_code,remaining_amt, payrec, mode_code,coinsurance_code,class_cd,it_remarks) values</v>
      </c>
      <c r="G12" s="43" t="str">
        <f t="shared" si="2"/>
        <v>('28Nov240018','070000169381','54140',(select max(to_number(i.premium_rcv_detail_code))+1
from ins_premium_det i),'54140','54140','02', '11000003','00','Request by Mr.Reheel Malik Fresh 02-Dec-2024');</v>
      </c>
      <c r="H12" s="44" t="str">
        <f t="shared" si="3"/>
        <v>insert into ins_premium_det (premium_rcv_code,assorted_code, rec_amount,premium_rcv_detail_code,remaining_amt, payrec, mode_code,coinsurance_code,class_cd,it_remarks) values('28Nov240018','070000169381','54140',(select max(to_number(i.premium_rcv_detail_code))+1
from ins_premium_det i),'54140','54140','02', '11000003','00','Request by Mr.Reheel Malik Fresh 02-Dec-2024');</v>
      </c>
    </row>
    <row r="13" spans="1:8" ht="105" x14ac:dyDescent="0.25">
      <c r="A13" s="16" t="s">
        <v>124</v>
      </c>
      <c r="B13" s="38" t="str">
        <f>VLOOKUP(A13,policy!B:C,2,0)</f>
        <v>070000169379</v>
      </c>
      <c r="C13" s="39">
        <f>VLOOKUP(A13,Fresh!AF:AG,2,0)</f>
        <v>42400</v>
      </c>
      <c r="D13" s="40">
        <f t="shared" si="1"/>
        <v>42400</v>
      </c>
      <c r="E13" s="41" t="s">
        <v>2168</v>
      </c>
      <c r="F13" s="42" t="str">
        <f t="shared" si="0"/>
        <v>insert into ins_premium_det (premium_rcv_code,assorted_code, rec_amount,premium_rcv_detail_code,remaining_amt, payrec, mode_code,coinsurance_code,class_cd,it_remarks) values</v>
      </c>
      <c r="G13" s="43" t="str">
        <f t="shared" si="2"/>
        <v>('28Nov240018','070000169379','42400',(select max(to_number(i.premium_rcv_detail_code))+1
from ins_premium_det i),'42400','42400','02', '11000003','00','Request by Mr.Reheel Malik Fresh 02-Dec-2024');</v>
      </c>
      <c r="H13" s="44" t="str">
        <f t="shared" si="3"/>
        <v>insert into ins_premium_det (premium_rcv_code,assorted_code, rec_amount,premium_rcv_detail_code,remaining_amt, payrec, mode_code,coinsurance_code,class_cd,it_remarks) values('28Nov240018','070000169379','42400',(select max(to_number(i.premium_rcv_detail_code))+1
from ins_premium_det i),'42400','42400','02', '11000003','00','Request by Mr.Reheel Malik Fresh 02-Dec-2024');</v>
      </c>
    </row>
    <row r="14" spans="1:8" ht="105" x14ac:dyDescent="0.25">
      <c r="A14" s="16" t="s">
        <v>131</v>
      </c>
      <c r="B14" s="38" t="str">
        <f>VLOOKUP(A14,policy!B:C,2,0)</f>
        <v>070000169378</v>
      </c>
      <c r="C14" s="39">
        <f>VLOOKUP(A14,Fresh!AF:AG,2,0)</f>
        <v>70500</v>
      </c>
      <c r="D14" s="40">
        <f t="shared" si="1"/>
        <v>70500</v>
      </c>
      <c r="E14" s="41" t="s">
        <v>2168</v>
      </c>
      <c r="F14" s="42" t="str">
        <f t="shared" si="0"/>
        <v>insert into ins_premium_det (premium_rcv_code,assorted_code, rec_amount,premium_rcv_detail_code,remaining_amt, payrec, mode_code,coinsurance_code,class_cd,it_remarks) values</v>
      </c>
      <c r="G14" s="43" t="str">
        <f t="shared" si="2"/>
        <v>('28Nov240018','070000169378','70500',(select max(to_number(i.premium_rcv_detail_code))+1
from ins_premium_det i),'70500','70500','02', '11000003','00','Request by Mr.Reheel Malik Fresh 02-Dec-2024');</v>
      </c>
      <c r="H14" s="44" t="str">
        <f t="shared" si="3"/>
        <v>insert into ins_premium_det (premium_rcv_code,assorted_code, rec_amount,premium_rcv_detail_code,remaining_amt, payrec, mode_code,coinsurance_code,class_cd,it_remarks) values('28Nov240018','070000169378','70500',(select max(to_number(i.premium_rcv_detail_code))+1
from ins_premium_det i),'70500','70500','02', '11000003','00','Request by Mr.Reheel Malik Fresh 02-Dec-2024');</v>
      </c>
    </row>
    <row r="15" spans="1:8" ht="105" x14ac:dyDescent="0.25">
      <c r="A15" s="16" t="s">
        <v>139</v>
      </c>
      <c r="B15" s="38" t="str">
        <f>VLOOKUP(A15,policy!B:C,2,0)</f>
        <v>070000169377</v>
      </c>
      <c r="C15" s="39">
        <f>VLOOKUP(A15,Fresh!AF:AG,2,0)</f>
        <v>48000</v>
      </c>
      <c r="D15" s="40">
        <f t="shared" si="1"/>
        <v>48000</v>
      </c>
      <c r="E15" s="41" t="s">
        <v>2168</v>
      </c>
      <c r="F15" s="42" t="str">
        <f t="shared" si="0"/>
        <v>insert into ins_premium_det (premium_rcv_code,assorted_code, rec_amount,premium_rcv_detail_code,remaining_amt, payrec, mode_code,coinsurance_code,class_cd,it_remarks) values</v>
      </c>
      <c r="G15" s="43" t="str">
        <f t="shared" si="2"/>
        <v>('28Nov240018','070000169377','48000',(select max(to_number(i.premium_rcv_detail_code))+1
from ins_premium_det i),'48000','48000','02', '11000003','00','Request by Mr.Reheel Malik Fresh 02-Dec-2024');</v>
      </c>
      <c r="H15" s="44" t="str">
        <f t="shared" si="3"/>
        <v>insert into ins_premium_det (premium_rcv_code,assorted_code, rec_amount,premium_rcv_detail_code,remaining_amt, payrec, mode_code,coinsurance_code,class_cd,it_remarks) values('28Nov240018','070000169377','48000',(select max(to_number(i.premium_rcv_detail_code))+1
from ins_premium_det i),'48000','48000','02', '11000003','00','Request by Mr.Reheel Malik Fresh 02-Dec-2024');</v>
      </c>
    </row>
    <row r="16" spans="1:8" ht="105" x14ac:dyDescent="0.25">
      <c r="A16" s="16" t="s">
        <v>146</v>
      </c>
      <c r="B16" s="38" t="str">
        <f>VLOOKUP(A16,policy!B:C,2,0)</f>
        <v>070000169375</v>
      </c>
      <c r="C16" s="39">
        <f>VLOOKUP(A16,Fresh!AF:AG,2,0)</f>
        <v>71235</v>
      </c>
      <c r="D16" s="40">
        <f t="shared" si="1"/>
        <v>71235</v>
      </c>
      <c r="E16" s="41" t="s">
        <v>2168</v>
      </c>
      <c r="F16" s="42" t="str">
        <f t="shared" si="0"/>
        <v>insert into ins_premium_det (premium_rcv_code,assorted_code, rec_amount,premium_rcv_detail_code,remaining_amt, payrec, mode_code,coinsurance_code,class_cd,it_remarks) values</v>
      </c>
      <c r="G16" s="43" t="str">
        <f t="shared" si="2"/>
        <v>('28Nov240018','070000169375','71235',(select max(to_number(i.premium_rcv_detail_code))+1
from ins_premium_det i),'71235','71235','02', '11000003','00','Request by Mr.Reheel Malik Fresh 02-Dec-2024');</v>
      </c>
      <c r="H16" s="44" t="str">
        <f t="shared" si="3"/>
        <v>insert into ins_premium_det (premium_rcv_code,assorted_code, rec_amount,premium_rcv_detail_code,remaining_amt, payrec, mode_code,coinsurance_code,class_cd,it_remarks) values('28Nov240018','070000169375','71235',(select max(to_number(i.premium_rcv_detail_code))+1
from ins_premium_det i),'71235','71235','02', '11000003','00','Request by Mr.Reheel Malik Fresh 02-Dec-2024');</v>
      </c>
    </row>
    <row r="17" spans="1:8" ht="105" x14ac:dyDescent="0.25">
      <c r="A17" s="16" t="s">
        <v>152</v>
      </c>
      <c r="B17" s="38" t="str">
        <f>VLOOKUP(A17,policy!B:C,2,0)</f>
        <v>070000169374</v>
      </c>
      <c r="C17" s="39">
        <f>VLOOKUP(A17,Fresh!AF:AG,2,0)</f>
        <v>127500</v>
      </c>
      <c r="D17" s="40">
        <f t="shared" si="1"/>
        <v>127500</v>
      </c>
      <c r="E17" s="41" t="s">
        <v>2168</v>
      </c>
      <c r="F17" s="42" t="str">
        <f t="shared" si="0"/>
        <v>insert into ins_premium_det (premium_rcv_code,assorted_code, rec_amount,premium_rcv_detail_code,remaining_amt, payrec, mode_code,coinsurance_code,class_cd,it_remarks) values</v>
      </c>
      <c r="G17" s="43" t="str">
        <f t="shared" si="2"/>
        <v>('28Nov240018','070000169374','127500',(select max(to_number(i.premium_rcv_detail_code))+1
from ins_premium_det i),'127500','127500','02', '11000003','00','Request by Mr.Reheel Malik Fresh 02-Dec-2024');</v>
      </c>
      <c r="H17" s="44" t="str">
        <f t="shared" si="3"/>
        <v>insert into ins_premium_det (premium_rcv_code,assorted_code, rec_amount,premium_rcv_detail_code,remaining_amt, payrec, mode_code,coinsurance_code,class_cd,it_remarks) values('28Nov240018','070000169374','127500',(select max(to_number(i.premium_rcv_detail_code))+1
from ins_premium_det i),'127500','127500','02', '11000003','00','Request by Mr.Reheel Malik Fresh 02-Dec-2024');</v>
      </c>
    </row>
    <row r="18" spans="1:8" ht="105" x14ac:dyDescent="0.25">
      <c r="A18" s="16" t="s">
        <v>159</v>
      </c>
      <c r="B18" s="38" t="str">
        <f>VLOOKUP(A18,policy!B:C,2,0)</f>
        <v>070000169368</v>
      </c>
      <c r="C18" s="39">
        <f>VLOOKUP(A18,Fresh!AF:AG,2,0)</f>
        <v>59000</v>
      </c>
      <c r="D18" s="40">
        <f t="shared" si="1"/>
        <v>59000</v>
      </c>
      <c r="E18" s="41" t="s">
        <v>2168</v>
      </c>
      <c r="F18" s="42" t="str">
        <f t="shared" si="0"/>
        <v>insert into ins_premium_det (premium_rcv_code,assorted_code, rec_amount,premium_rcv_detail_code,remaining_amt, payrec, mode_code,coinsurance_code,class_cd,it_remarks) values</v>
      </c>
      <c r="G18" s="43" t="str">
        <f t="shared" si="2"/>
        <v>('28Nov240018','070000169368','59000',(select max(to_number(i.premium_rcv_detail_code))+1
from ins_premium_det i),'59000','59000','02', '11000003','00','Request by Mr.Reheel Malik Fresh 02-Dec-2024');</v>
      </c>
      <c r="H18" s="44" t="str">
        <f t="shared" si="3"/>
        <v>insert into ins_premium_det (premium_rcv_code,assorted_code, rec_amount,premium_rcv_detail_code,remaining_amt, payrec, mode_code,coinsurance_code,class_cd,it_remarks) values('28Nov240018','070000169368','59000',(select max(to_number(i.premium_rcv_detail_code))+1
from ins_premium_det i),'59000','59000','02', '11000003','00','Request by Mr.Reheel Malik Fresh 02-Dec-2024');</v>
      </c>
    </row>
    <row r="19" spans="1:8" ht="105" x14ac:dyDescent="0.25">
      <c r="A19" s="16" t="s">
        <v>167</v>
      </c>
      <c r="B19" s="38" t="str">
        <f>VLOOKUP(A19,policy!B:C,2,0)</f>
        <v>070000169362</v>
      </c>
      <c r="C19" s="39">
        <f>VLOOKUP(A19,Fresh!AF:AG,2,0)</f>
        <v>46000</v>
      </c>
      <c r="D19" s="40">
        <f t="shared" si="1"/>
        <v>46000</v>
      </c>
      <c r="E19" s="41" t="s">
        <v>2168</v>
      </c>
      <c r="F19" s="42" t="str">
        <f t="shared" si="0"/>
        <v>insert into ins_premium_det (premium_rcv_code,assorted_code, rec_amount,premium_rcv_detail_code,remaining_amt, payrec, mode_code,coinsurance_code,class_cd,it_remarks) values</v>
      </c>
      <c r="G19" s="43" t="str">
        <f t="shared" si="2"/>
        <v>('28Nov240018','070000169362','46000',(select max(to_number(i.premium_rcv_detail_code))+1
from ins_premium_det i),'46000','46000','02', '11000003','00','Request by Mr.Reheel Malik Fresh 02-Dec-2024');</v>
      </c>
      <c r="H19" s="44" t="str">
        <f t="shared" si="3"/>
        <v>insert into ins_premium_det (premium_rcv_code,assorted_code, rec_amount,premium_rcv_detail_code,remaining_amt, payrec, mode_code,coinsurance_code,class_cd,it_remarks) values('28Nov240018','070000169362','46000',(select max(to_number(i.premium_rcv_detail_code))+1
from ins_premium_det i),'46000','46000','02', '11000003','00','Request by Mr.Reheel Malik Fresh 02-Dec-2024');</v>
      </c>
    </row>
    <row r="20" spans="1:8" ht="105" x14ac:dyDescent="0.25">
      <c r="A20" s="16" t="s">
        <v>175</v>
      </c>
      <c r="B20" s="38" t="str">
        <f>VLOOKUP(A20,policy!B:C,2,0)</f>
        <v>070000169341</v>
      </c>
      <c r="C20" s="39">
        <f>VLOOKUP(A20,Fresh!AF:AG,2,0)</f>
        <v>57000</v>
      </c>
      <c r="D20" s="40">
        <f t="shared" si="1"/>
        <v>57000</v>
      </c>
      <c r="E20" s="41" t="s">
        <v>2168</v>
      </c>
      <c r="F20" s="42" t="str">
        <f t="shared" si="0"/>
        <v>insert into ins_premium_det (premium_rcv_code,assorted_code, rec_amount,premium_rcv_detail_code,remaining_amt, payrec, mode_code,coinsurance_code,class_cd,it_remarks) values</v>
      </c>
      <c r="G20" s="43" t="str">
        <f t="shared" si="2"/>
        <v>('28Nov240018','070000169341','57000',(select max(to_number(i.premium_rcv_detail_code))+1
from ins_premium_det i),'57000','57000','02', '11000003','00','Request by Mr.Reheel Malik Fresh 02-Dec-2024');</v>
      </c>
      <c r="H20" s="44" t="str">
        <f t="shared" si="3"/>
        <v>insert into ins_premium_det (premium_rcv_code,assorted_code, rec_amount,premium_rcv_detail_code,remaining_amt, payrec, mode_code,coinsurance_code,class_cd,it_remarks) values('28Nov240018','070000169341','57000',(select max(to_number(i.premium_rcv_detail_code))+1
from ins_premium_det i),'57000','57000','02', '11000003','00','Request by Mr.Reheel Malik Fresh 02-Dec-2024');</v>
      </c>
    </row>
    <row r="21" spans="1:8" ht="105" x14ac:dyDescent="0.25">
      <c r="A21" s="16" t="s">
        <v>183</v>
      </c>
      <c r="B21" s="38" t="str">
        <f>VLOOKUP(A21,policy!B:C,2,0)</f>
        <v>070000169337</v>
      </c>
      <c r="C21" s="39">
        <f>VLOOKUP(A21,Fresh!AF:AG,2,0)</f>
        <v>60900</v>
      </c>
      <c r="D21" s="40">
        <f t="shared" si="1"/>
        <v>60900</v>
      </c>
      <c r="E21" s="41" t="s">
        <v>2168</v>
      </c>
      <c r="F21" s="42" t="str">
        <f t="shared" si="0"/>
        <v>insert into ins_premium_det (premium_rcv_code,assorted_code, rec_amount,premium_rcv_detail_code,remaining_amt, payrec, mode_code,coinsurance_code,class_cd,it_remarks) values</v>
      </c>
      <c r="G21" s="43" t="str">
        <f t="shared" si="2"/>
        <v>('28Nov240018','070000169337','60900',(select max(to_number(i.premium_rcv_detail_code))+1
from ins_premium_det i),'60900','60900','02', '11000003','00','Request by Mr.Reheel Malik Fresh 02-Dec-2024');</v>
      </c>
      <c r="H21" s="44" t="str">
        <f t="shared" si="3"/>
        <v>insert into ins_premium_det (premium_rcv_code,assorted_code, rec_amount,premium_rcv_detail_code,remaining_amt, payrec, mode_code,coinsurance_code,class_cd,it_remarks) values('28Nov240018','070000169337','60900',(select max(to_number(i.premium_rcv_detail_code))+1
from ins_premium_det i),'60900','60900','02', '11000003','00','Request by Mr.Reheel Malik Fresh 02-Dec-2024');</v>
      </c>
    </row>
    <row r="22" spans="1:8" ht="105" x14ac:dyDescent="0.25">
      <c r="A22" s="16" t="s">
        <v>192</v>
      </c>
      <c r="B22" s="38" t="str">
        <f>VLOOKUP(A22,policy!B:C,2,0)</f>
        <v>070000169290</v>
      </c>
      <c r="C22" s="39">
        <f>VLOOKUP(A22,Fresh!AF:AG,2,0)</f>
        <v>89250</v>
      </c>
      <c r="D22" s="40">
        <f t="shared" si="1"/>
        <v>89250</v>
      </c>
      <c r="E22" s="41" t="s">
        <v>2168</v>
      </c>
      <c r="F22" s="42" t="str">
        <f t="shared" si="0"/>
        <v>insert into ins_premium_det (premium_rcv_code,assorted_code, rec_amount,premium_rcv_detail_code,remaining_amt, payrec, mode_code,coinsurance_code,class_cd,it_remarks) values</v>
      </c>
      <c r="G22" s="43" t="str">
        <f t="shared" si="2"/>
        <v>('28Nov240018','070000169290','89250',(select max(to_number(i.premium_rcv_detail_code))+1
from ins_premium_det i),'89250','89250','02', '11000003','00','Request by Mr.Reheel Malik Fresh 02-Dec-2024');</v>
      </c>
      <c r="H22" s="44" t="str">
        <f t="shared" si="3"/>
        <v>insert into ins_premium_det (premium_rcv_code,assorted_code, rec_amount,premium_rcv_detail_code,remaining_amt, payrec, mode_code,coinsurance_code,class_cd,it_remarks) values('28Nov240018','070000169290','89250',(select max(to_number(i.premium_rcv_detail_code))+1
from ins_premium_det i),'89250','89250','02', '11000003','00','Request by Mr.Reheel Malik Fresh 02-Dec-2024');</v>
      </c>
    </row>
    <row r="23" spans="1:8" ht="105" x14ac:dyDescent="0.25">
      <c r="A23" s="16" t="s">
        <v>199</v>
      </c>
      <c r="B23" s="38" t="str">
        <f>VLOOKUP(A23,policy!B:C,2,0)</f>
        <v>070000169041</v>
      </c>
      <c r="C23" s="39">
        <f>VLOOKUP(A23,Fresh!AF:AG,2,0)</f>
        <v>60900</v>
      </c>
      <c r="D23" s="40">
        <f t="shared" si="1"/>
        <v>60900</v>
      </c>
      <c r="E23" s="41" t="s">
        <v>2168</v>
      </c>
      <c r="F23" s="42" t="str">
        <f t="shared" si="0"/>
        <v>insert into ins_premium_det (premium_rcv_code,assorted_code, rec_amount,premium_rcv_detail_code,remaining_amt, payrec, mode_code,coinsurance_code,class_cd,it_remarks) values</v>
      </c>
      <c r="G23" s="43" t="str">
        <f t="shared" si="2"/>
        <v>('28Nov240018','070000169041','60900',(select max(to_number(i.premium_rcv_detail_code))+1
from ins_premium_det i),'60900','60900','02', '11000003','00','Request by Mr.Reheel Malik Fresh 02-Dec-2024');</v>
      </c>
      <c r="H23" s="44" t="str">
        <f t="shared" si="3"/>
        <v>insert into ins_premium_det (premium_rcv_code,assorted_code, rec_amount,premium_rcv_detail_code,remaining_amt, payrec, mode_code,coinsurance_code,class_cd,it_remarks) values('28Nov240018','070000169041','60900',(select max(to_number(i.premium_rcv_detail_code))+1
from ins_premium_det i),'60900','60900','02', '11000003','00','Request by Mr.Reheel Malik Fresh 02-Dec-2024');</v>
      </c>
    </row>
    <row r="24" spans="1:8" ht="105" x14ac:dyDescent="0.25">
      <c r="A24" s="16" t="s">
        <v>205</v>
      </c>
      <c r="B24" s="38" t="str">
        <f>VLOOKUP(A24,policy!B:C,2,0)</f>
        <v>070000169039</v>
      </c>
      <c r="C24" s="39">
        <f>VLOOKUP(A24,Fresh!AF:AG,2,0)</f>
        <v>63000</v>
      </c>
      <c r="D24" s="40">
        <f t="shared" si="1"/>
        <v>63000</v>
      </c>
      <c r="E24" s="41" t="s">
        <v>2168</v>
      </c>
      <c r="F24" s="42" t="str">
        <f t="shared" si="0"/>
        <v>insert into ins_premium_det (premium_rcv_code,assorted_code, rec_amount,premium_rcv_detail_code,remaining_amt, payrec, mode_code,coinsurance_code,class_cd,it_remarks) values</v>
      </c>
      <c r="G24" s="43" t="str">
        <f t="shared" si="2"/>
        <v>('28Nov240018','070000169039','63000',(select max(to_number(i.premium_rcv_detail_code))+1
from ins_premium_det i),'63000','63000','02', '11000003','00','Request by Mr.Reheel Malik Fresh 02-Dec-2024');</v>
      </c>
      <c r="H24" s="44" t="str">
        <f t="shared" si="3"/>
        <v>insert into ins_premium_det (premium_rcv_code,assorted_code, rec_amount,premium_rcv_detail_code,remaining_amt, payrec, mode_code,coinsurance_code,class_cd,it_remarks) values('28Nov240018','070000169039','63000',(select max(to_number(i.premium_rcv_detail_code))+1
from ins_premium_det i),'63000','63000','02', '11000003','00','Request by Mr.Reheel Malik Fresh 02-Dec-2024');</v>
      </c>
    </row>
    <row r="25" spans="1:8" ht="105" x14ac:dyDescent="0.25">
      <c r="A25" s="16" t="s">
        <v>212</v>
      </c>
      <c r="B25" s="38" t="str">
        <f>VLOOKUP(A25,policy!B:C,2,0)</f>
        <v>070000169034</v>
      </c>
      <c r="C25" s="39">
        <f>VLOOKUP(A25,Fresh!AF:AG,2,0)</f>
        <v>52500</v>
      </c>
      <c r="D25" s="40">
        <f t="shared" si="1"/>
        <v>52500</v>
      </c>
      <c r="E25" s="41" t="s">
        <v>2168</v>
      </c>
      <c r="F25" s="42" t="str">
        <f t="shared" si="0"/>
        <v>insert into ins_premium_det (premium_rcv_code,assorted_code, rec_amount,premium_rcv_detail_code,remaining_amt, payrec, mode_code,coinsurance_code,class_cd,it_remarks) values</v>
      </c>
      <c r="G25" s="43" t="str">
        <f t="shared" si="2"/>
        <v>('28Nov240018','070000169034','52500',(select max(to_number(i.premium_rcv_detail_code))+1
from ins_premium_det i),'52500','52500','02', '11000003','00','Request by Mr.Reheel Malik Fresh 02-Dec-2024');</v>
      </c>
      <c r="H25" s="44" t="str">
        <f t="shared" si="3"/>
        <v>insert into ins_premium_det (premium_rcv_code,assorted_code, rec_amount,premium_rcv_detail_code,remaining_amt, payrec, mode_code,coinsurance_code,class_cd,it_remarks) values('28Nov240018','070000169034','52500',(select max(to_number(i.premium_rcv_detail_code))+1
from ins_premium_det i),'52500','52500','02', '11000003','00','Request by Mr.Reheel Malik Fresh 02-Dec-2024');</v>
      </c>
    </row>
    <row r="26" spans="1:8" ht="105" x14ac:dyDescent="0.25">
      <c r="A26" s="16" t="s">
        <v>220</v>
      </c>
      <c r="B26" s="38" t="str">
        <f>VLOOKUP(A26,policy!B:C,2,0)</f>
        <v>070000169017</v>
      </c>
      <c r="C26" s="39">
        <f>VLOOKUP(A26,Fresh!AF:AG,2,0)</f>
        <v>43000</v>
      </c>
      <c r="D26" s="40">
        <f t="shared" si="1"/>
        <v>43000</v>
      </c>
      <c r="E26" s="41" t="s">
        <v>2168</v>
      </c>
      <c r="F26" s="42" t="str">
        <f t="shared" si="0"/>
        <v>insert into ins_premium_det (premium_rcv_code,assorted_code, rec_amount,premium_rcv_detail_code,remaining_amt, payrec, mode_code,coinsurance_code,class_cd,it_remarks) values</v>
      </c>
      <c r="G26" s="43" t="str">
        <f t="shared" si="2"/>
        <v>('28Nov240018','070000169017','43000',(select max(to_number(i.premium_rcv_detail_code))+1
from ins_premium_det i),'43000','43000','02', '11000003','00','Request by Mr.Reheel Malik Fresh 02-Dec-2024');</v>
      </c>
      <c r="H26" s="44" t="str">
        <f t="shared" si="3"/>
        <v>insert into ins_premium_det (premium_rcv_code,assorted_code, rec_amount,premium_rcv_detail_code,remaining_amt, payrec, mode_code,coinsurance_code,class_cd,it_remarks) values('28Nov240018','070000169017','43000',(select max(to_number(i.premium_rcv_detail_code))+1
from ins_premium_det i),'43000','43000','02', '11000003','00','Request by Mr.Reheel Malik Fresh 02-Dec-2024');</v>
      </c>
    </row>
    <row r="27" spans="1:8" ht="105" x14ac:dyDescent="0.25">
      <c r="A27" s="16" t="s">
        <v>224</v>
      </c>
      <c r="B27" s="38" t="str">
        <f>VLOOKUP(A27,policy!B:C,2,0)</f>
        <v>070000169012</v>
      </c>
      <c r="C27" s="39">
        <f>VLOOKUP(A27,Fresh!AF:AG,2,0)</f>
        <v>67500</v>
      </c>
      <c r="D27" s="40">
        <f t="shared" si="1"/>
        <v>67500</v>
      </c>
      <c r="E27" s="41" t="s">
        <v>2168</v>
      </c>
      <c r="F27" s="42" t="str">
        <f t="shared" si="0"/>
        <v>insert into ins_premium_det (premium_rcv_code,assorted_code, rec_amount,premium_rcv_detail_code,remaining_amt, payrec, mode_code,coinsurance_code,class_cd,it_remarks) values</v>
      </c>
      <c r="G27" s="43" t="str">
        <f t="shared" si="2"/>
        <v>('28Nov240018','070000169012','67500',(select max(to_number(i.premium_rcv_detail_code))+1
from ins_premium_det i),'67500','67500','02', '11000003','00','Request by Mr.Reheel Malik Fresh 02-Dec-2024');</v>
      </c>
      <c r="H27" s="44" t="str">
        <f t="shared" si="3"/>
        <v>insert into ins_premium_det (premium_rcv_code,assorted_code, rec_amount,premium_rcv_detail_code,remaining_amt, payrec, mode_code,coinsurance_code,class_cd,it_remarks) values('28Nov240018','070000169012','67500',(select max(to_number(i.premium_rcv_detail_code))+1
from ins_premium_det i),'67500','67500','02', '11000003','00','Request by Mr.Reheel Malik Fresh 02-Dec-2024');</v>
      </c>
    </row>
    <row r="28" spans="1:8" ht="105" x14ac:dyDescent="0.25">
      <c r="A28" s="16" t="s">
        <v>231</v>
      </c>
      <c r="B28" s="38" t="str">
        <f>VLOOKUP(A28,policy!B:C,2,0)</f>
        <v>070000167950</v>
      </c>
      <c r="C28" s="39">
        <f>VLOOKUP(A28,Fresh!AF:AG,2,0)</f>
        <v>28000</v>
      </c>
      <c r="D28" s="40">
        <f t="shared" si="1"/>
        <v>28000</v>
      </c>
      <c r="E28" s="41" t="s">
        <v>2168</v>
      </c>
      <c r="F28" s="42" t="str">
        <f t="shared" si="0"/>
        <v>insert into ins_premium_det (premium_rcv_code,assorted_code, rec_amount,premium_rcv_detail_code,remaining_amt, payrec, mode_code,coinsurance_code,class_cd,it_remarks) values</v>
      </c>
      <c r="G28" s="43" t="str">
        <f t="shared" si="2"/>
        <v>('28Nov240018','070000167950','28000',(select max(to_number(i.premium_rcv_detail_code))+1
from ins_premium_det i),'28000','28000','02', '11000003','00','Request by Mr.Reheel Malik Fresh 02-Dec-2024');</v>
      </c>
      <c r="H28" s="44" t="str">
        <f t="shared" si="3"/>
        <v>insert into ins_premium_det (premium_rcv_code,assorted_code, rec_amount,premium_rcv_detail_code,remaining_amt, payrec, mode_code,coinsurance_code,class_cd,it_remarks) values('28Nov240018','070000167950','28000',(select max(to_number(i.premium_rcv_detail_code))+1
from ins_premium_det i),'28000','28000','02', '11000003','00','Request by Mr.Reheel Malik Fresh 02-Dec-2024');</v>
      </c>
    </row>
    <row r="29" spans="1:8" ht="105" x14ac:dyDescent="0.25">
      <c r="A29" s="16" t="s">
        <v>238</v>
      </c>
      <c r="B29" s="38" t="str">
        <f>VLOOKUP(A29,policy!B:C,2,0)</f>
        <v>070000167884</v>
      </c>
      <c r="C29" s="39">
        <f>VLOOKUP(A29,Fresh!AF:AG,2,0)</f>
        <v>66000</v>
      </c>
      <c r="D29" s="40">
        <f t="shared" si="1"/>
        <v>66000</v>
      </c>
      <c r="E29" s="41" t="s">
        <v>2168</v>
      </c>
      <c r="F29" s="42" t="str">
        <f t="shared" si="0"/>
        <v>insert into ins_premium_det (premium_rcv_code,assorted_code, rec_amount,premium_rcv_detail_code,remaining_amt, payrec, mode_code,coinsurance_code,class_cd,it_remarks) values</v>
      </c>
      <c r="G29" s="43" t="str">
        <f t="shared" si="2"/>
        <v>('28Nov240018','070000167884','66000',(select max(to_number(i.premium_rcv_detail_code))+1
from ins_premium_det i),'66000','66000','02', '11000003','00','Request by Mr.Reheel Malik Fresh 02-Dec-2024');</v>
      </c>
      <c r="H29" s="44" t="str">
        <f t="shared" si="3"/>
        <v>insert into ins_premium_det (premium_rcv_code,assorted_code, rec_amount,premium_rcv_detail_code,remaining_amt, payrec, mode_code,coinsurance_code,class_cd,it_remarks) values('28Nov240018','070000167884','66000',(select max(to_number(i.premium_rcv_detail_code))+1
from ins_premium_det i),'66000','66000','02', '11000003','00','Request by Mr.Reheel Malik Fresh 02-Dec-2024');</v>
      </c>
    </row>
    <row r="30" spans="1:8" ht="105" x14ac:dyDescent="0.25">
      <c r="A30" s="16" t="s">
        <v>246</v>
      </c>
      <c r="B30" s="38" t="str">
        <f>VLOOKUP(A30,policy!B:C,2,0)</f>
        <v>070000167875</v>
      </c>
      <c r="C30" s="39">
        <f>VLOOKUP(A30,Fresh!AF:AG,2,0)</f>
        <v>54140</v>
      </c>
      <c r="D30" s="40">
        <f t="shared" si="1"/>
        <v>54140</v>
      </c>
      <c r="E30" s="41" t="s">
        <v>2168</v>
      </c>
      <c r="F30" s="42" t="str">
        <f t="shared" si="0"/>
        <v>insert into ins_premium_det (premium_rcv_code,assorted_code, rec_amount,premium_rcv_detail_code,remaining_amt, payrec, mode_code,coinsurance_code,class_cd,it_remarks) values</v>
      </c>
      <c r="G30" s="43" t="str">
        <f t="shared" si="2"/>
        <v>('28Nov240018','070000167875','54140',(select max(to_number(i.premium_rcv_detail_code))+1
from ins_premium_det i),'54140','54140','02', '11000003','00','Request by Mr.Reheel Malik Fresh 02-Dec-2024');</v>
      </c>
      <c r="H30" s="44" t="str">
        <f t="shared" si="3"/>
        <v>insert into ins_premium_det (premium_rcv_code,assorted_code, rec_amount,premium_rcv_detail_code,remaining_amt, payrec, mode_code,coinsurance_code,class_cd,it_remarks) values('28Nov240018','070000167875','54140',(select max(to_number(i.premium_rcv_detail_code))+1
from ins_premium_det i),'54140','54140','02', '11000003','00','Request by Mr.Reheel Malik Fresh 02-Dec-2024');</v>
      </c>
    </row>
    <row r="31" spans="1:8" ht="105" x14ac:dyDescent="0.25">
      <c r="A31" s="16" t="s">
        <v>252</v>
      </c>
      <c r="B31" s="38" t="str">
        <f>VLOOKUP(A31,policy!B:C,2,0)</f>
        <v>070000167853</v>
      </c>
      <c r="C31" s="39">
        <f>VLOOKUP(A31,Fresh!AF:AG,2,0)</f>
        <v>157500</v>
      </c>
      <c r="D31" s="40">
        <f t="shared" si="1"/>
        <v>157500</v>
      </c>
      <c r="E31" s="41" t="s">
        <v>2168</v>
      </c>
      <c r="F31" s="42" t="str">
        <f t="shared" si="0"/>
        <v>insert into ins_premium_det (premium_rcv_code,assorted_code, rec_amount,premium_rcv_detail_code,remaining_amt, payrec, mode_code,coinsurance_code,class_cd,it_remarks) values</v>
      </c>
      <c r="G31" s="43" t="str">
        <f t="shared" si="2"/>
        <v>('28Nov240018','070000167853','157500',(select max(to_number(i.premium_rcv_detail_code))+1
from ins_premium_det i),'157500','157500','02', '11000003','00','Request by Mr.Reheel Malik Fresh 02-Dec-2024');</v>
      </c>
      <c r="H31" s="44" t="str">
        <f t="shared" si="3"/>
        <v>insert into ins_premium_det (premium_rcv_code,assorted_code, rec_amount,premium_rcv_detail_code,remaining_amt, payrec, mode_code,coinsurance_code,class_cd,it_remarks) values('28Nov240018','070000167853','157500',(select max(to_number(i.premium_rcv_detail_code))+1
from ins_premium_det i),'157500','157500','02', '11000003','00','Request by Mr.Reheel Malik Fresh 02-Dec-2024');</v>
      </c>
    </row>
    <row r="32" spans="1:8" ht="105" x14ac:dyDescent="0.25">
      <c r="A32" s="16" t="s">
        <v>260</v>
      </c>
      <c r="B32" s="38" t="str">
        <f>VLOOKUP(A32,policy!B:C,2,0)</f>
        <v>070000167851</v>
      </c>
      <c r="C32" s="39">
        <f>VLOOKUP(A32,Fresh!AF:AG,2,0)</f>
        <v>37120</v>
      </c>
      <c r="D32" s="40">
        <f t="shared" si="1"/>
        <v>37120</v>
      </c>
      <c r="E32" s="41" t="s">
        <v>2168</v>
      </c>
      <c r="F32" s="42" t="str">
        <f t="shared" si="0"/>
        <v>insert into ins_premium_det (premium_rcv_code,assorted_code, rec_amount,premium_rcv_detail_code,remaining_amt, payrec, mode_code,coinsurance_code,class_cd,it_remarks) values</v>
      </c>
      <c r="G32" s="43" t="str">
        <f t="shared" si="2"/>
        <v>('28Nov240018','070000167851','37120',(select max(to_number(i.premium_rcv_detail_code))+1
from ins_premium_det i),'37120','37120','02', '11000003','00','Request by Mr.Reheel Malik Fresh 02-Dec-2024');</v>
      </c>
      <c r="H32" s="44" t="str">
        <f t="shared" si="3"/>
        <v>insert into ins_premium_det (premium_rcv_code,assorted_code, rec_amount,premium_rcv_detail_code,remaining_amt, payrec, mode_code,coinsurance_code,class_cd,it_remarks) values('28Nov240018','070000167851','37120',(select max(to_number(i.premium_rcv_detail_code))+1
from ins_premium_det i),'37120','37120','02', '11000003','00','Request by Mr.Reheel Malik Fresh 02-Dec-2024');</v>
      </c>
    </row>
    <row r="33" spans="1:8" ht="105" x14ac:dyDescent="0.25">
      <c r="A33" s="16" t="s">
        <v>266</v>
      </c>
      <c r="B33" s="38" t="str">
        <f>VLOOKUP(A33,policy!B:C,2,0)</f>
        <v>070000167632</v>
      </c>
      <c r="C33" s="39">
        <f>VLOOKUP(A33,Fresh!AF:AG,2,0)</f>
        <v>28000</v>
      </c>
      <c r="D33" s="40">
        <f t="shared" si="1"/>
        <v>28000</v>
      </c>
      <c r="E33" s="41" t="s">
        <v>2168</v>
      </c>
      <c r="F33" s="42" t="str">
        <f t="shared" si="0"/>
        <v>insert into ins_premium_det (premium_rcv_code,assorted_code, rec_amount,premium_rcv_detail_code,remaining_amt, payrec, mode_code,coinsurance_code,class_cd,it_remarks) values</v>
      </c>
      <c r="G33" s="43" t="str">
        <f t="shared" si="2"/>
        <v>('28Nov240018','070000167632','28000',(select max(to_number(i.premium_rcv_detail_code))+1
from ins_premium_det i),'28000','28000','02', '11000003','00','Request by Mr.Reheel Malik Fresh 02-Dec-2024');</v>
      </c>
      <c r="H33" s="44" t="str">
        <f t="shared" si="3"/>
        <v>insert into ins_premium_det (premium_rcv_code,assorted_code, rec_amount,premium_rcv_detail_code,remaining_amt, payrec, mode_code,coinsurance_code,class_cd,it_remarks) values('28Nov240018','070000167632','28000',(select max(to_number(i.premium_rcv_detail_code))+1
from ins_premium_det i),'28000','28000','02', '11000003','00','Request by Mr.Reheel Malik Fresh 02-Dec-2024');</v>
      </c>
    </row>
    <row r="34" spans="1:8" ht="105" x14ac:dyDescent="0.25">
      <c r="A34" s="16" t="s">
        <v>274</v>
      </c>
      <c r="B34" s="38" t="str">
        <f>VLOOKUP(A34,policy!B:C,2,0)</f>
        <v>070000167628</v>
      </c>
      <c r="C34" s="39">
        <f>VLOOKUP(A34,Fresh!AF:AG,2,0)</f>
        <v>49000</v>
      </c>
      <c r="D34" s="40">
        <f t="shared" si="1"/>
        <v>49000</v>
      </c>
      <c r="E34" s="41" t="s">
        <v>2168</v>
      </c>
      <c r="F34" s="42" t="str">
        <f t="shared" si="0"/>
        <v>insert into ins_premium_det (premium_rcv_code,assorted_code, rec_amount,premium_rcv_detail_code,remaining_amt, payrec, mode_code,coinsurance_code,class_cd,it_remarks) values</v>
      </c>
      <c r="G34" s="43" t="str">
        <f t="shared" si="2"/>
        <v>('28Nov240018','070000167628','49000',(select max(to_number(i.premium_rcv_detail_code))+1
from ins_premium_det i),'49000','49000','02', '11000003','00','Request by Mr.Reheel Malik Fresh 02-Dec-2024');</v>
      </c>
      <c r="H34" s="44" t="str">
        <f t="shared" si="3"/>
        <v>insert into ins_premium_det (premium_rcv_code,assorted_code, rec_amount,premium_rcv_detail_code,remaining_amt, payrec, mode_code,coinsurance_code,class_cd,it_remarks) values('28Nov240018','070000167628','49000',(select max(to_number(i.premium_rcv_detail_code))+1
from ins_premium_det i),'49000','49000','02', '11000003','00','Request by Mr.Reheel Malik Fresh 02-Dec-2024');</v>
      </c>
    </row>
    <row r="35" spans="1:8" ht="105" x14ac:dyDescent="0.25">
      <c r="A35" s="16" t="s">
        <v>281</v>
      </c>
      <c r="B35" s="38" t="str">
        <f>VLOOKUP(A35,policy!B:C,2,0)</f>
        <v>070000167626</v>
      </c>
      <c r="C35" s="39">
        <f>VLOOKUP(A35,Fresh!AF:AG,2,0)</f>
        <v>54000</v>
      </c>
      <c r="D35" s="40">
        <f t="shared" si="1"/>
        <v>54000</v>
      </c>
      <c r="E35" s="41" t="s">
        <v>2168</v>
      </c>
      <c r="F35" s="42" t="str">
        <f t="shared" si="0"/>
        <v>insert into ins_premium_det (premium_rcv_code,assorted_code, rec_amount,premium_rcv_detail_code,remaining_amt, payrec, mode_code,coinsurance_code,class_cd,it_remarks) values</v>
      </c>
      <c r="G35" s="43" t="str">
        <f t="shared" si="2"/>
        <v>('28Nov240018','070000167626','54000',(select max(to_number(i.premium_rcv_detail_code))+1
from ins_premium_det i),'54000','54000','02', '11000003','00','Request by Mr.Reheel Malik Fresh 02-Dec-2024');</v>
      </c>
      <c r="H35" s="44" t="str">
        <f t="shared" si="3"/>
        <v>insert into ins_premium_det (premium_rcv_code,assorted_code, rec_amount,premium_rcv_detail_code,remaining_amt, payrec, mode_code,coinsurance_code,class_cd,it_remarks) values('28Nov240018','070000167626','54000',(select max(to_number(i.premium_rcv_detail_code))+1
from ins_premium_det i),'54000','54000','02', '11000003','00','Request by Mr.Reheel Malik Fresh 02-Dec-2024');</v>
      </c>
    </row>
    <row r="36" spans="1:8" ht="105" x14ac:dyDescent="0.25">
      <c r="A36" s="16" t="s">
        <v>286</v>
      </c>
      <c r="B36" s="38" t="str">
        <f>VLOOKUP(A36,policy!B:C,2,0)</f>
        <v>070000167622</v>
      </c>
      <c r="C36" s="39">
        <f>VLOOKUP(A36,Fresh!AF:AG,2,0)</f>
        <v>52000</v>
      </c>
      <c r="D36" s="40">
        <f t="shared" si="1"/>
        <v>52000</v>
      </c>
      <c r="E36" s="41" t="s">
        <v>2168</v>
      </c>
      <c r="F36" s="42" t="str">
        <f t="shared" si="0"/>
        <v>insert into ins_premium_det (premium_rcv_code,assorted_code, rec_amount,premium_rcv_detail_code,remaining_amt, payrec, mode_code,coinsurance_code,class_cd,it_remarks) values</v>
      </c>
      <c r="G36" s="43" t="str">
        <f t="shared" si="2"/>
        <v>('28Nov240018','070000167622','52000',(select max(to_number(i.premium_rcv_detail_code))+1
from ins_premium_det i),'52000','52000','02', '11000003','00','Request by Mr.Reheel Malik Fresh 02-Dec-2024');</v>
      </c>
      <c r="H36" s="44" t="str">
        <f t="shared" si="3"/>
        <v>insert into ins_premium_det (premium_rcv_code,assorted_code, rec_amount,premium_rcv_detail_code,remaining_amt, payrec, mode_code,coinsurance_code,class_cd,it_remarks) values('28Nov240018','070000167622','52000',(select max(to_number(i.premium_rcv_detail_code))+1
from ins_premium_det i),'52000','52000','02', '11000003','00','Request by Mr.Reheel Malik Fresh 02-Dec-2024');</v>
      </c>
    </row>
    <row r="37" spans="1:8" ht="105" x14ac:dyDescent="0.25">
      <c r="A37" s="16" t="s">
        <v>293</v>
      </c>
      <c r="B37" s="38" t="str">
        <f>VLOOKUP(A37,policy!B:C,2,0)</f>
        <v>070000167614</v>
      </c>
      <c r="C37" s="39">
        <f>VLOOKUP(A37,Fresh!AF:AG,2,0)</f>
        <v>44000</v>
      </c>
      <c r="D37" s="40">
        <f t="shared" si="1"/>
        <v>44000</v>
      </c>
      <c r="E37" s="41" t="s">
        <v>2168</v>
      </c>
      <c r="F37" s="42" t="str">
        <f t="shared" si="0"/>
        <v>insert into ins_premium_det (premium_rcv_code,assorted_code, rec_amount,premium_rcv_detail_code,remaining_amt, payrec, mode_code,coinsurance_code,class_cd,it_remarks) values</v>
      </c>
      <c r="G37" s="43" t="str">
        <f t="shared" si="2"/>
        <v>('28Nov240018','070000167614','44000',(select max(to_number(i.premium_rcv_detail_code))+1
from ins_premium_det i),'44000','44000','02', '11000003','00','Request by Mr.Reheel Malik Fresh 02-Dec-2024');</v>
      </c>
      <c r="H37" s="44" t="str">
        <f t="shared" si="3"/>
        <v>insert into ins_premium_det (premium_rcv_code,assorted_code, rec_amount,premium_rcv_detail_code,remaining_amt, payrec, mode_code,coinsurance_code,class_cd,it_remarks) values('28Nov240018','070000167614','44000',(select max(to_number(i.premium_rcv_detail_code))+1
from ins_premium_det i),'44000','44000','02', '11000003','00','Request by Mr.Reheel Malik Fresh 02-Dec-2024');</v>
      </c>
    </row>
    <row r="38" spans="1:8" ht="105" x14ac:dyDescent="0.25">
      <c r="A38" s="16" t="s">
        <v>301</v>
      </c>
      <c r="B38" s="38" t="str">
        <f>VLOOKUP(A38,policy!B:C,2,0)</f>
        <v>070000167548</v>
      </c>
      <c r="C38" s="39">
        <f>VLOOKUP(A38,Fresh!AF:AG,2,0)</f>
        <v>90000</v>
      </c>
      <c r="D38" s="40">
        <f t="shared" si="1"/>
        <v>90000</v>
      </c>
      <c r="E38" s="41" t="s">
        <v>2168</v>
      </c>
      <c r="F38" s="42" t="str">
        <f t="shared" si="0"/>
        <v>insert into ins_premium_det (premium_rcv_code,assorted_code, rec_amount,premium_rcv_detail_code,remaining_amt, payrec, mode_code,coinsurance_code,class_cd,it_remarks) values</v>
      </c>
      <c r="G38" s="43" t="str">
        <f t="shared" si="2"/>
        <v>('28Nov240018','070000167548','90000',(select max(to_number(i.premium_rcv_detail_code))+1
from ins_premium_det i),'90000','90000','02', '11000003','00','Request by Mr.Reheel Malik Fresh 02-Dec-2024');</v>
      </c>
      <c r="H38" s="44" t="str">
        <f t="shared" si="3"/>
        <v>insert into ins_premium_det (premium_rcv_code,assorted_code, rec_amount,premium_rcv_detail_code,remaining_amt, payrec, mode_code,coinsurance_code,class_cd,it_remarks) values('28Nov240018','070000167548','90000',(select max(to_number(i.premium_rcv_detail_code))+1
from ins_premium_det i),'90000','90000','02', '11000003','00','Request by Mr.Reheel Malik Fresh 02-Dec-2024');</v>
      </c>
    </row>
    <row r="39" spans="1:8" ht="105" x14ac:dyDescent="0.25">
      <c r="A39" s="16" t="s">
        <v>309</v>
      </c>
      <c r="B39" s="38" t="str">
        <f>VLOOKUP(A39,policy!B:C,2,0)</f>
        <v>070000167539</v>
      </c>
      <c r="C39" s="39">
        <f>VLOOKUP(A39,Fresh!AF:AG,2,0)</f>
        <v>70785</v>
      </c>
      <c r="D39" s="40">
        <f t="shared" si="1"/>
        <v>70785</v>
      </c>
      <c r="E39" s="41" t="s">
        <v>2168</v>
      </c>
      <c r="F39" s="42" t="str">
        <f t="shared" si="0"/>
        <v>insert into ins_premium_det (premium_rcv_code,assorted_code, rec_amount,premium_rcv_detail_code,remaining_amt, payrec, mode_code,coinsurance_code,class_cd,it_remarks) values</v>
      </c>
      <c r="G39" s="43" t="str">
        <f t="shared" si="2"/>
        <v>('28Nov240018','070000167539','70785',(select max(to_number(i.premium_rcv_detail_code))+1
from ins_premium_det i),'70785','70785','02', '11000003','00','Request by Mr.Reheel Malik Fresh 02-Dec-2024');</v>
      </c>
      <c r="H39" s="44" t="str">
        <f t="shared" si="3"/>
        <v>insert into ins_premium_det (premium_rcv_code,assorted_code, rec_amount,premium_rcv_detail_code,remaining_amt, payrec, mode_code,coinsurance_code,class_cd,it_remarks) values('28Nov240018','070000167539','70785',(select max(to_number(i.premium_rcv_detail_code))+1
from ins_premium_det i),'70785','70785','02', '11000003','00','Request by Mr.Reheel Malik Fresh 02-Dec-2024');</v>
      </c>
    </row>
    <row r="40" spans="1:8" ht="105" x14ac:dyDescent="0.25">
      <c r="A40" s="16" t="s">
        <v>315</v>
      </c>
      <c r="B40" s="38" t="str">
        <f>VLOOKUP(A40,policy!B:C,2,0)</f>
        <v>070000167449</v>
      </c>
      <c r="C40" s="39">
        <f>VLOOKUP(A40,Fresh!AF:AG,2,0)</f>
        <v>44000</v>
      </c>
      <c r="D40" s="40">
        <f t="shared" si="1"/>
        <v>44000</v>
      </c>
      <c r="E40" s="41" t="s">
        <v>2168</v>
      </c>
      <c r="F40" s="42" t="str">
        <f t="shared" si="0"/>
        <v>insert into ins_premium_det (premium_rcv_code,assorted_code, rec_amount,premium_rcv_detail_code,remaining_amt, payrec, mode_code,coinsurance_code,class_cd,it_remarks) values</v>
      </c>
      <c r="G40" s="43" t="str">
        <f t="shared" si="2"/>
        <v>('28Nov240018','070000167449','44000',(select max(to_number(i.premium_rcv_detail_code))+1
from ins_premium_det i),'44000','44000','02', '11000003','00','Request by Mr.Reheel Malik Fresh 02-Dec-2024');</v>
      </c>
      <c r="H40" s="44" t="str">
        <f t="shared" si="3"/>
        <v>insert into ins_premium_det (premium_rcv_code,assorted_code, rec_amount,premium_rcv_detail_code,remaining_amt, payrec, mode_code,coinsurance_code,class_cd,it_remarks) values('28Nov240018','070000167449','44000',(select max(to_number(i.premium_rcv_detail_code))+1
from ins_premium_det i),'44000','44000','02', '11000003','00','Request by Mr.Reheel Malik Fresh 02-Dec-2024');</v>
      </c>
    </row>
    <row r="41" spans="1:8" ht="105" x14ac:dyDescent="0.25">
      <c r="A41" s="16" t="s">
        <v>323</v>
      </c>
      <c r="B41" s="38" t="str">
        <f>VLOOKUP(A41,policy!B:C,2,0)</f>
        <v>070000167448</v>
      </c>
      <c r="C41" s="39">
        <f>VLOOKUP(A41,Fresh!AF:AG,2,0)</f>
        <v>68235</v>
      </c>
      <c r="D41" s="40">
        <f t="shared" si="1"/>
        <v>68235</v>
      </c>
      <c r="E41" s="41" t="s">
        <v>2168</v>
      </c>
      <c r="F41" s="42" t="str">
        <f t="shared" si="0"/>
        <v>insert into ins_premium_det (premium_rcv_code,assorted_code, rec_amount,premium_rcv_detail_code,remaining_amt, payrec, mode_code,coinsurance_code,class_cd,it_remarks) values</v>
      </c>
      <c r="G41" s="43" t="str">
        <f t="shared" si="2"/>
        <v>('28Nov240018','070000167448','68235',(select max(to_number(i.premium_rcv_detail_code))+1
from ins_premium_det i),'68235','68235','02', '11000003','00','Request by Mr.Reheel Malik Fresh 02-Dec-2024');</v>
      </c>
      <c r="H41" s="44" t="str">
        <f t="shared" si="3"/>
        <v>insert into ins_premium_det (premium_rcv_code,assorted_code, rec_amount,premium_rcv_detail_code,remaining_amt, payrec, mode_code,coinsurance_code,class_cd,it_remarks) values('28Nov240018','070000167448','68235',(select max(to_number(i.premium_rcv_detail_code))+1
from ins_premium_det i),'68235','68235','02', '11000003','00','Request by Mr.Reheel Malik Fresh 02-Dec-2024');</v>
      </c>
    </row>
    <row r="42" spans="1:8" ht="105" x14ac:dyDescent="0.25">
      <c r="A42" s="16" t="s">
        <v>329</v>
      </c>
      <c r="B42" s="38" t="str">
        <f>VLOOKUP(A42,policy!B:C,2,0)</f>
        <v>070000167437</v>
      </c>
      <c r="C42" s="39">
        <f>VLOOKUP(A42,Fresh!AF:AG,2,0)</f>
        <v>66750</v>
      </c>
      <c r="D42" s="40">
        <f t="shared" si="1"/>
        <v>66750</v>
      </c>
      <c r="E42" s="41" t="s">
        <v>2168</v>
      </c>
      <c r="F42" s="42" t="str">
        <f t="shared" si="0"/>
        <v>insert into ins_premium_det (premium_rcv_code,assorted_code, rec_amount,premium_rcv_detail_code,remaining_amt, payrec, mode_code,coinsurance_code,class_cd,it_remarks) values</v>
      </c>
      <c r="G42" s="43" t="str">
        <f t="shared" si="2"/>
        <v>('28Nov240018','070000167437','66750',(select max(to_number(i.premium_rcv_detail_code))+1
from ins_premium_det i),'66750','66750','02', '11000003','00','Request by Mr.Reheel Malik Fresh 02-Dec-2024');</v>
      </c>
      <c r="H42" s="44" t="str">
        <f t="shared" si="3"/>
        <v>insert into ins_premium_det (premium_rcv_code,assorted_code, rec_amount,premium_rcv_detail_code,remaining_amt, payrec, mode_code,coinsurance_code,class_cd,it_remarks) values('28Nov240018','070000167437','66750',(select max(to_number(i.premium_rcv_detail_code))+1
from ins_premium_det i),'66750','66750','02', '11000003','00','Request by Mr.Reheel Malik Fresh 02-Dec-2024');</v>
      </c>
    </row>
    <row r="43" spans="1:8" ht="105" x14ac:dyDescent="0.25">
      <c r="A43" s="16" t="s">
        <v>336</v>
      </c>
      <c r="B43" s="38" t="str">
        <f>VLOOKUP(A43,policy!B:C,2,0)</f>
        <v>070000167434</v>
      </c>
      <c r="C43" s="39">
        <f>VLOOKUP(A43,Fresh!AF:AG,2,0)</f>
        <v>133485</v>
      </c>
      <c r="D43" s="40">
        <f t="shared" si="1"/>
        <v>133485</v>
      </c>
      <c r="E43" s="41" t="s">
        <v>2168</v>
      </c>
      <c r="F43" s="42" t="str">
        <f t="shared" si="0"/>
        <v>insert into ins_premium_det (premium_rcv_code,assorted_code, rec_amount,premium_rcv_detail_code,remaining_amt, payrec, mode_code,coinsurance_code,class_cd,it_remarks) values</v>
      </c>
      <c r="G43" s="43" t="str">
        <f t="shared" si="2"/>
        <v>('28Nov240018','070000167434','133485',(select max(to_number(i.premium_rcv_detail_code))+1
from ins_premium_det i),'133485','133485','02', '11000003','00','Request by Mr.Reheel Malik Fresh 02-Dec-2024');</v>
      </c>
      <c r="H43" s="44" t="str">
        <f t="shared" si="3"/>
        <v>insert into ins_premium_det (premium_rcv_code,assorted_code, rec_amount,premium_rcv_detail_code,remaining_amt, payrec, mode_code,coinsurance_code,class_cd,it_remarks) values('28Nov240018','070000167434','133485',(select max(to_number(i.premium_rcv_detail_code))+1
from ins_premium_det i),'133485','133485','02', '11000003','00','Request by Mr.Reheel Malik Fresh 02-Dec-2024');</v>
      </c>
    </row>
    <row r="44" spans="1:8" ht="105" x14ac:dyDescent="0.25">
      <c r="A44" s="16" t="s">
        <v>343</v>
      </c>
      <c r="B44" s="38" t="str">
        <f>VLOOKUP(A44,policy!B:C,2,0)</f>
        <v>070000167389</v>
      </c>
      <c r="C44" s="39">
        <f>VLOOKUP(A44,Fresh!AF:AG,2,0)</f>
        <v>70500</v>
      </c>
      <c r="D44" s="40">
        <f t="shared" si="1"/>
        <v>70500</v>
      </c>
      <c r="E44" s="41" t="s">
        <v>2168</v>
      </c>
      <c r="F44" s="42" t="str">
        <f t="shared" si="0"/>
        <v>insert into ins_premium_det (premium_rcv_code,assorted_code, rec_amount,premium_rcv_detail_code,remaining_amt, payrec, mode_code,coinsurance_code,class_cd,it_remarks) values</v>
      </c>
      <c r="G44" s="43" t="str">
        <f t="shared" si="2"/>
        <v>('28Nov240018','070000167389','70500',(select max(to_number(i.premium_rcv_detail_code))+1
from ins_premium_det i),'70500','70500','02', '11000003','00','Request by Mr.Reheel Malik Fresh 02-Dec-2024');</v>
      </c>
      <c r="H44" s="44" t="str">
        <f t="shared" si="3"/>
        <v>insert into ins_premium_det (premium_rcv_code,assorted_code, rec_amount,premium_rcv_detail_code,remaining_amt, payrec, mode_code,coinsurance_code,class_cd,it_remarks) values('28Nov240018','070000167389','70500',(select max(to_number(i.premium_rcv_detail_code))+1
from ins_premium_det i),'70500','70500','02', '11000003','00','Request by Mr.Reheel Malik Fresh 02-Dec-2024');</v>
      </c>
    </row>
    <row r="45" spans="1:8" ht="105" x14ac:dyDescent="0.25">
      <c r="A45" s="16" t="s">
        <v>350</v>
      </c>
      <c r="B45" s="38" t="str">
        <f>VLOOKUP(A45,policy!B:C,2,0)</f>
        <v>070000167273</v>
      </c>
      <c r="C45" s="39">
        <f>VLOOKUP(A45,Fresh!AF:AG,2,0)</f>
        <v>64125</v>
      </c>
      <c r="D45" s="40">
        <f t="shared" si="1"/>
        <v>64125</v>
      </c>
      <c r="E45" s="41" t="s">
        <v>2168</v>
      </c>
      <c r="F45" s="42" t="str">
        <f t="shared" si="0"/>
        <v>insert into ins_premium_det (premium_rcv_code,assorted_code, rec_amount,premium_rcv_detail_code,remaining_amt, payrec, mode_code,coinsurance_code,class_cd,it_remarks) values</v>
      </c>
      <c r="G45" s="43" t="str">
        <f t="shared" si="2"/>
        <v>('28Nov240018','070000167273','64125',(select max(to_number(i.premium_rcv_detail_code))+1
from ins_premium_det i),'64125','64125','02', '11000003','00','Request by Mr.Reheel Malik Fresh 02-Dec-2024');</v>
      </c>
      <c r="H45" s="44" t="str">
        <f t="shared" si="3"/>
        <v>insert into ins_premium_det (premium_rcv_code,assorted_code, rec_amount,premium_rcv_detail_code,remaining_amt, payrec, mode_code,coinsurance_code,class_cd,it_remarks) values('28Nov240018','070000167273','64125',(select max(to_number(i.premium_rcv_detail_code))+1
from ins_premium_det i),'64125','64125','02', '11000003','00','Request by Mr.Reheel Malik Fresh 02-Dec-2024');</v>
      </c>
    </row>
    <row r="46" spans="1:8" ht="105" x14ac:dyDescent="0.25">
      <c r="A46" s="16" t="s">
        <v>357</v>
      </c>
      <c r="B46" s="38" t="str">
        <f>VLOOKUP(A46,policy!B:C,2,0)</f>
        <v>070000167185</v>
      </c>
      <c r="C46" s="39">
        <f>VLOOKUP(A46,Fresh!AF:AG,2,0)</f>
        <v>60900</v>
      </c>
      <c r="D46" s="40">
        <f t="shared" si="1"/>
        <v>60900</v>
      </c>
      <c r="E46" s="41" t="s">
        <v>2168</v>
      </c>
      <c r="F46" s="42" t="str">
        <f t="shared" si="0"/>
        <v>insert into ins_premium_det (premium_rcv_code,assorted_code, rec_amount,premium_rcv_detail_code,remaining_amt, payrec, mode_code,coinsurance_code,class_cd,it_remarks) values</v>
      </c>
      <c r="G46" s="43" t="str">
        <f t="shared" si="2"/>
        <v>('28Nov240018','070000167185','60900',(select max(to_number(i.premium_rcv_detail_code))+1
from ins_premium_det i),'60900','60900','02', '11000003','00','Request by Mr.Reheel Malik Fresh 02-Dec-2024');</v>
      </c>
      <c r="H46" s="44" t="str">
        <f t="shared" si="3"/>
        <v>insert into ins_premium_det (premium_rcv_code,assorted_code, rec_amount,premium_rcv_detail_code,remaining_amt, payrec, mode_code,coinsurance_code,class_cd,it_remarks) values('28Nov240018','070000167185','60900',(select max(to_number(i.premium_rcv_detail_code))+1
from ins_premium_det i),'60900','60900','02', '11000003','00','Request by Mr.Reheel Malik Fresh 02-Dec-2024');</v>
      </c>
    </row>
    <row r="47" spans="1:8" ht="105" x14ac:dyDescent="0.25">
      <c r="A47" s="16" t="s">
        <v>363</v>
      </c>
      <c r="B47" s="38" t="str">
        <f>VLOOKUP(A47,policy!B:C,2,0)</f>
        <v>070000167131</v>
      </c>
      <c r="C47" s="39">
        <f>VLOOKUP(A47,Fresh!AF:AG,2,0)</f>
        <v>45000</v>
      </c>
      <c r="D47" s="40">
        <f t="shared" si="1"/>
        <v>45000</v>
      </c>
      <c r="E47" s="41" t="s">
        <v>2168</v>
      </c>
      <c r="F47" s="42" t="str">
        <f t="shared" si="0"/>
        <v>insert into ins_premium_det (premium_rcv_code,assorted_code, rec_amount,premium_rcv_detail_code,remaining_amt, payrec, mode_code,coinsurance_code,class_cd,it_remarks) values</v>
      </c>
      <c r="G47" s="43" t="str">
        <f t="shared" si="2"/>
        <v>('28Nov240018','070000167131','45000',(select max(to_number(i.premium_rcv_detail_code))+1
from ins_premium_det i),'45000','45000','02', '11000003','00','Request by Mr.Reheel Malik Fresh 02-Dec-2024');</v>
      </c>
      <c r="H47" s="44" t="str">
        <f t="shared" si="3"/>
        <v>insert into ins_premium_det (premium_rcv_code,assorted_code, rec_amount,premium_rcv_detail_code,remaining_amt, payrec, mode_code,coinsurance_code,class_cd,it_remarks) values('28Nov240018','070000167131','45000',(select max(to_number(i.premium_rcv_detail_code))+1
from ins_premium_det i),'45000','45000','02', '11000003','00','Request by Mr.Reheel Malik Fresh 02-Dec-2024');</v>
      </c>
    </row>
    <row r="48" spans="1:8" ht="105" x14ac:dyDescent="0.25">
      <c r="A48" s="16" t="s">
        <v>369</v>
      </c>
      <c r="B48" s="38" t="str">
        <f>VLOOKUP(A48,policy!B:C,2,0)</f>
        <v>070000167003</v>
      </c>
      <c r="C48" s="39">
        <f>VLOOKUP(A48,Fresh!AF:AG,2,0)</f>
        <v>70785</v>
      </c>
      <c r="D48" s="40">
        <f t="shared" si="1"/>
        <v>70785</v>
      </c>
      <c r="E48" s="41" t="s">
        <v>2168</v>
      </c>
      <c r="F48" s="42" t="str">
        <f t="shared" si="0"/>
        <v>insert into ins_premium_det (premium_rcv_code,assorted_code, rec_amount,premium_rcv_detail_code,remaining_amt, payrec, mode_code,coinsurance_code,class_cd,it_remarks) values</v>
      </c>
      <c r="G48" s="43" t="str">
        <f t="shared" si="2"/>
        <v>('28Nov240018','070000167003','70785',(select max(to_number(i.premium_rcv_detail_code))+1
from ins_premium_det i),'70785','70785','02', '11000003','00','Request by Mr.Reheel Malik Fresh 02-Dec-2024');</v>
      </c>
      <c r="H48" s="44" t="str">
        <f t="shared" si="3"/>
        <v>insert into ins_premium_det (premium_rcv_code,assorted_code, rec_amount,premium_rcv_detail_code,remaining_amt, payrec, mode_code,coinsurance_code,class_cd,it_remarks) values('28Nov240018','070000167003','70785',(select max(to_number(i.premium_rcv_detail_code))+1
from ins_premium_det i),'70785','70785','02', '11000003','00','Request by Mr.Reheel Malik Fresh 02-Dec-2024');</v>
      </c>
    </row>
    <row r="49" spans="1:8" ht="105" x14ac:dyDescent="0.25">
      <c r="A49" s="16" t="s">
        <v>375</v>
      </c>
      <c r="B49" s="38" t="str">
        <f>VLOOKUP(A49,policy!B:C,2,0)</f>
        <v>070000166988</v>
      </c>
      <c r="C49" s="39">
        <f>VLOOKUP(A49,Fresh!AF:AG,2,0)</f>
        <v>114465</v>
      </c>
      <c r="D49" s="40">
        <f t="shared" si="1"/>
        <v>114465</v>
      </c>
      <c r="E49" s="41" t="s">
        <v>2168</v>
      </c>
      <c r="F49" s="42" t="str">
        <f t="shared" si="0"/>
        <v>insert into ins_premium_det (premium_rcv_code,assorted_code, rec_amount,premium_rcv_detail_code,remaining_amt, payrec, mode_code,coinsurance_code,class_cd,it_remarks) values</v>
      </c>
      <c r="G49" s="43" t="str">
        <f t="shared" si="2"/>
        <v>('28Nov240018','070000166988','114465',(select max(to_number(i.premium_rcv_detail_code))+1
from ins_premium_det i),'114465','114465','02', '11000003','00','Request by Mr.Reheel Malik Fresh 02-Dec-2024');</v>
      </c>
      <c r="H49" s="44" t="str">
        <f t="shared" si="3"/>
        <v>insert into ins_premium_det (premium_rcv_code,assorted_code, rec_amount,premium_rcv_detail_code,remaining_amt, payrec, mode_code,coinsurance_code,class_cd,it_remarks) values('28Nov240018','070000166988','114465',(select max(to_number(i.premium_rcv_detail_code))+1
from ins_premium_det i),'114465','114465','02', '11000003','00','Request by Mr.Reheel Malik Fresh 02-Dec-2024');</v>
      </c>
    </row>
    <row r="50" spans="1:8" ht="105" x14ac:dyDescent="0.25">
      <c r="A50" s="16" t="s">
        <v>382</v>
      </c>
      <c r="B50" s="38" t="str">
        <f>VLOOKUP(A50,policy!B:C,2,0)</f>
        <v>070000166962</v>
      </c>
      <c r="C50" s="39">
        <f>VLOOKUP(A50,Fresh!AF:AG,2,0)</f>
        <v>60900</v>
      </c>
      <c r="D50" s="40">
        <f t="shared" si="1"/>
        <v>60900</v>
      </c>
      <c r="E50" s="41" t="s">
        <v>2168</v>
      </c>
      <c r="F50" s="42" t="str">
        <f t="shared" si="0"/>
        <v>insert into ins_premium_det (premium_rcv_code,assorted_code, rec_amount,premium_rcv_detail_code,remaining_amt, payrec, mode_code,coinsurance_code,class_cd,it_remarks) values</v>
      </c>
      <c r="G50" s="43" t="str">
        <f t="shared" si="2"/>
        <v>('28Nov240018','070000166962','60900',(select max(to_number(i.premium_rcv_detail_code))+1
from ins_premium_det i),'60900','60900','02', '11000003','00','Request by Mr.Reheel Malik Fresh 02-Dec-2024');</v>
      </c>
      <c r="H50" s="44" t="str">
        <f t="shared" si="3"/>
        <v>insert into ins_premium_det (premium_rcv_code,assorted_code, rec_amount,premium_rcv_detail_code,remaining_amt, payrec, mode_code,coinsurance_code,class_cd,it_remarks) values('28Nov240018','070000166962','60900',(select max(to_number(i.premium_rcv_detail_code))+1
from ins_premium_det i),'60900','60900','02', '11000003','00','Request by Mr.Reheel Malik Fresh 02-Dec-2024');</v>
      </c>
    </row>
    <row r="51" spans="1:8" ht="105" x14ac:dyDescent="0.25">
      <c r="A51" s="16" t="s">
        <v>389</v>
      </c>
      <c r="B51" s="38" t="str">
        <f>VLOOKUP(A51,policy!B:C,2,0)</f>
        <v>070000166959</v>
      </c>
      <c r="C51" s="39">
        <f>VLOOKUP(A51,Fresh!AF:AG,2,0)</f>
        <v>40000</v>
      </c>
      <c r="D51" s="40">
        <f t="shared" si="1"/>
        <v>40000</v>
      </c>
      <c r="E51" s="41" t="s">
        <v>2168</v>
      </c>
      <c r="F51" s="42" t="str">
        <f t="shared" si="0"/>
        <v>insert into ins_premium_det (premium_rcv_code,assorted_code, rec_amount,premium_rcv_detail_code,remaining_amt, payrec, mode_code,coinsurance_code,class_cd,it_remarks) values</v>
      </c>
      <c r="G51" s="43" t="str">
        <f t="shared" si="2"/>
        <v>('28Nov240018','070000166959','40000',(select max(to_number(i.premium_rcv_detail_code))+1
from ins_premium_det i),'40000','40000','02', '11000003','00','Request by Mr.Reheel Malik Fresh 02-Dec-2024');</v>
      </c>
      <c r="H51" s="44" t="str">
        <f t="shared" si="3"/>
        <v>insert into ins_premium_det (premium_rcv_code,assorted_code, rec_amount,premium_rcv_detail_code,remaining_amt, payrec, mode_code,coinsurance_code,class_cd,it_remarks) values('28Nov240018','070000166959','40000',(select max(to_number(i.premium_rcv_detail_code))+1
from ins_premium_det i),'40000','40000','02', '11000003','00','Request by Mr.Reheel Malik Fresh 02-Dec-2024');</v>
      </c>
    </row>
    <row r="52" spans="1:8" ht="105" x14ac:dyDescent="0.25">
      <c r="A52" s="16" t="s">
        <v>396</v>
      </c>
      <c r="B52" s="38" t="str">
        <f>VLOOKUP(A52,policy!B:C,2,0)</f>
        <v>070000166939</v>
      </c>
      <c r="C52" s="39">
        <f>VLOOKUP(A52,Fresh!AF:AG,2,0)</f>
        <v>34000</v>
      </c>
      <c r="D52" s="40">
        <f t="shared" si="1"/>
        <v>34000</v>
      </c>
      <c r="E52" s="41" t="s">
        <v>2168</v>
      </c>
      <c r="F52" s="42" t="str">
        <f t="shared" si="0"/>
        <v>insert into ins_premium_det (premium_rcv_code,assorted_code, rec_amount,premium_rcv_detail_code,remaining_amt, payrec, mode_code,coinsurance_code,class_cd,it_remarks) values</v>
      </c>
      <c r="G52" s="43" t="str">
        <f t="shared" si="2"/>
        <v>('28Nov240018','070000166939','34000',(select max(to_number(i.premium_rcv_detail_code))+1
from ins_premium_det i),'34000','34000','02', '11000003','00','Request by Mr.Reheel Malik Fresh 02-Dec-2024');</v>
      </c>
      <c r="H52" s="44" t="str">
        <f t="shared" si="3"/>
        <v>insert into ins_premium_det (premium_rcv_code,assorted_code, rec_amount,premium_rcv_detail_code,remaining_amt, payrec, mode_code,coinsurance_code,class_cd,it_remarks) values('28Nov240018','070000166939','34000',(select max(to_number(i.premium_rcv_detail_code))+1
from ins_premium_det i),'34000','34000','02', '11000003','00','Request by Mr.Reheel Malik Fresh 02-Dec-2024');</v>
      </c>
    </row>
    <row r="53" spans="1:8" ht="105" x14ac:dyDescent="0.25">
      <c r="A53" s="16" t="s">
        <v>402</v>
      </c>
      <c r="B53" s="38" t="str">
        <f>VLOOKUP(A53,policy!B:C,2,0)</f>
        <v>070000167949</v>
      </c>
      <c r="C53" s="39">
        <f>VLOOKUP(A53,Fresh!AF:AG,2,0)</f>
        <v>51000</v>
      </c>
      <c r="D53" s="40">
        <f t="shared" si="1"/>
        <v>51000</v>
      </c>
      <c r="E53" s="41" t="s">
        <v>2168</v>
      </c>
      <c r="F53" s="42" t="str">
        <f t="shared" si="0"/>
        <v>insert into ins_premium_det (premium_rcv_code,assorted_code, rec_amount,premium_rcv_detail_code,remaining_amt, payrec, mode_code,coinsurance_code,class_cd,it_remarks) values</v>
      </c>
      <c r="G53" s="43" t="str">
        <f t="shared" si="2"/>
        <v>('28Nov240018','070000167949','51000',(select max(to_number(i.premium_rcv_detail_code))+1
from ins_premium_det i),'51000','51000','02', '11000003','00','Request by Mr.Reheel Malik Fresh 02-Dec-2024');</v>
      </c>
      <c r="H53" s="44" t="str">
        <f t="shared" si="3"/>
        <v>insert into ins_premium_det (premium_rcv_code,assorted_code, rec_amount,premium_rcv_detail_code,remaining_amt, payrec, mode_code,coinsurance_code,class_cd,it_remarks) values('28Nov240018','070000167949','51000',(select max(to_number(i.premium_rcv_detail_code))+1
from ins_premium_det i),'51000','51000','02', '11000003','00','Request by Mr.Reheel Malik Fresh 02-Dec-2024');</v>
      </c>
    </row>
    <row r="54" spans="1:8" x14ac:dyDescent="0.25">
      <c r="C54" s="47">
        <f>SUM(C2:C53)</f>
        <v>3231350</v>
      </c>
      <c r="D54" s="47">
        <f>SUM(D2:D53)</f>
        <v>3231350</v>
      </c>
    </row>
  </sheetData>
  <conditionalFormatting sqref="A1">
    <cfRule type="duplicateValues" dxfId="19" priority="13"/>
  </conditionalFormatting>
  <conditionalFormatting sqref="B2:B53">
    <cfRule type="duplicateValues" dxfId="6" priority="14"/>
    <cfRule type="duplicateValues" dxfId="5" priority="15"/>
    <cfRule type="duplicateValues" dxfId="4" priority="16"/>
  </conditionalFormatting>
  <conditionalFormatting sqref="A2">
    <cfRule type="duplicateValues" dxfId="18" priority="9"/>
    <cfRule type="duplicateValues" dxfId="17" priority="10"/>
    <cfRule type="duplicateValues" dxfId="16" priority="11"/>
    <cfRule type="duplicateValues" dxfId="15" priority="12"/>
  </conditionalFormatting>
  <conditionalFormatting sqref="A3">
    <cfRule type="duplicateValues" dxfId="14" priority="5"/>
    <cfRule type="duplicateValues" dxfId="13" priority="6"/>
    <cfRule type="duplicateValues" dxfId="12" priority="7"/>
    <cfRule type="duplicateValues" dxfId="11" priority="8"/>
  </conditionalFormatting>
  <conditionalFormatting sqref="A4">
    <cfRule type="duplicateValues" dxfId="10" priority="1"/>
    <cfRule type="duplicateValues" dxfId="9" priority="2"/>
    <cfRule type="duplicateValues" dxfId="8" priority="3"/>
    <cfRule type="duplicateValues" dxfId="7" priority="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439C-1368-43C7-B81C-80D53977D7D3}">
  <dimension ref="A1:J53"/>
  <sheetViews>
    <sheetView topLeftCell="A33" workbookViewId="0">
      <selection activeCell="J33" sqref="J33"/>
    </sheetView>
  </sheetViews>
  <sheetFormatPr defaultRowHeight="15" x14ac:dyDescent="0.25"/>
  <cols>
    <col min="1" max="1" width="32.42578125" bestFit="1" customWidth="1"/>
  </cols>
  <sheetData>
    <row r="1" spans="1:10" x14ac:dyDescent="0.25">
      <c r="H1" t="s">
        <v>1823</v>
      </c>
    </row>
    <row r="2" spans="1:10" x14ac:dyDescent="0.25">
      <c r="A2" s="16" t="s">
        <v>33</v>
      </c>
      <c r="B2" t="s">
        <v>1822</v>
      </c>
      <c r="H2">
        <v>98823</v>
      </c>
      <c r="I2" t="s">
        <v>1772</v>
      </c>
      <c r="J2" t="str">
        <f>"ia.assorted_string like '%"&amp;H2&amp;"-"&amp;I2&amp;B2&amp;"%' or"</f>
        <v>ia.assorted_string like '%98823-00051-10-2024%' or</v>
      </c>
    </row>
    <row r="3" spans="1:10" x14ac:dyDescent="0.25">
      <c r="A3" s="16" t="s">
        <v>44</v>
      </c>
      <c r="B3" t="s">
        <v>1822</v>
      </c>
      <c r="H3">
        <v>98823</v>
      </c>
      <c r="I3" t="s">
        <v>1773</v>
      </c>
      <c r="J3" t="str">
        <f t="shared" ref="J3:J53" si="0">"ia.assorted_string like '%"&amp;H3&amp;"-"&amp;I3&amp;B3&amp;"%' or"</f>
        <v>ia.assorted_string like '%98823-00050-10-2024%' or</v>
      </c>
    </row>
    <row r="4" spans="1:10" x14ac:dyDescent="0.25">
      <c r="A4" s="16" t="s">
        <v>54</v>
      </c>
      <c r="B4" t="s">
        <v>1822</v>
      </c>
      <c r="H4">
        <v>98823</v>
      </c>
      <c r="I4" t="s">
        <v>1774</v>
      </c>
      <c r="J4" t="str">
        <f t="shared" si="0"/>
        <v>ia.assorted_string like '%98823-00049-10-2024%' or</v>
      </c>
    </row>
    <row r="5" spans="1:10" x14ac:dyDescent="0.25">
      <c r="A5" s="16" t="s">
        <v>64</v>
      </c>
      <c r="B5" t="s">
        <v>1822</v>
      </c>
      <c r="H5">
        <v>98823</v>
      </c>
      <c r="I5" t="s">
        <v>1775</v>
      </c>
      <c r="J5" t="str">
        <f t="shared" si="0"/>
        <v>ia.assorted_string like '%98823-00048-10-2024%' or</v>
      </c>
    </row>
    <row r="6" spans="1:10" x14ac:dyDescent="0.25">
      <c r="A6" s="16" t="s">
        <v>71</v>
      </c>
      <c r="B6" t="s">
        <v>1822</v>
      </c>
      <c r="H6">
        <v>98823</v>
      </c>
      <c r="I6" t="s">
        <v>1776</v>
      </c>
      <c r="J6" t="str">
        <f t="shared" si="0"/>
        <v>ia.assorted_string like '%98823-00047-10-2024%' or</v>
      </c>
    </row>
    <row r="7" spans="1:10" x14ac:dyDescent="0.25">
      <c r="A7" s="16" t="s">
        <v>79</v>
      </c>
      <c r="B7" t="s">
        <v>1822</v>
      </c>
      <c r="H7">
        <v>98823</v>
      </c>
      <c r="I7" t="s">
        <v>1777</v>
      </c>
      <c r="J7" t="str">
        <f t="shared" si="0"/>
        <v>ia.assorted_string like '%98823-00046-10-2024%' or</v>
      </c>
    </row>
    <row r="8" spans="1:10" x14ac:dyDescent="0.25">
      <c r="A8" s="16" t="s">
        <v>87</v>
      </c>
      <c r="B8" t="s">
        <v>1822</v>
      </c>
      <c r="H8">
        <v>98823</v>
      </c>
      <c r="I8" t="s">
        <v>1778</v>
      </c>
      <c r="J8" t="str">
        <f t="shared" si="0"/>
        <v>ia.assorted_string like '%98823-00045-10-2024%' or</v>
      </c>
    </row>
    <row r="9" spans="1:10" x14ac:dyDescent="0.25">
      <c r="A9" s="16" t="s">
        <v>93</v>
      </c>
      <c r="B9" t="s">
        <v>1822</v>
      </c>
      <c r="H9">
        <v>98823</v>
      </c>
      <c r="I9" t="s">
        <v>1779</v>
      </c>
      <c r="J9" t="str">
        <f t="shared" si="0"/>
        <v>ia.assorted_string like '%98823-00044-10-2024%' or</v>
      </c>
    </row>
    <row r="10" spans="1:10" x14ac:dyDescent="0.25">
      <c r="A10" s="16" t="s">
        <v>101</v>
      </c>
      <c r="B10" t="s">
        <v>1822</v>
      </c>
      <c r="H10">
        <v>98823</v>
      </c>
      <c r="I10" t="s">
        <v>1780</v>
      </c>
      <c r="J10" t="str">
        <f t="shared" si="0"/>
        <v>ia.assorted_string like '%98823-00043-10-2024%' or</v>
      </c>
    </row>
    <row r="11" spans="1:10" x14ac:dyDescent="0.25">
      <c r="A11" s="16" t="s">
        <v>109</v>
      </c>
      <c r="B11" t="s">
        <v>1822</v>
      </c>
      <c r="H11">
        <v>98823</v>
      </c>
      <c r="I11" t="s">
        <v>1781</v>
      </c>
      <c r="J11" t="str">
        <f t="shared" si="0"/>
        <v>ia.assorted_string like '%98823-00042-10-2024%' or</v>
      </c>
    </row>
    <row r="12" spans="1:10" x14ac:dyDescent="0.25">
      <c r="A12" s="16" t="s">
        <v>117</v>
      </c>
      <c r="B12" t="s">
        <v>1822</v>
      </c>
      <c r="H12">
        <v>98823</v>
      </c>
      <c r="I12" t="s">
        <v>1782</v>
      </c>
      <c r="J12" t="str">
        <f t="shared" si="0"/>
        <v>ia.assorted_string like '%98823-00041-10-2024%' or</v>
      </c>
    </row>
    <row r="13" spans="1:10" x14ac:dyDescent="0.25">
      <c r="A13" s="16" t="s">
        <v>124</v>
      </c>
      <c r="B13" t="s">
        <v>1822</v>
      </c>
      <c r="H13">
        <v>98823</v>
      </c>
      <c r="I13" t="s">
        <v>1783</v>
      </c>
      <c r="J13" t="str">
        <f t="shared" si="0"/>
        <v>ia.assorted_string like '%98823-00040-10-2024%' or</v>
      </c>
    </row>
    <row r="14" spans="1:10" x14ac:dyDescent="0.25">
      <c r="A14" s="16" t="s">
        <v>131</v>
      </c>
      <c r="B14" t="s">
        <v>1822</v>
      </c>
      <c r="H14">
        <v>98823</v>
      </c>
      <c r="I14" t="s">
        <v>1784</v>
      </c>
      <c r="J14" t="str">
        <f t="shared" si="0"/>
        <v>ia.assorted_string like '%98823-00039-10-2024%' or</v>
      </c>
    </row>
    <row r="15" spans="1:10" x14ac:dyDescent="0.25">
      <c r="A15" s="16" t="s">
        <v>139</v>
      </c>
      <c r="B15" t="s">
        <v>1822</v>
      </c>
      <c r="H15">
        <v>98823</v>
      </c>
      <c r="I15" t="s">
        <v>1785</v>
      </c>
      <c r="J15" t="str">
        <f t="shared" si="0"/>
        <v>ia.assorted_string like '%98823-00038-10-2024%' or</v>
      </c>
    </row>
    <row r="16" spans="1:10" x14ac:dyDescent="0.25">
      <c r="A16" s="16" t="s">
        <v>146</v>
      </c>
      <c r="B16" t="s">
        <v>1822</v>
      </c>
      <c r="H16">
        <v>98823</v>
      </c>
      <c r="I16" t="s">
        <v>1786</v>
      </c>
      <c r="J16" t="str">
        <f t="shared" si="0"/>
        <v>ia.assorted_string like '%98823-00037-10-2024%' or</v>
      </c>
    </row>
    <row r="17" spans="1:10" x14ac:dyDescent="0.25">
      <c r="A17" s="16" t="s">
        <v>152</v>
      </c>
      <c r="B17" t="s">
        <v>1822</v>
      </c>
      <c r="H17">
        <v>98823</v>
      </c>
      <c r="I17" t="s">
        <v>1787</v>
      </c>
      <c r="J17" t="str">
        <f t="shared" si="0"/>
        <v>ia.assorted_string like '%98823-00036-10-2024%' or</v>
      </c>
    </row>
    <row r="18" spans="1:10" x14ac:dyDescent="0.25">
      <c r="A18" s="16" t="s">
        <v>159</v>
      </c>
      <c r="B18" t="s">
        <v>1822</v>
      </c>
      <c r="H18">
        <v>98823</v>
      </c>
      <c r="I18" t="s">
        <v>1788</v>
      </c>
      <c r="J18" t="str">
        <f t="shared" si="0"/>
        <v>ia.assorted_string like '%98823-00035-10-2024%' or</v>
      </c>
    </row>
    <row r="19" spans="1:10" x14ac:dyDescent="0.25">
      <c r="A19" s="16" t="s">
        <v>167</v>
      </c>
      <c r="B19" t="s">
        <v>1822</v>
      </c>
      <c r="H19">
        <v>98823</v>
      </c>
      <c r="I19" t="s">
        <v>1789</v>
      </c>
      <c r="J19" t="str">
        <f t="shared" si="0"/>
        <v>ia.assorted_string like '%98823-00034-10-2024%' or</v>
      </c>
    </row>
    <row r="20" spans="1:10" x14ac:dyDescent="0.25">
      <c r="A20" s="16" t="s">
        <v>175</v>
      </c>
      <c r="B20" t="s">
        <v>1822</v>
      </c>
      <c r="H20">
        <v>98823</v>
      </c>
      <c r="I20" t="s">
        <v>1790</v>
      </c>
      <c r="J20" t="str">
        <f t="shared" si="0"/>
        <v>ia.assorted_string like '%98823-00033-10-2024%' or</v>
      </c>
    </row>
    <row r="21" spans="1:10" x14ac:dyDescent="0.25">
      <c r="A21" s="16" t="s">
        <v>183</v>
      </c>
      <c r="B21" t="s">
        <v>1822</v>
      </c>
      <c r="H21">
        <v>98823</v>
      </c>
      <c r="I21" t="s">
        <v>1791</v>
      </c>
      <c r="J21" t="str">
        <f t="shared" si="0"/>
        <v>ia.assorted_string like '%98823-00032-10-2024%' or</v>
      </c>
    </row>
    <row r="22" spans="1:10" x14ac:dyDescent="0.25">
      <c r="A22" s="16" t="s">
        <v>192</v>
      </c>
      <c r="B22" t="s">
        <v>1822</v>
      </c>
      <c r="H22">
        <v>98823</v>
      </c>
      <c r="I22" t="s">
        <v>1792</v>
      </c>
      <c r="J22" t="str">
        <f t="shared" si="0"/>
        <v>ia.assorted_string like '%98823-00031-10-2024%' or</v>
      </c>
    </row>
    <row r="23" spans="1:10" x14ac:dyDescent="0.25">
      <c r="A23" s="16" t="s">
        <v>199</v>
      </c>
      <c r="B23" t="s">
        <v>1822</v>
      </c>
      <c r="H23">
        <v>98823</v>
      </c>
      <c r="I23" t="s">
        <v>1793</v>
      </c>
      <c r="J23" t="str">
        <f t="shared" si="0"/>
        <v>ia.assorted_string like '%98823-00030-10-2024%' or</v>
      </c>
    </row>
    <row r="24" spans="1:10" x14ac:dyDescent="0.25">
      <c r="A24" s="16" t="s">
        <v>205</v>
      </c>
      <c r="B24" t="s">
        <v>1822</v>
      </c>
      <c r="H24">
        <v>98823</v>
      </c>
      <c r="I24" t="s">
        <v>1794</v>
      </c>
      <c r="J24" t="str">
        <f t="shared" si="0"/>
        <v>ia.assorted_string like '%98823-00029-10-2024%' or</v>
      </c>
    </row>
    <row r="25" spans="1:10" x14ac:dyDescent="0.25">
      <c r="A25" s="16" t="s">
        <v>212</v>
      </c>
      <c r="B25" t="s">
        <v>1822</v>
      </c>
      <c r="H25">
        <v>98823</v>
      </c>
      <c r="I25" t="s">
        <v>1795</v>
      </c>
      <c r="J25" t="str">
        <f t="shared" si="0"/>
        <v>ia.assorted_string like '%98823-00028-10-2024%' or</v>
      </c>
    </row>
    <row r="26" spans="1:10" x14ac:dyDescent="0.25">
      <c r="A26" s="16" t="s">
        <v>220</v>
      </c>
      <c r="B26" t="s">
        <v>1822</v>
      </c>
      <c r="H26">
        <v>98823</v>
      </c>
      <c r="I26" t="s">
        <v>1796</v>
      </c>
      <c r="J26" t="str">
        <f t="shared" si="0"/>
        <v>ia.assorted_string like '%98823-00027-10-2024%' or</v>
      </c>
    </row>
    <row r="27" spans="1:10" x14ac:dyDescent="0.25">
      <c r="A27" s="16" t="s">
        <v>224</v>
      </c>
      <c r="B27" t="s">
        <v>1822</v>
      </c>
      <c r="H27">
        <v>98823</v>
      </c>
      <c r="I27" t="s">
        <v>1797</v>
      </c>
      <c r="J27" t="str">
        <f t="shared" si="0"/>
        <v>ia.assorted_string like '%98823-00026-10-2024%' or</v>
      </c>
    </row>
    <row r="28" spans="1:10" x14ac:dyDescent="0.25">
      <c r="A28" s="16" t="s">
        <v>231</v>
      </c>
      <c r="B28" t="s">
        <v>1822</v>
      </c>
      <c r="H28">
        <v>98823</v>
      </c>
      <c r="I28" t="s">
        <v>1798</v>
      </c>
      <c r="J28" t="str">
        <f t="shared" si="0"/>
        <v>ia.assorted_string like '%98823-00025-10-2024%' or</v>
      </c>
    </row>
    <row r="29" spans="1:10" x14ac:dyDescent="0.25">
      <c r="A29" s="16" t="s">
        <v>238</v>
      </c>
      <c r="B29" t="s">
        <v>1822</v>
      </c>
      <c r="H29">
        <v>98823</v>
      </c>
      <c r="I29" t="s">
        <v>1799</v>
      </c>
      <c r="J29" t="str">
        <f t="shared" si="0"/>
        <v>ia.assorted_string like '%98823-00024-10-2024%' or</v>
      </c>
    </row>
    <row r="30" spans="1:10" x14ac:dyDescent="0.25">
      <c r="A30" s="16" t="s">
        <v>246</v>
      </c>
      <c r="B30" t="s">
        <v>1822</v>
      </c>
      <c r="H30">
        <v>98823</v>
      </c>
      <c r="I30" t="s">
        <v>1800</v>
      </c>
      <c r="J30" t="str">
        <f t="shared" si="0"/>
        <v>ia.assorted_string like '%98823-00022-10-2024%' or</v>
      </c>
    </row>
    <row r="31" spans="1:10" x14ac:dyDescent="0.25">
      <c r="A31" s="16" t="s">
        <v>252</v>
      </c>
      <c r="B31" t="s">
        <v>1822</v>
      </c>
      <c r="H31">
        <v>98823</v>
      </c>
      <c r="I31" t="s">
        <v>1801</v>
      </c>
      <c r="J31" t="str">
        <f t="shared" si="0"/>
        <v>ia.assorted_string like '%98823-00021-10-2024%' or</v>
      </c>
    </row>
    <row r="32" spans="1:10" x14ac:dyDescent="0.25">
      <c r="A32" s="16" t="s">
        <v>260</v>
      </c>
      <c r="B32" t="s">
        <v>1822</v>
      </c>
      <c r="H32">
        <v>100145</v>
      </c>
      <c r="I32" t="s">
        <v>1802</v>
      </c>
      <c r="J32" t="str">
        <f t="shared" si="0"/>
        <v>ia.assorted_string like '%100145-00001-10-2024%' or</v>
      </c>
    </row>
    <row r="33" spans="1:10" x14ac:dyDescent="0.25">
      <c r="A33" s="16" t="s">
        <v>266</v>
      </c>
      <c r="B33" t="s">
        <v>1822</v>
      </c>
      <c r="H33">
        <v>98823</v>
      </c>
      <c r="I33" t="s">
        <v>1803</v>
      </c>
      <c r="J33" t="str">
        <f t="shared" si="0"/>
        <v>ia.assorted_string like '%98823-00020-10-2024%' or</v>
      </c>
    </row>
    <row r="34" spans="1:10" x14ac:dyDescent="0.25">
      <c r="A34" s="16" t="s">
        <v>274</v>
      </c>
      <c r="B34" t="s">
        <v>1822</v>
      </c>
      <c r="H34">
        <v>98823</v>
      </c>
      <c r="I34" t="s">
        <v>1804</v>
      </c>
      <c r="J34" t="str">
        <f t="shared" si="0"/>
        <v>ia.assorted_string like '%98823-00019-10-2024%' or</v>
      </c>
    </row>
    <row r="35" spans="1:10" x14ac:dyDescent="0.25">
      <c r="A35" s="16" t="s">
        <v>281</v>
      </c>
      <c r="B35" t="s">
        <v>1822</v>
      </c>
      <c r="H35">
        <v>98823</v>
      </c>
      <c r="I35" t="s">
        <v>1805</v>
      </c>
      <c r="J35" t="str">
        <f t="shared" si="0"/>
        <v>ia.assorted_string like '%98823-00018-10-2024%' or</v>
      </c>
    </row>
    <row r="36" spans="1:10" x14ac:dyDescent="0.25">
      <c r="A36" s="16" t="s">
        <v>286</v>
      </c>
      <c r="B36" t="s">
        <v>1822</v>
      </c>
      <c r="H36">
        <v>98823</v>
      </c>
      <c r="I36" t="s">
        <v>1806</v>
      </c>
      <c r="J36" t="str">
        <f t="shared" si="0"/>
        <v>ia.assorted_string like '%98823-00017-10-2024%' or</v>
      </c>
    </row>
    <row r="37" spans="1:10" x14ac:dyDescent="0.25">
      <c r="A37" s="16" t="s">
        <v>293</v>
      </c>
      <c r="B37" t="s">
        <v>1822</v>
      </c>
      <c r="H37">
        <v>98823</v>
      </c>
      <c r="I37" t="s">
        <v>1807</v>
      </c>
      <c r="J37" t="str">
        <f t="shared" si="0"/>
        <v>ia.assorted_string like '%98823-00016-10-2024%' or</v>
      </c>
    </row>
    <row r="38" spans="1:10" x14ac:dyDescent="0.25">
      <c r="A38" s="16" t="s">
        <v>301</v>
      </c>
      <c r="B38" t="s">
        <v>1822</v>
      </c>
      <c r="H38">
        <v>98823</v>
      </c>
      <c r="I38" t="s">
        <v>1808</v>
      </c>
      <c r="J38" t="str">
        <f t="shared" si="0"/>
        <v>ia.assorted_string like '%98823-00015-10-2024%' or</v>
      </c>
    </row>
    <row r="39" spans="1:10" x14ac:dyDescent="0.25">
      <c r="A39" s="16" t="s">
        <v>309</v>
      </c>
      <c r="B39" t="s">
        <v>1822</v>
      </c>
      <c r="H39">
        <v>98823</v>
      </c>
      <c r="I39" t="s">
        <v>1809</v>
      </c>
      <c r="J39" t="str">
        <f t="shared" si="0"/>
        <v>ia.assorted_string like '%98823-00014-10-2024%' or</v>
      </c>
    </row>
    <row r="40" spans="1:10" x14ac:dyDescent="0.25">
      <c r="A40" s="16" t="s">
        <v>315</v>
      </c>
      <c r="B40" t="s">
        <v>1822</v>
      </c>
      <c r="H40">
        <v>98823</v>
      </c>
      <c r="I40" t="s">
        <v>1810</v>
      </c>
      <c r="J40" t="str">
        <f t="shared" si="0"/>
        <v>ia.assorted_string like '%98823-00013-10-2024%' or</v>
      </c>
    </row>
    <row r="41" spans="1:10" x14ac:dyDescent="0.25">
      <c r="A41" s="16" t="s">
        <v>323</v>
      </c>
      <c r="B41" t="s">
        <v>1822</v>
      </c>
      <c r="H41">
        <v>98823</v>
      </c>
      <c r="I41" t="s">
        <v>1811</v>
      </c>
      <c r="J41" t="str">
        <f t="shared" si="0"/>
        <v>ia.assorted_string like '%98823-00012-10-2024%' or</v>
      </c>
    </row>
    <row r="42" spans="1:10" x14ac:dyDescent="0.25">
      <c r="A42" s="16" t="s">
        <v>329</v>
      </c>
      <c r="B42" t="s">
        <v>1822</v>
      </c>
      <c r="H42">
        <v>98823</v>
      </c>
      <c r="I42" t="s">
        <v>1812</v>
      </c>
      <c r="J42" t="str">
        <f t="shared" si="0"/>
        <v>ia.assorted_string like '%98823-00011-10-2024%' or</v>
      </c>
    </row>
    <row r="43" spans="1:10" x14ac:dyDescent="0.25">
      <c r="A43" s="16" t="s">
        <v>336</v>
      </c>
      <c r="B43" t="s">
        <v>1822</v>
      </c>
      <c r="H43">
        <v>98823</v>
      </c>
      <c r="I43" t="s">
        <v>1813</v>
      </c>
      <c r="J43" t="str">
        <f t="shared" si="0"/>
        <v>ia.assorted_string like '%98823-00010-10-2024%' or</v>
      </c>
    </row>
    <row r="44" spans="1:10" x14ac:dyDescent="0.25">
      <c r="A44" s="16" t="s">
        <v>343</v>
      </c>
      <c r="B44" t="s">
        <v>1822</v>
      </c>
      <c r="H44">
        <v>98823</v>
      </c>
      <c r="I44" t="s">
        <v>1814</v>
      </c>
      <c r="J44" t="str">
        <f t="shared" si="0"/>
        <v>ia.assorted_string like '%98823-00009-10-2024%' or</v>
      </c>
    </row>
    <row r="45" spans="1:10" x14ac:dyDescent="0.25">
      <c r="A45" s="16" t="s">
        <v>350</v>
      </c>
      <c r="B45" t="s">
        <v>1822</v>
      </c>
      <c r="H45">
        <v>98823</v>
      </c>
      <c r="I45" t="s">
        <v>1815</v>
      </c>
      <c r="J45" t="str">
        <f t="shared" si="0"/>
        <v>ia.assorted_string like '%98823-00008-10-2024%' or</v>
      </c>
    </row>
    <row r="46" spans="1:10" x14ac:dyDescent="0.25">
      <c r="A46" s="16" t="s">
        <v>357</v>
      </c>
      <c r="B46" t="s">
        <v>1822</v>
      </c>
      <c r="H46">
        <v>98823</v>
      </c>
      <c r="I46" t="s">
        <v>1816</v>
      </c>
      <c r="J46" t="str">
        <f t="shared" si="0"/>
        <v>ia.assorted_string like '%98823-00007-10-2024%' or</v>
      </c>
    </row>
    <row r="47" spans="1:10" x14ac:dyDescent="0.25">
      <c r="A47" s="16" t="s">
        <v>363</v>
      </c>
      <c r="B47" t="s">
        <v>1822</v>
      </c>
      <c r="H47">
        <v>98823</v>
      </c>
      <c r="I47" t="s">
        <v>1817</v>
      </c>
      <c r="J47" t="str">
        <f t="shared" si="0"/>
        <v>ia.assorted_string like '%98823-00006-10-2024%' or</v>
      </c>
    </row>
    <row r="48" spans="1:10" x14ac:dyDescent="0.25">
      <c r="A48" s="16" t="s">
        <v>369</v>
      </c>
      <c r="B48" t="s">
        <v>1822</v>
      </c>
      <c r="H48">
        <v>98823</v>
      </c>
      <c r="I48" t="s">
        <v>1818</v>
      </c>
      <c r="J48" t="str">
        <f t="shared" si="0"/>
        <v>ia.assorted_string like '%98823-00005-10-2024%' or</v>
      </c>
    </row>
    <row r="49" spans="1:10" x14ac:dyDescent="0.25">
      <c r="A49" s="16" t="s">
        <v>375</v>
      </c>
      <c r="B49" t="s">
        <v>1822</v>
      </c>
      <c r="H49">
        <v>98823</v>
      </c>
      <c r="I49" t="s">
        <v>1819</v>
      </c>
      <c r="J49" t="str">
        <f t="shared" si="0"/>
        <v>ia.assorted_string like '%98823-00004-10-2024%' or</v>
      </c>
    </row>
    <row r="50" spans="1:10" x14ac:dyDescent="0.25">
      <c r="A50" s="16" t="s">
        <v>382</v>
      </c>
      <c r="B50" t="s">
        <v>1822</v>
      </c>
      <c r="H50">
        <v>98823</v>
      </c>
      <c r="I50" t="s">
        <v>1820</v>
      </c>
      <c r="J50" t="str">
        <f t="shared" si="0"/>
        <v>ia.assorted_string like '%98823-00003-10-2024%' or</v>
      </c>
    </row>
    <row r="51" spans="1:10" x14ac:dyDescent="0.25">
      <c r="A51" s="16" t="s">
        <v>389</v>
      </c>
      <c r="B51" t="s">
        <v>1822</v>
      </c>
      <c r="H51">
        <v>98823</v>
      </c>
      <c r="I51" t="s">
        <v>1821</v>
      </c>
      <c r="J51" t="str">
        <f t="shared" si="0"/>
        <v>ia.assorted_string like '%98823-00002-10-2024%' or</v>
      </c>
    </row>
    <row r="52" spans="1:10" x14ac:dyDescent="0.25">
      <c r="A52" s="16" t="s">
        <v>396</v>
      </c>
      <c r="B52" t="s">
        <v>1822</v>
      </c>
      <c r="H52">
        <v>98823</v>
      </c>
      <c r="I52" t="s">
        <v>1802</v>
      </c>
      <c r="J52" t="str">
        <f t="shared" si="0"/>
        <v>ia.assorted_string like '%98823-00001-10-2024%' or</v>
      </c>
    </row>
    <row r="53" spans="1:10" x14ac:dyDescent="0.25">
      <c r="A53" s="16" t="s">
        <v>402</v>
      </c>
      <c r="B53" t="s">
        <v>1822</v>
      </c>
      <c r="H53">
        <v>100245</v>
      </c>
      <c r="I53" t="s">
        <v>1802</v>
      </c>
      <c r="J53" t="str">
        <f t="shared" si="0"/>
        <v>ia.assorted_string like '%100245-00001-10-2024%' or</v>
      </c>
    </row>
  </sheetData>
  <conditionalFormatting sqref="A2">
    <cfRule type="duplicateValues" dxfId="51" priority="21"/>
    <cfRule type="duplicateValues" dxfId="50" priority="22"/>
    <cfRule type="duplicateValues" dxfId="49" priority="23"/>
    <cfRule type="duplicateValues" dxfId="48" priority="24"/>
  </conditionalFormatting>
  <conditionalFormatting sqref="A3">
    <cfRule type="duplicateValues" dxfId="47" priority="17"/>
    <cfRule type="duplicateValues" dxfId="46" priority="18"/>
    <cfRule type="duplicateValues" dxfId="45" priority="19"/>
    <cfRule type="duplicateValues" dxfId="44" priority="20"/>
  </conditionalFormatting>
  <conditionalFormatting sqref="A4">
    <cfRule type="duplicateValues" dxfId="43" priority="13"/>
    <cfRule type="duplicateValues" dxfId="42" priority="14"/>
    <cfRule type="duplicateValues" dxfId="41" priority="15"/>
    <cfRule type="duplicateValues" dxfId="40" priority="1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2A0A-78E6-47EC-BC36-44555F2DD10B}">
  <dimension ref="A1:C53"/>
  <sheetViews>
    <sheetView workbookViewId="0">
      <selection activeCell="H14" sqref="H14"/>
    </sheetView>
  </sheetViews>
  <sheetFormatPr defaultColWidth="7.85546875" defaultRowHeight="15" x14ac:dyDescent="0.25"/>
  <cols>
    <col min="1" max="1" width="2.42578125" customWidth="1"/>
    <col min="2" max="2" width="40.5703125" bestFit="1" customWidth="1"/>
    <col min="3" max="3" width="15" bestFit="1" customWidth="1"/>
  </cols>
  <sheetData>
    <row r="1" spans="1:3" s="37" customFormat="1" ht="12" x14ac:dyDescent="0.2">
      <c r="A1" s="37" t="s">
        <v>1824</v>
      </c>
      <c r="B1" s="37" t="s">
        <v>1825</v>
      </c>
      <c r="C1" s="37" t="s">
        <v>1826</v>
      </c>
    </row>
    <row r="2" spans="1:3" x14ac:dyDescent="0.25">
      <c r="A2">
        <v>1</v>
      </c>
      <c r="B2" t="s">
        <v>350</v>
      </c>
      <c r="C2" t="s">
        <v>1827</v>
      </c>
    </row>
    <row r="3" spans="1:3" x14ac:dyDescent="0.25">
      <c r="A3">
        <v>2</v>
      </c>
      <c r="B3" t="s">
        <v>281</v>
      </c>
      <c r="C3" t="s">
        <v>1828</v>
      </c>
    </row>
    <row r="4" spans="1:3" x14ac:dyDescent="0.25">
      <c r="A4">
        <v>3</v>
      </c>
      <c r="B4" t="s">
        <v>274</v>
      </c>
      <c r="C4" t="s">
        <v>1829</v>
      </c>
    </row>
    <row r="5" spans="1:3" x14ac:dyDescent="0.25">
      <c r="A5">
        <v>4</v>
      </c>
      <c r="B5" t="s">
        <v>382</v>
      </c>
      <c r="C5" t="s">
        <v>1830</v>
      </c>
    </row>
    <row r="6" spans="1:3" x14ac:dyDescent="0.25">
      <c r="A6">
        <v>5</v>
      </c>
      <c r="B6" t="s">
        <v>301</v>
      </c>
      <c r="C6" t="s">
        <v>1831</v>
      </c>
    </row>
    <row r="7" spans="1:3" x14ac:dyDescent="0.25">
      <c r="A7">
        <v>6</v>
      </c>
      <c r="B7" t="s">
        <v>293</v>
      </c>
      <c r="C7" t="s">
        <v>1832</v>
      </c>
    </row>
    <row r="8" spans="1:3" x14ac:dyDescent="0.25">
      <c r="A8">
        <v>7</v>
      </c>
      <c r="B8" t="s">
        <v>117</v>
      </c>
      <c r="C8" t="s">
        <v>1833</v>
      </c>
    </row>
    <row r="9" spans="1:3" x14ac:dyDescent="0.25">
      <c r="A9">
        <v>8</v>
      </c>
      <c r="B9" t="s">
        <v>159</v>
      </c>
      <c r="C9" t="s">
        <v>1834</v>
      </c>
    </row>
    <row r="10" spans="1:3" x14ac:dyDescent="0.25">
      <c r="A10">
        <v>9</v>
      </c>
      <c r="B10" t="s">
        <v>152</v>
      </c>
      <c r="C10" t="s">
        <v>1835</v>
      </c>
    </row>
    <row r="11" spans="1:3" x14ac:dyDescent="0.25">
      <c r="A11">
        <v>10</v>
      </c>
      <c r="B11" t="s">
        <v>146</v>
      </c>
      <c r="C11" t="s">
        <v>1836</v>
      </c>
    </row>
    <row r="12" spans="1:3" x14ac:dyDescent="0.25">
      <c r="A12">
        <v>11</v>
      </c>
      <c r="B12" t="s">
        <v>139</v>
      </c>
      <c r="C12" t="s">
        <v>1837</v>
      </c>
    </row>
    <row r="13" spans="1:3" x14ac:dyDescent="0.25">
      <c r="A13">
        <v>12</v>
      </c>
      <c r="B13" t="s">
        <v>192</v>
      </c>
      <c r="C13" t="s">
        <v>1838</v>
      </c>
    </row>
    <row r="14" spans="1:3" x14ac:dyDescent="0.25">
      <c r="A14">
        <v>13</v>
      </c>
      <c r="B14" t="s">
        <v>199</v>
      </c>
      <c r="C14" t="s">
        <v>1839</v>
      </c>
    </row>
    <row r="15" spans="1:3" x14ac:dyDescent="0.25">
      <c r="A15">
        <v>14</v>
      </c>
      <c r="B15" t="s">
        <v>402</v>
      </c>
      <c r="C15" t="s">
        <v>1840</v>
      </c>
    </row>
    <row r="16" spans="1:3" x14ac:dyDescent="0.25">
      <c r="A16">
        <v>15</v>
      </c>
      <c r="B16" t="s">
        <v>231</v>
      </c>
      <c r="C16" t="s">
        <v>1841</v>
      </c>
    </row>
    <row r="17" spans="1:3" x14ac:dyDescent="0.25">
      <c r="A17">
        <v>16</v>
      </c>
      <c r="B17" t="s">
        <v>124</v>
      </c>
      <c r="C17" t="s">
        <v>1842</v>
      </c>
    </row>
    <row r="18" spans="1:3" x14ac:dyDescent="0.25">
      <c r="A18">
        <v>17</v>
      </c>
      <c r="B18" t="s">
        <v>329</v>
      </c>
      <c r="C18" t="s">
        <v>1843</v>
      </c>
    </row>
    <row r="19" spans="1:3" x14ac:dyDescent="0.25">
      <c r="A19">
        <v>18</v>
      </c>
      <c r="B19" t="s">
        <v>183</v>
      </c>
      <c r="C19" t="s">
        <v>1844</v>
      </c>
    </row>
    <row r="20" spans="1:3" x14ac:dyDescent="0.25">
      <c r="A20">
        <v>19</v>
      </c>
      <c r="B20" t="s">
        <v>220</v>
      </c>
      <c r="C20" t="s">
        <v>1845</v>
      </c>
    </row>
    <row r="21" spans="1:3" x14ac:dyDescent="0.25">
      <c r="A21">
        <v>20</v>
      </c>
      <c r="B21" t="s">
        <v>54</v>
      </c>
      <c r="C21" t="s">
        <v>1846</v>
      </c>
    </row>
    <row r="22" spans="1:3" x14ac:dyDescent="0.25">
      <c r="A22">
        <v>21</v>
      </c>
      <c r="B22" t="s">
        <v>87</v>
      </c>
      <c r="C22" t="s">
        <v>1847</v>
      </c>
    </row>
    <row r="23" spans="1:3" x14ac:dyDescent="0.25">
      <c r="A23">
        <v>22</v>
      </c>
      <c r="B23" t="s">
        <v>238</v>
      </c>
      <c r="C23" t="s">
        <v>1848</v>
      </c>
    </row>
    <row r="24" spans="1:3" x14ac:dyDescent="0.25">
      <c r="A24">
        <v>23</v>
      </c>
      <c r="B24" t="s">
        <v>167</v>
      </c>
      <c r="C24" t="s">
        <v>1849</v>
      </c>
    </row>
    <row r="25" spans="1:3" x14ac:dyDescent="0.25">
      <c r="A25">
        <v>24</v>
      </c>
      <c r="B25" t="s">
        <v>343</v>
      </c>
      <c r="C25" t="s">
        <v>1850</v>
      </c>
    </row>
    <row r="26" spans="1:3" x14ac:dyDescent="0.25">
      <c r="A26">
        <v>25</v>
      </c>
      <c r="B26" t="s">
        <v>131</v>
      </c>
      <c r="C26" t="s">
        <v>1851</v>
      </c>
    </row>
    <row r="27" spans="1:3" x14ac:dyDescent="0.25">
      <c r="A27">
        <v>26</v>
      </c>
      <c r="B27" t="s">
        <v>205</v>
      </c>
      <c r="C27" t="s">
        <v>1852</v>
      </c>
    </row>
    <row r="28" spans="1:3" x14ac:dyDescent="0.25">
      <c r="A28">
        <v>27</v>
      </c>
      <c r="B28" t="s">
        <v>357</v>
      </c>
      <c r="C28" t="s">
        <v>1853</v>
      </c>
    </row>
    <row r="29" spans="1:3" x14ac:dyDescent="0.25">
      <c r="A29">
        <v>28</v>
      </c>
      <c r="B29" t="s">
        <v>266</v>
      </c>
      <c r="C29" t="s">
        <v>1854</v>
      </c>
    </row>
    <row r="30" spans="1:3" x14ac:dyDescent="0.25">
      <c r="A30">
        <v>29</v>
      </c>
      <c r="B30" t="s">
        <v>323</v>
      </c>
      <c r="C30" t="s">
        <v>1855</v>
      </c>
    </row>
    <row r="31" spans="1:3" x14ac:dyDescent="0.25">
      <c r="A31">
        <v>30</v>
      </c>
      <c r="B31" t="s">
        <v>315</v>
      </c>
      <c r="C31" t="s">
        <v>1856</v>
      </c>
    </row>
    <row r="32" spans="1:3" x14ac:dyDescent="0.25">
      <c r="A32">
        <v>31</v>
      </c>
      <c r="B32" t="s">
        <v>101</v>
      </c>
      <c r="C32" t="s">
        <v>1857</v>
      </c>
    </row>
    <row r="33" spans="1:3" x14ac:dyDescent="0.25">
      <c r="A33">
        <v>32</v>
      </c>
      <c r="B33" t="s">
        <v>79</v>
      </c>
      <c r="C33" t="s">
        <v>1858</v>
      </c>
    </row>
    <row r="34" spans="1:3" x14ac:dyDescent="0.25">
      <c r="A34">
        <v>33</v>
      </c>
      <c r="B34" t="s">
        <v>375</v>
      </c>
      <c r="C34" t="s">
        <v>1859</v>
      </c>
    </row>
    <row r="35" spans="1:3" x14ac:dyDescent="0.25">
      <c r="A35">
        <v>34</v>
      </c>
      <c r="B35" t="s">
        <v>260</v>
      </c>
      <c r="C35" t="s">
        <v>1860</v>
      </c>
    </row>
    <row r="36" spans="1:3" x14ac:dyDescent="0.25">
      <c r="A36">
        <v>35</v>
      </c>
      <c r="B36" t="s">
        <v>252</v>
      </c>
      <c r="C36" t="s">
        <v>1861</v>
      </c>
    </row>
    <row r="37" spans="1:3" x14ac:dyDescent="0.25">
      <c r="A37">
        <v>36</v>
      </c>
      <c r="B37" t="s">
        <v>309</v>
      </c>
      <c r="C37" t="s">
        <v>1862</v>
      </c>
    </row>
    <row r="38" spans="1:3" x14ac:dyDescent="0.25">
      <c r="A38">
        <v>37</v>
      </c>
      <c r="B38" t="s">
        <v>336</v>
      </c>
      <c r="C38" t="s">
        <v>1863</v>
      </c>
    </row>
    <row r="39" spans="1:3" x14ac:dyDescent="0.25">
      <c r="A39">
        <v>38</v>
      </c>
      <c r="B39" t="s">
        <v>389</v>
      </c>
      <c r="C39" t="s">
        <v>1864</v>
      </c>
    </row>
    <row r="40" spans="1:3" x14ac:dyDescent="0.25">
      <c r="A40">
        <v>39</v>
      </c>
      <c r="B40" t="s">
        <v>369</v>
      </c>
      <c r="C40" t="s">
        <v>1865</v>
      </c>
    </row>
    <row r="41" spans="1:3" x14ac:dyDescent="0.25">
      <c r="A41">
        <v>40</v>
      </c>
      <c r="B41" t="s">
        <v>33</v>
      </c>
      <c r="C41" t="s">
        <v>1866</v>
      </c>
    </row>
    <row r="42" spans="1:3" x14ac:dyDescent="0.25">
      <c r="A42">
        <v>41</v>
      </c>
      <c r="B42" t="s">
        <v>286</v>
      </c>
      <c r="C42" t="s">
        <v>1867</v>
      </c>
    </row>
    <row r="43" spans="1:3" x14ac:dyDescent="0.25">
      <c r="A43">
        <v>42</v>
      </c>
      <c r="B43" t="s">
        <v>246</v>
      </c>
      <c r="C43" t="s">
        <v>1868</v>
      </c>
    </row>
    <row r="44" spans="1:3" x14ac:dyDescent="0.25">
      <c r="A44">
        <v>43</v>
      </c>
      <c r="B44" t="s">
        <v>175</v>
      </c>
      <c r="C44" t="s">
        <v>1869</v>
      </c>
    </row>
    <row r="45" spans="1:3" x14ac:dyDescent="0.25">
      <c r="A45">
        <v>44</v>
      </c>
      <c r="B45" t="s">
        <v>93</v>
      </c>
      <c r="C45" t="s">
        <v>1870</v>
      </c>
    </row>
    <row r="46" spans="1:3" x14ac:dyDescent="0.25">
      <c r="A46">
        <v>45</v>
      </c>
      <c r="B46" t="s">
        <v>363</v>
      </c>
      <c r="C46" t="s">
        <v>1871</v>
      </c>
    </row>
    <row r="47" spans="1:3" x14ac:dyDescent="0.25">
      <c r="A47">
        <v>46</v>
      </c>
      <c r="B47" t="s">
        <v>212</v>
      </c>
      <c r="C47" t="s">
        <v>1872</v>
      </c>
    </row>
    <row r="48" spans="1:3" x14ac:dyDescent="0.25">
      <c r="A48">
        <v>47</v>
      </c>
      <c r="B48" t="s">
        <v>64</v>
      </c>
      <c r="C48" t="s">
        <v>1873</v>
      </c>
    </row>
    <row r="49" spans="1:3" x14ac:dyDescent="0.25">
      <c r="A49">
        <v>48</v>
      </c>
      <c r="B49" t="s">
        <v>44</v>
      </c>
      <c r="C49" t="s">
        <v>1874</v>
      </c>
    </row>
    <row r="50" spans="1:3" x14ac:dyDescent="0.25">
      <c r="A50">
        <v>49</v>
      </c>
      <c r="B50" t="s">
        <v>224</v>
      </c>
      <c r="C50" t="s">
        <v>1875</v>
      </c>
    </row>
    <row r="51" spans="1:3" x14ac:dyDescent="0.25">
      <c r="A51">
        <v>50</v>
      </c>
      <c r="B51" t="s">
        <v>71</v>
      </c>
      <c r="C51" t="s">
        <v>1876</v>
      </c>
    </row>
    <row r="52" spans="1:3" x14ac:dyDescent="0.25">
      <c r="A52">
        <v>51</v>
      </c>
      <c r="B52" t="s">
        <v>109</v>
      </c>
      <c r="C52" t="s">
        <v>1877</v>
      </c>
    </row>
    <row r="53" spans="1:3" x14ac:dyDescent="0.25">
      <c r="A53">
        <v>52</v>
      </c>
      <c r="B53" t="s">
        <v>396</v>
      </c>
      <c r="C53" t="s">
        <v>1878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692A-3A13-45AB-88F7-E4CAEDCA2CEE}">
  <dimension ref="A1:AH174"/>
  <sheetViews>
    <sheetView tabSelected="1" topLeftCell="P154" workbookViewId="0">
      <selection activeCell="AF164" sqref="AF164"/>
    </sheetView>
  </sheetViews>
  <sheetFormatPr defaultRowHeight="15" x14ac:dyDescent="0.25"/>
  <cols>
    <col min="1" max="1" width="6" bestFit="1" customWidth="1"/>
    <col min="2" max="2" width="8.42578125" bestFit="1" customWidth="1"/>
    <col min="3" max="3" width="8.7109375" bestFit="1" customWidth="1"/>
    <col min="4" max="4" width="13.5703125" bestFit="1" customWidth="1"/>
    <col min="5" max="5" width="31.5703125" bestFit="1" customWidth="1"/>
    <col min="6" max="6" width="8.28515625" bestFit="1" customWidth="1"/>
    <col min="7" max="7" width="7.5703125" bestFit="1" customWidth="1"/>
    <col min="8" max="8" width="22.42578125" bestFit="1" customWidth="1"/>
    <col min="9" max="9" width="10.85546875" bestFit="1" customWidth="1"/>
    <col min="10" max="10" width="18.7109375" bestFit="1" customWidth="1"/>
    <col min="11" max="11" width="9.140625" bestFit="1" customWidth="1"/>
    <col min="12" max="12" width="15" bestFit="1" customWidth="1"/>
    <col min="13" max="13" width="14.5703125" bestFit="1" customWidth="1"/>
    <col min="14" max="14" width="8.42578125" bestFit="1" customWidth="1"/>
    <col min="15" max="15" width="5.28515625" bestFit="1" customWidth="1"/>
    <col min="16" max="16" width="4.85546875" bestFit="1" customWidth="1"/>
    <col min="17" max="17" width="5.42578125" bestFit="1" customWidth="1"/>
    <col min="18" max="18" width="7.140625" bestFit="1" customWidth="1"/>
    <col min="19" max="19" width="6.28515625" bestFit="1" customWidth="1"/>
    <col min="20" max="20" width="8.28515625" bestFit="1" customWidth="1"/>
    <col min="21" max="21" width="4.85546875" bestFit="1" customWidth="1"/>
    <col min="22" max="23" width="7.7109375" bestFit="1" customWidth="1"/>
    <col min="24" max="24" width="8.42578125" bestFit="1" customWidth="1"/>
    <col min="25" max="25" width="13.140625" bestFit="1" customWidth="1"/>
    <col min="26" max="26" width="8.7109375" bestFit="1" customWidth="1"/>
    <col min="27" max="27" width="8" bestFit="1" customWidth="1"/>
    <col min="28" max="28" width="8.5703125" bestFit="1" customWidth="1"/>
    <col min="29" max="29" width="8.28515625" bestFit="1" customWidth="1"/>
    <col min="30" max="30" width="7.7109375" bestFit="1" customWidth="1"/>
    <col min="31" max="31" width="8.7109375" bestFit="1" customWidth="1"/>
    <col min="32" max="32" width="34.28515625" bestFit="1" customWidth="1"/>
    <col min="33" max="33" width="10.42578125" bestFit="1" customWidth="1"/>
    <col min="34" max="34" width="11.140625" customWidth="1"/>
  </cols>
  <sheetData>
    <row r="1" spans="1:34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5" t="s">
        <v>13</v>
      </c>
      <c r="P1" s="5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7" t="s">
        <v>20</v>
      </c>
      <c r="W1" s="9" t="s">
        <v>21</v>
      </c>
      <c r="X1" s="10" t="s">
        <v>22</v>
      </c>
      <c r="Y1" s="9" t="s">
        <v>23</v>
      </c>
      <c r="Z1" s="11" t="s">
        <v>24</v>
      </c>
      <c r="AA1" s="12" t="s">
        <v>25</v>
      </c>
      <c r="AB1" s="13" t="s">
        <v>26</v>
      </c>
      <c r="AC1" s="14" t="s">
        <v>27</v>
      </c>
      <c r="AD1" s="9" t="s">
        <v>28</v>
      </c>
      <c r="AE1" s="15" t="s">
        <v>29</v>
      </c>
      <c r="AF1" s="1" t="s">
        <v>1771</v>
      </c>
      <c r="AG1" s="1" t="s">
        <v>1769</v>
      </c>
      <c r="AH1" s="1" t="s">
        <v>1770</v>
      </c>
    </row>
    <row r="2" spans="1:34" x14ac:dyDescent="0.25">
      <c r="A2" s="16" t="s">
        <v>408</v>
      </c>
      <c r="B2" s="16" t="s">
        <v>409</v>
      </c>
      <c r="C2" s="17">
        <v>45566</v>
      </c>
      <c r="D2" s="16" t="s">
        <v>32</v>
      </c>
      <c r="E2" s="16" t="s">
        <v>410</v>
      </c>
      <c r="F2" s="18">
        <v>45567</v>
      </c>
      <c r="G2" s="18">
        <v>45931</v>
      </c>
      <c r="H2" s="30" t="s">
        <v>411</v>
      </c>
      <c r="I2" s="20" t="s">
        <v>412</v>
      </c>
      <c r="J2" s="27" t="s">
        <v>413</v>
      </c>
      <c r="K2" s="16" t="s">
        <v>414</v>
      </c>
      <c r="L2" s="16" t="s">
        <v>415</v>
      </c>
      <c r="M2" s="16" t="s">
        <v>416</v>
      </c>
      <c r="N2" s="16" t="s">
        <v>409</v>
      </c>
      <c r="O2" s="16" t="s">
        <v>60</v>
      </c>
      <c r="P2" s="16" t="s">
        <v>61</v>
      </c>
      <c r="Q2" s="16" t="s">
        <v>417</v>
      </c>
      <c r="R2" s="18">
        <v>45203</v>
      </c>
      <c r="S2" s="18">
        <v>46300</v>
      </c>
      <c r="T2" s="22">
        <v>990000</v>
      </c>
      <c r="U2" s="16">
        <v>10</v>
      </c>
      <c r="V2" s="23">
        <v>99000</v>
      </c>
      <c r="W2" s="23">
        <v>891000</v>
      </c>
      <c r="X2" s="24">
        <v>2</v>
      </c>
      <c r="Y2" s="31">
        <v>17820</v>
      </c>
      <c r="Z2" s="16"/>
      <c r="AA2" s="16" t="s">
        <v>41</v>
      </c>
      <c r="AB2" s="16">
        <v>1141071585</v>
      </c>
      <c r="AC2" s="25">
        <v>45624</v>
      </c>
      <c r="AD2" s="26" t="s">
        <v>42</v>
      </c>
      <c r="AE2" s="26">
        <v>0</v>
      </c>
      <c r="AF2" s="16" t="s">
        <v>410</v>
      </c>
      <c r="AG2" s="33">
        <v>17820</v>
      </c>
      <c r="AH2" s="36">
        <f>Y2-AG2</f>
        <v>0</v>
      </c>
    </row>
    <row r="3" spans="1:34" x14ac:dyDescent="0.25">
      <c r="A3" s="16" t="s">
        <v>408</v>
      </c>
      <c r="B3" s="16" t="s">
        <v>418</v>
      </c>
      <c r="C3" s="17">
        <v>45566</v>
      </c>
      <c r="D3" s="16" t="s">
        <v>32</v>
      </c>
      <c r="E3" s="16" t="s">
        <v>419</v>
      </c>
      <c r="F3" s="18">
        <v>45568</v>
      </c>
      <c r="G3" s="18">
        <v>45932</v>
      </c>
      <c r="H3" s="30" t="s">
        <v>420</v>
      </c>
      <c r="I3" s="20" t="s">
        <v>421</v>
      </c>
      <c r="J3" s="27" t="s">
        <v>422</v>
      </c>
      <c r="K3" s="16" t="s">
        <v>423</v>
      </c>
      <c r="L3" s="16" t="s">
        <v>424</v>
      </c>
      <c r="M3" s="16" t="s">
        <v>425</v>
      </c>
      <c r="N3" s="16" t="s">
        <v>418</v>
      </c>
      <c r="O3" s="16" t="s">
        <v>60</v>
      </c>
      <c r="P3" s="16" t="s">
        <v>426</v>
      </c>
      <c r="Q3" s="16" t="s">
        <v>427</v>
      </c>
      <c r="R3" s="18">
        <v>44841</v>
      </c>
      <c r="S3" s="18">
        <v>46665</v>
      </c>
      <c r="T3" s="22">
        <v>4000920</v>
      </c>
      <c r="U3" s="16">
        <v>15</v>
      </c>
      <c r="V3" s="23">
        <v>600138</v>
      </c>
      <c r="W3" s="23">
        <v>3400782</v>
      </c>
      <c r="X3" s="24">
        <v>1.5</v>
      </c>
      <c r="Y3" s="31">
        <v>51011.729999999996</v>
      </c>
      <c r="Z3" s="16"/>
      <c r="AA3" s="16" t="s">
        <v>41</v>
      </c>
      <c r="AB3" s="16">
        <v>1141071585</v>
      </c>
      <c r="AC3" s="25">
        <v>45624</v>
      </c>
      <c r="AD3" s="26" t="s">
        <v>42</v>
      </c>
      <c r="AE3" s="26">
        <v>10</v>
      </c>
      <c r="AF3" s="16" t="s">
        <v>419</v>
      </c>
      <c r="AG3" s="33">
        <v>51012</v>
      </c>
      <c r="AH3" s="36">
        <f t="shared" ref="AH3:AH66" si="0">Y3-AG3</f>
        <v>-0.27000000000407454</v>
      </c>
    </row>
    <row r="4" spans="1:34" x14ac:dyDescent="0.25">
      <c r="A4" s="16" t="s">
        <v>408</v>
      </c>
      <c r="B4" s="16" t="s">
        <v>428</v>
      </c>
      <c r="C4" s="17">
        <v>45566</v>
      </c>
      <c r="D4" s="16" t="s">
        <v>32</v>
      </c>
      <c r="E4" s="16" t="s">
        <v>429</v>
      </c>
      <c r="F4" s="18">
        <v>45568</v>
      </c>
      <c r="G4" s="18">
        <v>45932</v>
      </c>
      <c r="H4" s="30" t="s">
        <v>430</v>
      </c>
      <c r="I4" s="20" t="s">
        <v>431</v>
      </c>
      <c r="J4" s="27" t="s">
        <v>432</v>
      </c>
      <c r="K4" s="16" t="s">
        <v>433</v>
      </c>
      <c r="L4" s="16" t="s">
        <v>434</v>
      </c>
      <c r="M4" s="16" t="s">
        <v>435</v>
      </c>
      <c r="N4" s="16" t="s">
        <v>428</v>
      </c>
      <c r="O4" s="16" t="s">
        <v>60</v>
      </c>
      <c r="P4" s="16" t="s">
        <v>61</v>
      </c>
      <c r="Q4" s="16" t="s">
        <v>436</v>
      </c>
      <c r="R4" s="18">
        <v>45209</v>
      </c>
      <c r="S4" s="18">
        <v>47031</v>
      </c>
      <c r="T4" s="22">
        <v>2800000</v>
      </c>
      <c r="U4" s="16">
        <v>10</v>
      </c>
      <c r="V4" s="23">
        <v>280000</v>
      </c>
      <c r="W4" s="23">
        <v>2520000</v>
      </c>
      <c r="X4" s="24">
        <v>2</v>
      </c>
      <c r="Y4" s="31">
        <v>50400</v>
      </c>
      <c r="Z4" s="16"/>
      <c r="AA4" s="16" t="s">
        <v>41</v>
      </c>
      <c r="AB4" s="16">
        <v>1141071585</v>
      </c>
      <c r="AC4" s="25">
        <v>45624</v>
      </c>
      <c r="AD4" s="26" t="s">
        <v>42</v>
      </c>
      <c r="AE4" s="26">
        <v>10</v>
      </c>
      <c r="AF4" s="16" t="s">
        <v>429</v>
      </c>
      <c r="AG4" s="33">
        <v>50400</v>
      </c>
      <c r="AH4" s="36">
        <f t="shared" si="0"/>
        <v>0</v>
      </c>
    </row>
    <row r="5" spans="1:34" x14ac:dyDescent="0.25">
      <c r="A5" s="16" t="s">
        <v>408</v>
      </c>
      <c r="B5" s="16" t="s">
        <v>437</v>
      </c>
      <c r="C5" s="17">
        <v>45566</v>
      </c>
      <c r="D5" s="16" t="s">
        <v>32</v>
      </c>
      <c r="E5" s="16" t="s">
        <v>438</v>
      </c>
      <c r="F5" s="18">
        <v>45569</v>
      </c>
      <c r="G5" s="18">
        <v>45933</v>
      </c>
      <c r="H5" s="30" t="s">
        <v>439</v>
      </c>
      <c r="I5" s="20" t="s">
        <v>440</v>
      </c>
      <c r="J5" s="27" t="s">
        <v>441</v>
      </c>
      <c r="K5" s="16" t="s">
        <v>442</v>
      </c>
      <c r="L5" s="16" t="s">
        <v>443</v>
      </c>
      <c r="M5" s="16" t="s">
        <v>444</v>
      </c>
      <c r="N5" s="16" t="s">
        <v>437</v>
      </c>
      <c r="O5" s="16" t="s">
        <v>60</v>
      </c>
      <c r="P5" s="16" t="s">
        <v>61</v>
      </c>
      <c r="Q5" s="16" t="s">
        <v>445</v>
      </c>
      <c r="R5" s="18">
        <v>44476</v>
      </c>
      <c r="S5" s="18">
        <v>46300</v>
      </c>
      <c r="T5" s="22">
        <v>2900000</v>
      </c>
      <c r="U5" s="16">
        <v>20</v>
      </c>
      <c r="V5" s="23">
        <v>580000</v>
      </c>
      <c r="W5" s="23">
        <v>2320000</v>
      </c>
      <c r="X5" s="24">
        <v>2.5</v>
      </c>
      <c r="Y5" s="31">
        <v>58000</v>
      </c>
      <c r="Z5" s="16"/>
      <c r="AA5" s="16" t="s">
        <v>41</v>
      </c>
      <c r="AB5" s="16">
        <v>1141071585</v>
      </c>
      <c r="AC5" s="25">
        <v>45624</v>
      </c>
      <c r="AD5" s="26" t="s">
        <v>42</v>
      </c>
      <c r="AE5" s="26">
        <v>0</v>
      </c>
      <c r="AF5" s="16" t="s">
        <v>438</v>
      </c>
      <c r="AG5" s="33">
        <v>58000</v>
      </c>
      <c r="AH5" s="36">
        <f t="shared" si="0"/>
        <v>0</v>
      </c>
    </row>
    <row r="6" spans="1:34" x14ac:dyDescent="0.25">
      <c r="A6" s="16" t="s">
        <v>408</v>
      </c>
      <c r="B6" s="16" t="s">
        <v>446</v>
      </c>
      <c r="C6" s="17">
        <v>45566</v>
      </c>
      <c r="D6" s="16" t="s">
        <v>32</v>
      </c>
      <c r="E6" s="16" t="s">
        <v>447</v>
      </c>
      <c r="F6" s="18">
        <v>45570</v>
      </c>
      <c r="G6" s="18">
        <v>45934</v>
      </c>
      <c r="H6" s="30" t="s">
        <v>448</v>
      </c>
      <c r="I6" s="20" t="s">
        <v>449</v>
      </c>
      <c r="J6" s="27" t="s">
        <v>450</v>
      </c>
      <c r="K6" s="16" t="s">
        <v>451</v>
      </c>
      <c r="L6" s="16" t="s">
        <v>452</v>
      </c>
      <c r="M6" s="16" t="s">
        <v>453</v>
      </c>
      <c r="N6" s="16" t="s">
        <v>446</v>
      </c>
      <c r="O6" s="16" t="s">
        <v>50</v>
      </c>
      <c r="P6" s="16" t="s">
        <v>454</v>
      </c>
      <c r="Q6" s="16" t="s">
        <v>455</v>
      </c>
      <c r="R6" s="18">
        <v>44845</v>
      </c>
      <c r="S6" s="18">
        <v>46665</v>
      </c>
      <c r="T6" s="22">
        <v>1699000</v>
      </c>
      <c r="U6" s="16">
        <v>15</v>
      </c>
      <c r="V6" s="23">
        <v>254850</v>
      </c>
      <c r="W6" s="23">
        <v>1444150</v>
      </c>
      <c r="X6" s="24">
        <v>1.5</v>
      </c>
      <c r="Y6" s="31">
        <v>21662.25</v>
      </c>
      <c r="Z6" s="16"/>
      <c r="AA6" s="16" t="s">
        <v>41</v>
      </c>
      <c r="AB6" s="16">
        <v>1141071585</v>
      </c>
      <c r="AC6" s="25">
        <v>45624</v>
      </c>
      <c r="AD6" s="26" t="s">
        <v>42</v>
      </c>
      <c r="AE6" s="26">
        <v>0</v>
      </c>
      <c r="AF6" s="16" t="s">
        <v>447</v>
      </c>
      <c r="AG6" s="33">
        <v>21662</v>
      </c>
      <c r="AH6" s="36">
        <f t="shared" si="0"/>
        <v>0.25</v>
      </c>
    </row>
    <row r="7" spans="1:34" x14ac:dyDescent="0.25">
      <c r="A7" s="16" t="s">
        <v>408</v>
      </c>
      <c r="B7" s="16" t="s">
        <v>456</v>
      </c>
      <c r="C7" s="17">
        <v>45566</v>
      </c>
      <c r="D7" s="16" t="s">
        <v>32</v>
      </c>
      <c r="E7" s="16" t="s">
        <v>457</v>
      </c>
      <c r="F7" s="18">
        <v>45570</v>
      </c>
      <c r="G7" s="18">
        <v>45934</v>
      </c>
      <c r="H7" s="30" t="s">
        <v>458</v>
      </c>
      <c r="I7" s="20" t="s">
        <v>459</v>
      </c>
      <c r="J7" s="27" t="s">
        <v>460</v>
      </c>
      <c r="K7" s="16" t="s">
        <v>461</v>
      </c>
      <c r="L7" s="16">
        <v>503797</v>
      </c>
      <c r="M7" s="16" t="s">
        <v>462</v>
      </c>
      <c r="N7" s="16" t="s">
        <v>456</v>
      </c>
      <c r="O7" s="16" t="s">
        <v>50</v>
      </c>
      <c r="P7" s="16" t="s">
        <v>51</v>
      </c>
      <c r="Q7" s="16" t="s">
        <v>463</v>
      </c>
      <c r="R7" s="18">
        <v>44851</v>
      </c>
      <c r="S7" s="18">
        <v>46696</v>
      </c>
      <c r="T7" s="22">
        <v>2569000</v>
      </c>
      <c r="U7" s="16">
        <v>15</v>
      </c>
      <c r="V7" s="23">
        <v>385350</v>
      </c>
      <c r="W7" s="23">
        <v>2183650</v>
      </c>
      <c r="X7" s="24">
        <v>1.5</v>
      </c>
      <c r="Y7" s="31">
        <v>32754.75</v>
      </c>
      <c r="Z7" s="16"/>
      <c r="AA7" s="16" t="s">
        <v>41</v>
      </c>
      <c r="AB7" s="16">
        <v>1141071585</v>
      </c>
      <c r="AC7" s="25">
        <v>45624</v>
      </c>
      <c r="AD7" s="26" t="s">
        <v>42</v>
      </c>
      <c r="AE7" s="26">
        <v>0</v>
      </c>
      <c r="AF7" s="16" t="s">
        <v>457</v>
      </c>
      <c r="AG7" s="33">
        <v>32755</v>
      </c>
      <c r="AH7" s="36">
        <f t="shared" si="0"/>
        <v>-0.25</v>
      </c>
    </row>
    <row r="8" spans="1:34" x14ac:dyDescent="0.25">
      <c r="A8" s="16" t="s">
        <v>408</v>
      </c>
      <c r="B8" s="16" t="s">
        <v>464</v>
      </c>
      <c r="C8" s="17">
        <v>45566</v>
      </c>
      <c r="D8" s="16" t="s">
        <v>32</v>
      </c>
      <c r="E8" s="16" t="s">
        <v>465</v>
      </c>
      <c r="F8" s="18">
        <v>45570</v>
      </c>
      <c r="G8" s="18">
        <v>45934</v>
      </c>
      <c r="H8" s="30" t="s">
        <v>466</v>
      </c>
      <c r="I8" s="20" t="s">
        <v>467</v>
      </c>
      <c r="J8" s="27" t="s">
        <v>468</v>
      </c>
      <c r="K8" s="16" t="s">
        <v>469</v>
      </c>
      <c r="L8" s="16" t="s">
        <v>470</v>
      </c>
      <c r="M8" s="16" t="s">
        <v>471</v>
      </c>
      <c r="N8" s="16" t="s">
        <v>464</v>
      </c>
      <c r="O8" s="16" t="s">
        <v>60</v>
      </c>
      <c r="P8" s="16" t="s">
        <v>61</v>
      </c>
      <c r="Q8" s="16" t="s">
        <v>472</v>
      </c>
      <c r="R8" s="18">
        <v>44848</v>
      </c>
      <c r="S8" s="18">
        <v>46665</v>
      </c>
      <c r="T8" s="22">
        <v>3331290</v>
      </c>
      <c r="U8" s="16">
        <v>15</v>
      </c>
      <c r="V8" s="23">
        <v>499693.5</v>
      </c>
      <c r="W8" s="23">
        <v>2831596.5</v>
      </c>
      <c r="X8" s="24">
        <v>1.5</v>
      </c>
      <c r="Y8" s="31">
        <v>42473.947500000002</v>
      </c>
      <c r="Z8" s="16"/>
      <c r="AA8" s="16" t="s">
        <v>41</v>
      </c>
      <c r="AB8" s="16">
        <v>1141071585</v>
      </c>
      <c r="AC8" s="25">
        <v>45624</v>
      </c>
      <c r="AD8" s="26" t="s">
        <v>42</v>
      </c>
      <c r="AE8" s="26">
        <v>0</v>
      </c>
      <c r="AF8" s="16" t="s">
        <v>465</v>
      </c>
      <c r="AG8" s="33">
        <v>42474</v>
      </c>
      <c r="AH8" s="36">
        <f t="shared" si="0"/>
        <v>-5.2499999997962732E-2</v>
      </c>
    </row>
    <row r="9" spans="1:34" x14ac:dyDescent="0.25">
      <c r="A9" s="16" t="s">
        <v>408</v>
      </c>
      <c r="B9" s="16" t="s">
        <v>473</v>
      </c>
      <c r="C9" s="17">
        <v>45566</v>
      </c>
      <c r="D9" s="16" t="s">
        <v>32</v>
      </c>
      <c r="E9" s="16" t="s">
        <v>474</v>
      </c>
      <c r="F9" s="18">
        <v>45570</v>
      </c>
      <c r="G9" s="18">
        <v>45934</v>
      </c>
      <c r="H9" s="30" t="s">
        <v>475</v>
      </c>
      <c r="I9" s="20" t="s">
        <v>476</v>
      </c>
      <c r="J9" s="27" t="s">
        <v>477</v>
      </c>
      <c r="K9" s="16" t="s">
        <v>478</v>
      </c>
      <c r="L9" s="16" t="s">
        <v>479</v>
      </c>
      <c r="M9" s="16" t="s">
        <v>480</v>
      </c>
      <c r="N9" s="16" t="s">
        <v>473</v>
      </c>
      <c r="O9" s="16" t="s">
        <v>60</v>
      </c>
      <c r="P9" s="16" t="s">
        <v>481</v>
      </c>
      <c r="Q9" s="16" t="s">
        <v>482</v>
      </c>
      <c r="R9" s="18">
        <v>44120</v>
      </c>
      <c r="S9" s="18">
        <v>45966</v>
      </c>
      <c r="T9" s="22">
        <v>1600000</v>
      </c>
      <c r="U9" s="16">
        <v>25</v>
      </c>
      <c r="V9" s="23">
        <v>400000</v>
      </c>
      <c r="W9" s="23">
        <v>1200000</v>
      </c>
      <c r="X9" s="24">
        <v>2.5</v>
      </c>
      <c r="Y9" s="31">
        <v>30000</v>
      </c>
      <c r="Z9" s="16"/>
      <c r="AA9" s="16" t="s">
        <v>41</v>
      </c>
      <c r="AB9" s="16">
        <v>1141071585</v>
      </c>
      <c r="AC9" s="25">
        <v>45624</v>
      </c>
      <c r="AD9" s="26" t="s">
        <v>42</v>
      </c>
      <c r="AE9" s="26">
        <v>0</v>
      </c>
      <c r="AF9" s="16" t="s">
        <v>474</v>
      </c>
      <c r="AG9" s="33">
        <v>30000</v>
      </c>
      <c r="AH9" s="36">
        <f t="shared" si="0"/>
        <v>0</v>
      </c>
    </row>
    <row r="10" spans="1:34" x14ac:dyDescent="0.25">
      <c r="A10" s="16" t="s">
        <v>408</v>
      </c>
      <c r="B10" s="16" t="s">
        <v>483</v>
      </c>
      <c r="C10" s="17">
        <v>45566</v>
      </c>
      <c r="D10" s="16" t="s">
        <v>32</v>
      </c>
      <c r="E10" s="16" t="s">
        <v>484</v>
      </c>
      <c r="F10" s="18">
        <v>45570</v>
      </c>
      <c r="G10" s="18">
        <v>45934</v>
      </c>
      <c r="H10" s="30" t="s">
        <v>485</v>
      </c>
      <c r="I10" s="20" t="s">
        <v>486</v>
      </c>
      <c r="J10" s="27" t="s">
        <v>487</v>
      </c>
      <c r="K10" s="16" t="s">
        <v>488</v>
      </c>
      <c r="L10" s="16">
        <v>206357</v>
      </c>
      <c r="M10" s="16" t="s">
        <v>489</v>
      </c>
      <c r="N10" s="16" t="s">
        <v>483</v>
      </c>
      <c r="O10" s="16" t="s">
        <v>38</v>
      </c>
      <c r="P10" s="16" t="s">
        <v>39</v>
      </c>
      <c r="Q10" s="16" t="s">
        <v>490</v>
      </c>
      <c r="R10" s="18">
        <v>44112</v>
      </c>
      <c r="S10" s="18">
        <v>45936</v>
      </c>
      <c r="T10" s="22">
        <v>1695000</v>
      </c>
      <c r="U10" s="16">
        <v>25</v>
      </c>
      <c r="V10" s="23">
        <v>423750</v>
      </c>
      <c r="W10" s="23">
        <v>1271250</v>
      </c>
      <c r="X10" s="24">
        <v>2.5</v>
      </c>
      <c r="Y10" s="31">
        <v>31781.25</v>
      </c>
      <c r="Z10" s="16"/>
      <c r="AA10" s="16" t="s">
        <v>41</v>
      </c>
      <c r="AB10" s="16">
        <v>1141071585</v>
      </c>
      <c r="AC10" s="25">
        <v>45624</v>
      </c>
      <c r="AD10" s="26" t="s">
        <v>42</v>
      </c>
      <c r="AE10" s="26">
        <v>0</v>
      </c>
      <c r="AF10" s="16" t="s">
        <v>484</v>
      </c>
      <c r="AG10" s="33">
        <v>31781</v>
      </c>
      <c r="AH10" s="36">
        <f t="shared" si="0"/>
        <v>0.25</v>
      </c>
    </row>
    <row r="11" spans="1:34" x14ac:dyDescent="0.25">
      <c r="A11" s="16" t="s">
        <v>408</v>
      </c>
      <c r="B11" s="16" t="s">
        <v>491</v>
      </c>
      <c r="C11" s="17">
        <v>45566</v>
      </c>
      <c r="D11" s="16" t="s">
        <v>32</v>
      </c>
      <c r="E11" s="16" t="s">
        <v>492</v>
      </c>
      <c r="F11" s="18">
        <v>45570</v>
      </c>
      <c r="G11" s="18">
        <v>45934</v>
      </c>
      <c r="H11" s="30" t="s">
        <v>493</v>
      </c>
      <c r="I11" s="20" t="s">
        <v>494</v>
      </c>
      <c r="J11" s="27" t="s">
        <v>495</v>
      </c>
      <c r="K11" s="16" t="s">
        <v>496</v>
      </c>
      <c r="L11" s="16">
        <v>130521</v>
      </c>
      <c r="M11" s="16" t="s">
        <v>497</v>
      </c>
      <c r="N11" s="16" t="s">
        <v>491</v>
      </c>
      <c r="O11" s="16" t="s">
        <v>60</v>
      </c>
      <c r="P11" s="16" t="s">
        <v>76</v>
      </c>
      <c r="Q11" s="16" t="s">
        <v>498</v>
      </c>
      <c r="R11" s="18">
        <v>44111</v>
      </c>
      <c r="S11" s="18">
        <v>45936</v>
      </c>
      <c r="T11" s="22">
        <v>1598000</v>
      </c>
      <c r="U11" s="16">
        <v>25</v>
      </c>
      <c r="V11" s="23">
        <v>399500</v>
      </c>
      <c r="W11" s="23">
        <v>1198500</v>
      </c>
      <c r="X11" s="24">
        <v>2.5</v>
      </c>
      <c r="Y11" s="31">
        <v>29962.5</v>
      </c>
      <c r="Z11" s="16"/>
      <c r="AA11" s="16" t="s">
        <v>41</v>
      </c>
      <c r="AB11" s="16">
        <v>1141071585</v>
      </c>
      <c r="AC11" s="25">
        <v>45624</v>
      </c>
      <c r="AD11" s="26" t="s">
        <v>42</v>
      </c>
      <c r="AE11" s="26">
        <v>10</v>
      </c>
      <c r="AF11" s="16" t="s">
        <v>492</v>
      </c>
      <c r="AG11" s="33">
        <v>29963</v>
      </c>
      <c r="AH11" s="36">
        <f t="shared" si="0"/>
        <v>-0.5</v>
      </c>
    </row>
    <row r="12" spans="1:34" x14ac:dyDescent="0.25">
      <c r="A12" s="16" t="s">
        <v>408</v>
      </c>
      <c r="B12" s="16" t="s">
        <v>499</v>
      </c>
      <c r="C12" s="17">
        <v>45566</v>
      </c>
      <c r="D12" s="16" t="s">
        <v>32</v>
      </c>
      <c r="E12" s="16" t="s">
        <v>500</v>
      </c>
      <c r="F12" s="18">
        <v>45570</v>
      </c>
      <c r="G12" s="18">
        <v>45934</v>
      </c>
      <c r="H12" s="30" t="s">
        <v>501</v>
      </c>
      <c r="I12" s="20" t="s">
        <v>502</v>
      </c>
      <c r="J12" s="27" t="s">
        <v>450</v>
      </c>
      <c r="K12" s="16" t="s">
        <v>503</v>
      </c>
      <c r="L12" s="16" t="s">
        <v>504</v>
      </c>
      <c r="M12" s="16" t="s">
        <v>505</v>
      </c>
      <c r="N12" s="16" t="s">
        <v>499</v>
      </c>
      <c r="O12" s="16" t="s">
        <v>60</v>
      </c>
      <c r="P12" s="16" t="s">
        <v>61</v>
      </c>
      <c r="Q12" s="16" t="s">
        <v>506</v>
      </c>
      <c r="R12" s="18">
        <v>44841</v>
      </c>
      <c r="S12" s="18">
        <v>46665</v>
      </c>
      <c r="T12" s="22">
        <v>1675000</v>
      </c>
      <c r="U12" s="16">
        <v>15</v>
      </c>
      <c r="V12" s="23">
        <v>251250</v>
      </c>
      <c r="W12" s="23">
        <v>1423750</v>
      </c>
      <c r="X12" s="24">
        <v>2.5</v>
      </c>
      <c r="Y12" s="31">
        <v>35593.75</v>
      </c>
      <c r="Z12" s="16"/>
      <c r="AA12" s="16" t="s">
        <v>41</v>
      </c>
      <c r="AB12" s="16">
        <v>1141071585</v>
      </c>
      <c r="AC12" s="25">
        <v>45624</v>
      </c>
      <c r="AD12" s="26" t="s">
        <v>42</v>
      </c>
      <c r="AE12" s="26">
        <v>10</v>
      </c>
      <c r="AF12" s="16" t="s">
        <v>500</v>
      </c>
      <c r="AG12" s="33">
        <v>35594</v>
      </c>
      <c r="AH12" s="36">
        <f t="shared" si="0"/>
        <v>-0.25</v>
      </c>
    </row>
    <row r="13" spans="1:34" x14ac:dyDescent="0.25">
      <c r="A13" s="16" t="s">
        <v>408</v>
      </c>
      <c r="B13" s="16" t="s">
        <v>507</v>
      </c>
      <c r="C13" s="17">
        <v>45566</v>
      </c>
      <c r="D13" s="16" t="s">
        <v>32</v>
      </c>
      <c r="E13" s="16" t="s">
        <v>508</v>
      </c>
      <c r="F13" s="18">
        <v>45571</v>
      </c>
      <c r="G13" s="18">
        <v>45935</v>
      </c>
      <c r="H13" s="30" t="s">
        <v>509</v>
      </c>
      <c r="I13" s="20" t="s">
        <v>510</v>
      </c>
      <c r="J13" s="27" t="s">
        <v>511</v>
      </c>
      <c r="K13" s="16" t="s">
        <v>512</v>
      </c>
      <c r="L13" s="16" t="s">
        <v>513</v>
      </c>
      <c r="M13" s="16" t="s">
        <v>514</v>
      </c>
      <c r="N13" s="16" t="s">
        <v>507</v>
      </c>
      <c r="O13" s="16" t="s">
        <v>60</v>
      </c>
      <c r="P13" s="16" t="s">
        <v>61</v>
      </c>
      <c r="Q13" s="16" t="s">
        <v>515</v>
      </c>
      <c r="R13" s="18">
        <v>44844</v>
      </c>
      <c r="S13" s="18">
        <v>46300</v>
      </c>
      <c r="T13" s="22">
        <v>3639340</v>
      </c>
      <c r="U13" s="16">
        <v>15</v>
      </c>
      <c r="V13" s="23">
        <v>545901</v>
      </c>
      <c r="W13" s="23">
        <v>3093439</v>
      </c>
      <c r="X13" s="24">
        <v>1.5</v>
      </c>
      <c r="Y13" s="31">
        <v>46401.584999999999</v>
      </c>
      <c r="Z13" s="16"/>
      <c r="AA13" s="16" t="s">
        <v>41</v>
      </c>
      <c r="AB13" s="16">
        <v>1141071585</v>
      </c>
      <c r="AC13" s="25">
        <v>45624</v>
      </c>
      <c r="AD13" s="26" t="s">
        <v>42</v>
      </c>
      <c r="AE13" s="26">
        <v>10</v>
      </c>
      <c r="AF13" s="16" t="s">
        <v>508</v>
      </c>
      <c r="AG13" s="33">
        <v>46402</v>
      </c>
      <c r="AH13" s="36">
        <f t="shared" si="0"/>
        <v>-0.41500000000087311</v>
      </c>
    </row>
    <row r="14" spans="1:34" x14ac:dyDescent="0.25">
      <c r="A14" s="16" t="s">
        <v>408</v>
      </c>
      <c r="B14" s="16" t="s">
        <v>516</v>
      </c>
      <c r="C14" s="17">
        <v>45566</v>
      </c>
      <c r="D14" s="16" t="s">
        <v>32</v>
      </c>
      <c r="E14" s="16" t="s">
        <v>517</v>
      </c>
      <c r="F14" s="18">
        <v>45571</v>
      </c>
      <c r="G14" s="18">
        <v>45935</v>
      </c>
      <c r="H14" s="30" t="s">
        <v>518</v>
      </c>
      <c r="I14" s="20" t="s">
        <v>519</v>
      </c>
      <c r="J14" s="27" t="s">
        <v>520</v>
      </c>
      <c r="K14" s="16" t="s">
        <v>521</v>
      </c>
      <c r="L14" s="16">
        <v>100619</v>
      </c>
      <c r="M14" s="16" t="s">
        <v>522</v>
      </c>
      <c r="N14" s="16" t="s">
        <v>516</v>
      </c>
      <c r="O14" s="16" t="s">
        <v>38</v>
      </c>
      <c r="P14" s="16" t="s">
        <v>39</v>
      </c>
      <c r="Q14" s="16" t="s">
        <v>523</v>
      </c>
      <c r="R14" s="18">
        <v>44844</v>
      </c>
      <c r="S14" s="18">
        <v>46665</v>
      </c>
      <c r="T14" s="22">
        <v>4215005</v>
      </c>
      <c r="U14" s="16">
        <v>15</v>
      </c>
      <c r="V14" s="23">
        <v>632250.75</v>
      </c>
      <c r="W14" s="23">
        <v>3582754.25</v>
      </c>
      <c r="X14" s="24">
        <v>1.5</v>
      </c>
      <c r="Y14" s="31">
        <v>53741.313750000001</v>
      </c>
      <c r="Z14" s="16"/>
      <c r="AA14" s="16" t="s">
        <v>41</v>
      </c>
      <c r="AB14" s="16">
        <v>1141071585</v>
      </c>
      <c r="AC14" s="25">
        <v>45624</v>
      </c>
      <c r="AD14" s="26" t="s">
        <v>42</v>
      </c>
      <c r="AE14" s="26">
        <v>10</v>
      </c>
      <c r="AF14" s="16" t="s">
        <v>517</v>
      </c>
      <c r="AG14" s="33">
        <v>53741</v>
      </c>
      <c r="AH14" s="36">
        <f t="shared" si="0"/>
        <v>0.31375000000116415</v>
      </c>
    </row>
    <row r="15" spans="1:34" x14ac:dyDescent="0.25">
      <c r="A15" s="16" t="s">
        <v>408</v>
      </c>
      <c r="B15" s="16" t="s">
        <v>524</v>
      </c>
      <c r="C15" s="17">
        <v>45566</v>
      </c>
      <c r="D15" s="16" t="s">
        <v>32</v>
      </c>
      <c r="E15" s="16" t="s">
        <v>525</v>
      </c>
      <c r="F15" s="18">
        <v>45571</v>
      </c>
      <c r="G15" s="18">
        <v>45935</v>
      </c>
      <c r="H15" s="30" t="s">
        <v>526</v>
      </c>
      <c r="I15" s="20" t="s">
        <v>527</v>
      </c>
      <c r="J15" s="27" t="s">
        <v>487</v>
      </c>
      <c r="K15" s="16" t="s">
        <v>528</v>
      </c>
      <c r="L15" s="16" t="s">
        <v>529</v>
      </c>
      <c r="M15" s="16" t="s">
        <v>530</v>
      </c>
      <c r="N15" s="16" t="s">
        <v>524</v>
      </c>
      <c r="O15" s="16" t="s">
        <v>60</v>
      </c>
      <c r="P15" s="16" t="s">
        <v>61</v>
      </c>
      <c r="Q15" s="16" t="s">
        <v>531</v>
      </c>
      <c r="R15" s="18">
        <v>44844</v>
      </c>
      <c r="S15" s="18">
        <v>46665</v>
      </c>
      <c r="T15" s="22">
        <v>1750000</v>
      </c>
      <c r="U15" s="16">
        <v>15</v>
      </c>
      <c r="V15" s="23">
        <v>262500</v>
      </c>
      <c r="W15" s="23">
        <v>1487500</v>
      </c>
      <c r="X15" s="24">
        <v>2</v>
      </c>
      <c r="Y15" s="31">
        <v>29750</v>
      </c>
      <c r="Z15" s="16"/>
      <c r="AA15" s="16" t="s">
        <v>41</v>
      </c>
      <c r="AB15" s="16">
        <v>1141071585</v>
      </c>
      <c r="AC15" s="25">
        <v>45624</v>
      </c>
      <c r="AD15" s="26" t="s">
        <v>42</v>
      </c>
      <c r="AE15" s="26">
        <v>10</v>
      </c>
      <c r="AF15" s="16" t="s">
        <v>525</v>
      </c>
      <c r="AG15" s="33">
        <v>29750</v>
      </c>
      <c r="AH15" s="36">
        <f t="shared" si="0"/>
        <v>0</v>
      </c>
    </row>
    <row r="16" spans="1:34" x14ac:dyDescent="0.25">
      <c r="A16" s="16" t="s">
        <v>408</v>
      </c>
      <c r="B16" s="16" t="s">
        <v>532</v>
      </c>
      <c r="C16" s="17">
        <v>45566</v>
      </c>
      <c r="D16" s="16" t="s">
        <v>32</v>
      </c>
      <c r="E16" s="16" t="s">
        <v>533</v>
      </c>
      <c r="F16" s="18">
        <v>45571</v>
      </c>
      <c r="G16" s="18">
        <v>45935</v>
      </c>
      <c r="H16" s="30" t="s">
        <v>534</v>
      </c>
      <c r="I16" s="20" t="s">
        <v>535</v>
      </c>
      <c r="J16" s="27" t="s">
        <v>536</v>
      </c>
      <c r="K16" s="16" t="s">
        <v>537</v>
      </c>
      <c r="L16" s="16" t="s">
        <v>538</v>
      </c>
      <c r="M16" s="16" t="s">
        <v>539</v>
      </c>
      <c r="N16" s="16" t="s">
        <v>532</v>
      </c>
      <c r="O16" s="16" t="s">
        <v>60</v>
      </c>
      <c r="P16" s="16" t="s">
        <v>61</v>
      </c>
      <c r="Q16" s="16" t="s">
        <v>540</v>
      </c>
      <c r="R16" s="18">
        <v>44841</v>
      </c>
      <c r="S16" s="18">
        <v>45936</v>
      </c>
      <c r="T16" s="22">
        <v>1306000</v>
      </c>
      <c r="U16" s="16">
        <v>15</v>
      </c>
      <c r="V16" s="23">
        <v>195900</v>
      </c>
      <c r="W16" s="23">
        <v>1110100</v>
      </c>
      <c r="X16" s="24">
        <v>2.5</v>
      </c>
      <c r="Y16" s="31">
        <v>27752.5</v>
      </c>
      <c r="Z16" s="16"/>
      <c r="AA16" s="16" t="s">
        <v>41</v>
      </c>
      <c r="AB16" s="16">
        <v>1141071585</v>
      </c>
      <c r="AC16" s="25">
        <v>45624</v>
      </c>
      <c r="AD16" s="26" t="s">
        <v>42</v>
      </c>
      <c r="AE16" s="26">
        <v>0</v>
      </c>
      <c r="AF16" s="16" t="s">
        <v>533</v>
      </c>
      <c r="AG16" s="33">
        <v>27753</v>
      </c>
      <c r="AH16" s="36">
        <f t="shared" si="0"/>
        <v>-0.5</v>
      </c>
    </row>
    <row r="17" spans="1:34" x14ac:dyDescent="0.25">
      <c r="A17" s="16" t="s">
        <v>408</v>
      </c>
      <c r="B17" s="16" t="s">
        <v>541</v>
      </c>
      <c r="C17" s="17">
        <v>45566</v>
      </c>
      <c r="D17" s="16" t="s">
        <v>32</v>
      </c>
      <c r="E17" s="16" t="s">
        <v>542</v>
      </c>
      <c r="F17" s="18">
        <v>45572</v>
      </c>
      <c r="G17" s="18">
        <v>45936</v>
      </c>
      <c r="H17" s="30" t="s">
        <v>543</v>
      </c>
      <c r="I17" s="20" t="s">
        <v>544</v>
      </c>
      <c r="J17" s="27" t="s">
        <v>545</v>
      </c>
      <c r="K17" s="16" t="s">
        <v>546</v>
      </c>
      <c r="L17" s="16">
        <v>111397</v>
      </c>
      <c r="M17" s="16" t="s">
        <v>547</v>
      </c>
      <c r="N17" s="16" t="s">
        <v>541</v>
      </c>
      <c r="O17" s="16" t="s">
        <v>38</v>
      </c>
      <c r="P17" s="16" t="s">
        <v>39</v>
      </c>
      <c r="Q17" s="16" t="s">
        <v>548</v>
      </c>
      <c r="R17" s="18">
        <v>44840</v>
      </c>
      <c r="S17" s="18">
        <v>46665</v>
      </c>
      <c r="T17" s="22">
        <v>1900000</v>
      </c>
      <c r="U17" s="16">
        <v>15</v>
      </c>
      <c r="V17" s="23">
        <v>285000</v>
      </c>
      <c r="W17" s="23">
        <v>1615000</v>
      </c>
      <c r="X17" s="24">
        <v>1.5</v>
      </c>
      <c r="Y17" s="31">
        <v>24225</v>
      </c>
      <c r="Z17" s="16"/>
      <c r="AA17" s="16" t="s">
        <v>41</v>
      </c>
      <c r="AB17" s="16">
        <v>1141071585</v>
      </c>
      <c r="AC17" s="25">
        <v>45624</v>
      </c>
      <c r="AD17" s="26" t="s">
        <v>42</v>
      </c>
      <c r="AE17" s="26">
        <v>10</v>
      </c>
      <c r="AF17" s="16" t="s">
        <v>542</v>
      </c>
      <c r="AG17" s="33">
        <v>24225</v>
      </c>
      <c r="AH17" s="36">
        <f t="shared" si="0"/>
        <v>0</v>
      </c>
    </row>
    <row r="18" spans="1:34" x14ac:dyDescent="0.25">
      <c r="A18" s="16" t="s">
        <v>408</v>
      </c>
      <c r="B18" s="16" t="s">
        <v>549</v>
      </c>
      <c r="C18" s="17">
        <v>45566</v>
      </c>
      <c r="D18" s="16" t="s">
        <v>32</v>
      </c>
      <c r="E18" s="16" t="s">
        <v>550</v>
      </c>
      <c r="F18" s="18">
        <v>45572</v>
      </c>
      <c r="G18" s="18">
        <v>45936</v>
      </c>
      <c r="H18" s="30" t="s">
        <v>551</v>
      </c>
      <c r="I18" s="20" t="s">
        <v>552</v>
      </c>
      <c r="J18" s="27" t="s">
        <v>553</v>
      </c>
      <c r="K18" s="16" t="s">
        <v>554</v>
      </c>
      <c r="L18" s="16">
        <v>13047835</v>
      </c>
      <c r="M18" s="16" t="s">
        <v>555</v>
      </c>
      <c r="N18" s="16" t="s">
        <v>549</v>
      </c>
      <c r="O18" s="16" t="s">
        <v>38</v>
      </c>
      <c r="P18" s="16" t="s">
        <v>39</v>
      </c>
      <c r="Q18" s="16" t="s">
        <v>556</v>
      </c>
      <c r="R18" s="18">
        <v>44851</v>
      </c>
      <c r="S18" s="18">
        <v>45966</v>
      </c>
      <c r="T18" s="22">
        <v>2500000</v>
      </c>
      <c r="U18" s="16">
        <v>15</v>
      </c>
      <c r="V18" s="23">
        <v>375000</v>
      </c>
      <c r="W18" s="23">
        <v>2125000</v>
      </c>
      <c r="X18" s="24">
        <v>2</v>
      </c>
      <c r="Y18" s="31">
        <v>42500</v>
      </c>
      <c r="Z18" s="16"/>
      <c r="AA18" s="16" t="s">
        <v>41</v>
      </c>
      <c r="AB18" s="16">
        <v>1141071585</v>
      </c>
      <c r="AC18" s="25">
        <v>45624</v>
      </c>
      <c r="AD18" s="26" t="s">
        <v>42</v>
      </c>
      <c r="AE18" s="26">
        <v>10</v>
      </c>
      <c r="AF18" s="16" t="s">
        <v>550</v>
      </c>
      <c r="AG18" s="33">
        <v>42500</v>
      </c>
      <c r="AH18" s="36">
        <f t="shared" si="0"/>
        <v>0</v>
      </c>
    </row>
    <row r="19" spans="1:34" x14ac:dyDescent="0.25">
      <c r="A19" s="16" t="s">
        <v>408</v>
      </c>
      <c r="B19" s="16" t="s">
        <v>557</v>
      </c>
      <c r="C19" s="17">
        <v>45566</v>
      </c>
      <c r="D19" s="16" t="s">
        <v>32</v>
      </c>
      <c r="E19" s="16" t="s">
        <v>558</v>
      </c>
      <c r="F19" s="18">
        <v>45572</v>
      </c>
      <c r="G19" s="18">
        <v>45936</v>
      </c>
      <c r="H19" s="30" t="s">
        <v>559</v>
      </c>
      <c r="I19" s="20" t="s">
        <v>560</v>
      </c>
      <c r="J19" s="27" t="s">
        <v>487</v>
      </c>
      <c r="K19" s="16" t="s">
        <v>561</v>
      </c>
      <c r="L19" s="16" t="s">
        <v>562</v>
      </c>
      <c r="M19" s="16" t="s">
        <v>563</v>
      </c>
      <c r="N19" s="16" t="s">
        <v>557</v>
      </c>
      <c r="O19" s="16" t="s">
        <v>60</v>
      </c>
      <c r="P19" s="16" t="s">
        <v>61</v>
      </c>
      <c r="Q19" s="16" t="s">
        <v>564</v>
      </c>
      <c r="R19" s="18">
        <v>44848</v>
      </c>
      <c r="S19" s="18">
        <v>46665</v>
      </c>
      <c r="T19" s="22">
        <v>2421000</v>
      </c>
      <c r="U19" s="16">
        <v>15</v>
      </c>
      <c r="V19" s="23">
        <v>363150</v>
      </c>
      <c r="W19" s="23">
        <v>2057850</v>
      </c>
      <c r="X19" s="24">
        <v>2</v>
      </c>
      <c r="Y19" s="31">
        <v>41157</v>
      </c>
      <c r="Z19" s="16"/>
      <c r="AA19" s="16" t="s">
        <v>41</v>
      </c>
      <c r="AB19" s="16">
        <v>1141071585</v>
      </c>
      <c r="AC19" s="25">
        <v>45624</v>
      </c>
      <c r="AD19" s="26" t="s">
        <v>42</v>
      </c>
      <c r="AE19" s="26">
        <v>10</v>
      </c>
      <c r="AF19" s="16" t="s">
        <v>558</v>
      </c>
      <c r="AG19" s="33">
        <v>41157</v>
      </c>
      <c r="AH19" s="36">
        <f t="shared" si="0"/>
        <v>0</v>
      </c>
    </row>
    <row r="20" spans="1:34" x14ac:dyDescent="0.25">
      <c r="A20" s="16" t="s">
        <v>408</v>
      </c>
      <c r="B20" s="16" t="s">
        <v>565</v>
      </c>
      <c r="C20" s="17">
        <v>45566</v>
      </c>
      <c r="D20" s="16" t="s">
        <v>32</v>
      </c>
      <c r="E20" s="16" t="s">
        <v>566</v>
      </c>
      <c r="F20" s="18">
        <v>45572</v>
      </c>
      <c r="G20" s="18">
        <v>45936</v>
      </c>
      <c r="H20" s="30" t="s">
        <v>567</v>
      </c>
      <c r="I20" s="20" t="s">
        <v>568</v>
      </c>
      <c r="J20" s="27" t="s">
        <v>545</v>
      </c>
      <c r="K20" s="16" t="s">
        <v>569</v>
      </c>
      <c r="L20" s="16" t="s">
        <v>570</v>
      </c>
      <c r="M20" s="16" t="s">
        <v>571</v>
      </c>
      <c r="N20" s="16" t="s">
        <v>565</v>
      </c>
      <c r="O20" s="16" t="s">
        <v>50</v>
      </c>
      <c r="P20" s="16" t="s">
        <v>106</v>
      </c>
      <c r="Q20" s="16" t="s">
        <v>572</v>
      </c>
      <c r="R20" s="18">
        <v>44844</v>
      </c>
      <c r="S20" s="18">
        <v>46665</v>
      </c>
      <c r="T20" s="22">
        <v>1800000</v>
      </c>
      <c r="U20" s="16">
        <v>15</v>
      </c>
      <c r="V20" s="23">
        <v>270000</v>
      </c>
      <c r="W20" s="23">
        <v>1530000</v>
      </c>
      <c r="X20" s="24">
        <v>2</v>
      </c>
      <c r="Y20" s="31">
        <v>30600</v>
      </c>
      <c r="Z20" s="16"/>
      <c r="AA20" s="16" t="s">
        <v>41</v>
      </c>
      <c r="AB20" s="16">
        <v>1141071585</v>
      </c>
      <c r="AC20" s="25">
        <v>45624</v>
      </c>
      <c r="AD20" s="26" t="s">
        <v>42</v>
      </c>
      <c r="AE20" s="26">
        <v>10</v>
      </c>
      <c r="AF20" s="16" t="s">
        <v>566</v>
      </c>
      <c r="AG20" s="33">
        <v>30600</v>
      </c>
      <c r="AH20" s="36">
        <f t="shared" si="0"/>
        <v>0</v>
      </c>
    </row>
    <row r="21" spans="1:34" x14ac:dyDescent="0.25">
      <c r="A21" s="16" t="s">
        <v>408</v>
      </c>
      <c r="B21" s="16" t="s">
        <v>573</v>
      </c>
      <c r="C21" s="17">
        <v>45566</v>
      </c>
      <c r="D21" s="16" t="s">
        <v>32</v>
      </c>
      <c r="E21" s="16" t="s">
        <v>574</v>
      </c>
      <c r="F21" s="18">
        <v>45572</v>
      </c>
      <c r="G21" s="18">
        <v>45936</v>
      </c>
      <c r="H21" s="30" t="s">
        <v>575</v>
      </c>
      <c r="I21" s="20" t="s">
        <v>576</v>
      </c>
      <c r="J21" s="27" t="s">
        <v>450</v>
      </c>
      <c r="K21" s="16" t="s">
        <v>577</v>
      </c>
      <c r="L21" s="16" t="s">
        <v>578</v>
      </c>
      <c r="M21" s="16" t="s">
        <v>579</v>
      </c>
      <c r="N21" s="16" t="s">
        <v>573</v>
      </c>
      <c r="O21" s="16" t="s">
        <v>60</v>
      </c>
      <c r="P21" s="16" t="s">
        <v>580</v>
      </c>
      <c r="Q21" s="16" t="s">
        <v>581</v>
      </c>
      <c r="R21" s="18">
        <v>44845</v>
      </c>
      <c r="S21" s="18">
        <v>46665</v>
      </c>
      <c r="T21" s="22">
        <v>1306000</v>
      </c>
      <c r="U21" s="16">
        <v>15</v>
      </c>
      <c r="V21" s="23">
        <v>195900</v>
      </c>
      <c r="W21" s="23">
        <v>1110100</v>
      </c>
      <c r="X21" s="24">
        <v>2</v>
      </c>
      <c r="Y21" s="31">
        <v>22202</v>
      </c>
      <c r="Z21" s="16"/>
      <c r="AA21" s="16" t="s">
        <v>41</v>
      </c>
      <c r="AB21" s="16">
        <v>1141071585</v>
      </c>
      <c r="AC21" s="25">
        <v>45624</v>
      </c>
      <c r="AD21" s="26" t="s">
        <v>42</v>
      </c>
      <c r="AE21" s="26">
        <v>0</v>
      </c>
      <c r="AF21" s="16" t="s">
        <v>574</v>
      </c>
      <c r="AG21" s="33">
        <v>22202</v>
      </c>
      <c r="AH21" s="36">
        <f t="shared" si="0"/>
        <v>0</v>
      </c>
    </row>
    <row r="22" spans="1:34" x14ac:dyDescent="0.25">
      <c r="A22" s="16" t="s">
        <v>408</v>
      </c>
      <c r="B22" s="16" t="s">
        <v>582</v>
      </c>
      <c r="C22" s="17">
        <v>45566</v>
      </c>
      <c r="D22" s="16" t="s">
        <v>32</v>
      </c>
      <c r="E22" s="16" t="s">
        <v>583</v>
      </c>
      <c r="F22" s="18">
        <v>45572</v>
      </c>
      <c r="G22" s="18">
        <v>45936</v>
      </c>
      <c r="H22" s="30" t="s">
        <v>584</v>
      </c>
      <c r="I22" s="20" t="s">
        <v>585</v>
      </c>
      <c r="J22" s="27" t="s">
        <v>586</v>
      </c>
      <c r="K22" s="16" t="s">
        <v>587</v>
      </c>
      <c r="L22" s="16">
        <v>7541214</v>
      </c>
      <c r="M22" s="16" t="s">
        <v>588</v>
      </c>
      <c r="N22" s="16" t="s">
        <v>582</v>
      </c>
      <c r="O22" s="16" t="s">
        <v>60</v>
      </c>
      <c r="P22" s="16" t="s">
        <v>61</v>
      </c>
      <c r="Q22" s="16" t="s">
        <v>589</v>
      </c>
      <c r="R22" s="18">
        <v>44116</v>
      </c>
      <c r="S22" s="18">
        <v>45936</v>
      </c>
      <c r="T22" s="22">
        <v>2645000</v>
      </c>
      <c r="U22" s="16">
        <v>25</v>
      </c>
      <c r="V22" s="23">
        <v>661250</v>
      </c>
      <c r="W22" s="23">
        <v>1983750</v>
      </c>
      <c r="X22" s="24">
        <v>2.5</v>
      </c>
      <c r="Y22" s="31">
        <v>49593.75</v>
      </c>
      <c r="Z22" s="16"/>
      <c r="AA22" s="16" t="s">
        <v>41</v>
      </c>
      <c r="AB22" s="16">
        <v>1141071585</v>
      </c>
      <c r="AC22" s="25">
        <v>45624</v>
      </c>
      <c r="AD22" s="26" t="s">
        <v>42</v>
      </c>
      <c r="AE22" s="26">
        <v>10</v>
      </c>
      <c r="AF22" s="16" t="s">
        <v>583</v>
      </c>
      <c r="AG22" s="33">
        <v>49594</v>
      </c>
      <c r="AH22" s="36">
        <f t="shared" si="0"/>
        <v>-0.25</v>
      </c>
    </row>
    <row r="23" spans="1:34" x14ac:dyDescent="0.25">
      <c r="A23" s="16" t="s">
        <v>408</v>
      </c>
      <c r="B23" s="16" t="s">
        <v>590</v>
      </c>
      <c r="C23" s="17">
        <v>45566</v>
      </c>
      <c r="D23" s="16" t="s">
        <v>32</v>
      </c>
      <c r="E23" s="16" t="s">
        <v>591</v>
      </c>
      <c r="F23" s="18">
        <v>45573</v>
      </c>
      <c r="G23" s="18">
        <v>45937</v>
      </c>
      <c r="H23" s="30" t="s">
        <v>592</v>
      </c>
      <c r="I23" s="20" t="s">
        <v>593</v>
      </c>
      <c r="J23" s="27" t="s">
        <v>594</v>
      </c>
      <c r="K23" s="16" t="s">
        <v>595</v>
      </c>
      <c r="L23" s="16">
        <v>214320</v>
      </c>
      <c r="M23" s="16" t="s">
        <v>596</v>
      </c>
      <c r="N23" s="16" t="s">
        <v>590</v>
      </c>
      <c r="O23" s="16" t="s">
        <v>60</v>
      </c>
      <c r="P23" s="16" t="s">
        <v>597</v>
      </c>
      <c r="Q23" s="16" t="s">
        <v>598</v>
      </c>
      <c r="R23" s="18">
        <v>44491</v>
      </c>
      <c r="S23" s="18">
        <v>47063</v>
      </c>
      <c r="T23" s="22">
        <v>1890000</v>
      </c>
      <c r="U23" s="16">
        <v>20</v>
      </c>
      <c r="V23" s="23">
        <v>378000</v>
      </c>
      <c r="W23" s="23">
        <v>1512000</v>
      </c>
      <c r="X23" s="24">
        <v>2.5</v>
      </c>
      <c r="Y23" s="31">
        <v>37800</v>
      </c>
      <c r="Z23" s="16"/>
      <c r="AA23" s="16" t="s">
        <v>41</v>
      </c>
      <c r="AB23" s="16">
        <v>1141071585</v>
      </c>
      <c r="AC23" s="25">
        <v>45624</v>
      </c>
      <c r="AD23" s="26" t="s">
        <v>42</v>
      </c>
      <c r="AE23" s="26">
        <v>0</v>
      </c>
      <c r="AF23" s="16" t="s">
        <v>591</v>
      </c>
      <c r="AG23" s="33">
        <v>37800</v>
      </c>
      <c r="AH23" s="36">
        <f t="shared" si="0"/>
        <v>0</v>
      </c>
    </row>
    <row r="24" spans="1:34" x14ac:dyDescent="0.25">
      <c r="A24" s="16" t="s">
        <v>408</v>
      </c>
      <c r="B24" s="16" t="s">
        <v>599</v>
      </c>
      <c r="C24" s="17">
        <v>45566</v>
      </c>
      <c r="D24" s="16" t="s">
        <v>32</v>
      </c>
      <c r="E24" s="16" t="s">
        <v>600</v>
      </c>
      <c r="F24" s="18">
        <v>45575</v>
      </c>
      <c r="G24" s="18">
        <v>45939</v>
      </c>
      <c r="H24" s="30" t="s">
        <v>601</v>
      </c>
      <c r="I24" s="20" t="s">
        <v>602</v>
      </c>
      <c r="J24" s="27" t="s">
        <v>603</v>
      </c>
      <c r="K24" s="16" t="s">
        <v>604</v>
      </c>
      <c r="L24" s="16">
        <v>17507002</v>
      </c>
      <c r="M24" s="16" t="s">
        <v>605</v>
      </c>
      <c r="N24" s="16" t="s">
        <v>599</v>
      </c>
      <c r="O24" s="16" t="s">
        <v>60</v>
      </c>
      <c r="P24" s="16" t="s">
        <v>61</v>
      </c>
      <c r="Q24" s="16" t="s">
        <v>606</v>
      </c>
      <c r="R24" s="18">
        <v>44846</v>
      </c>
      <c r="S24" s="18">
        <v>45936</v>
      </c>
      <c r="T24" s="22">
        <v>2450000</v>
      </c>
      <c r="U24" s="16">
        <v>15</v>
      </c>
      <c r="V24" s="23">
        <v>367500</v>
      </c>
      <c r="W24" s="23">
        <v>2082500</v>
      </c>
      <c r="X24" s="24">
        <v>2</v>
      </c>
      <c r="Y24" s="31">
        <v>41650</v>
      </c>
      <c r="Z24" s="16"/>
      <c r="AA24" s="16" t="s">
        <v>41</v>
      </c>
      <c r="AB24" s="16">
        <v>1141071585</v>
      </c>
      <c r="AC24" s="25">
        <v>45624</v>
      </c>
      <c r="AD24" s="26" t="s">
        <v>42</v>
      </c>
      <c r="AE24" s="26">
        <v>0</v>
      </c>
      <c r="AF24" s="16" t="s">
        <v>600</v>
      </c>
      <c r="AG24" s="33">
        <v>41650</v>
      </c>
      <c r="AH24" s="36">
        <f t="shared" si="0"/>
        <v>0</v>
      </c>
    </row>
    <row r="25" spans="1:34" x14ac:dyDescent="0.25">
      <c r="A25" s="16" t="s">
        <v>408</v>
      </c>
      <c r="B25" s="16" t="s">
        <v>607</v>
      </c>
      <c r="C25" s="17">
        <v>45566</v>
      </c>
      <c r="D25" s="16" t="s">
        <v>32</v>
      </c>
      <c r="E25" s="16" t="s">
        <v>608</v>
      </c>
      <c r="F25" s="18">
        <v>45575</v>
      </c>
      <c r="G25" s="18">
        <v>45939</v>
      </c>
      <c r="H25" s="30" t="s">
        <v>609</v>
      </c>
      <c r="I25" s="20" t="s">
        <v>610</v>
      </c>
      <c r="J25" s="27" t="s">
        <v>611</v>
      </c>
      <c r="K25" s="16" t="s">
        <v>612</v>
      </c>
      <c r="L25" s="16">
        <v>1007562</v>
      </c>
      <c r="M25" s="16" t="s">
        <v>613</v>
      </c>
      <c r="N25" s="16" t="s">
        <v>607</v>
      </c>
      <c r="O25" s="16" t="s">
        <v>60</v>
      </c>
      <c r="P25" s="16" t="s">
        <v>614</v>
      </c>
      <c r="Q25" s="16" t="s">
        <v>615</v>
      </c>
      <c r="R25" s="18">
        <v>44851</v>
      </c>
      <c r="S25" s="18">
        <v>45966</v>
      </c>
      <c r="T25" s="22">
        <v>3420000</v>
      </c>
      <c r="U25" s="16">
        <v>15</v>
      </c>
      <c r="V25" s="23">
        <v>513000</v>
      </c>
      <c r="W25" s="23">
        <v>2907000</v>
      </c>
      <c r="X25" s="24">
        <v>2</v>
      </c>
      <c r="Y25" s="31">
        <v>58140</v>
      </c>
      <c r="Z25" s="16"/>
      <c r="AA25" s="16" t="s">
        <v>41</v>
      </c>
      <c r="AB25" s="16">
        <v>1141071585</v>
      </c>
      <c r="AC25" s="25">
        <v>45624</v>
      </c>
      <c r="AD25" s="26" t="s">
        <v>42</v>
      </c>
      <c r="AE25" s="26">
        <v>0</v>
      </c>
      <c r="AF25" s="16" t="s">
        <v>608</v>
      </c>
      <c r="AG25" s="33">
        <v>58140</v>
      </c>
      <c r="AH25" s="36">
        <f t="shared" si="0"/>
        <v>0</v>
      </c>
    </row>
    <row r="26" spans="1:34" x14ac:dyDescent="0.25">
      <c r="A26" s="16" t="s">
        <v>408</v>
      </c>
      <c r="B26" s="16" t="s">
        <v>616</v>
      </c>
      <c r="C26" s="17">
        <v>45566</v>
      </c>
      <c r="D26" s="16" t="s">
        <v>32</v>
      </c>
      <c r="E26" s="16" t="s">
        <v>617</v>
      </c>
      <c r="F26" s="18">
        <v>45575</v>
      </c>
      <c r="G26" s="18">
        <v>45939</v>
      </c>
      <c r="H26" s="30" t="s">
        <v>618</v>
      </c>
      <c r="I26" s="20" t="s">
        <v>619</v>
      </c>
      <c r="J26" s="27" t="s">
        <v>620</v>
      </c>
      <c r="K26" s="16" t="s">
        <v>621</v>
      </c>
      <c r="L26" s="16">
        <v>142686</v>
      </c>
      <c r="M26" s="16" t="s">
        <v>622</v>
      </c>
      <c r="N26" s="16" t="s">
        <v>616</v>
      </c>
      <c r="O26" s="16" t="s">
        <v>60</v>
      </c>
      <c r="P26" s="16" t="s">
        <v>61</v>
      </c>
      <c r="Q26" s="16" t="s">
        <v>623</v>
      </c>
      <c r="R26" s="18">
        <v>45212</v>
      </c>
      <c r="S26" s="18">
        <v>47031</v>
      </c>
      <c r="T26" s="22">
        <v>1650000</v>
      </c>
      <c r="U26" s="16">
        <v>10</v>
      </c>
      <c r="V26" s="23">
        <v>165000</v>
      </c>
      <c r="W26" s="23">
        <v>1485000</v>
      </c>
      <c r="X26" s="24">
        <v>2</v>
      </c>
      <c r="Y26" s="31">
        <v>29700</v>
      </c>
      <c r="Z26" s="16"/>
      <c r="AA26" s="16" t="s">
        <v>41</v>
      </c>
      <c r="AB26" s="16">
        <v>1141071585</v>
      </c>
      <c r="AC26" s="25">
        <v>45624</v>
      </c>
      <c r="AD26" s="26" t="s">
        <v>42</v>
      </c>
      <c r="AE26" s="26">
        <v>41</v>
      </c>
      <c r="AF26" s="16" t="s">
        <v>617</v>
      </c>
      <c r="AG26" s="33">
        <v>29700</v>
      </c>
      <c r="AH26" s="36">
        <f t="shared" si="0"/>
        <v>0</v>
      </c>
    </row>
    <row r="27" spans="1:34" x14ac:dyDescent="0.25">
      <c r="A27" s="16" t="s">
        <v>408</v>
      </c>
      <c r="B27" s="16" t="s">
        <v>624</v>
      </c>
      <c r="C27" s="17">
        <v>45566</v>
      </c>
      <c r="D27" s="16" t="s">
        <v>32</v>
      </c>
      <c r="E27" s="16" t="s">
        <v>625</v>
      </c>
      <c r="F27" s="18">
        <v>45576</v>
      </c>
      <c r="G27" s="18">
        <v>45940</v>
      </c>
      <c r="H27" s="30" t="s">
        <v>626</v>
      </c>
      <c r="I27" s="20" t="s">
        <v>627</v>
      </c>
      <c r="J27" s="27" t="s">
        <v>628</v>
      </c>
      <c r="K27" s="16" t="s">
        <v>629</v>
      </c>
      <c r="L27" s="16">
        <v>186398</v>
      </c>
      <c r="M27" s="16" t="s">
        <v>630</v>
      </c>
      <c r="N27" s="16" t="s">
        <v>624</v>
      </c>
      <c r="O27" s="16" t="s">
        <v>38</v>
      </c>
      <c r="P27" s="16" t="s">
        <v>631</v>
      </c>
      <c r="Q27" s="16" t="s">
        <v>632</v>
      </c>
      <c r="R27" s="18">
        <v>44495</v>
      </c>
      <c r="S27" s="18">
        <v>47063</v>
      </c>
      <c r="T27" s="22">
        <v>1335000</v>
      </c>
      <c r="U27" s="16">
        <v>20</v>
      </c>
      <c r="V27" s="23">
        <v>267000</v>
      </c>
      <c r="W27" s="23">
        <v>1068000</v>
      </c>
      <c r="X27" s="24">
        <v>2.5</v>
      </c>
      <c r="Y27" s="31">
        <v>26700</v>
      </c>
      <c r="Z27" s="16"/>
      <c r="AA27" s="16" t="s">
        <v>41</v>
      </c>
      <c r="AB27" s="16">
        <v>1141071585</v>
      </c>
      <c r="AC27" s="25">
        <v>45624</v>
      </c>
      <c r="AD27" s="26" t="s">
        <v>42</v>
      </c>
      <c r="AE27" s="26">
        <v>10</v>
      </c>
      <c r="AF27" s="16" t="s">
        <v>625</v>
      </c>
      <c r="AG27" s="33">
        <v>26700</v>
      </c>
      <c r="AH27" s="36">
        <f t="shared" si="0"/>
        <v>0</v>
      </c>
    </row>
    <row r="28" spans="1:34" x14ac:dyDescent="0.25">
      <c r="A28" s="16" t="s">
        <v>408</v>
      </c>
      <c r="B28" s="16" t="s">
        <v>633</v>
      </c>
      <c r="C28" s="17">
        <v>45566</v>
      </c>
      <c r="D28" s="16" t="s">
        <v>32</v>
      </c>
      <c r="E28" s="16" t="s">
        <v>634</v>
      </c>
      <c r="F28" s="18">
        <v>45576</v>
      </c>
      <c r="G28" s="18">
        <v>45940</v>
      </c>
      <c r="H28" s="30" t="s">
        <v>635</v>
      </c>
      <c r="I28" s="20" t="s">
        <v>636</v>
      </c>
      <c r="J28" s="27" t="s">
        <v>628</v>
      </c>
      <c r="K28" s="16" t="s">
        <v>637</v>
      </c>
      <c r="L28" s="16">
        <v>186434</v>
      </c>
      <c r="M28" s="16" t="s">
        <v>638</v>
      </c>
      <c r="N28" s="16" t="s">
        <v>633</v>
      </c>
      <c r="O28" s="16" t="s">
        <v>60</v>
      </c>
      <c r="P28" s="16" t="s">
        <v>639</v>
      </c>
      <c r="Q28" s="16" t="s">
        <v>640</v>
      </c>
      <c r="R28" s="18">
        <v>44482</v>
      </c>
      <c r="S28" s="18">
        <v>45936</v>
      </c>
      <c r="T28" s="22">
        <v>1335000</v>
      </c>
      <c r="U28" s="16">
        <v>20</v>
      </c>
      <c r="V28" s="23">
        <v>267000</v>
      </c>
      <c r="W28" s="23">
        <v>1068000</v>
      </c>
      <c r="X28" s="24">
        <v>2.5</v>
      </c>
      <c r="Y28" s="31">
        <v>26700</v>
      </c>
      <c r="Z28" s="16"/>
      <c r="AA28" s="16" t="s">
        <v>41</v>
      </c>
      <c r="AB28" s="16">
        <v>1141071585</v>
      </c>
      <c r="AC28" s="25">
        <v>45624</v>
      </c>
      <c r="AD28" s="26" t="s">
        <v>42</v>
      </c>
      <c r="AE28" s="26">
        <v>10</v>
      </c>
      <c r="AF28" s="16" t="s">
        <v>634</v>
      </c>
      <c r="AG28" s="33">
        <v>26700</v>
      </c>
      <c r="AH28" s="36">
        <f t="shared" si="0"/>
        <v>0</v>
      </c>
    </row>
    <row r="29" spans="1:34" x14ac:dyDescent="0.25">
      <c r="A29" s="16" t="s">
        <v>408</v>
      </c>
      <c r="B29" s="16" t="s">
        <v>641</v>
      </c>
      <c r="C29" s="17">
        <v>45566</v>
      </c>
      <c r="D29" s="16" t="s">
        <v>32</v>
      </c>
      <c r="E29" s="16" t="s">
        <v>642</v>
      </c>
      <c r="F29" s="18">
        <v>45576</v>
      </c>
      <c r="G29" s="18">
        <v>45940</v>
      </c>
      <c r="H29" s="30" t="s">
        <v>643</v>
      </c>
      <c r="I29" s="20" t="s">
        <v>644</v>
      </c>
      <c r="J29" s="27" t="s">
        <v>645</v>
      </c>
      <c r="K29" s="16" t="s">
        <v>646</v>
      </c>
      <c r="L29" s="16">
        <v>251750</v>
      </c>
      <c r="M29" s="16" t="s">
        <v>647</v>
      </c>
      <c r="N29" s="16" t="s">
        <v>641</v>
      </c>
      <c r="O29" s="16" t="s">
        <v>38</v>
      </c>
      <c r="P29" s="16" t="s">
        <v>648</v>
      </c>
      <c r="Q29" s="16" t="s">
        <v>649</v>
      </c>
      <c r="R29" s="18">
        <v>44851</v>
      </c>
      <c r="S29" s="18">
        <v>46696</v>
      </c>
      <c r="T29" s="22">
        <v>1675000</v>
      </c>
      <c r="U29" s="16">
        <v>15</v>
      </c>
      <c r="V29" s="23">
        <v>251250</v>
      </c>
      <c r="W29" s="23">
        <v>1423750</v>
      </c>
      <c r="X29" s="24">
        <v>2.5</v>
      </c>
      <c r="Y29" s="31">
        <v>35593.75</v>
      </c>
      <c r="Z29" s="16"/>
      <c r="AA29" s="16" t="s">
        <v>41</v>
      </c>
      <c r="AB29" s="16">
        <v>1141071585</v>
      </c>
      <c r="AC29" s="25">
        <v>45624</v>
      </c>
      <c r="AD29" s="26" t="s">
        <v>42</v>
      </c>
      <c r="AE29" s="26">
        <v>0</v>
      </c>
      <c r="AF29" s="16" t="s">
        <v>642</v>
      </c>
      <c r="AG29" s="33">
        <v>35594</v>
      </c>
      <c r="AH29" s="36">
        <f t="shared" si="0"/>
        <v>-0.25</v>
      </c>
    </row>
    <row r="30" spans="1:34" x14ac:dyDescent="0.25">
      <c r="A30" s="16" t="s">
        <v>408</v>
      </c>
      <c r="B30" s="16" t="s">
        <v>650</v>
      </c>
      <c r="C30" s="17">
        <v>45566</v>
      </c>
      <c r="D30" s="16" t="s">
        <v>32</v>
      </c>
      <c r="E30" s="16" t="s">
        <v>651</v>
      </c>
      <c r="F30" s="18">
        <v>45577</v>
      </c>
      <c r="G30" s="18">
        <v>45941</v>
      </c>
      <c r="H30" s="30" t="s">
        <v>652</v>
      </c>
      <c r="I30" s="20" t="s">
        <v>653</v>
      </c>
      <c r="J30" s="27" t="s">
        <v>487</v>
      </c>
      <c r="K30" s="16" t="s">
        <v>654</v>
      </c>
      <c r="L30" s="16">
        <v>220361</v>
      </c>
      <c r="M30" s="16" t="s">
        <v>655</v>
      </c>
      <c r="N30" s="16" t="s">
        <v>650</v>
      </c>
      <c r="O30" s="16" t="s">
        <v>60</v>
      </c>
      <c r="P30" s="16" t="s">
        <v>61</v>
      </c>
      <c r="Q30" s="16" t="s">
        <v>656</v>
      </c>
      <c r="R30" s="18">
        <v>44489</v>
      </c>
      <c r="S30" s="18">
        <v>46331</v>
      </c>
      <c r="T30" s="22">
        <v>1610000</v>
      </c>
      <c r="U30" s="16">
        <v>20</v>
      </c>
      <c r="V30" s="23">
        <v>322000</v>
      </c>
      <c r="W30" s="23">
        <v>1288000</v>
      </c>
      <c r="X30" s="24">
        <v>1.75</v>
      </c>
      <c r="Y30" s="31">
        <v>22540.000000000004</v>
      </c>
      <c r="Z30" s="16"/>
      <c r="AA30" s="16" t="s">
        <v>41</v>
      </c>
      <c r="AB30" s="16">
        <v>1141071585</v>
      </c>
      <c r="AC30" s="25">
        <v>45624</v>
      </c>
      <c r="AD30" s="26" t="s">
        <v>42</v>
      </c>
      <c r="AE30" s="26">
        <v>0</v>
      </c>
      <c r="AF30" s="16" t="s">
        <v>651</v>
      </c>
      <c r="AG30" s="33">
        <v>22540</v>
      </c>
      <c r="AH30" s="36">
        <f t="shared" si="0"/>
        <v>0</v>
      </c>
    </row>
    <row r="31" spans="1:34" x14ac:dyDescent="0.25">
      <c r="A31" s="16" t="s">
        <v>408</v>
      </c>
      <c r="B31" s="16" t="s">
        <v>657</v>
      </c>
      <c r="C31" s="17">
        <v>45566</v>
      </c>
      <c r="D31" s="16" t="s">
        <v>32</v>
      </c>
      <c r="E31" s="16" t="s">
        <v>658</v>
      </c>
      <c r="F31" s="18">
        <v>45577</v>
      </c>
      <c r="G31" s="18">
        <v>45941</v>
      </c>
      <c r="H31" s="30" t="s">
        <v>659</v>
      </c>
      <c r="I31" s="20" t="s">
        <v>660</v>
      </c>
      <c r="J31" s="27" t="s">
        <v>661</v>
      </c>
      <c r="K31" s="16" t="s">
        <v>662</v>
      </c>
      <c r="L31" s="16">
        <v>544661</v>
      </c>
      <c r="M31" s="16" t="s">
        <v>663</v>
      </c>
      <c r="N31" s="16" t="s">
        <v>657</v>
      </c>
      <c r="O31" s="16" t="s">
        <v>60</v>
      </c>
      <c r="P31" s="16" t="s">
        <v>639</v>
      </c>
      <c r="Q31" s="16" t="s">
        <v>664</v>
      </c>
      <c r="R31" s="18">
        <v>44847</v>
      </c>
      <c r="S31" s="18">
        <v>45936</v>
      </c>
      <c r="T31" s="22">
        <v>2750000</v>
      </c>
      <c r="U31" s="16">
        <v>15</v>
      </c>
      <c r="V31" s="23">
        <v>412500</v>
      </c>
      <c r="W31" s="23">
        <v>2337500</v>
      </c>
      <c r="X31" s="24">
        <v>2</v>
      </c>
      <c r="Y31" s="31">
        <v>46750</v>
      </c>
      <c r="Z31" s="16"/>
      <c r="AA31" s="16" t="s">
        <v>41</v>
      </c>
      <c r="AB31" s="16">
        <v>1141071585</v>
      </c>
      <c r="AC31" s="25">
        <v>45624</v>
      </c>
      <c r="AD31" s="26" t="s">
        <v>42</v>
      </c>
      <c r="AE31" s="26">
        <v>10</v>
      </c>
      <c r="AF31" s="16" t="s">
        <v>658</v>
      </c>
      <c r="AG31" s="33">
        <v>46750</v>
      </c>
      <c r="AH31" s="36">
        <f t="shared" si="0"/>
        <v>0</v>
      </c>
    </row>
    <row r="32" spans="1:34" x14ac:dyDescent="0.25">
      <c r="A32" s="16" t="s">
        <v>408</v>
      </c>
      <c r="B32" s="16" t="s">
        <v>665</v>
      </c>
      <c r="C32" s="17">
        <v>45566</v>
      </c>
      <c r="D32" s="16" t="s">
        <v>32</v>
      </c>
      <c r="E32" s="16" t="s">
        <v>666</v>
      </c>
      <c r="F32" s="18">
        <v>45578</v>
      </c>
      <c r="G32" s="18">
        <v>45942</v>
      </c>
      <c r="H32" s="30" t="s">
        <v>667</v>
      </c>
      <c r="I32" s="20" t="s">
        <v>668</v>
      </c>
      <c r="J32" s="27" t="s">
        <v>669</v>
      </c>
      <c r="K32" s="16" t="s">
        <v>670</v>
      </c>
      <c r="L32" s="16">
        <v>122866</v>
      </c>
      <c r="M32" s="16" t="s">
        <v>671</v>
      </c>
      <c r="N32" s="16" t="s">
        <v>665</v>
      </c>
      <c r="O32" s="16" t="s">
        <v>38</v>
      </c>
      <c r="P32" s="16" t="s">
        <v>672</v>
      </c>
      <c r="Q32" s="16" t="s">
        <v>673</v>
      </c>
      <c r="R32" s="18">
        <v>44487</v>
      </c>
      <c r="S32" s="18">
        <v>46696</v>
      </c>
      <c r="T32" s="22">
        <v>1800000</v>
      </c>
      <c r="U32" s="16">
        <v>20</v>
      </c>
      <c r="V32" s="23">
        <v>360000</v>
      </c>
      <c r="W32" s="23">
        <v>1440000</v>
      </c>
      <c r="X32" s="24">
        <v>1.75</v>
      </c>
      <c r="Y32" s="31">
        <v>25200.000000000004</v>
      </c>
      <c r="Z32" s="16"/>
      <c r="AA32" s="16" t="s">
        <v>41</v>
      </c>
      <c r="AB32" s="16">
        <v>1141071585</v>
      </c>
      <c r="AC32" s="25">
        <v>45624</v>
      </c>
      <c r="AD32" s="26" t="s">
        <v>42</v>
      </c>
      <c r="AE32" s="26">
        <v>0</v>
      </c>
      <c r="AF32" s="16" t="s">
        <v>666</v>
      </c>
      <c r="AG32" s="33">
        <v>25200</v>
      </c>
      <c r="AH32" s="36">
        <f t="shared" si="0"/>
        <v>0</v>
      </c>
    </row>
    <row r="33" spans="1:34" x14ac:dyDescent="0.25">
      <c r="A33" s="16" t="s">
        <v>408</v>
      </c>
      <c r="B33" s="16" t="s">
        <v>674</v>
      </c>
      <c r="C33" s="17">
        <v>45566</v>
      </c>
      <c r="D33" s="16" t="s">
        <v>32</v>
      </c>
      <c r="E33" s="16" t="s">
        <v>675</v>
      </c>
      <c r="F33" s="18">
        <v>45579</v>
      </c>
      <c r="G33" s="18">
        <v>45943</v>
      </c>
      <c r="H33" s="30" t="s">
        <v>676</v>
      </c>
      <c r="I33" s="20" t="s">
        <v>677</v>
      </c>
      <c r="J33" s="27" t="s">
        <v>594</v>
      </c>
      <c r="K33" s="16" t="s">
        <v>678</v>
      </c>
      <c r="L33" s="16">
        <v>241684</v>
      </c>
      <c r="M33" s="16" t="s">
        <v>679</v>
      </c>
      <c r="N33" s="16" t="s">
        <v>674</v>
      </c>
      <c r="O33" s="16" t="s">
        <v>60</v>
      </c>
      <c r="P33" s="16" t="s">
        <v>61</v>
      </c>
      <c r="Q33" s="16" t="s">
        <v>680</v>
      </c>
      <c r="R33" s="18">
        <v>44852</v>
      </c>
      <c r="S33" s="18">
        <v>45966</v>
      </c>
      <c r="T33" s="22">
        <v>2802000</v>
      </c>
      <c r="U33" s="16">
        <v>15</v>
      </c>
      <c r="V33" s="23">
        <v>420300</v>
      </c>
      <c r="W33" s="23">
        <v>2381700</v>
      </c>
      <c r="X33" s="24">
        <v>1.5</v>
      </c>
      <c r="Y33" s="31">
        <v>35725.5</v>
      </c>
      <c r="Z33" s="16"/>
      <c r="AA33" s="16" t="s">
        <v>41</v>
      </c>
      <c r="AB33" s="16">
        <v>1141071585</v>
      </c>
      <c r="AC33" s="25">
        <v>45624</v>
      </c>
      <c r="AD33" s="26" t="s">
        <v>42</v>
      </c>
      <c r="AE33" s="26">
        <v>0</v>
      </c>
      <c r="AF33" s="16" t="s">
        <v>675</v>
      </c>
      <c r="AG33" s="33">
        <v>35726</v>
      </c>
      <c r="AH33" s="36">
        <f t="shared" si="0"/>
        <v>-0.5</v>
      </c>
    </row>
    <row r="34" spans="1:34" x14ac:dyDescent="0.25">
      <c r="A34" s="16" t="s">
        <v>408</v>
      </c>
      <c r="B34" s="16" t="s">
        <v>681</v>
      </c>
      <c r="C34" s="17">
        <v>45566</v>
      </c>
      <c r="D34" s="16" t="s">
        <v>32</v>
      </c>
      <c r="E34" s="16" t="s">
        <v>682</v>
      </c>
      <c r="F34" s="18">
        <v>45579</v>
      </c>
      <c r="G34" s="18">
        <v>45943</v>
      </c>
      <c r="H34" s="30" t="s">
        <v>683</v>
      </c>
      <c r="I34" s="20" t="s">
        <v>684</v>
      </c>
      <c r="J34" s="27" t="s">
        <v>628</v>
      </c>
      <c r="K34" s="16" t="s">
        <v>685</v>
      </c>
      <c r="L34" s="16">
        <v>199749</v>
      </c>
      <c r="M34" s="16" t="s">
        <v>686</v>
      </c>
      <c r="N34" s="16" t="s">
        <v>681</v>
      </c>
      <c r="O34" s="16" t="s">
        <v>60</v>
      </c>
      <c r="P34" s="16" t="s">
        <v>320</v>
      </c>
      <c r="Q34" s="16" t="s">
        <v>687</v>
      </c>
      <c r="R34" s="18">
        <v>44855</v>
      </c>
      <c r="S34" s="18">
        <v>46696</v>
      </c>
      <c r="T34" s="22">
        <v>2474000</v>
      </c>
      <c r="U34" s="16">
        <v>15</v>
      </c>
      <c r="V34" s="23">
        <v>371100</v>
      </c>
      <c r="W34" s="23">
        <v>2102900</v>
      </c>
      <c r="X34" s="24">
        <v>2</v>
      </c>
      <c r="Y34" s="31">
        <v>42058</v>
      </c>
      <c r="Z34" s="16"/>
      <c r="AA34" s="16" t="s">
        <v>41</v>
      </c>
      <c r="AB34" s="16">
        <v>1141071585</v>
      </c>
      <c r="AC34" s="25">
        <v>45624</v>
      </c>
      <c r="AD34" s="26" t="s">
        <v>42</v>
      </c>
      <c r="AE34" s="26">
        <v>10</v>
      </c>
      <c r="AF34" s="16" t="s">
        <v>682</v>
      </c>
      <c r="AG34" s="33">
        <v>42058</v>
      </c>
      <c r="AH34" s="36">
        <f t="shared" si="0"/>
        <v>0</v>
      </c>
    </row>
    <row r="35" spans="1:34" x14ac:dyDescent="0.25">
      <c r="A35" s="16" t="s">
        <v>408</v>
      </c>
      <c r="B35" s="16" t="s">
        <v>688</v>
      </c>
      <c r="C35" s="17">
        <v>45566</v>
      </c>
      <c r="D35" s="16" t="s">
        <v>32</v>
      </c>
      <c r="E35" s="16" t="s">
        <v>689</v>
      </c>
      <c r="F35" s="18">
        <v>45579</v>
      </c>
      <c r="G35" s="18">
        <v>45943</v>
      </c>
      <c r="H35" s="30" t="s">
        <v>690</v>
      </c>
      <c r="I35" s="20" t="s">
        <v>691</v>
      </c>
      <c r="J35" s="27" t="s">
        <v>441</v>
      </c>
      <c r="K35" s="16" t="s">
        <v>692</v>
      </c>
      <c r="L35" s="16" t="s">
        <v>693</v>
      </c>
      <c r="M35" s="16" t="s">
        <v>694</v>
      </c>
      <c r="N35" s="16" t="s">
        <v>688</v>
      </c>
      <c r="O35" s="16" t="s">
        <v>60</v>
      </c>
      <c r="P35" s="16" t="s">
        <v>61</v>
      </c>
      <c r="Q35" s="16" t="s">
        <v>695</v>
      </c>
      <c r="R35" s="18">
        <v>44853</v>
      </c>
      <c r="S35" s="18">
        <v>45966</v>
      </c>
      <c r="T35" s="22">
        <v>2750000</v>
      </c>
      <c r="U35" s="16">
        <v>15</v>
      </c>
      <c r="V35" s="23">
        <v>412500</v>
      </c>
      <c r="W35" s="23">
        <v>2337500</v>
      </c>
      <c r="X35" s="24">
        <v>2</v>
      </c>
      <c r="Y35" s="31">
        <v>46750</v>
      </c>
      <c r="Z35" s="16"/>
      <c r="AA35" s="16" t="s">
        <v>41</v>
      </c>
      <c r="AB35" s="16">
        <v>1141071585</v>
      </c>
      <c r="AC35" s="25">
        <v>45624</v>
      </c>
      <c r="AD35" s="26" t="s">
        <v>42</v>
      </c>
      <c r="AE35" s="26">
        <v>10</v>
      </c>
      <c r="AF35" s="16" t="s">
        <v>689</v>
      </c>
      <c r="AG35" s="33">
        <v>46750</v>
      </c>
      <c r="AH35" s="36">
        <f t="shared" si="0"/>
        <v>0</v>
      </c>
    </row>
    <row r="36" spans="1:34" x14ac:dyDescent="0.25">
      <c r="A36" s="16" t="s">
        <v>408</v>
      </c>
      <c r="B36" s="16" t="s">
        <v>696</v>
      </c>
      <c r="C36" s="17">
        <v>45566</v>
      </c>
      <c r="D36" s="16" t="s">
        <v>32</v>
      </c>
      <c r="E36" s="16" t="s">
        <v>697</v>
      </c>
      <c r="F36" s="18">
        <v>45579</v>
      </c>
      <c r="G36" s="18">
        <v>45943</v>
      </c>
      <c r="H36" s="30" t="s">
        <v>698</v>
      </c>
      <c r="I36" s="20" t="s">
        <v>699</v>
      </c>
      <c r="J36" s="27" t="s">
        <v>700</v>
      </c>
      <c r="K36" s="16" t="s">
        <v>701</v>
      </c>
      <c r="L36" s="16">
        <v>239284</v>
      </c>
      <c r="M36" s="16" t="s">
        <v>702</v>
      </c>
      <c r="N36" s="16" t="s">
        <v>696</v>
      </c>
      <c r="O36" s="16" t="s">
        <v>60</v>
      </c>
      <c r="P36" s="16" t="s">
        <v>61</v>
      </c>
      <c r="Q36" s="16" t="s">
        <v>703</v>
      </c>
      <c r="R36" s="18">
        <v>44851</v>
      </c>
      <c r="S36" s="18">
        <v>45966</v>
      </c>
      <c r="T36" s="22">
        <v>2421000</v>
      </c>
      <c r="U36" s="16">
        <v>15</v>
      </c>
      <c r="V36" s="23">
        <v>363150</v>
      </c>
      <c r="W36" s="23">
        <v>2057850</v>
      </c>
      <c r="X36" s="24">
        <v>2</v>
      </c>
      <c r="Y36" s="31">
        <v>41157</v>
      </c>
      <c r="Z36" s="16"/>
      <c r="AA36" s="16" t="s">
        <v>41</v>
      </c>
      <c r="AB36" s="16">
        <v>1141071585</v>
      </c>
      <c r="AC36" s="25">
        <v>45624</v>
      </c>
      <c r="AD36" s="26" t="s">
        <v>42</v>
      </c>
      <c r="AE36" s="26">
        <v>10</v>
      </c>
      <c r="AF36" s="16" t="s">
        <v>697</v>
      </c>
      <c r="AG36" s="33">
        <v>41157</v>
      </c>
      <c r="AH36" s="36">
        <f t="shared" si="0"/>
        <v>0</v>
      </c>
    </row>
    <row r="37" spans="1:34" x14ac:dyDescent="0.25">
      <c r="A37" s="16" t="s">
        <v>408</v>
      </c>
      <c r="B37" s="16" t="s">
        <v>704</v>
      </c>
      <c r="C37" s="17">
        <v>45566</v>
      </c>
      <c r="D37" s="16" t="s">
        <v>32</v>
      </c>
      <c r="E37" s="16" t="s">
        <v>705</v>
      </c>
      <c r="F37" s="18">
        <v>45580</v>
      </c>
      <c r="G37" s="18">
        <v>45944</v>
      </c>
      <c r="H37" s="30" t="s">
        <v>706</v>
      </c>
      <c r="I37" s="20" t="s">
        <v>707</v>
      </c>
      <c r="J37" s="27" t="s">
        <v>487</v>
      </c>
      <c r="K37" s="16" t="s">
        <v>708</v>
      </c>
      <c r="L37" s="16" t="s">
        <v>709</v>
      </c>
      <c r="M37" s="16" t="s">
        <v>710</v>
      </c>
      <c r="N37" s="16" t="s">
        <v>704</v>
      </c>
      <c r="O37" s="16" t="s">
        <v>50</v>
      </c>
      <c r="P37" s="16" t="s">
        <v>51</v>
      </c>
      <c r="Q37" s="16" t="s">
        <v>711</v>
      </c>
      <c r="R37" s="18">
        <v>44125</v>
      </c>
      <c r="S37" s="18">
        <v>45966</v>
      </c>
      <c r="T37" s="22">
        <v>1200000</v>
      </c>
      <c r="U37" s="16">
        <v>25</v>
      </c>
      <c r="V37" s="23">
        <v>300000</v>
      </c>
      <c r="W37" s="23">
        <v>900000</v>
      </c>
      <c r="X37" s="24">
        <v>2.5</v>
      </c>
      <c r="Y37" s="31">
        <v>22500</v>
      </c>
      <c r="Z37" s="16"/>
      <c r="AA37" s="16" t="s">
        <v>41</v>
      </c>
      <c r="AB37" s="16">
        <v>1141071585</v>
      </c>
      <c r="AC37" s="25">
        <v>45624</v>
      </c>
      <c r="AD37" s="26" t="s">
        <v>42</v>
      </c>
      <c r="AE37" s="26">
        <v>10</v>
      </c>
      <c r="AF37" s="16" t="s">
        <v>705</v>
      </c>
      <c r="AG37" s="33">
        <v>22500</v>
      </c>
      <c r="AH37" s="36">
        <f t="shared" si="0"/>
        <v>0</v>
      </c>
    </row>
    <row r="38" spans="1:34" x14ac:dyDescent="0.25">
      <c r="A38" s="16" t="s">
        <v>408</v>
      </c>
      <c r="B38" s="16" t="s">
        <v>712</v>
      </c>
      <c r="C38" s="17">
        <v>45566</v>
      </c>
      <c r="D38" s="16" t="s">
        <v>32</v>
      </c>
      <c r="E38" s="16" t="s">
        <v>713</v>
      </c>
      <c r="F38" s="18">
        <v>45580</v>
      </c>
      <c r="G38" s="18">
        <v>45944</v>
      </c>
      <c r="H38" s="30" t="s">
        <v>714</v>
      </c>
      <c r="I38" s="20" t="s">
        <v>715</v>
      </c>
      <c r="J38" s="27" t="s">
        <v>716</v>
      </c>
      <c r="K38" s="16" t="s">
        <v>717</v>
      </c>
      <c r="L38" s="16" t="s">
        <v>718</v>
      </c>
      <c r="M38" s="16" t="s">
        <v>719</v>
      </c>
      <c r="N38" s="16" t="s">
        <v>712</v>
      </c>
      <c r="O38" s="16" t="s">
        <v>60</v>
      </c>
      <c r="P38" s="16" t="s">
        <v>61</v>
      </c>
      <c r="Q38" s="16" t="s">
        <v>720</v>
      </c>
      <c r="R38" s="18">
        <v>44489</v>
      </c>
      <c r="S38" s="18">
        <v>46331</v>
      </c>
      <c r="T38" s="22">
        <v>2703000</v>
      </c>
      <c r="U38" s="16">
        <v>20</v>
      </c>
      <c r="V38" s="23">
        <v>540600</v>
      </c>
      <c r="W38" s="23">
        <v>2162400</v>
      </c>
      <c r="X38" s="24">
        <v>2.5</v>
      </c>
      <c r="Y38" s="31">
        <v>54060</v>
      </c>
      <c r="Z38" s="16"/>
      <c r="AA38" s="16" t="s">
        <v>41</v>
      </c>
      <c r="AB38" s="16">
        <v>1141071585</v>
      </c>
      <c r="AC38" s="25">
        <v>45624</v>
      </c>
      <c r="AD38" s="26" t="s">
        <v>42</v>
      </c>
      <c r="AE38" s="26">
        <v>0</v>
      </c>
      <c r="AF38" s="16" t="s">
        <v>713</v>
      </c>
      <c r="AG38" s="33">
        <v>54060</v>
      </c>
      <c r="AH38" s="36">
        <f t="shared" si="0"/>
        <v>0</v>
      </c>
    </row>
    <row r="39" spans="1:34" x14ac:dyDescent="0.25">
      <c r="A39" s="16" t="s">
        <v>408</v>
      </c>
      <c r="B39" s="16" t="s">
        <v>721</v>
      </c>
      <c r="C39" s="17">
        <v>45566</v>
      </c>
      <c r="D39" s="16" t="s">
        <v>32</v>
      </c>
      <c r="E39" s="16" t="s">
        <v>722</v>
      </c>
      <c r="F39" s="18">
        <v>45581</v>
      </c>
      <c r="G39" s="18">
        <v>45945</v>
      </c>
      <c r="H39" s="30" t="s">
        <v>723</v>
      </c>
      <c r="I39" s="20" t="s">
        <v>724</v>
      </c>
      <c r="J39" s="27" t="s">
        <v>725</v>
      </c>
      <c r="K39" s="16" t="s">
        <v>726</v>
      </c>
      <c r="L39" s="16" t="s">
        <v>727</v>
      </c>
      <c r="M39" s="16" t="s">
        <v>728</v>
      </c>
      <c r="N39" s="16" t="s">
        <v>721</v>
      </c>
      <c r="O39" s="16" t="s">
        <v>60</v>
      </c>
      <c r="P39" s="16" t="s">
        <v>61</v>
      </c>
      <c r="Q39" s="16" t="s">
        <v>729</v>
      </c>
      <c r="R39" s="18">
        <v>44123</v>
      </c>
      <c r="S39" s="18">
        <v>45966</v>
      </c>
      <c r="T39" s="22">
        <v>3300000</v>
      </c>
      <c r="U39" s="16">
        <v>25</v>
      </c>
      <c r="V39" s="23">
        <v>825000</v>
      </c>
      <c r="W39" s="23">
        <v>2475000</v>
      </c>
      <c r="X39" s="24">
        <v>1.5</v>
      </c>
      <c r="Y39" s="31">
        <v>37125</v>
      </c>
      <c r="Z39" s="16"/>
      <c r="AA39" s="16" t="s">
        <v>41</v>
      </c>
      <c r="AB39" s="16">
        <v>1141071585</v>
      </c>
      <c r="AC39" s="25">
        <v>45624</v>
      </c>
      <c r="AD39" s="26" t="s">
        <v>42</v>
      </c>
      <c r="AE39" s="26">
        <v>0</v>
      </c>
      <c r="AF39" s="16" t="s">
        <v>722</v>
      </c>
      <c r="AG39" s="33">
        <v>37125</v>
      </c>
      <c r="AH39" s="36">
        <f t="shared" si="0"/>
        <v>0</v>
      </c>
    </row>
    <row r="40" spans="1:34" x14ac:dyDescent="0.25">
      <c r="A40" s="16" t="s">
        <v>408</v>
      </c>
      <c r="B40" s="16" t="s">
        <v>730</v>
      </c>
      <c r="C40" s="17">
        <v>45566</v>
      </c>
      <c r="D40" s="16" t="s">
        <v>32</v>
      </c>
      <c r="E40" s="16" t="s">
        <v>731</v>
      </c>
      <c r="F40" s="18">
        <v>45581</v>
      </c>
      <c r="G40" s="18">
        <v>45945</v>
      </c>
      <c r="H40" s="30" t="s">
        <v>732</v>
      </c>
      <c r="I40" s="20" t="s">
        <v>733</v>
      </c>
      <c r="J40" s="27" t="s">
        <v>734</v>
      </c>
      <c r="K40" s="16" t="s">
        <v>735</v>
      </c>
      <c r="L40" s="16">
        <v>768924</v>
      </c>
      <c r="M40" s="16" t="s">
        <v>736</v>
      </c>
      <c r="N40" s="16" t="s">
        <v>730</v>
      </c>
      <c r="O40" s="16" t="s">
        <v>38</v>
      </c>
      <c r="P40" s="16" t="s">
        <v>39</v>
      </c>
      <c r="Q40" s="16" t="s">
        <v>737</v>
      </c>
      <c r="R40" s="18">
        <v>45218</v>
      </c>
      <c r="S40" s="18">
        <v>45966</v>
      </c>
      <c r="T40" s="22">
        <v>1450000</v>
      </c>
      <c r="U40" s="16">
        <v>10</v>
      </c>
      <c r="V40" s="23">
        <v>145000</v>
      </c>
      <c r="W40" s="23">
        <v>1305000</v>
      </c>
      <c r="X40" s="24">
        <v>2</v>
      </c>
      <c r="Y40" s="31">
        <v>26100</v>
      </c>
      <c r="Z40" s="16"/>
      <c r="AA40" s="16" t="s">
        <v>41</v>
      </c>
      <c r="AB40" s="16">
        <v>1141071585</v>
      </c>
      <c r="AC40" s="25">
        <v>45624</v>
      </c>
      <c r="AD40" s="26" t="s">
        <v>42</v>
      </c>
      <c r="AE40" s="26">
        <v>10</v>
      </c>
      <c r="AF40" s="16" t="s">
        <v>731</v>
      </c>
      <c r="AG40" s="33">
        <v>26100</v>
      </c>
      <c r="AH40" s="36">
        <f t="shared" si="0"/>
        <v>0</v>
      </c>
    </row>
    <row r="41" spans="1:34" x14ac:dyDescent="0.25">
      <c r="A41" s="16" t="s">
        <v>408</v>
      </c>
      <c r="B41" s="16" t="s">
        <v>738</v>
      </c>
      <c r="C41" s="17">
        <v>45566</v>
      </c>
      <c r="D41" s="16" t="s">
        <v>32</v>
      </c>
      <c r="E41" s="16" t="s">
        <v>739</v>
      </c>
      <c r="F41" s="18">
        <v>45581</v>
      </c>
      <c r="G41" s="18">
        <v>45945</v>
      </c>
      <c r="H41" s="30" t="s">
        <v>740</v>
      </c>
      <c r="I41" s="20" t="s">
        <v>741</v>
      </c>
      <c r="J41" s="27" t="s">
        <v>742</v>
      </c>
      <c r="K41" s="16" t="s">
        <v>743</v>
      </c>
      <c r="L41" s="16">
        <v>723793</v>
      </c>
      <c r="M41" s="16" t="s">
        <v>744</v>
      </c>
      <c r="N41" s="16" t="s">
        <v>738</v>
      </c>
      <c r="O41" s="16" t="s">
        <v>60</v>
      </c>
      <c r="P41" s="16" t="s">
        <v>61</v>
      </c>
      <c r="Q41" s="16" t="s">
        <v>745</v>
      </c>
      <c r="R41" s="18">
        <v>45218</v>
      </c>
      <c r="S41" s="18">
        <v>47063</v>
      </c>
      <c r="T41" s="22">
        <v>1300000</v>
      </c>
      <c r="U41" s="16">
        <v>10</v>
      </c>
      <c r="V41" s="23">
        <v>130000</v>
      </c>
      <c r="W41" s="23">
        <v>1170000</v>
      </c>
      <c r="X41" s="24">
        <v>2</v>
      </c>
      <c r="Y41" s="31">
        <v>23400</v>
      </c>
      <c r="Z41" s="16"/>
      <c r="AA41" s="16" t="s">
        <v>41</v>
      </c>
      <c r="AB41" s="16">
        <v>1141071585</v>
      </c>
      <c r="AC41" s="25">
        <v>45624</v>
      </c>
      <c r="AD41" s="26" t="s">
        <v>42</v>
      </c>
      <c r="AE41" s="26">
        <v>10</v>
      </c>
      <c r="AF41" s="16" t="s">
        <v>739</v>
      </c>
      <c r="AG41" s="33">
        <v>23400</v>
      </c>
      <c r="AH41" s="36">
        <f t="shared" si="0"/>
        <v>0</v>
      </c>
    </row>
    <row r="42" spans="1:34" x14ac:dyDescent="0.25">
      <c r="A42" s="16" t="s">
        <v>408</v>
      </c>
      <c r="B42" s="16" t="s">
        <v>746</v>
      </c>
      <c r="C42" s="17">
        <v>45566</v>
      </c>
      <c r="D42" s="16" t="s">
        <v>32</v>
      </c>
      <c r="E42" s="16" t="s">
        <v>747</v>
      </c>
      <c r="F42" s="18">
        <v>45581</v>
      </c>
      <c r="G42" s="18">
        <v>45945</v>
      </c>
      <c r="H42" s="30" t="s">
        <v>748</v>
      </c>
      <c r="I42" s="20" t="s">
        <v>749</v>
      </c>
      <c r="J42" s="27" t="s">
        <v>404</v>
      </c>
      <c r="K42" s="16" t="s">
        <v>750</v>
      </c>
      <c r="L42" s="16">
        <v>162955</v>
      </c>
      <c r="M42" s="16" t="s">
        <v>751</v>
      </c>
      <c r="N42" s="16" t="s">
        <v>746</v>
      </c>
      <c r="O42" s="16" t="s">
        <v>60</v>
      </c>
      <c r="P42" s="16" t="s">
        <v>752</v>
      </c>
      <c r="Q42" s="16" t="s">
        <v>753</v>
      </c>
      <c r="R42" s="18">
        <v>44125</v>
      </c>
      <c r="S42" s="18">
        <v>45966</v>
      </c>
      <c r="T42" s="22">
        <v>1780000</v>
      </c>
      <c r="U42" s="16">
        <v>25</v>
      </c>
      <c r="V42" s="23">
        <v>445000</v>
      </c>
      <c r="W42" s="23">
        <v>1335000</v>
      </c>
      <c r="X42" s="24">
        <v>2.5</v>
      </c>
      <c r="Y42" s="31">
        <v>33375</v>
      </c>
      <c r="Z42" s="16"/>
      <c r="AA42" s="16" t="s">
        <v>41</v>
      </c>
      <c r="AB42" s="16">
        <v>1141071585</v>
      </c>
      <c r="AC42" s="25">
        <v>45624</v>
      </c>
      <c r="AD42" s="26" t="s">
        <v>42</v>
      </c>
      <c r="AE42" s="26">
        <v>10</v>
      </c>
      <c r="AF42" s="16" t="s">
        <v>747</v>
      </c>
      <c r="AG42" s="33">
        <v>33375</v>
      </c>
      <c r="AH42" s="36">
        <f t="shared" si="0"/>
        <v>0</v>
      </c>
    </row>
    <row r="43" spans="1:34" x14ac:dyDescent="0.25">
      <c r="A43" s="16" t="s">
        <v>408</v>
      </c>
      <c r="B43" s="16" t="s">
        <v>754</v>
      </c>
      <c r="C43" s="17">
        <v>45566</v>
      </c>
      <c r="D43" s="16" t="s">
        <v>32</v>
      </c>
      <c r="E43" s="16" t="s">
        <v>755</v>
      </c>
      <c r="F43" s="18">
        <v>45581</v>
      </c>
      <c r="G43" s="18">
        <v>45945</v>
      </c>
      <c r="H43" s="30" t="s">
        <v>756</v>
      </c>
      <c r="I43" s="20" t="s">
        <v>757</v>
      </c>
      <c r="J43" s="27" t="s">
        <v>758</v>
      </c>
      <c r="K43" s="16" t="s">
        <v>759</v>
      </c>
      <c r="L43" s="16" t="s">
        <v>760</v>
      </c>
      <c r="M43" s="16" t="s">
        <v>761</v>
      </c>
      <c r="N43" s="16" t="s">
        <v>754</v>
      </c>
      <c r="O43" s="16" t="s">
        <v>60</v>
      </c>
      <c r="P43" s="16" t="s">
        <v>61</v>
      </c>
      <c r="Q43" s="16" t="s">
        <v>762</v>
      </c>
      <c r="R43" s="18">
        <v>44123</v>
      </c>
      <c r="S43" s="18">
        <v>45966</v>
      </c>
      <c r="T43" s="22">
        <v>2608000</v>
      </c>
      <c r="U43" s="16">
        <v>25</v>
      </c>
      <c r="V43" s="23">
        <v>652000</v>
      </c>
      <c r="W43" s="23">
        <v>1956000</v>
      </c>
      <c r="X43" s="24">
        <v>3.75</v>
      </c>
      <c r="Y43" s="31">
        <v>73350</v>
      </c>
      <c r="Z43" s="16"/>
      <c r="AA43" s="16" t="s">
        <v>41</v>
      </c>
      <c r="AB43" s="16">
        <v>1141071585</v>
      </c>
      <c r="AC43" s="25">
        <v>45624</v>
      </c>
      <c r="AD43" s="26" t="s">
        <v>42</v>
      </c>
      <c r="AE43" s="26">
        <v>0</v>
      </c>
      <c r="AF43" s="16" t="s">
        <v>755</v>
      </c>
      <c r="AG43" s="33">
        <v>73350</v>
      </c>
      <c r="AH43" s="36">
        <f t="shared" si="0"/>
        <v>0</v>
      </c>
    </row>
    <row r="44" spans="1:34" x14ac:dyDescent="0.25">
      <c r="A44" s="16" t="s">
        <v>408</v>
      </c>
      <c r="B44" s="16" t="s">
        <v>763</v>
      </c>
      <c r="C44" s="17">
        <v>45566</v>
      </c>
      <c r="D44" s="16" t="s">
        <v>32</v>
      </c>
      <c r="E44" s="16" t="s">
        <v>764</v>
      </c>
      <c r="F44" s="18">
        <v>45582</v>
      </c>
      <c r="G44" s="18">
        <v>45946</v>
      </c>
      <c r="H44" s="30" t="s">
        <v>765</v>
      </c>
      <c r="I44" s="20" t="s">
        <v>766</v>
      </c>
      <c r="J44" s="27" t="s">
        <v>767</v>
      </c>
      <c r="K44" s="16" t="s">
        <v>768</v>
      </c>
      <c r="L44" s="16">
        <v>2954726</v>
      </c>
      <c r="M44" s="16" t="s">
        <v>769</v>
      </c>
      <c r="N44" s="16" t="s">
        <v>763</v>
      </c>
      <c r="O44" s="16" t="s">
        <v>50</v>
      </c>
      <c r="P44" s="16" t="s">
        <v>189</v>
      </c>
      <c r="Q44" s="16" t="s">
        <v>770</v>
      </c>
      <c r="R44" s="18">
        <v>43756</v>
      </c>
      <c r="S44" s="18">
        <v>46331</v>
      </c>
      <c r="T44" s="22">
        <v>3909000</v>
      </c>
      <c r="U44" s="16">
        <v>30</v>
      </c>
      <c r="V44" s="23">
        <v>1172700</v>
      </c>
      <c r="W44" s="23">
        <v>2736300</v>
      </c>
      <c r="X44" s="24">
        <v>1.5</v>
      </c>
      <c r="Y44" s="31">
        <v>41044.5</v>
      </c>
      <c r="Z44" s="16"/>
      <c r="AA44" s="16" t="s">
        <v>41</v>
      </c>
      <c r="AB44" s="16">
        <v>1141071585</v>
      </c>
      <c r="AC44" s="25">
        <v>45624</v>
      </c>
      <c r="AD44" s="26" t="s">
        <v>42</v>
      </c>
      <c r="AE44" s="26">
        <v>41</v>
      </c>
      <c r="AF44" s="16" t="s">
        <v>764</v>
      </c>
      <c r="AG44" s="33">
        <v>41045</v>
      </c>
      <c r="AH44" s="36">
        <f t="shared" si="0"/>
        <v>-0.5</v>
      </c>
    </row>
    <row r="45" spans="1:34" x14ac:dyDescent="0.25">
      <c r="A45" s="16" t="s">
        <v>408</v>
      </c>
      <c r="B45" s="16" t="s">
        <v>771</v>
      </c>
      <c r="C45" s="17">
        <v>45566</v>
      </c>
      <c r="D45" s="16" t="s">
        <v>32</v>
      </c>
      <c r="E45" s="16" t="s">
        <v>772</v>
      </c>
      <c r="F45" s="18">
        <v>45582</v>
      </c>
      <c r="G45" s="18">
        <v>45946</v>
      </c>
      <c r="H45" s="30" t="s">
        <v>773</v>
      </c>
      <c r="I45" s="20" t="s">
        <v>774</v>
      </c>
      <c r="J45" s="27" t="s">
        <v>775</v>
      </c>
      <c r="K45" s="16" t="s">
        <v>776</v>
      </c>
      <c r="L45" s="16">
        <v>14800194</v>
      </c>
      <c r="M45" s="16" t="s">
        <v>777</v>
      </c>
      <c r="N45" s="16" t="s">
        <v>771</v>
      </c>
      <c r="O45" s="16" t="s">
        <v>60</v>
      </c>
      <c r="P45" s="16" t="s">
        <v>778</v>
      </c>
      <c r="Q45" s="16" t="s">
        <v>779</v>
      </c>
      <c r="R45" s="18">
        <v>43759</v>
      </c>
      <c r="S45" s="18">
        <v>45966</v>
      </c>
      <c r="T45" s="22">
        <v>3255000</v>
      </c>
      <c r="U45" s="16">
        <v>30</v>
      </c>
      <c r="V45" s="23">
        <v>976500</v>
      </c>
      <c r="W45" s="23">
        <v>2278500</v>
      </c>
      <c r="X45" s="24">
        <v>3</v>
      </c>
      <c r="Y45" s="32">
        <v>68355</v>
      </c>
      <c r="Z45" s="16"/>
      <c r="AA45" s="16" t="s">
        <v>41</v>
      </c>
      <c r="AB45" s="16">
        <v>1141071585</v>
      </c>
      <c r="AC45" s="25">
        <v>45624</v>
      </c>
      <c r="AD45" s="26" t="s">
        <v>42</v>
      </c>
      <c r="AE45" s="26">
        <v>0</v>
      </c>
      <c r="AF45" s="16" t="s">
        <v>772</v>
      </c>
      <c r="AG45" s="33">
        <v>68355</v>
      </c>
      <c r="AH45" s="36">
        <f t="shared" si="0"/>
        <v>0</v>
      </c>
    </row>
    <row r="46" spans="1:34" x14ac:dyDescent="0.25">
      <c r="A46" s="16" t="s">
        <v>408</v>
      </c>
      <c r="B46" s="16" t="s">
        <v>780</v>
      </c>
      <c r="C46" s="17">
        <v>45566</v>
      </c>
      <c r="D46" s="16" t="s">
        <v>32</v>
      </c>
      <c r="E46" s="16" t="s">
        <v>781</v>
      </c>
      <c r="F46" s="18">
        <v>45583</v>
      </c>
      <c r="G46" s="18">
        <v>45947</v>
      </c>
      <c r="H46" s="30" t="s">
        <v>782</v>
      </c>
      <c r="I46" s="20" t="s">
        <v>783</v>
      </c>
      <c r="J46" s="27" t="s">
        <v>725</v>
      </c>
      <c r="K46" s="16" t="s">
        <v>784</v>
      </c>
      <c r="L46" s="16">
        <v>12911004</v>
      </c>
      <c r="M46" s="16" t="s">
        <v>785</v>
      </c>
      <c r="N46" s="16" t="s">
        <v>780</v>
      </c>
      <c r="O46" s="16" t="s">
        <v>38</v>
      </c>
      <c r="P46" s="16" t="s">
        <v>39</v>
      </c>
      <c r="Q46" s="16" t="s">
        <v>786</v>
      </c>
      <c r="R46" s="18">
        <v>44854</v>
      </c>
      <c r="S46" s="18">
        <v>45966</v>
      </c>
      <c r="T46" s="22">
        <v>3900000</v>
      </c>
      <c r="U46" s="16">
        <v>15</v>
      </c>
      <c r="V46" s="23">
        <v>585000</v>
      </c>
      <c r="W46" s="23">
        <v>3315000</v>
      </c>
      <c r="X46" s="24">
        <v>1.5</v>
      </c>
      <c r="Y46" s="31">
        <v>49725</v>
      </c>
      <c r="Z46" s="16"/>
      <c r="AA46" s="16" t="s">
        <v>41</v>
      </c>
      <c r="AB46" s="16">
        <v>1141071585</v>
      </c>
      <c r="AC46" s="25">
        <v>45624</v>
      </c>
      <c r="AD46" s="26" t="s">
        <v>42</v>
      </c>
      <c r="AE46" s="26">
        <v>41</v>
      </c>
      <c r="AF46" s="16" t="s">
        <v>781</v>
      </c>
      <c r="AG46" s="33">
        <v>49725</v>
      </c>
      <c r="AH46" s="36">
        <f t="shared" si="0"/>
        <v>0</v>
      </c>
    </row>
    <row r="47" spans="1:34" x14ac:dyDescent="0.25">
      <c r="A47" s="16" t="s">
        <v>408</v>
      </c>
      <c r="B47" s="16" t="s">
        <v>787</v>
      </c>
      <c r="C47" s="17">
        <v>45566</v>
      </c>
      <c r="D47" s="16" t="s">
        <v>32</v>
      </c>
      <c r="E47" s="16" t="s">
        <v>788</v>
      </c>
      <c r="F47" s="18">
        <v>45583</v>
      </c>
      <c r="G47" s="18">
        <v>45947</v>
      </c>
      <c r="H47" s="30" t="s">
        <v>789</v>
      </c>
      <c r="I47" s="20" t="s">
        <v>790</v>
      </c>
      <c r="J47" s="27" t="s">
        <v>791</v>
      </c>
      <c r="K47" s="16" t="s">
        <v>792</v>
      </c>
      <c r="L47" s="16" t="s">
        <v>793</v>
      </c>
      <c r="M47" s="16" t="s">
        <v>794</v>
      </c>
      <c r="N47" s="16" t="s">
        <v>787</v>
      </c>
      <c r="O47" s="16" t="s">
        <v>50</v>
      </c>
      <c r="P47" s="16" t="s">
        <v>51</v>
      </c>
      <c r="Q47" s="16" t="s">
        <v>795</v>
      </c>
      <c r="R47" s="18">
        <v>44858</v>
      </c>
      <c r="S47" s="18">
        <v>46696</v>
      </c>
      <c r="T47" s="22">
        <v>1766450</v>
      </c>
      <c r="U47" s="16">
        <v>15</v>
      </c>
      <c r="V47" s="23">
        <v>264967.5</v>
      </c>
      <c r="W47" s="23">
        <v>1501482.5</v>
      </c>
      <c r="X47" s="24">
        <v>2</v>
      </c>
      <c r="Y47" s="31">
        <v>30029.65</v>
      </c>
      <c r="Z47" s="16"/>
      <c r="AA47" s="16" t="s">
        <v>41</v>
      </c>
      <c r="AB47" s="16">
        <v>1141071585</v>
      </c>
      <c r="AC47" s="25">
        <v>45624</v>
      </c>
      <c r="AD47" s="26" t="s">
        <v>42</v>
      </c>
      <c r="AE47" s="26">
        <v>0</v>
      </c>
      <c r="AF47" s="16" t="s">
        <v>788</v>
      </c>
      <c r="AG47" s="33">
        <v>30030</v>
      </c>
      <c r="AH47" s="36">
        <f t="shared" si="0"/>
        <v>-0.34999999999854481</v>
      </c>
    </row>
    <row r="48" spans="1:34" x14ac:dyDescent="0.25">
      <c r="A48" s="16" t="s">
        <v>408</v>
      </c>
      <c r="B48" s="16" t="s">
        <v>796</v>
      </c>
      <c r="C48" s="17">
        <v>45566</v>
      </c>
      <c r="D48" s="16" t="s">
        <v>32</v>
      </c>
      <c r="E48" s="16" t="s">
        <v>797</v>
      </c>
      <c r="F48" s="18">
        <v>45583</v>
      </c>
      <c r="G48" s="18">
        <v>45947</v>
      </c>
      <c r="H48" s="30" t="s">
        <v>798</v>
      </c>
      <c r="I48" s="20" t="s">
        <v>799</v>
      </c>
      <c r="J48" s="27" t="s">
        <v>791</v>
      </c>
      <c r="K48" s="16" t="s">
        <v>800</v>
      </c>
      <c r="L48" s="16" t="s">
        <v>801</v>
      </c>
      <c r="M48" s="16" t="s">
        <v>802</v>
      </c>
      <c r="N48" s="16" t="s">
        <v>796</v>
      </c>
      <c r="O48" s="16" t="s">
        <v>60</v>
      </c>
      <c r="P48" s="16" t="s">
        <v>61</v>
      </c>
      <c r="Q48" s="16" t="s">
        <v>803</v>
      </c>
      <c r="R48" s="18">
        <v>45222</v>
      </c>
      <c r="S48" s="18">
        <v>47063</v>
      </c>
      <c r="T48" s="22">
        <v>1200000</v>
      </c>
      <c r="U48" s="16">
        <v>10</v>
      </c>
      <c r="V48" s="23">
        <v>120000</v>
      </c>
      <c r="W48" s="23">
        <v>1080000</v>
      </c>
      <c r="X48" s="24">
        <v>2</v>
      </c>
      <c r="Y48" s="31">
        <v>21600</v>
      </c>
      <c r="Z48" s="16"/>
      <c r="AA48" s="16" t="s">
        <v>41</v>
      </c>
      <c r="AB48" s="16">
        <v>1141071585</v>
      </c>
      <c r="AC48" s="25">
        <v>45624</v>
      </c>
      <c r="AD48" s="26" t="s">
        <v>42</v>
      </c>
      <c r="AE48" s="26">
        <v>10</v>
      </c>
      <c r="AF48" s="16" t="s">
        <v>797</v>
      </c>
      <c r="AG48" s="33">
        <v>21600</v>
      </c>
      <c r="AH48" s="36">
        <f t="shared" si="0"/>
        <v>0</v>
      </c>
    </row>
    <row r="49" spans="1:34" x14ac:dyDescent="0.25">
      <c r="A49" s="16" t="s">
        <v>408</v>
      </c>
      <c r="B49" s="16" t="s">
        <v>804</v>
      </c>
      <c r="C49" s="17">
        <v>45566</v>
      </c>
      <c r="D49" s="16" t="s">
        <v>32</v>
      </c>
      <c r="E49" s="16" t="s">
        <v>805</v>
      </c>
      <c r="F49" s="18">
        <v>45583</v>
      </c>
      <c r="G49" s="18">
        <v>45947</v>
      </c>
      <c r="H49" s="30" t="s">
        <v>806</v>
      </c>
      <c r="I49" s="20" t="s">
        <v>807</v>
      </c>
      <c r="J49" s="27" t="s">
        <v>808</v>
      </c>
      <c r="K49" s="16" t="s">
        <v>809</v>
      </c>
      <c r="L49" s="16">
        <v>122477</v>
      </c>
      <c r="M49" s="16" t="s">
        <v>810</v>
      </c>
      <c r="N49" s="16" t="s">
        <v>804</v>
      </c>
      <c r="O49" s="16" t="s">
        <v>38</v>
      </c>
      <c r="P49" s="16" t="s">
        <v>39</v>
      </c>
      <c r="Q49" s="16" t="s">
        <v>811</v>
      </c>
      <c r="R49" s="18">
        <v>45219</v>
      </c>
      <c r="S49" s="18">
        <v>47063</v>
      </c>
      <c r="T49" s="22">
        <v>2700000</v>
      </c>
      <c r="U49" s="16">
        <v>10</v>
      </c>
      <c r="V49" s="23">
        <v>270000</v>
      </c>
      <c r="W49" s="23">
        <v>2430000</v>
      </c>
      <c r="X49" s="24">
        <v>2</v>
      </c>
      <c r="Y49" s="31">
        <v>48600</v>
      </c>
      <c r="Z49" s="16"/>
      <c r="AA49" s="16" t="s">
        <v>41</v>
      </c>
      <c r="AB49" s="16">
        <v>1141071585</v>
      </c>
      <c r="AC49" s="25">
        <v>45624</v>
      </c>
      <c r="AD49" s="26" t="s">
        <v>42</v>
      </c>
      <c r="AE49" s="26">
        <v>10</v>
      </c>
      <c r="AF49" s="16" t="s">
        <v>805</v>
      </c>
      <c r="AG49" s="33">
        <v>48600</v>
      </c>
      <c r="AH49" s="36">
        <f t="shared" si="0"/>
        <v>0</v>
      </c>
    </row>
    <row r="50" spans="1:34" x14ac:dyDescent="0.25">
      <c r="A50" s="16" t="s">
        <v>408</v>
      </c>
      <c r="B50" s="16" t="s">
        <v>812</v>
      </c>
      <c r="C50" s="17">
        <v>45566</v>
      </c>
      <c r="D50" s="16" t="s">
        <v>32</v>
      </c>
      <c r="E50" s="16" t="s">
        <v>813</v>
      </c>
      <c r="F50" s="18">
        <v>45584</v>
      </c>
      <c r="G50" s="18">
        <v>45948</v>
      </c>
      <c r="H50" s="30" t="s">
        <v>814</v>
      </c>
      <c r="I50" s="20" t="s">
        <v>815</v>
      </c>
      <c r="J50" s="27" t="s">
        <v>816</v>
      </c>
      <c r="K50" s="16" t="s">
        <v>817</v>
      </c>
      <c r="L50" s="16" t="s">
        <v>818</v>
      </c>
      <c r="M50" s="16" t="s">
        <v>819</v>
      </c>
      <c r="N50" s="16" t="s">
        <v>812</v>
      </c>
      <c r="O50" s="16" t="s">
        <v>60</v>
      </c>
      <c r="P50" s="16" t="s">
        <v>217</v>
      </c>
      <c r="Q50" s="16" t="s">
        <v>820</v>
      </c>
      <c r="R50" s="18">
        <v>45223</v>
      </c>
      <c r="S50" s="18">
        <v>46331</v>
      </c>
      <c r="T50" s="22">
        <v>4000000</v>
      </c>
      <c r="U50" s="16">
        <v>10</v>
      </c>
      <c r="V50" s="23">
        <v>400000</v>
      </c>
      <c r="W50" s="23">
        <v>3600000</v>
      </c>
      <c r="X50" s="24">
        <v>1.5</v>
      </c>
      <c r="Y50" s="31">
        <v>54000</v>
      </c>
      <c r="Z50" s="16"/>
      <c r="AA50" s="16" t="s">
        <v>41</v>
      </c>
      <c r="AB50" s="16">
        <v>1141071585</v>
      </c>
      <c r="AC50" s="25">
        <v>45624</v>
      </c>
      <c r="AD50" s="26" t="s">
        <v>42</v>
      </c>
      <c r="AE50" s="26">
        <v>0</v>
      </c>
      <c r="AF50" s="16" t="s">
        <v>813</v>
      </c>
      <c r="AG50" s="33">
        <v>54000</v>
      </c>
      <c r="AH50" s="36">
        <f t="shared" si="0"/>
        <v>0</v>
      </c>
    </row>
    <row r="51" spans="1:34" x14ac:dyDescent="0.25">
      <c r="A51" s="16" t="s">
        <v>408</v>
      </c>
      <c r="B51" s="16" t="s">
        <v>821</v>
      </c>
      <c r="C51" s="17">
        <v>45566</v>
      </c>
      <c r="D51" s="16" t="s">
        <v>32</v>
      </c>
      <c r="E51" s="16" t="s">
        <v>822</v>
      </c>
      <c r="F51" s="18">
        <v>45584</v>
      </c>
      <c r="G51" s="18">
        <v>45948</v>
      </c>
      <c r="H51" s="30" t="s">
        <v>823</v>
      </c>
      <c r="I51" s="20" t="s">
        <v>824</v>
      </c>
      <c r="J51" s="27" t="s">
        <v>825</v>
      </c>
      <c r="K51" s="16" t="s">
        <v>826</v>
      </c>
      <c r="L51" s="16" t="s">
        <v>827</v>
      </c>
      <c r="M51" s="16" t="s">
        <v>828</v>
      </c>
      <c r="N51" s="16" t="s">
        <v>821</v>
      </c>
      <c r="O51" s="16" t="s">
        <v>60</v>
      </c>
      <c r="P51" s="16" t="s">
        <v>61</v>
      </c>
      <c r="Q51" s="16" t="s">
        <v>829</v>
      </c>
      <c r="R51" s="18">
        <v>45222</v>
      </c>
      <c r="S51" s="18">
        <v>46331</v>
      </c>
      <c r="T51" s="22">
        <v>4000000</v>
      </c>
      <c r="U51" s="16">
        <v>10</v>
      </c>
      <c r="V51" s="23">
        <v>400000</v>
      </c>
      <c r="W51" s="23">
        <v>3600000</v>
      </c>
      <c r="X51" s="24">
        <v>1.5</v>
      </c>
      <c r="Y51" s="31">
        <v>54000</v>
      </c>
      <c r="Z51" s="16"/>
      <c r="AA51" s="16" t="s">
        <v>41</v>
      </c>
      <c r="AB51" s="16">
        <v>1141071585</v>
      </c>
      <c r="AC51" s="25">
        <v>45624</v>
      </c>
      <c r="AD51" s="26" t="s">
        <v>42</v>
      </c>
      <c r="AE51" s="26">
        <v>0</v>
      </c>
      <c r="AF51" s="16" t="s">
        <v>822</v>
      </c>
      <c r="AG51" s="33">
        <v>54000</v>
      </c>
      <c r="AH51" s="36">
        <f t="shared" si="0"/>
        <v>0</v>
      </c>
    </row>
    <row r="52" spans="1:34" x14ac:dyDescent="0.25">
      <c r="A52" s="16" t="s">
        <v>408</v>
      </c>
      <c r="B52" s="16" t="s">
        <v>830</v>
      </c>
      <c r="C52" s="17">
        <v>45566</v>
      </c>
      <c r="D52" s="16" t="s">
        <v>32</v>
      </c>
      <c r="E52" s="16" t="s">
        <v>831</v>
      </c>
      <c r="F52" s="18">
        <v>45584</v>
      </c>
      <c r="G52" s="18">
        <v>45948</v>
      </c>
      <c r="H52" s="30" t="s">
        <v>832</v>
      </c>
      <c r="I52" s="20" t="s">
        <v>833</v>
      </c>
      <c r="J52" s="27" t="s">
        <v>495</v>
      </c>
      <c r="K52" s="16" t="s">
        <v>834</v>
      </c>
      <c r="L52" s="16" t="s">
        <v>835</v>
      </c>
      <c r="M52" s="16" t="s">
        <v>836</v>
      </c>
      <c r="N52" s="16" t="s">
        <v>830</v>
      </c>
      <c r="O52" s="16" t="s">
        <v>60</v>
      </c>
      <c r="P52" s="16" t="s">
        <v>61</v>
      </c>
      <c r="Q52" s="16" t="s">
        <v>837</v>
      </c>
      <c r="R52" s="18">
        <v>45222</v>
      </c>
      <c r="S52" s="18">
        <v>46331</v>
      </c>
      <c r="T52" s="22">
        <v>2935000</v>
      </c>
      <c r="U52" s="16">
        <v>10</v>
      </c>
      <c r="V52" s="23">
        <v>293500</v>
      </c>
      <c r="W52" s="23">
        <v>2641500</v>
      </c>
      <c r="X52" s="24">
        <v>2</v>
      </c>
      <c r="Y52" s="31">
        <v>52830</v>
      </c>
      <c r="Z52" s="16"/>
      <c r="AA52" s="16" t="s">
        <v>41</v>
      </c>
      <c r="AB52" s="16">
        <v>1141071585</v>
      </c>
      <c r="AC52" s="25">
        <v>45624</v>
      </c>
      <c r="AD52" s="26" t="s">
        <v>42</v>
      </c>
      <c r="AE52" s="26">
        <v>0</v>
      </c>
      <c r="AF52" s="16" t="s">
        <v>831</v>
      </c>
      <c r="AG52" s="33">
        <v>52830</v>
      </c>
      <c r="AH52" s="36">
        <f t="shared" si="0"/>
        <v>0</v>
      </c>
    </row>
    <row r="53" spans="1:34" x14ac:dyDescent="0.25">
      <c r="A53" s="16" t="s">
        <v>408</v>
      </c>
      <c r="B53" s="16" t="s">
        <v>838</v>
      </c>
      <c r="C53" s="17">
        <v>45566</v>
      </c>
      <c r="D53" s="16" t="s">
        <v>32</v>
      </c>
      <c r="E53" s="16" t="s">
        <v>839</v>
      </c>
      <c r="F53" s="18">
        <v>45584</v>
      </c>
      <c r="G53" s="18">
        <v>45948</v>
      </c>
      <c r="H53" s="30" t="s">
        <v>840</v>
      </c>
      <c r="I53" s="20" t="s">
        <v>841</v>
      </c>
      <c r="J53" s="27" t="s">
        <v>545</v>
      </c>
      <c r="K53" s="16" t="s">
        <v>842</v>
      </c>
      <c r="L53" s="16">
        <v>142712</v>
      </c>
      <c r="M53" s="16" t="s">
        <v>843</v>
      </c>
      <c r="N53" s="16" t="s">
        <v>838</v>
      </c>
      <c r="O53" s="16" t="s">
        <v>60</v>
      </c>
      <c r="P53" s="16" t="s">
        <v>844</v>
      </c>
      <c r="Q53" s="16" t="s">
        <v>845</v>
      </c>
      <c r="R53" s="18">
        <v>44127</v>
      </c>
      <c r="S53" s="18">
        <v>45966</v>
      </c>
      <c r="T53" s="22">
        <v>1433000</v>
      </c>
      <c r="U53" s="16">
        <v>25</v>
      </c>
      <c r="V53" s="23">
        <v>358250</v>
      </c>
      <c r="W53" s="23">
        <v>1074750</v>
      </c>
      <c r="X53" s="24">
        <v>2.5</v>
      </c>
      <c r="Y53" s="31">
        <v>26868.75</v>
      </c>
      <c r="Z53" s="16"/>
      <c r="AA53" s="16" t="s">
        <v>41</v>
      </c>
      <c r="AB53" s="16">
        <v>1141071585</v>
      </c>
      <c r="AC53" s="25">
        <v>45624</v>
      </c>
      <c r="AD53" s="26" t="s">
        <v>42</v>
      </c>
      <c r="AE53" s="26">
        <v>10</v>
      </c>
      <c r="AF53" s="16" t="s">
        <v>839</v>
      </c>
      <c r="AG53" s="33">
        <v>26869</v>
      </c>
      <c r="AH53" s="36">
        <f t="shared" si="0"/>
        <v>-0.25</v>
      </c>
    </row>
    <row r="54" spans="1:34" x14ac:dyDescent="0.25">
      <c r="A54" s="16" t="s">
        <v>408</v>
      </c>
      <c r="B54" s="16" t="s">
        <v>846</v>
      </c>
      <c r="C54" s="17">
        <v>45566</v>
      </c>
      <c r="D54" s="16" t="s">
        <v>32</v>
      </c>
      <c r="E54" s="16" t="s">
        <v>847</v>
      </c>
      <c r="F54" s="18">
        <v>45585</v>
      </c>
      <c r="G54" s="18">
        <v>45949</v>
      </c>
      <c r="H54" s="30" t="s">
        <v>848</v>
      </c>
      <c r="I54" s="20" t="s">
        <v>849</v>
      </c>
      <c r="J54" s="27" t="s">
        <v>725</v>
      </c>
      <c r="K54" s="16" t="s">
        <v>850</v>
      </c>
      <c r="L54" s="16">
        <v>16914106</v>
      </c>
      <c r="M54" s="16" t="s">
        <v>851</v>
      </c>
      <c r="N54" s="16" t="s">
        <v>846</v>
      </c>
      <c r="O54" s="16" t="s">
        <v>60</v>
      </c>
      <c r="P54" s="16" t="s">
        <v>852</v>
      </c>
      <c r="Q54" s="16" t="s">
        <v>853</v>
      </c>
      <c r="R54" s="18">
        <v>44130</v>
      </c>
      <c r="S54" s="18">
        <v>45966</v>
      </c>
      <c r="T54" s="22">
        <v>4132500</v>
      </c>
      <c r="U54" s="16">
        <v>25</v>
      </c>
      <c r="V54" s="23">
        <v>1033125</v>
      </c>
      <c r="W54" s="23">
        <v>3099375</v>
      </c>
      <c r="X54" s="24">
        <v>1.5</v>
      </c>
      <c r="Y54" s="31">
        <v>46490.625</v>
      </c>
      <c r="Z54" s="16"/>
      <c r="AA54" s="16" t="s">
        <v>41</v>
      </c>
      <c r="AB54" s="16">
        <v>1141071585</v>
      </c>
      <c r="AC54" s="25">
        <v>45624</v>
      </c>
      <c r="AD54" s="26" t="s">
        <v>42</v>
      </c>
      <c r="AE54" s="26">
        <v>0</v>
      </c>
      <c r="AF54" s="16" t="s">
        <v>847</v>
      </c>
      <c r="AG54" s="33">
        <v>46491</v>
      </c>
      <c r="AH54" s="36">
        <f t="shared" si="0"/>
        <v>-0.375</v>
      </c>
    </row>
    <row r="55" spans="1:34" x14ac:dyDescent="0.25">
      <c r="A55" s="16" t="s">
        <v>408</v>
      </c>
      <c r="B55" s="16" t="s">
        <v>854</v>
      </c>
      <c r="C55" s="17">
        <v>45566</v>
      </c>
      <c r="D55" s="16" t="s">
        <v>32</v>
      </c>
      <c r="E55" s="16" t="s">
        <v>855</v>
      </c>
      <c r="F55" s="18">
        <v>45585</v>
      </c>
      <c r="G55" s="18">
        <v>45949</v>
      </c>
      <c r="H55" s="30" t="s">
        <v>856</v>
      </c>
      <c r="I55" s="20" t="s">
        <v>857</v>
      </c>
      <c r="J55" s="27" t="s">
        <v>288</v>
      </c>
      <c r="K55" s="16" t="s">
        <v>858</v>
      </c>
      <c r="L55" s="16" t="s">
        <v>859</v>
      </c>
      <c r="M55" s="16" t="s">
        <v>860</v>
      </c>
      <c r="N55" s="16" t="s">
        <v>854</v>
      </c>
      <c r="O55" s="16" t="s">
        <v>60</v>
      </c>
      <c r="P55" s="16" t="s">
        <v>61</v>
      </c>
      <c r="Q55" s="16" t="s">
        <v>861</v>
      </c>
      <c r="R55" s="18">
        <v>45223</v>
      </c>
      <c r="S55" s="18">
        <v>47063</v>
      </c>
      <c r="T55" s="22">
        <v>3550000</v>
      </c>
      <c r="U55" s="16">
        <v>10</v>
      </c>
      <c r="V55" s="23">
        <v>355000</v>
      </c>
      <c r="W55" s="23">
        <v>3195000</v>
      </c>
      <c r="X55" s="24">
        <v>1.5</v>
      </c>
      <c r="Y55" s="31">
        <v>47925</v>
      </c>
      <c r="Z55" s="16"/>
      <c r="AA55" s="16" t="s">
        <v>41</v>
      </c>
      <c r="AB55" s="16">
        <v>1141071585</v>
      </c>
      <c r="AC55" s="25">
        <v>45624</v>
      </c>
      <c r="AD55" s="26" t="s">
        <v>42</v>
      </c>
      <c r="AE55" s="26">
        <v>10</v>
      </c>
      <c r="AF55" s="16" t="s">
        <v>855</v>
      </c>
      <c r="AG55" s="33">
        <v>47925</v>
      </c>
      <c r="AH55" s="36">
        <f t="shared" si="0"/>
        <v>0</v>
      </c>
    </row>
    <row r="56" spans="1:34" x14ac:dyDescent="0.25">
      <c r="A56" s="16" t="s">
        <v>408</v>
      </c>
      <c r="B56" s="16" t="s">
        <v>862</v>
      </c>
      <c r="C56" s="17">
        <v>45566</v>
      </c>
      <c r="D56" s="16" t="s">
        <v>32</v>
      </c>
      <c r="E56" s="16" t="s">
        <v>863</v>
      </c>
      <c r="F56" s="18">
        <v>45585</v>
      </c>
      <c r="G56" s="18">
        <v>45949</v>
      </c>
      <c r="H56" s="30" t="s">
        <v>864</v>
      </c>
      <c r="I56" s="20" t="s">
        <v>865</v>
      </c>
      <c r="J56" s="27" t="s">
        <v>645</v>
      </c>
      <c r="K56" s="16" t="s">
        <v>866</v>
      </c>
      <c r="L56" s="16">
        <v>266126</v>
      </c>
      <c r="M56" s="16" t="s">
        <v>867</v>
      </c>
      <c r="N56" s="16" t="s">
        <v>862</v>
      </c>
      <c r="O56" s="16" t="s">
        <v>38</v>
      </c>
      <c r="P56" s="16" t="s">
        <v>39</v>
      </c>
      <c r="Q56" s="16" t="s">
        <v>868</v>
      </c>
      <c r="R56" s="18">
        <v>45223</v>
      </c>
      <c r="S56" s="18">
        <v>47063</v>
      </c>
      <c r="T56" s="22">
        <v>2612000</v>
      </c>
      <c r="U56" s="16">
        <v>10</v>
      </c>
      <c r="V56" s="23">
        <v>261200</v>
      </c>
      <c r="W56" s="23">
        <v>2350800</v>
      </c>
      <c r="X56" s="24">
        <v>2</v>
      </c>
      <c r="Y56" s="31">
        <v>47016</v>
      </c>
      <c r="Z56" s="16"/>
      <c r="AA56" s="16" t="s">
        <v>41</v>
      </c>
      <c r="AB56" s="16">
        <v>1141071585</v>
      </c>
      <c r="AC56" s="25">
        <v>45624</v>
      </c>
      <c r="AD56" s="26" t="s">
        <v>42</v>
      </c>
      <c r="AE56" s="26">
        <v>10</v>
      </c>
      <c r="AF56" s="16" t="s">
        <v>863</v>
      </c>
      <c r="AG56" s="33">
        <v>47016</v>
      </c>
      <c r="AH56" s="36">
        <f t="shared" si="0"/>
        <v>0</v>
      </c>
    </row>
    <row r="57" spans="1:34" x14ac:dyDescent="0.25">
      <c r="A57" s="16" t="s">
        <v>408</v>
      </c>
      <c r="B57" s="16" t="s">
        <v>869</v>
      </c>
      <c r="C57" s="17">
        <v>45566</v>
      </c>
      <c r="D57" s="16" t="s">
        <v>32</v>
      </c>
      <c r="E57" s="16" t="s">
        <v>870</v>
      </c>
      <c r="F57" s="18">
        <v>45585</v>
      </c>
      <c r="G57" s="18">
        <v>45949</v>
      </c>
      <c r="H57" s="30" t="s">
        <v>871</v>
      </c>
      <c r="I57" s="20" t="s">
        <v>872</v>
      </c>
      <c r="J57" s="27" t="s">
        <v>873</v>
      </c>
      <c r="K57" s="16" t="s">
        <v>874</v>
      </c>
      <c r="L57" s="16">
        <v>162556</v>
      </c>
      <c r="M57" s="16" t="s">
        <v>875</v>
      </c>
      <c r="N57" s="16" t="s">
        <v>869</v>
      </c>
      <c r="O57" s="16" t="s">
        <v>60</v>
      </c>
      <c r="P57" s="16" t="s">
        <v>876</v>
      </c>
      <c r="Q57" s="16" t="s">
        <v>877</v>
      </c>
      <c r="R57" s="18">
        <v>44130</v>
      </c>
      <c r="S57" s="18">
        <v>45966</v>
      </c>
      <c r="T57" s="22">
        <v>1780000</v>
      </c>
      <c r="U57" s="16">
        <v>25</v>
      </c>
      <c r="V57" s="23">
        <v>445000</v>
      </c>
      <c r="W57" s="23">
        <v>1335000</v>
      </c>
      <c r="X57" s="24">
        <v>2.5</v>
      </c>
      <c r="Y57" s="31">
        <v>33375</v>
      </c>
      <c r="Z57" s="16"/>
      <c r="AA57" s="16" t="s">
        <v>41</v>
      </c>
      <c r="AB57" s="16">
        <v>1141071585</v>
      </c>
      <c r="AC57" s="25">
        <v>45624</v>
      </c>
      <c r="AD57" s="26" t="s">
        <v>42</v>
      </c>
      <c r="AE57" s="26">
        <v>10</v>
      </c>
      <c r="AF57" s="16" t="s">
        <v>870</v>
      </c>
      <c r="AG57" s="33">
        <v>33375</v>
      </c>
      <c r="AH57" s="36">
        <f t="shared" si="0"/>
        <v>0</v>
      </c>
    </row>
    <row r="58" spans="1:34" x14ac:dyDescent="0.25">
      <c r="A58" s="16" t="s">
        <v>408</v>
      </c>
      <c r="B58" s="16" t="s">
        <v>878</v>
      </c>
      <c r="C58" s="17">
        <v>45566</v>
      </c>
      <c r="D58" s="16" t="s">
        <v>32</v>
      </c>
      <c r="E58" s="16" t="s">
        <v>879</v>
      </c>
      <c r="F58" s="18">
        <v>45585</v>
      </c>
      <c r="G58" s="18">
        <v>45949</v>
      </c>
      <c r="H58" s="30" t="s">
        <v>880</v>
      </c>
      <c r="I58" s="20" t="s">
        <v>881</v>
      </c>
      <c r="J58" s="27" t="s">
        <v>545</v>
      </c>
      <c r="K58" s="16" t="s">
        <v>882</v>
      </c>
      <c r="L58" s="16" t="s">
        <v>883</v>
      </c>
      <c r="M58" s="16" t="s">
        <v>884</v>
      </c>
      <c r="N58" s="16" t="s">
        <v>878</v>
      </c>
      <c r="O58" s="16" t="s">
        <v>60</v>
      </c>
      <c r="P58" s="16" t="s">
        <v>114</v>
      </c>
      <c r="Q58" s="16" t="s">
        <v>885</v>
      </c>
      <c r="R58" s="18">
        <v>44861</v>
      </c>
      <c r="S58" s="18">
        <v>47063</v>
      </c>
      <c r="T58" s="22">
        <v>1675000</v>
      </c>
      <c r="U58" s="16">
        <v>15</v>
      </c>
      <c r="V58" s="23">
        <v>251250</v>
      </c>
      <c r="W58" s="23">
        <v>1423750</v>
      </c>
      <c r="X58" s="24">
        <v>2.5</v>
      </c>
      <c r="Y58" s="31">
        <v>35593.75</v>
      </c>
      <c r="Z58" s="16"/>
      <c r="AA58" s="16" t="s">
        <v>41</v>
      </c>
      <c r="AB58" s="16">
        <v>1141071585</v>
      </c>
      <c r="AC58" s="25">
        <v>45624</v>
      </c>
      <c r="AD58" s="26" t="s">
        <v>42</v>
      </c>
      <c r="AE58" s="26">
        <v>0</v>
      </c>
      <c r="AF58" s="16" t="s">
        <v>879</v>
      </c>
      <c r="AG58" s="33">
        <v>35594</v>
      </c>
      <c r="AH58" s="36">
        <f t="shared" si="0"/>
        <v>-0.25</v>
      </c>
    </row>
    <row r="59" spans="1:34" x14ac:dyDescent="0.25">
      <c r="A59" s="16" t="s">
        <v>408</v>
      </c>
      <c r="B59" s="16" t="s">
        <v>886</v>
      </c>
      <c r="C59" s="17">
        <v>45566</v>
      </c>
      <c r="D59" s="16" t="s">
        <v>32</v>
      </c>
      <c r="E59" s="16" t="s">
        <v>887</v>
      </c>
      <c r="F59" s="18">
        <v>45585</v>
      </c>
      <c r="G59" s="18">
        <v>45949</v>
      </c>
      <c r="H59" s="30" t="s">
        <v>888</v>
      </c>
      <c r="I59" s="20" t="s">
        <v>889</v>
      </c>
      <c r="J59" s="27" t="s">
        <v>545</v>
      </c>
      <c r="K59" s="16" t="s">
        <v>890</v>
      </c>
      <c r="L59" s="16" t="s">
        <v>891</v>
      </c>
      <c r="M59" s="16" t="s">
        <v>892</v>
      </c>
      <c r="N59" s="16" t="s">
        <v>886</v>
      </c>
      <c r="O59" s="16" t="s">
        <v>60</v>
      </c>
      <c r="P59" s="16" t="s">
        <v>893</v>
      </c>
      <c r="Q59" s="16" t="s">
        <v>894</v>
      </c>
      <c r="R59" s="18">
        <v>44861</v>
      </c>
      <c r="S59" s="18">
        <v>46696</v>
      </c>
      <c r="T59" s="22">
        <v>1675000</v>
      </c>
      <c r="U59" s="16">
        <v>15</v>
      </c>
      <c r="V59" s="23">
        <v>251250</v>
      </c>
      <c r="W59" s="23">
        <v>1423750</v>
      </c>
      <c r="X59" s="24">
        <v>2.5</v>
      </c>
      <c r="Y59" s="31">
        <v>35593.75</v>
      </c>
      <c r="Z59" s="16"/>
      <c r="AA59" s="16" t="s">
        <v>41</v>
      </c>
      <c r="AB59" s="16">
        <v>1141071585</v>
      </c>
      <c r="AC59" s="25">
        <v>45624</v>
      </c>
      <c r="AD59" s="26" t="s">
        <v>42</v>
      </c>
      <c r="AE59" s="26">
        <v>0</v>
      </c>
      <c r="AF59" s="16" t="s">
        <v>887</v>
      </c>
      <c r="AG59" s="33">
        <v>35594</v>
      </c>
      <c r="AH59" s="36">
        <f t="shared" si="0"/>
        <v>-0.25</v>
      </c>
    </row>
    <row r="60" spans="1:34" x14ac:dyDescent="0.25">
      <c r="A60" s="16" t="s">
        <v>408</v>
      </c>
      <c r="B60" s="16" t="s">
        <v>895</v>
      </c>
      <c r="C60" s="17">
        <v>45566</v>
      </c>
      <c r="D60" s="16" t="s">
        <v>32</v>
      </c>
      <c r="E60" s="16" t="s">
        <v>896</v>
      </c>
      <c r="F60" s="18">
        <v>45586</v>
      </c>
      <c r="G60" s="18">
        <v>45950</v>
      </c>
      <c r="H60" s="30" t="s">
        <v>897</v>
      </c>
      <c r="I60" s="20" t="s">
        <v>898</v>
      </c>
      <c r="J60" s="27" t="s">
        <v>495</v>
      </c>
      <c r="K60" s="16" t="s">
        <v>899</v>
      </c>
      <c r="L60" s="16" t="s">
        <v>900</v>
      </c>
      <c r="M60" s="16" t="s">
        <v>901</v>
      </c>
      <c r="N60" s="16" t="s">
        <v>895</v>
      </c>
      <c r="O60" s="16" t="s">
        <v>50</v>
      </c>
      <c r="P60" s="16" t="s">
        <v>51</v>
      </c>
      <c r="Q60" s="16" t="s">
        <v>902</v>
      </c>
      <c r="R60" s="18">
        <v>44860</v>
      </c>
      <c r="S60" s="18">
        <v>45966</v>
      </c>
      <c r="T60" s="22">
        <v>1886000</v>
      </c>
      <c r="U60" s="16">
        <v>15</v>
      </c>
      <c r="V60" s="23">
        <v>282900</v>
      </c>
      <c r="W60" s="23">
        <v>1603100</v>
      </c>
      <c r="X60" s="24">
        <v>1.75</v>
      </c>
      <c r="Y60" s="31">
        <v>28054.250000000004</v>
      </c>
      <c r="Z60" s="16"/>
      <c r="AA60" s="16" t="s">
        <v>41</v>
      </c>
      <c r="AB60" s="16">
        <v>1141071585</v>
      </c>
      <c r="AC60" s="25">
        <v>45624</v>
      </c>
      <c r="AD60" s="26" t="s">
        <v>42</v>
      </c>
      <c r="AE60" s="26">
        <v>0</v>
      </c>
      <c r="AF60" s="16" t="s">
        <v>896</v>
      </c>
      <c r="AG60" s="33">
        <v>28054</v>
      </c>
      <c r="AH60" s="36">
        <f t="shared" si="0"/>
        <v>0.25000000000363798</v>
      </c>
    </row>
    <row r="61" spans="1:34" x14ac:dyDescent="0.25">
      <c r="A61" s="16" t="s">
        <v>408</v>
      </c>
      <c r="B61" s="16" t="s">
        <v>903</v>
      </c>
      <c r="C61" s="17">
        <v>45566</v>
      </c>
      <c r="D61" s="16" t="s">
        <v>32</v>
      </c>
      <c r="E61" s="16" t="s">
        <v>904</v>
      </c>
      <c r="F61" s="18">
        <v>45586</v>
      </c>
      <c r="G61" s="18">
        <v>45950</v>
      </c>
      <c r="H61" s="30" t="s">
        <v>905</v>
      </c>
      <c r="I61" s="20" t="s">
        <v>906</v>
      </c>
      <c r="J61" s="27" t="s">
        <v>487</v>
      </c>
      <c r="K61" s="16" t="s">
        <v>907</v>
      </c>
      <c r="L61" s="16">
        <v>239937</v>
      </c>
      <c r="M61" s="16" t="s">
        <v>908</v>
      </c>
      <c r="N61" s="16" t="s">
        <v>903</v>
      </c>
      <c r="O61" s="16" t="s">
        <v>38</v>
      </c>
      <c r="P61" s="16" t="s">
        <v>39</v>
      </c>
      <c r="Q61" s="16" t="s">
        <v>909</v>
      </c>
      <c r="R61" s="18">
        <v>44859</v>
      </c>
      <c r="S61" s="18">
        <v>46696</v>
      </c>
      <c r="T61" s="22">
        <v>2564000</v>
      </c>
      <c r="U61" s="16">
        <v>15</v>
      </c>
      <c r="V61" s="23">
        <v>384600</v>
      </c>
      <c r="W61" s="23">
        <v>2179400</v>
      </c>
      <c r="X61" s="24">
        <v>2</v>
      </c>
      <c r="Y61" s="31">
        <v>43588</v>
      </c>
      <c r="Z61" s="16"/>
      <c r="AA61" s="16" t="s">
        <v>41</v>
      </c>
      <c r="AB61" s="16">
        <v>1141071585</v>
      </c>
      <c r="AC61" s="25">
        <v>45624</v>
      </c>
      <c r="AD61" s="26" t="s">
        <v>42</v>
      </c>
      <c r="AE61" s="26">
        <v>10</v>
      </c>
      <c r="AF61" s="16" t="s">
        <v>904</v>
      </c>
      <c r="AG61" s="33">
        <v>43588</v>
      </c>
      <c r="AH61" s="36">
        <f t="shared" si="0"/>
        <v>0</v>
      </c>
    </row>
    <row r="62" spans="1:34" x14ac:dyDescent="0.25">
      <c r="A62" s="16" t="s">
        <v>408</v>
      </c>
      <c r="B62" s="16" t="s">
        <v>910</v>
      </c>
      <c r="C62" s="17">
        <v>45566</v>
      </c>
      <c r="D62" s="16" t="s">
        <v>32</v>
      </c>
      <c r="E62" s="16" t="s">
        <v>911</v>
      </c>
      <c r="F62" s="18">
        <v>45586</v>
      </c>
      <c r="G62" s="18">
        <v>45950</v>
      </c>
      <c r="H62" s="30" t="s">
        <v>912</v>
      </c>
      <c r="I62" s="20" t="s">
        <v>913</v>
      </c>
      <c r="J62" s="27" t="s">
        <v>487</v>
      </c>
      <c r="K62" s="16" t="s">
        <v>914</v>
      </c>
      <c r="L62" s="16">
        <v>241600</v>
      </c>
      <c r="M62" s="16" t="s">
        <v>915</v>
      </c>
      <c r="N62" s="16" t="s">
        <v>910</v>
      </c>
      <c r="O62" s="16" t="s">
        <v>60</v>
      </c>
      <c r="P62" s="16" t="s">
        <v>114</v>
      </c>
      <c r="Q62" s="16" t="s">
        <v>916</v>
      </c>
      <c r="R62" s="18">
        <v>44860</v>
      </c>
      <c r="S62" s="18">
        <v>46696</v>
      </c>
      <c r="T62" s="22">
        <v>2802000</v>
      </c>
      <c r="U62" s="16">
        <v>15</v>
      </c>
      <c r="V62" s="23">
        <v>420300</v>
      </c>
      <c r="W62" s="23">
        <v>2381700</v>
      </c>
      <c r="X62" s="24">
        <v>2</v>
      </c>
      <c r="Y62" s="31">
        <v>47634</v>
      </c>
      <c r="Z62" s="16"/>
      <c r="AA62" s="16" t="s">
        <v>41</v>
      </c>
      <c r="AB62" s="16">
        <v>1141071585</v>
      </c>
      <c r="AC62" s="25">
        <v>45624</v>
      </c>
      <c r="AD62" s="26" t="s">
        <v>42</v>
      </c>
      <c r="AE62" s="26">
        <v>10</v>
      </c>
      <c r="AF62" s="16" t="s">
        <v>911</v>
      </c>
      <c r="AG62" s="33">
        <v>47634</v>
      </c>
      <c r="AH62" s="36">
        <f t="shared" si="0"/>
        <v>0</v>
      </c>
    </row>
    <row r="63" spans="1:34" x14ac:dyDescent="0.25">
      <c r="A63" s="16" t="s">
        <v>408</v>
      </c>
      <c r="B63" s="16" t="s">
        <v>917</v>
      </c>
      <c r="C63" s="17">
        <v>45566</v>
      </c>
      <c r="D63" s="16" t="s">
        <v>32</v>
      </c>
      <c r="E63" s="16" t="s">
        <v>918</v>
      </c>
      <c r="F63" s="18">
        <v>45586</v>
      </c>
      <c r="G63" s="18">
        <v>45950</v>
      </c>
      <c r="H63" s="30" t="s">
        <v>919</v>
      </c>
      <c r="I63" s="20" t="s">
        <v>920</v>
      </c>
      <c r="J63" s="27" t="s">
        <v>545</v>
      </c>
      <c r="K63" s="16" t="s">
        <v>921</v>
      </c>
      <c r="L63" s="16" t="s">
        <v>922</v>
      </c>
      <c r="M63" s="16" t="s">
        <v>923</v>
      </c>
      <c r="N63" s="16" t="s">
        <v>917</v>
      </c>
      <c r="O63" s="16" t="s">
        <v>60</v>
      </c>
      <c r="P63" s="16" t="s">
        <v>924</v>
      </c>
      <c r="Q63" s="16" t="s">
        <v>925</v>
      </c>
      <c r="R63" s="18">
        <v>44861</v>
      </c>
      <c r="S63" s="18">
        <v>46696</v>
      </c>
      <c r="T63" s="22">
        <v>1675000</v>
      </c>
      <c r="U63" s="16">
        <v>15</v>
      </c>
      <c r="V63" s="23">
        <v>251250</v>
      </c>
      <c r="W63" s="23">
        <v>1423750</v>
      </c>
      <c r="X63" s="24">
        <v>2.5</v>
      </c>
      <c r="Y63" s="31">
        <v>35593.75</v>
      </c>
      <c r="Z63" s="16"/>
      <c r="AA63" s="16" t="s">
        <v>41</v>
      </c>
      <c r="AB63" s="16">
        <v>1141071585</v>
      </c>
      <c r="AC63" s="25">
        <v>45624</v>
      </c>
      <c r="AD63" s="26" t="s">
        <v>42</v>
      </c>
      <c r="AE63" s="26">
        <v>0</v>
      </c>
      <c r="AF63" s="16" t="s">
        <v>918</v>
      </c>
      <c r="AG63" s="33">
        <v>35594</v>
      </c>
      <c r="AH63" s="36">
        <f t="shared" si="0"/>
        <v>-0.25</v>
      </c>
    </row>
    <row r="64" spans="1:34" x14ac:dyDescent="0.25">
      <c r="A64" s="16" t="s">
        <v>408</v>
      </c>
      <c r="B64" s="16" t="s">
        <v>926</v>
      </c>
      <c r="C64" s="17">
        <v>45566</v>
      </c>
      <c r="D64" s="16" t="s">
        <v>32</v>
      </c>
      <c r="E64" s="16" t="s">
        <v>927</v>
      </c>
      <c r="F64" s="18">
        <v>45587</v>
      </c>
      <c r="G64" s="18">
        <v>45951</v>
      </c>
      <c r="H64" s="30" t="s">
        <v>928</v>
      </c>
      <c r="I64" s="20" t="s">
        <v>929</v>
      </c>
      <c r="J64" s="27" t="s">
        <v>441</v>
      </c>
      <c r="K64" s="16" t="s">
        <v>930</v>
      </c>
      <c r="L64" s="16">
        <v>562940</v>
      </c>
      <c r="M64" s="16" t="s">
        <v>931</v>
      </c>
      <c r="N64" s="16" t="s">
        <v>926</v>
      </c>
      <c r="O64" s="16" t="s">
        <v>50</v>
      </c>
      <c r="P64" s="16" t="s">
        <v>106</v>
      </c>
      <c r="Q64" s="16" t="s">
        <v>932</v>
      </c>
      <c r="R64" s="18">
        <v>44132</v>
      </c>
      <c r="S64" s="18">
        <v>46696</v>
      </c>
      <c r="T64" s="22">
        <v>3160000</v>
      </c>
      <c r="U64" s="16">
        <v>25</v>
      </c>
      <c r="V64" s="23">
        <v>790000</v>
      </c>
      <c r="W64" s="23">
        <v>2370000</v>
      </c>
      <c r="X64" s="24">
        <v>2.5</v>
      </c>
      <c r="Y64" s="31">
        <v>59250</v>
      </c>
      <c r="Z64" s="16"/>
      <c r="AA64" s="16" t="s">
        <v>41</v>
      </c>
      <c r="AB64" s="16">
        <v>1141071585</v>
      </c>
      <c r="AC64" s="25">
        <v>45624</v>
      </c>
      <c r="AD64" s="26" t="s">
        <v>42</v>
      </c>
      <c r="AE64" s="26">
        <v>0</v>
      </c>
      <c r="AF64" s="16" t="s">
        <v>927</v>
      </c>
      <c r="AG64" s="33">
        <v>59250</v>
      </c>
      <c r="AH64" s="36">
        <f t="shared" si="0"/>
        <v>0</v>
      </c>
    </row>
    <row r="65" spans="1:34" x14ac:dyDescent="0.25">
      <c r="A65" s="16" t="s">
        <v>408</v>
      </c>
      <c r="B65" s="16" t="s">
        <v>933</v>
      </c>
      <c r="C65" s="17">
        <v>45566</v>
      </c>
      <c r="D65" s="16" t="s">
        <v>32</v>
      </c>
      <c r="E65" s="16" t="s">
        <v>934</v>
      </c>
      <c r="F65" s="18">
        <v>45588</v>
      </c>
      <c r="G65" s="18">
        <v>45952</v>
      </c>
      <c r="H65" s="30" t="s">
        <v>935</v>
      </c>
      <c r="I65" s="20" t="s">
        <v>936</v>
      </c>
      <c r="J65" s="27" t="s">
        <v>468</v>
      </c>
      <c r="K65" s="16" t="s">
        <v>937</v>
      </c>
      <c r="L65" s="16" t="s">
        <v>938</v>
      </c>
      <c r="M65" s="16" t="s">
        <v>939</v>
      </c>
      <c r="N65" s="16" t="s">
        <v>933</v>
      </c>
      <c r="O65" s="16" t="s">
        <v>60</v>
      </c>
      <c r="P65" s="16" t="s">
        <v>61</v>
      </c>
      <c r="Q65" s="16" t="s">
        <v>940</v>
      </c>
      <c r="R65" s="18">
        <v>44132</v>
      </c>
      <c r="S65" s="18">
        <v>45966</v>
      </c>
      <c r="T65" s="22">
        <v>2993000</v>
      </c>
      <c r="U65" s="16">
        <v>25</v>
      </c>
      <c r="V65" s="23">
        <v>748250</v>
      </c>
      <c r="W65" s="23">
        <v>2244750</v>
      </c>
      <c r="X65" s="24">
        <v>2.5</v>
      </c>
      <c r="Y65" s="31">
        <v>56118.75</v>
      </c>
      <c r="Z65" s="16"/>
      <c r="AA65" s="16" t="s">
        <v>41</v>
      </c>
      <c r="AB65" s="16">
        <v>1141071585</v>
      </c>
      <c r="AC65" s="25">
        <v>45624</v>
      </c>
      <c r="AD65" s="26" t="s">
        <v>42</v>
      </c>
      <c r="AE65" s="26">
        <v>0</v>
      </c>
      <c r="AF65" s="16" t="s">
        <v>934</v>
      </c>
      <c r="AG65" s="33">
        <v>56119</v>
      </c>
      <c r="AH65" s="36">
        <f t="shared" si="0"/>
        <v>-0.25</v>
      </c>
    </row>
    <row r="66" spans="1:34" x14ac:dyDescent="0.25">
      <c r="A66" s="16" t="s">
        <v>408</v>
      </c>
      <c r="B66" s="16" t="s">
        <v>941</v>
      </c>
      <c r="C66" s="17">
        <v>45566</v>
      </c>
      <c r="D66" s="16" t="s">
        <v>32</v>
      </c>
      <c r="E66" s="16" t="s">
        <v>942</v>
      </c>
      <c r="F66" s="18">
        <v>45588</v>
      </c>
      <c r="G66" s="18">
        <v>45952</v>
      </c>
      <c r="H66" s="30" t="s">
        <v>943</v>
      </c>
      <c r="I66" s="20" t="s">
        <v>944</v>
      </c>
      <c r="J66" s="27" t="s">
        <v>468</v>
      </c>
      <c r="K66" s="16" t="s">
        <v>945</v>
      </c>
      <c r="L66" s="16" t="s">
        <v>946</v>
      </c>
      <c r="M66" s="16" t="s">
        <v>947</v>
      </c>
      <c r="N66" s="16" t="s">
        <v>941</v>
      </c>
      <c r="O66" s="16" t="s">
        <v>60</v>
      </c>
      <c r="P66" s="16" t="s">
        <v>114</v>
      </c>
      <c r="Q66" s="16" t="s">
        <v>948</v>
      </c>
      <c r="R66" s="18">
        <v>44132</v>
      </c>
      <c r="S66" s="18">
        <v>45966</v>
      </c>
      <c r="T66" s="22">
        <v>2494000</v>
      </c>
      <c r="U66" s="16">
        <v>25</v>
      </c>
      <c r="V66" s="23">
        <v>623500</v>
      </c>
      <c r="W66" s="23">
        <v>1870500</v>
      </c>
      <c r="X66" s="24">
        <v>3.75</v>
      </c>
      <c r="Y66" s="31">
        <v>70143.75</v>
      </c>
      <c r="Z66" s="16"/>
      <c r="AA66" s="16" t="s">
        <v>41</v>
      </c>
      <c r="AB66" s="16">
        <v>1141071585</v>
      </c>
      <c r="AC66" s="25">
        <v>45624</v>
      </c>
      <c r="AD66" s="26" t="s">
        <v>42</v>
      </c>
      <c r="AE66" s="26">
        <v>41</v>
      </c>
      <c r="AF66" s="16" t="s">
        <v>942</v>
      </c>
      <c r="AG66" s="33">
        <v>70144</v>
      </c>
      <c r="AH66" s="36">
        <f t="shared" si="0"/>
        <v>-0.25</v>
      </c>
    </row>
    <row r="67" spans="1:34" x14ac:dyDescent="0.25">
      <c r="A67" s="16" t="s">
        <v>408</v>
      </c>
      <c r="B67" s="16" t="s">
        <v>949</v>
      </c>
      <c r="C67" s="17">
        <v>45566</v>
      </c>
      <c r="D67" s="16" t="s">
        <v>32</v>
      </c>
      <c r="E67" s="16" t="s">
        <v>950</v>
      </c>
      <c r="F67" s="18">
        <v>45589</v>
      </c>
      <c r="G67" s="18">
        <v>45953</v>
      </c>
      <c r="H67" s="30" t="s">
        <v>951</v>
      </c>
      <c r="I67" s="20" t="s">
        <v>952</v>
      </c>
      <c r="J67" s="27" t="s">
        <v>953</v>
      </c>
      <c r="K67" s="16" t="s">
        <v>954</v>
      </c>
      <c r="L67" s="16" t="s">
        <v>955</v>
      </c>
      <c r="M67" s="16" t="s">
        <v>956</v>
      </c>
      <c r="N67" s="16" t="s">
        <v>949</v>
      </c>
      <c r="O67" s="16" t="s">
        <v>60</v>
      </c>
      <c r="P67" s="16" t="s">
        <v>957</v>
      </c>
      <c r="Q67" s="16" t="s">
        <v>958</v>
      </c>
      <c r="R67" s="18">
        <v>44137</v>
      </c>
      <c r="S67" s="18">
        <v>45966</v>
      </c>
      <c r="T67" s="22">
        <v>3922000</v>
      </c>
      <c r="U67" s="16">
        <v>25</v>
      </c>
      <c r="V67" s="23">
        <v>980500</v>
      </c>
      <c r="W67" s="23">
        <v>2941500</v>
      </c>
      <c r="X67" s="24">
        <v>1.5</v>
      </c>
      <c r="Y67" s="31">
        <v>44122.5</v>
      </c>
      <c r="Z67" s="16"/>
      <c r="AA67" s="16" t="s">
        <v>41</v>
      </c>
      <c r="AB67" s="16">
        <v>1141071585</v>
      </c>
      <c r="AC67" s="25">
        <v>45624</v>
      </c>
      <c r="AD67" s="26" t="s">
        <v>42</v>
      </c>
      <c r="AE67" s="26">
        <v>0</v>
      </c>
      <c r="AF67" s="16" t="s">
        <v>950</v>
      </c>
      <c r="AG67" s="33">
        <v>44123</v>
      </c>
      <c r="AH67" s="36">
        <f t="shared" ref="AH67:AH130" si="1">Y67-AG67</f>
        <v>-0.5</v>
      </c>
    </row>
    <row r="68" spans="1:34" x14ac:dyDescent="0.25">
      <c r="A68" s="16" t="s">
        <v>408</v>
      </c>
      <c r="B68" s="16" t="s">
        <v>959</v>
      </c>
      <c r="C68" s="17">
        <v>45566</v>
      </c>
      <c r="D68" s="16" t="s">
        <v>32</v>
      </c>
      <c r="E68" s="16" t="s">
        <v>960</v>
      </c>
      <c r="F68" s="18">
        <v>45589</v>
      </c>
      <c r="G68" s="18">
        <v>45953</v>
      </c>
      <c r="H68" s="30" t="s">
        <v>961</v>
      </c>
      <c r="I68" s="20" t="s">
        <v>962</v>
      </c>
      <c r="J68" s="27" t="s">
        <v>620</v>
      </c>
      <c r="K68" s="16" t="s">
        <v>963</v>
      </c>
      <c r="L68" s="16">
        <v>187778</v>
      </c>
      <c r="M68" s="16" t="s">
        <v>964</v>
      </c>
      <c r="N68" s="16" t="s">
        <v>959</v>
      </c>
      <c r="O68" s="16" t="s">
        <v>60</v>
      </c>
      <c r="P68" s="16" t="s">
        <v>320</v>
      </c>
      <c r="Q68" s="16" t="s">
        <v>965</v>
      </c>
      <c r="R68" s="18">
        <v>44861</v>
      </c>
      <c r="S68" s="18">
        <v>46696</v>
      </c>
      <c r="T68" s="22">
        <v>1950000</v>
      </c>
      <c r="U68" s="16">
        <v>15</v>
      </c>
      <c r="V68" s="23">
        <v>292500</v>
      </c>
      <c r="W68" s="23">
        <v>1657500</v>
      </c>
      <c r="X68" s="24">
        <v>2</v>
      </c>
      <c r="Y68" s="31">
        <v>33150</v>
      </c>
      <c r="Z68" s="16"/>
      <c r="AA68" s="16" t="s">
        <v>41</v>
      </c>
      <c r="AB68" s="16">
        <v>1141071585</v>
      </c>
      <c r="AC68" s="25">
        <v>45624</v>
      </c>
      <c r="AD68" s="26" t="s">
        <v>42</v>
      </c>
      <c r="AE68" s="26">
        <v>10</v>
      </c>
      <c r="AF68" s="16" t="s">
        <v>960</v>
      </c>
      <c r="AG68" s="33">
        <v>33150</v>
      </c>
      <c r="AH68" s="36">
        <f t="shared" si="1"/>
        <v>0</v>
      </c>
    </row>
    <row r="69" spans="1:34" x14ac:dyDescent="0.25">
      <c r="A69" s="16" t="s">
        <v>408</v>
      </c>
      <c r="B69" s="16" t="s">
        <v>966</v>
      </c>
      <c r="C69" s="17">
        <v>45566</v>
      </c>
      <c r="D69" s="16" t="s">
        <v>32</v>
      </c>
      <c r="E69" s="16" t="s">
        <v>967</v>
      </c>
      <c r="F69" s="18">
        <v>45589</v>
      </c>
      <c r="G69" s="18">
        <v>45953</v>
      </c>
      <c r="H69" s="30" t="s">
        <v>968</v>
      </c>
      <c r="I69" s="20" t="s">
        <v>969</v>
      </c>
      <c r="J69" s="27" t="s">
        <v>450</v>
      </c>
      <c r="K69" s="16" t="s">
        <v>970</v>
      </c>
      <c r="L69" s="16">
        <v>286150</v>
      </c>
      <c r="M69" s="16" t="s">
        <v>971</v>
      </c>
      <c r="N69" s="16" t="s">
        <v>966</v>
      </c>
      <c r="O69" s="16" t="s">
        <v>60</v>
      </c>
      <c r="P69" s="16" t="s">
        <v>217</v>
      </c>
      <c r="Q69" s="16" t="s">
        <v>972</v>
      </c>
      <c r="R69" s="18">
        <v>45225</v>
      </c>
      <c r="S69" s="18">
        <v>47063</v>
      </c>
      <c r="T69" s="22">
        <v>2612000</v>
      </c>
      <c r="U69" s="16">
        <v>10</v>
      </c>
      <c r="V69" s="23">
        <v>261200</v>
      </c>
      <c r="W69" s="23">
        <v>2350800</v>
      </c>
      <c r="X69" s="24">
        <v>2</v>
      </c>
      <c r="Y69" s="31">
        <v>47016</v>
      </c>
      <c r="Z69" s="16"/>
      <c r="AA69" s="16" t="s">
        <v>41</v>
      </c>
      <c r="AB69" s="16">
        <v>1141071585</v>
      </c>
      <c r="AC69" s="25">
        <v>45624</v>
      </c>
      <c r="AD69" s="26" t="s">
        <v>42</v>
      </c>
      <c r="AE69" s="26">
        <v>0</v>
      </c>
      <c r="AF69" s="16" t="s">
        <v>967</v>
      </c>
      <c r="AG69" s="33">
        <v>47016</v>
      </c>
      <c r="AH69" s="36">
        <f t="shared" si="1"/>
        <v>0</v>
      </c>
    </row>
    <row r="70" spans="1:34" x14ac:dyDescent="0.25">
      <c r="A70" s="16" t="s">
        <v>408</v>
      </c>
      <c r="B70" s="16" t="s">
        <v>973</v>
      </c>
      <c r="C70" s="17">
        <v>45566</v>
      </c>
      <c r="D70" s="16" t="s">
        <v>32</v>
      </c>
      <c r="E70" s="16" t="s">
        <v>974</v>
      </c>
      <c r="F70" s="18">
        <v>45589</v>
      </c>
      <c r="G70" s="18">
        <v>45953</v>
      </c>
      <c r="H70" s="30" t="s">
        <v>975</v>
      </c>
      <c r="I70" s="20" t="s">
        <v>976</v>
      </c>
      <c r="J70" s="27" t="s">
        <v>487</v>
      </c>
      <c r="K70" s="16" t="s">
        <v>977</v>
      </c>
      <c r="L70" s="16">
        <v>154996</v>
      </c>
      <c r="M70" s="16" t="s">
        <v>978</v>
      </c>
      <c r="N70" s="16" t="s">
        <v>973</v>
      </c>
      <c r="O70" s="16" t="s">
        <v>60</v>
      </c>
      <c r="P70" s="16" t="s">
        <v>114</v>
      </c>
      <c r="Q70" s="16" t="s">
        <v>979</v>
      </c>
      <c r="R70" s="18">
        <v>45226</v>
      </c>
      <c r="S70" s="18">
        <v>47063</v>
      </c>
      <c r="T70" s="22">
        <v>2050000</v>
      </c>
      <c r="U70" s="16">
        <v>10</v>
      </c>
      <c r="V70" s="23">
        <v>205000</v>
      </c>
      <c r="W70" s="23">
        <v>1845000</v>
      </c>
      <c r="X70" s="24">
        <v>2</v>
      </c>
      <c r="Y70" s="31">
        <v>36900</v>
      </c>
      <c r="Z70" s="16"/>
      <c r="AA70" s="16" t="s">
        <v>41</v>
      </c>
      <c r="AB70" s="16">
        <v>1141071585</v>
      </c>
      <c r="AC70" s="25">
        <v>45624</v>
      </c>
      <c r="AD70" s="26" t="s">
        <v>42</v>
      </c>
      <c r="AE70" s="26">
        <v>10</v>
      </c>
      <c r="AF70" s="16" t="s">
        <v>974</v>
      </c>
      <c r="AG70" s="33">
        <v>36900</v>
      </c>
      <c r="AH70" s="36">
        <f t="shared" si="1"/>
        <v>0</v>
      </c>
    </row>
    <row r="71" spans="1:34" x14ac:dyDescent="0.25">
      <c r="A71" s="16" t="s">
        <v>408</v>
      </c>
      <c r="B71" s="16" t="s">
        <v>980</v>
      </c>
      <c r="C71" s="17">
        <v>45566</v>
      </c>
      <c r="D71" s="16" t="s">
        <v>32</v>
      </c>
      <c r="E71" s="16" t="s">
        <v>981</v>
      </c>
      <c r="F71" s="18">
        <v>45589</v>
      </c>
      <c r="G71" s="18">
        <v>45953</v>
      </c>
      <c r="H71" s="30" t="s">
        <v>982</v>
      </c>
      <c r="I71" s="20">
        <v>3540220035277</v>
      </c>
      <c r="J71" s="27" t="s">
        <v>983</v>
      </c>
      <c r="K71" s="16" t="s">
        <v>984</v>
      </c>
      <c r="L71" s="16">
        <v>390552</v>
      </c>
      <c r="M71" s="16" t="s">
        <v>985</v>
      </c>
      <c r="N71" s="16" t="s">
        <v>980</v>
      </c>
      <c r="O71" s="16" t="s">
        <v>60</v>
      </c>
      <c r="P71" s="16" t="s">
        <v>61</v>
      </c>
      <c r="Q71" s="16" t="s">
        <v>986</v>
      </c>
      <c r="R71" s="18">
        <v>45232</v>
      </c>
      <c r="S71" s="18">
        <v>47063</v>
      </c>
      <c r="T71" s="22">
        <v>1856000</v>
      </c>
      <c r="U71" s="16">
        <v>10</v>
      </c>
      <c r="V71" s="23">
        <v>185600</v>
      </c>
      <c r="W71" s="23">
        <v>1670400</v>
      </c>
      <c r="X71" s="24">
        <v>2</v>
      </c>
      <c r="Y71" s="31">
        <v>33408</v>
      </c>
      <c r="Z71" s="16"/>
      <c r="AA71" s="16" t="s">
        <v>41</v>
      </c>
      <c r="AB71" s="16">
        <v>1141071585</v>
      </c>
      <c r="AC71" s="25">
        <v>45624</v>
      </c>
      <c r="AD71" s="26" t="s">
        <v>42</v>
      </c>
      <c r="AE71" s="26">
        <v>0</v>
      </c>
      <c r="AF71" s="16" t="s">
        <v>981</v>
      </c>
      <c r="AG71" s="33">
        <v>33408</v>
      </c>
      <c r="AH71" s="36">
        <f t="shared" si="1"/>
        <v>0</v>
      </c>
    </row>
    <row r="72" spans="1:34" x14ac:dyDescent="0.25">
      <c r="A72" s="16" t="s">
        <v>408</v>
      </c>
      <c r="B72" s="16" t="s">
        <v>987</v>
      </c>
      <c r="C72" s="17">
        <v>45566</v>
      </c>
      <c r="D72" s="16" t="s">
        <v>32</v>
      </c>
      <c r="E72" s="16" t="s">
        <v>988</v>
      </c>
      <c r="F72" s="18">
        <v>45590</v>
      </c>
      <c r="G72" s="18">
        <v>45954</v>
      </c>
      <c r="H72" s="30" t="s">
        <v>989</v>
      </c>
      <c r="I72" s="20" t="s">
        <v>990</v>
      </c>
      <c r="J72" s="27" t="s">
        <v>487</v>
      </c>
      <c r="K72" s="16" t="s">
        <v>991</v>
      </c>
      <c r="L72" s="16">
        <v>222371</v>
      </c>
      <c r="M72" s="16" t="s">
        <v>992</v>
      </c>
      <c r="N72" s="16" t="s">
        <v>987</v>
      </c>
      <c r="O72" s="16" t="s">
        <v>60</v>
      </c>
      <c r="P72" s="16" t="s">
        <v>993</v>
      </c>
      <c r="Q72" s="16" t="s">
        <v>994</v>
      </c>
      <c r="R72" s="18">
        <v>44498</v>
      </c>
      <c r="S72" s="18">
        <v>46331</v>
      </c>
      <c r="T72" s="22">
        <v>1610000</v>
      </c>
      <c r="U72" s="16">
        <v>20</v>
      </c>
      <c r="V72" s="23">
        <v>322000</v>
      </c>
      <c r="W72" s="23">
        <v>1288000</v>
      </c>
      <c r="X72" s="24">
        <v>1.75</v>
      </c>
      <c r="Y72" s="31">
        <v>22540.000000000004</v>
      </c>
      <c r="Z72" s="16"/>
      <c r="AA72" s="16" t="s">
        <v>41</v>
      </c>
      <c r="AB72" s="16">
        <v>1141071585</v>
      </c>
      <c r="AC72" s="25">
        <v>45624</v>
      </c>
      <c r="AD72" s="26" t="s">
        <v>42</v>
      </c>
      <c r="AE72" s="26">
        <v>10</v>
      </c>
      <c r="AF72" s="16" t="s">
        <v>988</v>
      </c>
      <c r="AG72" s="33">
        <v>22540</v>
      </c>
      <c r="AH72" s="36">
        <f t="shared" si="1"/>
        <v>0</v>
      </c>
    </row>
    <row r="73" spans="1:34" x14ac:dyDescent="0.25">
      <c r="A73" s="16" t="s">
        <v>408</v>
      </c>
      <c r="B73" s="16" t="s">
        <v>995</v>
      </c>
      <c r="C73" s="17">
        <v>45566</v>
      </c>
      <c r="D73" s="16" t="s">
        <v>32</v>
      </c>
      <c r="E73" s="16" t="s">
        <v>996</v>
      </c>
      <c r="F73" s="18">
        <v>45590</v>
      </c>
      <c r="G73" s="18">
        <v>45954</v>
      </c>
      <c r="H73" s="30" t="s">
        <v>997</v>
      </c>
      <c r="I73" s="20" t="s">
        <v>998</v>
      </c>
      <c r="J73" s="27" t="s">
        <v>545</v>
      </c>
      <c r="K73" s="16" t="s">
        <v>999</v>
      </c>
      <c r="L73" s="16">
        <v>189004</v>
      </c>
      <c r="M73" s="16" t="s">
        <v>1000</v>
      </c>
      <c r="N73" s="16" t="s">
        <v>995</v>
      </c>
      <c r="O73" s="16" t="s">
        <v>60</v>
      </c>
      <c r="P73" s="16" t="s">
        <v>61</v>
      </c>
      <c r="Q73" s="16" t="s">
        <v>1001</v>
      </c>
      <c r="R73" s="18">
        <v>44498</v>
      </c>
      <c r="S73" s="18">
        <v>46331</v>
      </c>
      <c r="T73" s="22">
        <v>1335000</v>
      </c>
      <c r="U73" s="16">
        <v>20</v>
      </c>
      <c r="V73" s="23">
        <v>267000</v>
      </c>
      <c r="W73" s="23">
        <v>1068000</v>
      </c>
      <c r="X73" s="24">
        <v>1.75</v>
      </c>
      <c r="Y73" s="31">
        <v>18690</v>
      </c>
      <c r="Z73" s="16"/>
      <c r="AA73" s="16" t="s">
        <v>41</v>
      </c>
      <c r="AB73" s="16">
        <v>1141071585</v>
      </c>
      <c r="AC73" s="25">
        <v>45624</v>
      </c>
      <c r="AD73" s="26" t="s">
        <v>42</v>
      </c>
      <c r="AE73" s="26">
        <v>0</v>
      </c>
      <c r="AF73" s="16" t="s">
        <v>996</v>
      </c>
      <c r="AG73" s="33">
        <v>18690</v>
      </c>
      <c r="AH73" s="36">
        <f t="shared" si="1"/>
        <v>0</v>
      </c>
    </row>
    <row r="74" spans="1:34" x14ac:dyDescent="0.25">
      <c r="A74" s="16" t="s">
        <v>408</v>
      </c>
      <c r="B74" s="16" t="s">
        <v>1002</v>
      </c>
      <c r="C74" s="17">
        <v>45566</v>
      </c>
      <c r="D74" s="16" t="s">
        <v>32</v>
      </c>
      <c r="E74" s="16" t="s">
        <v>1003</v>
      </c>
      <c r="F74" s="18">
        <v>45590</v>
      </c>
      <c r="G74" s="18">
        <v>45954</v>
      </c>
      <c r="H74" s="30" t="s">
        <v>1004</v>
      </c>
      <c r="I74" s="20" t="s">
        <v>1005</v>
      </c>
      <c r="J74" s="27" t="s">
        <v>487</v>
      </c>
      <c r="K74" s="16" t="s">
        <v>1006</v>
      </c>
      <c r="L74" s="16" t="s">
        <v>1007</v>
      </c>
      <c r="M74" s="16" t="s">
        <v>1008</v>
      </c>
      <c r="N74" s="16" t="s">
        <v>1002</v>
      </c>
      <c r="O74" s="16" t="s">
        <v>60</v>
      </c>
      <c r="P74" s="16" t="s">
        <v>61</v>
      </c>
      <c r="Q74" s="16" t="s">
        <v>1009</v>
      </c>
      <c r="R74" s="18">
        <v>44861</v>
      </c>
      <c r="S74" s="18">
        <v>46696</v>
      </c>
      <c r="T74" s="22">
        <v>1600000</v>
      </c>
      <c r="U74" s="16">
        <v>15</v>
      </c>
      <c r="V74" s="23">
        <v>240000</v>
      </c>
      <c r="W74" s="23">
        <v>1360000</v>
      </c>
      <c r="X74" s="24">
        <v>2</v>
      </c>
      <c r="Y74" s="31">
        <v>27200</v>
      </c>
      <c r="Z74" s="16"/>
      <c r="AA74" s="16" t="s">
        <v>41</v>
      </c>
      <c r="AB74" s="16">
        <v>1141071585</v>
      </c>
      <c r="AC74" s="25">
        <v>45624</v>
      </c>
      <c r="AD74" s="26" t="s">
        <v>42</v>
      </c>
      <c r="AE74" s="26">
        <v>41</v>
      </c>
      <c r="AF74" s="16" t="s">
        <v>1003</v>
      </c>
      <c r="AG74" s="33">
        <v>27200</v>
      </c>
      <c r="AH74" s="36">
        <f t="shared" si="1"/>
        <v>0</v>
      </c>
    </row>
    <row r="75" spans="1:34" x14ac:dyDescent="0.25">
      <c r="A75" s="16" t="s">
        <v>408</v>
      </c>
      <c r="B75" s="16" t="s">
        <v>1010</v>
      </c>
      <c r="C75" s="17">
        <v>45566</v>
      </c>
      <c r="D75" s="16" t="s">
        <v>32</v>
      </c>
      <c r="E75" s="16" t="s">
        <v>1011</v>
      </c>
      <c r="F75" s="18">
        <v>45590</v>
      </c>
      <c r="G75" s="18">
        <v>45954</v>
      </c>
      <c r="H75" s="30" t="s">
        <v>475</v>
      </c>
      <c r="I75" s="20" t="s">
        <v>1012</v>
      </c>
      <c r="J75" s="27" t="s">
        <v>553</v>
      </c>
      <c r="K75" s="16" t="s">
        <v>1013</v>
      </c>
      <c r="L75" s="16">
        <v>13045866</v>
      </c>
      <c r="M75" s="16" t="s">
        <v>1014</v>
      </c>
      <c r="N75" s="16" t="s">
        <v>1010</v>
      </c>
      <c r="O75" s="16" t="s">
        <v>50</v>
      </c>
      <c r="P75" s="16" t="s">
        <v>51</v>
      </c>
      <c r="Q75" s="16" t="s">
        <v>1015</v>
      </c>
      <c r="R75" s="18">
        <v>44860</v>
      </c>
      <c r="S75" s="18">
        <v>45966</v>
      </c>
      <c r="T75" s="22">
        <v>2030000</v>
      </c>
      <c r="U75" s="16">
        <v>15</v>
      </c>
      <c r="V75" s="23">
        <v>304500</v>
      </c>
      <c r="W75" s="23">
        <v>1725500</v>
      </c>
      <c r="X75" s="24">
        <v>2</v>
      </c>
      <c r="Y75" s="31">
        <v>34510</v>
      </c>
      <c r="Z75" s="16"/>
      <c r="AA75" s="16" t="s">
        <v>41</v>
      </c>
      <c r="AB75" s="16">
        <v>1141071585</v>
      </c>
      <c r="AC75" s="25">
        <v>45624</v>
      </c>
      <c r="AD75" s="26" t="s">
        <v>42</v>
      </c>
      <c r="AE75" s="26">
        <v>0</v>
      </c>
      <c r="AF75" s="16" t="s">
        <v>1011</v>
      </c>
      <c r="AG75" s="33">
        <v>34510</v>
      </c>
      <c r="AH75" s="36">
        <f t="shared" si="1"/>
        <v>0</v>
      </c>
    </row>
    <row r="76" spans="1:34" x14ac:dyDescent="0.25">
      <c r="A76" s="16" t="s">
        <v>408</v>
      </c>
      <c r="B76" s="16" t="s">
        <v>1016</v>
      </c>
      <c r="C76" s="17">
        <v>45566</v>
      </c>
      <c r="D76" s="16" t="s">
        <v>32</v>
      </c>
      <c r="E76" s="16" t="s">
        <v>1017</v>
      </c>
      <c r="F76" s="18">
        <v>45590</v>
      </c>
      <c r="G76" s="18">
        <v>45954</v>
      </c>
      <c r="H76" s="30" t="s">
        <v>1018</v>
      </c>
      <c r="I76" s="20" t="s">
        <v>1019</v>
      </c>
      <c r="J76" s="27" t="s">
        <v>645</v>
      </c>
      <c r="K76" s="16" t="s">
        <v>1020</v>
      </c>
      <c r="L76" s="16">
        <v>285941</v>
      </c>
      <c r="M76" s="16" t="s">
        <v>1021</v>
      </c>
      <c r="N76" s="16" t="s">
        <v>1016</v>
      </c>
      <c r="O76" s="16" t="s">
        <v>60</v>
      </c>
      <c r="P76" s="16" t="s">
        <v>217</v>
      </c>
      <c r="Q76" s="16" t="s">
        <v>1022</v>
      </c>
      <c r="R76" s="18">
        <v>45226</v>
      </c>
      <c r="S76" s="18">
        <v>47063</v>
      </c>
      <c r="T76" s="22">
        <v>2612000</v>
      </c>
      <c r="U76" s="16">
        <v>10</v>
      </c>
      <c r="V76" s="23">
        <v>261200</v>
      </c>
      <c r="W76" s="23">
        <v>2350800</v>
      </c>
      <c r="X76" s="24">
        <v>2</v>
      </c>
      <c r="Y76" s="31">
        <v>47016</v>
      </c>
      <c r="Z76" s="16"/>
      <c r="AA76" s="16" t="s">
        <v>41</v>
      </c>
      <c r="AB76" s="16">
        <v>1141071585</v>
      </c>
      <c r="AC76" s="25">
        <v>45624</v>
      </c>
      <c r="AD76" s="26" t="s">
        <v>42</v>
      </c>
      <c r="AE76" s="26">
        <v>10</v>
      </c>
      <c r="AF76" s="16" t="s">
        <v>1017</v>
      </c>
      <c r="AG76" s="33">
        <v>47016</v>
      </c>
      <c r="AH76" s="36">
        <f t="shared" si="1"/>
        <v>0</v>
      </c>
    </row>
    <row r="77" spans="1:34" x14ac:dyDescent="0.25">
      <c r="A77" s="16" t="s">
        <v>408</v>
      </c>
      <c r="B77" s="16" t="s">
        <v>1023</v>
      </c>
      <c r="C77" s="17">
        <v>45566</v>
      </c>
      <c r="D77" s="16" t="s">
        <v>32</v>
      </c>
      <c r="E77" s="16" t="s">
        <v>1024</v>
      </c>
      <c r="F77" s="18">
        <v>45590</v>
      </c>
      <c r="G77" s="18">
        <v>45954</v>
      </c>
      <c r="H77" s="30" t="s">
        <v>1025</v>
      </c>
      <c r="I77" s="20" t="s">
        <v>1026</v>
      </c>
      <c r="J77" s="27" t="s">
        <v>432</v>
      </c>
      <c r="K77" s="16" t="s">
        <v>1027</v>
      </c>
      <c r="L77" s="16">
        <v>145450</v>
      </c>
      <c r="M77" s="16" t="s">
        <v>1028</v>
      </c>
      <c r="N77" s="16" t="s">
        <v>1023</v>
      </c>
      <c r="O77" s="16" t="s">
        <v>60</v>
      </c>
      <c r="P77" s="16" t="s">
        <v>61</v>
      </c>
      <c r="Q77" s="16" t="s">
        <v>1029</v>
      </c>
      <c r="R77" s="18">
        <v>45226</v>
      </c>
      <c r="S77" s="18">
        <v>47063</v>
      </c>
      <c r="T77" s="22">
        <v>2500000</v>
      </c>
      <c r="U77" s="16">
        <v>10</v>
      </c>
      <c r="V77" s="23">
        <v>250000</v>
      </c>
      <c r="W77" s="23">
        <v>2250000</v>
      </c>
      <c r="X77" s="24">
        <v>2</v>
      </c>
      <c r="Y77" s="31">
        <v>45000</v>
      </c>
      <c r="Z77" s="16"/>
      <c r="AA77" s="16" t="s">
        <v>41</v>
      </c>
      <c r="AB77" s="16">
        <v>1141071585</v>
      </c>
      <c r="AC77" s="25">
        <v>45624</v>
      </c>
      <c r="AD77" s="26" t="s">
        <v>42</v>
      </c>
      <c r="AE77" s="26">
        <v>0</v>
      </c>
      <c r="AF77" s="16" t="s">
        <v>1024</v>
      </c>
      <c r="AG77" s="33">
        <v>45000</v>
      </c>
      <c r="AH77" s="36">
        <f t="shared" si="1"/>
        <v>0</v>
      </c>
    </row>
    <row r="78" spans="1:34" x14ac:dyDescent="0.25">
      <c r="A78" s="16" t="s">
        <v>408</v>
      </c>
      <c r="B78" s="16" t="s">
        <v>1030</v>
      </c>
      <c r="C78" s="17">
        <v>45566</v>
      </c>
      <c r="D78" s="16" t="s">
        <v>32</v>
      </c>
      <c r="E78" s="16" t="s">
        <v>1031</v>
      </c>
      <c r="F78" s="18">
        <v>45590</v>
      </c>
      <c r="G78" s="18">
        <v>45954</v>
      </c>
      <c r="H78" s="30" t="s">
        <v>1032</v>
      </c>
      <c r="I78" s="20" t="s">
        <v>1033</v>
      </c>
      <c r="J78" s="27" t="s">
        <v>1034</v>
      </c>
      <c r="K78" s="16" t="s">
        <v>1035</v>
      </c>
      <c r="L78" s="16">
        <v>79797264</v>
      </c>
      <c r="M78" s="16" t="s">
        <v>1036</v>
      </c>
      <c r="N78" s="16" t="s">
        <v>1030</v>
      </c>
      <c r="O78" s="16" t="s">
        <v>60</v>
      </c>
      <c r="P78" s="16" t="s">
        <v>844</v>
      </c>
      <c r="Q78" s="16" t="s">
        <v>1037</v>
      </c>
      <c r="R78" s="18">
        <v>43767</v>
      </c>
      <c r="S78" s="18">
        <v>46331</v>
      </c>
      <c r="T78" s="22">
        <v>2545000</v>
      </c>
      <c r="U78" s="16">
        <v>30</v>
      </c>
      <c r="V78" s="23">
        <v>763500</v>
      </c>
      <c r="W78" s="23">
        <v>1781500</v>
      </c>
      <c r="X78" s="24">
        <v>3.3</v>
      </c>
      <c r="Y78" s="31">
        <v>58789.5</v>
      </c>
      <c r="Z78" s="16"/>
      <c r="AA78" s="16" t="s">
        <v>41</v>
      </c>
      <c r="AB78" s="16">
        <v>1141071585</v>
      </c>
      <c r="AC78" s="25">
        <v>45624</v>
      </c>
      <c r="AD78" s="26" t="s">
        <v>42</v>
      </c>
      <c r="AE78" s="26">
        <v>41</v>
      </c>
      <c r="AF78" s="16" t="s">
        <v>1031</v>
      </c>
      <c r="AG78" s="33">
        <v>58790</v>
      </c>
      <c r="AH78" s="36">
        <f t="shared" si="1"/>
        <v>-0.5</v>
      </c>
    </row>
    <row r="79" spans="1:34" x14ac:dyDescent="0.25">
      <c r="A79" s="16" t="s">
        <v>408</v>
      </c>
      <c r="B79" s="16" t="s">
        <v>1038</v>
      </c>
      <c r="C79" s="17">
        <v>45566</v>
      </c>
      <c r="D79" s="16" t="s">
        <v>32</v>
      </c>
      <c r="E79" s="16" t="s">
        <v>1039</v>
      </c>
      <c r="F79" s="18">
        <v>45590</v>
      </c>
      <c r="G79" s="18">
        <v>45954</v>
      </c>
      <c r="H79" s="30" t="s">
        <v>1040</v>
      </c>
      <c r="I79" s="20">
        <v>3650295079917</v>
      </c>
      <c r="J79" s="27" t="s">
        <v>1041</v>
      </c>
      <c r="K79" s="16">
        <v>0</v>
      </c>
      <c r="L79" s="16">
        <v>389083</v>
      </c>
      <c r="M79" s="16" t="s">
        <v>1042</v>
      </c>
      <c r="N79" s="16" t="s">
        <v>1038</v>
      </c>
      <c r="O79" s="16" t="s">
        <v>60</v>
      </c>
      <c r="P79" s="16" t="s">
        <v>1043</v>
      </c>
      <c r="Q79" s="16" t="s">
        <v>1044</v>
      </c>
      <c r="R79" s="18">
        <v>45226</v>
      </c>
      <c r="S79" s="18">
        <v>46331</v>
      </c>
      <c r="T79" s="22">
        <v>1856000</v>
      </c>
      <c r="U79" s="16">
        <v>10</v>
      </c>
      <c r="V79" s="23">
        <v>185600</v>
      </c>
      <c r="W79" s="23">
        <v>1670400</v>
      </c>
      <c r="X79" s="24">
        <v>2</v>
      </c>
      <c r="Y79" s="31">
        <v>33408</v>
      </c>
      <c r="Z79" s="16"/>
      <c r="AA79" s="16" t="s">
        <v>41</v>
      </c>
      <c r="AB79" s="16">
        <v>1141071585</v>
      </c>
      <c r="AC79" s="25">
        <v>45624</v>
      </c>
      <c r="AD79" s="26" t="s">
        <v>42</v>
      </c>
      <c r="AE79" s="26">
        <v>0</v>
      </c>
      <c r="AF79" s="16" t="s">
        <v>1039</v>
      </c>
      <c r="AG79" s="33">
        <v>33408</v>
      </c>
      <c r="AH79" s="36">
        <f t="shared" si="1"/>
        <v>0</v>
      </c>
    </row>
    <row r="80" spans="1:34" x14ac:dyDescent="0.25">
      <c r="A80" s="16" t="s">
        <v>408</v>
      </c>
      <c r="B80" s="16" t="s">
        <v>1045</v>
      </c>
      <c r="C80" s="17">
        <v>45566</v>
      </c>
      <c r="D80" s="16" t="s">
        <v>32</v>
      </c>
      <c r="E80" s="16" t="s">
        <v>1046</v>
      </c>
      <c r="F80" s="18">
        <v>45591</v>
      </c>
      <c r="G80" s="18">
        <v>45955</v>
      </c>
      <c r="H80" s="30" t="s">
        <v>1047</v>
      </c>
      <c r="I80" s="20" t="s">
        <v>1048</v>
      </c>
      <c r="J80" s="27" t="s">
        <v>1049</v>
      </c>
      <c r="K80" s="16" t="s">
        <v>1050</v>
      </c>
      <c r="L80" s="16">
        <v>1008762</v>
      </c>
      <c r="M80" s="16" t="s">
        <v>1051</v>
      </c>
      <c r="N80" s="16" t="s">
        <v>1045</v>
      </c>
      <c r="O80" s="16" t="s">
        <v>60</v>
      </c>
      <c r="P80" s="16" t="s">
        <v>61</v>
      </c>
      <c r="Q80" s="16" t="s">
        <v>1052</v>
      </c>
      <c r="R80" s="18">
        <v>44862</v>
      </c>
      <c r="S80" s="18">
        <v>45966</v>
      </c>
      <c r="T80" s="22">
        <v>3755000</v>
      </c>
      <c r="U80" s="16">
        <v>15</v>
      </c>
      <c r="V80" s="23">
        <v>563250</v>
      </c>
      <c r="W80" s="23">
        <v>3191750</v>
      </c>
      <c r="X80" s="24">
        <v>1.5</v>
      </c>
      <c r="Y80" s="31">
        <v>47876.25</v>
      </c>
      <c r="Z80" s="16"/>
      <c r="AA80" s="16" t="s">
        <v>41</v>
      </c>
      <c r="AB80" s="16">
        <v>1141071585</v>
      </c>
      <c r="AC80" s="25">
        <v>45624</v>
      </c>
      <c r="AD80" s="26" t="s">
        <v>42</v>
      </c>
      <c r="AE80" s="26">
        <v>10</v>
      </c>
      <c r="AF80" s="16" t="s">
        <v>1046</v>
      </c>
      <c r="AG80" s="33">
        <v>47876</v>
      </c>
      <c r="AH80" s="36">
        <f t="shared" si="1"/>
        <v>0.25</v>
      </c>
    </row>
    <row r="81" spans="1:34" x14ac:dyDescent="0.25">
      <c r="A81" s="16" t="s">
        <v>408</v>
      </c>
      <c r="B81" s="16" t="s">
        <v>1053</v>
      </c>
      <c r="C81" s="17">
        <v>45566</v>
      </c>
      <c r="D81" s="16" t="s">
        <v>32</v>
      </c>
      <c r="E81" s="16" t="s">
        <v>1054</v>
      </c>
      <c r="F81" s="18">
        <v>45591</v>
      </c>
      <c r="G81" s="18">
        <v>45955</v>
      </c>
      <c r="H81" s="30" t="s">
        <v>1055</v>
      </c>
      <c r="I81" s="20" t="s">
        <v>1056</v>
      </c>
      <c r="J81" s="27" t="s">
        <v>545</v>
      </c>
      <c r="K81" s="16" t="s">
        <v>1057</v>
      </c>
      <c r="L81" s="16">
        <v>189126</v>
      </c>
      <c r="M81" s="16" t="s">
        <v>1058</v>
      </c>
      <c r="N81" s="16" t="s">
        <v>1053</v>
      </c>
      <c r="O81" s="16" t="s">
        <v>60</v>
      </c>
      <c r="P81" s="16" t="s">
        <v>61</v>
      </c>
      <c r="Q81" s="16" t="s">
        <v>1059</v>
      </c>
      <c r="R81" s="18">
        <v>44498</v>
      </c>
      <c r="S81" s="18">
        <v>46331</v>
      </c>
      <c r="T81" s="22">
        <v>1335000</v>
      </c>
      <c r="U81" s="16">
        <v>20</v>
      </c>
      <c r="V81" s="23">
        <v>267000</v>
      </c>
      <c r="W81" s="23">
        <v>1068000</v>
      </c>
      <c r="X81" s="24">
        <v>1.75</v>
      </c>
      <c r="Y81" s="31">
        <v>18690</v>
      </c>
      <c r="Z81" s="16"/>
      <c r="AA81" s="16" t="s">
        <v>41</v>
      </c>
      <c r="AB81" s="16">
        <v>1141071585</v>
      </c>
      <c r="AC81" s="25">
        <v>45624</v>
      </c>
      <c r="AD81" s="26" t="s">
        <v>42</v>
      </c>
      <c r="AE81" s="26">
        <v>0</v>
      </c>
      <c r="AF81" s="16" t="s">
        <v>1054</v>
      </c>
      <c r="AG81" s="33">
        <v>18690</v>
      </c>
      <c r="AH81" s="36">
        <f t="shared" si="1"/>
        <v>0</v>
      </c>
    </row>
    <row r="82" spans="1:34" x14ac:dyDescent="0.25">
      <c r="A82" s="16" t="s">
        <v>408</v>
      </c>
      <c r="B82" s="16" t="s">
        <v>1060</v>
      </c>
      <c r="C82" s="17">
        <v>45566</v>
      </c>
      <c r="D82" s="16" t="s">
        <v>32</v>
      </c>
      <c r="E82" s="16" t="s">
        <v>1061</v>
      </c>
      <c r="F82" s="18">
        <v>45591</v>
      </c>
      <c r="G82" s="18">
        <v>45955</v>
      </c>
      <c r="H82" s="30" t="s">
        <v>1062</v>
      </c>
      <c r="I82" s="20" t="s">
        <v>1063</v>
      </c>
      <c r="J82" s="27" t="s">
        <v>645</v>
      </c>
      <c r="K82" s="16" t="s">
        <v>1064</v>
      </c>
      <c r="L82" s="16" t="s">
        <v>1065</v>
      </c>
      <c r="M82" s="16" t="s">
        <v>1066</v>
      </c>
      <c r="N82" s="16" t="s">
        <v>1060</v>
      </c>
      <c r="O82" s="16" t="s">
        <v>60</v>
      </c>
      <c r="P82" s="16" t="s">
        <v>61</v>
      </c>
      <c r="Q82" s="16" t="s">
        <v>1067</v>
      </c>
      <c r="R82" s="18">
        <v>45229</v>
      </c>
      <c r="S82" s="18">
        <v>47063</v>
      </c>
      <c r="T82" s="22">
        <v>2300000</v>
      </c>
      <c r="U82" s="16">
        <v>10</v>
      </c>
      <c r="V82" s="23">
        <v>230000</v>
      </c>
      <c r="W82" s="23">
        <v>2070000</v>
      </c>
      <c r="X82" s="24">
        <v>2</v>
      </c>
      <c r="Y82" s="31">
        <v>41400</v>
      </c>
      <c r="Z82" s="16"/>
      <c r="AA82" s="16" t="s">
        <v>41</v>
      </c>
      <c r="AB82" s="16">
        <v>1141071585</v>
      </c>
      <c r="AC82" s="25">
        <v>45624</v>
      </c>
      <c r="AD82" s="26" t="s">
        <v>42</v>
      </c>
      <c r="AE82" s="26">
        <v>10</v>
      </c>
      <c r="AF82" s="16" t="s">
        <v>1061</v>
      </c>
      <c r="AG82" s="33">
        <v>41400</v>
      </c>
      <c r="AH82" s="36">
        <f t="shared" si="1"/>
        <v>0</v>
      </c>
    </row>
    <row r="83" spans="1:34" x14ac:dyDescent="0.25">
      <c r="A83" s="16" t="s">
        <v>408</v>
      </c>
      <c r="B83" s="16" t="s">
        <v>1068</v>
      </c>
      <c r="C83" s="17">
        <v>45566</v>
      </c>
      <c r="D83" s="16" t="s">
        <v>32</v>
      </c>
      <c r="E83" s="16" t="s">
        <v>1069</v>
      </c>
      <c r="F83" s="18">
        <v>45591</v>
      </c>
      <c r="G83" s="18">
        <v>45955</v>
      </c>
      <c r="H83" s="30" t="s">
        <v>1070</v>
      </c>
      <c r="I83" s="20" t="s">
        <v>1071</v>
      </c>
      <c r="J83" s="27" t="s">
        <v>450</v>
      </c>
      <c r="K83" s="16" t="s">
        <v>1072</v>
      </c>
      <c r="L83" s="16" t="s">
        <v>1073</v>
      </c>
      <c r="M83" s="16" t="s">
        <v>1074</v>
      </c>
      <c r="N83" s="16" t="s">
        <v>1068</v>
      </c>
      <c r="O83" s="16" t="s">
        <v>60</v>
      </c>
      <c r="P83" s="16" t="s">
        <v>1075</v>
      </c>
      <c r="Q83" s="16" t="s">
        <v>1076</v>
      </c>
      <c r="R83" s="18">
        <v>44873</v>
      </c>
      <c r="S83" s="18">
        <v>46696</v>
      </c>
      <c r="T83" s="22">
        <v>1675000</v>
      </c>
      <c r="U83" s="16">
        <v>15</v>
      </c>
      <c r="V83" s="23">
        <v>251250</v>
      </c>
      <c r="W83" s="23">
        <v>1423750</v>
      </c>
      <c r="X83" s="24">
        <v>2.5</v>
      </c>
      <c r="Y83" s="31">
        <v>35593.75</v>
      </c>
      <c r="Z83" s="16"/>
      <c r="AA83" s="16" t="s">
        <v>41</v>
      </c>
      <c r="AB83" s="16">
        <v>1141071585</v>
      </c>
      <c r="AC83" s="25">
        <v>45624</v>
      </c>
      <c r="AD83" s="26" t="s">
        <v>42</v>
      </c>
      <c r="AE83" s="26">
        <v>10</v>
      </c>
      <c r="AF83" s="16" t="s">
        <v>1069</v>
      </c>
      <c r="AG83" s="33">
        <v>35594</v>
      </c>
      <c r="AH83" s="36">
        <f t="shared" si="1"/>
        <v>-0.25</v>
      </c>
    </row>
    <row r="84" spans="1:34" x14ac:dyDescent="0.25">
      <c r="A84" s="16" t="s">
        <v>408</v>
      </c>
      <c r="B84" s="16" t="s">
        <v>1077</v>
      </c>
      <c r="C84" s="17">
        <v>45566</v>
      </c>
      <c r="D84" s="16" t="s">
        <v>32</v>
      </c>
      <c r="E84" s="16" t="s">
        <v>1078</v>
      </c>
      <c r="F84" s="18">
        <v>45592</v>
      </c>
      <c r="G84" s="18">
        <v>45956</v>
      </c>
      <c r="H84" s="30" t="s">
        <v>1079</v>
      </c>
      <c r="I84" s="20" t="s">
        <v>1080</v>
      </c>
      <c r="J84" s="27" t="s">
        <v>1081</v>
      </c>
      <c r="K84" s="16" t="s">
        <v>1082</v>
      </c>
      <c r="L84" s="16">
        <v>323755</v>
      </c>
      <c r="M84" s="16" t="s">
        <v>1083</v>
      </c>
      <c r="N84" s="16" t="s">
        <v>1077</v>
      </c>
      <c r="O84" s="16" t="s">
        <v>60</v>
      </c>
      <c r="P84" s="16" t="s">
        <v>61</v>
      </c>
      <c r="Q84" s="16" t="s">
        <v>1084</v>
      </c>
      <c r="R84" s="18">
        <v>44141</v>
      </c>
      <c r="S84" s="18">
        <v>45966</v>
      </c>
      <c r="T84" s="22">
        <v>5430000</v>
      </c>
      <c r="U84" s="16">
        <v>25</v>
      </c>
      <c r="V84" s="23">
        <v>1357500</v>
      </c>
      <c r="W84" s="23">
        <v>4072500</v>
      </c>
      <c r="X84" s="24">
        <v>1.5</v>
      </c>
      <c r="Y84" s="31">
        <v>61087.5</v>
      </c>
      <c r="Z84" s="16"/>
      <c r="AA84" s="16" t="s">
        <v>41</v>
      </c>
      <c r="AB84" s="16">
        <v>1141071585</v>
      </c>
      <c r="AC84" s="25">
        <v>45624</v>
      </c>
      <c r="AD84" s="26" t="s">
        <v>42</v>
      </c>
      <c r="AE84" s="26">
        <v>10</v>
      </c>
      <c r="AF84" s="16" t="s">
        <v>1078</v>
      </c>
      <c r="AG84" s="33">
        <v>61088</v>
      </c>
      <c r="AH84" s="36">
        <f t="shared" si="1"/>
        <v>-0.5</v>
      </c>
    </row>
    <row r="85" spans="1:34" x14ac:dyDescent="0.25">
      <c r="A85" s="16" t="s">
        <v>408</v>
      </c>
      <c r="B85" s="16" t="s">
        <v>1085</v>
      </c>
      <c r="C85" s="17">
        <v>45566</v>
      </c>
      <c r="D85" s="16" t="s">
        <v>32</v>
      </c>
      <c r="E85" s="16" t="s">
        <v>1086</v>
      </c>
      <c r="F85" s="18">
        <v>45592</v>
      </c>
      <c r="G85" s="18">
        <v>45956</v>
      </c>
      <c r="H85" s="30" t="s">
        <v>1087</v>
      </c>
      <c r="I85" s="20" t="s">
        <v>1088</v>
      </c>
      <c r="J85" s="27" t="s">
        <v>1089</v>
      </c>
      <c r="K85" s="16" t="s">
        <v>1090</v>
      </c>
      <c r="L85" s="16">
        <v>14802967</v>
      </c>
      <c r="M85" s="16" t="s">
        <v>1091</v>
      </c>
      <c r="N85" s="16" t="s">
        <v>1085</v>
      </c>
      <c r="O85" s="16" t="s">
        <v>50</v>
      </c>
      <c r="P85" s="16" t="s">
        <v>51</v>
      </c>
      <c r="Q85" s="16" t="s">
        <v>1092</v>
      </c>
      <c r="R85" s="18">
        <v>44131</v>
      </c>
      <c r="S85" s="18">
        <v>46696</v>
      </c>
      <c r="T85" s="22">
        <v>3497000</v>
      </c>
      <c r="U85" s="16">
        <v>25</v>
      </c>
      <c r="V85" s="23">
        <v>874250</v>
      </c>
      <c r="W85" s="23">
        <v>2622750</v>
      </c>
      <c r="X85" s="24">
        <v>1.5</v>
      </c>
      <c r="Y85" s="31">
        <v>39341.25</v>
      </c>
      <c r="Z85" s="16"/>
      <c r="AA85" s="16" t="s">
        <v>41</v>
      </c>
      <c r="AB85" s="16">
        <v>1141071585</v>
      </c>
      <c r="AC85" s="25">
        <v>45624</v>
      </c>
      <c r="AD85" s="26" t="s">
        <v>42</v>
      </c>
      <c r="AE85" s="26">
        <v>10</v>
      </c>
      <c r="AF85" s="16" t="s">
        <v>1086</v>
      </c>
      <c r="AG85" s="33">
        <v>39341</v>
      </c>
      <c r="AH85" s="36">
        <f t="shared" si="1"/>
        <v>0.25</v>
      </c>
    </row>
    <row r="86" spans="1:34" x14ac:dyDescent="0.25">
      <c r="A86" s="16" t="s">
        <v>408</v>
      </c>
      <c r="B86" s="16" t="s">
        <v>1093</v>
      </c>
      <c r="C86" s="17">
        <v>45566</v>
      </c>
      <c r="D86" s="16" t="s">
        <v>32</v>
      </c>
      <c r="E86" s="16" t="s">
        <v>1094</v>
      </c>
      <c r="F86" s="18">
        <v>45592</v>
      </c>
      <c r="G86" s="18">
        <v>45956</v>
      </c>
      <c r="H86" s="30" t="s">
        <v>1095</v>
      </c>
      <c r="I86" s="20" t="s">
        <v>1096</v>
      </c>
      <c r="J86" s="27" t="s">
        <v>645</v>
      </c>
      <c r="K86" s="16" t="s">
        <v>1097</v>
      </c>
      <c r="L86" s="16">
        <v>143040</v>
      </c>
      <c r="M86" s="16" t="s">
        <v>1098</v>
      </c>
      <c r="N86" s="16" t="s">
        <v>1093</v>
      </c>
      <c r="O86" s="16" t="s">
        <v>38</v>
      </c>
      <c r="P86" s="16" t="s">
        <v>39</v>
      </c>
      <c r="Q86" s="16" t="s">
        <v>1099</v>
      </c>
      <c r="R86" s="18">
        <v>44137</v>
      </c>
      <c r="S86" s="18">
        <v>45966</v>
      </c>
      <c r="T86" s="22">
        <v>1433000</v>
      </c>
      <c r="U86" s="16">
        <v>25</v>
      </c>
      <c r="V86" s="23">
        <v>358250</v>
      </c>
      <c r="W86" s="23">
        <v>1074750</v>
      </c>
      <c r="X86" s="24">
        <v>1.5</v>
      </c>
      <c r="Y86" s="31">
        <v>16121.25</v>
      </c>
      <c r="Z86" s="16"/>
      <c r="AA86" s="16" t="s">
        <v>41</v>
      </c>
      <c r="AB86" s="16">
        <v>1141071585</v>
      </c>
      <c r="AC86" s="25">
        <v>45624</v>
      </c>
      <c r="AD86" s="26" t="s">
        <v>42</v>
      </c>
      <c r="AE86" s="26">
        <v>0</v>
      </c>
      <c r="AF86" s="16" t="s">
        <v>1094</v>
      </c>
      <c r="AG86" s="33">
        <v>16121</v>
      </c>
      <c r="AH86" s="36">
        <f t="shared" si="1"/>
        <v>0.25</v>
      </c>
    </row>
    <row r="87" spans="1:34" x14ac:dyDescent="0.25">
      <c r="A87" s="16" t="s">
        <v>408</v>
      </c>
      <c r="B87" s="16" t="s">
        <v>1100</v>
      </c>
      <c r="C87" s="17">
        <v>45566</v>
      </c>
      <c r="D87" s="16" t="s">
        <v>32</v>
      </c>
      <c r="E87" s="16" t="s">
        <v>1101</v>
      </c>
      <c r="F87" s="18">
        <v>45592</v>
      </c>
      <c r="G87" s="18">
        <v>45956</v>
      </c>
      <c r="H87" s="30" t="s">
        <v>1102</v>
      </c>
      <c r="I87" s="20" t="s">
        <v>1103</v>
      </c>
      <c r="J87" s="27" t="s">
        <v>1104</v>
      </c>
      <c r="K87" s="16" t="s">
        <v>1105</v>
      </c>
      <c r="L87" s="16">
        <v>13502119</v>
      </c>
      <c r="M87" s="16" t="s">
        <v>1106</v>
      </c>
      <c r="N87" s="16" t="s">
        <v>1100</v>
      </c>
      <c r="O87" s="16" t="s">
        <v>60</v>
      </c>
      <c r="P87" s="16" t="s">
        <v>61</v>
      </c>
      <c r="Q87" s="16" t="s">
        <v>1107</v>
      </c>
      <c r="R87" s="18">
        <v>45229</v>
      </c>
      <c r="S87" s="18">
        <v>46331</v>
      </c>
      <c r="T87" s="22">
        <v>4200000</v>
      </c>
      <c r="U87" s="16">
        <v>10</v>
      </c>
      <c r="V87" s="23">
        <v>420000</v>
      </c>
      <c r="W87" s="23">
        <v>3780000</v>
      </c>
      <c r="X87" s="24">
        <v>1.5</v>
      </c>
      <c r="Y87" s="31">
        <v>56700</v>
      </c>
      <c r="Z87" s="16"/>
      <c r="AA87" s="16" t="s">
        <v>41</v>
      </c>
      <c r="AB87" s="16">
        <v>1141071585</v>
      </c>
      <c r="AC87" s="25">
        <v>45624</v>
      </c>
      <c r="AD87" s="26" t="s">
        <v>42</v>
      </c>
      <c r="AE87" s="26">
        <v>0</v>
      </c>
      <c r="AF87" s="16" t="s">
        <v>1101</v>
      </c>
      <c r="AG87" s="33">
        <v>56700</v>
      </c>
      <c r="AH87" s="36">
        <f t="shared" si="1"/>
        <v>0</v>
      </c>
    </row>
    <row r="88" spans="1:34" x14ac:dyDescent="0.25">
      <c r="A88" s="16" t="s">
        <v>408</v>
      </c>
      <c r="B88" s="16" t="s">
        <v>1108</v>
      </c>
      <c r="C88" s="17">
        <v>45566</v>
      </c>
      <c r="D88" s="16" t="s">
        <v>32</v>
      </c>
      <c r="E88" s="16" t="s">
        <v>1109</v>
      </c>
      <c r="F88" s="18">
        <v>45592</v>
      </c>
      <c r="G88" s="18">
        <v>45956</v>
      </c>
      <c r="H88" s="30" t="s">
        <v>1110</v>
      </c>
      <c r="I88" s="20" t="s">
        <v>1111</v>
      </c>
      <c r="J88" s="27" t="s">
        <v>1112</v>
      </c>
      <c r="K88" s="16" t="s">
        <v>1113</v>
      </c>
      <c r="L88" s="16" t="s">
        <v>1114</v>
      </c>
      <c r="M88" s="16" t="s">
        <v>1115</v>
      </c>
      <c r="N88" s="16" t="s">
        <v>1108</v>
      </c>
      <c r="O88" s="16" t="s">
        <v>60</v>
      </c>
      <c r="P88" s="16" t="s">
        <v>61</v>
      </c>
      <c r="Q88" s="16" t="s">
        <v>1116</v>
      </c>
      <c r="R88" s="18">
        <v>45230</v>
      </c>
      <c r="S88" s="18">
        <v>46331</v>
      </c>
      <c r="T88" s="22">
        <v>4200000</v>
      </c>
      <c r="U88" s="16">
        <v>10</v>
      </c>
      <c r="V88" s="23">
        <v>420000</v>
      </c>
      <c r="W88" s="23">
        <v>3780000</v>
      </c>
      <c r="X88" s="24">
        <v>1.5</v>
      </c>
      <c r="Y88" s="31">
        <v>56700</v>
      </c>
      <c r="Z88" s="16"/>
      <c r="AA88" s="16" t="s">
        <v>41</v>
      </c>
      <c r="AB88" s="16">
        <v>1141071585</v>
      </c>
      <c r="AC88" s="25">
        <v>45624</v>
      </c>
      <c r="AD88" s="26" t="s">
        <v>42</v>
      </c>
      <c r="AE88" s="26">
        <v>10</v>
      </c>
      <c r="AF88" s="16" t="s">
        <v>1109</v>
      </c>
      <c r="AG88" s="33">
        <v>56700</v>
      </c>
      <c r="AH88" s="36">
        <f t="shared" si="1"/>
        <v>0</v>
      </c>
    </row>
    <row r="89" spans="1:34" x14ac:dyDescent="0.25">
      <c r="A89" s="16" t="s">
        <v>408</v>
      </c>
      <c r="B89" s="16" t="s">
        <v>1117</v>
      </c>
      <c r="C89" s="17">
        <v>45566</v>
      </c>
      <c r="D89" s="16" t="s">
        <v>32</v>
      </c>
      <c r="E89" s="16" t="s">
        <v>1118</v>
      </c>
      <c r="F89" s="18">
        <v>45592</v>
      </c>
      <c r="G89" s="18">
        <v>45956</v>
      </c>
      <c r="H89" s="30" t="s">
        <v>1119</v>
      </c>
      <c r="I89" s="20" t="s">
        <v>1120</v>
      </c>
      <c r="J89" s="27" t="s">
        <v>487</v>
      </c>
      <c r="K89" s="16" t="s">
        <v>1121</v>
      </c>
      <c r="L89" s="16">
        <v>222168</v>
      </c>
      <c r="M89" s="16" t="s">
        <v>1122</v>
      </c>
      <c r="N89" s="16" t="s">
        <v>1117</v>
      </c>
      <c r="O89" s="16" t="s">
        <v>60</v>
      </c>
      <c r="P89" s="16" t="s">
        <v>61</v>
      </c>
      <c r="Q89" s="16" t="s">
        <v>1123</v>
      </c>
      <c r="R89" s="18">
        <v>44498</v>
      </c>
      <c r="S89" s="18">
        <v>47063</v>
      </c>
      <c r="T89" s="22">
        <v>1610000</v>
      </c>
      <c r="U89" s="16">
        <v>20</v>
      </c>
      <c r="V89" s="23">
        <v>322000</v>
      </c>
      <c r="W89" s="23">
        <v>1288000</v>
      </c>
      <c r="X89" s="24">
        <v>1.75</v>
      </c>
      <c r="Y89" s="31">
        <v>22540.000000000004</v>
      </c>
      <c r="Z89" s="16"/>
      <c r="AA89" s="16" t="s">
        <v>41</v>
      </c>
      <c r="AB89" s="16">
        <v>1141071585</v>
      </c>
      <c r="AC89" s="25">
        <v>45624</v>
      </c>
      <c r="AD89" s="26" t="s">
        <v>42</v>
      </c>
      <c r="AE89" s="26">
        <v>0</v>
      </c>
      <c r="AF89" s="16" t="s">
        <v>1118</v>
      </c>
      <c r="AG89" s="33">
        <v>22540</v>
      </c>
      <c r="AH89" s="36">
        <f t="shared" si="1"/>
        <v>0</v>
      </c>
    </row>
    <row r="90" spans="1:34" x14ac:dyDescent="0.25">
      <c r="A90" s="16" t="s">
        <v>408</v>
      </c>
      <c r="B90" s="16" t="s">
        <v>1124</v>
      </c>
      <c r="C90" s="17">
        <v>45566</v>
      </c>
      <c r="D90" s="16" t="s">
        <v>32</v>
      </c>
      <c r="E90" s="16" t="s">
        <v>1125</v>
      </c>
      <c r="F90" s="18">
        <v>45592</v>
      </c>
      <c r="G90" s="18">
        <v>45956</v>
      </c>
      <c r="H90" s="30" t="s">
        <v>1126</v>
      </c>
      <c r="I90" s="20" t="s">
        <v>1127</v>
      </c>
      <c r="J90" s="27" t="s">
        <v>450</v>
      </c>
      <c r="K90" s="16" t="s">
        <v>1128</v>
      </c>
      <c r="L90" s="16">
        <v>204212</v>
      </c>
      <c r="M90" s="16" t="s">
        <v>1129</v>
      </c>
      <c r="N90" s="16" t="s">
        <v>1124</v>
      </c>
      <c r="O90" s="16" t="s">
        <v>60</v>
      </c>
      <c r="P90" s="16" t="s">
        <v>61</v>
      </c>
      <c r="Q90" s="16" t="s">
        <v>1130</v>
      </c>
      <c r="R90" s="18">
        <v>44865</v>
      </c>
      <c r="S90" s="18">
        <v>46696</v>
      </c>
      <c r="T90" s="22">
        <v>1975000</v>
      </c>
      <c r="U90" s="16">
        <v>15</v>
      </c>
      <c r="V90" s="23">
        <v>296250</v>
      </c>
      <c r="W90" s="23">
        <v>1678750</v>
      </c>
      <c r="X90" s="24">
        <v>2</v>
      </c>
      <c r="Y90" s="31">
        <v>33575</v>
      </c>
      <c r="Z90" s="16"/>
      <c r="AA90" s="16" t="s">
        <v>41</v>
      </c>
      <c r="AB90" s="16">
        <v>1141071585</v>
      </c>
      <c r="AC90" s="25">
        <v>45624</v>
      </c>
      <c r="AD90" s="26" t="s">
        <v>42</v>
      </c>
      <c r="AE90" s="26">
        <v>0</v>
      </c>
      <c r="AF90" s="16" t="s">
        <v>1125</v>
      </c>
      <c r="AG90" s="33">
        <v>33575</v>
      </c>
      <c r="AH90" s="36">
        <f t="shared" si="1"/>
        <v>0</v>
      </c>
    </row>
    <row r="91" spans="1:34" x14ac:dyDescent="0.25">
      <c r="A91" s="16" t="s">
        <v>408</v>
      </c>
      <c r="B91" s="16" t="s">
        <v>1131</v>
      </c>
      <c r="C91" s="17">
        <v>45566</v>
      </c>
      <c r="D91" s="16" t="s">
        <v>32</v>
      </c>
      <c r="E91" s="16" t="s">
        <v>1132</v>
      </c>
      <c r="F91" s="18">
        <v>45592</v>
      </c>
      <c r="G91" s="18">
        <v>45956</v>
      </c>
      <c r="H91" s="30" t="s">
        <v>1133</v>
      </c>
      <c r="I91" s="20" t="s">
        <v>1134</v>
      </c>
      <c r="J91" s="27" t="s">
        <v>620</v>
      </c>
      <c r="K91" s="16" t="s">
        <v>1135</v>
      </c>
      <c r="L91" s="16">
        <v>142899</v>
      </c>
      <c r="M91" s="16" t="s">
        <v>1136</v>
      </c>
      <c r="N91" s="16" t="s">
        <v>1131</v>
      </c>
      <c r="O91" s="16" t="s">
        <v>60</v>
      </c>
      <c r="P91" s="16" t="s">
        <v>61</v>
      </c>
      <c r="Q91" s="16" t="s">
        <v>1137</v>
      </c>
      <c r="R91" s="18">
        <v>44862</v>
      </c>
      <c r="S91" s="18">
        <v>45966</v>
      </c>
      <c r="T91" s="22">
        <v>1775000</v>
      </c>
      <c r="U91" s="16">
        <v>15</v>
      </c>
      <c r="V91" s="23">
        <v>266250</v>
      </c>
      <c r="W91" s="23">
        <v>1508750</v>
      </c>
      <c r="X91" s="24">
        <v>2</v>
      </c>
      <c r="Y91" s="31">
        <v>30175</v>
      </c>
      <c r="Z91" s="16"/>
      <c r="AA91" s="16" t="s">
        <v>41</v>
      </c>
      <c r="AB91" s="16">
        <v>1141071585</v>
      </c>
      <c r="AC91" s="25">
        <v>45624</v>
      </c>
      <c r="AD91" s="26" t="s">
        <v>42</v>
      </c>
      <c r="AE91" s="26">
        <v>0</v>
      </c>
      <c r="AF91" s="16" t="s">
        <v>1132</v>
      </c>
      <c r="AG91" s="33">
        <v>30175</v>
      </c>
      <c r="AH91" s="36">
        <f t="shared" si="1"/>
        <v>0</v>
      </c>
    </row>
    <row r="92" spans="1:34" x14ac:dyDescent="0.25">
      <c r="A92" s="16" t="s">
        <v>408</v>
      </c>
      <c r="B92" s="16" t="s">
        <v>1138</v>
      </c>
      <c r="C92" s="17">
        <v>45566</v>
      </c>
      <c r="D92" s="16" t="s">
        <v>32</v>
      </c>
      <c r="E92" s="16" t="s">
        <v>1139</v>
      </c>
      <c r="F92" s="18">
        <v>45592</v>
      </c>
      <c r="G92" s="18">
        <v>45956</v>
      </c>
      <c r="H92" s="30" t="s">
        <v>1140</v>
      </c>
      <c r="I92" s="20" t="s">
        <v>1141</v>
      </c>
      <c r="J92" s="27" t="s">
        <v>495</v>
      </c>
      <c r="K92" s="16" t="s">
        <v>1142</v>
      </c>
      <c r="L92" s="16" t="s">
        <v>1143</v>
      </c>
      <c r="M92" s="16" t="s">
        <v>1144</v>
      </c>
      <c r="N92" s="16" t="s">
        <v>1138</v>
      </c>
      <c r="O92" s="16" t="s">
        <v>60</v>
      </c>
      <c r="P92" s="16" t="s">
        <v>217</v>
      </c>
      <c r="Q92" s="16" t="s">
        <v>1145</v>
      </c>
      <c r="R92" s="18">
        <v>45230</v>
      </c>
      <c r="S92" s="18">
        <v>46696</v>
      </c>
      <c r="T92" s="22">
        <v>2850000</v>
      </c>
      <c r="U92" s="16">
        <v>10</v>
      </c>
      <c r="V92" s="23">
        <v>285000</v>
      </c>
      <c r="W92" s="23">
        <v>2565000</v>
      </c>
      <c r="X92" s="24">
        <v>2</v>
      </c>
      <c r="Y92" s="31">
        <v>51300</v>
      </c>
      <c r="Z92" s="16"/>
      <c r="AA92" s="16" t="s">
        <v>41</v>
      </c>
      <c r="AB92" s="16">
        <v>1141071585</v>
      </c>
      <c r="AC92" s="25">
        <v>45624</v>
      </c>
      <c r="AD92" s="26" t="s">
        <v>42</v>
      </c>
      <c r="AE92" s="26">
        <v>10</v>
      </c>
      <c r="AF92" s="16" t="s">
        <v>1139</v>
      </c>
      <c r="AG92" s="33">
        <v>51300</v>
      </c>
      <c r="AH92" s="36">
        <f t="shared" si="1"/>
        <v>0</v>
      </c>
    </row>
    <row r="93" spans="1:34" x14ac:dyDescent="0.25">
      <c r="A93" s="16" t="s">
        <v>408</v>
      </c>
      <c r="B93" s="16" t="s">
        <v>1146</v>
      </c>
      <c r="C93" s="17">
        <v>45566</v>
      </c>
      <c r="D93" s="16" t="s">
        <v>32</v>
      </c>
      <c r="E93" s="16" t="s">
        <v>1147</v>
      </c>
      <c r="F93" s="18">
        <v>45592</v>
      </c>
      <c r="G93" s="18">
        <v>45956</v>
      </c>
      <c r="H93" s="30" t="s">
        <v>1148</v>
      </c>
      <c r="I93" s="20" t="s">
        <v>1149</v>
      </c>
      <c r="J93" s="27" t="s">
        <v>620</v>
      </c>
      <c r="K93" s="16" t="s">
        <v>1150</v>
      </c>
      <c r="L93" s="16" t="s">
        <v>1151</v>
      </c>
      <c r="M93" s="16" t="s">
        <v>1152</v>
      </c>
      <c r="N93" s="16" t="s">
        <v>1146</v>
      </c>
      <c r="O93" s="16" t="s">
        <v>60</v>
      </c>
      <c r="P93" s="16" t="s">
        <v>61</v>
      </c>
      <c r="Q93" s="16" t="s">
        <v>1153</v>
      </c>
      <c r="R93" s="18">
        <v>45229</v>
      </c>
      <c r="S93" s="18">
        <v>47063</v>
      </c>
      <c r="T93" s="22">
        <v>2000000</v>
      </c>
      <c r="U93" s="16">
        <v>10</v>
      </c>
      <c r="V93" s="23">
        <v>200000</v>
      </c>
      <c r="W93" s="23">
        <v>1800000</v>
      </c>
      <c r="X93" s="24">
        <v>2</v>
      </c>
      <c r="Y93" s="31">
        <v>36000</v>
      </c>
      <c r="Z93" s="16"/>
      <c r="AA93" s="16" t="s">
        <v>41</v>
      </c>
      <c r="AB93" s="16">
        <v>1141071585</v>
      </c>
      <c r="AC93" s="25">
        <v>45624</v>
      </c>
      <c r="AD93" s="26" t="s">
        <v>42</v>
      </c>
      <c r="AE93" s="26">
        <v>10</v>
      </c>
      <c r="AF93" s="16" t="s">
        <v>1147</v>
      </c>
      <c r="AG93" s="33">
        <v>36000</v>
      </c>
      <c r="AH93" s="36">
        <f t="shared" si="1"/>
        <v>0</v>
      </c>
    </row>
    <row r="94" spans="1:34" x14ac:dyDescent="0.25">
      <c r="A94" s="16" t="s">
        <v>408</v>
      </c>
      <c r="B94" s="16" t="s">
        <v>1154</v>
      </c>
      <c r="C94" s="17">
        <v>45566</v>
      </c>
      <c r="D94" s="16" t="s">
        <v>32</v>
      </c>
      <c r="E94" s="16" t="s">
        <v>1155</v>
      </c>
      <c r="F94" s="18">
        <v>45592</v>
      </c>
      <c r="G94" s="18">
        <v>45956</v>
      </c>
      <c r="H94" s="30" t="s">
        <v>1156</v>
      </c>
      <c r="I94" s="20" t="s">
        <v>1157</v>
      </c>
      <c r="J94" s="27" t="s">
        <v>734</v>
      </c>
      <c r="K94" s="16" t="s">
        <v>1158</v>
      </c>
      <c r="L94" s="16">
        <v>696873</v>
      </c>
      <c r="M94" s="16" t="s">
        <v>1159</v>
      </c>
      <c r="N94" s="16" t="s">
        <v>1154</v>
      </c>
      <c r="O94" s="16" t="s">
        <v>50</v>
      </c>
      <c r="P94" s="16" t="s">
        <v>51</v>
      </c>
      <c r="Q94" s="16" t="s">
        <v>1160</v>
      </c>
      <c r="R94" s="18">
        <v>45236</v>
      </c>
      <c r="S94" s="18">
        <v>46696</v>
      </c>
      <c r="T94" s="22">
        <v>850000</v>
      </c>
      <c r="U94" s="16">
        <v>10</v>
      </c>
      <c r="V94" s="23">
        <v>85000</v>
      </c>
      <c r="W94" s="23">
        <v>765000</v>
      </c>
      <c r="X94" s="24">
        <v>2</v>
      </c>
      <c r="Y94" s="31">
        <v>15300</v>
      </c>
      <c r="Z94" s="16"/>
      <c r="AA94" s="16" t="s">
        <v>41</v>
      </c>
      <c r="AB94" s="16">
        <v>1141071585</v>
      </c>
      <c r="AC94" s="25">
        <v>45624</v>
      </c>
      <c r="AD94" s="26" t="s">
        <v>42</v>
      </c>
      <c r="AE94" s="26">
        <v>0</v>
      </c>
      <c r="AF94" s="16" t="s">
        <v>1155</v>
      </c>
      <c r="AG94" s="33">
        <v>15300</v>
      </c>
      <c r="AH94" s="36">
        <f t="shared" si="1"/>
        <v>0</v>
      </c>
    </row>
    <row r="95" spans="1:34" x14ac:dyDescent="0.25">
      <c r="A95" s="16" t="s">
        <v>408</v>
      </c>
      <c r="B95" s="16" t="s">
        <v>1161</v>
      </c>
      <c r="C95" s="17">
        <v>45566</v>
      </c>
      <c r="D95" s="16" t="s">
        <v>32</v>
      </c>
      <c r="E95" s="16" t="s">
        <v>1162</v>
      </c>
      <c r="F95" s="18">
        <v>45592</v>
      </c>
      <c r="G95" s="18">
        <v>45956</v>
      </c>
      <c r="H95" s="30" t="s">
        <v>848</v>
      </c>
      <c r="I95" s="20" t="s">
        <v>1163</v>
      </c>
      <c r="J95" s="27" t="s">
        <v>1164</v>
      </c>
      <c r="K95" s="16" t="s">
        <v>1165</v>
      </c>
      <c r="L95" s="16" t="s">
        <v>1166</v>
      </c>
      <c r="M95" s="16" t="s">
        <v>1167</v>
      </c>
      <c r="N95" s="16" t="s">
        <v>1161</v>
      </c>
      <c r="O95" s="16" t="s">
        <v>60</v>
      </c>
      <c r="P95" s="16" t="s">
        <v>61</v>
      </c>
      <c r="Q95" s="16" t="s">
        <v>1168</v>
      </c>
      <c r="R95" s="18">
        <v>45229</v>
      </c>
      <c r="S95" s="18">
        <v>46331</v>
      </c>
      <c r="T95" s="22">
        <v>2800000</v>
      </c>
      <c r="U95" s="16">
        <v>10</v>
      </c>
      <c r="V95" s="23">
        <v>280000</v>
      </c>
      <c r="W95" s="23">
        <v>2520000</v>
      </c>
      <c r="X95" s="24">
        <v>2</v>
      </c>
      <c r="Y95" s="31">
        <v>50400</v>
      </c>
      <c r="Z95" s="16"/>
      <c r="AA95" s="16" t="s">
        <v>41</v>
      </c>
      <c r="AB95" s="16">
        <v>1141071585</v>
      </c>
      <c r="AC95" s="25">
        <v>45624</v>
      </c>
      <c r="AD95" s="26" t="s">
        <v>42</v>
      </c>
      <c r="AE95" s="26">
        <v>10</v>
      </c>
      <c r="AF95" s="16" t="s">
        <v>1162</v>
      </c>
      <c r="AG95" s="33">
        <v>50400</v>
      </c>
      <c r="AH95" s="36">
        <f t="shared" si="1"/>
        <v>0</v>
      </c>
    </row>
    <row r="96" spans="1:34" x14ac:dyDescent="0.25">
      <c r="A96" s="16" t="s">
        <v>408</v>
      </c>
      <c r="B96" s="16" t="s">
        <v>1169</v>
      </c>
      <c r="C96" s="17">
        <v>45566</v>
      </c>
      <c r="D96" s="16" t="s">
        <v>32</v>
      </c>
      <c r="E96" s="16" t="s">
        <v>1170</v>
      </c>
      <c r="F96" s="18">
        <v>45592</v>
      </c>
      <c r="G96" s="18">
        <v>45956</v>
      </c>
      <c r="H96" s="30" t="s">
        <v>1171</v>
      </c>
      <c r="I96" s="20" t="s">
        <v>1172</v>
      </c>
      <c r="J96" s="27" t="s">
        <v>1173</v>
      </c>
      <c r="K96" s="16" t="s">
        <v>1174</v>
      </c>
      <c r="L96" s="16" t="s">
        <v>1175</v>
      </c>
      <c r="M96" s="16" t="s">
        <v>1176</v>
      </c>
      <c r="N96" s="16" t="s">
        <v>1169</v>
      </c>
      <c r="O96" s="16" t="s">
        <v>60</v>
      </c>
      <c r="P96" s="16" t="s">
        <v>1177</v>
      </c>
      <c r="Q96" s="16" t="s">
        <v>1178</v>
      </c>
      <c r="R96" s="18">
        <v>44133</v>
      </c>
      <c r="S96" s="18">
        <v>45966</v>
      </c>
      <c r="T96" s="22">
        <v>1425000</v>
      </c>
      <c r="U96" s="16">
        <v>25</v>
      </c>
      <c r="V96" s="23">
        <v>356250</v>
      </c>
      <c r="W96" s="23">
        <v>1068750</v>
      </c>
      <c r="X96" s="24">
        <v>2.5</v>
      </c>
      <c r="Y96" s="31">
        <v>26718.75</v>
      </c>
      <c r="Z96" s="16"/>
      <c r="AA96" s="16" t="s">
        <v>41</v>
      </c>
      <c r="AB96" s="16">
        <v>1141071585</v>
      </c>
      <c r="AC96" s="25">
        <v>45624</v>
      </c>
      <c r="AD96" s="26" t="s">
        <v>42</v>
      </c>
      <c r="AE96" s="26">
        <v>10</v>
      </c>
      <c r="AF96" s="16" t="s">
        <v>1170</v>
      </c>
      <c r="AG96" s="33">
        <v>26719</v>
      </c>
      <c r="AH96" s="36">
        <f t="shared" si="1"/>
        <v>-0.25</v>
      </c>
    </row>
    <row r="97" spans="1:34" x14ac:dyDescent="0.25">
      <c r="A97" s="16" t="s">
        <v>408</v>
      </c>
      <c r="B97" s="16" t="s">
        <v>1179</v>
      </c>
      <c r="C97" s="17">
        <v>45566</v>
      </c>
      <c r="D97" s="16" t="s">
        <v>32</v>
      </c>
      <c r="E97" s="16" t="s">
        <v>1180</v>
      </c>
      <c r="F97" s="18">
        <v>45592</v>
      </c>
      <c r="G97" s="18">
        <v>45956</v>
      </c>
      <c r="H97" s="30" t="s">
        <v>1181</v>
      </c>
      <c r="I97" s="20" t="s">
        <v>1182</v>
      </c>
      <c r="J97" s="27" t="s">
        <v>645</v>
      </c>
      <c r="K97" s="16" t="s">
        <v>1183</v>
      </c>
      <c r="L97" s="16">
        <v>253972</v>
      </c>
      <c r="M97" s="16" t="s">
        <v>1184</v>
      </c>
      <c r="N97" s="16" t="s">
        <v>1179</v>
      </c>
      <c r="O97" s="16" t="s">
        <v>38</v>
      </c>
      <c r="P97" s="16" t="s">
        <v>39</v>
      </c>
      <c r="Q97" s="16" t="s">
        <v>1185</v>
      </c>
      <c r="R97" s="18">
        <v>44865</v>
      </c>
      <c r="S97" s="18">
        <v>45966</v>
      </c>
      <c r="T97" s="22">
        <v>1733000</v>
      </c>
      <c r="U97" s="16">
        <v>15</v>
      </c>
      <c r="V97" s="23">
        <v>259950</v>
      </c>
      <c r="W97" s="23">
        <v>1473050</v>
      </c>
      <c r="X97" s="24">
        <v>2.5</v>
      </c>
      <c r="Y97" s="31">
        <v>36826.25</v>
      </c>
      <c r="Z97" s="16"/>
      <c r="AA97" s="16" t="s">
        <v>41</v>
      </c>
      <c r="AB97" s="16">
        <v>1141071585</v>
      </c>
      <c r="AC97" s="25">
        <v>45624</v>
      </c>
      <c r="AD97" s="26" t="s">
        <v>42</v>
      </c>
      <c r="AE97" s="26">
        <v>10</v>
      </c>
      <c r="AF97" s="16" t="s">
        <v>1180</v>
      </c>
      <c r="AG97" s="33">
        <v>36826</v>
      </c>
      <c r="AH97" s="36">
        <f t="shared" si="1"/>
        <v>0.25</v>
      </c>
    </row>
    <row r="98" spans="1:34" x14ac:dyDescent="0.25">
      <c r="A98" s="16" t="s">
        <v>408</v>
      </c>
      <c r="B98" s="16" t="s">
        <v>1186</v>
      </c>
      <c r="C98" s="17">
        <v>45566</v>
      </c>
      <c r="D98" s="16" t="s">
        <v>32</v>
      </c>
      <c r="E98" s="16" t="s">
        <v>1187</v>
      </c>
      <c r="F98" s="18">
        <v>45592</v>
      </c>
      <c r="G98" s="18">
        <v>45956</v>
      </c>
      <c r="H98" s="30" t="s">
        <v>1188</v>
      </c>
      <c r="I98" s="20" t="s">
        <v>1189</v>
      </c>
      <c r="J98" s="27" t="s">
        <v>758</v>
      </c>
      <c r="K98" s="16" t="s">
        <v>1190</v>
      </c>
      <c r="L98" s="16" t="s">
        <v>1191</v>
      </c>
      <c r="M98" s="16" t="s">
        <v>1192</v>
      </c>
      <c r="N98" s="16" t="s">
        <v>1186</v>
      </c>
      <c r="O98" s="16" t="s">
        <v>60</v>
      </c>
      <c r="P98" s="16" t="s">
        <v>114</v>
      </c>
      <c r="Q98" s="16" t="s">
        <v>1193</v>
      </c>
      <c r="R98" s="18">
        <v>44132</v>
      </c>
      <c r="S98" s="18">
        <v>45966</v>
      </c>
      <c r="T98" s="22">
        <v>2604000</v>
      </c>
      <c r="U98" s="16">
        <v>25</v>
      </c>
      <c r="V98" s="23">
        <v>651000</v>
      </c>
      <c r="W98" s="23">
        <v>1953000</v>
      </c>
      <c r="X98" s="24">
        <v>3.75</v>
      </c>
      <c r="Y98" s="31">
        <v>73237.5</v>
      </c>
      <c r="Z98" s="16"/>
      <c r="AA98" s="16" t="s">
        <v>41</v>
      </c>
      <c r="AB98" s="16">
        <v>1141071585</v>
      </c>
      <c r="AC98" s="25">
        <v>45624</v>
      </c>
      <c r="AD98" s="26" t="s">
        <v>42</v>
      </c>
      <c r="AE98" s="26">
        <v>0</v>
      </c>
      <c r="AF98" s="16" t="s">
        <v>1187</v>
      </c>
      <c r="AG98" s="33">
        <v>73238</v>
      </c>
      <c r="AH98" s="36">
        <f t="shared" si="1"/>
        <v>-0.5</v>
      </c>
    </row>
    <row r="99" spans="1:34" x14ac:dyDescent="0.25">
      <c r="A99" s="16" t="s">
        <v>408</v>
      </c>
      <c r="B99" s="16" t="s">
        <v>1194</v>
      </c>
      <c r="C99" s="17">
        <v>45566</v>
      </c>
      <c r="D99" s="16" t="s">
        <v>32</v>
      </c>
      <c r="E99" s="16" t="s">
        <v>1195</v>
      </c>
      <c r="F99" s="18">
        <v>45593</v>
      </c>
      <c r="G99" s="18">
        <v>45957</v>
      </c>
      <c r="H99" s="30" t="s">
        <v>1196</v>
      </c>
      <c r="I99" s="20" t="s">
        <v>1197</v>
      </c>
      <c r="J99" s="27" t="s">
        <v>1198</v>
      </c>
      <c r="K99" s="16" t="s">
        <v>1199</v>
      </c>
      <c r="L99" s="16">
        <v>21732847</v>
      </c>
      <c r="M99" s="16" t="s">
        <v>1200</v>
      </c>
      <c r="N99" s="16" t="s">
        <v>1194</v>
      </c>
      <c r="O99" s="16" t="s">
        <v>60</v>
      </c>
      <c r="P99" s="16" t="s">
        <v>61</v>
      </c>
      <c r="Q99" s="16" t="s">
        <v>1201</v>
      </c>
      <c r="R99" s="18">
        <v>44502</v>
      </c>
      <c r="S99" s="18">
        <v>46331</v>
      </c>
      <c r="T99" s="22">
        <v>4500000</v>
      </c>
      <c r="U99" s="16">
        <v>20</v>
      </c>
      <c r="V99" s="23">
        <v>900000</v>
      </c>
      <c r="W99" s="23">
        <v>3600000</v>
      </c>
      <c r="X99" s="24">
        <v>1.5</v>
      </c>
      <c r="Y99" s="31">
        <v>54000</v>
      </c>
      <c r="Z99" s="16"/>
      <c r="AA99" s="16" t="s">
        <v>41</v>
      </c>
      <c r="AB99" s="16">
        <v>1141071585</v>
      </c>
      <c r="AC99" s="25">
        <v>45624</v>
      </c>
      <c r="AD99" s="26" t="s">
        <v>42</v>
      </c>
      <c r="AE99" s="26">
        <v>10</v>
      </c>
      <c r="AF99" s="16" t="s">
        <v>1195</v>
      </c>
      <c r="AG99" s="33">
        <v>54000</v>
      </c>
      <c r="AH99" s="36">
        <f t="shared" si="1"/>
        <v>0</v>
      </c>
    </row>
    <row r="100" spans="1:34" x14ac:dyDescent="0.25">
      <c r="A100" s="16" t="s">
        <v>408</v>
      </c>
      <c r="B100" s="16" t="s">
        <v>1202</v>
      </c>
      <c r="C100" s="17">
        <v>45566</v>
      </c>
      <c r="D100" s="16" t="s">
        <v>32</v>
      </c>
      <c r="E100" s="16" t="s">
        <v>1203</v>
      </c>
      <c r="F100" s="18">
        <v>45593</v>
      </c>
      <c r="G100" s="18">
        <v>45957</v>
      </c>
      <c r="H100" s="30" t="s">
        <v>1204</v>
      </c>
      <c r="I100" s="20" t="s">
        <v>1205</v>
      </c>
      <c r="J100" s="27" t="s">
        <v>1206</v>
      </c>
      <c r="K100" s="16" t="s">
        <v>1207</v>
      </c>
      <c r="L100" s="16" t="s">
        <v>1208</v>
      </c>
      <c r="M100" s="16" t="s">
        <v>1209</v>
      </c>
      <c r="N100" s="16" t="s">
        <v>1202</v>
      </c>
      <c r="O100" s="16" t="s">
        <v>60</v>
      </c>
      <c r="P100" s="16" t="s">
        <v>217</v>
      </c>
      <c r="Q100" s="16" t="s">
        <v>1210</v>
      </c>
      <c r="R100" s="18">
        <v>44866</v>
      </c>
      <c r="S100" s="18">
        <v>45966</v>
      </c>
      <c r="T100" s="22">
        <v>4275000</v>
      </c>
      <c r="U100" s="16">
        <v>15</v>
      </c>
      <c r="V100" s="23">
        <v>641250</v>
      </c>
      <c r="W100" s="23">
        <v>3633750</v>
      </c>
      <c r="X100" s="24">
        <v>1.5</v>
      </c>
      <c r="Y100" s="31">
        <v>54506.25</v>
      </c>
      <c r="Z100" s="16"/>
      <c r="AA100" s="16" t="s">
        <v>41</v>
      </c>
      <c r="AB100" s="16">
        <v>1141071585</v>
      </c>
      <c r="AC100" s="25">
        <v>45624</v>
      </c>
      <c r="AD100" s="26" t="s">
        <v>42</v>
      </c>
      <c r="AE100" s="26">
        <v>0</v>
      </c>
      <c r="AF100" s="16" t="s">
        <v>1203</v>
      </c>
      <c r="AG100" s="33">
        <v>54506</v>
      </c>
      <c r="AH100" s="36">
        <f t="shared" si="1"/>
        <v>0.25</v>
      </c>
    </row>
    <row r="101" spans="1:34" x14ac:dyDescent="0.25">
      <c r="A101" s="16" t="s">
        <v>408</v>
      </c>
      <c r="B101" s="16" t="s">
        <v>1211</v>
      </c>
      <c r="C101" s="17">
        <v>45566</v>
      </c>
      <c r="D101" s="16" t="s">
        <v>32</v>
      </c>
      <c r="E101" s="16" t="s">
        <v>1212</v>
      </c>
      <c r="F101" s="18">
        <v>45593</v>
      </c>
      <c r="G101" s="18">
        <v>45957</v>
      </c>
      <c r="H101" s="30" t="s">
        <v>1213</v>
      </c>
      <c r="I101" s="20" t="s">
        <v>1214</v>
      </c>
      <c r="J101" s="27" t="s">
        <v>1215</v>
      </c>
      <c r="K101" s="16" t="s">
        <v>1216</v>
      </c>
      <c r="L101" s="16" t="s">
        <v>1217</v>
      </c>
      <c r="M101" s="16" t="s">
        <v>1218</v>
      </c>
      <c r="N101" s="16" t="s">
        <v>1211</v>
      </c>
      <c r="O101" s="16" t="s">
        <v>60</v>
      </c>
      <c r="P101" s="16" t="s">
        <v>217</v>
      </c>
      <c r="Q101" s="16" t="s">
        <v>1219</v>
      </c>
      <c r="R101" s="18">
        <v>44501</v>
      </c>
      <c r="S101" s="18">
        <v>46331</v>
      </c>
      <c r="T101" s="22">
        <v>1910000</v>
      </c>
      <c r="U101" s="16">
        <v>20</v>
      </c>
      <c r="V101" s="23">
        <v>382000</v>
      </c>
      <c r="W101" s="23">
        <v>1528000</v>
      </c>
      <c r="X101" s="24">
        <v>1.75</v>
      </c>
      <c r="Y101" s="31">
        <v>26740.000000000004</v>
      </c>
      <c r="Z101" s="16"/>
      <c r="AA101" s="16" t="s">
        <v>41</v>
      </c>
      <c r="AB101" s="16">
        <v>1141071585</v>
      </c>
      <c r="AC101" s="25">
        <v>45624</v>
      </c>
      <c r="AD101" s="26" t="s">
        <v>42</v>
      </c>
      <c r="AE101" s="26">
        <v>10</v>
      </c>
      <c r="AF101" s="16" t="s">
        <v>1212</v>
      </c>
      <c r="AG101" s="33">
        <v>26740</v>
      </c>
      <c r="AH101" s="36">
        <f t="shared" si="1"/>
        <v>0</v>
      </c>
    </row>
    <row r="102" spans="1:34" x14ac:dyDescent="0.25">
      <c r="A102" s="16" t="s">
        <v>408</v>
      </c>
      <c r="B102" s="16" t="s">
        <v>1220</v>
      </c>
      <c r="C102" s="17">
        <v>45566</v>
      </c>
      <c r="D102" s="16" t="s">
        <v>32</v>
      </c>
      <c r="E102" s="16" t="s">
        <v>1221</v>
      </c>
      <c r="F102" s="18">
        <v>45593</v>
      </c>
      <c r="G102" s="18">
        <v>45957</v>
      </c>
      <c r="H102" s="30" t="s">
        <v>1222</v>
      </c>
      <c r="I102" s="20" t="s">
        <v>1223</v>
      </c>
      <c r="J102" s="27" t="s">
        <v>1224</v>
      </c>
      <c r="K102" s="16" t="s">
        <v>1225</v>
      </c>
      <c r="L102" s="16">
        <v>1001455</v>
      </c>
      <c r="M102" s="16" t="s">
        <v>1226</v>
      </c>
      <c r="N102" s="16" t="s">
        <v>1220</v>
      </c>
      <c r="O102" s="16" t="s">
        <v>60</v>
      </c>
      <c r="P102" s="16" t="s">
        <v>61</v>
      </c>
      <c r="Q102" s="16" t="s">
        <v>1227</v>
      </c>
      <c r="R102" s="18">
        <v>44501</v>
      </c>
      <c r="S102" s="18">
        <v>46331</v>
      </c>
      <c r="T102" s="22">
        <v>2805000</v>
      </c>
      <c r="U102" s="16">
        <v>20</v>
      </c>
      <c r="V102" s="23">
        <v>561000</v>
      </c>
      <c r="W102" s="23">
        <v>2244000</v>
      </c>
      <c r="X102" s="24">
        <v>1.75</v>
      </c>
      <c r="Y102" s="31">
        <v>39270.000000000007</v>
      </c>
      <c r="Z102" s="16"/>
      <c r="AA102" s="16" t="s">
        <v>41</v>
      </c>
      <c r="AB102" s="16">
        <v>1141071585</v>
      </c>
      <c r="AC102" s="25">
        <v>45624</v>
      </c>
      <c r="AD102" s="26" t="s">
        <v>42</v>
      </c>
      <c r="AE102" s="26">
        <v>10</v>
      </c>
      <c r="AF102" s="16" t="s">
        <v>1221</v>
      </c>
      <c r="AG102" s="33">
        <v>39270</v>
      </c>
      <c r="AH102" s="36">
        <f t="shared" si="1"/>
        <v>0</v>
      </c>
    </row>
    <row r="103" spans="1:34" x14ac:dyDescent="0.25">
      <c r="A103" s="16" t="s">
        <v>408</v>
      </c>
      <c r="B103" s="16" t="s">
        <v>1228</v>
      </c>
      <c r="C103" s="17">
        <v>45566</v>
      </c>
      <c r="D103" s="16" t="s">
        <v>32</v>
      </c>
      <c r="E103" s="16" t="s">
        <v>1229</v>
      </c>
      <c r="F103" s="18">
        <v>45593</v>
      </c>
      <c r="G103" s="18">
        <v>45957</v>
      </c>
      <c r="H103" s="30" t="s">
        <v>1230</v>
      </c>
      <c r="I103" s="20" t="s">
        <v>1231</v>
      </c>
      <c r="J103" s="27" t="s">
        <v>495</v>
      </c>
      <c r="K103" s="16" t="s">
        <v>1232</v>
      </c>
      <c r="L103" s="16">
        <v>241559</v>
      </c>
      <c r="M103" s="16" t="s">
        <v>1233</v>
      </c>
      <c r="N103" s="16" t="s">
        <v>1228</v>
      </c>
      <c r="O103" s="16" t="s">
        <v>38</v>
      </c>
      <c r="P103" s="16" t="s">
        <v>39</v>
      </c>
      <c r="Q103" s="16" t="s">
        <v>1234</v>
      </c>
      <c r="R103" s="18">
        <v>44866</v>
      </c>
      <c r="S103" s="18">
        <v>45966</v>
      </c>
      <c r="T103" s="22">
        <v>2802000</v>
      </c>
      <c r="U103" s="16">
        <v>15</v>
      </c>
      <c r="V103" s="23">
        <v>420300</v>
      </c>
      <c r="W103" s="23">
        <v>2381700</v>
      </c>
      <c r="X103" s="24">
        <v>2</v>
      </c>
      <c r="Y103" s="31">
        <v>47634</v>
      </c>
      <c r="Z103" s="16"/>
      <c r="AA103" s="16" t="s">
        <v>41</v>
      </c>
      <c r="AB103" s="16">
        <v>1141071585</v>
      </c>
      <c r="AC103" s="25">
        <v>45624</v>
      </c>
      <c r="AD103" s="26" t="s">
        <v>42</v>
      </c>
      <c r="AE103" s="26">
        <v>0</v>
      </c>
      <c r="AF103" s="16" t="s">
        <v>1229</v>
      </c>
      <c r="AG103" s="33">
        <v>47634</v>
      </c>
      <c r="AH103" s="36">
        <f t="shared" si="1"/>
        <v>0</v>
      </c>
    </row>
    <row r="104" spans="1:34" x14ac:dyDescent="0.25">
      <c r="A104" s="16" t="s">
        <v>408</v>
      </c>
      <c r="B104" s="16" t="s">
        <v>1235</v>
      </c>
      <c r="C104" s="17">
        <v>45566</v>
      </c>
      <c r="D104" s="16" t="s">
        <v>32</v>
      </c>
      <c r="E104" s="16" t="s">
        <v>1236</v>
      </c>
      <c r="F104" s="18">
        <v>45593</v>
      </c>
      <c r="G104" s="18">
        <v>45957</v>
      </c>
      <c r="H104" s="30" t="s">
        <v>1237</v>
      </c>
      <c r="I104" s="20" t="s">
        <v>1238</v>
      </c>
      <c r="J104" s="27" t="s">
        <v>1239</v>
      </c>
      <c r="K104" s="16" t="s">
        <v>1240</v>
      </c>
      <c r="L104" s="16" t="s">
        <v>1241</v>
      </c>
      <c r="M104" s="16" t="s">
        <v>1242</v>
      </c>
      <c r="N104" s="16" t="s">
        <v>1235</v>
      </c>
      <c r="O104" s="16" t="s">
        <v>60</v>
      </c>
      <c r="P104" s="16" t="s">
        <v>61</v>
      </c>
      <c r="Q104" s="16" t="s">
        <v>1243</v>
      </c>
      <c r="R104" s="18">
        <v>44137</v>
      </c>
      <c r="S104" s="18">
        <v>45966</v>
      </c>
      <c r="T104" s="22">
        <v>2763000</v>
      </c>
      <c r="U104" s="16">
        <v>25</v>
      </c>
      <c r="V104" s="23">
        <v>690750</v>
      </c>
      <c r="W104" s="23">
        <v>2072250</v>
      </c>
      <c r="X104" s="24">
        <v>2.5</v>
      </c>
      <c r="Y104" s="31">
        <v>51806.25</v>
      </c>
      <c r="Z104" s="16"/>
      <c r="AA104" s="16" t="s">
        <v>41</v>
      </c>
      <c r="AB104" s="16">
        <v>1141071585</v>
      </c>
      <c r="AC104" s="25">
        <v>45624</v>
      </c>
      <c r="AD104" s="26" t="s">
        <v>42</v>
      </c>
      <c r="AE104" s="26">
        <v>10</v>
      </c>
      <c r="AF104" s="16" t="s">
        <v>1236</v>
      </c>
      <c r="AG104" s="33">
        <v>51806</v>
      </c>
      <c r="AH104" s="36">
        <f t="shared" si="1"/>
        <v>0.25</v>
      </c>
    </row>
    <row r="105" spans="1:34" x14ac:dyDescent="0.25">
      <c r="A105" s="16" t="s">
        <v>408</v>
      </c>
      <c r="B105" s="16" t="s">
        <v>1244</v>
      </c>
      <c r="C105" s="17">
        <v>45566</v>
      </c>
      <c r="D105" s="16" t="s">
        <v>32</v>
      </c>
      <c r="E105" s="16" t="s">
        <v>1245</v>
      </c>
      <c r="F105" s="18">
        <v>45593</v>
      </c>
      <c r="G105" s="18">
        <v>45957</v>
      </c>
      <c r="H105" s="30" t="s">
        <v>1246</v>
      </c>
      <c r="I105" s="20" t="s">
        <v>1247</v>
      </c>
      <c r="J105" s="27" t="s">
        <v>1248</v>
      </c>
      <c r="K105" s="16" t="s">
        <v>1249</v>
      </c>
      <c r="L105" s="16" t="s">
        <v>1250</v>
      </c>
      <c r="M105" s="16" t="s">
        <v>1251</v>
      </c>
      <c r="N105" s="16" t="s">
        <v>1244</v>
      </c>
      <c r="O105" s="16" t="s">
        <v>60</v>
      </c>
      <c r="P105" s="16" t="s">
        <v>1252</v>
      </c>
      <c r="Q105" s="16" t="s">
        <v>1253</v>
      </c>
      <c r="R105" s="18">
        <v>44137</v>
      </c>
      <c r="S105" s="18">
        <v>46331</v>
      </c>
      <c r="T105" s="22">
        <v>1149000</v>
      </c>
      <c r="U105" s="16">
        <v>25</v>
      </c>
      <c r="V105" s="23">
        <v>287250</v>
      </c>
      <c r="W105" s="23">
        <v>861750</v>
      </c>
      <c r="X105" s="24">
        <v>2.5</v>
      </c>
      <c r="Y105" s="31">
        <v>21543.75</v>
      </c>
      <c r="Z105" s="16"/>
      <c r="AA105" s="16" t="s">
        <v>41</v>
      </c>
      <c r="AB105" s="16">
        <v>1141071585</v>
      </c>
      <c r="AC105" s="25">
        <v>45624</v>
      </c>
      <c r="AD105" s="26" t="s">
        <v>42</v>
      </c>
      <c r="AE105" s="26">
        <v>102</v>
      </c>
      <c r="AF105" s="16" t="s">
        <v>1245</v>
      </c>
      <c r="AG105" s="33">
        <v>21544</v>
      </c>
      <c r="AH105" s="36">
        <f t="shared" si="1"/>
        <v>-0.25</v>
      </c>
    </row>
    <row r="106" spans="1:34" x14ac:dyDescent="0.25">
      <c r="A106" s="16" t="s">
        <v>408</v>
      </c>
      <c r="B106" s="16" t="s">
        <v>1254</v>
      </c>
      <c r="C106" s="17">
        <v>45566</v>
      </c>
      <c r="D106" s="16" t="s">
        <v>32</v>
      </c>
      <c r="E106" s="16" t="s">
        <v>1255</v>
      </c>
      <c r="F106" s="18">
        <v>45593</v>
      </c>
      <c r="G106" s="18">
        <v>45957</v>
      </c>
      <c r="H106" s="30" t="s">
        <v>1256</v>
      </c>
      <c r="I106" s="20" t="s">
        <v>1257</v>
      </c>
      <c r="J106" s="27" t="s">
        <v>422</v>
      </c>
      <c r="K106" s="16" t="s">
        <v>1258</v>
      </c>
      <c r="L106" s="16" t="s">
        <v>1259</v>
      </c>
      <c r="M106" s="16" t="s">
        <v>1260</v>
      </c>
      <c r="N106" s="16" t="s">
        <v>1254</v>
      </c>
      <c r="O106" s="16" t="s">
        <v>60</v>
      </c>
      <c r="P106" s="16" t="s">
        <v>639</v>
      </c>
      <c r="Q106" s="16" t="s">
        <v>1261</v>
      </c>
      <c r="R106" s="18">
        <v>44137</v>
      </c>
      <c r="S106" s="18">
        <v>45966</v>
      </c>
      <c r="T106" s="22">
        <v>3175000</v>
      </c>
      <c r="U106" s="16">
        <v>25</v>
      </c>
      <c r="V106" s="23">
        <v>793750</v>
      </c>
      <c r="W106" s="23">
        <v>2381250</v>
      </c>
      <c r="X106" s="24">
        <v>2.5</v>
      </c>
      <c r="Y106" s="31">
        <v>59531.25</v>
      </c>
      <c r="Z106" s="16"/>
      <c r="AA106" s="16" t="s">
        <v>41</v>
      </c>
      <c r="AB106" s="16">
        <v>1141071585</v>
      </c>
      <c r="AC106" s="25">
        <v>45624</v>
      </c>
      <c r="AD106" s="26" t="s">
        <v>42</v>
      </c>
      <c r="AE106" s="26">
        <v>10</v>
      </c>
      <c r="AF106" s="16" t="s">
        <v>1255</v>
      </c>
      <c r="AG106" s="33">
        <v>59531</v>
      </c>
      <c r="AH106" s="36">
        <f t="shared" si="1"/>
        <v>0.25</v>
      </c>
    </row>
    <row r="107" spans="1:34" x14ac:dyDescent="0.25">
      <c r="A107" s="16" t="s">
        <v>408</v>
      </c>
      <c r="B107" s="16" t="s">
        <v>1262</v>
      </c>
      <c r="C107" s="17">
        <v>45566</v>
      </c>
      <c r="D107" s="16" t="s">
        <v>32</v>
      </c>
      <c r="E107" s="16" t="s">
        <v>1263</v>
      </c>
      <c r="F107" s="18">
        <v>45593</v>
      </c>
      <c r="G107" s="18">
        <v>45957</v>
      </c>
      <c r="H107" s="30" t="s">
        <v>1264</v>
      </c>
      <c r="I107" s="20" t="s">
        <v>1265</v>
      </c>
      <c r="J107" s="27" t="s">
        <v>441</v>
      </c>
      <c r="K107" s="16" t="s">
        <v>1266</v>
      </c>
      <c r="L107" s="16">
        <v>376275</v>
      </c>
      <c r="M107" s="16" t="s">
        <v>1267</v>
      </c>
      <c r="N107" s="16" t="s">
        <v>1262</v>
      </c>
      <c r="O107" s="16" t="s">
        <v>60</v>
      </c>
      <c r="P107" s="16" t="s">
        <v>61</v>
      </c>
      <c r="Q107" s="16" t="s">
        <v>1268</v>
      </c>
      <c r="R107" s="18">
        <v>44133</v>
      </c>
      <c r="S107" s="18">
        <v>45966</v>
      </c>
      <c r="T107" s="22">
        <v>2050000</v>
      </c>
      <c r="U107" s="16">
        <v>25</v>
      </c>
      <c r="V107" s="23">
        <v>512500</v>
      </c>
      <c r="W107" s="23">
        <v>1537500</v>
      </c>
      <c r="X107" s="24">
        <v>2.5</v>
      </c>
      <c r="Y107" s="31">
        <v>38437.5</v>
      </c>
      <c r="Z107" s="16"/>
      <c r="AA107" s="16" t="s">
        <v>41</v>
      </c>
      <c r="AB107" s="16">
        <v>1141071585</v>
      </c>
      <c r="AC107" s="25">
        <v>45624</v>
      </c>
      <c r="AD107" s="26" t="s">
        <v>42</v>
      </c>
      <c r="AE107" s="26">
        <v>10</v>
      </c>
      <c r="AF107" s="16" t="s">
        <v>1263</v>
      </c>
      <c r="AG107" s="33">
        <v>38438</v>
      </c>
      <c r="AH107" s="36">
        <f t="shared" si="1"/>
        <v>-0.5</v>
      </c>
    </row>
    <row r="108" spans="1:34" x14ac:dyDescent="0.25">
      <c r="A108" s="16" t="s">
        <v>408</v>
      </c>
      <c r="B108" s="16" t="s">
        <v>1269</v>
      </c>
      <c r="C108" s="17">
        <v>45566</v>
      </c>
      <c r="D108" s="16" t="s">
        <v>32</v>
      </c>
      <c r="E108" s="16" t="s">
        <v>1270</v>
      </c>
      <c r="F108" s="18">
        <v>45593</v>
      </c>
      <c r="G108" s="18">
        <v>45957</v>
      </c>
      <c r="H108" s="30" t="s">
        <v>1271</v>
      </c>
      <c r="I108" s="20" t="s">
        <v>1272</v>
      </c>
      <c r="J108" s="27" t="s">
        <v>594</v>
      </c>
      <c r="K108" s="16" t="s">
        <v>1273</v>
      </c>
      <c r="L108" s="16">
        <v>204294</v>
      </c>
      <c r="M108" s="16" t="s">
        <v>1274</v>
      </c>
      <c r="N108" s="16" t="s">
        <v>1269</v>
      </c>
      <c r="O108" s="16" t="s">
        <v>60</v>
      </c>
      <c r="P108" s="16" t="s">
        <v>1275</v>
      </c>
      <c r="Q108" s="16" t="s">
        <v>1276</v>
      </c>
      <c r="R108" s="18">
        <v>44140</v>
      </c>
      <c r="S108" s="18">
        <v>46696</v>
      </c>
      <c r="T108" s="22">
        <v>1890000</v>
      </c>
      <c r="U108" s="16">
        <v>25</v>
      </c>
      <c r="V108" s="23">
        <v>472500</v>
      </c>
      <c r="W108" s="23">
        <v>1417500</v>
      </c>
      <c r="X108" s="24">
        <v>2.5</v>
      </c>
      <c r="Y108" s="31">
        <v>35437.5</v>
      </c>
      <c r="Z108" s="16"/>
      <c r="AA108" s="16" t="s">
        <v>41</v>
      </c>
      <c r="AB108" s="16">
        <v>1141071585</v>
      </c>
      <c r="AC108" s="25">
        <v>45624</v>
      </c>
      <c r="AD108" s="26" t="s">
        <v>42</v>
      </c>
      <c r="AE108" s="26">
        <v>10</v>
      </c>
      <c r="AF108" s="16" t="s">
        <v>1270</v>
      </c>
      <c r="AG108" s="33">
        <v>35438</v>
      </c>
      <c r="AH108" s="36">
        <f t="shared" si="1"/>
        <v>-0.5</v>
      </c>
    </row>
    <row r="109" spans="1:34" x14ac:dyDescent="0.25">
      <c r="A109" s="16" t="s">
        <v>408</v>
      </c>
      <c r="B109" s="16" t="s">
        <v>1277</v>
      </c>
      <c r="C109" s="17">
        <v>45566</v>
      </c>
      <c r="D109" s="16" t="s">
        <v>32</v>
      </c>
      <c r="E109" s="16" t="s">
        <v>1278</v>
      </c>
      <c r="F109" s="18">
        <v>45593</v>
      </c>
      <c r="G109" s="18">
        <v>45957</v>
      </c>
      <c r="H109" s="30" t="s">
        <v>1279</v>
      </c>
      <c r="I109" s="20" t="s">
        <v>1280</v>
      </c>
      <c r="J109" s="27" t="s">
        <v>441</v>
      </c>
      <c r="K109" s="16" t="s">
        <v>1281</v>
      </c>
      <c r="L109" s="16" t="s">
        <v>1282</v>
      </c>
      <c r="M109" s="16" t="s">
        <v>1283</v>
      </c>
      <c r="N109" s="16" t="s">
        <v>1277</v>
      </c>
      <c r="O109" s="16" t="s">
        <v>60</v>
      </c>
      <c r="P109" s="16" t="s">
        <v>61</v>
      </c>
      <c r="Q109" s="16" t="s">
        <v>1284</v>
      </c>
      <c r="R109" s="18">
        <v>44501</v>
      </c>
      <c r="S109" s="18">
        <v>46331</v>
      </c>
      <c r="T109" s="22">
        <v>2400000</v>
      </c>
      <c r="U109" s="16">
        <v>20</v>
      </c>
      <c r="V109" s="23">
        <v>480000</v>
      </c>
      <c r="W109" s="23">
        <v>1920000</v>
      </c>
      <c r="X109" s="24">
        <v>2.5</v>
      </c>
      <c r="Y109" s="31">
        <v>48000</v>
      </c>
      <c r="Z109" s="16"/>
      <c r="AA109" s="16" t="s">
        <v>41</v>
      </c>
      <c r="AB109" s="16">
        <v>1141071585</v>
      </c>
      <c r="AC109" s="25">
        <v>45624</v>
      </c>
      <c r="AD109" s="26" t="s">
        <v>42</v>
      </c>
      <c r="AE109" s="26">
        <v>41</v>
      </c>
      <c r="AF109" s="16" t="s">
        <v>1278</v>
      </c>
      <c r="AG109" s="33">
        <v>48000</v>
      </c>
      <c r="AH109" s="36">
        <f t="shared" si="1"/>
        <v>0</v>
      </c>
    </row>
    <row r="110" spans="1:34" x14ac:dyDescent="0.25">
      <c r="A110" s="16" t="s">
        <v>408</v>
      </c>
      <c r="B110" s="16" t="s">
        <v>1285</v>
      </c>
      <c r="C110" s="17">
        <v>45566</v>
      </c>
      <c r="D110" s="16" t="s">
        <v>32</v>
      </c>
      <c r="E110" s="16" t="s">
        <v>1286</v>
      </c>
      <c r="F110" s="18">
        <v>45593</v>
      </c>
      <c r="G110" s="18">
        <v>45957</v>
      </c>
      <c r="H110" s="30" t="s">
        <v>1287</v>
      </c>
      <c r="I110" s="20" t="s">
        <v>1288</v>
      </c>
      <c r="J110" s="27" t="s">
        <v>1224</v>
      </c>
      <c r="K110" s="16" t="s">
        <v>1289</v>
      </c>
      <c r="L110" s="16">
        <v>1015138</v>
      </c>
      <c r="M110" s="16" t="s">
        <v>1290</v>
      </c>
      <c r="N110" s="16" t="s">
        <v>1285</v>
      </c>
      <c r="O110" s="16" t="s">
        <v>60</v>
      </c>
      <c r="P110" s="16" t="s">
        <v>61</v>
      </c>
      <c r="Q110" s="16" t="s">
        <v>1291</v>
      </c>
      <c r="R110" s="18">
        <v>44866</v>
      </c>
      <c r="S110" s="18">
        <v>45966</v>
      </c>
      <c r="T110" s="22">
        <v>3256000</v>
      </c>
      <c r="U110" s="16">
        <v>15</v>
      </c>
      <c r="V110" s="23">
        <v>488400</v>
      </c>
      <c r="W110" s="23">
        <v>2767600</v>
      </c>
      <c r="X110" s="24">
        <v>2.5</v>
      </c>
      <c r="Y110" s="31">
        <v>69190</v>
      </c>
      <c r="Z110" s="16"/>
      <c r="AA110" s="16" t="s">
        <v>41</v>
      </c>
      <c r="AB110" s="16">
        <v>1141071585</v>
      </c>
      <c r="AC110" s="25">
        <v>45624</v>
      </c>
      <c r="AD110" s="26" t="s">
        <v>42</v>
      </c>
      <c r="AE110" s="26">
        <v>10</v>
      </c>
      <c r="AF110" s="16" t="s">
        <v>1286</v>
      </c>
      <c r="AG110" s="33">
        <v>69190</v>
      </c>
      <c r="AH110" s="36">
        <f t="shared" si="1"/>
        <v>0</v>
      </c>
    </row>
    <row r="111" spans="1:34" x14ac:dyDescent="0.25">
      <c r="A111" s="16" t="s">
        <v>408</v>
      </c>
      <c r="B111" s="16" t="s">
        <v>1292</v>
      </c>
      <c r="C111" s="17">
        <v>45566</v>
      </c>
      <c r="D111" s="16" t="s">
        <v>32</v>
      </c>
      <c r="E111" s="16" t="s">
        <v>1293</v>
      </c>
      <c r="F111" s="18">
        <v>45594</v>
      </c>
      <c r="G111" s="18">
        <v>45958</v>
      </c>
      <c r="H111" s="30" t="s">
        <v>1294</v>
      </c>
      <c r="I111" s="20" t="s">
        <v>1295</v>
      </c>
      <c r="J111" s="27" t="s">
        <v>1164</v>
      </c>
      <c r="K111" s="16" t="s">
        <v>1296</v>
      </c>
      <c r="L111" s="16">
        <v>702019</v>
      </c>
      <c r="M111" s="16" t="s">
        <v>1297</v>
      </c>
      <c r="N111" s="16" t="s">
        <v>1292</v>
      </c>
      <c r="O111" s="16" t="s">
        <v>60</v>
      </c>
      <c r="P111" s="16" t="s">
        <v>61</v>
      </c>
      <c r="Q111" s="16" t="s">
        <v>1298</v>
      </c>
      <c r="R111" s="18">
        <v>44501</v>
      </c>
      <c r="S111" s="18">
        <v>47063</v>
      </c>
      <c r="T111" s="22">
        <v>1947000</v>
      </c>
      <c r="U111" s="16">
        <v>20</v>
      </c>
      <c r="V111" s="23">
        <v>389400</v>
      </c>
      <c r="W111" s="23">
        <v>1557600</v>
      </c>
      <c r="X111" s="24">
        <v>1.75</v>
      </c>
      <c r="Y111" s="31">
        <v>27258.000000000004</v>
      </c>
      <c r="Z111" s="16"/>
      <c r="AA111" s="16" t="s">
        <v>41</v>
      </c>
      <c r="AB111" s="16">
        <v>1141071585</v>
      </c>
      <c r="AC111" s="25">
        <v>45624</v>
      </c>
      <c r="AD111" s="26" t="s">
        <v>42</v>
      </c>
      <c r="AE111" s="26">
        <v>10</v>
      </c>
      <c r="AF111" s="16" t="s">
        <v>1293</v>
      </c>
      <c r="AG111" s="33">
        <v>27258</v>
      </c>
      <c r="AH111" s="36">
        <f t="shared" si="1"/>
        <v>0</v>
      </c>
    </row>
    <row r="112" spans="1:34" x14ac:dyDescent="0.25">
      <c r="A112" s="16" t="s">
        <v>408</v>
      </c>
      <c r="B112" s="16" t="s">
        <v>1299</v>
      </c>
      <c r="C112" s="17">
        <v>45566</v>
      </c>
      <c r="D112" s="16" t="s">
        <v>32</v>
      </c>
      <c r="E112" s="16" t="s">
        <v>1300</v>
      </c>
      <c r="F112" s="18">
        <v>45594</v>
      </c>
      <c r="G112" s="18">
        <v>45958</v>
      </c>
      <c r="H112" s="30" t="s">
        <v>1301</v>
      </c>
      <c r="I112" s="20" t="s">
        <v>1302</v>
      </c>
      <c r="J112" s="27" t="s">
        <v>1303</v>
      </c>
      <c r="K112" s="16" t="s">
        <v>1304</v>
      </c>
      <c r="L112" s="16">
        <v>60387</v>
      </c>
      <c r="M112" s="16" t="s">
        <v>1305</v>
      </c>
      <c r="N112" s="16" t="s">
        <v>1299</v>
      </c>
      <c r="O112" s="16" t="s">
        <v>38</v>
      </c>
      <c r="P112" s="16" t="s">
        <v>1306</v>
      </c>
      <c r="Q112" s="16" t="s">
        <v>1307</v>
      </c>
      <c r="R112" s="18">
        <v>44502</v>
      </c>
      <c r="S112" s="18">
        <v>46331</v>
      </c>
      <c r="T112" s="22">
        <v>3350000</v>
      </c>
      <c r="U112" s="16">
        <v>20</v>
      </c>
      <c r="V112" s="23">
        <v>670000</v>
      </c>
      <c r="W112" s="23">
        <v>2680000</v>
      </c>
      <c r="X112" s="24">
        <v>1.75</v>
      </c>
      <c r="Y112" s="31">
        <v>46900.000000000007</v>
      </c>
      <c r="Z112" s="16"/>
      <c r="AA112" s="16" t="s">
        <v>41</v>
      </c>
      <c r="AB112" s="16">
        <v>1141071585</v>
      </c>
      <c r="AC112" s="25">
        <v>45624</v>
      </c>
      <c r="AD112" s="26" t="s">
        <v>42</v>
      </c>
      <c r="AE112" s="26">
        <v>10</v>
      </c>
      <c r="AF112" s="16" t="s">
        <v>1300</v>
      </c>
      <c r="AG112" s="33">
        <v>46900</v>
      </c>
      <c r="AH112" s="36">
        <f t="shared" si="1"/>
        <v>0</v>
      </c>
    </row>
    <row r="113" spans="1:34" x14ac:dyDescent="0.25">
      <c r="A113" s="16" t="s">
        <v>408</v>
      </c>
      <c r="B113" s="16" t="s">
        <v>1308</v>
      </c>
      <c r="C113" s="17">
        <v>45566</v>
      </c>
      <c r="D113" s="16" t="s">
        <v>32</v>
      </c>
      <c r="E113" s="16" t="s">
        <v>1309</v>
      </c>
      <c r="F113" s="18">
        <v>45594</v>
      </c>
      <c r="G113" s="18">
        <v>45958</v>
      </c>
      <c r="H113" s="30" t="s">
        <v>1310</v>
      </c>
      <c r="I113" s="20" t="s">
        <v>1311</v>
      </c>
      <c r="J113" s="27" t="s">
        <v>734</v>
      </c>
      <c r="K113" s="16" t="s">
        <v>1312</v>
      </c>
      <c r="L113" s="16" t="s">
        <v>1313</v>
      </c>
      <c r="M113" s="16" t="s">
        <v>1314</v>
      </c>
      <c r="N113" s="16" t="s">
        <v>1308</v>
      </c>
      <c r="O113" s="16" t="s">
        <v>60</v>
      </c>
      <c r="P113" s="16" t="s">
        <v>61</v>
      </c>
      <c r="Q113" s="16" t="s">
        <v>1315</v>
      </c>
      <c r="R113" s="18">
        <v>44502</v>
      </c>
      <c r="S113" s="18">
        <v>45966</v>
      </c>
      <c r="T113" s="22">
        <v>690000</v>
      </c>
      <c r="U113" s="16">
        <v>20</v>
      </c>
      <c r="V113" s="23">
        <v>138000</v>
      </c>
      <c r="W113" s="23">
        <v>552000</v>
      </c>
      <c r="X113" s="24">
        <v>1.75</v>
      </c>
      <c r="Y113" s="31">
        <v>9660.0000000000018</v>
      </c>
      <c r="Z113" s="16"/>
      <c r="AA113" s="16" t="s">
        <v>41</v>
      </c>
      <c r="AB113" s="16">
        <v>1141071585</v>
      </c>
      <c r="AC113" s="25">
        <v>45624</v>
      </c>
      <c r="AD113" s="26" t="s">
        <v>42</v>
      </c>
      <c r="AE113" s="26">
        <v>0</v>
      </c>
      <c r="AF113" s="16" t="s">
        <v>1309</v>
      </c>
      <c r="AG113" s="33">
        <v>9660</v>
      </c>
      <c r="AH113" s="36">
        <f t="shared" si="1"/>
        <v>0</v>
      </c>
    </row>
    <row r="114" spans="1:34" x14ac:dyDescent="0.25">
      <c r="A114" s="16" t="s">
        <v>408</v>
      </c>
      <c r="B114" s="16" t="s">
        <v>1316</v>
      </c>
      <c r="C114" s="17">
        <v>45566</v>
      </c>
      <c r="D114" s="16" t="s">
        <v>32</v>
      </c>
      <c r="E114" s="16" t="s">
        <v>1317</v>
      </c>
      <c r="F114" s="18">
        <v>45594</v>
      </c>
      <c r="G114" s="18">
        <v>45958</v>
      </c>
      <c r="H114" s="30" t="s">
        <v>1318</v>
      </c>
      <c r="I114" s="20" t="s">
        <v>1319</v>
      </c>
      <c r="J114" s="27" t="s">
        <v>487</v>
      </c>
      <c r="K114" s="16" t="s">
        <v>1320</v>
      </c>
      <c r="L114" s="16">
        <v>222613</v>
      </c>
      <c r="M114" s="16" t="s">
        <v>1321</v>
      </c>
      <c r="N114" s="16" t="s">
        <v>1316</v>
      </c>
      <c r="O114" s="16" t="s">
        <v>60</v>
      </c>
      <c r="P114" s="16" t="s">
        <v>614</v>
      </c>
      <c r="Q114" s="16" t="s">
        <v>1322</v>
      </c>
      <c r="R114" s="18">
        <v>44502</v>
      </c>
      <c r="S114" s="18">
        <v>47063</v>
      </c>
      <c r="T114" s="22">
        <v>1610000</v>
      </c>
      <c r="U114" s="16">
        <v>20</v>
      </c>
      <c r="V114" s="23">
        <v>322000</v>
      </c>
      <c r="W114" s="23">
        <v>1288000</v>
      </c>
      <c r="X114" s="24">
        <v>1.75</v>
      </c>
      <c r="Y114" s="31">
        <v>22540.000000000004</v>
      </c>
      <c r="Z114" s="16"/>
      <c r="AA114" s="16" t="s">
        <v>41</v>
      </c>
      <c r="AB114" s="16">
        <v>1141071585</v>
      </c>
      <c r="AC114" s="25">
        <v>45624</v>
      </c>
      <c r="AD114" s="26" t="s">
        <v>42</v>
      </c>
      <c r="AE114" s="26">
        <v>10</v>
      </c>
      <c r="AF114" s="16" t="s">
        <v>1317</v>
      </c>
      <c r="AG114" s="33">
        <v>22540</v>
      </c>
      <c r="AH114" s="36">
        <f t="shared" si="1"/>
        <v>0</v>
      </c>
    </row>
    <row r="115" spans="1:34" x14ac:dyDescent="0.25">
      <c r="A115" s="16" t="s">
        <v>408</v>
      </c>
      <c r="B115" s="16" t="s">
        <v>1323</v>
      </c>
      <c r="C115" s="17">
        <v>45566</v>
      </c>
      <c r="D115" s="16" t="s">
        <v>32</v>
      </c>
      <c r="E115" s="16" t="s">
        <v>1324</v>
      </c>
      <c r="F115" s="18">
        <v>45594</v>
      </c>
      <c r="G115" s="18">
        <v>45958</v>
      </c>
      <c r="H115" s="30" t="s">
        <v>1325</v>
      </c>
      <c r="I115" s="20" t="s">
        <v>1326</v>
      </c>
      <c r="J115" s="27" t="s">
        <v>487</v>
      </c>
      <c r="K115" s="16" t="s">
        <v>1327</v>
      </c>
      <c r="L115" s="16">
        <v>222870</v>
      </c>
      <c r="M115" s="16" t="s">
        <v>1328</v>
      </c>
      <c r="N115" s="16" t="s">
        <v>1323</v>
      </c>
      <c r="O115" s="16" t="s">
        <v>60</v>
      </c>
      <c r="P115" s="16" t="s">
        <v>876</v>
      </c>
      <c r="Q115" s="16" t="s">
        <v>1329</v>
      </c>
      <c r="R115" s="18">
        <v>44501</v>
      </c>
      <c r="S115" s="18">
        <v>46331</v>
      </c>
      <c r="T115" s="22">
        <v>1610000</v>
      </c>
      <c r="U115" s="16">
        <v>20</v>
      </c>
      <c r="V115" s="23">
        <v>322000</v>
      </c>
      <c r="W115" s="23">
        <v>1288000</v>
      </c>
      <c r="X115" s="24">
        <v>1.75</v>
      </c>
      <c r="Y115" s="31">
        <v>22540.000000000004</v>
      </c>
      <c r="Z115" s="16"/>
      <c r="AA115" s="16" t="s">
        <v>41</v>
      </c>
      <c r="AB115" s="16">
        <v>1141071585</v>
      </c>
      <c r="AC115" s="25">
        <v>45624</v>
      </c>
      <c r="AD115" s="26" t="s">
        <v>42</v>
      </c>
      <c r="AE115" s="26">
        <v>0</v>
      </c>
      <c r="AF115" s="16" t="s">
        <v>1324</v>
      </c>
      <c r="AG115" s="33">
        <v>22540</v>
      </c>
      <c r="AH115" s="36">
        <f t="shared" si="1"/>
        <v>0</v>
      </c>
    </row>
    <row r="116" spans="1:34" x14ac:dyDescent="0.25">
      <c r="A116" s="16" t="s">
        <v>408</v>
      </c>
      <c r="B116" s="16" t="s">
        <v>1330</v>
      </c>
      <c r="C116" s="17">
        <v>45566</v>
      </c>
      <c r="D116" s="16" t="s">
        <v>32</v>
      </c>
      <c r="E116" s="16" t="s">
        <v>1331</v>
      </c>
      <c r="F116" s="18">
        <v>45594</v>
      </c>
      <c r="G116" s="18">
        <v>45958</v>
      </c>
      <c r="H116" s="30" t="s">
        <v>1332</v>
      </c>
      <c r="I116" s="20" t="s">
        <v>1333</v>
      </c>
      <c r="J116" s="27" t="s">
        <v>487</v>
      </c>
      <c r="K116" s="16" t="s">
        <v>1334</v>
      </c>
      <c r="L116" s="16">
        <v>201077</v>
      </c>
      <c r="M116" s="16" t="s">
        <v>1335</v>
      </c>
      <c r="N116" s="16" t="s">
        <v>1330</v>
      </c>
      <c r="O116" s="16" t="s">
        <v>60</v>
      </c>
      <c r="P116" s="16" t="s">
        <v>61</v>
      </c>
      <c r="Q116" s="16" t="s">
        <v>1336</v>
      </c>
      <c r="R116" s="18">
        <v>44501</v>
      </c>
      <c r="S116" s="18">
        <v>46331</v>
      </c>
      <c r="T116" s="22">
        <v>1550000</v>
      </c>
      <c r="U116" s="16">
        <v>20</v>
      </c>
      <c r="V116" s="23">
        <v>310000</v>
      </c>
      <c r="W116" s="23">
        <v>1240000</v>
      </c>
      <c r="X116" s="24">
        <v>1.75</v>
      </c>
      <c r="Y116" s="31">
        <v>21700.000000000004</v>
      </c>
      <c r="Z116" s="16"/>
      <c r="AA116" s="16" t="s">
        <v>41</v>
      </c>
      <c r="AB116" s="16">
        <v>1141071585</v>
      </c>
      <c r="AC116" s="25">
        <v>45624</v>
      </c>
      <c r="AD116" s="26" t="s">
        <v>42</v>
      </c>
      <c r="AE116" s="26">
        <v>0</v>
      </c>
      <c r="AF116" s="16" t="s">
        <v>1331</v>
      </c>
      <c r="AG116" s="33">
        <v>21700</v>
      </c>
      <c r="AH116" s="36">
        <f t="shared" si="1"/>
        <v>0</v>
      </c>
    </row>
    <row r="117" spans="1:34" x14ac:dyDescent="0.25">
      <c r="A117" s="16" t="s">
        <v>408</v>
      </c>
      <c r="B117" s="16" t="s">
        <v>1337</v>
      </c>
      <c r="C117" s="17">
        <v>45566</v>
      </c>
      <c r="D117" s="16" t="s">
        <v>32</v>
      </c>
      <c r="E117" s="16" t="s">
        <v>1338</v>
      </c>
      <c r="F117" s="18">
        <v>45594</v>
      </c>
      <c r="G117" s="18">
        <v>45958</v>
      </c>
      <c r="H117" s="30" t="s">
        <v>1339</v>
      </c>
      <c r="I117" s="20" t="s">
        <v>1340</v>
      </c>
      <c r="J117" s="27" t="s">
        <v>1341</v>
      </c>
      <c r="K117" s="16" t="s">
        <v>1342</v>
      </c>
      <c r="L117" s="16" t="s">
        <v>1343</v>
      </c>
      <c r="M117" s="16" t="s">
        <v>1344</v>
      </c>
      <c r="N117" s="16" t="s">
        <v>1337</v>
      </c>
      <c r="O117" s="16" t="s">
        <v>60</v>
      </c>
      <c r="P117" s="16" t="s">
        <v>61</v>
      </c>
      <c r="Q117" s="16" t="s">
        <v>1345</v>
      </c>
      <c r="R117" s="18">
        <v>44501</v>
      </c>
      <c r="S117" s="18">
        <v>46331</v>
      </c>
      <c r="T117" s="22">
        <v>2703000</v>
      </c>
      <c r="U117" s="16">
        <v>20</v>
      </c>
      <c r="V117" s="23">
        <v>540600</v>
      </c>
      <c r="W117" s="23">
        <v>2162400</v>
      </c>
      <c r="X117" s="24">
        <v>1.75</v>
      </c>
      <c r="Y117" s="31">
        <v>37842</v>
      </c>
      <c r="Z117" s="16"/>
      <c r="AA117" s="16" t="s">
        <v>41</v>
      </c>
      <c r="AB117" s="16">
        <v>1141071585</v>
      </c>
      <c r="AC117" s="25">
        <v>45624</v>
      </c>
      <c r="AD117" s="26" t="s">
        <v>42</v>
      </c>
      <c r="AE117" s="26">
        <v>0</v>
      </c>
      <c r="AF117" s="16" t="s">
        <v>1338</v>
      </c>
      <c r="AG117" s="33">
        <v>37842</v>
      </c>
      <c r="AH117" s="36">
        <f t="shared" si="1"/>
        <v>0</v>
      </c>
    </row>
    <row r="118" spans="1:34" x14ac:dyDescent="0.25">
      <c r="A118" s="16" t="s">
        <v>408</v>
      </c>
      <c r="B118" s="16" t="s">
        <v>1346</v>
      </c>
      <c r="C118" s="17">
        <v>45566</v>
      </c>
      <c r="D118" s="16" t="s">
        <v>32</v>
      </c>
      <c r="E118" s="16" t="s">
        <v>1347</v>
      </c>
      <c r="F118" s="18">
        <v>45594</v>
      </c>
      <c r="G118" s="18">
        <v>45958</v>
      </c>
      <c r="H118" s="30" t="s">
        <v>1348</v>
      </c>
      <c r="I118" s="20" t="s">
        <v>1349</v>
      </c>
      <c r="J118" s="27" t="s">
        <v>495</v>
      </c>
      <c r="K118" s="16" t="s">
        <v>1350</v>
      </c>
      <c r="L118" s="16" t="s">
        <v>1351</v>
      </c>
      <c r="M118" s="16" t="s">
        <v>1352</v>
      </c>
      <c r="N118" s="16" t="s">
        <v>1346</v>
      </c>
      <c r="O118" s="16" t="s">
        <v>50</v>
      </c>
      <c r="P118" s="16" t="s">
        <v>51</v>
      </c>
      <c r="Q118" s="16" t="s">
        <v>1353</v>
      </c>
      <c r="R118" s="18">
        <v>44866</v>
      </c>
      <c r="S118" s="18">
        <v>46331</v>
      </c>
      <c r="T118" s="22">
        <v>2175000</v>
      </c>
      <c r="U118" s="16">
        <v>15</v>
      </c>
      <c r="V118" s="23">
        <v>326250</v>
      </c>
      <c r="W118" s="23">
        <v>1848750</v>
      </c>
      <c r="X118" s="24">
        <v>2</v>
      </c>
      <c r="Y118" s="31">
        <v>36975</v>
      </c>
      <c r="Z118" s="16"/>
      <c r="AA118" s="16" t="s">
        <v>41</v>
      </c>
      <c r="AB118" s="16">
        <v>1141071585</v>
      </c>
      <c r="AC118" s="25">
        <v>45624</v>
      </c>
      <c r="AD118" s="26" t="s">
        <v>42</v>
      </c>
      <c r="AE118" s="26">
        <v>10</v>
      </c>
      <c r="AF118" s="16" t="s">
        <v>1347</v>
      </c>
      <c r="AG118" s="33">
        <v>36975</v>
      </c>
      <c r="AH118" s="36">
        <f t="shared" si="1"/>
        <v>0</v>
      </c>
    </row>
    <row r="119" spans="1:34" x14ac:dyDescent="0.25">
      <c r="A119" s="16" t="s">
        <v>408</v>
      </c>
      <c r="B119" s="16" t="s">
        <v>1354</v>
      </c>
      <c r="C119" s="17">
        <v>45566</v>
      </c>
      <c r="D119" s="16" t="s">
        <v>32</v>
      </c>
      <c r="E119" s="16" t="s">
        <v>1355</v>
      </c>
      <c r="F119" s="18">
        <v>45594</v>
      </c>
      <c r="G119" s="18">
        <v>45958</v>
      </c>
      <c r="H119" s="30" t="s">
        <v>1356</v>
      </c>
      <c r="I119" s="20" t="s">
        <v>1357</v>
      </c>
      <c r="J119" s="27" t="s">
        <v>645</v>
      </c>
      <c r="K119" s="16" t="s">
        <v>1358</v>
      </c>
      <c r="L119" s="16">
        <v>143824</v>
      </c>
      <c r="M119" s="16" t="s">
        <v>1359</v>
      </c>
      <c r="N119" s="16" t="s">
        <v>1354</v>
      </c>
      <c r="O119" s="16" t="s">
        <v>38</v>
      </c>
      <c r="P119" s="16" t="s">
        <v>39</v>
      </c>
      <c r="Q119" s="16" t="s">
        <v>1360</v>
      </c>
      <c r="R119" s="18">
        <v>44140</v>
      </c>
      <c r="S119" s="18">
        <v>45966</v>
      </c>
      <c r="T119" s="22">
        <v>1433000</v>
      </c>
      <c r="U119" s="16">
        <v>25</v>
      </c>
      <c r="V119" s="23">
        <v>358250</v>
      </c>
      <c r="W119" s="23">
        <v>1074750</v>
      </c>
      <c r="X119" s="24">
        <v>2.5</v>
      </c>
      <c r="Y119" s="31">
        <v>26868.75</v>
      </c>
      <c r="Z119" s="16"/>
      <c r="AA119" s="16" t="s">
        <v>41</v>
      </c>
      <c r="AB119" s="16">
        <v>1141071585</v>
      </c>
      <c r="AC119" s="25">
        <v>45624</v>
      </c>
      <c r="AD119" s="26" t="s">
        <v>42</v>
      </c>
      <c r="AE119" s="26">
        <v>0</v>
      </c>
      <c r="AF119" s="16" t="s">
        <v>1355</v>
      </c>
      <c r="AG119" s="33">
        <v>26869</v>
      </c>
      <c r="AH119" s="36">
        <f t="shared" si="1"/>
        <v>-0.25</v>
      </c>
    </row>
    <row r="120" spans="1:34" x14ac:dyDescent="0.25">
      <c r="A120" s="16" t="s">
        <v>408</v>
      </c>
      <c r="B120" s="16" t="s">
        <v>1361</v>
      </c>
      <c r="C120" s="17">
        <v>45566</v>
      </c>
      <c r="D120" s="16" t="s">
        <v>32</v>
      </c>
      <c r="E120" s="16" t="s">
        <v>1362</v>
      </c>
      <c r="F120" s="18">
        <v>45594</v>
      </c>
      <c r="G120" s="18">
        <v>45958</v>
      </c>
      <c r="H120" s="30" t="s">
        <v>1363</v>
      </c>
      <c r="I120" s="20" t="s">
        <v>1364</v>
      </c>
      <c r="J120" s="27" t="s">
        <v>1365</v>
      </c>
      <c r="K120" s="16" t="s">
        <v>1366</v>
      </c>
      <c r="L120" s="16" t="s">
        <v>1367</v>
      </c>
      <c r="M120" s="16" t="s">
        <v>1368</v>
      </c>
      <c r="N120" s="16" t="s">
        <v>1361</v>
      </c>
      <c r="O120" s="16" t="s">
        <v>60</v>
      </c>
      <c r="P120" s="16" t="s">
        <v>320</v>
      </c>
      <c r="Q120" s="16" t="s">
        <v>1369</v>
      </c>
      <c r="R120" s="18">
        <v>44137</v>
      </c>
      <c r="S120" s="18">
        <v>45966</v>
      </c>
      <c r="T120" s="22">
        <v>1950000</v>
      </c>
      <c r="U120" s="16">
        <v>25</v>
      </c>
      <c r="V120" s="23">
        <v>487500</v>
      </c>
      <c r="W120" s="23">
        <v>1462500</v>
      </c>
      <c r="X120" s="24">
        <v>2.5</v>
      </c>
      <c r="Y120" s="31">
        <v>36562.5</v>
      </c>
      <c r="Z120" s="16"/>
      <c r="AA120" s="16" t="s">
        <v>41</v>
      </c>
      <c r="AB120" s="16">
        <v>1141071585</v>
      </c>
      <c r="AC120" s="25">
        <v>45624</v>
      </c>
      <c r="AD120" s="26" t="s">
        <v>42</v>
      </c>
      <c r="AE120" s="26">
        <v>10</v>
      </c>
      <c r="AF120" s="16" t="s">
        <v>1362</v>
      </c>
      <c r="AG120" s="33">
        <v>36563</v>
      </c>
      <c r="AH120" s="36">
        <f t="shared" si="1"/>
        <v>-0.5</v>
      </c>
    </row>
    <row r="121" spans="1:34" x14ac:dyDescent="0.25">
      <c r="A121" s="16" t="s">
        <v>408</v>
      </c>
      <c r="B121" s="16" t="s">
        <v>1370</v>
      </c>
      <c r="C121" s="17">
        <v>45566</v>
      </c>
      <c r="D121" s="16" t="s">
        <v>32</v>
      </c>
      <c r="E121" s="16" t="s">
        <v>1371</v>
      </c>
      <c r="F121" s="18">
        <v>45594</v>
      </c>
      <c r="G121" s="18">
        <v>45958</v>
      </c>
      <c r="H121" s="30" t="s">
        <v>1372</v>
      </c>
      <c r="I121" s="20" t="s">
        <v>1373</v>
      </c>
      <c r="J121" s="27" t="s">
        <v>645</v>
      </c>
      <c r="K121" s="16" t="s">
        <v>1374</v>
      </c>
      <c r="L121" s="16">
        <v>143792</v>
      </c>
      <c r="M121" s="16" t="s">
        <v>1375</v>
      </c>
      <c r="N121" s="16" t="s">
        <v>1370</v>
      </c>
      <c r="O121" s="16" t="s">
        <v>60</v>
      </c>
      <c r="P121" s="16" t="s">
        <v>320</v>
      </c>
      <c r="Q121" s="16" t="s">
        <v>1376</v>
      </c>
      <c r="R121" s="18">
        <v>44137</v>
      </c>
      <c r="S121" s="18">
        <v>45966</v>
      </c>
      <c r="T121" s="22">
        <v>1433000</v>
      </c>
      <c r="U121" s="16">
        <v>25</v>
      </c>
      <c r="V121" s="23">
        <v>358250</v>
      </c>
      <c r="W121" s="23">
        <v>1074750</v>
      </c>
      <c r="X121" s="24">
        <v>2.5</v>
      </c>
      <c r="Y121" s="31">
        <v>26868.75</v>
      </c>
      <c r="Z121" s="16"/>
      <c r="AA121" s="16" t="s">
        <v>41</v>
      </c>
      <c r="AB121" s="16">
        <v>1141071585</v>
      </c>
      <c r="AC121" s="25">
        <v>45624</v>
      </c>
      <c r="AD121" s="26" t="s">
        <v>42</v>
      </c>
      <c r="AE121" s="26">
        <v>10</v>
      </c>
      <c r="AF121" s="16" t="s">
        <v>1371</v>
      </c>
      <c r="AG121" s="33">
        <v>26869</v>
      </c>
      <c r="AH121" s="36">
        <f t="shared" si="1"/>
        <v>-0.25</v>
      </c>
    </row>
    <row r="122" spans="1:34" x14ac:dyDescent="0.25">
      <c r="A122" s="16" t="s">
        <v>408</v>
      </c>
      <c r="B122" s="16" t="s">
        <v>1377</v>
      </c>
      <c r="C122" s="17">
        <v>45566</v>
      </c>
      <c r="D122" s="16" t="s">
        <v>32</v>
      </c>
      <c r="E122" s="16" t="s">
        <v>1378</v>
      </c>
      <c r="F122" s="18">
        <v>45594</v>
      </c>
      <c r="G122" s="18">
        <v>45958</v>
      </c>
      <c r="H122" s="30" t="s">
        <v>1379</v>
      </c>
      <c r="I122" s="20" t="s">
        <v>1380</v>
      </c>
      <c r="J122" s="27" t="s">
        <v>1381</v>
      </c>
      <c r="K122" s="16" t="s">
        <v>1382</v>
      </c>
      <c r="L122" s="16" t="s">
        <v>1383</v>
      </c>
      <c r="M122" s="16" t="s">
        <v>1384</v>
      </c>
      <c r="N122" s="16" t="s">
        <v>1377</v>
      </c>
      <c r="O122" s="16" t="s">
        <v>50</v>
      </c>
      <c r="P122" s="16" t="s">
        <v>51</v>
      </c>
      <c r="Q122" s="16" t="s">
        <v>1385</v>
      </c>
      <c r="R122" s="18">
        <v>44137</v>
      </c>
      <c r="S122" s="18">
        <v>45966</v>
      </c>
      <c r="T122" s="22">
        <v>2600000</v>
      </c>
      <c r="U122" s="16">
        <v>25</v>
      </c>
      <c r="V122" s="23">
        <v>650000</v>
      </c>
      <c r="W122" s="23">
        <v>1950000</v>
      </c>
      <c r="X122" s="24">
        <v>2.5</v>
      </c>
      <c r="Y122" s="31">
        <v>48750</v>
      </c>
      <c r="Z122" s="16"/>
      <c r="AA122" s="16" t="s">
        <v>41</v>
      </c>
      <c r="AB122" s="16">
        <v>1141071585</v>
      </c>
      <c r="AC122" s="25">
        <v>45624</v>
      </c>
      <c r="AD122" s="26" t="s">
        <v>42</v>
      </c>
      <c r="AE122" s="26">
        <v>0</v>
      </c>
      <c r="AF122" s="16" t="s">
        <v>1378</v>
      </c>
      <c r="AG122" s="33">
        <v>48750</v>
      </c>
      <c r="AH122" s="36">
        <f t="shared" si="1"/>
        <v>0</v>
      </c>
    </row>
    <row r="123" spans="1:34" x14ac:dyDescent="0.25">
      <c r="A123" s="16" t="s">
        <v>408</v>
      </c>
      <c r="B123" s="16" t="s">
        <v>1386</v>
      </c>
      <c r="C123" s="17">
        <v>45566</v>
      </c>
      <c r="D123" s="16" t="s">
        <v>32</v>
      </c>
      <c r="E123" s="16" t="s">
        <v>1387</v>
      </c>
      <c r="F123" s="18">
        <v>45594</v>
      </c>
      <c r="G123" s="18">
        <v>45958</v>
      </c>
      <c r="H123" s="30" t="s">
        <v>1388</v>
      </c>
      <c r="I123" s="20" t="s">
        <v>1389</v>
      </c>
      <c r="J123" s="27" t="s">
        <v>487</v>
      </c>
      <c r="K123" s="16" t="s">
        <v>1390</v>
      </c>
      <c r="L123" s="16">
        <v>222386</v>
      </c>
      <c r="M123" s="16" t="s">
        <v>1391</v>
      </c>
      <c r="N123" s="16" t="s">
        <v>1386</v>
      </c>
      <c r="O123" s="16" t="s">
        <v>60</v>
      </c>
      <c r="P123" s="16" t="s">
        <v>1392</v>
      </c>
      <c r="Q123" s="16" t="s">
        <v>1393</v>
      </c>
      <c r="R123" s="18">
        <v>44501</v>
      </c>
      <c r="S123" s="18">
        <v>46331</v>
      </c>
      <c r="T123" s="22">
        <v>1610000</v>
      </c>
      <c r="U123" s="16">
        <v>20</v>
      </c>
      <c r="V123" s="23">
        <v>322000</v>
      </c>
      <c r="W123" s="23">
        <v>1288000</v>
      </c>
      <c r="X123" s="24">
        <v>2.5</v>
      </c>
      <c r="Y123" s="31">
        <v>32200</v>
      </c>
      <c r="Z123" s="16"/>
      <c r="AA123" s="16" t="s">
        <v>41</v>
      </c>
      <c r="AB123" s="16">
        <v>1141071585</v>
      </c>
      <c r="AC123" s="25">
        <v>45624</v>
      </c>
      <c r="AD123" s="26" t="s">
        <v>42</v>
      </c>
      <c r="AE123" s="26">
        <v>10</v>
      </c>
      <c r="AF123" s="16" t="s">
        <v>1387</v>
      </c>
      <c r="AG123" s="33">
        <v>32200</v>
      </c>
      <c r="AH123" s="36">
        <f t="shared" si="1"/>
        <v>0</v>
      </c>
    </row>
    <row r="124" spans="1:34" x14ac:dyDescent="0.25">
      <c r="A124" s="16" t="s">
        <v>408</v>
      </c>
      <c r="B124" s="16" t="s">
        <v>1394</v>
      </c>
      <c r="C124" s="17">
        <v>45566</v>
      </c>
      <c r="D124" s="16" t="s">
        <v>32</v>
      </c>
      <c r="E124" s="16" t="s">
        <v>1395</v>
      </c>
      <c r="F124" s="18">
        <v>45594</v>
      </c>
      <c r="G124" s="18">
        <v>45958</v>
      </c>
      <c r="H124" s="30" t="s">
        <v>1396</v>
      </c>
      <c r="I124" s="20" t="s">
        <v>1397</v>
      </c>
      <c r="J124" s="27" t="s">
        <v>1398</v>
      </c>
      <c r="K124" s="16" t="s">
        <v>1399</v>
      </c>
      <c r="L124" s="16">
        <v>539229</v>
      </c>
      <c r="M124" s="16" t="s">
        <v>1400</v>
      </c>
      <c r="N124" s="16" t="s">
        <v>1394</v>
      </c>
      <c r="O124" s="16" t="s">
        <v>60</v>
      </c>
      <c r="P124" s="16" t="s">
        <v>1401</v>
      </c>
      <c r="Q124" s="16" t="s">
        <v>1402</v>
      </c>
      <c r="R124" s="18">
        <v>43409</v>
      </c>
      <c r="S124" s="18">
        <v>45966</v>
      </c>
      <c r="T124" s="22">
        <v>2247000</v>
      </c>
      <c r="U124" s="16">
        <v>35</v>
      </c>
      <c r="V124" s="23">
        <v>786450</v>
      </c>
      <c r="W124" s="23">
        <v>1460550</v>
      </c>
      <c r="X124" s="24">
        <v>3.75</v>
      </c>
      <c r="Y124" s="31">
        <v>54770.625</v>
      </c>
      <c r="Z124" s="16"/>
      <c r="AA124" s="16" t="s">
        <v>41</v>
      </c>
      <c r="AB124" s="16">
        <v>1141071585</v>
      </c>
      <c r="AC124" s="25">
        <v>45624</v>
      </c>
      <c r="AD124" s="26" t="s">
        <v>42</v>
      </c>
      <c r="AE124" s="26">
        <v>10</v>
      </c>
      <c r="AF124" s="16" t="s">
        <v>1395</v>
      </c>
      <c r="AG124" s="33">
        <v>54771</v>
      </c>
      <c r="AH124" s="36">
        <f t="shared" si="1"/>
        <v>-0.375</v>
      </c>
    </row>
    <row r="125" spans="1:34" x14ac:dyDescent="0.25">
      <c r="A125" s="16" t="s">
        <v>408</v>
      </c>
      <c r="B125" s="16" t="s">
        <v>1403</v>
      </c>
      <c r="C125" s="17">
        <v>45566</v>
      </c>
      <c r="D125" s="16" t="s">
        <v>32</v>
      </c>
      <c r="E125" s="16" t="s">
        <v>1404</v>
      </c>
      <c r="F125" s="18">
        <v>45594</v>
      </c>
      <c r="G125" s="18">
        <v>45958</v>
      </c>
      <c r="H125" s="30" t="s">
        <v>1405</v>
      </c>
      <c r="I125" s="20">
        <v>4210103575381</v>
      </c>
      <c r="J125" s="27" t="s">
        <v>983</v>
      </c>
      <c r="K125" s="16" t="s">
        <v>1406</v>
      </c>
      <c r="L125" s="16">
        <v>376677</v>
      </c>
      <c r="M125" s="16" t="s">
        <v>1407</v>
      </c>
      <c r="N125" s="16" t="s">
        <v>1403</v>
      </c>
      <c r="O125" s="16" t="s">
        <v>50</v>
      </c>
      <c r="P125" s="16" t="s">
        <v>51</v>
      </c>
      <c r="Q125" s="16" t="s">
        <v>1408</v>
      </c>
      <c r="R125" s="18">
        <v>44502</v>
      </c>
      <c r="S125" s="18">
        <v>45966</v>
      </c>
      <c r="T125" s="22">
        <v>1020000</v>
      </c>
      <c r="U125" s="16">
        <v>20</v>
      </c>
      <c r="V125" s="23">
        <v>204000</v>
      </c>
      <c r="W125" s="23">
        <v>816000</v>
      </c>
      <c r="X125" s="24">
        <v>1.75</v>
      </c>
      <c r="Y125" s="31">
        <v>14280.000000000002</v>
      </c>
      <c r="Z125" s="16"/>
      <c r="AA125" s="16" t="s">
        <v>41</v>
      </c>
      <c r="AB125" s="16">
        <v>1141071585</v>
      </c>
      <c r="AC125" s="25">
        <v>45624</v>
      </c>
      <c r="AD125" s="26" t="s">
        <v>42</v>
      </c>
      <c r="AE125" s="26">
        <v>41</v>
      </c>
      <c r="AF125" s="16" t="s">
        <v>1404</v>
      </c>
      <c r="AG125" s="33">
        <v>14280</v>
      </c>
      <c r="AH125" s="36">
        <f t="shared" si="1"/>
        <v>0</v>
      </c>
    </row>
    <row r="126" spans="1:34" x14ac:dyDescent="0.25">
      <c r="A126" s="16" t="s">
        <v>408</v>
      </c>
      <c r="B126" s="16" t="s">
        <v>1409</v>
      </c>
      <c r="C126" s="17">
        <v>45566</v>
      </c>
      <c r="D126" s="16" t="s">
        <v>32</v>
      </c>
      <c r="E126" s="16" t="s">
        <v>1410</v>
      </c>
      <c r="F126" s="18">
        <v>45594</v>
      </c>
      <c r="G126" s="18">
        <v>45958</v>
      </c>
      <c r="H126" s="30" t="s">
        <v>1411</v>
      </c>
      <c r="I126" s="20">
        <v>3520183479127</v>
      </c>
      <c r="J126" s="27" t="s">
        <v>983</v>
      </c>
      <c r="K126" s="16" t="s">
        <v>1412</v>
      </c>
      <c r="L126" s="16" t="s">
        <v>1413</v>
      </c>
      <c r="M126" s="16" t="s">
        <v>1414</v>
      </c>
      <c r="N126" s="16" t="s">
        <v>1409</v>
      </c>
      <c r="O126" s="16" t="s">
        <v>60</v>
      </c>
      <c r="P126" s="16" t="s">
        <v>61</v>
      </c>
      <c r="Q126" s="16" t="s">
        <v>1415</v>
      </c>
      <c r="R126" s="18">
        <v>44502</v>
      </c>
      <c r="S126" s="18">
        <v>46331</v>
      </c>
      <c r="T126" s="22">
        <v>1020000</v>
      </c>
      <c r="U126" s="16">
        <v>20</v>
      </c>
      <c r="V126" s="23">
        <v>204000</v>
      </c>
      <c r="W126" s="23">
        <v>816000</v>
      </c>
      <c r="X126" s="24">
        <v>1.75</v>
      </c>
      <c r="Y126" s="31">
        <v>14280.000000000002</v>
      </c>
      <c r="Z126" s="16"/>
      <c r="AA126" s="16" t="s">
        <v>41</v>
      </c>
      <c r="AB126" s="16">
        <v>1141071585</v>
      </c>
      <c r="AC126" s="25">
        <v>45624</v>
      </c>
      <c r="AD126" s="26" t="s">
        <v>42</v>
      </c>
      <c r="AE126" s="26">
        <v>10</v>
      </c>
      <c r="AF126" s="16" t="s">
        <v>1410</v>
      </c>
      <c r="AG126" s="33">
        <v>14280</v>
      </c>
      <c r="AH126" s="36">
        <f t="shared" si="1"/>
        <v>0</v>
      </c>
    </row>
    <row r="127" spans="1:34" x14ac:dyDescent="0.25">
      <c r="A127" s="16" t="s">
        <v>408</v>
      </c>
      <c r="B127" s="16" t="s">
        <v>1416</v>
      </c>
      <c r="C127" s="17">
        <v>45566</v>
      </c>
      <c r="D127" s="16" t="s">
        <v>32</v>
      </c>
      <c r="E127" s="16" t="s">
        <v>1417</v>
      </c>
      <c r="F127" s="18">
        <v>45595</v>
      </c>
      <c r="G127" s="18">
        <v>45959</v>
      </c>
      <c r="H127" s="30" t="s">
        <v>1418</v>
      </c>
      <c r="I127" s="20" t="s">
        <v>1419</v>
      </c>
      <c r="J127" s="27" t="s">
        <v>767</v>
      </c>
      <c r="K127" s="16" t="s">
        <v>1420</v>
      </c>
      <c r="L127" s="16">
        <v>2953959</v>
      </c>
      <c r="M127" s="16" t="s">
        <v>1421</v>
      </c>
      <c r="N127" s="16" t="s">
        <v>1416</v>
      </c>
      <c r="O127" s="16" t="s">
        <v>60</v>
      </c>
      <c r="P127" s="16" t="s">
        <v>876</v>
      </c>
      <c r="Q127" s="16" t="s">
        <v>1422</v>
      </c>
      <c r="R127" s="18">
        <v>43770</v>
      </c>
      <c r="S127" s="18">
        <v>45966</v>
      </c>
      <c r="T127" s="22">
        <v>3907000</v>
      </c>
      <c r="U127" s="16">
        <v>30</v>
      </c>
      <c r="V127" s="23">
        <v>1172100</v>
      </c>
      <c r="W127" s="23">
        <v>2734900</v>
      </c>
      <c r="X127" s="24">
        <v>1.5</v>
      </c>
      <c r="Y127" s="31">
        <v>41023.5</v>
      </c>
      <c r="Z127" s="16"/>
      <c r="AA127" s="16" t="s">
        <v>41</v>
      </c>
      <c r="AB127" s="16">
        <v>1141071585</v>
      </c>
      <c r="AC127" s="25">
        <v>45624</v>
      </c>
      <c r="AD127" s="26" t="s">
        <v>42</v>
      </c>
      <c r="AE127" s="26">
        <v>10</v>
      </c>
      <c r="AF127" s="16" t="s">
        <v>1417</v>
      </c>
      <c r="AG127" s="33">
        <v>41024</v>
      </c>
      <c r="AH127" s="36">
        <f t="shared" si="1"/>
        <v>-0.5</v>
      </c>
    </row>
    <row r="128" spans="1:34" x14ac:dyDescent="0.25">
      <c r="A128" s="16" t="s">
        <v>408</v>
      </c>
      <c r="B128" s="16" t="s">
        <v>1423</v>
      </c>
      <c r="C128" s="17">
        <v>45566</v>
      </c>
      <c r="D128" s="16" t="s">
        <v>32</v>
      </c>
      <c r="E128" s="16" t="s">
        <v>1424</v>
      </c>
      <c r="F128" s="18">
        <v>45595</v>
      </c>
      <c r="G128" s="18">
        <v>45959</v>
      </c>
      <c r="H128" s="30" t="s">
        <v>1425</v>
      </c>
      <c r="I128" s="20" t="s">
        <v>1426</v>
      </c>
      <c r="J128" s="27" t="s">
        <v>1427</v>
      </c>
      <c r="K128" s="16" t="s">
        <v>1428</v>
      </c>
      <c r="L128" s="16" t="s">
        <v>1429</v>
      </c>
      <c r="M128" s="16" t="s">
        <v>1430</v>
      </c>
      <c r="N128" s="16" t="s">
        <v>1423</v>
      </c>
      <c r="O128" s="16" t="s">
        <v>60</v>
      </c>
      <c r="P128" s="16" t="s">
        <v>61</v>
      </c>
      <c r="Q128" s="16" t="s">
        <v>1431</v>
      </c>
      <c r="R128" s="18">
        <v>45230</v>
      </c>
      <c r="S128" s="18">
        <v>46331</v>
      </c>
      <c r="T128" s="22">
        <v>4100000</v>
      </c>
      <c r="U128" s="16">
        <v>10</v>
      </c>
      <c r="V128" s="23">
        <v>410000</v>
      </c>
      <c r="W128" s="23">
        <v>3690000</v>
      </c>
      <c r="X128" s="24">
        <v>1.5</v>
      </c>
      <c r="Y128" s="31">
        <v>55350</v>
      </c>
      <c r="Z128" s="16"/>
      <c r="AA128" s="16" t="s">
        <v>41</v>
      </c>
      <c r="AB128" s="16">
        <v>1141071585</v>
      </c>
      <c r="AC128" s="25">
        <v>45624</v>
      </c>
      <c r="AD128" s="26" t="s">
        <v>42</v>
      </c>
      <c r="AE128" s="26">
        <v>0</v>
      </c>
      <c r="AF128" s="16" t="s">
        <v>1424</v>
      </c>
      <c r="AG128" s="33">
        <v>55350</v>
      </c>
      <c r="AH128" s="36">
        <f t="shared" si="1"/>
        <v>0</v>
      </c>
    </row>
    <row r="129" spans="1:34" x14ac:dyDescent="0.25">
      <c r="A129" s="16" t="s">
        <v>408</v>
      </c>
      <c r="B129" s="16" t="s">
        <v>1432</v>
      </c>
      <c r="C129" s="17">
        <v>45566</v>
      </c>
      <c r="D129" s="16" t="s">
        <v>32</v>
      </c>
      <c r="E129" s="16" t="s">
        <v>1433</v>
      </c>
      <c r="F129" s="18">
        <v>45595</v>
      </c>
      <c r="G129" s="18">
        <v>45959</v>
      </c>
      <c r="H129" s="30" t="s">
        <v>1434</v>
      </c>
      <c r="I129" s="20" t="s">
        <v>1435</v>
      </c>
      <c r="J129" s="27" t="s">
        <v>1436</v>
      </c>
      <c r="K129" s="16" t="s">
        <v>1437</v>
      </c>
      <c r="L129" s="16">
        <v>285788</v>
      </c>
      <c r="M129" s="16" t="s">
        <v>1438</v>
      </c>
      <c r="N129" s="16" t="s">
        <v>1432</v>
      </c>
      <c r="O129" s="16" t="s">
        <v>38</v>
      </c>
      <c r="P129" s="16" t="s">
        <v>39</v>
      </c>
      <c r="Q129" s="16" t="s">
        <v>1439</v>
      </c>
      <c r="R129" s="18">
        <v>45232</v>
      </c>
      <c r="S129" s="18">
        <v>46331</v>
      </c>
      <c r="T129" s="22">
        <v>2799000</v>
      </c>
      <c r="U129" s="16">
        <v>10</v>
      </c>
      <c r="V129" s="23">
        <v>279900</v>
      </c>
      <c r="W129" s="23">
        <v>2519100</v>
      </c>
      <c r="X129" s="24">
        <v>2</v>
      </c>
      <c r="Y129" s="31">
        <v>50382</v>
      </c>
      <c r="Z129" s="16"/>
      <c r="AA129" s="16" t="s">
        <v>41</v>
      </c>
      <c r="AB129" s="16">
        <v>1141071585</v>
      </c>
      <c r="AC129" s="25">
        <v>45624</v>
      </c>
      <c r="AD129" s="26" t="s">
        <v>42</v>
      </c>
      <c r="AE129" s="26">
        <v>10</v>
      </c>
      <c r="AF129" s="16" t="s">
        <v>1433</v>
      </c>
      <c r="AG129" s="33">
        <v>50382</v>
      </c>
      <c r="AH129" s="36">
        <f t="shared" si="1"/>
        <v>0</v>
      </c>
    </row>
    <row r="130" spans="1:34" x14ac:dyDescent="0.25">
      <c r="A130" s="16" t="s">
        <v>408</v>
      </c>
      <c r="B130" s="16" t="s">
        <v>1440</v>
      </c>
      <c r="C130" s="17">
        <v>45566</v>
      </c>
      <c r="D130" s="16" t="s">
        <v>32</v>
      </c>
      <c r="E130" s="16" t="s">
        <v>1441</v>
      </c>
      <c r="F130" s="18">
        <v>45595</v>
      </c>
      <c r="G130" s="18">
        <v>45959</v>
      </c>
      <c r="H130" s="30" t="s">
        <v>1442</v>
      </c>
      <c r="I130" s="20" t="s">
        <v>1443</v>
      </c>
      <c r="J130" s="27" t="s">
        <v>487</v>
      </c>
      <c r="K130" s="16" t="s">
        <v>1444</v>
      </c>
      <c r="L130" s="16" t="s">
        <v>1445</v>
      </c>
      <c r="M130" s="16" t="s">
        <v>1446</v>
      </c>
      <c r="N130" s="16" t="s">
        <v>1440</v>
      </c>
      <c r="O130" s="16" t="s">
        <v>60</v>
      </c>
      <c r="P130" s="16" t="s">
        <v>61</v>
      </c>
      <c r="Q130" s="16" t="s">
        <v>1447</v>
      </c>
      <c r="R130" s="18">
        <v>45230</v>
      </c>
      <c r="S130" s="18">
        <v>46696</v>
      </c>
      <c r="T130" s="22">
        <v>1680000</v>
      </c>
      <c r="U130" s="16">
        <v>10</v>
      </c>
      <c r="V130" s="23">
        <v>168000</v>
      </c>
      <c r="W130" s="23">
        <v>1512000</v>
      </c>
      <c r="X130" s="24">
        <v>2</v>
      </c>
      <c r="Y130" s="31">
        <v>30240</v>
      </c>
      <c r="Z130" s="16"/>
      <c r="AA130" s="16" t="s">
        <v>41</v>
      </c>
      <c r="AB130" s="16">
        <v>1141071585</v>
      </c>
      <c r="AC130" s="25">
        <v>45624</v>
      </c>
      <c r="AD130" s="26" t="s">
        <v>42</v>
      </c>
      <c r="AE130" s="26">
        <v>41</v>
      </c>
      <c r="AF130" s="16" t="s">
        <v>1441</v>
      </c>
      <c r="AG130" s="33">
        <v>30240</v>
      </c>
      <c r="AH130" s="36">
        <f t="shared" si="1"/>
        <v>0</v>
      </c>
    </row>
    <row r="131" spans="1:34" x14ac:dyDescent="0.25">
      <c r="A131" s="16" t="s">
        <v>408</v>
      </c>
      <c r="B131" s="16" t="s">
        <v>1448</v>
      </c>
      <c r="C131" s="17">
        <v>45566</v>
      </c>
      <c r="D131" s="16" t="s">
        <v>32</v>
      </c>
      <c r="E131" s="16" t="s">
        <v>1449</v>
      </c>
      <c r="F131" s="18">
        <v>45595</v>
      </c>
      <c r="G131" s="18">
        <v>45959</v>
      </c>
      <c r="H131" s="30" t="s">
        <v>1450</v>
      </c>
      <c r="I131" s="20" t="s">
        <v>1451</v>
      </c>
      <c r="J131" s="27" t="s">
        <v>1452</v>
      </c>
      <c r="K131" s="16" t="s">
        <v>1453</v>
      </c>
      <c r="L131" s="16">
        <v>9792177</v>
      </c>
      <c r="M131" s="16" t="s">
        <v>1454</v>
      </c>
      <c r="N131" s="16" t="s">
        <v>1448</v>
      </c>
      <c r="O131" s="16" t="s">
        <v>60</v>
      </c>
      <c r="P131" s="16" t="s">
        <v>1401</v>
      </c>
      <c r="Q131" s="16" t="s">
        <v>1455</v>
      </c>
      <c r="R131" s="18">
        <v>43409</v>
      </c>
      <c r="S131" s="18">
        <v>45966</v>
      </c>
      <c r="T131" s="22">
        <v>2083000</v>
      </c>
      <c r="U131" s="16">
        <v>35</v>
      </c>
      <c r="V131" s="23">
        <v>729050</v>
      </c>
      <c r="W131" s="23">
        <v>1353950</v>
      </c>
      <c r="X131" s="24">
        <v>3.3</v>
      </c>
      <c r="Y131" s="31">
        <v>44680.35</v>
      </c>
      <c r="Z131" s="16"/>
      <c r="AA131" s="16" t="s">
        <v>41</v>
      </c>
      <c r="AB131" s="16">
        <v>1141071585</v>
      </c>
      <c r="AC131" s="25">
        <v>45624</v>
      </c>
      <c r="AD131" s="26" t="s">
        <v>42</v>
      </c>
      <c r="AE131" s="26">
        <v>10</v>
      </c>
      <c r="AF131" s="16" t="s">
        <v>1449</v>
      </c>
      <c r="AG131" s="33">
        <v>44680</v>
      </c>
      <c r="AH131" s="36">
        <f t="shared" ref="AH131:AH172" si="2">Y131-AG131</f>
        <v>0.34999999999854481</v>
      </c>
    </row>
    <row r="132" spans="1:34" x14ac:dyDescent="0.25">
      <c r="A132" s="16" t="s">
        <v>408</v>
      </c>
      <c r="B132" s="16" t="s">
        <v>1456</v>
      </c>
      <c r="C132" s="17">
        <v>45566</v>
      </c>
      <c r="D132" s="16" t="s">
        <v>32</v>
      </c>
      <c r="E132" s="16" t="s">
        <v>1457</v>
      </c>
      <c r="F132" s="18">
        <v>45595</v>
      </c>
      <c r="G132" s="18">
        <v>45959</v>
      </c>
      <c r="H132" s="30" t="s">
        <v>1458</v>
      </c>
      <c r="I132" s="20" t="s">
        <v>1459</v>
      </c>
      <c r="J132" s="27" t="s">
        <v>1460</v>
      </c>
      <c r="K132" s="16" t="s">
        <v>1461</v>
      </c>
      <c r="L132" s="16">
        <v>7535825</v>
      </c>
      <c r="M132" s="16" t="s">
        <v>1462</v>
      </c>
      <c r="N132" s="16" t="s">
        <v>1456</v>
      </c>
      <c r="O132" s="16" t="s">
        <v>60</v>
      </c>
      <c r="P132" s="16" t="s">
        <v>61</v>
      </c>
      <c r="Q132" s="16" t="s">
        <v>1463</v>
      </c>
      <c r="R132" s="18">
        <v>43770</v>
      </c>
      <c r="S132" s="18">
        <v>46331</v>
      </c>
      <c r="T132" s="22">
        <v>2495000</v>
      </c>
      <c r="U132" s="16">
        <v>30</v>
      </c>
      <c r="V132" s="23">
        <v>748500</v>
      </c>
      <c r="W132" s="23">
        <v>1746500</v>
      </c>
      <c r="X132" s="24">
        <v>3.3</v>
      </c>
      <c r="Y132" s="31">
        <v>57634.5</v>
      </c>
      <c r="Z132" s="16"/>
      <c r="AA132" s="16" t="s">
        <v>41</v>
      </c>
      <c r="AB132" s="16">
        <v>1141071585</v>
      </c>
      <c r="AC132" s="25">
        <v>45624</v>
      </c>
      <c r="AD132" s="26" t="s">
        <v>42</v>
      </c>
      <c r="AE132" s="26">
        <v>10</v>
      </c>
      <c r="AF132" s="16" t="s">
        <v>1457</v>
      </c>
      <c r="AG132" s="33">
        <v>57635</v>
      </c>
      <c r="AH132" s="36">
        <f t="shared" si="2"/>
        <v>-0.5</v>
      </c>
    </row>
    <row r="133" spans="1:34" x14ac:dyDescent="0.25">
      <c r="A133" s="16" t="s">
        <v>408</v>
      </c>
      <c r="B133" s="16" t="s">
        <v>1464</v>
      </c>
      <c r="C133" s="17">
        <v>45566</v>
      </c>
      <c r="D133" s="16" t="s">
        <v>32</v>
      </c>
      <c r="E133" s="16" t="s">
        <v>1465</v>
      </c>
      <c r="F133" s="18">
        <v>45596</v>
      </c>
      <c r="G133" s="18">
        <v>45960</v>
      </c>
      <c r="H133" s="30" t="s">
        <v>1466</v>
      </c>
      <c r="I133" s="20" t="s">
        <v>1467</v>
      </c>
      <c r="J133" s="27" t="s">
        <v>767</v>
      </c>
      <c r="K133" s="16" t="s">
        <v>1468</v>
      </c>
      <c r="L133" s="16" t="s">
        <v>1469</v>
      </c>
      <c r="M133" s="16" t="s">
        <v>1470</v>
      </c>
      <c r="N133" s="16" t="s">
        <v>1464</v>
      </c>
      <c r="O133" s="16" t="s">
        <v>60</v>
      </c>
      <c r="P133" s="16" t="s">
        <v>217</v>
      </c>
      <c r="Q133" s="16" t="s">
        <v>1471</v>
      </c>
      <c r="R133" s="18">
        <v>44866</v>
      </c>
      <c r="S133" s="18">
        <v>46331</v>
      </c>
      <c r="T133" s="22">
        <v>4000000</v>
      </c>
      <c r="U133" s="16">
        <v>15</v>
      </c>
      <c r="V133" s="23">
        <v>600000</v>
      </c>
      <c r="W133" s="23">
        <v>3400000</v>
      </c>
      <c r="X133" s="24">
        <v>1.5</v>
      </c>
      <c r="Y133" s="31">
        <v>51000</v>
      </c>
      <c r="Z133" s="16"/>
      <c r="AA133" s="16" t="s">
        <v>41</v>
      </c>
      <c r="AB133" s="16">
        <v>1141071585</v>
      </c>
      <c r="AC133" s="25">
        <v>45624</v>
      </c>
      <c r="AD133" s="26" t="s">
        <v>42</v>
      </c>
      <c r="AE133" s="26">
        <v>10</v>
      </c>
      <c r="AF133" s="16" t="s">
        <v>1465</v>
      </c>
      <c r="AG133" s="33">
        <v>51000</v>
      </c>
      <c r="AH133" s="36">
        <f t="shared" si="2"/>
        <v>0</v>
      </c>
    </row>
    <row r="134" spans="1:34" x14ac:dyDescent="0.25">
      <c r="A134" s="16" t="s">
        <v>408</v>
      </c>
      <c r="B134" s="16" t="s">
        <v>1472</v>
      </c>
      <c r="C134" s="17">
        <v>45566</v>
      </c>
      <c r="D134" s="16" t="s">
        <v>32</v>
      </c>
      <c r="E134" s="16" t="s">
        <v>1473</v>
      </c>
      <c r="F134" s="18">
        <v>45596</v>
      </c>
      <c r="G134" s="18">
        <v>45960</v>
      </c>
      <c r="H134" s="30" t="s">
        <v>1474</v>
      </c>
      <c r="I134" s="20" t="s">
        <v>1475</v>
      </c>
      <c r="J134" s="27" t="s">
        <v>767</v>
      </c>
      <c r="K134" s="16" t="s">
        <v>1476</v>
      </c>
      <c r="L134" s="16">
        <v>7910916</v>
      </c>
      <c r="M134" s="16" t="s">
        <v>1477</v>
      </c>
      <c r="N134" s="16" t="s">
        <v>1472</v>
      </c>
      <c r="O134" s="16" t="s">
        <v>50</v>
      </c>
      <c r="P134" s="16" t="s">
        <v>51</v>
      </c>
      <c r="Q134" s="16" t="s">
        <v>1478</v>
      </c>
      <c r="R134" s="18">
        <v>44866</v>
      </c>
      <c r="S134" s="18">
        <v>45966</v>
      </c>
      <c r="T134" s="22">
        <v>6500000</v>
      </c>
      <c r="U134" s="16">
        <v>15</v>
      </c>
      <c r="V134" s="23">
        <v>975000</v>
      </c>
      <c r="W134" s="23">
        <v>5525000</v>
      </c>
      <c r="X134" s="24">
        <v>1.5</v>
      </c>
      <c r="Y134" s="31">
        <v>82875</v>
      </c>
      <c r="Z134" s="16"/>
      <c r="AA134" s="16" t="s">
        <v>41</v>
      </c>
      <c r="AB134" s="16">
        <v>1141071585</v>
      </c>
      <c r="AC134" s="25">
        <v>45624</v>
      </c>
      <c r="AD134" s="26" t="s">
        <v>42</v>
      </c>
      <c r="AE134" s="26">
        <v>10</v>
      </c>
      <c r="AF134" s="16" t="s">
        <v>1473</v>
      </c>
      <c r="AG134" s="33">
        <v>82875</v>
      </c>
      <c r="AH134" s="36">
        <f t="shared" si="2"/>
        <v>0</v>
      </c>
    </row>
    <row r="135" spans="1:34" x14ac:dyDescent="0.25">
      <c r="A135" s="16" t="s">
        <v>408</v>
      </c>
      <c r="B135" s="16" t="s">
        <v>1479</v>
      </c>
      <c r="C135" s="17">
        <v>45566</v>
      </c>
      <c r="D135" s="16" t="s">
        <v>32</v>
      </c>
      <c r="E135" s="16" t="s">
        <v>1480</v>
      </c>
      <c r="F135" s="18">
        <v>45596</v>
      </c>
      <c r="G135" s="18">
        <v>45960</v>
      </c>
      <c r="H135" s="30" t="s">
        <v>1481</v>
      </c>
      <c r="I135" s="20" t="s">
        <v>1482</v>
      </c>
      <c r="J135" s="27" t="s">
        <v>441</v>
      </c>
      <c r="K135" s="16" t="s">
        <v>1483</v>
      </c>
      <c r="L135" s="16">
        <v>2527985</v>
      </c>
      <c r="M135" s="16" t="s">
        <v>1484</v>
      </c>
      <c r="N135" s="16" t="s">
        <v>1479</v>
      </c>
      <c r="O135" s="16" t="s">
        <v>60</v>
      </c>
      <c r="P135" s="16" t="s">
        <v>61</v>
      </c>
      <c r="Q135" s="16" t="s">
        <v>1485</v>
      </c>
      <c r="R135" s="18">
        <v>45236</v>
      </c>
      <c r="S135" s="18">
        <v>46696</v>
      </c>
      <c r="T135" s="22">
        <v>3500000</v>
      </c>
      <c r="U135" s="16">
        <v>10</v>
      </c>
      <c r="V135" s="23">
        <v>350000</v>
      </c>
      <c r="W135" s="23">
        <v>3150000</v>
      </c>
      <c r="X135" s="24">
        <v>1.5</v>
      </c>
      <c r="Y135" s="31">
        <v>47250</v>
      </c>
      <c r="Z135" s="16"/>
      <c r="AA135" s="16" t="s">
        <v>41</v>
      </c>
      <c r="AB135" s="16">
        <v>1141071585</v>
      </c>
      <c r="AC135" s="25">
        <v>45624</v>
      </c>
      <c r="AD135" s="26" t="s">
        <v>42</v>
      </c>
      <c r="AE135" s="26">
        <v>10</v>
      </c>
      <c r="AF135" s="16" t="s">
        <v>1480</v>
      </c>
      <c r="AG135" s="33">
        <v>47250</v>
      </c>
      <c r="AH135" s="36">
        <f t="shared" si="2"/>
        <v>0</v>
      </c>
    </row>
    <row r="136" spans="1:34" x14ac:dyDescent="0.25">
      <c r="A136" s="16" t="s">
        <v>408</v>
      </c>
      <c r="B136" s="16" t="s">
        <v>1486</v>
      </c>
      <c r="C136" s="17">
        <v>45566</v>
      </c>
      <c r="D136" s="16" t="s">
        <v>32</v>
      </c>
      <c r="E136" s="16" t="s">
        <v>1487</v>
      </c>
      <c r="F136" s="18">
        <v>45596</v>
      </c>
      <c r="G136" s="18">
        <v>45960</v>
      </c>
      <c r="H136" s="30" t="s">
        <v>1488</v>
      </c>
      <c r="I136" s="20" t="s">
        <v>1489</v>
      </c>
      <c r="J136" s="27" t="s">
        <v>767</v>
      </c>
      <c r="K136" s="16" t="s">
        <v>1490</v>
      </c>
      <c r="L136" s="16" t="s">
        <v>1491</v>
      </c>
      <c r="M136" s="16" t="s">
        <v>1492</v>
      </c>
      <c r="N136" s="16" t="s">
        <v>1486</v>
      </c>
      <c r="O136" s="16" t="s">
        <v>60</v>
      </c>
      <c r="P136" s="16" t="s">
        <v>61</v>
      </c>
      <c r="Q136" s="16" t="s">
        <v>1493</v>
      </c>
      <c r="R136" s="18">
        <v>45231</v>
      </c>
      <c r="S136" s="18">
        <v>46331</v>
      </c>
      <c r="T136" s="22">
        <v>5700000</v>
      </c>
      <c r="U136" s="16">
        <v>10</v>
      </c>
      <c r="V136" s="23">
        <v>570000</v>
      </c>
      <c r="W136" s="23">
        <v>5130000</v>
      </c>
      <c r="X136" s="24">
        <v>1.5</v>
      </c>
      <c r="Y136" s="31">
        <v>76950</v>
      </c>
      <c r="Z136" s="16"/>
      <c r="AA136" s="16" t="s">
        <v>41</v>
      </c>
      <c r="AB136" s="16">
        <v>1141071585</v>
      </c>
      <c r="AC136" s="25">
        <v>45624</v>
      </c>
      <c r="AD136" s="26" t="s">
        <v>42</v>
      </c>
      <c r="AE136" s="26">
        <v>0</v>
      </c>
      <c r="AF136" s="16" t="s">
        <v>1487</v>
      </c>
      <c r="AG136" s="33">
        <v>76950</v>
      </c>
      <c r="AH136" s="36">
        <f t="shared" si="2"/>
        <v>0</v>
      </c>
    </row>
    <row r="137" spans="1:34" x14ac:dyDescent="0.25">
      <c r="A137" s="16" t="s">
        <v>408</v>
      </c>
      <c r="B137" s="16" t="s">
        <v>1494</v>
      </c>
      <c r="C137" s="17">
        <v>45566</v>
      </c>
      <c r="D137" s="16" t="s">
        <v>32</v>
      </c>
      <c r="E137" s="16" t="s">
        <v>1495</v>
      </c>
      <c r="F137" s="18">
        <v>45596</v>
      </c>
      <c r="G137" s="18">
        <v>45960</v>
      </c>
      <c r="H137" s="30" t="s">
        <v>1496</v>
      </c>
      <c r="I137" s="20" t="s">
        <v>1497</v>
      </c>
      <c r="J137" s="27" t="s">
        <v>1112</v>
      </c>
      <c r="K137" s="16" t="s">
        <v>1498</v>
      </c>
      <c r="L137" s="16">
        <v>79798573</v>
      </c>
      <c r="M137" s="16" t="s">
        <v>1499</v>
      </c>
      <c r="N137" s="16" t="s">
        <v>1494</v>
      </c>
      <c r="O137" s="16" t="s">
        <v>60</v>
      </c>
      <c r="P137" s="16" t="s">
        <v>61</v>
      </c>
      <c r="Q137" s="16" t="s">
        <v>1500</v>
      </c>
      <c r="R137" s="18">
        <v>45231</v>
      </c>
      <c r="S137" s="18">
        <v>46331</v>
      </c>
      <c r="T137" s="22">
        <v>3900000</v>
      </c>
      <c r="U137" s="16">
        <v>10</v>
      </c>
      <c r="V137" s="23">
        <v>390000</v>
      </c>
      <c r="W137" s="23">
        <v>3510000</v>
      </c>
      <c r="X137" s="24">
        <v>1.5</v>
      </c>
      <c r="Y137" s="31">
        <v>52650</v>
      </c>
      <c r="Z137" s="16"/>
      <c r="AA137" s="16" t="s">
        <v>41</v>
      </c>
      <c r="AB137" s="16">
        <v>1141071585</v>
      </c>
      <c r="AC137" s="25">
        <v>45624</v>
      </c>
      <c r="AD137" s="26" t="s">
        <v>42</v>
      </c>
      <c r="AE137" s="26">
        <v>10</v>
      </c>
      <c r="AF137" s="16" t="s">
        <v>1495</v>
      </c>
      <c r="AG137" s="33">
        <v>52650</v>
      </c>
      <c r="AH137" s="36">
        <f t="shared" si="2"/>
        <v>0</v>
      </c>
    </row>
    <row r="138" spans="1:34" x14ac:dyDescent="0.25">
      <c r="A138" s="16" t="s">
        <v>408</v>
      </c>
      <c r="B138" s="16" t="s">
        <v>1501</v>
      </c>
      <c r="C138" s="17">
        <v>45566</v>
      </c>
      <c r="D138" s="16" t="s">
        <v>32</v>
      </c>
      <c r="E138" s="16" t="s">
        <v>1502</v>
      </c>
      <c r="F138" s="18">
        <v>45596</v>
      </c>
      <c r="G138" s="18">
        <v>45960</v>
      </c>
      <c r="H138" s="30" t="s">
        <v>1503</v>
      </c>
      <c r="I138" s="20" t="s">
        <v>1504</v>
      </c>
      <c r="J138" s="27" t="s">
        <v>1104</v>
      </c>
      <c r="K138" s="16" t="s">
        <v>1505</v>
      </c>
      <c r="L138" s="16">
        <v>14802968</v>
      </c>
      <c r="M138" s="16" t="s">
        <v>1506</v>
      </c>
      <c r="N138" s="16" t="s">
        <v>1501</v>
      </c>
      <c r="O138" s="16" t="s">
        <v>60</v>
      </c>
      <c r="P138" s="16" t="s">
        <v>61</v>
      </c>
      <c r="Q138" s="16" t="s">
        <v>1507</v>
      </c>
      <c r="R138" s="18">
        <v>45230</v>
      </c>
      <c r="S138" s="18">
        <v>45966</v>
      </c>
      <c r="T138" s="22">
        <v>4500000</v>
      </c>
      <c r="U138" s="16">
        <v>10</v>
      </c>
      <c r="V138" s="23">
        <v>450000</v>
      </c>
      <c r="W138" s="23">
        <v>4050000</v>
      </c>
      <c r="X138" s="24">
        <v>1.5</v>
      </c>
      <c r="Y138" s="31">
        <v>60750</v>
      </c>
      <c r="Z138" s="16"/>
      <c r="AA138" s="16" t="s">
        <v>41</v>
      </c>
      <c r="AB138" s="16">
        <v>1141071585</v>
      </c>
      <c r="AC138" s="25">
        <v>45624</v>
      </c>
      <c r="AD138" s="26" t="s">
        <v>42</v>
      </c>
      <c r="AE138" s="26">
        <v>0</v>
      </c>
      <c r="AF138" s="16" t="s">
        <v>1502</v>
      </c>
      <c r="AG138" s="33">
        <v>60750</v>
      </c>
      <c r="AH138" s="36">
        <f t="shared" si="2"/>
        <v>0</v>
      </c>
    </row>
    <row r="139" spans="1:34" x14ac:dyDescent="0.25">
      <c r="A139" s="16" t="s">
        <v>408</v>
      </c>
      <c r="B139" s="16" t="s">
        <v>1508</v>
      </c>
      <c r="C139" s="17">
        <v>45566</v>
      </c>
      <c r="D139" s="16" t="s">
        <v>32</v>
      </c>
      <c r="E139" s="16" t="s">
        <v>1509</v>
      </c>
      <c r="F139" s="18">
        <v>45596</v>
      </c>
      <c r="G139" s="18">
        <v>45960</v>
      </c>
      <c r="H139" s="30" t="s">
        <v>1510</v>
      </c>
      <c r="I139" s="20" t="s">
        <v>1511</v>
      </c>
      <c r="J139" s="27" t="s">
        <v>1049</v>
      </c>
      <c r="K139" s="16" t="s">
        <v>1512</v>
      </c>
      <c r="L139" s="16">
        <v>1010446</v>
      </c>
      <c r="M139" s="16" t="s">
        <v>1513</v>
      </c>
      <c r="N139" s="16" t="s">
        <v>1508</v>
      </c>
      <c r="O139" s="16" t="s">
        <v>38</v>
      </c>
      <c r="P139" s="16" t="s">
        <v>39</v>
      </c>
      <c r="Q139" s="16" t="s">
        <v>1514</v>
      </c>
      <c r="R139" s="18">
        <v>45233</v>
      </c>
      <c r="S139" s="18">
        <v>46331</v>
      </c>
      <c r="T139" s="22">
        <v>4300000</v>
      </c>
      <c r="U139" s="16">
        <v>10</v>
      </c>
      <c r="V139" s="23">
        <v>430000</v>
      </c>
      <c r="W139" s="23">
        <v>3870000</v>
      </c>
      <c r="X139" s="24">
        <v>1.5</v>
      </c>
      <c r="Y139" s="31">
        <v>58050</v>
      </c>
      <c r="Z139" s="16"/>
      <c r="AA139" s="16" t="s">
        <v>41</v>
      </c>
      <c r="AB139" s="16">
        <v>1141071585</v>
      </c>
      <c r="AC139" s="25">
        <v>45624</v>
      </c>
      <c r="AD139" s="26" t="s">
        <v>42</v>
      </c>
      <c r="AE139" s="26">
        <v>10</v>
      </c>
      <c r="AF139" s="16" t="s">
        <v>1509</v>
      </c>
      <c r="AG139" s="33">
        <v>58050</v>
      </c>
      <c r="AH139" s="36">
        <f t="shared" si="2"/>
        <v>0</v>
      </c>
    </row>
    <row r="140" spans="1:34" x14ac:dyDescent="0.25">
      <c r="A140" s="16" t="s">
        <v>408</v>
      </c>
      <c r="B140" s="16" t="s">
        <v>1515</v>
      </c>
      <c r="C140" s="17">
        <v>45566</v>
      </c>
      <c r="D140" s="16" t="s">
        <v>32</v>
      </c>
      <c r="E140" s="16" t="s">
        <v>1516</v>
      </c>
      <c r="F140" s="18">
        <v>45596</v>
      </c>
      <c r="G140" s="18">
        <v>45960</v>
      </c>
      <c r="H140" s="30" t="s">
        <v>1517</v>
      </c>
      <c r="I140" s="20" t="s">
        <v>1518</v>
      </c>
      <c r="J140" s="27" t="s">
        <v>1519</v>
      </c>
      <c r="K140" s="16" t="s">
        <v>1520</v>
      </c>
      <c r="L140" s="16" t="s">
        <v>1521</v>
      </c>
      <c r="M140" s="16" t="s">
        <v>1522</v>
      </c>
      <c r="N140" s="16" t="s">
        <v>1515</v>
      </c>
      <c r="O140" s="16" t="s">
        <v>60</v>
      </c>
      <c r="P140" s="16" t="s">
        <v>61</v>
      </c>
      <c r="Q140" s="16" t="s">
        <v>1523</v>
      </c>
      <c r="R140" s="18">
        <v>45230</v>
      </c>
      <c r="S140" s="18">
        <v>46696</v>
      </c>
      <c r="T140" s="22">
        <v>4000000</v>
      </c>
      <c r="U140" s="16">
        <v>10</v>
      </c>
      <c r="V140" s="23">
        <v>400000</v>
      </c>
      <c r="W140" s="23">
        <v>3600000</v>
      </c>
      <c r="X140" s="24">
        <v>1.5</v>
      </c>
      <c r="Y140" s="31">
        <v>54000</v>
      </c>
      <c r="Z140" s="16"/>
      <c r="AA140" s="16" t="s">
        <v>41</v>
      </c>
      <c r="AB140" s="16">
        <v>1141071585</v>
      </c>
      <c r="AC140" s="25">
        <v>45624</v>
      </c>
      <c r="AD140" s="26" t="s">
        <v>42</v>
      </c>
      <c r="AE140" s="26">
        <v>10</v>
      </c>
      <c r="AF140" s="16" t="s">
        <v>1516</v>
      </c>
      <c r="AG140" s="33">
        <v>54000</v>
      </c>
      <c r="AH140" s="36">
        <f t="shared" si="2"/>
        <v>0</v>
      </c>
    </row>
    <row r="141" spans="1:34" x14ac:dyDescent="0.25">
      <c r="A141" s="16" t="s">
        <v>408</v>
      </c>
      <c r="B141" s="16" t="s">
        <v>1524</v>
      </c>
      <c r="C141" s="17">
        <v>45566</v>
      </c>
      <c r="D141" s="16" t="s">
        <v>32</v>
      </c>
      <c r="E141" s="16" t="s">
        <v>1525</v>
      </c>
      <c r="F141" s="18">
        <v>45596</v>
      </c>
      <c r="G141" s="18">
        <v>45960</v>
      </c>
      <c r="H141" s="30" t="s">
        <v>1526</v>
      </c>
      <c r="I141" s="20" t="s">
        <v>1527</v>
      </c>
      <c r="J141" s="27" t="s">
        <v>1528</v>
      </c>
      <c r="K141" s="16" t="s">
        <v>1529</v>
      </c>
      <c r="L141" s="16" t="s">
        <v>1530</v>
      </c>
      <c r="M141" s="16" t="s">
        <v>1531</v>
      </c>
      <c r="N141" s="16" t="s">
        <v>1524</v>
      </c>
      <c r="O141" s="16" t="s">
        <v>60</v>
      </c>
      <c r="P141" s="16" t="s">
        <v>217</v>
      </c>
      <c r="Q141" s="16" t="s">
        <v>1532</v>
      </c>
      <c r="R141" s="18">
        <v>45230</v>
      </c>
      <c r="S141" s="18">
        <v>46331</v>
      </c>
      <c r="T141" s="22">
        <v>3500000</v>
      </c>
      <c r="U141" s="16">
        <v>10</v>
      </c>
      <c r="V141" s="23">
        <v>350000</v>
      </c>
      <c r="W141" s="23">
        <v>3150000</v>
      </c>
      <c r="X141" s="24">
        <v>1.5</v>
      </c>
      <c r="Y141" s="31">
        <v>47250</v>
      </c>
      <c r="Z141" s="16"/>
      <c r="AA141" s="16" t="s">
        <v>41</v>
      </c>
      <c r="AB141" s="16">
        <v>1141071585</v>
      </c>
      <c r="AC141" s="25">
        <v>45624</v>
      </c>
      <c r="AD141" s="26" t="s">
        <v>42</v>
      </c>
      <c r="AE141" s="26">
        <v>10</v>
      </c>
      <c r="AF141" s="16" t="s">
        <v>1525</v>
      </c>
      <c r="AG141" s="33">
        <v>47250</v>
      </c>
      <c r="AH141" s="36">
        <f t="shared" si="2"/>
        <v>0</v>
      </c>
    </row>
    <row r="142" spans="1:34" x14ac:dyDescent="0.25">
      <c r="A142" s="16" t="s">
        <v>408</v>
      </c>
      <c r="B142" s="16" t="s">
        <v>1533</v>
      </c>
      <c r="C142" s="17">
        <v>45566</v>
      </c>
      <c r="D142" s="16" t="s">
        <v>32</v>
      </c>
      <c r="E142" s="16" t="s">
        <v>1534</v>
      </c>
      <c r="F142" s="18">
        <v>45596</v>
      </c>
      <c r="G142" s="18">
        <v>45960</v>
      </c>
      <c r="H142" s="30" t="s">
        <v>1535</v>
      </c>
      <c r="I142" s="20" t="s">
        <v>1536</v>
      </c>
      <c r="J142" s="27" t="s">
        <v>620</v>
      </c>
      <c r="K142" s="16" t="s">
        <v>1537</v>
      </c>
      <c r="L142" s="16" t="s">
        <v>1538</v>
      </c>
      <c r="M142" s="16" t="s">
        <v>1539</v>
      </c>
      <c r="N142" s="16" t="s">
        <v>1533</v>
      </c>
      <c r="O142" s="16" t="s">
        <v>60</v>
      </c>
      <c r="P142" s="16" t="s">
        <v>61</v>
      </c>
      <c r="Q142" s="16" t="s">
        <v>1540</v>
      </c>
      <c r="R142" s="18">
        <v>45233</v>
      </c>
      <c r="S142" s="18">
        <v>47063</v>
      </c>
      <c r="T142" s="22">
        <v>2100000</v>
      </c>
      <c r="U142" s="16">
        <v>10</v>
      </c>
      <c r="V142" s="23">
        <v>210000</v>
      </c>
      <c r="W142" s="23">
        <v>1890000</v>
      </c>
      <c r="X142" s="24">
        <v>2</v>
      </c>
      <c r="Y142" s="31">
        <v>37800</v>
      </c>
      <c r="Z142" s="16"/>
      <c r="AA142" s="16" t="s">
        <v>41</v>
      </c>
      <c r="AB142" s="16">
        <v>1141071585</v>
      </c>
      <c r="AC142" s="25">
        <v>45624</v>
      </c>
      <c r="AD142" s="26" t="s">
        <v>42</v>
      </c>
      <c r="AE142" s="26">
        <v>0</v>
      </c>
      <c r="AF142" s="16" t="s">
        <v>1534</v>
      </c>
      <c r="AG142" s="33">
        <v>37800</v>
      </c>
      <c r="AH142" s="36">
        <f t="shared" si="2"/>
        <v>0</v>
      </c>
    </row>
    <row r="143" spans="1:34" x14ac:dyDescent="0.25">
      <c r="A143" s="16" t="s">
        <v>408</v>
      </c>
      <c r="B143" s="16" t="s">
        <v>1541</v>
      </c>
      <c r="C143" s="17">
        <v>45566</v>
      </c>
      <c r="D143" s="16" t="s">
        <v>32</v>
      </c>
      <c r="E143" s="16" t="s">
        <v>1542</v>
      </c>
      <c r="F143" s="18">
        <v>45596</v>
      </c>
      <c r="G143" s="18">
        <v>45960</v>
      </c>
      <c r="H143" s="30" t="s">
        <v>1543</v>
      </c>
      <c r="I143" s="20" t="s">
        <v>1544</v>
      </c>
      <c r="J143" s="27" t="s">
        <v>669</v>
      </c>
      <c r="K143" s="16" t="s">
        <v>1545</v>
      </c>
      <c r="L143" s="16">
        <v>118017</v>
      </c>
      <c r="M143" s="16" t="s">
        <v>1546</v>
      </c>
      <c r="N143" s="16" t="s">
        <v>1541</v>
      </c>
      <c r="O143" s="16" t="s">
        <v>38</v>
      </c>
      <c r="P143" s="16" t="s">
        <v>39</v>
      </c>
      <c r="Q143" s="16" t="s">
        <v>1547</v>
      </c>
      <c r="R143" s="18">
        <v>44866</v>
      </c>
      <c r="S143" s="18">
        <v>46331</v>
      </c>
      <c r="T143" s="22">
        <v>2100000</v>
      </c>
      <c r="U143" s="16">
        <v>15</v>
      </c>
      <c r="V143" s="23">
        <v>315000</v>
      </c>
      <c r="W143" s="23">
        <v>1785000</v>
      </c>
      <c r="X143" s="24">
        <v>2</v>
      </c>
      <c r="Y143" s="31">
        <v>35700</v>
      </c>
      <c r="Z143" s="16"/>
      <c r="AA143" s="16" t="s">
        <v>41</v>
      </c>
      <c r="AB143" s="16">
        <v>1141071585</v>
      </c>
      <c r="AC143" s="25">
        <v>45624</v>
      </c>
      <c r="AD143" s="26" t="s">
        <v>42</v>
      </c>
      <c r="AE143" s="26">
        <v>10</v>
      </c>
      <c r="AF143" s="16" t="s">
        <v>1542</v>
      </c>
      <c r="AG143" s="33">
        <v>35700</v>
      </c>
      <c r="AH143" s="36">
        <f t="shared" si="2"/>
        <v>0</v>
      </c>
    </row>
    <row r="144" spans="1:34" x14ac:dyDescent="0.25">
      <c r="A144" s="16" t="s">
        <v>408</v>
      </c>
      <c r="B144" s="16" t="s">
        <v>1548</v>
      </c>
      <c r="C144" s="17">
        <v>45566</v>
      </c>
      <c r="D144" s="16" t="s">
        <v>32</v>
      </c>
      <c r="E144" s="16" t="s">
        <v>1549</v>
      </c>
      <c r="F144" s="18">
        <v>45596</v>
      </c>
      <c r="G144" s="18">
        <v>45960</v>
      </c>
      <c r="H144" s="30" t="s">
        <v>1550</v>
      </c>
      <c r="I144" s="20" t="s">
        <v>1551</v>
      </c>
      <c r="J144" s="27" t="s">
        <v>545</v>
      </c>
      <c r="K144" s="16" t="s">
        <v>1552</v>
      </c>
      <c r="L144" s="16" t="s">
        <v>1553</v>
      </c>
      <c r="M144" s="16" t="s">
        <v>1554</v>
      </c>
      <c r="N144" s="16" t="s">
        <v>1548</v>
      </c>
      <c r="O144" s="16" t="s">
        <v>50</v>
      </c>
      <c r="P144" s="16" t="s">
        <v>51</v>
      </c>
      <c r="Q144" s="16" t="s">
        <v>1555</v>
      </c>
      <c r="R144" s="18">
        <v>44866</v>
      </c>
      <c r="S144" s="18">
        <v>45966</v>
      </c>
      <c r="T144" s="22">
        <v>1976000</v>
      </c>
      <c r="U144" s="16">
        <v>15</v>
      </c>
      <c r="V144" s="23">
        <v>296400</v>
      </c>
      <c r="W144" s="23">
        <v>1679600</v>
      </c>
      <c r="X144" s="24">
        <v>2</v>
      </c>
      <c r="Y144" s="31">
        <v>33592</v>
      </c>
      <c r="Z144" s="16"/>
      <c r="AA144" s="16" t="s">
        <v>41</v>
      </c>
      <c r="AB144" s="16">
        <v>1141071585</v>
      </c>
      <c r="AC144" s="25">
        <v>45624</v>
      </c>
      <c r="AD144" s="26" t="s">
        <v>42</v>
      </c>
      <c r="AE144" s="26">
        <v>0</v>
      </c>
      <c r="AF144" s="16" t="s">
        <v>1549</v>
      </c>
      <c r="AG144" s="33">
        <v>33592</v>
      </c>
      <c r="AH144" s="36">
        <f t="shared" si="2"/>
        <v>0</v>
      </c>
    </row>
    <row r="145" spans="1:34" x14ac:dyDescent="0.25">
      <c r="A145" s="16" t="s">
        <v>408</v>
      </c>
      <c r="B145" s="16" t="s">
        <v>1556</v>
      </c>
      <c r="C145" s="17">
        <v>45566</v>
      </c>
      <c r="D145" s="16" t="s">
        <v>32</v>
      </c>
      <c r="E145" s="16" t="s">
        <v>1557</v>
      </c>
      <c r="F145" s="18">
        <v>45596</v>
      </c>
      <c r="G145" s="18">
        <v>45960</v>
      </c>
      <c r="H145" s="30" t="s">
        <v>1543</v>
      </c>
      <c r="I145" s="20" t="s">
        <v>1544</v>
      </c>
      <c r="J145" s="27" t="s">
        <v>1558</v>
      </c>
      <c r="K145" s="16" t="s">
        <v>1559</v>
      </c>
      <c r="L145" s="16">
        <v>735839</v>
      </c>
      <c r="M145" s="16" t="s">
        <v>1560</v>
      </c>
      <c r="N145" s="16" t="s">
        <v>1556</v>
      </c>
      <c r="O145" s="16" t="s">
        <v>38</v>
      </c>
      <c r="P145" s="16" t="s">
        <v>39</v>
      </c>
      <c r="Q145" s="16" t="s">
        <v>1547</v>
      </c>
      <c r="R145" s="18">
        <v>44866</v>
      </c>
      <c r="S145" s="18">
        <v>46331</v>
      </c>
      <c r="T145" s="22">
        <v>1000000</v>
      </c>
      <c r="U145" s="16">
        <v>15</v>
      </c>
      <c r="V145" s="23">
        <v>150000</v>
      </c>
      <c r="W145" s="23">
        <v>850000</v>
      </c>
      <c r="X145" s="24">
        <v>2</v>
      </c>
      <c r="Y145" s="31">
        <v>17000</v>
      </c>
      <c r="Z145" s="16"/>
      <c r="AA145" s="16" t="s">
        <v>41</v>
      </c>
      <c r="AB145" s="16">
        <v>1141071585</v>
      </c>
      <c r="AC145" s="25">
        <v>45624</v>
      </c>
      <c r="AD145" s="26" t="s">
        <v>42</v>
      </c>
      <c r="AE145" s="26">
        <v>10</v>
      </c>
      <c r="AF145" s="16" t="s">
        <v>1557</v>
      </c>
      <c r="AG145" s="33">
        <v>17000</v>
      </c>
      <c r="AH145" s="36">
        <f t="shared" si="2"/>
        <v>0</v>
      </c>
    </row>
    <row r="146" spans="1:34" x14ac:dyDescent="0.25">
      <c r="A146" s="16" t="s">
        <v>408</v>
      </c>
      <c r="B146" s="16" t="s">
        <v>1561</v>
      </c>
      <c r="C146" s="17">
        <v>45566</v>
      </c>
      <c r="D146" s="16" t="s">
        <v>32</v>
      </c>
      <c r="E146" s="16" t="s">
        <v>1562</v>
      </c>
      <c r="F146" s="18">
        <v>45596</v>
      </c>
      <c r="G146" s="18">
        <v>45960</v>
      </c>
      <c r="H146" s="30" t="s">
        <v>1563</v>
      </c>
      <c r="I146" s="20" t="s">
        <v>1564</v>
      </c>
      <c r="J146" s="27" t="s">
        <v>495</v>
      </c>
      <c r="K146" s="16" t="s">
        <v>1565</v>
      </c>
      <c r="L146" s="16">
        <v>209568</v>
      </c>
      <c r="M146" s="16" t="s">
        <v>1566</v>
      </c>
      <c r="N146" s="16" t="s">
        <v>1561</v>
      </c>
      <c r="O146" s="16" t="s">
        <v>50</v>
      </c>
      <c r="P146" s="16" t="s">
        <v>106</v>
      </c>
      <c r="Q146" s="16" t="s">
        <v>1567</v>
      </c>
      <c r="R146" s="18">
        <v>44866</v>
      </c>
      <c r="S146" s="18">
        <v>45966</v>
      </c>
      <c r="T146" s="22">
        <v>2220000</v>
      </c>
      <c r="U146" s="16">
        <v>15</v>
      </c>
      <c r="V146" s="23">
        <v>333000</v>
      </c>
      <c r="W146" s="23">
        <v>1887000</v>
      </c>
      <c r="X146" s="24">
        <v>2</v>
      </c>
      <c r="Y146" s="31">
        <v>37740</v>
      </c>
      <c r="Z146" s="16"/>
      <c r="AA146" s="16" t="s">
        <v>41</v>
      </c>
      <c r="AB146" s="16">
        <v>1141071585</v>
      </c>
      <c r="AC146" s="25">
        <v>45624</v>
      </c>
      <c r="AD146" s="26" t="s">
        <v>42</v>
      </c>
      <c r="AE146" s="26">
        <v>10</v>
      </c>
      <c r="AF146" s="16" t="s">
        <v>1562</v>
      </c>
      <c r="AG146" s="33">
        <v>37740</v>
      </c>
      <c r="AH146" s="36">
        <f t="shared" si="2"/>
        <v>0</v>
      </c>
    </row>
    <row r="147" spans="1:34" x14ac:dyDescent="0.25">
      <c r="A147" s="16" t="s">
        <v>408</v>
      </c>
      <c r="B147" s="16" t="s">
        <v>1568</v>
      </c>
      <c r="C147" s="17">
        <v>45566</v>
      </c>
      <c r="D147" s="16" t="s">
        <v>32</v>
      </c>
      <c r="E147" s="16" t="s">
        <v>1569</v>
      </c>
      <c r="F147" s="18">
        <v>45596</v>
      </c>
      <c r="G147" s="18">
        <v>45960</v>
      </c>
      <c r="H147" s="30" t="s">
        <v>1570</v>
      </c>
      <c r="I147" s="20" t="s">
        <v>1571</v>
      </c>
      <c r="J147" s="27" t="s">
        <v>620</v>
      </c>
      <c r="K147" s="16" t="s">
        <v>1572</v>
      </c>
      <c r="L147" s="16" t="s">
        <v>1573</v>
      </c>
      <c r="M147" s="16" t="s">
        <v>1574</v>
      </c>
      <c r="N147" s="16" t="s">
        <v>1568</v>
      </c>
      <c r="O147" s="16" t="s">
        <v>60</v>
      </c>
      <c r="P147" s="16" t="s">
        <v>217</v>
      </c>
      <c r="Q147" s="16" t="s">
        <v>1575</v>
      </c>
      <c r="R147" s="18">
        <v>44866</v>
      </c>
      <c r="S147" s="18">
        <v>46696</v>
      </c>
      <c r="T147" s="22">
        <v>2802000</v>
      </c>
      <c r="U147" s="16">
        <v>15</v>
      </c>
      <c r="V147" s="23">
        <v>420300</v>
      </c>
      <c r="W147" s="23">
        <v>2381700</v>
      </c>
      <c r="X147" s="24">
        <v>2</v>
      </c>
      <c r="Y147" s="31">
        <v>47634</v>
      </c>
      <c r="Z147" s="16"/>
      <c r="AA147" s="16" t="s">
        <v>41</v>
      </c>
      <c r="AB147" s="16">
        <v>1141071585</v>
      </c>
      <c r="AC147" s="25">
        <v>45624</v>
      </c>
      <c r="AD147" s="26" t="s">
        <v>42</v>
      </c>
      <c r="AE147" s="26">
        <v>0</v>
      </c>
      <c r="AF147" s="16" t="s">
        <v>1569</v>
      </c>
      <c r="AG147" s="33">
        <v>47634</v>
      </c>
      <c r="AH147" s="36">
        <f t="shared" si="2"/>
        <v>0</v>
      </c>
    </row>
    <row r="148" spans="1:34" x14ac:dyDescent="0.25">
      <c r="A148" s="16" t="s">
        <v>408</v>
      </c>
      <c r="B148" s="16" t="s">
        <v>1576</v>
      </c>
      <c r="C148" s="17">
        <v>45566</v>
      </c>
      <c r="D148" s="16" t="s">
        <v>32</v>
      </c>
      <c r="E148" s="16" t="s">
        <v>1577</v>
      </c>
      <c r="F148" s="18">
        <v>45596</v>
      </c>
      <c r="G148" s="18">
        <v>45960</v>
      </c>
      <c r="H148" s="30" t="s">
        <v>1578</v>
      </c>
      <c r="I148" s="20" t="s">
        <v>1579</v>
      </c>
      <c r="J148" s="27" t="s">
        <v>1580</v>
      </c>
      <c r="K148" s="16" t="s">
        <v>1581</v>
      </c>
      <c r="L148" s="16" t="s">
        <v>1582</v>
      </c>
      <c r="M148" s="16" t="s">
        <v>1583</v>
      </c>
      <c r="N148" s="16" t="s">
        <v>1576</v>
      </c>
      <c r="O148" s="16" t="s">
        <v>60</v>
      </c>
      <c r="P148" s="16" t="s">
        <v>61</v>
      </c>
      <c r="Q148" s="16" t="s">
        <v>1584</v>
      </c>
      <c r="R148" s="18">
        <v>44866</v>
      </c>
      <c r="S148" s="18">
        <v>46696</v>
      </c>
      <c r="T148" s="22">
        <v>2430000</v>
      </c>
      <c r="U148" s="16">
        <v>15</v>
      </c>
      <c r="V148" s="23">
        <v>364500</v>
      </c>
      <c r="W148" s="23">
        <v>2065500</v>
      </c>
      <c r="X148" s="24">
        <v>2</v>
      </c>
      <c r="Y148" s="31">
        <v>41310</v>
      </c>
      <c r="Z148" s="16"/>
      <c r="AA148" s="16" t="s">
        <v>41</v>
      </c>
      <c r="AB148" s="16">
        <v>1141071585</v>
      </c>
      <c r="AC148" s="25">
        <v>45624</v>
      </c>
      <c r="AD148" s="26" t="s">
        <v>42</v>
      </c>
      <c r="AE148" s="26">
        <v>0</v>
      </c>
      <c r="AF148" s="16" t="s">
        <v>1577</v>
      </c>
      <c r="AG148" s="33">
        <v>41310</v>
      </c>
      <c r="AH148" s="36">
        <f t="shared" si="2"/>
        <v>0</v>
      </c>
    </row>
    <row r="149" spans="1:34" x14ac:dyDescent="0.25">
      <c r="A149" s="16" t="s">
        <v>408</v>
      </c>
      <c r="B149" s="16" t="s">
        <v>1585</v>
      </c>
      <c r="C149" s="17">
        <v>45566</v>
      </c>
      <c r="D149" s="16" t="s">
        <v>32</v>
      </c>
      <c r="E149" s="16" t="s">
        <v>1586</v>
      </c>
      <c r="F149" s="18">
        <v>45596</v>
      </c>
      <c r="G149" s="18">
        <v>45960</v>
      </c>
      <c r="H149" s="30" t="s">
        <v>1587</v>
      </c>
      <c r="I149" s="20" t="s">
        <v>1588</v>
      </c>
      <c r="J149" s="27" t="s">
        <v>1112</v>
      </c>
      <c r="K149" s="16" t="s">
        <v>1589</v>
      </c>
      <c r="L149" s="16">
        <v>17436916</v>
      </c>
      <c r="M149" s="16" t="s">
        <v>1590</v>
      </c>
      <c r="N149" s="16" t="s">
        <v>1585</v>
      </c>
      <c r="O149" s="16" t="s">
        <v>60</v>
      </c>
      <c r="P149" s="16" t="s">
        <v>61</v>
      </c>
      <c r="Q149" s="16" t="s">
        <v>1591</v>
      </c>
      <c r="R149" s="18">
        <v>45231</v>
      </c>
      <c r="S149" s="18">
        <v>46331</v>
      </c>
      <c r="T149" s="22">
        <v>3250000</v>
      </c>
      <c r="U149" s="16">
        <v>10</v>
      </c>
      <c r="V149" s="23">
        <v>325000</v>
      </c>
      <c r="W149" s="23">
        <v>2925000</v>
      </c>
      <c r="X149" s="24">
        <v>2</v>
      </c>
      <c r="Y149" s="31">
        <v>58500</v>
      </c>
      <c r="Z149" s="16"/>
      <c r="AA149" s="16" t="s">
        <v>41</v>
      </c>
      <c r="AB149" s="16">
        <v>1141071585</v>
      </c>
      <c r="AC149" s="25">
        <v>45624</v>
      </c>
      <c r="AD149" s="26" t="s">
        <v>42</v>
      </c>
      <c r="AE149" s="26">
        <v>10</v>
      </c>
      <c r="AF149" s="16" t="s">
        <v>1586</v>
      </c>
      <c r="AG149" s="33">
        <v>58500</v>
      </c>
      <c r="AH149" s="36">
        <f t="shared" si="2"/>
        <v>0</v>
      </c>
    </row>
    <row r="150" spans="1:34" x14ac:dyDescent="0.25">
      <c r="A150" s="16" t="s">
        <v>408</v>
      </c>
      <c r="B150" s="16" t="s">
        <v>1592</v>
      </c>
      <c r="C150" s="17">
        <v>45566</v>
      </c>
      <c r="D150" s="16" t="s">
        <v>32</v>
      </c>
      <c r="E150" s="16" t="s">
        <v>1593</v>
      </c>
      <c r="F150" s="18">
        <v>45596</v>
      </c>
      <c r="G150" s="18">
        <v>45960</v>
      </c>
      <c r="H150" s="30" t="s">
        <v>1594</v>
      </c>
      <c r="I150" s="20" t="s">
        <v>1595</v>
      </c>
      <c r="J150" s="27" t="s">
        <v>742</v>
      </c>
      <c r="K150" s="16" t="s">
        <v>1596</v>
      </c>
      <c r="L150" s="16">
        <v>688774</v>
      </c>
      <c r="M150" s="16" t="s">
        <v>1597</v>
      </c>
      <c r="N150" s="16" t="s">
        <v>1592</v>
      </c>
      <c r="O150" s="16" t="s">
        <v>38</v>
      </c>
      <c r="P150" s="16" t="s">
        <v>39</v>
      </c>
      <c r="Q150" s="16" t="s">
        <v>1598</v>
      </c>
      <c r="R150" s="18">
        <v>45233</v>
      </c>
      <c r="S150" s="18">
        <v>47063</v>
      </c>
      <c r="T150" s="22">
        <v>1250000</v>
      </c>
      <c r="U150" s="16">
        <v>10</v>
      </c>
      <c r="V150" s="23">
        <v>125000</v>
      </c>
      <c r="W150" s="23">
        <v>1125000</v>
      </c>
      <c r="X150" s="24">
        <v>2</v>
      </c>
      <c r="Y150" s="31">
        <v>22500</v>
      </c>
      <c r="Z150" s="16"/>
      <c r="AA150" s="16" t="s">
        <v>41</v>
      </c>
      <c r="AB150" s="16">
        <v>1141071585</v>
      </c>
      <c r="AC150" s="25">
        <v>45624</v>
      </c>
      <c r="AD150" s="26" t="s">
        <v>42</v>
      </c>
      <c r="AE150" s="26">
        <v>0</v>
      </c>
      <c r="AF150" s="16" t="s">
        <v>1593</v>
      </c>
      <c r="AG150" s="33">
        <v>22500</v>
      </c>
      <c r="AH150" s="36">
        <f t="shared" si="2"/>
        <v>0</v>
      </c>
    </row>
    <row r="151" spans="1:34" x14ac:dyDescent="0.25">
      <c r="A151" s="16" t="s">
        <v>408</v>
      </c>
      <c r="B151" s="16" t="s">
        <v>1599</v>
      </c>
      <c r="C151" s="17">
        <v>45566</v>
      </c>
      <c r="D151" s="16" t="s">
        <v>32</v>
      </c>
      <c r="E151" s="16" t="s">
        <v>1600</v>
      </c>
      <c r="F151" s="18">
        <v>45596</v>
      </c>
      <c r="G151" s="18">
        <v>45960</v>
      </c>
      <c r="H151" s="30" t="s">
        <v>1601</v>
      </c>
      <c r="I151" s="20" t="s">
        <v>1602</v>
      </c>
      <c r="J151" s="27" t="s">
        <v>1603</v>
      </c>
      <c r="K151" s="16" t="s">
        <v>1604</v>
      </c>
      <c r="L151" s="16">
        <v>122015</v>
      </c>
      <c r="M151" s="16" t="s">
        <v>1605</v>
      </c>
      <c r="N151" s="16" t="s">
        <v>1599</v>
      </c>
      <c r="O151" s="16" t="s">
        <v>38</v>
      </c>
      <c r="P151" s="16" t="s">
        <v>39</v>
      </c>
      <c r="Q151" s="16" t="s">
        <v>1606</v>
      </c>
      <c r="R151" s="18">
        <v>45232</v>
      </c>
      <c r="S151" s="18">
        <v>47063</v>
      </c>
      <c r="T151" s="22">
        <v>2600000</v>
      </c>
      <c r="U151" s="16">
        <v>10</v>
      </c>
      <c r="V151" s="23">
        <v>260000</v>
      </c>
      <c r="W151" s="23">
        <v>2340000</v>
      </c>
      <c r="X151" s="24">
        <v>2</v>
      </c>
      <c r="Y151" s="31">
        <v>46800</v>
      </c>
      <c r="Z151" s="16"/>
      <c r="AA151" s="16" t="s">
        <v>41</v>
      </c>
      <c r="AB151" s="16">
        <v>1141071585</v>
      </c>
      <c r="AC151" s="25">
        <v>45624</v>
      </c>
      <c r="AD151" s="26" t="s">
        <v>42</v>
      </c>
      <c r="AE151" s="26">
        <v>0</v>
      </c>
      <c r="AF151" s="16" t="s">
        <v>1600</v>
      </c>
      <c r="AG151" s="33">
        <v>46800</v>
      </c>
      <c r="AH151" s="36">
        <f t="shared" si="2"/>
        <v>0</v>
      </c>
    </row>
    <row r="152" spans="1:34" x14ac:dyDescent="0.25">
      <c r="A152" s="16" t="s">
        <v>408</v>
      </c>
      <c r="B152" s="16" t="s">
        <v>1607</v>
      </c>
      <c r="C152" s="17">
        <v>45566</v>
      </c>
      <c r="D152" s="16" t="s">
        <v>32</v>
      </c>
      <c r="E152" s="16" t="s">
        <v>1608</v>
      </c>
      <c r="F152" s="18">
        <v>45596</v>
      </c>
      <c r="G152" s="18">
        <v>45960</v>
      </c>
      <c r="H152" s="30" t="s">
        <v>1609</v>
      </c>
      <c r="I152" s="20" t="s">
        <v>1610</v>
      </c>
      <c r="J152" s="27" t="s">
        <v>873</v>
      </c>
      <c r="K152" s="16" t="s">
        <v>1611</v>
      </c>
      <c r="L152" s="16">
        <v>120595</v>
      </c>
      <c r="M152" s="16" t="s">
        <v>1612</v>
      </c>
      <c r="N152" s="16" t="s">
        <v>1607</v>
      </c>
      <c r="O152" s="16" t="s">
        <v>60</v>
      </c>
      <c r="P152" s="16" t="s">
        <v>114</v>
      </c>
      <c r="Q152" s="16" t="s">
        <v>1613</v>
      </c>
      <c r="R152" s="18">
        <v>45230</v>
      </c>
      <c r="S152" s="18">
        <v>46331</v>
      </c>
      <c r="T152" s="22">
        <v>2020000</v>
      </c>
      <c r="U152" s="16">
        <v>10</v>
      </c>
      <c r="V152" s="23">
        <v>202000</v>
      </c>
      <c r="W152" s="23">
        <v>1818000</v>
      </c>
      <c r="X152" s="24">
        <v>2</v>
      </c>
      <c r="Y152" s="31">
        <v>36360</v>
      </c>
      <c r="Z152" s="16"/>
      <c r="AA152" s="16" t="s">
        <v>41</v>
      </c>
      <c r="AB152" s="16">
        <v>1141071585</v>
      </c>
      <c r="AC152" s="25">
        <v>45624</v>
      </c>
      <c r="AD152" s="26" t="s">
        <v>42</v>
      </c>
      <c r="AE152" s="26">
        <v>0</v>
      </c>
      <c r="AF152" s="16" t="s">
        <v>1608</v>
      </c>
      <c r="AG152" s="33">
        <v>36360</v>
      </c>
      <c r="AH152" s="36">
        <f t="shared" si="2"/>
        <v>0</v>
      </c>
    </row>
    <row r="153" spans="1:34" x14ac:dyDescent="0.25">
      <c r="A153" s="16" t="s">
        <v>408</v>
      </c>
      <c r="B153" s="16" t="s">
        <v>1614</v>
      </c>
      <c r="C153" s="17">
        <v>45566</v>
      </c>
      <c r="D153" s="16" t="s">
        <v>32</v>
      </c>
      <c r="E153" s="16" t="s">
        <v>1615</v>
      </c>
      <c r="F153" s="18">
        <v>45596</v>
      </c>
      <c r="G153" s="18">
        <v>45960</v>
      </c>
      <c r="H153" s="30" t="s">
        <v>1616</v>
      </c>
      <c r="I153" s="20" t="s">
        <v>1617</v>
      </c>
      <c r="J153" s="27" t="s">
        <v>1618</v>
      </c>
      <c r="K153" s="16" t="s">
        <v>1619</v>
      </c>
      <c r="L153" s="16" t="s">
        <v>1620</v>
      </c>
      <c r="M153" s="16" t="s">
        <v>1621</v>
      </c>
      <c r="N153" s="16" t="s">
        <v>1614</v>
      </c>
      <c r="O153" s="16" t="s">
        <v>60</v>
      </c>
      <c r="P153" s="16" t="s">
        <v>61</v>
      </c>
      <c r="Q153" s="16" t="s">
        <v>1622</v>
      </c>
      <c r="R153" s="18">
        <v>45230</v>
      </c>
      <c r="S153" s="18">
        <v>47063</v>
      </c>
      <c r="T153" s="22">
        <v>3000000</v>
      </c>
      <c r="U153" s="16">
        <v>10</v>
      </c>
      <c r="V153" s="23">
        <v>300000</v>
      </c>
      <c r="W153" s="23">
        <v>2700000</v>
      </c>
      <c r="X153" s="24">
        <v>2</v>
      </c>
      <c r="Y153" s="31">
        <v>54000</v>
      </c>
      <c r="Z153" s="16"/>
      <c r="AA153" s="16" t="s">
        <v>41</v>
      </c>
      <c r="AB153" s="16">
        <v>1141071585</v>
      </c>
      <c r="AC153" s="25">
        <v>45624</v>
      </c>
      <c r="AD153" s="26" t="s">
        <v>42</v>
      </c>
      <c r="AE153" s="26">
        <v>10</v>
      </c>
      <c r="AF153" s="16" t="s">
        <v>1615</v>
      </c>
      <c r="AG153" s="33">
        <v>54000</v>
      </c>
      <c r="AH153" s="36">
        <f t="shared" si="2"/>
        <v>0</v>
      </c>
    </row>
    <row r="154" spans="1:34" x14ac:dyDescent="0.25">
      <c r="A154" s="16" t="s">
        <v>408</v>
      </c>
      <c r="B154" s="16" t="s">
        <v>1623</v>
      </c>
      <c r="C154" s="17">
        <v>45566</v>
      </c>
      <c r="D154" s="16" t="s">
        <v>32</v>
      </c>
      <c r="E154" s="16" t="s">
        <v>1624</v>
      </c>
      <c r="F154" s="18">
        <v>45596</v>
      </c>
      <c r="G154" s="18">
        <v>45960</v>
      </c>
      <c r="H154" s="30" t="s">
        <v>1625</v>
      </c>
      <c r="I154" s="20" t="s">
        <v>1626</v>
      </c>
      <c r="J154" s="27" t="s">
        <v>1627</v>
      </c>
      <c r="K154" s="16" t="s">
        <v>1628</v>
      </c>
      <c r="L154" s="16">
        <v>2943795</v>
      </c>
      <c r="M154" s="16" t="s">
        <v>1629</v>
      </c>
      <c r="N154" s="16" t="s">
        <v>1623</v>
      </c>
      <c r="O154" s="16" t="s">
        <v>60</v>
      </c>
      <c r="P154" s="16" t="s">
        <v>1401</v>
      </c>
      <c r="Q154" s="16" t="s">
        <v>1630</v>
      </c>
      <c r="R154" s="18">
        <v>43409</v>
      </c>
      <c r="S154" s="18">
        <v>45966</v>
      </c>
      <c r="T154" s="22">
        <v>2887000</v>
      </c>
      <c r="U154" s="16">
        <v>35</v>
      </c>
      <c r="V154" s="23">
        <v>1010449.9999999999</v>
      </c>
      <c r="W154" s="23">
        <v>1876550</v>
      </c>
      <c r="X154" s="24">
        <v>3.3</v>
      </c>
      <c r="Y154" s="31">
        <v>61926.15</v>
      </c>
      <c r="Z154" s="16"/>
      <c r="AA154" s="16" t="s">
        <v>41</v>
      </c>
      <c r="AB154" s="16">
        <v>1141071585</v>
      </c>
      <c r="AC154" s="25">
        <v>45624</v>
      </c>
      <c r="AD154" s="26" t="s">
        <v>42</v>
      </c>
      <c r="AE154" s="26">
        <v>10</v>
      </c>
      <c r="AF154" s="16" t="s">
        <v>1624</v>
      </c>
      <c r="AG154" s="33">
        <v>61926</v>
      </c>
      <c r="AH154" s="36">
        <f t="shared" si="2"/>
        <v>0.15000000000145519</v>
      </c>
    </row>
    <row r="155" spans="1:34" x14ac:dyDescent="0.25">
      <c r="A155" s="16" t="s">
        <v>408</v>
      </c>
      <c r="B155" s="16" t="s">
        <v>1631</v>
      </c>
      <c r="C155" s="17">
        <v>45566</v>
      </c>
      <c r="D155" s="16" t="s">
        <v>32</v>
      </c>
      <c r="E155" s="16" t="s">
        <v>1632</v>
      </c>
      <c r="F155" s="18">
        <v>45596</v>
      </c>
      <c r="G155" s="18">
        <v>45960</v>
      </c>
      <c r="H155" s="30" t="s">
        <v>1633</v>
      </c>
      <c r="I155" s="20" t="s">
        <v>1634</v>
      </c>
      <c r="J155" s="27" t="s">
        <v>1635</v>
      </c>
      <c r="K155" s="16" t="s">
        <v>1636</v>
      </c>
      <c r="L155" s="16" t="s">
        <v>1637</v>
      </c>
      <c r="M155" s="16" t="s">
        <v>1638</v>
      </c>
      <c r="N155" s="16" t="s">
        <v>1631</v>
      </c>
      <c r="O155" s="16" t="s">
        <v>38</v>
      </c>
      <c r="P155" s="16" t="s">
        <v>1639</v>
      </c>
      <c r="Q155" s="16" t="s">
        <v>1640</v>
      </c>
      <c r="R155" s="18">
        <v>43405</v>
      </c>
      <c r="S155" s="18">
        <v>45966</v>
      </c>
      <c r="T155" s="22">
        <v>2181000</v>
      </c>
      <c r="U155" s="16">
        <v>35</v>
      </c>
      <c r="V155" s="23">
        <v>763350</v>
      </c>
      <c r="W155" s="23">
        <v>1417650</v>
      </c>
      <c r="X155" s="24">
        <v>3.75</v>
      </c>
      <c r="Y155" s="31">
        <v>53161.875</v>
      </c>
      <c r="Z155" s="16"/>
      <c r="AA155" s="16" t="s">
        <v>41</v>
      </c>
      <c r="AB155" s="16">
        <v>1141071585</v>
      </c>
      <c r="AC155" s="25">
        <v>45624</v>
      </c>
      <c r="AD155" s="26" t="s">
        <v>42</v>
      </c>
      <c r="AE155" s="26">
        <v>0</v>
      </c>
      <c r="AF155" s="16" t="s">
        <v>1632</v>
      </c>
      <c r="AG155" s="33">
        <v>53162</v>
      </c>
      <c r="AH155" s="36">
        <f t="shared" si="2"/>
        <v>-0.125</v>
      </c>
    </row>
    <row r="156" spans="1:34" x14ac:dyDescent="0.25">
      <c r="A156" s="16" t="s">
        <v>408</v>
      </c>
      <c r="B156" s="16" t="s">
        <v>1641</v>
      </c>
      <c r="C156" s="17">
        <v>45566</v>
      </c>
      <c r="D156" s="16" t="s">
        <v>32</v>
      </c>
      <c r="E156" s="16" t="s">
        <v>1642</v>
      </c>
      <c r="F156" s="18">
        <v>45596</v>
      </c>
      <c r="G156" s="18">
        <v>45960</v>
      </c>
      <c r="H156" s="30" t="s">
        <v>1643</v>
      </c>
      <c r="I156" s="20">
        <v>3520281798565</v>
      </c>
      <c r="J156" s="27" t="s">
        <v>1644</v>
      </c>
      <c r="K156" s="16">
        <v>0</v>
      </c>
      <c r="L156" s="16" t="s">
        <v>1645</v>
      </c>
      <c r="M156" s="16" t="s">
        <v>1646</v>
      </c>
      <c r="N156" s="16" t="s">
        <v>1641</v>
      </c>
      <c r="O156" s="16" t="s">
        <v>60</v>
      </c>
      <c r="P156" s="16" t="s">
        <v>61</v>
      </c>
      <c r="Q156" s="16" t="s">
        <v>1647</v>
      </c>
      <c r="R156" s="18">
        <v>45236</v>
      </c>
      <c r="S156" s="18">
        <v>47063</v>
      </c>
      <c r="T156" s="22">
        <v>2119000</v>
      </c>
      <c r="U156" s="16">
        <v>10</v>
      </c>
      <c r="V156" s="23">
        <v>211900</v>
      </c>
      <c r="W156" s="23">
        <v>1907100</v>
      </c>
      <c r="X156" s="24">
        <v>2</v>
      </c>
      <c r="Y156" s="31">
        <v>38142</v>
      </c>
      <c r="Z156" s="16"/>
      <c r="AA156" s="16" t="s">
        <v>41</v>
      </c>
      <c r="AB156" s="16">
        <v>1141071585</v>
      </c>
      <c r="AC156" s="25">
        <v>45624</v>
      </c>
      <c r="AD156" s="26" t="s">
        <v>42</v>
      </c>
      <c r="AE156" s="26">
        <v>10</v>
      </c>
      <c r="AF156" s="16" t="s">
        <v>1642</v>
      </c>
      <c r="AG156" s="33">
        <v>38142</v>
      </c>
      <c r="AH156" s="36">
        <f t="shared" si="2"/>
        <v>0</v>
      </c>
    </row>
    <row r="157" spans="1:34" x14ac:dyDescent="0.25">
      <c r="A157" s="16" t="s">
        <v>408</v>
      </c>
      <c r="B157" s="16" t="s">
        <v>1648</v>
      </c>
      <c r="C157" s="17">
        <v>45566</v>
      </c>
      <c r="D157" s="16" t="s">
        <v>32</v>
      </c>
      <c r="E157" s="16" t="s">
        <v>1649</v>
      </c>
      <c r="F157" s="18">
        <v>45596</v>
      </c>
      <c r="G157" s="18">
        <v>45960</v>
      </c>
      <c r="H157" s="30" t="s">
        <v>1650</v>
      </c>
      <c r="I157" s="20">
        <v>4220199184384</v>
      </c>
      <c r="J157" s="27" t="s">
        <v>983</v>
      </c>
      <c r="K157" s="16">
        <v>0</v>
      </c>
      <c r="L157" s="16">
        <v>390381</v>
      </c>
      <c r="M157" s="16" t="s">
        <v>1651</v>
      </c>
      <c r="N157" s="16" t="s">
        <v>1648</v>
      </c>
      <c r="O157" s="16" t="s">
        <v>50</v>
      </c>
      <c r="P157" s="16" t="s">
        <v>51</v>
      </c>
      <c r="Q157" s="16" t="s">
        <v>1652</v>
      </c>
      <c r="R157" s="18">
        <v>45233</v>
      </c>
      <c r="S157" s="18">
        <v>47063</v>
      </c>
      <c r="T157" s="22">
        <v>1856000</v>
      </c>
      <c r="U157" s="16">
        <v>10</v>
      </c>
      <c r="V157" s="23">
        <v>185600</v>
      </c>
      <c r="W157" s="23">
        <v>1670400</v>
      </c>
      <c r="X157" s="24">
        <v>2</v>
      </c>
      <c r="Y157" s="32">
        <v>33408</v>
      </c>
      <c r="Z157" s="16"/>
      <c r="AA157" s="16" t="s">
        <v>41</v>
      </c>
      <c r="AB157" s="16">
        <v>1141071585</v>
      </c>
      <c r="AC157" s="25">
        <v>45624</v>
      </c>
      <c r="AD157" s="26" t="s">
        <v>42</v>
      </c>
      <c r="AE157" s="26">
        <v>10</v>
      </c>
      <c r="AF157" s="16" t="s">
        <v>1649</v>
      </c>
      <c r="AG157" s="33">
        <v>33408</v>
      </c>
      <c r="AH157" s="36">
        <f t="shared" si="2"/>
        <v>0</v>
      </c>
    </row>
    <row r="158" spans="1:34" x14ac:dyDescent="0.25">
      <c r="A158" s="16" t="s">
        <v>408</v>
      </c>
      <c r="B158" s="16" t="s">
        <v>1653</v>
      </c>
      <c r="C158" s="17">
        <v>45566</v>
      </c>
      <c r="D158" s="16" t="s">
        <v>32</v>
      </c>
      <c r="E158" s="16" t="s">
        <v>1654</v>
      </c>
      <c r="F158" s="18">
        <v>45596</v>
      </c>
      <c r="G158" s="18">
        <v>45960</v>
      </c>
      <c r="H158" s="30" t="s">
        <v>1655</v>
      </c>
      <c r="I158" s="20">
        <v>7130180358157</v>
      </c>
      <c r="J158" s="27" t="s">
        <v>1656</v>
      </c>
      <c r="K158" s="16" t="s">
        <v>1657</v>
      </c>
      <c r="L158" s="16">
        <v>386946</v>
      </c>
      <c r="M158" s="16" t="s">
        <v>1658</v>
      </c>
      <c r="N158" s="16" t="s">
        <v>1653</v>
      </c>
      <c r="O158" s="16" t="s">
        <v>50</v>
      </c>
      <c r="P158" s="16" t="s">
        <v>51</v>
      </c>
      <c r="Q158" s="16" t="s">
        <v>1659</v>
      </c>
      <c r="R158" s="18">
        <v>44866</v>
      </c>
      <c r="S158" s="18">
        <v>46696</v>
      </c>
      <c r="T158" s="22">
        <v>1424000</v>
      </c>
      <c r="U158" s="16">
        <v>15</v>
      </c>
      <c r="V158" s="23">
        <v>213600</v>
      </c>
      <c r="W158" s="23">
        <v>1210400</v>
      </c>
      <c r="X158" s="24">
        <v>2</v>
      </c>
      <c r="Y158" s="31">
        <v>24208</v>
      </c>
      <c r="Z158" s="16"/>
      <c r="AA158" s="16" t="s">
        <v>41</v>
      </c>
      <c r="AB158" s="16">
        <v>1141071585</v>
      </c>
      <c r="AC158" s="25">
        <v>45624</v>
      </c>
      <c r="AD158" s="26" t="s">
        <v>42</v>
      </c>
      <c r="AE158" s="26">
        <v>10</v>
      </c>
      <c r="AF158" s="16" t="s">
        <v>1654</v>
      </c>
      <c r="AG158" s="33">
        <v>24208</v>
      </c>
      <c r="AH158" s="36">
        <f t="shared" si="2"/>
        <v>0</v>
      </c>
    </row>
    <row r="159" spans="1:34" x14ac:dyDescent="0.25">
      <c r="A159" s="16" t="s">
        <v>408</v>
      </c>
      <c r="B159" s="16" t="s">
        <v>1660</v>
      </c>
      <c r="C159" s="17">
        <v>45566</v>
      </c>
      <c r="D159" s="16" t="s">
        <v>32</v>
      </c>
      <c r="E159" s="16" t="s">
        <v>1661</v>
      </c>
      <c r="F159" s="18">
        <v>45596</v>
      </c>
      <c r="G159" s="18">
        <v>45960</v>
      </c>
      <c r="H159" s="30" t="s">
        <v>1662</v>
      </c>
      <c r="I159" s="20">
        <v>3740503744829</v>
      </c>
      <c r="J159" s="27" t="s">
        <v>983</v>
      </c>
      <c r="K159" s="16" t="s">
        <v>1663</v>
      </c>
      <c r="L159" s="16">
        <v>386124</v>
      </c>
      <c r="M159" s="16" t="s">
        <v>1664</v>
      </c>
      <c r="N159" s="16" t="s">
        <v>1660</v>
      </c>
      <c r="O159" s="16" t="s">
        <v>38</v>
      </c>
      <c r="P159" s="16" t="s">
        <v>1665</v>
      </c>
      <c r="Q159" s="16" t="s">
        <v>1666</v>
      </c>
      <c r="R159" s="18">
        <v>44866</v>
      </c>
      <c r="S159" s="18">
        <v>46696</v>
      </c>
      <c r="T159" s="22">
        <v>1424000</v>
      </c>
      <c r="U159" s="16">
        <v>15</v>
      </c>
      <c r="V159" s="23">
        <v>213600</v>
      </c>
      <c r="W159" s="23">
        <v>1210400</v>
      </c>
      <c r="X159" s="24">
        <v>2</v>
      </c>
      <c r="Y159" s="31">
        <v>24208</v>
      </c>
      <c r="Z159" s="16"/>
      <c r="AA159" s="16" t="s">
        <v>41</v>
      </c>
      <c r="AB159" s="16">
        <v>1141071585</v>
      </c>
      <c r="AC159" s="25">
        <v>45624</v>
      </c>
      <c r="AD159" s="26" t="s">
        <v>42</v>
      </c>
      <c r="AE159" s="26">
        <v>0</v>
      </c>
      <c r="AF159" s="16" t="s">
        <v>1661</v>
      </c>
      <c r="AG159" s="33">
        <v>24208</v>
      </c>
      <c r="AH159" s="36">
        <f t="shared" si="2"/>
        <v>0</v>
      </c>
    </row>
    <row r="160" spans="1:34" x14ac:dyDescent="0.25">
      <c r="A160" s="16" t="s">
        <v>408</v>
      </c>
      <c r="B160" s="16" t="s">
        <v>1667</v>
      </c>
      <c r="C160" s="17">
        <v>45566</v>
      </c>
      <c r="D160" s="16" t="s">
        <v>32</v>
      </c>
      <c r="E160" s="16" t="s">
        <v>1668</v>
      </c>
      <c r="F160" s="18">
        <v>45597</v>
      </c>
      <c r="G160" s="18">
        <v>45961</v>
      </c>
      <c r="H160" s="30" t="s">
        <v>1669</v>
      </c>
      <c r="I160" s="20" t="s">
        <v>1670</v>
      </c>
      <c r="J160" s="27" t="s">
        <v>1528</v>
      </c>
      <c r="K160" s="16" t="s">
        <v>1671</v>
      </c>
      <c r="L160" s="16" t="s">
        <v>1672</v>
      </c>
      <c r="M160" s="16" t="s">
        <v>1673</v>
      </c>
      <c r="N160" s="16" t="s">
        <v>1667</v>
      </c>
      <c r="O160" s="16" t="s">
        <v>60</v>
      </c>
      <c r="P160" s="16" t="s">
        <v>217</v>
      </c>
      <c r="Q160" s="16" t="s">
        <v>1674</v>
      </c>
      <c r="R160" s="18">
        <v>45232</v>
      </c>
      <c r="S160" s="18">
        <v>46331</v>
      </c>
      <c r="T160" s="22">
        <v>3500000</v>
      </c>
      <c r="U160" s="16">
        <v>10</v>
      </c>
      <c r="V160" s="23">
        <v>350000</v>
      </c>
      <c r="W160" s="23">
        <v>3150000</v>
      </c>
      <c r="X160" s="24">
        <v>1.5</v>
      </c>
      <c r="Y160" s="31">
        <v>47250</v>
      </c>
      <c r="Z160" s="16"/>
      <c r="AA160" s="16" t="s">
        <v>41</v>
      </c>
      <c r="AB160" s="16">
        <v>1141071585</v>
      </c>
      <c r="AC160" s="25">
        <v>45624</v>
      </c>
      <c r="AD160" s="26" t="s">
        <v>42</v>
      </c>
      <c r="AE160" s="26">
        <v>10</v>
      </c>
      <c r="AF160" s="16" t="s">
        <v>1668</v>
      </c>
      <c r="AG160" s="33">
        <v>47250</v>
      </c>
      <c r="AH160" s="36">
        <f t="shared" si="2"/>
        <v>0</v>
      </c>
    </row>
    <row r="161" spans="1:34" x14ac:dyDescent="0.25">
      <c r="A161" s="16" t="s">
        <v>408</v>
      </c>
      <c r="B161" s="16" t="s">
        <v>1675</v>
      </c>
      <c r="C161" s="17">
        <v>45566</v>
      </c>
      <c r="D161" s="16" t="s">
        <v>32</v>
      </c>
      <c r="E161" s="16" t="s">
        <v>1676</v>
      </c>
      <c r="F161" s="18">
        <v>45597</v>
      </c>
      <c r="G161" s="18">
        <v>45961</v>
      </c>
      <c r="H161" s="30" t="s">
        <v>1677</v>
      </c>
      <c r="I161" s="20" t="s">
        <v>1678</v>
      </c>
      <c r="J161" s="27" t="s">
        <v>1679</v>
      </c>
      <c r="K161" s="16" t="s">
        <v>1680</v>
      </c>
      <c r="L161" s="16">
        <v>677330</v>
      </c>
      <c r="M161" s="16" t="s">
        <v>1681</v>
      </c>
      <c r="N161" s="16" t="s">
        <v>1675</v>
      </c>
      <c r="O161" s="16" t="s">
        <v>60</v>
      </c>
      <c r="P161" s="16" t="s">
        <v>61</v>
      </c>
      <c r="Q161" s="16" t="s">
        <v>1682</v>
      </c>
      <c r="R161" s="18">
        <v>45231</v>
      </c>
      <c r="S161" s="18">
        <v>46331</v>
      </c>
      <c r="T161" s="22">
        <v>6000000</v>
      </c>
      <c r="U161" s="16">
        <v>10</v>
      </c>
      <c r="V161" s="23">
        <v>600000</v>
      </c>
      <c r="W161" s="23">
        <v>5400000</v>
      </c>
      <c r="X161" s="24">
        <v>1.5</v>
      </c>
      <c r="Y161" s="31">
        <v>81000</v>
      </c>
      <c r="Z161" s="16"/>
      <c r="AA161" s="16" t="s">
        <v>41</v>
      </c>
      <c r="AB161" s="16">
        <v>1141071585</v>
      </c>
      <c r="AC161" s="25">
        <v>45624</v>
      </c>
      <c r="AD161" s="26" t="s">
        <v>42</v>
      </c>
      <c r="AE161" s="26">
        <v>0</v>
      </c>
      <c r="AF161" s="16" t="s">
        <v>1676</v>
      </c>
      <c r="AG161" s="33">
        <v>81000</v>
      </c>
      <c r="AH161" s="36">
        <f t="shared" si="2"/>
        <v>0</v>
      </c>
    </row>
    <row r="162" spans="1:34" x14ac:dyDescent="0.25">
      <c r="A162" s="16" t="s">
        <v>408</v>
      </c>
      <c r="B162" s="16" t="s">
        <v>1683</v>
      </c>
      <c r="C162" s="17">
        <v>45566</v>
      </c>
      <c r="D162" s="16" t="s">
        <v>32</v>
      </c>
      <c r="E162" s="16" t="s">
        <v>1684</v>
      </c>
      <c r="F162" s="18">
        <v>45597</v>
      </c>
      <c r="G162" s="18">
        <v>45961</v>
      </c>
      <c r="H162" s="30" t="s">
        <v>1685</v>
      </c>
      <c r="I162" s="20" t="s">
        <v>1686</v>
      </c>
      <c r="J162" s="27" t="s">
        <v>1687</v>
      </c>
      <c r="K162" s="16" t="s">
        <v>1688</v>
      </c>
      <c r="L162" s="16" t="s">
        <v>1689</v>
      </c>
      <c r="M162" s="16" t="s">
        <v>1690</v>
      </c>
      <c r="N162" s="16" t="s">
        <v>1683</v>
      </c>
      <c r="O162" s="16" t="s">
        <v>60</v>
      </c>
      <c r="P162" s="16" t="s">
        <v>217</v>
      </c>
      <c r="Q162" s="16" t="s">
        <v>1691</v>
      </c>
      <c r="R162" s="18">
        <v>45232</v>
      </c>
      <c r="S162" s="18">
        <v>47063</v>
      </c>
      <c r="T162" s="22">
        <v>2475000</v>
      </c>
      <c r="U162" s="16">
        <v>10</v>
      </c>
      <c r="V162" s="23">
        <v>247500</v>
      </c>
      <c r="W162" s="23">
        <v>2227500</v>
      </c>
      <c r="X162" s="24">
        <v>2</v>
      </c>
      <c r="Y162" s="31">
        <v>44550</v>
      </c>
      <c r="Z162" s="16"/>
      <c r="AA162" s="16" t="s">
        <v>41</v>
      </c>
      <c r="AB162" s="16">
        <v>1141071585</v>
      </c>
      <c r="AC162" s="25">
        <v>45624</v>
      </c>
      <c r="AD162" s="26" t="s">
        <v>42</v>
      </c>
      <c r="AE162" s="26">
        <v>0</v>
      </c>
      <c r="AF162" s="16" t="s">
        <v>1684</v>
      </c>
      <c r="AG162" s="33">
        <v>44550</v>
      </c>
      <c r="AH162" s="36">
        <f t="shared" si="2"/>
        <v>0</v>
      </c>
    </row>
    <row r="163" spans="1:34" x14ac:dyDescent="0.25">
      <c r="A163" s="16" t="s">
        <v>408</v>
      </c>
      <c r="B163" s="16" t="s">
        <v>1692</v>
      </c>
      <c r="C163" s="17">
        <v>45566</v>
      </c>
      <c r="D163" s="16" t="s">
        <v>32</v>
      </c>
      <c r="E163" s="16" t="s">
        <v>1693</v>
      </c>
      <c r="F163" s="18">
        <v>45597</v>
      </c>
      <c r="G163" s="18">
        <v>45961</v>
      </c>
      <c r="H163" s="30" t="s">
        <v>1694</v>
      </c>
      <c r="I163" s="20" t="s">
        <v>1695</v>
      </c>
      <c r="J163" s="27" t="s">
        <v>1618</v>
      </c>
      <c r="K163" s="16" t="s">
        <v>1696</v>
      </c>
      <c r="L163" s="16">
        <v>154862</v>
      </c>
      <c r="M163" s="16" t="s">
        <v>1697</v>
      </c>
      <c r="N163" s="16" t="s">
        <v>1692</v>
      </c>
      <c r="O163" s="16" t="s">
        <v>60</v>
      </c>
      <c r="P163" s="16" t="s">
        <v>61</v>
      </c>
      <c r="Q163" s="16" t="s">
        <v>1698</v>
      </c>
      <c r="R163" s="18">
        <v>45233</v>
      </c>
      <c r="S163" s="18">
        <v>47063</v>
      </c>
      <c r="T163" s="22">
        <v>2800000</v>
      </c>
      <c r="U163" s="16">
        <v>10</v>
      </c>
      <c r="V163" s="23">
        <v>280000</v>
      </c>
      <c r="W163" s="23">
        <v>2520000</v>
      </c>
      <c r="X163" s="24">
        <v>2</v>
      </c>
      <c r="Y163" s="31">
        <v>50400</v>
      </c>
      <c r="Z163" s="16"/>
      <c r="AA163" s="16" t="s">
        <v>41</v>
      </c>
      <c r="AB163" s="16">
        <v>1141071585</v>
      </c>
      <c r="AC163" s="25">
        <v>45624</v>
      </c>
      <c r="AD163" s="26" t="s">
        <v>42</v>
      </c>
      <c r="AE163" s="26">
        <v>10</v>
      </c>
      <c r="AF163" s="16" t="s">
        <v>1693</v>
      </c>
      <c r="AG163" s="33">
        <v>50400</v>
      </c>
      <c r="AH163" s="36">
        <f t="shared" si="2"/>
        <v>0</v>
      </c>
    </row>
    <row r="164" spans="1:34" x14ac:dyDescent="0.25">
      <c r="A164" s="16" t="s">
        <v>408</v>
      </c>
      <c r="B164" s="16" t="s">
        <v>1699</v>
      </c>
      <c r="C164" s="17">
        <v>45566</v>
      </c>
      <c r="D164" s="16" t="s">
        <v>32</v>
      </c>
      <c r="E164" s="16" t="s">
        <v>1700</v>
      </c>
      <c r="F164" s="18">
        <v>45597</v>
      </c>
      <c r="G164" s="18">
        <v>45961</v>
      </c>
      <c r="H164" s="30" t="s">
        <v>1701</v>
      </c>
      <c r="I164" s="20" t="s">
        <v>1702</v>
      </c>
      <c r="J164" s="27" t="s">
        <v>495</v>
      </c>
      <c r="K164" s="16" t="s">
        <v>1703</v>
      </c>
      <c r="L164" s="16">
        <v>253934</v>
      </c>
      <c r="M164" s="16" t="s">
        <v>1704</v>
      </c>
      <c r="N164" s="16" t="s">
        <v>1699</v>
      </c>
      <c r="O164" s="16" t="s">
        <v>60</v>
      </c>
      <c r="P164" s="16" t="s">
        <v>1705</v>
      </c>
      <c r="Q164" s="16" t="s">
        <v>1706</v>
      </c>
      <c r="R164" s="18">
        <v>44873</v>
      </c>
      <c r="S164" s="18">
        <v>46696</v>
      </c>
      <c r="T164" s="22">
        <v>1886000</v>
      </c>
      <c r="U164" s="16">
        <v>15</v>
      </c>
      <c r="V164" s="23">
        <v>282900</v>
      </c>
      <c r="W164" s="23">
        <v>1603100</v>
      </c>
      <c r="X164" s="24">
        <v>2.5</v>
      </c>
      <c r="Y164" s="31">
        <v>40077.5</v>
      </c>
      <c r="Z164" s="16"/>
      <c r="AA164" s="16" t="s">
        <v>41</v>
      </c>
      <c r="AB164" s="16">
        <v>1141071585</v>
      </c>
      <c r="AC164" s="25">
        <v>45624</v>
      </c>
      <c r="AD164" s="26" t="s">
        <v>42</v>
      </c>
      <c r="AE164" s="26">
        <v>0</v>
      </c>
      <c r="AF164" s="16" t="s">
        <v>1700</v>
      </c>
      <c r="AG164" s="33">
        <v>40078</v>
      </c>
      <c r="AH164" s="36">
        <f t="shared" si="2"/>
        <v>-0.5</v>
      </c>
    </row>
    <row r="165" spans="1:34" x14ac:dyDescent="0.25">
      <c r="A165" s="16" t="s">
        <v>408</v>
      </c>
      <c r="B165" s="16" t="s">
        <v>1707</v>
      </c>
      <c r="C165" s="17">
        <v>45536</v>
      </c>
      <c r="D165" s="16" t="s">
        <v>32</v>
      </c>
      <c r="E165" s="16" t="s">
        <v>1708</v>
      </c>
      <c r="F165" s="18">
        <v>45540</v>
      </c>
      <c r="G165" s="18">
        <v>45904</v>
      </c>
      <c r="H165" s="30" t="s">
        <v>1709</v>
      </c>
      <c r="I165" s="20">
        <v>3520105210497</v>
      </c>
      <c r="J165" s="27" t="s">
        <v>1710</v>
      </c>
      <c r="K165" s="16" t="s">
        <v>1711</v>
      </c>
      <c r="L165" s="16">
        <v>660751</v>
      </c>
      <c r="M165" s="16" t="s">
        <v>1712</v>
      </c>
      <c r="N165" s="16" t="s">
        <v>1707</v>
      </c>
      <c r="O165" s="16" t="s">
        <v>60</v>
      </c>
      <c r="P165" s="16" t="s">
        <v>61</v>
      </c>
      <c r="Q165" s="16" t="s">
        <v>1713</v>
      </c>
      <c r="R165" s="18">
        <v>44854</v>
      </c>
      <c r="S165" s="18">
        <v>45966</v>
      </c>
      <c r="T165" s="22">
        <v>5518000</v>
      </c>
      <c r="U165" s="16">
        <v>15</v>
      </c>
      <c r="V165" s="23">
        <v>827700</v>
      </c>
      <c r="W165" s="23">
        <v>4690300</v>
      </c>
      <c r="X165" s="24">
        <v>1.5</v>
      </c>
      <c r="Y165" s="31">
        <v>70354.5</v>
      </c>
      <c r="Z165" s="16"/>
      <c r="AA165" s="16" t="s">
        <v>41</v>
      </c>
      <c r="AB165" s="16">
        <v>1141071585</v>
      </c>
      <c r="AC165" s="25">
        <v>45624</v>
      </c>
      <c r="AD165" s="26" t="s">
        <v>42</v>
      </c>
      <c r="AE165" s="26">
        <v>0</v>
      </c>
      <c r="AF165" s="16" t="s">
        <v>1708</v>
      </c>
      <c r="AG165" s="33">
        <v>70355</v>
      </c>
      <c r="AH165" s="36">
        <f t="shared" si="2"/>
        <v>-0.5</v>
      </c>
    </row>
    <row r="166" spans="1:34" x14ac:dyDescent="0.25">
      <c r="A166" s="16" t="s">
        <v>408</v>
      </c>
      <c r="B166" s="16" t="s">
        <v>1714</v>
      </c>
      <c r="C166" s="17">
        <v>45536</v>
      </c>
      <c r="D166" s="16" t="s">
        <v>32</v>
      </c>
      <c r="E166" s="16" t="s">
        <v>1715</v>
      </c>
      <c r="F166" s="18">
        <v>45541</v>
      </c>
      <c r="G166" s="18">
        <v>45905</v>
      </c>
      <c r="H166" s="30" t="s">
        <v>1716</v>
      </c>
      <c r="I166" s="20">
        <v>3630204562709</v>
      </c>
      <c r="J166" s="27" t="s">
        <v>1717</v>
      </c>
      <c r="K166" s="16" t="s">
        <v>1718</v>
      </c>
      <c r="L166" s="16">
        <v>248606</v>
      </c>
      <c r="M166" s="16" t="s">
        <v>1719</v>
      </c>
      <c r="N166" s="16" t="s">
        <v>1714</v>
      </c>
      <c r="O166" s="16" t="s">
        <v>60</v>
      </c>
      <c r="P166" s="16" t="s">
        <v>114</v>
      </c>
      <c r="Q166" s="16" t="s">
        <v>1720</v>
      </c>
      <c r="R166" s="18">
        <v>44830</v>
      </c>
      <c r="S166" s="18">
        <v>47031</v>
      </c>
      <c r="T166" s="22">
        <v>1306000</v>
      </c>
      <c r="U166" s="16">
        <v>15</v>
      </c>
      <c r="V166" s="23">
        <v>195900</v>
      </c>
      <c r="W166" s="23">
        <v>1110100</v>
      </c>
      <c r="X166" s="24">
        <v>2.5</v>
      </c>
      <c r="Y166" s="31">
        <v>27752.5</v>
      </c>
      <c r="Z166" s="16"/>
      <c r="AA166" s="16" t="s">
        <v>41</v>
      </c>
      <c r="AB166" s="16">
        <v>1141071585</v>
      </c>
      <c r="AC166" s="25">
        <v>45624</v>
      </c>
      <c r="AD166" s="26" t="s">
        <v>42</v>
      </c>
      <c r="AE166" s="26">
        <v>10</v>
      </c>
      <c r="AF166" s="16" t="s">
        <v>1715</v>
      </c>
      <c r="AG166" s="33">
        <v>27753</v>
      </c>
      <c r="AH166" s="36">
        <f t="shared" si="2"/>
        <v>-0.5</v>
      </c>
    </row>
    <row r="167" spans="1:34" x14ac:dyDescent="0.25">
      <c r="A167" s="16" t="s">
        <v>408</v>
      </c>
      <c r="B167" s="16" t="s">
        <v>1721</v>
      </c>
      <c r="C167" s="17">
        <v>45536</v>
      </c>
      <c r="D167" s="16" t="s">
        <v>32</v>
      </c>
      <c r="E167" s="16" t="s">
        <v>1722</v>
      </c>
      <c r="F167" s="18">
        <v>45543</v>
      </c>
      <c r="G167" s="18">
        <v>45907</v>
      </c>
      <c r="H167" s="30" t="s">
        <v>1723</v>
      </c>
      <c r="I167" s="20" t="s">
        <v>1724</v>
      </c>
      <c r="J167" s="27" t="s">
        <v>1725</v>
      </c>
      <c r="K167" s="16" t="s">
        <v>1726</v>
      </c>
      <c r="L167" s="16" t="s">
        <v>1727</v>
      </c>
      <c r="M167" s="16" t="s">
        <v>1728</v>
      </c>
      <c r="N167" s="16" t="s">
        <v>1721</v>
      </c>
      <c r="O167" s="16" t="s">
        <v>50</v>
      </c>
      <c r="P167" s="16" t="s">
        <v>51</v>
      </c>
      <c r="Q167" s="16" t="s">
        <v>1729</v>
      </c>
      <c r="R167" s="18">
        <v>44505</v>
      </c>
      <c r="S167" s="18">
        <v>47063</v>
      </c>
      <c r="T167" s="22">
        <v>2675000</v>
      </c>
      <c r="U167" s="16">
        <v>20</v>
      </c>
      <c r="V167" s="23">
        <v>535000</v>
      </c>
      <c r="W167" s="23">
        <v>2140000</v>
      </c>
      <c r="X167" s="24">
        <v>2.5</v>
      </c>
      <c r="Y167" s="31">
        <v>53500</v>
      </c>
      <c r="Z167" s="16"/>
      <c r="AA167" s="16" t="s">
        <v>41</v>
      </c>
      <c r="AB167" s="16">
        <v>1141071585</v>
      </c>
      <c r="AC167" s="25">
        <v>45624</v>
      </c>
      <c r="AD167" s="26" t="s">
        <v>42</v>
      </c>
      <c r="AE167" s="26">
        <v>0</v>
      </c>
      <c r="AF167" s="16" t="s">
        <v>1722</v>
      </c>
      <c r="AG167" s="33">
        <v>53500</v>
      </c>
      <c r="AH167" s="36">
        <f t="shared" si="2"/>
        <v>0</v>
      </c>
    </row>
    <row r="168" spans="1:34" x14ac:dyDescent="0.25">
      <c r="A168" s="16" t="s">
        <v>408</v>
      </c>
      <c r="B168" s="16" t="s">
        <v>1730</v>
      </c>
      <c r="C168" s="17">
        <v>45536</v>
      </c>
      <c r="D168" s="16" t="s">
        <v>32</v>
      </c>
      <c r="E168" s="16" t="s">
        <v>1731</v>
      </c>
      <c r="F168" s="18">
        <v>45562</v>
      </c>
      <c r="G168" s="18">
        <v>45926</v>
      </c>
      <c r="H168" s="30" t="s">
        <v>1732</v>
      </c>
      <c r="I168" s="20">
        <v>3520219554571</v>
      </c>
      <c r="J168" s="27" t="s">
        <v>1733</v>
      </c>
      <c r="K168" s="16" t="s">
        <v>1734</v>
      </c>
      <c r="L168" s="16" t="s">
        <v>1735</v>
      </c>
      <c r="M168" s="16" t="s">
        <v>1736</v>
      </c>
      <c r="N168" s="16" t="s">
        <v>1730</v>
      </c>
      <c r="O168" s="16" t="s">
        <v>60</v>
      </c>
      <c r="P168" s="16" t="s">
        <v>61</v>
      </c>
      <c r="Q168" s="16" t="s">
        <v>1737</v>
      </c>
      <c r="R168" s="18">
        <v>44515</v>
      </c>
      <c r="S168" s="18">
        <v>47063</v>
      </c>
      <c r="T168" s="22">
        <v>2933000</v>
      </c>
      <c r="U168" s="16">
        <v>20</v>
      </c>
      <c r="V168" s="23">
        <v>586600</v>
      </c>
      <c r="W168" s="23">
        <v>2346400</v>
      </c>
      <c r="X168" s="24">
        <v>2.5</v>
      </c>
      <c r="Y168" s="31">
        <v>58660</v>
      </c>
      <c r="Z168" s="16"/>
      <c r="AA168" s="16" t="s">
        <v>41</v>
      </c>
      <c r="AB168" s="16">
        <v>1141071585</v>
      </c>
      <c r="AC168" s="25">
        <v>45624</v>
      </c>
      <c r="AD168" s="26" t="s">
        <v>42</v>
      </c>
      <c r="AE168" s="26">
        <v>0</v>
      </c>
      <c r="AF168" s="16" t="s">
        <v>1731</v>
      </c>
      <c r="AG168" s="33">
        <v>58660</v>
      </c>
      <c r="AH168" s="36">
        <f t="shared" si="2"/>
        <v>0</v>
      </c>
    </row>
    <row r="169" spans="1:34" x14ac:dyDescent="0.25">
      <c r="A169" s="16" t="s">
        <v>408</v>
      </c>
      <c r="B169" s="16" t="s">
        <v>1738</v>
      </c>
      <c r="C169" s="17">
        <v>45536</v>
      </c>
      <c r="D169" s="16" t="s">
        <v>32</v>
      </c>
      <c r="E169" s="16" t="s">
        <v>1739</v>
      </c>
      <c r="F169" s="18">
        <v>45565</v>
      </c>
      <c r="G169" s="18">
        <v>45929</v>
      </c>
      <c r="H169" s="30" t="s">
        <v>1740</v>
      </c>
      <c r="I169" s="20">
        <v>3520240456279</v>
      </c>
      <c r="J169" s="27" t="s">
        <v>1741</v>
      </c>
      <c r="K169" s="16" t="s">
        <v>1742</v>
      </c>
      <c r="L169" s="16" t="s">
        <v>1743</v>
      </c>
      <c r="M169" s="16" t="s">
        <v>1744</v>
      </c>
      <c r="N169" s="16" t="s">
        <v>1738</v>
      </c>
      <c r="O169" s="16" t="s">
        <v>60</v>
      </c>
      <c r="P169" s="16" t="s">
        <v>61</v>
      </c>
      <c r="Q169" s="16" t="s">
        <v>1745</v>
      </c>
      <c r="R169" s="18">
        <v>43740</v>
      </c>
      <c r="S169" s="18">
        <v>45936</v>
      </c>
      <c r="T169" s="22">
        <v>2883000</v>
      </c>
      <c r="U169" s="16">
        <v>30</v>
      </c>
      <c r="V169" s="23">
        <v>864900</v>
      </c>
      <c r="W169" s="23">
        <v>2018100</v>
      </c>
      <c r="X169" s="24">
        <v>3.75</v>
      </c>
      <c r="Y169" s="31">
        <v>75678.75</v>
      </c>
      <c r="Z169" s="16"/>
      <c r="AA169" s="16" t="s">
        <v>41</v>
      </c>
      <c r="AB169" s="16">
        <v>1141071585</v>
      </c>
      <c r="AC169" s="25">
        <v>45624</v>
      </c>
      <c r="AD169" s="26" t="s">
        <v>42</v>
      </c>
      <c r="AE169" s="26">
        <v>71</v>
      </c>
      <c r="AF169" s="16" t="s">
        <v>1739</v>
      </c>
      <c r="AG169" s="33">
        <v>75679</v>
      </c>
      <c r="AH169" s="36">
        <f t="shared" si="2"/>
        <v>-0.25</v>
      </c>
    </row>
    <row r="170" spans="1:34" x14ac:dyDescent="0.25">
      <c r="A170" s="16" t="s">
        <v>408</v>
      </c>
      <c r="B170" s="16" t="s">
        <v>1746</v>
      </c>
      <c r="C170" s="17">
        <v>45536</v>
      </c>
      <c r="D170" s="16" t="s">
        <v>32</v>
      </c>
      <c r="E170" s="16" t="s">
        <v>1747</v>
      </c>
      <c r="F170" s="18">
        <v>45565</v>
      </c>
      <c r="G170" s="18">
        <v>45929</v>
      </c>
      <c r="H170" s="30" t="s">
        <v>1748</v>
      </c>
      <c r="I170" s="20">
        <v>3740571026879</v>
      </c>
      <c r="J170" s="27" t="s">
        <v>1749</v>
      </c>
      <c r="K170" s="16">
        <v>0</v>
      </c>
      <c r="L170" s="16">
        <v>184189</v>
      </c>
      <c r="M170" s="16" t="s">
        <v>1750</v>
      </c>
      <c r="N170" s="16" t="s">
        <v>1746</v>
      </c>
      <c r="O170" s="16" t="s">
        <v>38</v>
      </c>
      <c r="P170" s="16" t="s">
        <v>39</v>
      </c>
      <c r="Q170" s="16" t="s">
        <v>1751</v>
      </c>
      <c r="R170" s="18">
        <v>44508</v>
      </c>
      <c r="S170" s="18">
        <v>46331</v>
      </c>
      <c r="T170" s="22">
        <v>1521000</v>
      </c>
      <c r="U170" s="16">
        <v>20</v>
      </c>
      <c r="V170" s="23">
        <v>304200</v>
      </c>
      <c r="W170" s="23">
        <v>1216800</v>
      </c>
      <c r="X170" s="24">
        <v>2.5</v>
      </c>
      <c r="Y170" s="31">
        <v>30420</v>
      </c>
      <c r="Z170" s="16"/>
      <c r="AA170" s="16" t="s">
        <v>41</v>
      </c>
      <c r="AB170" s="16">
        <v>1141071585</v>
      </c>
      <c r="AC170" s="25">
        <v>45624</v>
      </c>
      <c r="AD170" s="26" t="s">
        <v>42</v>
      </c>
      <c r="AE170" s="26">
        <v>0</v>
      </c>
      <c r="AF170" s="16" t="s">
        <v>1747</v>
      </c>
      <c r="AG170" s="33">
        <v>30420</v>
      </c>
      <c r="AH170" s="36">
        <f t="shared" si="2"/>
        <v>0</v>
      </c>
    </row>
    <row r="171" spans="1:34" x14ac:dyDescent="0.25">
      <c r="A171" s="16" t="s">
        <v>408</v>
      </c>
      <c r="B171" s="16" t="s">
        <v>1752</v>
      </c>
      <c r="C171" s="17">
        <v>45474</v>
      </c>
      <c r="D171" s="16" t="s">
        <v>32</v>
      </c>
      <c r="E171" s="16" t="s">
        <v>1753</v>
      </c>
      <c r="F171" s="18">
        <v>45503</v>
      </c>
      <c r="G171" s="18">
        <v>45867</v>
      </c>
      <c r="H171" s="30" t="s">
        <v>1754</v>
      </c>
      <c r="I171" s="20">
        <v>3310522586611</v>
      </c>
      <c r="J171" s="27" t="s">
        <v>1741</v>
      </c>
      <c r="K171" s="16" t="s">
        <v>1755</v>
      </c>
      <c r="L171" s="16" t="s">
        <v>1756</v>
      </c>
      <c r="M171" s="16" t="s">
        <v>1757</v>
      </c>
      <c r="N171" s="16" t="s">
        <v>1752</v>
      </c>
      <c r="O171" s="16" t="s">
        <v>60</v>
      </c>
      <c r="P171" s="16" t="s">
        <v>1758</v>
      </c>
      <c r="Q171" s="16" t="s">
        <v>1759</v>
      </c>
      <c r="R171" s="18">
        <v>44120</v>
      </c>
      <c r="S171" s="18">
        <v>45966</v>
      </c>
      <c r="T171" s="22">
        <v>2000000</v>
      </c>
      <c r="U171" s="16">
        <v>25</v>
      </c>
      <c r="V171" s="23">
        <v>500000</v>
      </c>
      <c r="W171" s="23">
        <v>1500000</v>
      </c>
      <c r="X171" s="24">
        <v>2.5</v>
      </c>
      <c r="Y171" s="31">
        <v>37500</v>
      </c>
      <c r="Z171" s="16"/>
      <c r="AA171" s="16" t="s">
        <v>41</v>
      </c>
      <c r="AB171" s="16">
        <v>1141071585</v>
      </c>
      <c r="AC171" s="25">
        <v>45624</v>
      </c>
      <c r="AD171" s="26" t="s">
        <v>42</v>
      </c>
      <c r="AE171" s="26">
        <v>0</v>
      </c>
      <c r="AF171" s="16" t="s">
        <v>1753</v>
      </c>
      <c r="AG171" s="33">
        <v>37500</v>
      </c>
      <c r="AH171" s="36">
        <f t="shared" si="2"/>
        <v>0</v>
      </c>
    </row>
    <row r="172" spans="1:34" x14ac:dyDescent="0.25">
      <c r="A172" s="16" t="s">
        <v>408</v>
      </c>
      <c r="B172" s="16" t="s">
        <v>1760</v>
      </c>
      <c r="C172" s="17">
        <v>45444</v>
      </c>
      <c r="D172" s="16" t="s">
        <v>32</v>
      </c>
      <c r="E172" s="16" t="s">
        <v>1761</v>
      </c>
      <c r="F172" s="18">
        <v>45456</v>
      </c>
      <c r="G172" s="18">
        <v>45820</v>
      </c>
      <c r="H172" s="30" t="s">
        <v>1762</v>
      </c>
      <c r="I172" s="20" t="s">
        <v>1763</v>
      </c>
      <c r="J172" s="27" t="s">
        <v>1764</v>
      </c>
      <c r="K172" s="16" t="s">
        <v>1765</v>
      </c>
      <c r="L172" s="16" t="s">
        <v>1766</v>
      </c>
      <c r="M172" s="16" t="s">
        <v>1767</v>
      </c>
      <c r="N172" s="16" t="s">
        <v>1760</v>
      </c>
      <c r="O172" s="16" t="s">
        <v>60</v>
      </c>
      <c r="P172" s="16" t="s">
        <v>61</v>
      </c>
      <c r="Q172" s="16" t="s">
        <v>1768</v>
      </c>
      <c r="R172" s="18">
        <v>45097</v>
      </c>
      <c r="S172" s="18">
        <v>46209</v>
      </c>
      <c r="T172" s="22">
        <v>4000000</v>
      </c>
      <c r="U172" s="16">
        <v>10</v>
      </c>
      <c r="V172" s="23">
        <v>400000</v>
      </c>
      <c r="W172" s="23">
        <v>3600000</v>
      </c>
      <c r="X172" s="24">
        <v>1.5</v>
      </c>
      <c r="Y172" s="31">
        <v>54000</v>
      </c>
      <c r="Z172" s="16"/>
      <c r="AA172" s="16" t="s">
        <v>41</v>
      </c>
      <c r="AB172" s="16">
        <v>1141071585</v>
      </c>
      <c r="AC172" s="25">
        <v>45624</v>
      </c>
      <c r="AD172" s="26" t="s">
        <v>42</v>
      </c>
      <c r="AE172" s="26">
        <v>0</v>
      </c>
      <c r="AF172" s="16" t="s">
        <v>1761</v>
      </c>
      <c r="AG172" s="33">
        <v>54000</v>
      </c>
      <c r="AH172" s="36">
        <f t="shared" si="2"/>
        <v>0</v>
      </c>
    </row>
    <row r="174" spans="1:34" x14ac:dyDescent="0.25">
      <c r="Y174" s="35">
        <f>SUBTOTAL(9,Y2:Y172)</f>
        <v>7031830.3512500003</v>
      </c>
      <c r="AG174" s="35">
        <f>SUBTOTAL(9,AG2:AG172)</f>
        <v>7031841</v>
      </c>
    </row>
  </sheetData>
  <autoFilter ref="A1:AH172" xr:uid="{30EF692A-3A13-45AB-88F7-E4CAEDCA2CEE}"/>
  <conditionalFormatting sqref="L2:M172">
    <cfRule type="duplicateValues" dxfId="39" priority="5"/>
  </conditionalFormatting>
  <conditionalFormatting sqref="M2:M111">
    <cfRule type="duplicateValues" dxfId="38" priority="3"/>
  </conditionalFormatting>
  <conditionalFormatting sqref="M112:M172">
    <cfRule type="duplicateValues" dxfId="37" priority="1"/>
    <cfRule type="duplicateValues" dxfId="36" priority="2"/>
  </conditionalFormatting>
  <conditionalFormatting sqref="N2:N172">
    <cfRule type="duplicateValues" dxfId="35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44F7-EEC6-4BC1-BEF2-3CECE6E925EE}">
  <dimension ref="A1:H173"/>
  <sheetViews>
    <sheetView topLeftCell="A170" workbookViewId="0">
      <selection activeCell="H172" sqref="H2:H172"/>
    </sheetView>
  </sheetViews>
  <sheetFormatPr defaultRowHeight="15" x14ac:dyDescent="0.25"/>
  <cols>
    <col min="1" max="1" width="38.7109375" bestFit="1" customWidth="1"/>
    <col min="2" max="2" width="14" bestFit="1" customWidth="1"/>
    <col min="3" max="3" width="13.28515625" bestFit="1" customWidth="1"/>
    <col min="4" max="4" width="10.5703125" bestFit="1" customWidth="1"/>
    <col min="5" max="5" width="13.7109375" bestFit="1" customWidth="1"/>
    <col min="6" max="6" width="99" customWidth="1"/>
    <col min="7" max="7" width="89" customWidth="1"/>
    <col min="8" max="8" width="80" customWidth="1"/>
  </cols>
  <sheetData>
    <row r="1" spans="1:8" x14ac:dyDescent="0.25">
      <c r="A1" s="45" t="s">
        <v>2169</v>
      </c>
      <c r="B1" t="s">
        <v>2170</v>
      </c>
      <c r="D1" s="46" t="s">
        <v>2171</v>
      </c>
      <c r="E1" s="41" t="s">
        <v>2168</v>
      </c>
    </row>
    <row r="2" spans="1:8" ht="96.75" customHeight="1" x14ac:dyDescent="0.25">
      <c r="A2" s="16" t="s">
        <v>410</v>
      </c>
      <c r="B2" s="38" t="str">
        <f>VLOOKUP(A2,policy1!B:C,2,0)</f>
        <v>070000169164</v>
      </c>
      <c r="C2" s="39">
        <f>VLOOKUP(A2,Renewal!AF:AG,2,0)</f>
        <v>17820</v>
      </c>
      <c r="D2" s="40">
        <f>ROUND(C2,0)</f>
        <v>17820</v>
      </c>
      <c r="E2" s="41" t="s">
        <v>2168</v>
      </c>
      <c r="F2" s="42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3" t="str">
        <f>"('"&amp;E2&amp;"','"&amp;B2&amp;"','"&amp;D2&amp;"',(select max(to_number(i.premium_rcv_detail_code))+1
from ins_premium_det i),'"&amp;D2&amp;"','"&amp;D2&amp;"','02', '11000003','00','Request by Mr. Raheel Malik Premium 02-Dec-2024');"</f>
        <v>('28Nov240018','070000169164','17820',(select max(to_number(i.premium_rcv_detail_code))+1
from ins_premium_det i),'17820','17820','02', '11000003','00','Request by Mr. Raheel Malik Premium 02-Dec-2024');</v>
      </c>
      <c r="H2" s="44" t="str">
        <f>F2&amp;G2</f>
        <v>insert into ins_premium_det (premium_rcv_code,assorted_code, rec_amount,premium_rcv_detail_code,remaining_amt, payrec, mode_code,coinsurance_code,class_cd,it_remarks) values('28Nov240018','070000169164','17820',(select max(to_number(i.premium_rcv_detail_code))+1
from ins_premium_det i),'17820','17820','02', '11000003','00','Request by Mr. Raheel Malik Premium 02-Dec-2024');</v>
      </c>
    </row>
    <row r="3" spans="1:8" ht="105" x14ac:dyDescent="0.25">
      <c r="A3" s="16" t="s">
        <v>419</v>
      </c>
      <c r="B3" s="38" t="str">
        <f>VLOOKUP(A3,policy1!B:C,2,0)</f>
        <v>070000169261</v>
      </c>
      <c r="C3" s="39">
        <f>VLOOKUP(A3,Renewal!AF:AG,2,0)</f>
        <v>51012</v>
      </c>
      <c r="D3" s="40">
        <f t="shared" ref="D3:D66" si="1">ROUND(C3,0)</f>
        <v>51012</v>
      </c>
      <c r="E3" s="41" t="s">
        <v>2168</v>
      </c>
      <c r="F3" s="42" t="str">
        <f t="shared" si="0"/>
        <v>insert into ins_premium_det (premium_rcv_code,assorted_code, rec_amount,premium_rcv_detail_code,remaining_amt, payrec, mode_code,coinsurance_code,class_cd,it_remarks) values</v>
      </c>
      <c r="G3" s="43" t="str">
        <f t="shared" ref="G3:G66" si="2">"('"&amp;E3&amp;"','"&amp;B3&amp;"','"&amp;D3&amp;"',(select max(to_number(i.premium_rcv_detail_code))+1
from ins_premium_det i),'"&amp;D3&amp;"','"&amp;D3&amp;"','02', '11000003','00','Request by Mr. Raheel Malik Premium 02-Dec-2024');"</f>
        <v>('28Nov240018','070000169261','51012',(select max(to_number(i.premium_rcv_detail_code))+1
from ins_premium_det i),'51012','51012','02', '11000003','00','Request by Mr. Raheel Malik Premium 02-Dec-2024');</v>
      </c>
      <c r="H3" s="44" t="str">
        <f t="shared" ref="H3:H66" si="3">F3&amp;G3</f>
        <v>insert into ins_premium_det (premium_rcv_code,assorted_code, rec_amount,premium_rcv_detail_code,remaining_amt, payrec, mode_code,coinsurance_code,class_cd,it_remarks) values('28Nov240018','070000169261','51012',(select max(to_number(i.premium_rcv_detail_code))+1
from ins_premium_det i),'51012','51012','02', '11000003','00','Request by Mr. Raheel Malik Premium 02-Dec-2024');</v>
      </c>
    </row>
    <row r="4" spans="1:8" ht="105" x14ac:dyDescent="0.25">
      <c r="A4" s="16" t="s">
        <v>429</v>
      </c>
      <c r="B4" s="38" t="str">
        <f>VLOOKUP(A4,policy1!B:C,2,0)</f>
        <v>070000169170</v>
      </c>
      <c r="C4" s="39">
        <f>VLOOKUP(A4,Renewal!AF:AG,2,0)</f>
        <v>50400</v>
      </c>
      <c r="D4" s="40">
        <f t="shared" si="1"/>
        <v>50400</v>
      </c>
      <c r="E4" s="41" t="s">
        <v>2168</v>
      </c>
      <c r="F4" s="42" t="str">
        <f t="shared" si="0"/>
        <v>insert into ins_premium_det (premium_rcv_code,assorted_code, rec_amount,premium_rcv_detail_code,remaining_amt, payrec, mode_code,coinsurance_code,class_cd,it_remarks) values</v>
      </c>
      <c r="G4" s="43" t="str">
        <f t="shared" si="2"/>
        <v>('28Nov240018','070000169170','50400',(select max(to_number(i.premium_rcv_detail_code))+1
from ins_premium_det i),'50400','50400','02', '11000003','00','Request by Mr. Raheel Malik Premium 02-Dec-2024');</v>
      </c>
      <c r="H4" s="44" t="str">
        <f t="shared" si="3"/>
        <v>insert into ins_premium_det (premium_rcv_code,assorted_code, rec_amount,premium_rcv_detail_code,remaining_amt, payrec, mode_code,coinsurance_code,class_cd,it_remarks) values('28Nov240018','070000169170','50400',(select max(to_number(i.premium_rcv_detail_code))+1
from ins_premium_det i),'50400','50400','02', '11000003','00','Request by Mr. Raheel Malik Premium 02-Dec-2024');</v>
      </c>
    </row>
    <row r="5" spans="1:8" ht="105" x14ac:dyDescent="0.25">
      <c r="A5" s="16" t="s">
        <v>438</v>
      </c>
      <c r="B5" s="38" t="str">
        <f>VLOOKUP(A5,policy1!B:C,2,0)</f>
        <v>070000169127</v>
      </c>
      <c r="C5" s="39">
        <f>VLOOKUP(A5,Renewal!AF:AG,2,0)</f>
        <v>58000</v>
      </c>
      <c r="D5" s="40">
        <f t="shared" si="1"/>
        <v>58000</v>
      </c>
      <c r="E5" s="41" t="s">
        <v>2168</v>
      </c>
      <c r="F5" s="42" t="str">
        <f t="shared" si="0"/>
        <v>insert into ins_premium_det (premium_rcv_code,assorted_code, rec_amount,premium_rcv_detail_code,remaining_amt, payrec, mode_code,coinsurance_code,class_cd,it_remarks) values</v>
      </c>
      <c r="G5" s="43" t="str">
        <f t="shared" si="2"/>
        <v>('28Nov240018','070000169127','58000',(select max(to_number(i.premium_rcv_detail_code))+1
from ins_premium_det i),'58000','58000','02', '11000003','00','Request by Mr. Raheel Malik Premium 02-Dec-2024');</v>
      </c>
      <c r="H5" s="44" t="str">
        <f t="shared" si="3"/>
        <v>insert into ins_premium_det (premium_rcv_code,assorted_code, rec_amount,premium_rcv_detail_code,remaining_amt, payrec, mode_code,coinsurance_code,class_cd,it_remarks) values('28Nov240018','070000169127','58000',(select max(to_number(i.premium_rcv_detail_code))+1
from ins_premium_det i),'58000','58000','02', '11000003','00','Request by Mr. Raheel Malik Premium 02-Dec-2024');</v>
      </c>
    </row>
    <row r="6" spans="1:8" ht="105" x14ac:dyDescent="0.25">
      <c r="A6" s="16" t="s">
        <v>447</v>
      </c>
      <c r="B6" s="38" t="str">
        <f>VLOOKUP(A6,policy1!B:C,2,0)</f>
        <v>070000169268</v>
      </c>
      <c r="C6" s="39">
        <f>VLOOKUP(A6,Renewal!AF:AG,2,0)</f>
        <v>21662</v>
      </c>
      <c r="D6" s="40">
        <f t="shared" si="1"/>
        <v>21662</v>
      </c>
      <c r="E6" s="41" t="s">
        <v>2168</v>
      </c>
      <c r="F6" s="42" t="str">
        <f t="shared" si="0"/>
        <v>insert into ins_premium_det (premium_rcv_code,assorted_code, rec_amount,premium_rcv_detail_code,remaining_amt, payrec, mode_code,coinsurance_code,class_cd,it_remarks) values</v>
      </c>
      <c r="G6" s="43" t="str">
        <f t="shared" si="2"/>
        <v>('28Nov240018','070000169268','21662',(select max(to_number(i.premium_rcv_detail_code))+1
from ins_premium_det i),'21662','21662','02', '11000003','00','Request by Mr. Raheel Malik Premium 02-Dec-2024');</v>
      </c>
      <c r="H6" s="44" t="str">
        <f t="shared" si="3"/>
        <v>insert into ins_premium_det (premium_rcv_code,assorted_code, rec_amount,premium_rcv_detail_code,remaining_amt, payrec, mode_code,coinsurance_code,class_cd,it_remarks) values('28Nov240018','070000169268','21662',(select max(to_number(i.premium_rcv_detail_code))+1
from ins_premium_det i),'21662','21662','02', '11000003','00','Request by Mr. Raheel Malik Premium 02-Dec-2024');</v>
      </c>
    </row>
    <row r="7" spans="1:8" ht="105" x14ac:dyDescent="0.25">
      <c r="A7" s="16" t="s">
        <v>457</v>
      </c>
      <c r="B7" s="38" t="str">
        <f>VLOOKUP(A7,policy1!B:C,2,0)</f>
        <v>070000169265</v>
      </c>
      <c r="C7" s="39">
        <f>VLOOKUP(A7,Renewal!AF:AG,2,0)</f>
        <v>32755</v>
      </c>
      <c r="D7" s="40">
        <f t="shared" si="1"/>
        <v>32755</v>
      </c>
      <c r="E7" s="41" t="s">
        <v>2168</v>
      </c>
      <c r="F7" s="42" t="str">
        <f t="shared" si="0"/>
        <v>insert into ins_premium_det (premium_rcv_code,assorted_code, rec_amount,premium_rcv_detail_code,remaining_amt, payrec, mode_code,coinsurance_code,class_cd,it_remarks) values</v>
      </c>
      <c r="G7" s="43" t="str">
        <f t="shared" si="2"/>
        <v>('28Nov240018','070000169265','32755',(select max(to_number(i.premium_rcv_detail_code))+1
from ins_premium_det i),'32755','32755','02', '11000003','00','Request by Mr. Raheel Malik Premium 02-Dec-2024');</v>
      </c>
      <c r="H7" s="44" t="str">
        <f t="shared" si="3"/>
        <v>insert into ins_premium_det (premium_rcv_code,assorted_code, rec_amount,premium_rcv_detail_code,remaining_amt, payrec, mode_code,coinsurance_code,class_cd,it_remarks) values('28Nov240018','070000169265','32755',(select max(to_number(i.premium_rcv_detail_code))+1
from ins_premium_det i),'32755','32755','02', '11000003','00','Request by Mr. Raheel Malik Premium 02-Dec-2024');</v>
      </c>
    </row>
    <row r="8" spans="1:8" ht="105" x14ac:dyDescent="0.25">
      <c r="A8" s="16" t="s">
        <v>465</v>
      </c>
      <c r="B8" s="38" t="str">
        <f>VLOOKUP(A8,policy1!B:C,2,0)</f>
        <v>070000169240</v>
      </c>
      <c r="C8" s="39">
        <f>VLOOKUP(A8,Renewal!AF:AG,2,0)</f>
        <v>42474</v>
      </c>
      <c r="D8" s="40">
        <f t="shared" si="1"/>
        <v>42474</v>
      </c>
      <c r="E8" s="41" t="s">
        <v>2168</v>
      </c>
      <c r="F8" s="42" t="str">
        <f t="shared" si="0"/>
        <v>insert into ins_premium_det (premium_rcv_code,assorted_code, rec_amount,premium_rcv_detail_code,remaining_amt, payrec, mode_code,coinsurance_code,class_cd,it_remarks) values</v>
      </c>
      <c r="G8" s="43" t="str">
        <f t="shared" si="2"/>
        <v>('28Nov240018','070000169240','42474',(select max(to_number(i.premium_rcv_detail_code))+1
from ins_premium_det i),'42474','42474','02', '11000003','00','Request by Mr. Raheel Malik Premium 02-Dec-2024');</v>
      </c>
      <c r="H8" s="44" t="str">
        <f t="shared" si="3"/>
        <v>insert into ins_premium_det (premium_rcv_code,assorted_code, rec_amount,premium_rcv_detail_code,remaining_amt, payrec, mode_code,coinsurance_code,class_cd,it_remarks) values('28Nov240018','070000169240','42474',(select max(to_number(i.premium_rcv_detail_code))+1
from ins_premium_det i),'42474','42474','02', '11000003','00','Request by Mr. Raheel Malik Premium 02-Dec-2024');</v>
      </c>
    </row>
    <row r="9" spans="1:8" ht="105" x14ac:dyDescent="0.25">
      <c r="A9" s="16" t="s">
        <v>474</v>
      </c>
      <c r="B9" s="38" t="str">
        <f>VLOOKUP(A9,policy1!B:C,2,0)</f>
        <v>070000169153</v>
      </c>
      <c r="C9" s="39">
        <f>VLOOKUP(A9,Renewal!AF:AG,2,0)</f>
        <v>30000</v>
      </c>
      <c r="D9" s="40">
        <f t="shared" si="1"/>
        <v>30000</v>
      </c>
      <c r="E9" s="41" t="s">
        <v>2168</v>
      </c>
      <c r="F9" s="42" t="str">
        <f t="shared" si="0"/>
        <v>insert into ins_premium_det (premium_rcv_code,assorted_code, rec_amount,premium_rcv_detail_code,remaining_amt, payrec, mode_code,coinsurance_code,class_cd,it_remarks) values</v>
      </c>
      <c r="G9" s="43" t="str">
        <f t="shared" si="2"/>
        <v>('28Nov240018','070000169153','30000',(select max(to_number(i.premium_rcv_detail_code))+1
from ins_premium_det i),'30000','30000','02', '11000003','00','Request by Mr. Raheel Malik Premium 02-Dec-2024');</v>
      </c>
      <c r="H9" s="44" t="str">
        <f t="shared" si="3"/>
        <v>insert into ins_premium_det (premium_rcv_code,assorted_code, rec_amount,premium_rcv_detail_code,remaining_amt, payrec, mode_code,coinsurance_code,class_cd,it_remarks) values('28Nov240018','070000169153','30000',(select max(to_number(i.premium_rcv_detail_code))+1
from ins_premium_det i),'30000','30000','02', '11000003','00','Request by Mr. Raheel Malik Premium 02-Dec-2024');</v>
      </c>
    </row>
    <row r="10" spans="1:8" ht="105" x14ac:dyDescent="0.25">
      <c r="A10" s="16" t="s">
        <v>484</v>
      </c>
      <c r="B10" s="38" t="str">
        <f>VLOOKUP(A10,policy1!B:C,2,0)</f>
        <v>070000169151</v>
      </c>
      <c r="C10" s="39">
        <f>VLOOKUP(A10,Renewal!AF:AG,2,0)</f>
        <v>31781</v>
      </c>
      <c r="D10" s="40">
        <f t="shared" si="1"/>
        <v>31781</v>
      </c>
      <c r="E10" s="41" t="s">
        <v>2168</v>
      </c>
      <c r="F10" s="42" t="str">
        <f t="shared" si="0"/>
        <v>insert into ins_premium_det (premium_rcv_code,assorted_code, rec_amount,premium_rcv_detail_code,remaining_amt, payrec, mode_code,coinsurance_code,class_cd,it_remarks) values</v>
      </c>
      <c r="G10" s="43" t="str">
        <f t="shared" si="2"/>
        <v>('28Nov240018','070000169151','31781',(select max(to_number(i.premium_rcv_detail_code))+1
from ins_premium_det i),'31781','31781','02', '11000003','00','Request by Mr. Raheel Malik Premium 02-Dec-2024');</v>
      </c>
      <c r="H10" s="44" t="str">
        <f t="shared" si="3"/>
        <v>insert into ins_premium_det (premium_rcv_code,assorted_code, rec_amount,premium_rcv_detail_code,remaining_amt, payrec, mode_code,coinsurance_code,class_cd,it_remarks) values('28Nov240018','070000169151','31781',(select max(to_number(i.premium_rcv_detail_code))+1
from ins_premium_det i),'31781','31781','02', '11000003','00','Request by Mr. Raheel Malik Premium 02-Dec-2024');</v>
      </c>
    </row>
    <row r="11" spans="1:8" ht="105" x14ac:dyDescent="0.25">
      <c r="A11" s="16" t="s">
        <v>492</v>
      </c>
      <c r="B11" s="38" t="str">
        <f>VLOOKUP(A11,policy1!B:C,2,0)</f>
        <v>070000169142</v>
      </c>
      <c r="C11" s="39">
        <f>VLOOKUP(A11,Renewal!AF:AG,2,0)</f>
        <v>29963</v>
      </c>
      <c r="D11" s="40">
        <f t="shared" si="1"/>
        <v>29963</v>
      </c>
      <c r="E11" s="41" t="s">
        <v>2168</v>
      </c>
      <c r="F11" s="42" t="str">
        <f t="shared" si="0"/>
        <v>insert into ins_premium_det (premium_rcv_code,assorted_code, rec_amount,premium_rcv_detail_code,remaining_amt, payrec, mode_code,coinsurance_code,class_cd,it_remarks) values</v>
      </c>
      <c r="G11" s="43" t="str">
        <f t="shared" si="2"/>
        <v>('28Nov240018','070000169142','29963',(select max(to_number(i.premium_rcv_detail_code))+1
from ins_premium_det i),'29963','29963','02', '11000003','00','Request by Mr. Raheel Malik Premium 02-Dec-2024');</v>
      </c>
      <c r="H11" s="44" t="str">
        <f t="shared" si="3"/>
        <v>insert into ins_premium_det (premium_rcv_code,assorted_code, rec_amount,premium_rcv_detail_code,remaining_amt, payrec, mode_code,coinsurance_code,class_cd,it_remarks) values('28Nov240018','070000169142','29963',(select max(to_number(i.premium_rcv_detail_code))+1
from ins_premium_det i),'29963','29963','02', '11000003','00','Request by Mr. Raheel Malik Premium 02-Dec-2024');</v>
      </c>
    </row>
    <row r="12" spans="1:8" ht="105" x14ac:dyDescent="0.25">
      <c r="A12" s="16" t="s">
        <v>500</v>
      </c>
      <c r="B12" s="38" t="str">
        <f>VLOOKUP(A12,policy1!B:C,2,0)</f>
        <v>070000169118</v>
      </c>
      <c r="C12" s="39">
        <f>VLOOKUP(A12,Renewal!AF:AG,2,0)</f>
        <v>35594</v>
      </c>
      <c r="D12" s="40">
        <f t="shared" si="1"/>
        <v>35594</v>
      </c>
      <c r="E12" s="41" t="s">
        <v>2168</v>
      </c>
      <c r="F12" s="42" t="str">
        <f t="shared" si="0"/>
        <v>insert into ins_premium_det (premium_rcv_code,assorted_code, rec_amount,premium_rcv_detail_code,remaining_amt, payrec, mode_code,coinsurance_code,class_cd,it_remarks) values</v>
      </c>
      <c r="G12" s="43" t="str">
        <f t="shared" si="2"/>
        <v>('28Nov240018','070000169118','35594',(select max(to_number(i.premium_rcv_detail_code))+1
from ins_premium_det i),'35594','35594','02', '11000003','00','Request by Mr. Raheel Malik Premium 02-Dec-2024');</v>
      </c>
      <c r="H12" s="44" t="str">
        <f t="shared" si="3"/>
        <v>insert into ins_premium_det (premium_rcv_code,assorted_code, rec_amount,premium_rcv_detail_code,remaining_amt, payrec, mode_code,coinsurance_code,class_cd,it_remarks) values('28Nov240018','070000169118','35594',(select max(to_number(i.premium_rcv_detail_code))+1
from ins_premium_det i),'35594','35594','02', '11000003','00','Request by Mr. Raheel Malik Premium 02-Dec-2024');</v>
      </c>
    </row>
    <row r="13" spans="1:8" ht="105" x14ac:dyDescent="0.25">
      <c r="A13" s="16" t="s">
        <v>508</v>
      </c>
      <c r="B13" s="38" t="str">
        <f>VLOOKUP(A13,policy1!B:C,2,0)</f>
        <v>070000169271</v>
      </c>
      <c r="C13" s="39">
        <f>VLOOKUP(A13,Renewal!AF:AG,2,0)</f>
        <v>46402</v>
      </c>
      <c r="D13" s="40">
        <f t="shared" si="1"/>
        <v>46402</v>
      </c>
      <c r="E13" s="41" t="s">
        <v>2168</v>
      </c>
      <c r="F13" s="42" t="str">
        <f t="shared" si="0"/>
        <v>insert into ins_premium_det (premium_rcv_code,assorted_code, rec_amount,premium_rcv_detail_code,remaining_amt, payrec, mode_code,coinsurance_code,class_cd,it_remarks) values</v>
      </c>
      <c r="G13" s="43" t="str">
        <f t="shared" si="2"/>
        <v>('28Nov240018','070000169271','46402',(select max(to_number(i.premium_rcv_detail_code))+1
from ins_premium_det i),'46402','46402','02', '11000003','00','Request by Mr. Raheel Malik Premium 02-Dec-2024');</v>
      </c>
      <c r="H13" s="44" t="str">
        <f t="shared" si="3"/>
        <v>insert into ins_premium_det (premium_rcv_code,assorted_code, rec_amount,premium_rcv_detail_code,remaining_amt, payrec, mode_code,coinsurance_code,class_cd,it_remarks) values('28Nov240018','070000169271','46402',(select max(to_number(i.premium_rcv_detail_code))+1
from ins_premium_det i),'46402','46402','02', '11000003','00','Request by Mr. Raheel Malik Premium 02-Dec-2024');</v>
      </c>
    </row>
    <row r="14" spans="1:8" ht="105" x14ac:dyDescent="0.25">
      <c r="A14" s="16" t="s">
        <v>517</v>
      </c>
      <c r="B14" s="38" t="str">
        <f>VLOOKUP(A14,policy1!B:C,2,0)</f>
        <v>070000169241</v>
      </c>
      <c r="C14" s="39">
        <f>VLOOKUP(A14,Renewal!AF:AG,2,0)</f>
        <v>53741</v>
      </c>
      <c r="D14" s="40">
        <f t="shared" si="1"/>
        <v>53741</v>
      </c>
      <c r="E14" s="41" t="s">
        <v>2168</v>
      </c>
      <c r="F14" s="42" t="str">
        <f t="shared" si="0"/>
        <v>insert into ins_premium_det (premium_rcv_code,assorted_code, rec_amount,premium_rcv_detail_code,remaining_amt, payrec, mode_code,coinsurance_code,class_cd,it_remarks) values</v>
      </c>
      <c r="G14" s="43" t="str">
        <f t="shared" si="2"/>
        <v>('28Nov240018','070000169241','53741',(select max(to_number(i.premium_rcv_detail_code))+1
from ins_premium_det i),'53741','53741','02', '11000003','00','Request by Mr. Raheel Malik Premium 02-Dec-2024');</v>
      </c>
      <c r="H14" s="44" t="str">
        <f t="shared" si="3"/>
        <v>insert into ins_premium_det (premium_rcv_code,assorted_code, rec_amount,premium_rcv_detail_code,remaining_amt, payrec, mode_code,coinsurance_code,class_cd,it_remarks) values('28Nov240018','070000169241','53741',(select max(to_number(i.premium_rcv_detail_code))+1
from ins_premium_det i),'53741','53741','02', '11000003','00','Request by Mr. Raheel Malik Premium 02-Dec-2024');</v>
      </c>
    </row>
    <row r="15" spans="1:8" ht="105" x14ac:dyDescent="0.25">
      <c r="A15" s="16" t="s">
        <v>525</v>
      </c>
      <c r="B15" s="38" t="str">
        <f>VLOOKUP(A15,policy1!B:C,2,0)</f>
        <v>070000169216</v>
      </c>
      <c r="C15" s="39">
        <f>VLOOKUP(A15,Renewal!AF:AG,2,0)</f>
        <v>29750</v>
      </c>
      <c r="D15" s="40">
        <f t="shared" si="1"/>
        <v>29750</v>
      </c>
      <c r="E15" s="41" t="s">
        <v>2168</v>
      </c>
      <c r="F15" s="42" t="str">
        <f t="shared" si="0"/>
        <v>insert into ins_premium_det (premium_rcv_code,assorted_code, rec_amount,premium_rcv_detail_code,remaining_amt, payrec, mode_code,coinsurance_code,class_cd,it_remarks) values</v>
      </c>
      <c r="G15" s="43" t="str">
        <f t="shared" si="2"/>
        <v>('28Nov240018','070000169216','29750',(select max(to_number(i.premium_rcv_detail_code))+1
from ins_premium_det i),'29750','29750','02', '11000003','00','Request by Mr. Raheel Malik Premium 02-Dec-2024');</v>
      </c>
      <c r="H15" s="44" t="str">
        <f t="shared" si="3"/>
        <v>insert into ins_premium_det (premium_rcv_code,assorted_code, rec_amount,premium_rcv_detail_code,remaining_amt, payrec, mode_code,coinsurance_code,class_cd,it_remarks) values('28Nov240018','070000169216','29750',(select max(to_number(i.premium_rcv_detail_code))+1
from ins_premium_det i),'29750','29750','02', '11000003','00','Request by Mr. Raheel Malik Premium 02-Dec-2024');</v>
      </c>
    </row>
    <row r="16" spans="1:8" ht="105" x14ac:dyDescent="0.25">
      <c r="A16" s="16" t="s">
        <v>533</v>
      </c>
      <c r="B16" s="38" t="str">
        <f>VLOOKUP(A16,policy1!B:C,2,0)</f>
        <v>070000169123</v>
      </c>
      <c r="C16" s="39">
        <f>VLOOKUP(A16,Renewal!AF:AG,2,0)</f>
        <v>27753</v>
      </c>
      <c r="D16" s="40">
        <f t="shared" si="1"/>
        <v>27753</v>
      </c>
      <c r="E16" s="41" t="s">
        <v>2168</v>
      </c>
      <c r="F16" s="42" t="str">
        <f t="shared" si="0"/>
        <v>insert into ins_premium_det (premium_rcv_code,assorted_code, rec_amount,premium_rcv_detail_code,remaining_amt, payrec, mode_code,coinsurance_code,class_cd,it_remarks) values</v>
      </c>
      <c r="G16" s="43" t="str">
        <f t="shared" si="2"/>
        <v>('28Nov240018','070000169123','27753',(select max(to_number(i.premium_rcv_detail_code))+1
from ins_premium_det i),'27753','27753','02', '11000003','00','Request by Mr. Raheel Malik Premium 02-Dec-2024');</v>
      </c>
      <c r="H16" s="44" t="str">
        <f t="shared" si="3"/>
        <v>insert into ins_premium_det (premium_rcv_code,assorted_code, rec_amount,premium_rcv_detail_code,remaining_amt, payrec, mode_code,coinsurance_code,class_cd,it_remarks) values('28Nov240018','070000169123','27753',(select max(to_number(i.premium_rcv_detail_code))+1
from ins_premium_det i),'27753','27753','02', '11000003','00','Request by Mr. Raheel Malik Premium 02-Dec-2024');</v>
      </c>
    </row>
    <row r="17" spans="1:8" ht="105" x14ac:dyDescent="0.25">
      <c r="A17" s="16" t="s">
        <v>542</v>
      </c>
      <c r="B17" s="38" t="str">
        <f>VLOOKUP(A17,policy1!B:C,2,0)</f>
        <v>070000169281</v>
      </c>
      <c r="C17" s="39">
        <f>VLOOKUP(A17,Renewal!AF:AG,2,0)</f>
        <v>24225</v>
      </c>
      <c r="D17" s="40">
        <f t="shared" si="1"/>
        <v>24225</v>
      </c>
      <c r="E17" s="41" t="s">
        <v>2168</v>
      </c>
      <c r="F17" s="42" t="str">
        <f t="shared" si="0"/>
        <v>insert into ins_premium_det (premium_rcv_code,assorted_code, rec_amount,premium_rcv_detail_code,remaining_amt, payrec, mode_code,coinsurance_code,class_cd,it_remarks) values</v>
      </c>
      <c r="G17" s="43" t="str">
        <f t="shared" si="2"/>
        <v>('28Nov240018','070000169281','24225',(select max(to_number(i.premium_rcv_detail_code))+1
from ins_premium_det i),'24225','24225','02', '11000003','00','Request by Mr. Raheel Malik Premium 02-Dec-2024');</v>
      </c>
      <c r="H17" s="44" t="str">
        <f t="shared" si="3"/>
        <v>insert into ins_premium_det (premium_rcv_code,assorted_code, rec_amount,premium_rcv_detail_code,remaining_amt, payrec, mode_code,coinsurance_code,class_cd,it_remarks) values('28Nov240018','070000169281','24225',(select max(to_number(i.premium_rcv_detail_code))+1
from ins_premium_det i),'24225','24225','02', '11000003','00','Request by Mr. Raheel Malik Premium 02-Dec-2024');</v>
      </c>
    </row>
    <row r="18" spans="1:8" ht="105" x14ac:dyDescent="0.25">
      <c r="A18" s="16" t="s">
        <v>550</v>
      </c>
      <c r="B18" s="38" t="str">
        <f>VLOOKUP(A18,policy1!B:C,2,0)</f>
        <v>070000169193</v>
      </c>
      <c r="C18" s="39">
        <f>VLOOKUP(A18,Renewal!AF:AG,2,0)</f>
        <v>42500</v>
      </c>
      <c r="D18" s="40">
        <f t="shared" si="1"/>
        <v>42500</v>
      </c>
      <c r="E18" s="41" t="s">
        <v>2168</v>
      </c>
      <c r="F18" s="42" t="str">
        <f t="shared" si="0"/>
        <v>insert into ins_premium_det (premium_rcv_code,assorted_code, rec_amount,premium_rcv_detail_code,remaining_amt, payrec, mode_code,coinsurance_code,class_cd,it_remarks) values</v>
      </c>
      <c r="G18" s="43" t="str">
        <f t="shared" si="2"/>
        <v>('28Nov240018','070000169193','42500',(select max(to_number(i.premium_rcv_detail_code))+1
from ins_premium_det i),'42500','42500','02', '11000003','00','Request by Mr. Raheel Malik Premium 02-Dec-2024');</v>
      </c>
      <c r="H18" s="44" t="str">
        <f t="shared" si="3"/>
        <v>insert into ins_premium_det (premium_rcv_code,assorted_code, rec_amount,premium_rcv_detail_code,remaining_amt, payrec, mode_code,coinsurance_code,class_cd,it_remarks) values('28Nov240018','070000169193','42500',(select max(to_number(i.premium_rcv_detail_code))+1
from ins_premium_det i),'42500','42500','02', '11000003','00','Request by Mr. Raheel Malik Premium 02-Dec-2024');</v>
      </c>
    </row>
    <row r="19" spans="1:8" ht="105" x14ac:dyDescent="0.25">
      <c r="A19" s="16" t="s">
        <v>558</v>
      </c>
      <c r="B19" s="38" t="str">
        <f>VLOOKUP(A19,policy1!B:C,2,0)</f>
        <v>070000169192</v>
      </c>
      <c r="C19" s="39">
        <f>VLOOKUP(A19,Renewal!AF:AG,2,0)</f>
        <v>41157</v>
      </c>
      <c r="D19" s="40">
        <f t="shared" si="1"/>
        <v>41157</v>
      </c>
      <c r="E19" s="41" t="s">
        <v>2168</v>
      </c>
      <c r="F19" s="42" t="str">
        <f t="shared" si="0"/>
        <v>insert into ins_premium_det (premium_rcv_code,assorted_code, rec_amount,premium_rcv_detail_code,remaining_amt, payrec, mode_code,coinsurance_code,class_cd,it_remarks) values</v>
      </c>
      <c r="G19" s="43" t="str">
        <f t="shared" si="2"/>
        <v>('28Nov240018','070000169192','41157',(select max(to_number(i.premium_rcv_detail_code))+1
from ins_premium_det i),'41157','41157','02', '11000003','00','Request by Mr. Raheel Malik Premium 02-Dec-2024');</v>
      </c>
      <c r="H19" s="44" t="str">
        <f t="shared" si="3"/>
        <v>insert into ins_premium_det (premium_rcv_code,assorted_code, rec_amount,premium_rcv_detail_code,remaining_amt, payrec, mode_code,coinsurance_code,class_cd,it_remarks) values('28Nov240018','070000169192','41157',(select max(to_number(i.premium_rcv_detail_code))+1
from ins_premium_det i),'41157','41157','02', '11000003','00','Request by Mr. Raheel Malik Premium 02-Dec-2024');</v>
      </c>
    </row>
    <row r="20" spans="1:8" ht="105" x14ac:dyDescent="0.25">
      <c r="A20" s="16" t="s">
        <v>566</v>
      </c>
      <c r="B20" s="38" t="str">
        <f>VLOOKUP(A20,policy1!B:C,2,0)</f>
        <v>070000169191</v>
      </c>
      <c r="C20" s="39">
        <f>VLOOKUP(A20,Renewal!AF:AG,2,0)</f>
        <v>30600</v>
      </c>
      <c r="D20" s="40">
        <f t="shared" si="1"/>
        <v>30600</v>
      </c>
      <c r="E20" s="41" t="s">
        <v>2168</v>
      </c>
      <c r="F20" s="42" t="str">
        <f t="shared" si="0"/>
        <v>insert into ins_premium_det (premium_rcv_code,assorted_code, rec_amount,premium_rcv_detail_code,remaining_amt, payrec, mode_code,coinsurance_code,class_cd,it_remarks) values</v>
      </c>
      <c r="G20" s="43" t="str">
        <f t="shared" si="2"/>
        <v>('28Nov240018','070000169191','30600',(select max(to_number(i.premium_rcv_detail_code))+1
from ins_premium_det i),'30600','30600','02', '11000003','00','Request by Mr. Raheel Malik Premium 02-Dec-2024');</v>
      </c>
      <c r="H20" s="44" t="str">
        <f t="shared" si="3"/>
        <v>insert into ins_premium_det (premium_rcv_code,assorted_code, rec_amount,premium_rcv_detail_code,remaining_amt, payrec, mode_code,coinsurance_code,class_cd,it_remarks) values('28Nov240018','070000169191','30600',(select max(to_number(i.premium_rcv_detail_code))+1
from ins_premium_det i),'30600','30600','02', '11000003','00','Request by Mr. Raheel Malik Premium 02-Dec-2024');</v>
      </c>
    </row>
    <row r="21" spans="1:8" ht="105" x14ac:dyDescent="0.25">
      <c r="A21" s="16" t="s">
        <v>574</v>
      </c>
      <c r="B21" s="38" t="str">
        <f>VLOOKUP(A21,policy1!B:C,2,0)</f>
        <v>070000169190</v>
      </c>
      <c r="C21" s="39">
        <f>VLOOKUP(A21,Renewal!AF:AG,2,0)</f>
        <v>22202</v>
      </c>
      <c r="D21" s="40">
        <f t="shared" si="1"/>
        <v>22202</v>
      </c>
      <c r="E21" s="41" t="s">
        <v>2168</v>
      </c>
      <c r="F21" s="42" t="str">
        <f t="shared" si="0"/>
        <v>insert into ins_premium_det (premium_rcv_code,assorted_code, rec_amount,premium_rcv_detail_code,remaining_amt, payrec, mode_code,coinsurance_code,class_cd,it_remarks) values</v>
      </c>
      <c r="G21" s="43" t="str">
        <f t="shared" si="2"/>
        <v>('28Nov240018','070000169190','22202',(select max(to_number(i.premium_rcv_detail_code))+1
from ins_premium_det i),'22202','22202','02', '11000003','00','Request by Mr. Raheel Malik Premium 02-Dec-2024');</v>
      </c>
      <c r="H21" s="44" t="str">
        <f t="shared" si="3"/>
        <v>insert into ins_premium_det (premium_rcv_code,assorted_code, rec_amount,premium_rcv_detail_code,remaining_amt, payrec, mode_code,coinsurance_code,class_cd,it_remarks) values('28Nov240018','070000169190','22202',(select max(to_number(i.premium_rcv_detail_code))+1
from ins_premium_det i),'22202','22202','02', '11000003','00','Request by Mr. Raheel Malik Premium 02-Dec-2024');</v>
      </c>
    </row>
    <row r="22" spans="1:8" ht="105" x14ac:dyDescent="0.25">
      <c r="A22" s="16" t="s">
        <v>583</v>
      </c>
      <c r="B22" s="38" t="str">
        <f>VLOOKUP(A22,policy1!B:C,2,0)</f>
        <v>070000169154</v>
      </c>
      <c r="C22" s="39">
        <f>VLOOKUP(A22,Renewal!AF:AG,2,0)</f>
        <v>49594</v>
      </c>
      <c r="D22" s="40">
        <f t="shared" si="1"/>
        <v>49594</v>
      </c>
      <c r="E22" s="41" t="s">
        <v>2168</v>
      </c>
      <c r="F22" s="42" t="str">
        <f t="shared" si="0"/>
        <v>insert into ins_premium_det (premium_rcv_code,assorted_code, rec_amount,premium_rcv_detail_code,remaining_amt, payrec, mode_code,coinsurance_code,class_cd,it_remarks) values</v>
      </c>
      <c r="G22" s="43" t="str">
        <f t="shared" si="2"/>
        <v>('28Nov240018','070000169154','49594',(select max(to_number(i.premium_rcv_detail_code))+1
from ins_premium_det i),'49594','49594','02', '11000003','00','Request by Mr. Raheel Malik Premium 02-Dec-2024');</v>
      </c>
      <c r="H22" s="44" t="str">
        <f t="shared" si="3"/>
        <v>insert into ins_premium_det (premium_rcv_code,assorted_code, rec_amount,premium_rcv_detail_code,remaining_amt, payrec, mode_code,coinsurance_code,class_cd,it_remarks) values('28Nov240018','070000169154','49594',(select max(to_number(i.premium_rcv_detail_code))+1
from ins_premium_det i),'49594','49594','02', '11000003','00','Request by Mr. Raheel Malik Premium 02-Dec-2024');</v>
      </c>
    </row>
    <row r="23" spans="1:8" ht="105" x14ac:dyDescent="0.25">
      <c r="A23" s="16" t="s">
        <v>591</v>
      </c>
      <c r="B23" s="38" t="str">
        <f>VLOOKUP(A23,policy1!B:C,2,0)</f>
        <v>070000169130</v>
      </c>
      <c r="C23" s="39">
        <f>VLOOKUP(A23,Renewal!AF:AG,2,0)</f>
        <v>37800</v>
      </c>
      <c r="D23" s="40">
        <f t="shared" si="1"/>
        <v>37800</v>
      </c>
      <c r="E23" s="41" t="s">
        <v>2168</v>
      </c>
      <c r="F23" s="42" t="str">
        <f t="shared" si="0"/>
        <v>insert into ins_premium_det (premium_rcv_code,assorted_code, rec_amount,premium_rcv_detail_code,remaining_amt, payrec, mode_code,coinsurance_code,class_cd,it_remarks) values</v>
      </c>
      <c r="G23" s="43" t="str">
        <f t="shared" si="2"/>
        <v>('28Nov240018','070000169130','37800',(select max(to_number(i.premium_rcv_detail_code))+1
from ins_premium_det i),'37800','37800','02', '11000003','00','Request by Mr. Raheel Malik Premium 02-Dec-2024');</v>
      </c>
      <c r="H23" s="44" t="str">
        <f t="shared" si="3"/>
        <v>insert into ins_premium_det (premium_rcv_code,assorted_code, rec_amount,premium_rcv_detail_code,remaining_amt, payrec, mode_code,coinsurance_code,class_cd,it_remarks) values('28Nov240018','070000169130','37800',(select max(to_number(i.premium_rcv_detail_code))+1
from ins_premium_det i),'37800','37800','02', '11000003','00','Request by Mr. Raheel Malik Premium 02-Dec-2024');</v>
      </c>
    </row>
    <row r="24" spans="1:8" ht="105" x14ac:dyDescent="0.25">
      <c r="A24" s="16" t="s">
        <v>600</v>
      </c>
      <c r="B24" s="38" t="str">
        <f>VLOOKUP(A24,policy1!B:C,2,0)</f>
        <v>070000169195</v>
      </c>
      <c r="C24" s="39">
        <f>VLOOKUP(A24,Renewal!AF:AG,2,0)</f>
        <v>41650</v>
      </c>
      <c r="D24" s="40">
        <f t="shared" si="1"/>
        <v>41650</v>
      </c>
      <c r="E24" s="41" t="s">
        <v>2168</v>
      </c>
      <c r="F24" s="42" t="str">
        <f t="shared" si="0"/>
        <v>insert into ins_premium_det (premium_rcv_code,assorted_code, rec_amount,premium_rcv_detail_code,remaining_amt, payrec, mode_code,coinsurance_code,class_cd,it_remarks) values</v>
      </c>
      <c r="G24" s="43" t="str">
        <f t="shared" si="2"/>
        <v>('28Nov240018','070000169195','41650',(select max(to_number(i.premium_rcv_detail_code))+1
from ins_premium_det i),'41650','41650','02', '11000003','00','Request by Mr. Raheel Malik Premium 02-Dec-2024');</v>
      </c>
      <c r="H24" s="44" t="str">
        <f t="shared" si="3"/>
        <v>insert into ins_premium_det (premium_rcv_code,assorted_code, rec_amount,premium_rcv_detail_code,remaining_amt, payrec, mode_code,coinsurance_code,class_cd,it_remarks) values('28Nov240018','070000169195','41650',(select max(to_number(i.premium_rcv_detail_code))+1
from ins_premium_det i),'41650','41650','02', '11000003','00','Request by Mr. Raheel Malik Premium 02-Dec-2024');</v>
      </c>
    </row>
    <row r="25" spans="1:8" ht="105" x14ac:dyDescent="0.25">
      <c r="A25" s="16" t="s">
        <v>608</v>
      </c>
      <c r="B25" s="38" t="str">
        <f>VLOOKUP(A25,policy1!B:C,2,0)</f>
        <v>070000169194</v>
      </c>
      <c r="C25" s="39">
        <f>VLOOKUP(A25,Renewal!AF:AG,2,0)</f>
        <v>58140</v>
      </c>
      <c r="D25" s="40">
        <f t="shared" si="1"/>
        <v>58140</v>
      </c>
      <c r="E25" s="41" t="s">
        <v>2168</v>
      </c>
      <c r="F25" s="42" t="str">
        <f t="shared" si="0"/>
        <v>insert into ins_premium_det (premium_rcv_code,assorted_code, rec_amount,premium_rcv_detail_code,remaining_amt, payrec, mode_code,coinsurance_code,class_cd,it_remarks) values</v>
      </c>
      <c r="G25" s="43" t="str">
        <f t="shared" si="2"/>
        <v>('28Nov240018','070000169194','58140',(select max(to_number(i.premium_rcv_detail_code))+1
from ins_premium_det i),'58140','58140','02', '11000003','00','Request by Mr. Raheel Malik Premium 02-Dec-2024');</v>
      </c>
      <c r="H25" s="44" t="str">
        <f t="shared" si="3"/>
        <v>insert into ins_premium_det (premium_rcv_code,assorted_code, rec_amount,premium_rcv_detail_code,remaining_amt, payrec, mode_code,coinsurance_code,class_cd,it_remarks) values('28Nov240018','070000169194','58140',(select max(to_number(i.premium_rcv_detail_code))+1
from ins_premium_det i),'58140','58140','02', '11000003','00','Request by Mr. Raheel Malik Premium 02-Dec-2024');</v>
      </c>
    </row>
    <row r="26" spans="1:8" ht="105" x14ac:dyDescent="0.25">
      <c r="A26" s="16" t="s">
        <v>617</v>
      </c>
      <c r="B26" s="38" t="str">
        <f>VLOOKUP(A26,policy1!B:C,2,0)</f>
        <v>070000169183</v>
      </c>
      <c r="C26" s="39">
        <f>VLOOKUP(A26,Renewal!AF:AG,2,0)</f>
        <v>29700</v>
      </c>
      <c r="D26" s="40">
        <f t="shared" si="1"/>
        <v>29700</v>
      </c>
      <c r="E26" s="41" t="s">
        <v>2168</v>
      </c>
      <c r="F26" s="42" t="str">
        <f t="shared" si="0"/>
        <v>insert into ins_premium_det (premium_rcv_code,assorted_code, rec_amount,premium_rcv_detail_code,remaining_amt, payrec, mode_code,coinsurance_code,class_cd,it_remarks) values</v>
      </c>
      <c r="G26" s="43" t="str">
        <f t="shared" si="2"/>
        <v>('28Nov240018','070000169183','29700',(select max(to_number(i.premium_rcv_detail_code))+1
from ins_premium_det i),'29700','29700','02', '11000003','00','Request by Mr. Raheel Malik Premium 02-Dec-2024');</v>
      </c>
      <c r="H26" s="44" t="str">
        <f t="shared" si="3"/>
        <v>insert into ins_premium_det (premium_rcv_code,assorted_code, rec_amount,premium_rcv_detail_code,remaining_amt, payrec, mode_code,coinsurance_code,class_cd,it_remarks) values('28Nov240018','070000169183','29700',(select max(to_number(i.premium_rcv_detail_code))+1
from ins_premium_det i),'29700','29700','02', '11000003','00','Request by Mr. Raheel Malik Premium 02-Dec-2024');</v>
      </c>
    </row>
    <row r="27" spans="1:8" ht="105" x14ac:dyDescent="0.25">
      <c r="A27" s="16" t="s">
        <v>625</v>
      </c>
      <c r="B27" s="38" t="str">
        <f>VLOOKUP(A27,policy1!B:C,2,0)</f>
        <v>070000169132</v>
      </c>
      <c r="C27" s="39">
        <f>VLOOKUP(A27,Renewal!AF:AG,2,0)</f>
        <v>26700</v>
      </c>
      <c r="D27" s="40">
        <f t="shared" si="1"/>
        <v>26700</v>
      </c>
      <c r="E27" s="41" t="s">
        <v>2168</v>
      </c>
      <c r="F27" s="42" t="str">
        <f t="shared" si="0"/>
        <v>insert into ins_premium_det (premium_rcv_code,assorted_code, rec_amount,premium_rcv_detail_code,remaining_amt, payrec, mode_code,coinsurance_code,class_cd,it_remarks) values</v>
      </c>
      <c r="G27" s="43" t="str">
        <f t="shared" si="2"/>
        <v>('28Nov240018','070000169132','26700',(select max(to_number(i.premium_rcv_detail_code))+1
from ins_premium_det i),'26700','26700','02', '11000003','00','Request by Mr. Raheel Malik Premium 02-Dec-2024');</v>
      </c>
      <c r="H27" s="44" t="str">
        <f t="shared" si="3"/>
        <v>insert into ins_premium_det (premium_rcv_code,assorted_code, rec_amount,premium_rcv_detail_code,remaining_amt, payrec, mode_code,coinsurance_code,class_cd,it_remarks) values('28Nov240018','070000169132','26700',(select max(to_number(i.premium_rcv_detail_code))+1
from ins_premium_det i),'26700','26700','02', '11000003','00','Request by Mr. Raheel Malik Premium 02-Dec-2024');</v>
      </c>
    </row>
    <row r="28" spans="1:8" ht="105" x14ac:dyDescent="0.25">
      <c r="A28" s="16" t="s">
        <v>634</v>
      </c>
      <c r="B28" s="38" t="str">
        <f>VLOOKUP(A28,policy1!B:C,2,0)</f>
        <v>070000169131</v>
      </c>
      <c r="C28" s="39">
        <f>VLOOKUP(A28,Renewal!AF:AG,2,0)</f>
        <v>26700</v>
      </c>
      <c r="D28" s="40">
        <f t="shared" si="1"/>
        <v>26700</v>
      </c>
      <c r="E28" s="41" t="s">
        <v>2168</v>
      </c>
      <c r="F28" s="42" t="str">
        <f t="shared" si="0"/>
        <v>insert into ins_premium_det (premium_rcv_code,assorted_code, rec_amount,premium_rcv_detail_code,remaining_amt, payrec, mode_code,coinsurance_code,class_cd,it_remarks) values</v>
      </c>
      <c r="G28" s="43" t="str">
        <f t="shared" si="2"/>
        <v>('28Nov240018','070000169131','26700',(select max(to_number(i.premium_rcv_detail_code))+1
from ins_premium_det i),'26700','26700','02', '11000003','00','Request by Mr. Raheel Malik Premium 02-Dec-2024');</v>
      </c>
      <c r="H28" s="44" t="str">
        <f t="shared" si="3"/>
        <v>insert into ins_premium_det (premium_rcv_code,assorted_code, rec_amount,premium_rcv_detail_code,remaining_amt, payrec, mode_code,coinsurance_code,class_cd,it_remarks) values('28Nov240018','070000169131','26700',(select max(to_number(i.premium_rcv_detail_code))+1
from ins_premium_det i),'26700','26700','02', '11000003','00','Request by Mr. Raheel Malik Premium 02-Dec-2024');</v>
      </c>
    </row>
    <row r="29" spans="1:8" ht="105" x14ac:dyDescent="0.25">
      <c r="A29" s="16" t="s">
        <v>642</v>
      </c>
      <c r="B29" s="38" t="str">
        <f>VLOOKUP(A29,policy1!B:C,2,0)</f>
        <v>070000169112</v>
      </c>
      <c r="C29" s="39">
        <f>VLOOKUP(A29,Renewal!AF:AG,2,0)</f>
        <v>35594</v>
      </c>
      <c r="D29" s="40">
        <f t="shared" si="1"/>
        <v>35594</v>
      </c>
      <c r="E29" s="41" t="s">
        <v>2168</v>
      </c>
      <c r="F29" s="42" t="str">
        <f t="shared" si="0"/>
        <v>insert into ins_premium_det (premium_rcv_code,assorted_code, rec_amount,premium_rcv_detail_code,remaining_amt, payrec, mode_code,coinsurance_code,class_cd,it_remarks) values</v>
      </c>
      <c r="G29" s="43" t="str">
        <f t="shared" si="2"/>
        <v>('28Nov240018','070000169112','35594',(select max(to_number(i.premium_rcv_detail_code))+1
from ins_premium_det i),'35594','35594','02', '11000003','00','Request by Mr. Raheel Malik Premium 02-Dec-2024');</v>
      </c>
      <c r="H29" s="44" t="str">
        <f t="shared" si="3"/>
        <v>insert into ins_premium_det (premium_rcv_code,assorted_code, rec_amount,premium_rcv_detail_code,remaining_amt, payrec, mode_code,coinsurance_code,class_cd,it_remarks) values('28Nov240018','070000169112','35594',(select max(to_number(i.premium_rcv_detail_code))+1
from ins_premium_det i),'35594','35594','02', '11000003','00','Request by Mr. Raheel Malik Premium 02-Dec-2024');</v>
      </c>
    </row>
    <row r="30" spans="1:8" ht="105" x14ac:dyDescent="0.25">
      <c r="A30" s="16" t="s">
        <v>651</v>
      </c>
      <c r="B30" s="38" t="str">
        <f>VLOOKUP(A30,policy1!B:C,2,0)</f>
        <v>070000169225</v>
      </c>
      <c r="C30" s="39">
        <f>VLOOKUP(A30,Renewal!AF:AG,2,0)</f>
        <v>22540</v>
      </c>
      <c r="D30" s="40">
        <f t="shared" si="1"/>
        <v>22540</v>
      </c>
      <c r="E30" s="41" t="s">
        <v>2168</v>
      </c>
      <c r="F30" s="42" t="str">
        <f t="shared" si="0"/>
        <v>insert into ins_premium_det (premium_rcv_code,assorted_code, rec_amount,premium_rcv_detail_code,remaining_amt, payrec, mode_code,coinsurance_code,class_cd,it_remarks) values</v>
      </c>
      <c r="G30" s="43" t="str">
        <f t="shared" si="2"/>
        <v>('28Nov240018','070000169225','22540',(select max(to_number(i.premium_rcv_detail_code))+1
from ins_premium_det i),'22540','22540','02', '11000003','00','Request by Mr. Raheel Malik Premium 02-Dec-2024');</v>
      </c>
      <c r="H30" s="44" t="str">
        <f t="shared" si="3"/>
        <v>insert into ins_premium_det (premium_rcv_code,assorted_code, rec_amount,premium_rcv_detail_code,remaining_amt, payrec, mode_code,coinsurance_code,class_cd,it_remarks) values('28Nov240018','070000169225','22540',(select max(to_number(i.premium_rcv_detail_code))+1
from ins_premium_det i),'22540','22540','02', '11000003','00','Request by Mr. Raheel Malik Premium 02-Dec-2024');</v>
      </c>
    </row>
    <row r="31" spans="1:8" ht="105" x14ac:dyDescent="0.25">
      <c r="A31" s="16" t="s">
        <v>658</v>
      </c>
      <c r="B31" s="38" t="str">
        <f>VLOOKUP(A31,policy1!B:C,2,0)</f>
        <v>070000169196</v>
      </c>
      <c r="C31" s="39">
        <f>VLOOKUP(A31,Renewal!AF:AG,2,0)</f>
        <v>46750</v>
      </c>
      <c r="D31" s="40">
        <f t="shared" si="1"/>
        <v>46750</v>
      </c>
      <c r="E31" s="41" t="s">
        <v>2168</v>
      </c>
      <c r="F31" s="42" t="str">
        <f t="shared" si="0"/>
        <v>insert into ins_premium_det (premium_rcv_code,assorted_code, rec_amount,premium_rcv_detail_code,remaining_amt, payrec, mode_code,coinsurance_code,class_cd,it_remarks) values</v>
      </c>
      <c r="G31" s="43" t="str">
        <f t="shared" si="2"/>
        <v>('28Nov240018','070000169196','46750',(select max(to_number(i.premium_rcv_detail_code))+1
from ins_premium_det i),'46750','46750','02', '11000003','00','Request by Mr. Raheel Malik Premium 02-Dec-2024');</v>
      </c>
      <c r="H31" s="44" t="str">
        <f t="shared" si="3"/>
        <v>insert into ins_premium_det (premium_rcv_code,assorted_code, rec_amount,premium_rcv_detail_code,remaining_amt, payrec, mode_code,coinsurance_code,class_cd,it_remarks) values('28Nov240018','070000169196','46750',(select max(to_number(i.premium_rcv_detail_code))+1
from ins_premium_det i),'46750','46750','02', '11000003','00','Request by Mr. Raheel Malik Premium 02-Dec-2024');</v>
      </c>
    </row>
    <row r="32" spans="1:8" ht="105" x14ac:dyDescent="0.25">
      <c r="A32" s="16" t="s">
        <v>666</v>
      </c>
      <c r="B32" s="38" t="str">
        <f>VLOOKUP(A32,policy1!B:C,2,0)</f>
        <v>070000169226</v>
      </c>
      <c r="C32" s="39">
        <f>VLOOKUP(A32,Renewal!AF:AG,2,0)</f>
        <v>25200</v>
      </c>
      <c r="D32" s="40">
        <f t="shared" si="1"/>
        <v>25200</v>
      </c>
      <c r="E32" s="41" t="s">
        <v>2168</v>
      </c>
      <c r="F32" s="42" t="str">
        <f t="shared" si="0"/>
        <v>insert into ins_premium_det (premium_rcv_code,assorted_code, rec_amount,premium_rcv_detail_code,remaining_amt, payrec, mode_code,coinsurance_code,class_cd,it_remarks) values</v>
      </c>
      <c r="G32" s="43" t="str">
        <f t="shared" si="2"/>
        <v>('28Nov240018','070000169226','25200',(select max(to_number(i.premium_rcv_detail_code))+1
from ins_premium_det i),'25200','25200','02', '11000003','00','Request by Mr. Raheel Malik Premium 02-Dec-2024');</v>
      </c>
      <c r="H32" s="44" t="str">
        <f t="shared" si="3"/>
        <v>insert into ins_premium_det (premium_rcv_code,assorted_code, rec_amount,premium_rcv_detail_code,remaining_amt, payrec, mode_code,coinsurance_code,class_cd,it_remarks) values('28Nov240018','070000169226','25200',(select max(to_number(i.premium_rcv_detail_code))+1
from ins_premium_det i),'25200','25200','02', '11000003','00','Request by Mr. Raheel Malik Premium 02-Dec-2024');</v>
      </c>
    </row>
    <row r="33" spans="1:8" ht="105" x14ac:dyDescent="0.25">
      <c r="A33" s="16" t="s">
        <v>675</v>
      </c>
      <c r="B33" s="38" t="str">
        <f>VLOOKUP(A33,policy1!B:C,2,0)</f>
        <v>070000169262</v>
      </c>
      <c r="C33" s="39">
        <f>VLOOKUP(A33,Renewal!AF:AG,2,0)</f>
        <v>35726</v>
      </c>
      <c r="D33" s="40">
        <f t="shared" si="1"/>
        <v>35726</v>
      </c>
      <c r="E33" s="41" t="s">
        <v>2168</v>
      </c>
      <c r="F33" s="42" t="str">
        <f t="shared" si="0"/>
        <v>insert into ins_premium_det (premium_rcv_code,assorted_code, rec_amount,premium_rcv_detail_code,remaining_amt, payrec, mode_code,coinsurance_code,class_cd,it_remarks) values</v>
      </c>
      <c r="G33" s="43" t="str">
        <f t="shared" si="2"/>
        <v>('28Nov240018','070000169262','35726',(select max(to_number(i.premium_rcv_detail_code))+1
from ins_premium_det i),'35726','35726','02', '11000003','00','Request by Mr. Raheel Malik Premium 02-Dec-2024');</v>
      </c>
      <c r="H33" s="44" t="str">
        <f t="shared" si="3"/>
        <v>insert into ins_premium_det (premium_rcv_code,assorted_code, rec_amount,premium_rcv_detail_code,remaining_amt, payrec, mode_code,coinsurance_code,class_cd,it_remarks) values('28Nov240018','070000169262','35726',(select max(to_number(i.premium_rcv_detail_code))+1
from ins_premium_det i),'35726','35726','02', '11000003','00','Request by Mr. Raheel Malik Premium 02-Dec-2024');</v>
      </c>
    </row>
    <row r="34" spans="1:8" ht="105" x14ac:dyDescent="0.25">
      <c r="A34" s="16" t="s">
        <v>682</v>
      </c>
      <c r="B34" s="38" t="str">
        <f>VLOOKUP(A34,policy1!B:C,2,0)</f>
        <v>070000169199</v>
      </c>
      <c r="C34" s="39">
        <f>VLOOKUP(A34,Renewal!AF:AG,2,0)</f>
        <v>42058</v>
      </c>
      <c r="D34" s="40">
        <f t="shared" si="1"/>
        <v>42058</v>
      </c>
      <c r="E34" s="41" t="s">
        <v>2168</v>
      </c>
      <c r="F34" s="42" t="str">
        <f t="shared" si="0"/>
        <v>insert into ins_premium_det (premium_rcv_code,assorted_code, rec_amount,premium_rcv_detail_code,remaining_amt, payrec, mode_code,coinsurance_code,class_cd,it_remarks) values</v>
      </c>
      <c r="G34" s="43" t="str">
        <f t="shared" si="2"/>
        <v>('28Nov240018','070000169199','42058',(select max(to_number(i.premium_rcv_detail_code))+1
from ins_premium_det i),'42058','42058','02', '11000003','00','Request by Mr. Raheel Malik Premium 02-Dec-2024');</v>
      </c>
      <c r="H34" s="44" t="str">
        <f t="shared" si="3"/>
        <v>insert into ins_premium_det (premium_rcv_code,assorted_code, rec_amount,premium_rcv_detail_code,remaining_amt, payrec, mode_code,coinsurance_code,class_cd,it_remarks) values('28Nov240018','070000169199','42058',(select max(to_number(i.premium_rcv_detail_code))+1
from ins_premium_det i),'42058','42058','02', '11000003','00','Request by Mr. Raheel Malik Premium 02-Dec-2024');</v>
      </c>
    </row>
    <row r="35" spans="1:8" ht="105" x14ac:dyDescent="0.25">
      <c r="A35" s="16" t="s">
        <v>689</v>
      </c>
      <c r="B35" s="38" t="str">
        <f>VLOOKUP(A35,policy1!B:C,2,0)</f>
        <v>070000169198</v>
      </c>
      <c r="C35" s="39">
        <f>VLOOKUP(A35,Renewal!AF:AG,2,0)</f>
        <v>46750</v>
      </c>
      <c r="D35" s="40">
        <f t="shared" si="1"/>
        <v>46750</v>
      </c>
      <c r="E35" s="41" t="s">
        <v>2168</v>
      </c>
      <c r="F35" s="42" t="str">
        <f t="shared" si="0"/>
        <v>insert into ins_premium_det (premium_rcv_code,assorted_code, rec_amount,premium_rcv_detail_code,remaining_amt, payrec, mode_code,coinsurance_code,class_cd,it_remarks) values</v>
      </c>
      <c r="G35" s="43" t="str">
        <f t="shared" si="2"/>
        <v>('28Nov240018','070000169198','46750',(select max(to_number(i.premium_rcv_detail_code))+1
from ins_premium_det i),'46750','46750','02', '11000003','00','Request by Mr. Raheel Malik Premium 02-Dec-2024');</v>
      </c>
      <c r="H35" s="44" t="str">
        <f t="shared" si="3"/>
        <v>insert into ins_premium_det (premium_rcv_code,assorted_code, rec_amount,premium_rcv_detail_code,remaining_amt, payrec, mode_code,coinsurance_code,class_cd,it_remarks) values('28Nov240018','070000169198','46750',(select max(to_number(i.premium_rcv_detail_code))+1
from ins_premium_det i),'46750','46750','02', '11000003','00','Request by Mr. Raheel Malik Premium 02-Dec-2024');</v>
      </c>
    </row>
    <row r="36" spans="1:8" ht="105" x14ac:dyDescent="0.25">
      <c r="A36" s="16" t="s">
        <v>697</v>
      </c>
      <c r="B36" s="38" t="str">
        <f>VLOOKUP(A36,policy1!B:C,2,0)</f>
        <v>070000169197</v>
      </c>
      <c r="C36" s="39">
        <f>VLOOKUP(A36,Renewal!AF:AG,2,0)</f>
        <v>41157</v>
      </c>
      <c r="D36" s="40">
        <f t="shared" si="1"/>
        <v>41157</v>
      </c>
      <c r="E36" s="41" t="s">
        <v>2168</v>
      </c>
      <c r="F36" s="42" t="str">
        <f t="shared" si="0"/>
        <v>insert into ins_premium_det (premium_rcv_code,assorted_code, rec_amount,premium_rcv_detail_code,remaining_amt, payrec, mode_code,coinsurance_code,class_cd,it_remarks) values</v>
      </c>
      <c r="G36" s="43" t="str">
        <f t="shared" si="2"/>
        <v>('28Nov240018','070000169197','41157',(select max(to_number(i.premium_rcv_detail_code))+1
from ins_premium_det i),'41157','41157','02', '11000003','00','Request by Mr. Raheel Malik Premium 02-Dec-2024');</v>
      </c>
      <c r="H36" s="44" t="str">
        <f t="shared" si="3"/>
        <v>insert into ins_premium_det (premium_rcv_code,assorted_code, rec_amount,premium_rcv_detail_code,remaining_amt, payrec, mode_code,coinsurance_code,class_cd,it_remarks) values('28Nov240018','070000169197','41157',(select max(to_number(i.premium_rcv_detail_code))+1
from ins_premium_det i),'41157','41157','02', '11000003','00','Request by Mr. Raheel Malik Premium 02-Dec-2024');</v>
      </c>
    </row>
    <row r="37" spans="1:8" ht="105" x14ac:dyDescent="0.25">
      <c r="A37" s="16" t="s">
        <v>705</v>
      </c>
      <c r="B37" s="38" t="str">
        <f>VLOOKUP(A37,policy1!B:C,2,0)</f>
        <v>070000169133</v>
      </c>
      <c r="C37" s="39">
        <f>VLOOKUP(A37,Renewal!AF:AG,2,0)</f>
        <v>22500</v>
      </c>
      <c r="D37" s="40">
        <f t="shared" si="1"/>
        <v>22500</v>
      </c>
      <c r="E37" s="41" t="s">
        <v>2168</v>
      </c>
      <c r="F37" s="42" t="str">
        <f t="shared" si="0"/>
        <v>insert into ins_premium_det (premium_rcv_code,assorted_code, rec_amount,premium_rcv_detail_code,remaining_amt, payrec, mode_code,coinsurance_code,class_cd,it_remarks) values</v>
      </c>
      <c r="G37" s="43" t="str">
        <f t="shared" si="2"/>
        <v>('28Nov240018','070000169133','22500',(select max(to_number(i.premium_rcv_detail_code))+1
from ins_premium_det i),'22500','22500','02', '11000003','00','Request by Mr. Raheel Malik Premium 02-Dec-2024');</v>
      </c>
      <c r="H37" s="44" t="str">
        <f t="shared" si="3"/>
        <v>insert into ins_premium_det (premium_rcv_code,assorted_code, rec_amount,premium_rcv_detail_code,remaining_amt, payrec, mode_code,coinsurance_code,class_cd,it_remarks) values('28Nov240018','070000169133','22500',(select max(to_number(i.premium_rcv_detail_code))+1
from ins_premium_det i),'22500','22500','02', '11000003','00','Request by Mr. Raheel Malik Premium 02-Dec-2024');</v>
      </c>
    </row>
    <row r="38" spans="1:8" ht="105" x14ac:dyDescent="0.25">
      <c r="A38" s="16" t="s">
        <v>713</v>
      </c>
      <c r="B38" s="38" t="str">
        <f>VLOOKUP(A38,policy1!B:C,2,0)</f>
        <v>070000169125</v>
      </c>
      <c r="C38" s="39">
        <f>VLOOKUP(A38,Renewal!AF:AG,2,0)</f>
        <v>54060</v>
      </c>
      <c r="D38" s="40">
        <f t="shared" si="1"/>
        <v>54060</v>
      </c>
      <c r="E38" s="41" t="s">
        <v>2168</v>
      </c>
      <c r="F38" s="42" t="str">
        <f t="shared" si="0"/>
        <v>insert into ins_premium_det (premium_rcv_code,assorted_code, rec_amount,premium_rcv_detail_code,remaining_amt, payrec, mode_code,coinsurance_code,class_cd,it_remarks) values</v>
      </c>
      <c r="G38" s="43" t="str">
        <f t="shared" si="2"/>
        <v>('28Nov240018','070000169125','54060',(select max(to_number(i.premium_rcv_detail_code))+1
from ins_premium_det i),'54060','54060','02', '11000003','00','Request by Mr. Raheel Malik Premium 02-Dec-2024');</v>
      </c>
      <c r="H38" s="44" t="str">
        <f t="shared" si="3"/>
        <v>insert into ins_premium_det (premium_rcv_code,assorted_code, rec_amount,premium_rcv_detail_code,remaining_amt, payrec, mode_code,coinsurance_code,class_cd,it_remarks) values('28Nov240018','070000169125','54060',(select max(to_number(i.premium_rcv_detail_code))+1
from ins_premium_det i),'54060','54060','02', '11000003','00','Request by Mr. Raheel Malik Premium 02-Dec-2024');</v>
      </c>
    </row>
    <row r="39" spans="1:8" ht="105" x14ac:dyDescent="0.25">
      <c r="A39" s="16" t="s">
        <v>722</v>
      </c>
      <c r="B39" s="38" t="str">
        <f>VLOOKUP(A39,policy1!B:C,2,0)</f>
        <v>070000169273</v>
      </c>
      <c r="C39" s="39">
        <f>VLOOKUP(A39,Renewal!AF:AG,2,0)</f>
        <v>37125</v>
      </c>
      <c r="D39" s="40">
        <f t="shared" si="1"/>
        <v>37125</v>
      </c>
      <c r="E39" s="41" t="s">
        <v>2168</v>
      </c>
      <c r="F39" s="42" t="str">
        <f t="shared" si="0"/>
        <v>insert into ins_premium_det (premium_rcv_code,assorted_code, rec_amount,premium_rcv_detail_code,remaining_amt, payrec, mode_code,coinsurance_code,class_cd,it_remarks) values</v>
      </c>
      <c r="G39" s="43" t="str">
        <f t="shared" si="2"/>
        <v>('28Nov240018','070000169273','37125',(select max(to_number(i.premium_rcv_detail_code))+1
from ins_premium_det i),'37125','37125','02', '11000003','00','Request by Mr. Raheel Malik Premium 02-Dec-2024');</v>
      </c>
      <c r="H39" s="44" t="str">
        <f t="shared" si="3"/>
        <v>insert into ins_premium_det (premium_rcv_code,assorted_code, rec_amount,premium_rcv_detail_code,remaining_amt, payrec, mode_code,coinsurance_code,class_cd,it_remarks) values('28Nov240018','070000169273','37125',(select max(to_number(i.premium_rcv_detail_code))+1
from ins_premium_det i),'37125','37125','02', '11000003','00','Request by Mr. Raheel Malik Premium 02-Dec-2024');</v>
      </c>
    </row>
    <row r="40" spans="1:8" ht="105" x14ac:dyDescent="0.25">
      <c r="A40" s="16" t="s">
        <v>731</v>
      </c>
      <c r="B40" s="38" t="str">
        <f>VLOOKUP(A40,policy1!B:C,2,0)</f>
        <v>070000169188</v>
      </c>
      <c r="C40" s="39">
        <f>VLOOKUP(A40,Renewal!AF:AG,2,0)</f>
        <v>26100</v>
      </c>
      <c r="D40" s="40">
        <f t="shared" si="1"/>
        <v>26100</v>
      </c>
      <c r="E40" s="41" t="s">
        <v>2168</v>
      </c>
      <c r="F40" s="42" t="str">
        <f t="shared" si="0"/>
        <v>insert into ins_premium_det (premium_rcv_code,assorted_code, rec_amount,premium_rcv_detail_code,remaining_amt, payrec, mode_code,coinsurance_code,class_cd,it_remarks) values</v>
      </c>
      <c r="G40" s="43" t="str">
        <f t="shared" si="2"/>
        <v>('28Nov240018','070000169188','26100',(select max(to_number(i.premium_rcv_detail_code))+1
from ins_premium_det i),'26100','26100','02', '11000003','00','Request by Mr. Raheel Malik Premium 02-Dec-2024');</v>
      </c>
      <c r="H40" s="44" t="str">
        <f t="shared" si="3"/>
        <v>insert into ins_premium_det (premium_rcv_code,assorted_code, rec_amount,premium_rcv_detail_code,remaining_amt, payrec, mode_code,coinsurance_code,class_cd,it_remarks) values('28Nov240018','070000169188','26100',(select max(to_number(i.premium_rcv_detail_code))+1
from ins_premium_det i),'26100','26100','02', '11000003','00','Request by Mr. Raheel Malik Premium 02-Dec-2024');</v>
      </c>
    </row>
    <row r="41" spans="1:8" ht="105" x14ac:dyDescent="0.25">
      <c r="A41" s="16" t="s">
        <v>739</v>
      </c>
      <c r="B41" s="38" t="str">
        <f>VLOOKUP(A41,policy1!B:C,2,0)</f>
        <v>070000169187</v>
      </c>
      <c r="C41" s="39">
        <f>VLOOKUP(A41,Renewal!AF:AG,2,0)</f>
        <v>23400</v>
      </c>
      <c r="D41" s="40">
        <f t="shared" si="1"/>
        <v>23400</v>
      </c>
      <c r="E41" s="41" t="s">
        <v>2168</v>
      </c>
      <c r="F41" s="42" t="str">
        <f t="shared" si="0"/>
        <v>insert into ins_premium_det (premium_rcv_code,assorted_code, rec_amount,premium_rcv_detail_code,remaining_amt, payrec, mode_code,coinsurance_code,class_cd,it_remarks) values</v>
      </c>
      <c r="G41" s="43" t="str">
        <f t="shared" si="2"/>
        <v>('28Nov240018','070000169187','23400',(select max(to_number(i.premium_rcv_detail_code))+1
from ins_premium_det i),'23400','23400','02', '11000003','00','Request by Mr. Raheel Malik Premium 02-Dec-2024');</v>
      </c>
      <c r="H41" s="44" t="str">
        <f t="shared" si="3"/>
        <v>insert into ins_premium_det (premium_rcv_code,assorted_code, rec_amount,premium_rcv_detail_code,remaining_amt, payrec, mode_code,coinsurance_code,class_cd,it_remarks) values('28Nov240018','070000169187','23400',(select max(to_number(i.premium_rcv_detail_code))+1
from ins_premium_det i),'23400','23400','02', '11000003','00','Request by Mr. Raheel Malik Premium 02-Dec-2024');</v>
      </c>
    </row>
    <row r="42" spans="1:8" ht="105" x14ac:dyDescent="0.25">
      <c r="A42" s="16" t="s">
        <v>747</v>
      </c>
      <c r="B42" s="38" t="str">
        <f>VLOOKUP(A42,policy1!B:C,2,0)</f>
        <v>070000169134</v>
      </c>
      <c r="C42" s="39">
        <f>VLOOKUP(A42,Renewal!AF:AG,2,0)</f>
        <v>33375</v>
      </c>
      <c r="D42" s="40">
        <f t="shared" si="1"/>
        <v>33375</v>
      </c>
      <c r="E42" s="41" t="s">
        <v>2168</v>
      </c>
      <c r="F42" s="42" t="str">
        <f t="shared" si="0"/>
        <v>insert into ins_premium_det (premium_rcv_code,assorted_code, rec_amount,premium_rcv_detail_code,remaining_amt, payrec, mode_code,coinsurance_code,class_cd,it_remarks) values</v>
      </c>
      <c r="G42" s="43" t="str">
        <f t="shared" si="2"/>
        <v>('28Nov240018','070000169134','33375',(select max(to_number(i.premium_rcv_detail_code))+1
from ins_premium_det i),'33375','33375','02', '11000003','00','Request by Mr. Raheel Malik Premium 02-Dec-2024');</v>
      </c>
      <c r="H42" s="44" t="str">
        <f t="shared" si="3"/>
        <v>insert into ins_premium_det (premium_rcv_code,assorted_code, rec_amount,premium_rcv_detail_code,remaining_amt, payrec, mode_code,coinsurance_code,class_cd,it_remarks) values('28Nov240018','070000169134','33375',(select max(to_number(i.premium_rcv_detail_code))+1
from ins_premium_det i),'33375','33375','02', '11000003','00','Request by Mr. Raheel Malik Premium 02-Dec-2024');</v>
      </c>
    </row>
    <row r="43" spans="1:8" ht="105" x14ac:dyDescent="0.25">
      <c r="A43" s="16" t="s">
        <v>755</v>
      </c>
      <c r="B43" s="38" t="str">
        <f>VLOOKUP(A43,policy1!B:C,2,0)</f>
        <v>070000169087</v>
      </c>
      <c r="C43" s="39">
        <f>VLOOKUP(A43,Renewal!AF:AG,2,0)</f>
        <v>73350</v>
      </c>
      <c r="D43" s="40">
        <f t="shared" si="1"/>
        <v>73350</v>
      </c>
      <c r="E43" s="41" t="s">
        <v>2168</v>
      </c>
      <c r="F43" s="42" t="str">
        <f t="shared" si="0"/>
        <v>insert into ins_premium_det (premium_rcv_code,assorted_code, rec_amount,premium_rcv_detail_code,remaining_amt, payrec, mode_code,coinsurance_code,class_cd,it_remarks) values</v>
      </c>
      <c r="G43" s="43" t="str">
        <f t="shared" si="2"/>
        <v>('28Nov240018','070000169087','73350',(select max(to_number(i.premium_rcv_detail_code))+1
from ins_premium_det i),'73350','73350','02', '11000003','00','Request by Mr. Raheel Malik Premium 02-Dec-2024');</v>
      </c>
      <c r="H43" s="44" t="str">
        <f t="shared" si="3"/>
        <v>insert into ins_premium_det (premium_rcv_code,assorted_code, rec_amount,premium_rcv_detail_code,remaining_amt, payrec, mode_code,coinsurance_code,class_cd,it_remarks) values('28Nov240018','070000169087','73350',(select max(to_number(i.premium_rcv_detail_code))+1
from ins_premium_det i),'73350','73350','02', '11000003','00','Request by Mr. Raheel Malik Premium 02-Dec-2024');</v>
      </c>
    </row>
    <row r="44" spans="1:8" ht="105" x14ac:dyDescent="0.25">
      <c r="A44" s="16" t="s">
        <v>764</v>
      </c>
      <c r="B44" s="38" t="str">
        <f>VLOOKUP(A44,policy1!B:C,2,0)</f>
        <v>070000169280</v>
      </c>
      <c r="C44" s="39">
        <f>VLOOKUP(A44,Renewal!AF:AG,2,0)</f>
        <v>41045</v>
      </c>
      <c r="D44" s="40">
        <f t="shared" si="1"/>
        <v>41045</v>
      </c>
      <c r="E44" s="41" t="s">
        <v>2168</v>
      </c>
      <c r="F44" s="42" t="str">
        <f t="shared" si="0"/>
        <v>insert into ins_premium_det (premium_rcv_code,assorted_code, rec_amount,premium_rcv_detail_code,remaining_amt, payrec, mode_code,coinsurance_code,class_cd,it_remarks) values</v>
      </c>
      <c r="G44" s="43" t="str">
        <f t="shared" si="2"/>
        <v>('28Nov240018','070000169280','41045',(select max(to_number(i.premium_rcv_detail_code))+1
from ins_premium_det i),'41045','41045','02', '11000003','00','Request by Mr. Raheel Malik Premium 02-Dec-2024');</v>
      </c>
      <c r="H44" s="44" t="str">
        <f t="shared" si="3"/>
        <v>insert into ins_premium_det (premium_rcv_code,assorted_code, rec_amount,premium_rcv_detail_code,remaining_amt, payrec, mode_code,coinsurance_code,class_cd,it_remarks) values('28Nov240018','070000169280','41045',(select max(to_number(i.premium_rcv_detail_code))+1
from ins_premium_det i),'41045','41045','02', '11000003','00','Request by Mr. Raheel Malik Premium 02-Dec-2024');</v>
      </c>
    </row>
    <row r="45" spans="1:8" ht="105" x14ac:dyDescent="0.25">
      <c r="A45" s="16" t="s">
        <v>772</v>
      </c>
      <c r="B45" s="38" t="str">
        <f>VLOOKUP(A45,policy1!B:C,2,0)</f>
        <v>070000169101</v>
      </c>
      <c r="C45" s="39">
        <f>VLOOKUP(A45,Renewal!AF:AG,2,0)</f>
        <v>68355</v>
      </c>
      <c r="D45" s="40">
        <f t="shared" si="1"/>
        <v>68355</v>
      </c>
      <c r="E45" s="41" t="s">
        <v>2168</v>
      </c>
      <c r="F45" s="42" t="str">
        <f t="shared" si="0"/>
        <v>insert into ins_premium_det (premium_rcv_code,assorted_code, rec_amount,premium_rcv_detail_code,remaining_amt, payrec, mode_code,coinsurance_code,class_cd,it_remarks) values</v>
      </c>
      <c r="G45" s="43" t="str">
        <f t="shared" si="2"/>
        <v>('28Nov240018','070000169101','68355',(select max(to_number(i.premium_rcv_detail_code))+1
from ins_premium_det i),'68355','68355','02', '11000003','00','Request by Mr. Raheel Malik Premium 02-Dec-2024');</v>
      </c>
      <c r="H45" s="44" t="str">
        <f t="shared" si="3"/>
        <v>insert into ins_premium_det (premium_rcv_code,assorted_code, rec_amount,premium_rcv_detail_code,remaining_amt, payrec, mode_code,coinsurance_code,class_cd,it_remarks) values('28Nov240018','070000169101','68355',(select max(to_number(i.premium_rcv_detail_code))+1
from ins_premium_det i),'68355','68355','02', '11000003','00','Request by Mr. Raheel Malik Premium 02-Dec-2024');</v>
      </c>
    </row>
    <row r="46" spans="1:8" ht="105" x14ac:dyDescent="0.25">
      <c r="A46" s="16" t="s">
        <v>781</v>
      </c>
      <c r="B46" s="38" t="str">
        <f>VLOOKUP(A46,policy1!B:C,2,0)</f>
        <v>070000169263</v>
      </c>
      <c r="C46" s="39">
        <f>VLOOKUP(A46,Renewal!AF:AG,2,0)</f>
        <v>49725</v>
      </c>
      <c r="D46" s="40">
        <f t="shared" si="1"/>
        <v>49725</v>
      </c>
      <c r="E46" s="41" t="s">
        <v>2168</v>
      </c>
      <c r="F46" s="42" t="str">
        <f t="shared" si="0"/>
        <v>insert into ins_premium_det (premium_rcv_code,assorted_code, rec_amount,premium_rcv_detail_code,remaining_amt, payrec, mode_code,coinsurance_code,class_cd,it_remarks) values</v>
      </c>
      <c r="G46" s="43" t="str">
        <f t="shared" si="2"/>
        <v>('28Nov240018','070000169263','49725',(select max(to_number(i.premium_rcv_detail_code))+1
from ins_premium_det i),'49725','49725','02', '11000003','00','Request by Mr. Raheel Malik Premium 02-Dec-2024');</v>
      </c>
      <c r="H46" s="44" t="str">
        <f t="shared" si="3"/>
        <v>insert into ins_premium_det (premium_rcv_code,assorted_code, rec_amount,premium_rcv_detail_code,remaining_amt, payrec, mode_code,coinsurance_code,class_cd,it_remarks) values('28Nov240018','070000169263','49725',(select max(to_number(i.premium_rcv_detail_code))+1
from ins_premium_det i),'49725','49725','02', '11000003','00','Request by Mr. Raheel Malik Premium 02-Dec-2024');</v>
      </c>
    </row>
    <row r="47" spans="1:8" ht="105" x14ac:dyDescent="0.25">
      <c r="A47" s="16" t="s">
        <v>788</v>
      </c>
      <c r="B47" s="38" t="str">
        <f>VLOOKUP(A47,policy1!B:C,2,0)</f>
        <v>070000169200</v>
      </c>
      <c r="C47" s="39">
        <f>VLOOKUP(A47,Renewal!AF:AG,2,0)</f>
        <v>30030</v>
      </c>
      <c r="D47" s="40">
        <f t="shared" si="1"/>
        <v>30030</v>
      </c>
      <c r="E47" s="41" t="s">
        <v>2168</v>
      </c>
      <c r="F47" s="42" t="str">
        <f t="shared" si="0"/>
        <v>insert into ins_premium_det (premium_rcv_code,assorted_code, rec_amount,premium_rcv_detail_code,remaining_amt, payrec, mode_code,coinsurance_code,class_cd,it_remarks) values</v>
      </c>
      <c r="G47" s="43" t="str">
        <f t="shared" si="2"/>
        <v>('28Nov240018','070000169200','30030',(select max(to_number(i.premium_rcv_detail_code))+1
from ins_premium_det i),'30030','30030','02', '11000003','00','Request by Mr. Raheel Malik Premium 02-Dec-2024');</v>
      </c>
      <c r="H47" s="44" t="str">
        <f t="shared" si="3"/>
        <v>insert into ins_premium_det (premium_rcv_code,assorted_code, rec_amount,premium_rcv_detail_code,remaining_amt, payrec, mode_code,coinsurance_code,class_cd,it_remarks) values('28Nov240018','070000169200','30030',(select max(to_number(i.premium_rcv_detail_code))+1
from ins_premium_det i),'30030','30030','02', '11000003','00','Request by Mr. Raheel Malik Premium 02-Dec-2024');</v>
      </c>
    </row>
    <row r="48" spans="1:8" ht="105" x14ac:dyDescent="0.25">
      <c r="A48" s="16" t="s">
        <v>797</v>
      </c>
      <c r="B48" s="38" t="str">
        <f>VLOOKUP(A48,policy1!B:C,2,0)</f>
        <v>070000169189</v>
      </c>
      <c r="C48" s="39">
        <f>VLOOKUP(A48,Renewal!AF:AG,2,0)</f>
        <v>21600</v>
      </c>
      <c r="D48" s="40">
        <f t="shared" si="1"/>
        <v>21600</v>
      </c>
      <c r="E48" s="41" t="s">
        <v>2168</v>
      </c>
      <c r="F48" s="42" t="str">
        <f t="shared" si="0"/>
        <v>insert into ins_premium_det (premium_rcv_code,assorted_code, rec_amount,premium_rcv_detail_code,remaining_amt, payrec, mode_code,coinsurance_code,class_cd,it_remarks) values</v>
      </c>
      <c r="G48" s="43" t="str">
        <f t="shared" si="2"/>
        <v>('28Nov240018','070000169189','21600',(select max(to_number(i.premium_rcv_detail_code))+1
from ins_premium_det i),'21600','21600','02', '11000003','00','Request by Mr. Raheel Malik Premium 02-Dec-2024');</v>
      </c>
      <c r="H48" s="44" t="str">
        <f t="shared" si="3"/>
        <v>insert into ins_premium_det (premium_rcv_code,assorted_code, rec_amount,premium_rcv_detail_code,remaining_amt, payrec, mode_code,coinsurance_code,class_cd,it_remarks) values('28Nov240018','070000169189','21600',(select max(to_number(i.premium_rcv_detail_code))+1
from ins_premium_det i),'21600','21600','02', '11000003','00','Request by Mr. Raheel Malik Premium 02-Dec-2024');</v>
      </c>
    </row>
    <row r="49" spans="1:8" ht="105" x14ac:dyDescent="0.25">
      <c r="A49" s="16" t="s">
        <v>805</v>
      </c>
      <c r="B49" s="38" t="str">
        <f>VLOOKUP(A49,policy1!B:C,2,0)</f>
        <v>070000169165</v>
      </c>
      <c r="C49" s="39">
        <f>VLOOKUP(A49,Renewal!AF:AG,2,0)</f>
        <v>48600</v>
      </c>
      <c r="D49" s="40">
        <f t="shared" si="1"/>
        <v>48600</v>
      </c>
      <c r="E49" s="41" t="s">
        <v>2168</v>
      </c>
      <c r="F49" s="42" t="str">
        <f t="shared" si="0"/>
        <v>insert into ins_premium_det (premium_rcv_code,assorted_code, rec_amount,premium_rcv_detail_code,remaining_amt, payrec, mode_code,coinsurance_code,class_cd,it_remarks) values</v>
      </c>
      <c r="G49" s="43" t="str">
        <f t="shared" si="2"/>
        <v>('28Nov240018','070000169165','48600',(select max(to_number(i.premium_rcv_detail_code))+1
from ins_premium_det i),'48600','48600','02', '11000003','00','Request by Mr. Raheel Malik Premium 02-Dec-2024');</v>
      </c>
      <c r="H49" s="44" t="str">
        <f t="shared" si="3"/>
        <v>insert into ins_premium_det (premium_rcv_code,assorted_code, rec_amount,premium_rcv_detail_code,remaining_amt, payrec, mode_code,coinsurance_code,class_cd,it_remarks) values('28Nov240018','070000169165','48600',(select max(to_number(i.premium_rcv_detail_code))+1
from ins_premium_det i),'48600','48600','02', '11000003','00','Request by Mr. Raheel Malik Premium 02-Dec-2024');</v>
      </c>
    </row>
    <row r="50" spans="1:8" ht="105" x14ac:dyDescent="0.25">
      <c r="A50" s="16" t="s">
        <v>813</v>
      </c>
      <c r="B50" s="38" t="str">
        <f>VLOOKUP(A50,policy1!B:C,2,0)</f>
        <v>070000169249</v>
      </c>
      <c r="C50" s="39">
        <f>VLOOKUP(A50,Renewal!AF:AG,2,0)</f>
        <v>54000</v>
      </c>
      <c r="D50" s="40">
        <f t="shared" si="1"/>
        <v>54000</v>
      </c>
      <c r="E50" s="41" t="s">
        <v>2168</v>
      </c>
      <c r="F50" s="42" t="str">
        <f t="shared" si="0"/>
        <v>insert into ins_premium_det (premium_rcv_code,assorted_code, rec_amount,premium_rcv_detail_code,remaining_amt, payrec, mode_code,coinsurance_code,class_cd,it_remarks) values</v>
      </c>
      <c r="G50" s="43" t="str">
        <f t="shared" si="2"/>
        <v>('28Nov240018','070000169249','54000',(select max(to_number(i.premium_rcv_detail_code))+1
from ins_premium_det i),'54000','54000','02', '11000003','00','Request by Mr. Raheel Malik Premium 02-Dec-2024');</v>
      </c>
      <c r="H50" s="44" t="str">
        <f t="shared" si="3"/>
        <v>insert into ins_premium_det (premium_rcv_code,assorted_code, rec_amount,premium_rcv_detail_code,remaining_amt, payrec, mode_code,coinsurance_code,class_cd,it_remarks) values('28Nov240018','070000169249','54000',(select max(to_number(i.premium_rcv_detail_code))+1
from ins_premium_det i),'54000','54000','02', '11000003','00','Request by Mr. Raheel Malik Premium 02-Dec-2024');</v>
      </c>
    </row>
    <row r="51" spans="1:8" ht="105" x14ac:dyDescent="0.25">
      <c r="A51" s="16" t="s">
        <v>822</v>
      </c>
      <c r="B51" s="38" t="str">
        <f>VLOOKUP(A51,policy1!B:C,2,0)</f>
        <v>070000169248</v>
      </c>
      <c r="C51" s="39">
        <f>VLOOKUP(A51,Renewal!AF:AG,2,0)</f>
        <v>54000</v>
      </c>
      <c r="D51" s="40">
        <f t="shared" si="1"/>
        <v>54000</v>
      </c>
      <c r="E51" s="41" t="s">
        <v>2168</v>
      </c>
      <c r="F51" s="42" t="str">
        <f t="shared" si="0"/>
        <v>insert into ins_premium_det (premium_rcv_code,assorted_code, rec_amount,premium_rcv_detail_code,remaining_amt, payrec, mode_code,coinsurance_code,class_cd,it_remarks) values</v>
      </c>
      <c r="G51" s="43" t="str">
        <f t="shared" si="2"/>
        <v>('28Nov240018','070000169248','54000',(select max(to_number(i.premium_rcv_detail_code))+1
from ins_premium_det i),'54000','54000','02', '11000003','00','Request by Mr. Raheel Malik Premium 02-Dec-2024');</v>
      </c>
      <c r="H51" s="44" t="str">
        <f t="shared" si="3"/>
        <v>insert into ins_premium_det (premium_rcv_code,assorted_code, rec_amount,premium_rcv_detail_code,remaining_amt, payrec, mode_code,coinsurance_code,class_cd,it_remarks) values('28Nov240018','070000169248','54000',(select max(to_number(i.premium_rcv_detail_code))+1
from ins_premium_det i),'54000','54000','02', '11000003','00','Request by Mr. Raheel Malik Premium 02-Dec-2024');</v>
      </c>
    </row>
    <row r="52" spans="1:8" ht="105" x14ac:dyDescent="0.25">
      <c r="A52" s="16" t="s">
        <v>831</v>
      </c>
      <c r="B52" s="38" t="str">
        <f>VLOOKUP(A52,policy1!B:C,2,0)</f>
        <v>070000169166</v>
      </c>
      <c r="C52" s="39">
        <f>VLOOKUP(A52,Renewal!AF:AG,2,0)</f>
        <v>52830</v>
      </c>
      <c r="D52" s="40">
        <f t="shared" si="1"/>
        <v>52830</v>
      </c>
      <c r="E52" s="41" t="s">
        <v>2168</v>
      </c>
      <c r="F52" s="42" t="str">
        <f t="shared" si="0"/>
        <v>insert into ins_premium_det (premium_rcv_code,assorted_code, rec_amount,premium_rcv_detail_code,remaining_amt, payrec, mode_code,coinsurance_code,class_cd,it_remarks) values</v>
      </c>
      <c r="G52" s="43" t="str">
        <f t="shared" si="2"/>
        <v>('28Nov240018','070000169166','52830',(select max(to_number(i.premium_rcv_detail_code))+1
from ins_premium_det i),'52830','52830','02', '11000003','00','Request by Mr. Raheel Malik Premium 02-Dec-2024');</v>
      </c>
      <c r="H52" s="44" t="str">
        <f t="shared" si="3"/>
        <v>insert into ins_premium_det (premium_rcv_code,assorted_code, rec_amount,premium_rcv_detail_code,remaining_amt, payrec, mode_code,coinsurance_code,class_cd,it_remarks) values('28Nov240018','070000169166','52830',(select max(to_number(i.premium_rcv_detail_code))+1
from ins_premium_det i),'52830','52830','02', '11000003','00','Request by Mr. Raheel Malik Premium 02-Dec-2024');</v>
      </c>
    </row>
    <row r="53" spans="1:8" ht="105" x14ac:dyDescent="0.25">
      <c r="A53" s="16" t="s">
        <v>839</v>
      </c>
      <c r="B53" s="38" t="str">
        <f>VLOOKUP(A53,policy1!B:C,2,0)</f>
        <v>070000169135</v>
      </c>
      <c r="C53" s="39">
        <f>VLOOKUP(A53,Renewal!AF:AG,2,0)</f>
        <v>26869</v>
      </c>
      <c r="D53" s="40">
        <f t="shared" si="1"/>
        <v>26869</v>
      </c>
      <c r="E53" s="41" t="s">
        <v>2168</v>
      </c>
      <c r="F53" s="42" t="str">
        <f t="shared" si="0"/>
        <v>insert into ins_premium_det (premium_rcv_code,assorted_code, rec_amount,premium_rcv_detail_code,remaining_amt, payrec, mode_code,coinsurance_code,class_cd,it_remarks) values</v>
      </c>
      <c r="G53" s="43" t="str">
        <f t="shared" si="2"/>
        <v>('28Nov240018','070000169135','26869',(select max(to_number(i.premium_rcv_detail_code))+1
from ins_premium_det i),'26869','26869','02', '11000003','00','Request by Mr. Raheel Malik Premium 02-Dec-2024');</v>
      </c>
      <c r="H53" s="44" t="str">
        <f t="shared" si="3"/>
        <v>insert into ins_premium_det (premium_rcv_code,assorted_code, rec_amount,premium_rcv_detail_code,remaining_amt, payrec, mode_code,coinsurance_code,class_cd,it_remarks) values('28Nov240018','070000169135','26869',(select max(to_number(i.premium_rcv_detail_code))+1
from ins_premium_det i),'26869','26869','02', '11000003','00','Request by Mr. Raheel Malik Premium 02-Dec-2024');</v>
      </c>
    </row>
    <row r="54" spans="1:8" ht="105" x14ac:dyDescent="0.25">
      <c r="A54" s="16" t="s">
        <v>847</v>
      </c>
      <c r="B54" s="38" t="str">
        <f>VLOOKUP(A54,policy1!B:C,2,0)</f>
        <v>070000169274</v>
      </c>
      <c r="C54" s="39">
        <f>VLOOKUP(A54,Renewal!AF:AG,2,0)</f>
        <v>46491</v>
      </c>
      <c r="D54" s="40">
        <f t="shared" si="1"/>
        <v>46491</v>
      </c>
      <c r="E54" s="41" t="s">
        <v>2168</v>
      </c>
      <c r="F54" s="42" t="str">
        <f t="shared" si="0"/>
        <v>insert into ins_premium_det (premium_rcv_code,assorted_code, rec_amount,premium_rcv_detail_code,remaining_amt, payrec, mode_code,coinsurance_code,class_cd,it_remarks) values</v>
      </c>
      <c r="G54" s="43" t="str">
        <f t="shared" si="2"/>
        <v>('28Nov240018','070000169274','46491',(select max(to_number(i.premium_rcv_detail_code))+1
from ins_premium_det i),'46491','46491','02', '11000003','00','Request by Mr. Raheel Malik Premium 02-Dec-2024');</v>
      </c>
      <c r="H54" s="44" t="str">
        <f t="shared" si="3"/>
        <v>insert into ins_premium_det (premium_rcv_code,assorted_code, rec_amount,premium_rcv_detail_code,remaining_amt, payrec, mode_code,coinsurance_code,class_cd,it_remarks) values('28Nov240018','070000169274','46491',(select max(to_number(i.premium_rcv_detail_code))+1
from ins_premium_det i),'46491','46491','02', '11000003','00','Request by Mr. Raheel Malik Premium 02-Dec-2024');</v>
      </c>
    </row>
    <row r="55" spans="1:8" ht="105" x14ac:dyDescent="0.25">
      <c r="A55" s="16" t="s">
        <v>855</v>
      </c>
      <c r="B55" s="38" t="str">
        <f>VLOOKUP(A55,policy1!B:C,2,0)</f>
        <v>070000169250</v>
      </c>
      <c r="C55" s="39">
        <f>VLOOKUP(A55,Renewal!AF:AG,2,0)</f>
        <v>47925</v>
      </c>
      <c r="D55" s="40">
        <f t="shared" si="1"/>
        <v>47925</v>
      </c>
      <c r="E55" s="41" t="s">
        <v>2168</v>
      </c>
      <c r="F55" s="42" t="str">
        <f t="shared" si="0"/>
        <v>insert into ins_premium_det (premium_rcv_code,assorted_code, rec_amount,premium_rcv_detail_code,remaining_amt, payrec, mode_code,coinsurance_code,class_cd,it_remarks) values</v>
      </c>
      <c r="G55" s="43" t="str">
        <f t="shared" si="2"/>
        <v>('28Nov240018','070000169250','47925',(select max(to_number(i.premium_rcv_detail_code))+1
from ins_premium_det i),'47925','47925','02', '11000003','00','Request by Mr. Raheel Malik Premium 02-Dec-2024');</v>
      </c>
      <c r="H55" s="44" t="str">
        <f t="shared" si="3"/>
        <v>insert into ins_premium_det (premium_rcv_code,assorted_code, rec_amount,premium_rcv_detail_code,remaining_amt, payrec, mode_code,coinsurance_code,class_cd,it_remarks) values('28Nov240018','070000169250','47925',(select max(to_number(i.premium_rcv_detail_code))+1
from ins_premium_det i),'47925','47925','02', '11000003','00','Request by Mr. Raheel Malik Premium 02-Dec-2024');</v>
      </c>
    </row>
    <row r="56" spans="1:8" ht="105" x14ac:dyDescent="0.25">
      <c r="A56" s="16" t="s">
        <v>863</v>
      </c>
      <c r="B56" s="38" t="str">
        <f>VLOOKUP(A56,policy1!B:C,2,0)</f>
        <v>070000169167</v>
      </c>
      <c r="C56" s="39">
        <f>VLOOKUP(A56,Renewal!AF:AG,2,0)</f>
        <v>47016</v>
      </c>
      <c r="D56" s="40">
        <f t="shared" si="1"/>
        <v>47016</v>
      </c>
      <c r="E56" s="41" t="s">
        <v>2168</v>
      </c>
      <c r="F56" s="42" t="str">
        <f t="shared" si="0"/>
        <v>insert into ins_premium_det (premium_rcv_code,assorted_code, rec_amount,premium_rcv_detail_code,remaining_amt, payrec, mode_code,coinsurance_code,class_cd,it_remarks) values</v>
      </c>
      <c r="G56" s="43" t="str">
        <f t="shared" si="2"/>
        <v>('28Nov240018','070000169167','47016',(select max(to_number(i.premium_rcv_detail_code))+1
from ins_premium_det i),'47016','47016','02', '11000003','00','Request by Mr. Raheel Malik Premium 02-Dec-2024');</v>
      </c>
      <c r="H56" s="44" t="str">
        <f t="shared" si="3"/>
        <v>insert into ins_premium_det (premium_rcv_code,assorted_code, rec_amount,premium_rcv_detail_code,remaining_amt, payrec, mode_code,coinsurance_code,class_cd,it_remarks) values('28Nov240018','070000169167','47016',(select max(to_number(i.premium_rcv_detail_code))+1
from ins_premium_det i),'47016','47016','02', '11000003','00','Request by Mr. Raheel Malik Premium 02-Dec-2024');</v>
      </c>
    </row>
    <row r="57" spans="1:8" ht="105" x14ac:dyDescent="0.25">
      <c r="A57" s="16" t="s">
        <v>870</v>
      </c>
      <c r="B57" s="38" t="str">
        <f>VLOOKUP(A57,policy1!B:C,2,0)</f>
        <v>070000169136</v>
      </c>
      <c r="C57" s="39">
        <f>VLOOKUP(A57,Renewal!AF:AG,2,0)</f>
        <v>33375</v>
      </c>
      <c r="D57" s="40">
        <f t="shared" si="1"/>
        <v>33375</v>
      </c>
      <c r="E57" s="41" t="s">
        <v>2168</v>
      </c>
      <c r="F57" s="42" t="str">
        <f t="shared" si="0"/>
        <v>insert into ins_premium_det (premium_rcv_code,assorted_code, rec_amount,premium_rcv_detail_code,remaining_amt, payrec, mode_code,coinsurance_code,class_cd,it_remarks) values</v>
      </c>
      <c r="G57" s="43" t="str">
        <f t="shared" si="2"/>
        <v>('28Nov240018','070000169136','33375',(select max(to_number(i.premium_rcv_detail_code))+1
from ins_premium_det i),'33375','33375','02', '11000003','00','Request by Mr. Raheel Malik Premium 02-Dec-2024');</v>
      </c>
      <c r="H57" s="44" t="str">
        <f t="shared" si="3"/>
        <v>insert into ins_premium_det (premium_rcv_code,assorted_code, rec_amount,premium_rcv_detail_code,remaining_amt, payrec, mode_code,coinsurance_code,class_cd,it_remarks) values('28Nov240018','070000169136','33375',(select max(to_number(i.premium_rcv_detail_code))+1
from ins_premium_det i),'33375','33375','02', '11000003','00','Request by Mr. Raheel Malik Premium 02-Dec-2024');</v>
      </c>
    </row>
    <row r="58" spans="1:8" ht="105" x14ac:dyDescent="0.25">
      <c r="A58" s="16" t="s">
        <v>879</v>
      </c>
      <c r="B58" s="38" t="str">
        <f>VLOOKUP(A58,policy1!B:C,2,0)</f>
        <v>070000169117</v>
      </c>
      <c r="C58" s="39">
        <f>VLOOKUP(A58,Renewal!AF:AG,2,0)</f>
        <v>35594</v>
      </c>
      <c r="D58" s="40">
        <f t="shared" si="1"/>
        <v>35594</v>
      </c>
      <c r="E58" s="41" t="s">
        <v>2168</v>
      </c>
      <c r="F58" s="42" t="str">
        <f t="shared" si="0"/>
        <v>insert into ins_premium_det (premium_rcv_code,assorted_code, rec_amount,premium_rcv_detail_code,remaining_amt, payrec, mode_code,coinsurance_code,class_cd,it_remarks) values</v>
      </c>
      <c r="G58" s="43" t="str">
        <f t="shared" si="2"/>
        <v>('28Nov240018','070000169117','35594',(select max(to_number(i.premium_rcv_detail_code))+1
from ins_premium_det i),'35594','35594','02', '11000003','00','Request by Mr. Raheel Malik Premium 02-Dec-2024');</v>
      </c>
      <c r="H58" s="44" t="str">
        <f t="shared" si="3"/>
        <v>insert into ins_premium_det (premium_rcv_code,assorted_code, rec_amount,premium_rcv_detail_code,remaining_amt, payrec, mode_code,coinsurance_code,class_cd,it_remarks) values('28Nov240018','070000169117','35594',(select max(to_number(i.premium_rcv_detail_code))+1
from ins_premium_det i),'35594','35594','02', '11000003','00','Request by Mr. Raheel Malik Premium 02-Dec-2024');</v>
      </c>
    </row>
    <row r="59" spans="1:8" ht="105" x14ac:dyDescent="0.25">
      <c r="A59" s="16" t="s">
        <v>887</v>
      </c>
      <c r="B59" s="38" t="str">
        <f>VLOOKUP(A59,policy1!B:C,2,0)</f>
        <v>070000169116</v>
      </c>
      <c r="C59" s="39">
        <f>VLOOKUP(A59,Renewal!AF:AG,2,0)</f>
        <v>35594</v>
      </c>
      <c r="D59" s="40">
        <f t="shared" si="1"/>
        <v>35594</v>
      </c>
      <c r="E59" s="41" t="s">
        <v>2168</v>
      </c>
      <c r="F59" s="42" t="str">
        <f t="shared" si="0"/>
        <v>insert into ins_premium_det (premium_rcv_code,assorted_code, rec_amount,premium_rcv_detail_code,remaining_amt, payrec, mode_code,coinsurance_code,class_cd,it_remarks) values</v>
      </c>
      <c r="G59" s="43" t="str">
        <f t="shared" si="2"/>
        <v>('28Nov240018','070000169116','35594',(select max(to_number(i.premium_rcv_detail_code))+1
from ins_premium_det i),'35594','35594','02', '11000003','00','Request by Mr. Raheel Malik Premium 02-Dec-2024');</v>
      </c>
      <c r="H59" s="44" t="str">
        <f t="shared" si="3"/>
        <v>insert into ins_premium_det (premium_rcv_code,assorted_code, rec_amount,premium_rcv_detail_code,remaining_amt, payrec, mode_code,coinsurance_code,class_cd,it_remarks) values('28Nov240018','070000169116','35594',(select max(to_number(i.premium_rcv_detail_code))+1
from ins_premium_det i),'35594','35594','02', '11000003','00','Request by Mr. Raheel Malik Premium 02-Dec-2024');</v>
      </c>
    </row>
    <row r="60" spans="1:8" ht="105" x14ac:dyDescent="0.25">
      <c r="A60" s="16" t="s">
        <v>896</v>
      </c>
      <c r="B60" s="38" t="str">
        <f>VLOOKUP(A60,policy1!B:C,2,0)</f>
        <v>070000169224</v>
      </c>
      <c r="C60" s="39">
        <f>VLOOKUP(A60,Renewal!AF:AG,2,0)</f>
        <v>28054</v>
      </c>
      <c r="D60" s="40">
        <f t="shared" si="1"/>
        <v>28054</v>
      </c>
      <c r="E60" s="41" t="s">
        <v>2168</v>
      </c>
      <c r="F60" s="42" t="str">
        <f t="shared" si="0"/>
        <v>insert into ins_premium_det (premium_rcv_code,assorted_code, rec_amount,premium_rcv_detail_code,remaining_amt, payrec, mode_code,coinsurance_code,class_cd,it_remarks) values</v>
      </c>
      <c r="G60" s="43" t="str">
        <f t="shared" si="2"/>
        <v>('28Nov240018','070000169224','28054',(select max(to_number(i.premium_rcv_detail_code))+1
from ins_premium_det i),'28054','28054','02', '11000003','00','Request by Mr. Raheel Malik Premium 02-Dec-2024');</v>
      </c>
      <c r="H60" s="44" t="str">
        <f t="shared" si="3"/>
        <v>insert into ins_premium_det (premium_rcv_code,assorted_code, rec_amount,premium_rcv_detail_code,remaining_amt, payrec, mode_code,coinsurance_code,class_cd,it_remarks) values('28Nov240018','070000169224','28054',(select max(to_number(i.premium_rcv_detail_code))+1
from ins_premium_det i),'28054','28054','02', '11000003','00','Request by Mr. Raheel Malik Premium 02-Dec-2024');</v>
      </c>
    </row>
    <row r="61" spans="1:8" ht="105" x14ac:dyDescent="0.25">
      <c r="A61" s="16" t="s">
        <v>904</v>
      </c>
      <c r="B61" s="38" t="str">
        <f>VLOOKUP(A61,policy1!B:C,2,0)</f>
        <v>070000169202</v>
      </c>
      <c r="C61" s="39">
        <f>VLOOKUP(A61,Renewal!AF:AG,2,0)</f>
        <v>43588</v>
      </c>
      <c r="D61" s="40">
        <f t="shared" si="1"/>
        <v>43588</v>
      </c>
      <c r="E61" s="41" t="s">
        <v>2168</v>
      </c>
      <c r="F61" s="42" t="str">
        <f t="shared" si="0"/>
        <v>insert into ins_premium_det (premium_rcv_code,assorted_code, rec_amount,premium_rcv_detail_code,remaining_amt, payrec, mode_code,coinsurance_code,class_cd,it_remarks) values</v>
      </c>
      <c r="G61" s="43" t="str">
        <f t="shared" si="2"/>
        <v>('28Nov240018','070000169202','43588',(select max(to_number(i.premium_rcv_detail_code))+1
from ins_premium_det i),'43588','43588','02', '11000003','00','Request by Mr. Raheel Malik Premium 02-Dec-2024');</v>
      </c>
      <c r="H61" s="44" t="str">
        <f t="shared" si="3"/>
        <v>insert into ins_premium_det (premium_rcv_code,assorted_code, rec_amount,premium_rcv_detail_code,remaining_amt, payrec, mode_code,coinsurance_code,class_cd,it_remarks) values('28Nov240018','070000169202','43588',(select max(to_number(i.premium_rcv_detail_code))+1
from ins_premium_det i),'43588','43588','02', '11000003','00','Request by Mr. Raheel Malik Premium 02-Dec-2024');</v>
      </c>
    </row>
    <row r="62" spans="1:8" ht="105" x14ac:dyDescent="0.25">
      <c r="A62" s="16" t="s">
        <v>911</v>
      </c>
      <c r="B62" s="38" t="str">
        <f>VLOOKUP(A62,policy1!B:C,2,0)</f>
        <v>070000169201</v>
      </c>
      <c r="C62" s="39">
        <f>VLOOKUP(A62,Renewal!AF:AG,2,0)</f>
        <v>47634</v>
      </c>
      <c r="D62" s="40">
        <f t="shared" si="1"/>
        <v>47634</v>
      </c>
      <c r="E62" s="41" t="s">
        <v>2168</v>
      </c>
      <c r="F62" s="42" t="str">
        <f t="shared" si="0"/>
        <v>insert into ins_premium_det (premium_rcv_code,assorted_code, rec_amount,premium_rcv_detail_code,remaining_amt, payrec, mode_code,coinsurance_code,class_cd,it_remarks) values</v>
      </c>
      <c r="G62" s="43" t="str">
        <f t="shared" si="2"/>
        <v>('28Nov240018','070000169201','47634',(select max(to_number(i.premium_rcv_detail_code))+1
from ins_premium_det i),'47634','47634','02', '11000003','00','Request by Mr. Raheel Malik Premium 02-Dec-2024');</v>
      </c>
      <c r="H62" s="44" t="str">
        <f t="shared" si="3"/>
        <v>insert into ins_premium_det (premium_rcv_code,assorted_code, rec_amount,premium_rcv_detail_code,remaining_amt, payrec, mode_code,coinsurance_code,class_cd,it_remarks) values('28Nov240018','070000169201','47634',(select max(to_number(i.premium_rcv_detail_code))+1
from ins_premium_det i),'47634','47634','02', '11000003','00','Request by Mr. Raheel Malik Premium 02-Dec-2024');</v>
      </c>
    </row>
    <row r="63" spans="1:8" ht="105" x14ac:dyDescent="0.25">
      <c r="A63" s="16" t="s">
        <v>918</v>
      </c>
      <c r="B63" s="38" t="str">
        <f>VLOOKUP(A63,policy1!B:C,2,0)</f>
        <v>070000169119</v>
      </c>
      <c r="C63" s="39">
        <f>VLOOKUP(A63,Renewal!AF:AG,2,0)</f>
        <v>35594</v>
      </c>
      <c r="D63" s="40">
        <f t="shared" si="1"/>
        <v>35594</v>
      </c>
      <c r="E63" s="41" t="s">
        <v>2168</v>
      </c>
      <c r="F63" s="42" t="str">
        <f t="shared" si="0"/>
        <v>insert into ins_premium_det (premium_rcv_code,assorted_code, rec_amount,premium_rcv_detail_code,remaining_amt, payrec, mode_code,coinsurance_code,class_cd,it_remarks) values</v>
      </c>
      <c r="G63" s="43" t="str">
        <f t="shared" si="2"/>
        <v>('28Nov240018','070000169119','35594',(select max(to_number(i.premium_rcv_detail_code))+1
from ins_premium_det i),'35594','35594','02', '11000003','00','Request by Mr. Raheel Malik Premium 02-Dec-2024');</v>
      </c>
      <c r="H63" s="44" t="str">
        <f t="shared" si="3"/>
        <v>insert into ins_premium_det (premium_rcv_code,assorted_code, rec_amount,premium_rcv_detail_code,remaining_amt, payrec, mode_code,coinsurance_code,class_cd,it_remarks) values('28Nov240018','070000169119','35594',(select max(to_number(i.premium_rcv_detail_code))+1
from ins_premium_det i),'35594','35594','02', '11000003','00','Request by Mr. Raheel Malik Premium 02-Dec-2024');</v>
      </c>
    </row>
    <row r="64" spans="1:8" ht="105" x14ac:dyDescent="0.25">
      <c r="A64" s="16" t="s">
        <v>927</v>
      </c>
      <c r="B64" s="38" t="str">
        <f>VLOOKUP(A64,policy1!B:C,2,0)</f>
        <v>070000169137</v>
      </c>
      <c r="C64" s="39">
        <f>VLOOKUP(A64,Renewal!AF:AG,2,0)</f>
        <v>59250</v>
      </c>
      <c r="D64" s="40">
        <f t="shared" si="1"/>
        <v>59250</v>
      </c>
      <c r="E64" s="41" t="s">
        <v>2168</v>
      </c>
      <c r="F64" s="42" t="str">
        <f t="shared" si="0"/>
        <v>insert into ins_premium_det (premium_rcv_code,assorted_code, rec_amount,premium_rcv_detail_code,remaining_amt, payrec, mode_code,coinsurance_code,class_cd,it_remarks) values</v>
      </c>
      <c r="G64" s="43" t="str">
        <f t="shared" si="2"/>
        <v>('28Nov240018','070000169137','59250',(select max(to_number(i.premium_rcv_detail_code))+1
from ins_premium_det i),'59250','59250','02', '11000003','00','Request by Mr. Raheel Malik Premium 02-Dec-2024');</v>
      </c>
      <c r="H64" s="44" t="str">
        <f t="shared" si="3"/>
        <v>insert into ins_premium_det (premium_rcv_code,assorted_code, rec_amount,premium_rcv_detail_code,remaining_amt, payrec, mode_code,coinsurance_code,class_cd,it_remarks) values('28Nov240018','070000169137','59250',(select max(to_number(i.premium_rcv_detail_code))+1
from ins_premium_det i),'59250','59250','02', '11000003','00','Request by Mr. Raheel Malik Premium 02-Dec-2024');</v>
      </c>
    </row>
    <row r="65" spans="1:8" ht="105" x14ac:dyDescent="0.25">
      <c r="A65" s="16" t="s">
        <v>934</v>
      </c>
      <c r="B65" s="38" t="str">
        <f>VLOOKUP(A65,policy1!B:C,2,0)</f>
        <v>070000169139</v>
      </c>
      <c r="C65" s="39">
        <f>VLOOKUP(A65,Renewal!AF:AG,2,0)</f>
        <v>56119</v>
      </c>
      <c r="D65" s="40">
        <f t="shared" si="1"/>
        <v>56119</v>
      </c>
      <c r="E65" s="41" t="s">
        <v>2168</v>
      </c>
      <c r="F65" s="42" t="str">
        <f t="shared" si="0"/>
        <v>insert into ins_premium_det (premium_rcv_code,assorted_code, rec_amount,premium_rcv_detail_code,remaining_amt, payrec, mode_code,coinsurance_code,class_cd,it_remarks) values</v>
      </c>
      <c r="G65" s="43" t="str">
        <f t="shared" si="2"/>
        <v>('28Nov240018','070000169139','56119',(select max(to_number(i.premium_rcv_detail_code))+1
from ins_premium_det i),'56119','56119','02', '11000003','00','Request by Mr. Raheel Malik Premium 02-Dec-2024');</v>
      </c>
      <c r="H65" s="44" t="str">
        <f t="shared" si="3"/>
        <v>insert into ins_premium_det (premium_rcv_code,assorted_code, rec_amount,premium_rcv_detail_code,remaining_amt, payrec, mode_code,coinsurance_code,class_cd,it_remarks) values('28Nov240018','070000169139','56119',(select max(to_number(i.premium_rcv_detail_code))+1
from ins_premium_det i),'56119','56119','02', '11000003','00','Request by Mr. Raheel Malik Premium 02-Dec-2024');</v>
      </c>
    </row>
    <row r="66" spans="1:8" ht="105" x14ac:dyDescent="0.25">
      <c r="A66" s="16" t="s">
        <v>942</v>
      </c>
      <c r="B66" s="38" t="str">
        <f>VLOOKUP(A66,policy1!B:C,2,0)</f>
        <v>070000169088</v>
      </c>
      <c r="C66" s="39">
        <f>VLOOKUP(A66,Renewal!AF:AG,2,0)</f>
        <v>70144</v>
      </c>
      <c r="D66" s="40">
        <f t="shared" si="1"/>
        <v>70144</v>
      </c>
      <c r="E66" s="41" t="s">
        <v>2168</v>
      </c>
      <c r="F66" s="42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3" t="str">
        <f t="shared" si="2"/>
        <v>('28Nov240018','070000169088','70144',(select max(to_number(i.premium_rcv_detail_code))+1
from ins_premium_det i),'70144','70144','02', '11000003','00','Request by Mr. Raheel Malik Premium 02-Dec-2024');</v>
      </c>
      <c r="H66" s="44" t="str">
        <f t="shared" si="3"/>
        <v>insert into ins_premium_det (premium_rcv_code,assorted_code, rec_amount,premium_rcv_detail_code,remaining_amt, payrec, mode_code,coinsurance_code,class_cd,it_remarks) values('28Nov240018','070000169088','70144',(select max(to_number(i.premium_rcv_detail_code))+1
from ins_premium_det i),'70144','70144','02', '11000003','00','Request by Mr. Raheel Malik Premium 02-Dec-2024');</v>
      </c>
    </row>
    <row r="67" spans="1:8" ht="105" x14ac:dyDescent="0.25">
      <c r="A67" s="16" t="s">
        <v>950</v>
      </c>
      <c r="B67" s="38" t="str">
        <f>VLOOKUP(A67,policy1!B:C,2,0)</f>
        <v>070000169275</v>
      </c>
      <c r="C67" s="39">
        <f>VLOOKUP(A67,Renewal!AF:AG,2,0)</f>
        <v>44123</v>
      </c>
      <c r="D67" s="40">
        <f t="shared" ref="D67:D130" si="5">ROUND(C67,0)</f>
        <v>44123</v>
      </c>
      <c r="E67" s="41" t="s">
        <v>2168</v>
      </c>
      <c r="F67" s="42" t="str">
        <f t="shared" si="4"/>
        <v>insert into ins_premium_det (premium_rcv_code,assorted_code, rec_amount,premium_rcv_detail_code,remaining_amt, payrec, mode_code,coinsurance_code,class_cd,it_remarks) values</v>
      </c>
      <c r="G67" s="43" t="str">
        <f t="shared" ref="G67:G130" si="6">"('"&amp;E67&amp;"','"&amp;B67&amp;"','"&amp;D67&amp;"',(select max(to_number(i.premium_rcv_detail_code))+1
from ins_premium_det i),'"&amp;D67&amp;"','"&amp;D67&amp;"','02', '11000003','00','Request by Mr. Raheel Malik Premium 02-Dec-2024');"</f>
        <v>('28Nov240018','070000169275','44123',(select max(to_number(i.premium_rcv_detail_code))+1
from ins_premium_det i),'44123','44123','02', '11000003','00','Request by Mr. Raheel Malik Premium 02-Dec-2024');</v>
      </c>
      <c r="H67" s="44" t="str">
        <f t="shared" ref="H67:H130" si="7">F67&amp;G67</f>
        <v>insert into ins_premium_det (premium_rcv_code,assorted_code, rec_amount,premium_rcv_detail_code,remaining_amt, payrec, mode_code,coinsurance_code,class_cd,it_remarks) values('28Nov240018','070000169275','44123',(select max(to_number(i.premium_rcv_detail_code))+1
from ins_premium_det i),'44123','44123','02', '11000003','00','Request by Mr. Raheel Malik Premium 02-Dec-2024');</v>
      </c>
    </row>
    <row r="68" spans="1:8" ht="105" x14ac:dyDescent="0.25">
      <c r="A68" s="16" t="s">
        <v>960</v>
      </c>
      <c r="B68" s="38" t="str">
        <f>VLOOKUP(A68,policy1!B:C,2,0)</f>
        <v>070000169203</v>
      </c>
      <c r="C68" s="39">
        <f>VLOOKUP(A68,Renewal!AF:AG,2,0)</f>
        <v>33150</v>
      </c>
      <c r="D68" s="40">
        <f t="shared" si="5"/>
        <v>33150</v>
      </c>
      <c r="E68" s="41" t="s">
        <v>2168</v>
      </c>
      <c r="F68" s="42" t="str">
        <f t="shared" si="4"/>
        <v>insert into ins_premium_det (premium_rcv_code,assorted_code, rec_amount,premium_rcv_detail_code,remaining_amt, payrec, mode_code,coinsurance_code,class_cd,it_remarks) values</v>
      </c>
      <c r="G68" s="43" t="str">
        <f t="shared" si="6"/>
        <v>('28Nov240018','070000169203','33150',(select max(to_number(i.premium_rcv_detail_code))+1
from ins_premium_det i),'33150','33150','02', '11000003','00','Request by Mr. Raheel Malik Premium 02-Dec-2024');</v>
      </c>
      <c r="H68" s="44" t="str">
        <f t="shared" si="7"/>
        <v>insert into ins_premium_det (premium_rcv_code,assorted_code, rec_amount,premium_rcv_detail_code,remaining_amt, payrec, mode_code,coinsurance_code,class_cd,it_remarks) values('28Nov240018','070000169203','33150',(select max(to_number(i.premium_rcv_detail_code))+1
from ins_premium_det i),'33150','33150','02', '11000003','00','Request by Mr. Raheel Malik Premium 02-Dec-2024');</v>
      </c>
    </row>
    <row r="69" spans="1:8" ht="105" x14ac:dyDescent="0.25">
      <c r="A69" s="16" t="s">
        <v>967</v>
      </c>
      <c r="B69" s="38" t="str">
        <f>VLOOKUP(A69,policy1!B:C,2,0)</f>
        <v>070000169171</v>
      </c>
      <c r="C69" s="39">
        <f>VLOOKUP(A69,Renewal!AF:AG,2,0)</f>
        <v>47016</v>
      </c>
      <c r="D69" s="40">
        <f t="shared" si="5"/>
        <v>47016</v>
      </c>
      <c r="E69" s="41" t="s">
        <v>2168</v>
      </c>
      <c r="F69" s="42" t="str">
        <f t="shared" si="4"/>
        <v>insert into ins_premium_det (premium_rcv_code,assorted_code, rec_amount,premium_rcv_detail_code,remaining_amt, payrec, mode_code,coinsurance_code,class_cd,it_remarks) values</v>
      </c>
      <c r="G69" s="43" t="str">
        <f t="shared" si="6"/>
        <v>('28Nov240018','070000169171','47016',(select max(to_number(i.premium_rcv_detail_code))+1
from ins_premium_det i),'47016','47016','02', '11000003','00','Request by Mr. Raheel Malik Premium 02-Dec-2024');</v>
      </c>
      <c r="H69" s="44" t="str">
        <f t="shared" si="7"/>
        <v>insert into ins_premium_det (premium_rcv_code,assorted_code, rec_amount,premium_rcv_detail_code,remaining_amt, payrec, mode_code,coinsurance_code,class_cd,it_remarks) values('28Nov240018','070000169171','47016',(select max(to_number(i.premium_rcv_detail_code))+1
from ins_premium_det i),'47016','47016','02', '11000003','00','Request by Mr. Raheel Malik Premium 02-Dec-2024');</v>
      </c>
    </row>
    <row r="70" spans="1:8" ht="105" x14ac:dyDescent="0.25">
      <c r="A70" s="16" t="s">
        <v>974</v>
      </c>
      <c r="B70" s="38" t="str">
        <f>VLOOKUP(A70,policy1!B:C,2,0)</f>
        <v>070000169169</v>
      </c>
      <c r="C70" s="39">
        <f>VLOOKUP(A70,Renewal!AF:AG,2,0)</f>
        <v>36900</v>
      </c>
      <c r="D70" s="40">
        <f t="shared" si="5"/>
        <v>36900</v>
      </c>
      <c r="E70" s="41" t="s">
        <v>2168</v>
      </c>
      <c r="F70" s="42" t="str">
        <f t="shared" si="4"/>
        <v>insert into ins_premium_det (premium_rcv_code,assorted_code, rec_amount,premium_rcv_detail_code,remaining_amt, payrec, mode_code,coinsurance_code,class_cd,it_remarks) values</v>
      </c>
      <c r="G70" s="43" t="str">
        <f t="shared" si="6"/>
        <v>('28Nov240018','070000169169','36900',(select max(to_number(i.premium_rcv_detail_code))+1
from ins_premium_det i),'36900','36900','02', '11000003','00','Request by Mr. Raheel Malik Premium 02-Dec-2024');</v>
      </c>
      <c r="H70" s="44" t="str">
        <f t="shared" si="7"/>
        <v>insert into ins_premium_det (premium_rcv_code,assorted_code, rec_amount,premium_rcv_detail_code,remaining_amt, payrec, mode_code,coinsurance_code,class_cd,it_remarks) values('28Nov240018','070000169169','36900',(select max(to_number(i.premium_rcv_detail_code))+1
from ins_premium_det i),'36900','36900','02', '11000003','00','Request by Mr. Raheel Malik Premium 02-Dec-2024');</v>
      </c>
    </row>
    <row r="71" spans="1:8" ht="105" x14ac:dyDescent="0.25">
      <c r="A71" s="16" t="s">
        <v>981</v>
      </c>
      <c r="B71" s="38" t="str">
        <f>VLOOKUP(A71,policy1!B:C,2,0)</f>
        <v>070000168728</v>
      </c>
      <c r="C71" s="39">
        <f>VLOOKUP(A71,Renewal!AF:AG,2,0)</f>
        <v>33408</v>
      </c>
      <c r="D71" s="40">
        <f t="shared" si="5"/>
        <v>33408</v>
      </c>
      <c r="E71" s="41" t="s">
        <v>2168</v>
      </c>
      <c r="F71" s="42" t="str">
        <f t="shared" si="4"/>
        <v>insert into ins_premium_det (premium_rcv_code,assorted_code, rec_amount,premium_rcv_detail_code,remaining_amt, payrec, mode_code,coinsurance_code,class_cd,it_remarks) values</v>
      </c>
      <c r="G71" s="43" t="str">
        <f t="shared" si="6"/>
        <v>('28Nov240018','070000168728','33408',(select max(to_number(i.premium_rcv_detail_code))+1
from ins_premium_det i),'33408','33408','02', '11000003','00','Request by Mr. Raheel Malik Premium 02-Dec-2024');</v>
      </c>
      <c r="H71" s="44" t="str">
        <f t="shared" si="7"/>
        <v>insert into ins_premium_det (premium_rcv_code,assorted_code, rec_amount,premium_rcv_detail_code,remaining_amt, payrec, mode_code,coinsurance_code,class_cd,it_remarks) values('28Nov240018','070000168728','33408',(select max(to_number(i.premium_rcv_detail_code))+1
from ins_premium_det i),'33408','33408','02', '11000003','00','Request by Mr. Raheel Malik Premium 02-Dec-2024');</v>
      </c>
    </row>
    <row r="72" spans="1:8" ht="105" x14ac:dyDescent="0.25">
      <c r="A72" s="16" t="s">
        <v>988</v>
      </c>
      <c r="B72" s="38" t="str">
        <f>VLOOKUP(A72,policy1!B:C,2,0)</f>
        <v>070000169228</v>
      </c>
      <c r="C72" s="39">
        <f>VLOOKUP(A72,Renewal!AF:AG,2,0)</f>
        <v>22540</v>
      </c>
      <c r="D72" s="40">
        <f t="shared" si="5"/>
        <v>22540</v>
      </c>
      <c r="E72" s="41" t="s">
        <v>2168</v>
      </c>
      <c r="F72" s="42" t="str">
        <f t="shared" si="4"/>
        <v>insert into ins_premium_det (premium_rcv_code,assorted_code, rec_amount,premium_rcv_detail_code,remaining_amt, payrec, mode_code,coinsurance_code,class_cd,it_remarks) values</v>
      </c>
      <c r="G72" s="43" t="str">
        <f t="shared" si="6"/>
        <v>('28Nov240018','070000169228','22540',(select max(to_number(i.premium_rcv_detail_code))+1
from ins_premium_det i),'22540','22540','02', '11000003','00','Request by Mr. Raheel Malik Premium 02-Dec-2024');</v>
      </c>
      <c r="H72" s="44" t="str">
        <f t="shared" si="7"/>
        <v>insert into ins_premium_det (premium_rcv_code,assorted_code, rec_amount,premium_rcv_detail_code,remaining_amt, payrec, mode_code,coinsurance_code,class_cd,it_remarks) values('28Nov240018','070000169228','22540',(select max(to_number(i.premium_rcv_detail_code))+1
from ins_premium_det i),'22540','22540','02', '11000003','00','Request by Mr. Raheel Malik Premium 02-Dec-2024');</v>
      </c>
    </row>
    <row r="73" spans="1:8" ht="105" x14ac:dyDescent="0.25">
      <c r="A73" s="16" t="s">
        <v>996</v>
      </c>
      <c r="B73" s="38" t="str">
        <f>VLOOKUP(A73,policy1!B:C,2,0)</f>
        <v>070000169227</v>
      </c>
      <c r="C73" s="39">
        <f>VLOOKUP(A73,Renewal!AF:AG,2,0)</f>
        <v>18690</v>
      </c>
      <c r="D73" s="40">
        <f t="shared" si="5"/>
        <v>18690</v>
      </c>
      <c r="E73" s="41" t="s">
        <v>2168</v>
      </c>
      <c r="F73" s="42" t="str">
        <f t="shared" si="4"/>
        <v>insert into ins_premium_det (premium_rcv_code,assorted_code, rec_amount,premium_rcv_detail_code,remaining_amt, payrec, mode_code,coinsurance_code,class_cd,it_remarks) values</v>
      </c>
      <c r="G73" s="43" t="str">
        <f t="shared" si="6"/>
        <v>('28Nov240018','070000169227','18690',(select max(to_number(i.premium_rcv_detail_code))+1
from ins_premium_det i),'18690','18690','02', '11000003','00','Request by Mr. Raheel Malik Premium 02-Dec-2024');</v>
      </c>
      <c r="H73" s="44" t="str">
        <f t="shared" si="7"/>
        <v>insert into ins_premium_det (premium_rcv_code,assorted_code, rec_amount,premium_rcv_detail_code,remaining_amt, payrec, mode_code,coinsurance_code,class_cd,it_remarks) values('28Nov240018','070000169227','18690',(select max(to_number(i.premium_rcv_detail_code))+1
from ins_premium_det i),'18690','18690','02', '11000003','00','Request by Mr. Raheel Malik Premium 02-Dec-2024');</v>
      </c>
    </row>
    <row r="74" spans="1:8" ht="105" x14ac:dyDescent="0.25">
      <c r="A74" s="16" t="s">
        <v>1003</v>
      </c>
      <c r="B74" s="38" t="str">
        <f>VLOOKUP(A74,policy1!B:C,2,0)</f>
        <v>070000169205</v>
      </c>
      <c r="C74" s="39">
        <f>VLOOKUP(A74,Renewal!AF:AG,2,0)</f>
        <v>27200</v>
      </c>
      <c r="D74" s="40">
        <f t="shared" si="5"/>
        <v>27200</v>
      </c>
      <c r="E74" s="41" t="s">
        <v>2168</v>
      </c>
      <c r="F74" s="42" t="str">
        <f t="shared" si="4"/>
        <v>insert into ins_premium_det (premium_rcv_code,assorted_code, rec_amount,premium_rcv_detail_code,remaining_amt, payrec, mode_code,coinsurance_code,class_cd,it_remarks) values</v>
      </c>
      <c r="G74" s="43" t="str">
        <f t="shared" si="6"/>
        <v>('28Nov240018','070000169205','27200',(select max(to_number(i.premium_rcv_detail_code))+1
from ins_premium_det i),'27200','27200','02', '11000003','00','Request by Mr. Raheel Malik Premium 02-Dec-2024');</v>
      </c>
      <c r="H74" s="44" t="str">
        <f t="shared" si="7"/>
        <v>insert into ins_premium_det (premium_rcv_code,assorted_code, rec_amount,premium_rcv_detail_code,remaining_amt, payrec, mode_code,coinsurance_code,class_cd,it_remarks) values('28Nov240018','070000169205','27200',(select max(to_number(i.premium_rcv_detail_code))+1
from ins_premium_det i),'27200','27200','02', '11000003','00','Request by Mr. Raheel Malik Premium 02-Dec-2024');</v>
      </c>
    </row>
    <row r="75" spans="1:8" ht="105" x14ac:dyDescent="0.25">
      <c r="A75" s="16" t="s">
        <v>1011</v>
      </c>
      <c r="B75" s="38" t="str">
        <f>VLOOKUP(A75,policy1!B:C,2,0)</f>
        <v>070000169204</v>
      </c>
      <c r="C75" s="39">
        <f>VLOOKUP(A75,Renewal!AF:AG,2,0)</f>
        <v>34510</v>
      </c>
      <c r="D75" s="40">
        <f t="shared" si="5"/>
        <v>34510</v>
      </c>
      <c r="E75" s="41" t="s">
        <v>2168</v>
      </c>
      <c r="F75" s="42" t="str">
        <f t="shared" si="4"/>
        <v>insert into ins_premium_det (premium_rcv_code,assorted_code, rec_amount,premium_rcv_detail_code,remaining_amt, payrec, mode_code,coinsurance_code,class_cd,it_remarks) values</v>
      </c>
      <c r="G75" s="43" t="str">
        <f t="shared" si="6"/>
        <v>('28Nov240018','070000169204','34510',(select max(to_number(i.premium_rcv_detail_code))+1
from ins_premium_det i),'34510','34510','02', '11000003','00','Request by Mr. Raheel Malik Premium 02-Dec-2024');</v>
      </c>
      <c r="H75" s="44" t="str">
        <f t="shared" si="7"/>
        <v>insert into ins_premium_det (premium_rcv_code,assorted_code, rec_amount,premium_rcv_detail_code,remaining_amt, payrec, mode_code,coinsurance_code,class_cd,it_remarks) values('28Nov240018','070000169204','34510',(select max(to_number(i.premium_rcv_detail_code))+1
from ins_premium_det i),'34510','34510','02', '11000003','00','Request by Mr. Raheel Malik Premium 02-Dec-2024');</v>
      </c>
    </row>
    <row r="76" spans="1:8" ht="105" x14ac:dyDescent="0.25">
      <c r="A76" s="16" t="s">
        <v>1017</v>
      </c>
      <c r="B76" s="38" t="str">
        <f>VLOOKUP(A76,policy1!B:C,2,0)</f>
        <v>070000169174</v>
      </c>
      <c r="C76" s="39">
        <f>VLOOKUP(A76,Renewal!AF:AG,2,0)</f>
        <v>47016</v>
      </c>
      <c r="D76" s="40">
        <f t="shared" si="5"/>
        <v>47016</v>
      </c>
      <c r="E76" s="41" t="s">
        <v>2168</v>
      </c>
      <c r="F76" s="42" t="str">
        <f t="shared" si="4"/>
        <v>insert into ins_premium_det (premium_rcv_code,assorted_code, rec_amount,premium_rcv_detail_code,remaining_amt, payrec, mode_code,coinsurance_code,class_cd,it_remarks) values</v>
      </c>
      <c r="G76" s="43" t="str">
        <f t="shared" si="6"/>
        <v>('28Nov240018','070000169174','47016',(select max(to_number(i.premium_rcv_detail_code))+1
from ins_premium_det i),'47016','47016','02', '11000003','00','Request by Mr. Raheel Malik Premium 02-Dec-2024');</v>
      </c>
      <c r="H76" s="44" t="str">
        <f t="shared" si="7"/>
        <v>insert into ins_premium_det (premium_rcv_code,assorted_code, rec_amount,premium_rcv_detail_code,remaining_amt, payrec, mode_code,coinsurance_code,class_cd,it_remarks) values('28Nov240018','070000169174','47016',(select max(to_number(i.premium_rcv_detail_code))+1
from ins_premium_det i),'47016','47016','02', '11000003','00','Request by Mr. Raheel Malik Premium 02-Dec-2024');</v>
      </c>
    </row>
    <row r="77" spans="1:8" ht="105" x14ac:dyDescent="0.25">
      <c r="A77" s="16" t="s">
        <v>1024</v>
      </c>
      <c r="B77" s="38" t="str">
        <f>VLOOKUP(A77,policy1!B:C,2,0)</f>
        <v>070000169173</v>
      </c>
      <c r="C77" s="39">
        <f>VLOOKUP(A77,Renewal!AF:AG,2,0)</f>
        <v>45000</v>
      </c>
      <c r="D77" s="40">
        <f t="shared" si="5"/>
        <v>45000</v>
      </c>
      <c r="E77" s="41" t="s">
        <v>2168</v>
      </c>
      <c r="F77" s="42" t="str">
        <f t="shared" si="4"/>
        <v>insert into ins_premium_det (premium_rcv_code,assorted_code, rec_amount,premium_rcv_detail_code,remaining_amt, payrec, mode_code,coinsurance_code,class_cd,it_remarks) values</v>
      </c>
      <c r="G77" s="43" t="str">
        <f t="shared" si="6"/>
        <v>('28Nov240018','070000169173','45000',(select max(to_number(i.premium_rcv_detail_code))+1
from ins_premium_det i),'45000','45000','02', '11000003','00','Request by Mr. Raheel Malik Premium 02-Dec-2024');</v>
      </c>
      <c r="H77" s="44" t="str">
        <f t="shared" si="7"/>
        <v>insert into ins_premium_det (premium_rcv_code,assorted_code, rec_amount,premium_rcv_detail_code,remaining_amt, payrec, mode_code,coinsurance_code,class_cd,it_remarks) values('28Nov240018','070000169173','45000',(select max(to_number(i.premium_rcv_detail_code))+1
from ins_premium_det i),'45000','45000','02', '11000003','00','Request by Mr. Raheel Malik Premium 02-Dec-2024');</v>
      </c>
    </row>
    <row r="78" spans="1:8" ht="105" x14ac:dyDescent="0.25">
      <c r="A78" s="16" t="s">
        <v>1031</v>
      </c>
      <c r="B78" s="38" t="str">
        <f>VLOOKUP(A78,policy1!B:C,2,0)</f>
        <v>070000169096</v>
      </c>
      <c r="C78" s="39">
        <f>VLOOKUP(A78,Renewal!AF:AG,2,0)</f>
        <v>58790</v>
      </c>
      <c r="D78" s="40">
        <f t="shared" si="5"/>
        <v>58790</v>
      </c>
      <c r="E78" s="41" t="s">
        <v>2168</v>
      </c>
      <c r="F78" s="42" t="str">
        <f t="shared" si="4"/>
        <v>insert into ins_premium_det (premium_rcv_code,assorted_code, rec_amount,premium_rcv_detail_code,remaining_amt, payrec, mode_code,coinsurance_code,class_cd,it_remarks) values</v>
      </c>
      <c r="G78" s="43" t="str">
        <f t="shared" si="6"/>
        <v>('28Nov240018','070000169096','58790',(select max(to_number(i.premium_rcv_detail_code))+1
from ins_premium_det i),'58790','58790','02', '11000003','00','Request by Mr. Raheel Malik Premium 02-Dec-2024');</v>
      </c>
      <c r="H78" s="44" t="str">
        <f t="shared" si="7"/>
        <v>insert into ins_premium_det (premium_rcv_code,assorted_code, rec_amount,premium_rcv_detail_code,remaining_amt, payrec, mode_code,coinsurance_code,class_cd,it_remarks) values('28Nov240018','070000169096','58790',(select max(to_number(i.premium_rcv_detail_code))+1
from ins_premium_det i),'58790','58790','02', '11000003','00','Request by Mr. Raheel Malik Premium 02-Dec-2024');</v>
      </c>
    </row>
    <row r="79" spans="1:8" ht="105" x14ac:dyDescent="0.25">
      <c r="A79" s="16" t="s">
        <v>1039</v>
      </c>
      <c r="B79" s="38" t="str">
        <f>VLOOKUP(A79,policy1!B:C,2,0)</f>
        <v>070000168722</v>
      </c>
      <c r="C79" s="39">
        <f>VLOOKUP(A79,Renewal!AF:AG,2,0)</f>
        <v>33408</v>
      </c>
      <c r="D79" s="40">
        <f t="shared" si="5"/>
        <v>33408</v>
      </c>
      <c r="E79" s="41" t="s">
        <v>2168</v>
      </c>
      <c r="F79" s="42" t="str">
        <f t="shared" si="4"/>
        <v>insert into ins_premium_det (premium_rcv_code,assorted_code, rec_amount,premium_rcv_detail_code,remaining_amt, payrec, mode_code,coinsurance_code,class_cd,it_remarks) values</v>
      </c>
      <c r="G79" s="43" t="str">
        <f t="shared" si="6"/>
        <v>('28Nov240018','070000168722','33408',(select max(to_number(i.premium_rcv_detail_code))+1
from ins_premium_det i),'33408','33408','02', '11000003','00','Request by Mr. Raheel Malik Premium 02-Dec-2024');</v>
      </c>
      <c r="H79" s="44" t="str">
        <f t="shared" si="7"/>
        <v>insert into ins_premium_det (premium_rcv_code,assorted_code, rec_amount,premium_rcv_detail_code,remaining_amt, payrec, mode_code,coinsurance_code,class_cd,it_remarks) values('28Nov240018','070000168722','33408',(select max(to_number(i.premium_rcv_detail_code))+1
from ins_premium_det i),'33408','33408','02', '11000003','00','Request by Mr. Raheel Malik Premium 02-Dec-2024');</v>
      </c>
    </row>
    <row r="80" spans="1:8" ht="105" x14ac:dyDescent="0.25">
      <c r="A80" s="16" t="s">
        <v>1046</v>
      </c>
      <c r="B80" s="38" t="str">
        <f>VLOOKUP(A80,policy1!B:C,2,0)</f>
        <v>070000169266</v>
      </c>
      <c r="C80" s="39">
        <f>VLOOKUP(A80,Renewal!AF:AG,2,0)</f>
        <v>47876</v>
      </c>
      <c r="D80" s="40">
        <f t="shared" si="5"/>
        <v>47876</v>
      </c>
      <c r="E80" s="41" t="s">
        <v>2168</v>
      </c>
      <c r="F80" s="42" t="str">
        <f t="shared" si="4"/>
        <v>insert into ins_premium_det (premium_rcv_code,assorted_code, rec_amount,premium_rcv_detail_code,remaining_amt, payrec, mode_code,coinsurance_code,class_cd,it_remarks) values</v>
      </c>
      <c r="G80" s="43" t="str">
        <f t="shared" si="6"/>
        <v>('28Nov240018','070000169266','47876',(select max(to_number(i.premium_rcv_detail_code))+1
from ins_premium_det i),'47876','47876','02', '11000003','00','Request by Mr. Raheel Malik Premium 02-Dec-2024');</v>
      </c>
      <c r="H80" s="44" t="str">
        <f t="shared" si="7"/>
        <v>insert into ins_premium_det (premium_rcv_code,assorted_code, rec_amount,premium_rcv_detail_code,remaining_amt, payrec, mode_code,coinsurance_code,class_cd,it_remarks) values('28Nov240018','070000169266','47876',(select max(to_number(i.premium_rcv_detail_code))+1
from ins_premium_det i),'47876','47876','02', '11000003','00','Request by Mr. Raheel Malik Premium 02-Dec-2024');</v>
      </c>
    </row>
    <row r="81" spans="1:8" ht="105" x14ac:dyDescent="0.25">
      <c r="A81" s="16" t="s">
        <v>1054</v>
      </c>
      <c r="B81" s="38" t="str">
        <f>VLOOKUP(A81,policy1!B:C,2,0)</f>
        <v>070000169229</v>
      </c>
      <c r="C81" s="39">
        <f>VLOOKUP(A81,Renewal!AF:AG,2,0)</f>
        <v>18690</v>
      </c>
      <c r="D81" s="40">
        <f t="shared" si="5"/>
        <v>18690</v>
      </c>
      <c r="E81" s="41" t="s">
        <v>2168</v>
      </c>
      <c r="F81" s="42" t="str">
        <f t="shared" si="4"/>
        <v>insert into ins_premium_det (premium_rcv_code,assorted_code, rec_amount,premium_rcv_detail_code,remaining_amt, payrec, mode_code,coinsurance_code,class_cd,it_remarks) values</v>
      </c>
      <c r="G81" s="43" t="str">
        <f t="shared" si="6"/>
        <v>('28Nov240018','070000169229','18690',(select max(to_number(i.premium_rcv_detail_code))+1
from ins_premium_det i),'18690','18690','02', '11000003','00','Request by Mr. Raheel Malik Premium 02-Dec-2024');</v>
      </c>
      <c r="H81" s="44" t="str">
        <f t="shared" si="7"/>
        <v>insert into ins_premium_det (premium_rcv_code,assorted_code, rec_amount,premium_rcv_detail_code,remaining_amt, payrec, mode_code,coinsurance_code,class_cd,it_remarks) values('28Nov240018','070000169229','18690',(select max(to_number(i.premium_rcv_detail_code))+1
from ins_premium_det i),'18690','18690','02', '11000003','00','Request by Mr. Raheel Malik Premium 02-Dec-2024');</v>
      </c>
    </row>
    <row r="82" spans="1:8" ht="105" x14ac:dyDescent="0.25">
      <c r="A82" s="16" t="s">
        <v>1061</v>
      </c>
      <c r="B82" s="38" t="str">
        <f>VLOOKUP(A82,policy1!B:C,2,0)</f>
        <v>070000169175</v>
      </c>
      <c r="C82" s="39">
        <f>VLOOKUP(A82,Renewal!AF:AG,2,0)</f>
        <v>41400</v>
      </c>
      <c r="D82" s="40">
        <f t="shared" si="5"/>
        <v>41400</v>
      </c>
      <c r="E82" s="41" t="s">
        <v>2168</v>
      </c>
      <c r="F82" s="42" t="str">
        <f t="shared" si="4"/>
        <v>insert into ins_premium_det (premium_rcv_code,assorted_code, rec_amount,premium_rcv_detail_code,remaining_amt, payrec, mode_code,coinsurance_code,class_cd,it_remarks) values</v>
      </c>
      <c r="G82" s="43" t="str">
        <f t="shared" si="6"/>
        <v>('28Nov240018','070000169175','41400',(select max(to_number(i.premium_rcv_detail_code))+1
from ins_premium_det i),'41400','41400','02', '11000003','00','Request by Mr. Raheel Malik Premium 02-Dec-2024');</v>
      </c>
      <c r="H82" s="44" t="str">
        <f t="shared" si="7"/>
        <v>insert into ins_premium_det (premium_rcv_code,assorted_code, rec_amount,premium_rcv_detail_code,remaining_amt, payrec, mode_code,coinsurance_code,class_cd,it_remarks) values('28Nov240018','070000169175','41400',(select max(to_number(i.premium_rcv_detail_code))+1
from ins_premium_det i),'41400','41400','02', '11000003','00','Request by Mr. Raheel Malik Premium 02-Dec-2024');</v>
      </c>
    </row>
    <row r="83" spans="1:8" ht="105" x14ac:dyDescent="0.25">
      <c r="A83" s="16" t="s">
        <v>1069</v>
      </c>
      <c r="B83" s="38" t="str">
        <f>VLOOKUP(A83,policy1!B:C,2,0)</f>
        <v>070000169120</v>
      </c>
      <c r="C83" s="39">
        <f>VLOOKUP(A83,Renewal!AF:AG,2,0)</f>
        <v>35594</v>
      </c>
      <c r="D83" s="40">
        <f t="shared" si="5"/>
        <v>35594</v>
      </c>
      <c r="E83" s="41" t="s">
        <v>2168</v>
      </c>
      <c r="F83" s="42" t="str">
        <f t="shared" si="4"/>
        <v>insert into ins_premium_det (premium_rcv_code,assorted_code, rec_amount,premium_rcv_detail_code,remaining_amt, payrec, mode_code,coinsurance_code,class_cd,it_remarks) values</v>
      </c>
      <c r="G83" s="43" t="str">
        <f t="shared" si="6"/>
        <v>('28Nov240018','070000169120','35594',(select max(to_number(i.premium_rcv_detail_code))+1
from ins_premium_det i),'35594','35594','02', '11000003','00','Request by Mr. Raheel Malik Premium 02-Dec-2024');</v>
      </c>
      <c r="H83" s="44" t="str">
        <f t="shared" si="7"/>
        <v>insert into ins_premium_det (premium_rcv_code,assorted_code, rec_amount,premium_rcv_detail_code,remaining_amt, payrec, mode_code,coinsurance_code,class_cd,it_remarks) values('28Nov240018','070000169120','35594',(select max(to_number(i.premium_rcv_detail_code))+1
from ins_premium_det i),'35594','35594','02', '11000003','00','Request by Mr. Raheel Malik Premium 02-Dec-2024');</v>
      </c>
    </row>
    <row r="84" spans="1:8" ht="105" x14ac:dyDescent="0.25">
      <c r="A84" s="16" t="s">
        <v>1078</v>
      </c>
      <c r="B84" s="38" t="str">
        <f>VLOOKUP(A84,policy1!B:C,2,0)</f>
        <v>070000169278</v>
      </c>
      <c r="C84" s="39">
        <f>VLOOKUP(A84,Renewal!AF:AG,2,0)</f>
        <v>61088</v>
      </c>
      <c r="D84" s="40">
        <f t="shared" si="5"/>
        <v>61088</v>
      </c>
      <c r="E84" s="41" t="s">
        <v>2168</v>
      </c>
      <c r="F84" s="42" t="str">
        <f t="shared" si="4"/>
        <v>insert into ins_premium_det (premium_rcv_code,assorted_code, rec_amount,premium_rcv_detail_code,remaining_amt, payrec, mode_code,coinsurance_code,class_cd,it_remarks) values</v>
      </c>
      <c r="G84" s="43" t="str">
        <f t="shared" si="6"/>
        <v>('28Nov240018','070000169278','61088',(select max(to_number(i.premium_rcv_detail_code))+1
from ins_premium_det i),'61088','61088','02', '11000003','00','Request by Mr. Raheel Malik Premium 02-Dec-2024');</v>
      </c>
      <c r="H84" s="44" t="str">
        <f t="shared" si="7"/>
        <v>insert into ins_premium_det (premium_rcv_code,assorted_code, rec_amount,premium_rcv_detail_code,remaining_amt, payrec, mode_code,coinsurance_code,class_cd,it_remarks) values('28Nov240018','070000169278','61088',(select max(to_number(i.premium_rcv_detail_code))+1
from ins_premium_det i),'61088','61088','02', '11000003','00','Request by Mr. Raheel Malik Premium 02-Dec-2024');</v>
      </c>
    </row>
    <row r="85" spans="1:8" ht="105" x14ac:dyDescent="0.25">
      <c r="A85" s="16" t="s">
        <v>1086</v>
      </c>
      <c r="B85" s="38" t="str">
        <f>VLOOKUP(A85,policy1!B:C,2,0)</f>
        <v>070000169277</v>
      </c>
      <c r="C85" s="39">
        <f>VLOOKUP(A85,Renewal!AF:AG,2,0)</f>
        <v>39341</v>
      </c>
      <c r="D85" s="40">
        <f t="shared" si="5"/>
        <v>39341</v>
      </c>
      <c r="E85" s="41" t="s">
        <v>2168</v>
      </c>
      <c r="F85" s="42" t="str">
        <f t="shared" si="4"/>
        <v>insert into ins_premium_det (premium_rcv_code,assorted_code, rec_amount,premium_rcv_detail_code,remaining_amt, payrec, mode_code,coinsurance_code,class_cd,it_remarks) values</v>
      </c>
      <c r="G85" s="43" t="str">
        <f t="shared" si="6"/>
        <v>('28Nov240018','070000169277','39341',(select max(to_number(i.premium_rcv_detail_code))+1
from ins_premium_det i),'39341','39341','02', '11000003','00','Request by Mr. Raheel Malik Premium 02-Dec-2024');</v>
      </c>
      <c r="H85" s="44" t="str">
        <f t="shared" si="7"/>
        <v>insert into ins_premium_det (premium_rcv_code,assorted_code, rec_amount,premium_rcv_detail_code,remaining_amt, payrec, mode_code,coinsurance_code,class_cd,it_remarks) values('28Nov240018','070000169277','39341',(select max(to_number(i.premium_rcv_detail_code))+1
from ins_premium_det i),'39341','39341','02', '11000003','00','Request by Mr. Raheel Malik Premium 02-Dec-2024');</v>
      </c>
    </row>
    <row r="86" spans="1:8" ht="105" x14ac:dyDescent="0.25">
      <c r="A86" s="16" t="s">
        <v>1094</v>
      </c>
      <c r="B86" s="38" t="str">
        <f>VLOOKUP(A86,policy1!B:C,2,0)</f>
        <v>070000169276</v>
      </c>
      <c r="C86" s="39">
        <f>VLOOKUP(A86,Renewal!AF:AG,2,0)</f>
        <v>16121</v>
      </c>
      <c r="D86" s="40">
        <f t="shared" si="5"/>
        <v>16121</v>
      </c>
      <c r="E86" s="41" t="s">
        <v>2168</v>
      </c>
      <c r="F86" s="42" t="str">
        <f t="shared" si="4"/>
        <v>insert into ins_premium_det (premium_rcv_code,assorted_code, rec_amount,premium_rcv_detail_code,remaining_amt, payrec, mode_code,coinsurance_code,class_cd,it_remarks) values</v>
      </c>
      <c r="G86" s="43" t="str">
        <f t="shared" si="6"/>
        <v>('28Nov240018','070000169276','16121',(select max(to_number(i.premium_rcv_detail_code))+1
from ins_premium_det i),'16121','16121','02', '11000003','00','Request by Mr. Raheel Malik Premium 02-Dec-2024');</v>
      </c>
      <c r="H86" s="44" t="str">
        <f t="shared" si="7"/>
        <v>insert into ins_premium_det (premium_rcv_code,assorted_code, rec_amount,premium_rcv_detail_code,remaining_amt, payrec, mode_code,coinsurance_code,class_cd,it_remarks) values('28Nov240018','070000169276','16121',(select max(to_number(i.premium_rcv_detail_code))+1
from ins_premium_det i),'16121','16121','02', '11000003','00','Request by Mr. Raheel Malik Premium 02-Dec-2024');</v>
      </c>
    </row>
    <row r="87" spans="1:8" ht="105" x14ac:dyDescent="0.25">
      <c r="A87" s="16" t="s">
        <v>1101</v>
      </c>
      <c r="B87" s="38" t="str">
        <f>VLOOKUP(A87,policy1!B:C,2,0)</f>
        <v>070000169252</v>
      </c>
      <c r="C87" s="39">
        <f>VLOOKUP(A87,Renewal!AF:AG,2,0)</f>
        <v>56700</v>
      </c>
      <c r="D87" s="40">
        <f t="shared" si="5"/>
        <v>56700</v>
      </c>
      <c r="E87" s="41" t="s">
        <v>2168</v>
      </c>
      <c r="F87" s="42" t="str">
        <f t="shared" si="4"/>
        <v>insert into ins_premium_det (premium_rcv_code,assorted_code, rec_amount,premium_rcv_detail_code,remaining_amt, payrec, mode_code,coinsurance_code,class_cd,it_remarks) values</v>
      </c>
      <c r="G87" s="43" t="str">
        <f t="shared" si="6"/>
        <v>('28Nov240018','070000169252','56700',(select max(to_number(i.premium_rcv_detail_code))+1
from ins_premium_det i),'56700','56700','02', '11000003','00','Request by Mr. Raheel Malik Premium 02-Dec-2024');</v>
      </c>
      <c r="H87" s="44" t="str">
        <f t="shared" si="7"/>
        <v>insert into ins_premium_det (premium_rcv_code,assorted_code, rec_amount,premium_rcv_detail_code,remaining_amt, payrec, mode_code,coinsurance_code,class_cd,it_remarks) values('28Nov240018','070000169252','56700',(select max(to_number(i.premium_rcv_detail_code))+1
from ins_premium_det i),'56700','56700','02', '11000003','00','Request by Mr. Raheel Malik Premium 02-Dec-2024');</v>
      </c>
    </row>
    <row r="88" spans="1:8" ht="105" x14ac:dyDescent="0.25">
      <c r="A88" s="16" t="s">
        <v>1109</v>
      </c>
      <c r="B88" s="38" t="str">
        <f>VLOOKUP(A88,policy1!B:C,2,0)</f>
        <v>070000169251</v>
      </c>
      <c r="C88" s="39">
        <f>VLOOKUP(A88,Renewal!AF:AG,2,0)</f>
        <v>56700</v>
      </c>
      <c r="D88" s="40">
        <f t="shared" si="5"/>
        <v>56700</v>
      </c>
      <c r="E88" s="41" t="s">
        <v>2168</v>
      </c>
      <c r="F88" s="42" t="str">
        <f t="shared" si="4"/>
        <v>insert into ins_premium_det (premium_rcv_code,assorted_code, rec_amount,premium_rcv_detail_code,remaining_amt, payrec, mode_code,coinsurance_code,class_cd,it_remarks) values</v>
      </c>
      <c r="G88" s="43" t="str">
        <f t="shared" si="6"/>
        <v>('28Nov240018','070000169251','56700',(select max(to_number(i.premium_rcv_detail_code))+1
from ins_premium_det i),'56700','56700','02', '11000003','00','Request by Mr. Raheel Malik Premium 02-Dec-2024');</v>
      </c>
      <c r="H88" s="44" t="str">
        <f t="shared" si="7"/>
        <v>insert into ins_premium_det (premium_rcv_code,assorted_code, rec_amount,premium_rcv_detail_code,remaining_amt, payrec, mode_code,coinsurance_code,class_cd,it_remarks) values('28Nov240018','070000169251','56700',(select max(to_number(i.premium_rcv_detail_code))+1
from ins_premium_det i),'56700','56700','02', '11000003','00','Request by Mr. Raheel Malik Premium 02-Dec-2024');</v>
      </c>
    </row>
    <row r="89" spans="1:8" ht="105" x14ac:dyDescent="0.25">
      <c r="A89" s="16" t="s">
        <v>1118</v>
      </c>
      <c r="B89" s="38" t="str">
        <f>VLOOKUP(A89,policy1!B:C,2,0)</f>
        <v>070000169230</v>
      </c>
      <c r="C89" s="39">
        <f>VLOOKUP(A89,Renewal!AF:AG,2,0)</f>
        <v>22540</v>
      </c>
      <c r="D89" s="40">
        <f t="shared" si="5"/>
        <v>22540</v>
      </c>
      <c r="E89" s="41" t="s">
        <v>2168</v>
      </c>
      <c r="F89" s="42" t="str">
        <f t="shared" si="4"/>
        <v>insert into ins_premium_det (premium_rcv_code,assorted_code, rec_amount,premium_rcv_detail_code,remaining_amt, payrec, mode_code,coinsurance_code,class_cd,it_remarks) values</v>
      </c>
      <c r="G89" s="43" t="str">
        <f t="shared" si="6"/>
        <v>('28Nov240018','070000169230','22540',(select max(to_number(i.premium_rcv_detail_code))+1
from ins_premium_det i),'22540','22540','02', '11000003','00','Request by Mr. Raheel Malik Premium 02-Dec-2024');</v>
      </c>
      <c r="H89" s="44" t="str">
        <f t="shared" si="7"/>
        <v>insert into ins_premium_det (premium_rcv_code,assorted_code, rec_amount,premium_rcv_detail_code,remaining_amt, payrec, mode_code,coinsurance_code,class_cd,it_remarks) values('28Nov240018','070000169230','22540',(select max(to_number(i.premium_rcv_detail_code))+1
from ins_premium_det i),'22540','22540','02', '11000003','00','Request by Mr. Raheel Malik Premium 02-Dec-2024');</v>
      </c>
    </row>
    <row r="90" spans="1:8" ht="105" x14ac:dyDescent="0.25">
      <c r="A90" s="16" t="s">
        <v>1125</v>
      </c>
      <c r="B90" s="38" t="str">
        <f>VLOOKUP(A90,policy1!B:C,2,0)</f>
        <v>070000169207</v>
      </c>
      <c r="C90" s="39">
        <f>VLOOKUP(A90,Renewal!AF:AG,2,0)</f>
        <v>33575</v>
      </c>
      <c r="D90" s="40">
        <f t="shared" si="5"/>
        <v>33575</v>
      </c>
      <c r="E90" s="41" t="s">
        <v>2168</v>
      </c>
      <c r="F90" s="42" t="str">
        <f t="shared" si="4"/>
        <v>insert into ins_premium_det (premium_rcv_code,assorted_code, rec_amount,premium_rcv_detail_code,remaining_amt, payrec, mode_code,coinsurance_code,class_cd,it_remarks) values</v>
      </c>
      <c r="G90" s="43" t="str">
        <f t="shared" si="6"/>
        <v>('28Nov240018','070000169207','33575',(select max(to_number(i.premium_rcv_detail_code))+1
from ins_premium_det i),'33575','33575','02', '11000003','00','Request by Mr. Raheel Malik Premium 02-Dec-2024');</v>
      </c>
      <c r="H90" s="44" t="str">
        <f t="shared" si="7"/>
        <v>insert into ins_premium_det (premium_rcv_code,assorted_code, rec_amount,premium_rcv_detail_code,remaining_amt, payrec, mode_code,coinsurance_code,class_cd,it_remarks) values('28Nov240018','070000169207','33575',(select max(to_number(i.premium_rcv_detail_code))+1
from ins_premium_det i),'33575','33575','02', '11000003','00','Request by Mr. Raheel Malik Premium 02-Dec-2024');</v>
      </c>
    </row>
    <row r="91" spans="1:8" ht="105" x14ac:dyDescent="0.25">
      <c r="A91" s="16" t="s">
        <v>1132</v>
      </c>
      <c r="B91" s="38" t="str">
        <f>VLOOKUP(A91,policy1!B:C,2,0)</f>
        <v>070000169206</v>
      </c>
      <c r="C91" s="39">
        <f>VLOOKUP(A91,Renewal!AF:AG,2,0)</f>
        <v>30175</v>
      </c>
      <c r="D91" s="40">
        <f t="shared" si="5"/>
        <v>30175</v>
      </c>
      <c r="E91" s="41" t="s">
        <v>2168</v>
      </c>
      <c r="F91" s="42" t="str">
        <f t="shared" si="4"/>
        <v>insert into ins_premium_det (premium_rcv_code,assorted_code, rec_amount,premium_rcv_detail_code,remaining_amt, payrec, mode_code,coinsurance_code,class_cd,it_remarks) values</v>
      </c>
      <c r="G91" s="43" t="str">
        <f t="shared" si="6"/>
        <v>('28Nov240018','070000169206','30175',(select max(to_number(i.premium_rcv_detail_code))+1
from ins_premium_det i),'30175','30175','02', '11000003','00','Request by Mr. Raheel Malik Premium 02-Dec-2024');</v>
      </c>
      <c r="H91" s="44" t="str">
        <f t="shared" si="7"/>
        <v>insert into ins_premium_det (premium_rcv_code,assorted_code, rec_amount,premium_rcv_detail_code,remaining_amt, payrec, mode_code,coinsurance_code,class_cd,it_remarks) values('28Nov240018','070000169206','30175',(select max(to_number(i.premium_rcv_detail_code))+1
from ins_premium_det i),'30175','30175','02', '11000003','00','Request by Mr. Raheel Malik Premium 02-Dec-2024');</v>
      </c>
    </row>
    <row r="92" spans="1:8" ht="105" x14ac:dyDescent="0.25">
      <c r="A92" s="16" t="s">
        <v>1139</v>
      </c>
      <c r="B92" s="38" t="str">
        <f>VLOOKUP(A92,policy1!B:C,2,0)</f>
        <v>070000169178</v>
      </c>
      <c r="C92" s="39">
        <f>VLOOKUP(A92,Renewal!AF:AG,2,0)</f>
        <v>51300</v>
      </c>
      <c r="D92" s="40">
        <f t="shared" si="5"/>
        <v>51300</v>
      </c>
      <c r="E92" s="41" t="s">
        <v>2168</v>
      </c>
      <c r="F92" s="42" t="str">
        <f t="shared" si="4"/>
        <v>insert into ins_premium_det (premium_rcv_code,assorted_code, rec_amount,premium_rcv_detail_code,remaining_amt, payrec, mode_code,coinsurance_code,class_cd,it_remarks) values</v>
      </c>
      <c r="G92" s="43" t="str">
        <f t="shared" si="6"/>
        <v>('28Nov240018','070000169178','51300',(select max(to_number(i.premium_rcv_detail_code))+1
from ins_premium_det i),'51300','51300','02', '11000003','00','Request by Mr. Raheel Malik Premium 02-Dec-2024');</v>
      </c>
      <c r="H92" s="44" t="str">
        <f t="shared" si="7"/>
        <v>insert into ins_premium_det (premium_rcv_code,assorted_code, rec_amount,premium_rcv_detail_code,remaining_amt, payrec, mode_code,coinsurance_code,class_cd,it_remarks) values('28Nov240018','070000169178','51300',(select max(to_number(i.premium_rcv_detail_code))+1
from ins_premium_det i),'51300','51300','02', '11000003','00','Request by Mr. Raheel Malik Premium 02-Dec-2024');</v>
      </c>
    </row>
    <row r="93" spans="1:8" ht="105" x14ac:dyDescent="0.25">
      <c r="A93" s="16" t="s">
        <v>1147</v>
      </c>
      <c r="B93" s="38" t="str">
        <f>VLOOKUP(A93,policy1!B:C,2,0)</f>
        <v>070000169177</v>
      </c>
      <c r="C93" s="39">
        <f>VLOOKUP(A93,Renewal!AF:AG,2,0)</f>
        <v>36000</v>
      </c>
      <c r="D93" s="40">
        <f t="shared" si="5"/>
        <v>36000</v>
      </c>
      <c r="E93" s="41" t="s">
        <v>2168</v>
      </c>
      <c r="F93" s="42" t="str">
        <f t="shared" si="4"/>
        <v>insert into ins_premium_det (premium_rcv_code,assorted_code, rec_amount,premium_rcv_detail_code,remaining_amt, payrec, mode_code,coinsurance_code,class_cd,it_remarks) values</v>
      </c>
      <c r="G93" s="43" t="str">
        <f t="shared" si="6"/>
        <v>('28Nov240018','070000169177','36000',(select max(to_number(i.premium_rcv_detail_code))+1
from ins_premium_det i),'36000','36000','02', '11000003','00','Request by Mr. Raheel Malik Premium 02-Dec-2024');</v>
      </c>
      <c r="H93" s="44" t="str">
        <f t="shared" si="7"/>
        <v>insert into ins_premium_det (premium_rcv_code,assorted_code, rec_amount,premium_rcv_detail_code,remaining_amt, payrec, mode_code,coinsurance_code,class_cd,it_remarks) values('28Nov240018','070000169177','36000',(select max(to_number(i.premium_rcv_detail_code))+1
from ins_premium_det i),'36000','36000','02', '11000003','00','Request by Mr. Raheel Malik Premium 02-Dec-2024');</v>
      </c>
    </row>
    <row r="94" spans="1:8" ht="105" x14ac:dyDescent="0.25">
      <c r="A94" s="16" t="s">
        <v>1155</v>
      </c>
      <c r="B94" s="38" t="str">
        <f>VLOOKUP(A94,policy1!B:C,2,0)</f>
        <v>070000169176</v>
      </c>
      <c r="C94" s="39">
        <f>VLOOKUP(A94,Renewal!AF:AG,2,0)</f>
        <v>15300</v>
      </c>
      <c r="D94" s="40">
        <f t="shared" si="5"/>
        <v>15300</v>
      </c>
      <c r="E94" s="41" t="s">
        <v>2168</v>
      </c>
      <c r="F94" s="42" t="str">
        <f t="shared" si="4"/>
        <v>insert into ins_premium_det (premium_rcv_code,assorted_code, rec_amount,premium_rcv_detail_code,remaining_amt, payrec, mode_code,coinsurance_code,class_cd,it_remarks) values</v>
      </c>
      <c r="G94" s="43" t="str">
        <f t="shared" si="6"/>
        <v>('28Nov240018','070000169176','15300',(select max(to_number(i.premium_rcv_detail_code))+1
from ins_premium_det i),'15300','15300','02', '11000003','00','Request by Mr. Raheel Malik Premium 02-Dec-2024');</v>
      </c>
      <c r="H94" s="44" t="str">
        <f t="shared" si="7"/>
        <v>insert into ins_premium_det (premium_rcv_code,assorted_code, rec_amount,premium_rcv_detail_code,remaining_amt, payrec, mode_code,coinsurance_code,class_cd,it_remarks) values('28Nov240018','070000169176','15300',(select max(to_number(i.premium_rcv_detail_code))+1
from ins_premium_det i),'15300','15300','02', '11000003','00','Request by Mr. Raheel Malik Premium 02-Dec-2024');</v>
      </c>
    </row>
    <row r="95" spans="1:8" ht="105" x14ac:dyDescent="0.25">
      <c r="A95" s="16" t="s">
        <v>1162</v>
      </c>
      <c r="B95" s="38" t="str">
        <f>VLOOKUP(A95,policy1!B:C,2,0)</f>
        <v>070000169172</v>
      </c>
      <c r="C95" s="39">
        <f>VLOOKUP(A95,Renewal!AF:AG,2,0)</f>
        <v>50400</v>
      </c>
      <c r="D95" s="40">
        <f t="shared" si="5"/>
        <v>50400</v>
      </c>
      <c r="E95" s="41" t="s">
        <v>2168</v>
      </c>
      <c r="F95" s="42" t="str">
        <f t="shared" si="4"/>
        <v>insert into ins_premium_det (premium_rcv_code,assorted_code, rec_amount,premium_rcv_detail_code,remaining_amt, payrec, mode_code,coinsurance_code,class_cd,it_remarks) values</v>
      </c>
      <c r="G95" s="43" t="str">
        <f t="shared" si="6"/>
        <v>('28Nov240018','070000169172','50400',(select max(to_number(i.premium_rcv_detail_code))+1
from ins_premium_det i),'50400','50400','02', '11000003','00','Request by Mr. Raheel Malik Premium 02-Dec-2024');</v>
      </c>
      <c r="H95" s="44" t="str">
        <f t="shared" si="7"/>
        <v>insert into ins_premium_det (premium_rcv_code,assorted_code, rec_amount,premium_rcv_detail_code,remaining_amt, payrec, mode_code,coinsurance_code,class_cd,it_remarks) values('28Nov240018','070000169172','50400',(select max(to_number(i.premium_rcv_detail_code))+1
from ins_premium_det i),'50400','50400','02', '11000003','00','Request by Mr. Raheel Malik Premium 02-Dec-2024');</v>
      </c>
    </row>
    <row r="96" spans="1:8" ht="105" x14ac:dyDescent="0.25">
      <c r="A96" s="16" t="s">
        <v>1170</v>
      </c>
      <c r="B96" s="38" t="str">
        <f>VLOOKUP(A96,policy1!B:C,2,0)</f>
        <v>070000169140</v>
      </c>
      <c r="C96" s="39">
        <f>VLOOKUP(A96,Renewal!AF:AG,2,0)</f>
        <v>26719</v>
      </c>
      <c r="D96" s="40">
        <f t="shared" si="5"/>
        <v>26719</v>
      </c>
      <c r="E96" s="41" t="s">
        <v>2168</v>
      </c>
      <c r="F96" s="42" t="str">
        <f t="shared" si="4"/>
        <v>insert into ins_premium_det (premium_rcv_code,assorted_code, rec_amount,premium_rcv_detail_code,remaining_amt, payrec, mode_code,coinsurance_code,class_cd,it_remarks) values</v>
      </c>
      <c r="G96" s="43" t="str">
        <f t="shared" si="6"/>
        <v>('28Nov240018','070000169140','26719',(select max(to_number(i.premium_rcv_detail_code))+1
from ins_premium_det i),'26719','26719','02', '11000003','00','Request by Mr. Raheel Malik Premium 02-Dec-2024');</v>
      </c>
      <c r="H96" s="44" t="str">
        <f t="shared" si="7"/>
        <v>insert into ins_premium_det (premium_rcv_code,assorted_code, rec_amount,premium_rcv_detail_code,remaining_amt, payrec, mode_code,coinsurance_code,class_cd,it_remarks) values('28Nov240018','070000169140','26719',(select max(to_number(i.premium_rcv_detail_code))+1
from ins_premium_det i),'26719','26719','02', '11000003','00','Request by Mr. Raheel Malik Premium 02-Dec-2024');</v>
      </c>
    </row>
    <row r="97" spans="1:8" ht="105" x14ac:dyDescent="0.25">
      <c r="A97" s="16" t="s">
        <v>1180</v>
      </c>
      <c r="B97" s="38" t="str">
        <f>VLOOKUP(A97,policy1!B:C,2,0)</f>
        <v>070000169121</v>
      </c>
      <c r="C97" s="39">
        <f>VLOOKUP(A97,Renewal!AF:AG,2,0)</f>
        <v>36826</v>
      </c>
      <c r="D97" s="40">
        <f t="shared" si="5"/>
        <v>36826</v>
      </c>
      <c r="E97" s="41" t="s">
        <v>2168</v>
      </c>
      <c r="F97" s="42" t="str">
        <f t="shared" si="4"/>
        <v>insert into ins_premium_det (premium_rcv_code,assorted_code, rec_amount,premium_rcv_detail_code,remaining_amt, payrec, mode_code,coinsurance_code,class_cd,it_remarks) values</v>
      </c>
      <c r="G97" s="43" t="str">
        <f t="shared" si="6"/>
        <v>('28Nov240018','070000169121','36826',(select max(to_number(i.premium_rcv_detail_code))+1
from ins_premium_det i),'36826','36826','02', '11000003','00','Request by Mr. Raheel Malik Premium 02-Dec-2024');</v>
      </c>
      <c r="H97" s="44" t="str">
        <f t="shared" si="7"/>
        <v>insert into ins_premium_det (premium_rcv_code,assorted_code, rec_amount,premium_rcv_detail_code,remaining_amt, payrec, mode_code,coinsurance_code,class_cd,it_remarks) values('28Nov240018','070000169121','36826',(select max(to_number(i.premium_rcv_detail_code))+1
from ins_premium_det i),'36826','36826','02', '11000003','00','Request by Mr. Raheel Malik Premium 02-Dec-2024');</v>
      </c>
    </row>
    <row r="98" spans="1:8" ht="105" x14ac:dyDescent="0.25">
      <c r="A98" s="16" t="s">
        <v>1187</v>
      </c>
      <c r="B98" s="38" t="str">
        <f>VLOOKUP(A98,policy1!B:C,2,0)</f>
        <v>070000169089</v>
      </c>
      <c r="C98" s="39">
        <f>VLOOKUP(A98,Renewal!AF:AG,2,0)</f>
        <v>73238</v>
      </c>
      <c r="D98" s="40">
        <f t="shared" si="5"/>
        <v>73238</v>
      </c>
      <c r="E98" s="41" t="s">
        <v>2168</v>
      </c>
      <c r="F98" s="42" t="str">
        <f t="shared" si="4"/>
        <v>insert into ins_premium_det (premium_rcv_code,assorted_code, rec_amount,premium_rcv_detail_code,remaining_amt, payrec, mode_code,coinsurance_code,class_cd,it_remarks) values</v>
      </c>
      <c r="G98" s="43" t="str">
        <f t="shared" si="6"/>
        <v>('28Nov240018','070000169089','73238',(select max(to_number(i.premium_rcv_detail_code))+1
from ins_premium_det i),'73238','73238','02', '11000003','00','Request by Mr. Raheel Malik Premium 02-Dec-2024');</v>
      </c>
      <c r="H98" s="44" t="str">
        <f t="shared" si="7"/>
        <v>insert into ins_premium_det (premium_rcv_code,assorted_code, rec_amount,premium_rcv_detail_code,remaining_amt, payrec, mode_code,coinsurance_code,class_cd,it_remarks) values('28Nov240018','070000169089','73238',(select max(to_number(i.premium_rcv_detail_code))+1
from ins_premium_det i),'73238','73238','02', '11000003','00','Request by Mr. Raheel Malik Premium 02-Dec-2024');</v>
      </c>
    </row>
    <row r="99" spans="1:8" ht="105" x14ac:dyDescent="0.25">
      <c r="A99" s="16" t="s">
        <v>1195</v>
      </c>
      <c r="B99" s="38" t="str">
        <f>VLOOKUP(A99,policy1!B:C,2,0)</f>
        <v>070000169272</v>
      </c>
      <c r="C99" s="39">
        <f>VLOOKUP(A99,Renewal!AF:AG,2,0)</f>
        <v>54000</v>
      </c>
      <c r="D99" s="40">
        <f t="shared" si="5"/>
        <v>54000</v>
      </c>
      <c r="E99" s="41" t="s">
        <v>2168</v>
      </c>
      <c r="F99" s="42" t="str">
        <f t="shared" si="4"/>
        <v>insert into ins_premium_det (premium_rcv_code,assorted_code, rec_amount,premium_rcv_detail_code,remaining_amt, payrec, mode_code,coinsurance_code,class_cd,it_remarks) values</v>
      </c>
      <c r="G99" s="43" t="str">
        <f t="shared" si="6"/>
        <v>('28Nov240018','070000169272','54000',(select max(to_number(i.premium_rcv_detail_code))+1
from ins_premium_det i),'54000','54000','02', '11000003','00','Request by Mr. Raheel Malik Premium 02-Dec-2024');</v>
      </c>
      <c r="H99" s="44" t="str">
        <f t="shared" si="7"/>
        <v>insert into ins_premium_det (premium_rcv_code,assorted_code, rec_amount,premium_rcv_detail_code,remaining_amt, payrec, mode_code,coinsurance_code,class_cd,it_remarks) values('28Nov240018','070000169272','54000',(select max(to_number(i.premium_rcv_detail_code))+1
from ins_premium_det i),'54000','54000','02', '11000003','00','Request by Mr. Raheel Malik Premium 02-Dec-2024');</v>
      </c>
    </row>
    <row r="100" spans="1:8" ht="105" x14ac:dyDescent="0.25">
      <c r="A100" s="16" t="s">
        <v>1203</v>
      </c>
      <c r="B100" s="38" t="str">
        <f>VLOOKUP(A100,policy1!B:C,2,0)</f>
        <v>070000169267</v>
      </c>
      <c r="C100" s="39">
        <f>VLOOKUP(A100,Renewal!AF:AG,2,0)</f>
        <v>54506</v>
      </c>
      <c r="D100" s="40">
        <f t="shared" si="5"/>
        <v>54506</v>
      </c>
      <c r="E100" s="41" t="s">
        <v>2168</v>
      </c>
      <c r="F100" s="42" t="str">
        <f t="shared" si="4"/>
        <v>insert into ins_premium_det (premium_rcv_code,assorted_code, rec_amount,premium_rcv_detail_code,remaining_amt, payrec, mode_code,coinsurance_code,class_cd,it_remarks) values</v>
      </c>
      <c r="G100" s="43" t="str">
        <f t="shared" si="6"/>
        <v>('28Nov240018','070000169267','54506',(select max(to_number(i.premium_rcv_detail_code))+1
from ins_premium_det i),'54506','54506','02', '11000003','00','Request by Mr. Raheel Malik Premium 02-Dec-2024');</v>
      </c>
      <c r="H100" s="44" t="str">
        <f t="shared" si="7"/>
        <v>insert into ins_premium_det (premium_rcv_code,assorted_code, rec_amount,premium_rcv_detail_code,remaining_amt, payrec, mode_code,coinsurance_code,class_cd,it_remarks) values('28Nov240018','070000169267','54506',(select max(to_number(i.premium_rcv_detail_code))+1
from ins_premium_det i),'54506','54506','02', '11000003','00','Request by Mr. Raheel Malik Premium 02-Dec-2024');</v>
      </c>
    </row>
    <row r="101" spans="1:8" ht="105" x14ac:dyDescent="0.25">
      <c r="A101" s="16" t="s">
        <v>1212</v>
      </c>
      <c r="B101" s="38" t="str">
        <f>VLOOKUP(A101,policy1!B:C,2,0)</f>
        <v>070000169232</v>
      </c>
      <c r="C101" s="39">
        <f>VLOOKUP(A101,Renewal!AF:AG,2,0)</f>
        <v>26740</v>
      </c>
      <c r="D101" s="40">
        <f t="shared" si="5"/>
        <v>26740</v>
      </c>
      <c r="E101" s="41" t="s">
        <v>2168</v>
      </c>
      <c r="F101" s="42" t="str">
        <f t="shared" si="4"/>
        <v>insert into ins_premium_det (premium_rcv_code,assorted_code, rec_amount,premium_rcv_detail_code,remaining_amt, payrec, mode_code,coinsurance_code,class_cd,it_remarks) values</v>
      </c>
      <c r="G101" s="43" t="str">
        <f t="shared" si="6"/>
        <v>('28Nov240018','070000169232','26740',(select max(to_number(i.premium_rcv_detail_code))+1
from ins_premium_det i),'26740','26740','02', '11000003','00','Request by Mr. Raheel Malik Premium 02-Dec-2024');</v>
      </c>
      <c r="H101" s="44" t="str">
        <f t="shared" si="7"/>
        <v>insert into ins_premium_det (premium_rcv_code,assorted_code, rec_amount,premium_rcv_detail_code,remaining_amt, payrec, mode_code,coinsurance_code,class_cd,it_remarks) values('28Nov240018','070000169232','26740',(select max(to_number(i.premium_rcv_detail_code))+1
from ins_premium_det i),'26740','26740','02', '11000003','00','Request by Mr. Raheel Malik Premium 02-Dec-2024');</v>
      </c>
    </row>
    <row r="102" spans="1:8" ht="105" x14ac:dyDescent="0.25">
      <c r="A102" s="16" t="s">
        <v>1221</v>
      </c>
      <c r="B102" s="38" t="str">
        <f>VLOOKUP(A102,policy1!B:C,2,0)</f>
        <v>070000169231</v>
      </c>
      <c r="C102" s="39">
        <f>VLOOKUP(A102,Renewal!AF:AG,2,0)</f>
        <v>39270</v>
      </c>
      <c r="D102" s="40">
        <f t="shared" si="5"/>
        <v>39270</v>
      </c>
      <c r="E102" s="41" t="s">
        <v>2168</v>
      </c>
      <c r="F102" s="42" t="str">
        <f t="shared" si="4"/>
        <v>insert into ins_premium_det (premium_rcv_code,assorted_code, rec_amount,premium_rcv_detail_code,remaining_amt, payrec, mode_code,coinsurance_code,class_cd,it_remarks) values</v>
      </c>
      <c r="G102" s="43" t="str">
        <f t="shared" si="6"/>
        <v>('28Nov240018','070000169231','39270',(select max(to_number(i.premium_rcv_detail_code))+1
from ins_premium_det i),'39270','39270','02', '11000003','00','Request by Mr. Raheel Malik Premium 02-Dec-2024');</v>
      </c>
      <c r="H102" s="44" t="str">
        <f t="shared" si="7"/>
        <v>insert into ins_premium_det (premium_rcv_code,assorted_code, rec_amount,premium_rcv_detail_code,remaining_amt, payrec, mode_code,coinsurance_code,class_cd,it_remarks) values('28Nov240018','070000169231','39270',(select max(to_number(i.premium_rcv_detail_code))+1
from ins_premium_det i),'39270','39270','02', '11000003','00','Request by Mr. Raheel Malik Premium 02-Dec-2024');</v>
      </c>
    </row>
    <row r="103" spans="1:8" ht="105" x14ac:dyDescent="0.25">
      <c r="A103" s="16" t="s">
        <v>1229</v>
      </c>
      <c r="B103" s="38" t="str">
        <f>VLOOKUP(A103,policy1!B:C,2,0)</f>
        <v>070000169208</v>
      </c>
      <c r="C103" s="39">
        <f>VLOOKUP(A103,Renewal!AF:AG,2,0)</f>
        <v>47634</v>
      </c>
      <c r="D103" s="40">
        <f t="shared" si="5"/>
        <v>47634</v>
      </c>
      <c r="E103" s="41" t="s">
        <v>2168</v>
      </c>
      <c r="F103" s="42" t="str">
        <f t="shared" si="4"/>
        <v>insert into ins_premium_det (premium_rcv_code,assorted_code, rec_amount,premium_rcv_detail_code,remaining_amt, payrec, mode_code,coinsurance_code,class_cd,it_remarks) values</v>
      </c>
      <c r="G103" s="43" t="str">
        <f t="shared" si="6"/>
        <v>('28Nov240018','070000169208','47634',(select max(to_number(i.premium_rcv_detail_code))+1
from ins_premium_det i),'47634','47634','02', '11000003','00','Request by Mr. Raheel Malik Premium 02-Dec-2024');</v>
      </c>
      <c r="H103" s="44" t="str">
        <f t="shared" si="7"/>
        <v>insert into ins_premium_det (premium_rcv_code,assorted_code, rec_amount,premium_rcv_detail_code,remaining_amt, payrec, mode_code,coinsurance_code,class_cd,it_remarks) values('28Nov240018','070000169208','47634',(select max(to_number(i.premium_rcv_detail_code))+1
from ins_premium_det i),'47634','47634','02', '11000003','00','Request by Mr. Raheel Malik Premium 02-Dec-2024');</v>
      </c>
    </row>
    <row r="104" spans="1:8" ht="105" x14ac:dyDescent="0.25">
      <c r="A104" s="16" t="s">
        <v>1236</v>
      </c>
      <c r="B104" s="38" t="str">
        <f>VLOOKUP(A104,policy1!B:C,2,0)</f>
        <v>070000169146</v>
      </c>
      <c r="C104" s="39">
        <f>VLOOKUP(A104,Renewal!AF:AG,2,0)</f>
        <v>51806</v>
      </c>
      <c r="D104" s="40">
        <f t="shared" si="5"/>
        <v>51806</v>
      </c>
      <c r="E104" s="41" t="s">
        <v>2168</v>
      </c>
      <c r="F104" s="42" t="str">
        <f t="shared" si="4"/>
        <v>insert into ins_premium_det (premium_rcv_code,assorted_code, rec_amount,premium_rcv_detail_code,remaining_amt, payrec, mode_code,coinsurance_code,class_cd,it_remarks) values</v>
      </c>
      <c r="G104" s="43" t="str">
        <f t="shared" si="6"/>
        <v>('28Nov240018','070000169146','51806',(select max(to_number(i.premium_rcv_detail_code))+1
from ins_premium_det i),'51806','51806','02', '11000003','00','Request by Mr. Raheel Malik Premium 02-Dec-2024');</v>
      </c>
      <c r="H104" s="44" t="str">
        <f t="shared" si="7"/>
        <v>insert into ins_premium_det (premium_rcv_code,assorted_code, rec_amount,premium_rcv_detail_code,remaining_amt, payrec, mode_code,coinsurance_code,class_cd,it_remarks) values('28Nov240018','070000169146','51806',(select max(to_number(i.premium_rcv_detail_code))+1
from ins_premium_det i),'51806','51806','02', '11000003','00','Request by Mr. Raheel Malik Premium 02-Dec-2024');</v>
      </c>
    </row>
    <row r="105" spans="1:8" ht="105" x14ac:dyDescent="0.25">
      <c r="A105" s="16" t="s">
        <v>1245</v>
      </c>
      <c r="B105" s="38" t="str">
        <f>VLOOKUP(A105,policy1!B:C,2,0)</f>
        <v>070000169145</v>
      </c>
      <c r="C105" s="39">
        <f>VLOOKUP(A105,Renewal!AF:AG,2,0)</f>
        <v>21544</v>
      </c>
      <c r="D105" s="40">
        <f t="shared" si="5"/>
        <v>21544</v>
      </c>
      <c r="E105" s="41" t="s">
        <v>2168</v>
      </c>
      <c r="F105" s="42" t="str">
        <f t="shared" si="4"/>
        <v>insert into ins_premium_det (premium_rcv_code,assorted_code, rec_amount,premium_rcv_detail_code,remaining_amt, payrec, mode_code,coinsurance_code,class_cd,it_remarks) values</v>
      </c>
      <c r="G105" s="43" t="str">
        <f t="shared" si="6"/>
        <v>('28Nov240018','070000169145','21544',(select max(to_number(i.premium_rcv_detail_code))+1
from ins_premium_det i),'21544','21544','02', '11000003','00','Request by Mr. Raheel Malik Premium 02-Dec-2024');</v>
      </c>
      <c r="H105" s="44" t="str">
        <f t="shared" si="7"/>
        <v>insert into ins_premium_det (premium_rcv_code,assorted_code, rec_amount,premium_rcv_detail_code,remaining_amt, payrec, mode_code,coinsurance_code,class_cd,it_remarks) values('28Nov240018','070000169145','21544',(select max(to_number(i.premium_rcv_detail_code))+1
from ins_premium_det i),'21544','21544','02', '11000003','00','Request by Mr. Raheel Malik Premium 02-Dec-2024');</v>
      </c>
    </row>
    <row r="106" spans="1:8" ht="105" x14ac:dyDescent="0.25">
      <c r="A106" s="16" t="s">
        <v>1255</v>
      </c>
      <c r="B106" s="38" t="str">
        <f>VLOOKUP(A106,policy1!B:C,2,0)</f>
        <v>070000169144</v>
      </c>
      <c r="C106" s="39">
        <f>VLOOKUP(A106,Renewal!AF:AG,2,0)</f>
        <v>59531</v>
      </c>
      <c r="D106" s="40">
        <f t="shared" si="5"/>
        <v>59531</v>
      </c>
      <c r="E106" s="41" t="s">
        <v>2168</v>
      </c>
      <c r="F106" s="42" t="str">
        <f t="shared" si="4"/>
        <v>insert into ins_premium_det (premium_rcv_code,assorted_code, rec_amount,premium_rcv_detail_code,remaining_amt, payrec, mode_code,coinsurance_code,class_cd,it_remarks) values</v>
      </c>
      <c r="G106" s="43" t="str">
        <f t="shared" si="6"/>
        <v>('28Nov240018','070000169144','59531',(select max(to_number(i.premium_rcv_detail_code))+1
from ins_premium_det i),'59531','59531','02', '11000003','00','Request by Mr. Raheel Malik Premium 02-Dec-2024');</v>
      </c>
      <c r="H106" s="44" t="str">
        <f t="shared" si="7"/>
        <v>insert into ins_premium_det (premium_rcv_code,assorted_code, rec_amount,premium_rcv_detail_code,remaining_amt, payrec, mode_code,coinsurance_code,class_cd,it_remarks) values('28Nov240018','070000169144','59531',(select max(to_number(i.premium_rcv_detail_code))+1
from ins_premium_det i),'59531','59531','02', '11000003','00','Request by Mr. Raheel Malik Premium 02-Dec-2024');</v>
      </c>
    </row>
    <row r="107" spans="1:8" ht="105" x14ac:dyDescent="0.25">
      <c r="A107" s="16" t="s">
        <v>1263</v>
      </c>
      <c r="B107" s="38" t="str">
        <f>VLOOKUP(A107,policy1!B:C,2,0)</f>
        <v>070000169143</v>
      </c>
      <c r="C107" s="39">
        <f>VLOOKUP(A107,Renewal!AF:AG,2,0)</f>
        <v>38438</v>
      </c>
      <c r="D107" s="40">
        <f t="shared" si="5"/>
        <v>38438</v>
      </c>
      <c r="E107" s="41" t="s">
        <v>2168</v>
      </c>
      <c r="F107" s="42" t="str">
        <f t="shared" si="4"/>
        <v>insert into ins_premium_det (premium_rcv_code,assorted_code, rec_amount,premium_rcv_detail_code,remaining_amt, payrec, mode_code,coinsurance_code,class_cd,it_remarks) values</v>
      </c>
      <c r="G107" s="43" t="str">
        <f t="shared" si="6"/>
        <v>('28Nov240018','070000169143','38438',(select max(to_number(i.premium_rcv_detail_code))+1
from ins_premium_det i),'38438','38438','02', '11000003','00','Request by Mr. Raheel Malik Premium 02-Dec-2024');</v>
      </c>
      <c r="H107" s="44" t="str">
        <f t="shared" si="7"/>
        <v>insert into ins_premium_det (premium_rcv_code,assorted_code, rec_amount,premium_rcv_detail_code,remaining_amt, payrec, mode_code,coinsurance_code,class_cd,it_remarks) values('28Nov240018','070000169143','38438',(select max(to_number(i.premium_rcv_detail_code))+1
from ins_premium_det i),'38438','38438','02', '11000003','00','Request by Mr. Raheel Malik Premium 02-Dec-2024');</v>
      </c>
    </row>
    <row r="108" spans="1:8" ht="105" x14ac:dyDescent="0.25">
      <c r="A108" s="16" t="s">
        <v>1270</v>
      </c>
      <c r="B108" s="38" t="str">
        <f>VLOOKUP(A108,policy1!B:C,2,0)</f>
        <v>070000169141</v>
      </c>
      <c r="C108" s="39">
        <f>VLOOKUP(A108,Renewal!AF:AG,2,0)</f>
        <v>35438</v>
      </c>
      <c r="D108" s="40">
        <f t="shared" si="5"/>
        <v>35438</v>
      </c>
      <c r="E108" s="41" t="s">
        <v>2168</v>
      </c>
      <c r="F108" s="42" t="str">
        <f t="shared" si="4"/>
        <v>insert into ins_premium_det (premium_rcv_code,assorted_code, rec_amount,premium_rcv_detail_code,remaining_amt, payrec, mode_code,coinsurance_code,class_cd,it_remarks) values</v>
      </c>
      <c r="G108" s="43" t="str">
        <f t="shared" si="6"/>
        <v>('28Nov240018','070000169141','35438',(select max(to_number(i.premium_rcv_detail_code))+1
from ins_premium_det i),'35438','35438','02', '11000003','00','Request by Mr. Raheel Malik Premium 02-Dec-2024');</v>
      </c>
      <c r="H108" s="44" t="str">
        <f t="shared" si="7"/>
        <v>insert into ins_premium_det (premium_rcv_code,assorted_code, rec_amount,premium_rcv_detail_code,remaining_amt, payrec, mode_code,coinsurance_code,class_cd,it_remarks) values('28Nov240018','070000169141','35438',(select max(to_number(i.premium_rcv_detail_code))+1
from ins_premium_det i),'35438','35438','02', '11000003','00','Request by Mr. Raheel Malik Premium 02-Dec-2024');</v>
      </c>
    </row>
    <row r="109" spans="1:8" ht="105" x14ac:dyDescent="0.25">
      <c r="A109" s="16" t="s">
        <v>1278</v>
      </c>
      <c r="B109" s="38" t="str">
        <f>VLOOKUP(A109,policy1!B:C,2,0)</f>
        <v>070000169128</v>
      </c>
      <c r="C109" s="39">
        <f>VLOOKUP(A109,Renewal!AF:AG,2,0)</f>
        <v>48000</v>
      </c>
      <c r="D109" s="40">
        <f t="shared" si="5"/>
        <v>48000</v>
      </c>
      <c r="E109" s="41" t="s">
        <v>2168</v>
      </c>
      <c r="F109" s="42" t="str">
        <f t="shared" si="4"/>
        <v>insert into ins_premium_det (premium_rcv_code,assorted_code, rec_amount,premium_rcv_detail_code,remaining_amt, payrec, mode_code,coinsurance_code,class_cd,it_remarks) values</v>
      </c>
      <c r="G109" s="43" t="str">
        <f t="shared" si="6"/>
        <v>('28Nov240018','070000169128','48000',(select max(to_number(i.premium_rcv_detail_code))+1
from ins_premium_det i),'48000','48000','02', '11000003','00','Request by Mr. Raheel Malik Premium 02-Dec-2024');</v>
      </c>
      <c r="H109" s="44" t="str">
        <f t="shared" si="7"/>
        <v>insert into ins_premium_det (premium_rcv_code,assorted_code, rec_amount,premium_rcv_detail_code,remaining_amt, payrec, mode_code,coinsurance_code,class_cd,it_remarks) values('28Nov240018','070000169128','48000',(select max(to_number(i.premium_rcv_detail_code))+1
from ins_premium_det i),'48000','48000','02', '11000003','00','Request by Mr. Raheel Malik Premium 02-Dec-2024');</v>
      </c>
    </row>
    <row r="110" spans="1:8" ht="105" x14ac:dyDescent="0.25">
      <c r="A110" s="16" t="s">
        <v>1286</v>
      </c>
      <c r="B110" s="38" t="str">
        <f>VLOOKUP(A110,policy1!B:C,2,0)</f>
        <v>070000169122</v>
      </c>
      <c r="C110" s="39">
        <f>VLOOKUP(A110,Renewal!AF:AG,2,0)</f>
        <v>69190</v>
      </c>
      <c r="D110" s="40">
        <f t="shared" si="5"/>
        <v>69190</v>
      </c>
      <c r="E110" s="41" t="s">
        <v>2168</v>
      </c>
      <c r="F110" s="42" t="str">
        <f t="shared" si="4"/>
        <v>insert into ins_premium_det (premium_rcv_code,assorted_code, rec_amount,premium_rcv_detail_code,remaining_amt, payrec, mode_code,coinsurance_code,class_cd,it_remarks) values</v>
      </c>
      <c r="G110" s="43" t="str">
        <f t="shared" si="6"/>
        <v>('28Nov240018','070000169122','69190',(select max(to_number(i.premium_rcv_detail_code))+1
from ins_premium_det i),'69190','69190','02', '11000003','00','Request by Mr. Raheel Malik Premium 02-Dec-2024');</v>
      </c>
      <c r="H110" s="44" t="str">
        <f t="shared" si="7"/>
        <v>insert into ins_premium_det (premium_rcv_code,assorted_code, rec_amount,premium_rcv_detail_code,remaining_amt, payrec, mode_code,coinsurance_code,class_cd,it_remarks) values('28Nov240018','070000169122','69190',(select max(to_number(i.premium_rcv_detail_code))+1
from ins_premium_det i),'69190','69190','02', '11000003','00','Request by Mr. Raheel Malik Premium 02-Dec-2024');</v>
      </c>
    </row>
    <row r="111" spans="1:8" ht="105" x14ac:dyDescent="0.25">
      <c r="A111" s="16" t="s">
        <v>1293</v>
      </c>
      <c r="B111" s="38" t="str">
        <f>VLOOKUP(A111,policy1!B:C,2,0)</f>
        <v>070000169239</v>
      </c>
      <c r="C111" s="39">
        <f>VLOOKUP(A111,Renewal!AF:AG,2,0)</f>
        <v>27258</v>
      </c>
      <c r="D111" s="40">
        <f t="shared" si="5"/>
        <v>27258</v>
      </c>
      <c r="E111" s="41" t="s">
        <v>2168</v>
      </c>
      <c r="F111" s="42" t="str">
        <f t="shared" si="4"/>
        <v>insert into ins_premium_det (premium_rcv_code,assorted_code, rec_amount,premium_rcv_detail_code,remaining_amt, payrec, mode_code,coinsurance_code,class_cd,it_remarks) values</v>
      </c>
      <c r="G111" s="43" t="str">
        <f t="shared" si="6"/>
        <v>('28Nov240018','070000169239','27258',(select max(to_number(i.premium_rcv_detail_code))+1
from ins_premium_det i),'27258','27258','02', '11000003','00','Request by Mr. Raheel Malik Premium 02-Dec-2024');</v>
      </c>
      <c r="H111" s="44" t="str">
        <f t="shared" si="7"/>
        <v>insert into ins_premium_det (premium_rcv_code,assorted_code, rec_amount,premium_rcv_detail_code,remaining_amt, payrec, mode_code,coinsurance_code,class_cd,it_remarks) values('28Nov240018','070000169239','27258',(select max(to_number(i.premium_rcv_detail_code))+1
from ins_premium_det i),'27258','27258','02', '11000003','00','Request by Mr. Raheel Malik Premium 02-Dec-2024');</v>
      </c>
    </row>
    <row r="112" spans="1:8" ht="105" x14ac:dyDescent="0.25">
      <c r="A112" s="16" t="s">
        <v>1300</v>
      </c>
      <c r="B112" s="38" t="str">
        <f>VLOOKUP(A112,policy1!B:C,2,0)</f>
        <v>070000169238</v>
      </c>
      <c r="C112" s="39">
        <f>VLOOKUP(A112,Renewal!AF:AG,2,0)</f>
        <v>46900</v>
      </c>
      <c r="D112" s="40">
        <f t="shared" si="5"/>
        <v>46900</v>
      </c>
      <c r="E112" s="41" t="s">
        <v>2168</v>
      </c>
      <c r="F112" s="42" t="str">
        <f t="shared" si="4"/>
        <v>insert into ins_premium_det (premium_rcv_code,assorted_code, rec_amount,premium_rcv_detail_code,remaining_amt, payrec, mode_code,coinsurance_code,class_cd,it_remarks) values</v>
      </c>
      <c r="G112" s="43" t="str">
        <f t="shared" si="6"/>
        <v>('28Nov240018','070000169238','46900',(select max(to_number(i.premium_rcv_detail_code))+1
from ins_premium_det i),'46900','46900','02', '11000003','00','Request by Mr. Raheel Malik Premium 02-Dec-2024');</v>
      </c>
      <c r="H112" s="44" t="str">
        <f t="shared" si="7"/>
        <v>insert into ins_premium_det (premium_rcv_code,assorted_code, rec_amount,premium_rcv_detail_code,remaining_amt, payrec, mode_code,coinsurance_code,class_cd,it_remarks) values('28Nov240018','070000169238','46900',(select max(to_number(i.premium_rcv_detail_code))+1
from ins_premium_det i),'46900','46900','02', '11000003','00','Request by Mr. Raheel Malik Premium 02-Dec-2024');</v>
      </c>
    </row>
    <row r="113" spans="1:8" ht="105" x14ac:dyDescent="0.25">
      <c r="A113" s="16" t="s">
        <v>1309</v>
      </c>
      <c r="B113" s="38" t="str">
        <f>VLOOKUP(A113,policy1!B:C,2,0)</f>
        <v>070000169237</v>
      </c>
      <c r="C113" s="39">
        <f>VLOOKUP(A113,Renewal!AF:AG,2,0)</f>
        <v>9660</v>
      </c>
      <c r="D113" s="40">
        <f t="shared" si="5"/>
        <v>9660</v>
      </c>
      <c r="E113" s="41" t="s">
        <v>2168</v>
      </c>
      <c r="F113" s="42" t="str">
        <f t="shared" si="4"/>
        <v>insert into ins_premium_det (premium_rcv_code,assorted_code, rec_amount,premium_rcv_detail_code,remaining_amt, payrec, mode_code,coinsurance_code,class_cd,it_remarks) values</v>
      </c>
      <c r="G113" s="43" t="str">
        <f t="shared" si="6"/>
        <v>('28Nov240018','070000169237','9660',(select max(to_number(i.premium_rcv_detail_code))+1
from ins_premium_det i),'9660','9660','02', '11000003','00','Request by Mr. Raheel Malik Premium 02-Dec-2024');</v>
      </c>
      <c r="H113" s="44" t="str">
        <f t="shared" si="7"/>
        <v>insert into ins_premium_det (premium_rcv_code,assorted_code, rec_amount,premium_rcv_detail_code,remaining_amt, payrec, mode_code,coinsurance_code,class_cd,it_remarks) values('28Nov240018','070000169237','9660',(select max(to_number(i.premium_rcv_detail_code))+1
from ins_premium_det i),'9660','9660','02', '11000003','00','Request by Mr. Raheel Malik Premium 02-Dec-2024');</v>
      </c>
    </row>
    <row r="114" spans="1:8" ht="105" x14ac:dyDescent="0.25">
      <c r="A114" s="16" t="s">
        <v>1317</v>
      </c>
      <c r="B114" s="38" t="str">
        <f>VLOOKUP(A114,policy1!B:C,2,0)</f>
        <v>070000169236</v>
      </c>
      <c r="C114" s="39">
        <f>VLOOKUP(A114,Renewal!AF:AG,2,0)</f>
        <v>22540</v>
      </c>
      <c r="D114" s="40">
        <f t="shared" si="5"/>
        <v>22540</v>
      </c>
      <c r="E114" s="41" t="s">
        <v>2168</v>
      </c>
      <c r="F114" s="42" t="str">
        <f t="shared" si="4"/>
        <v>insert into ins_premium_det (premium_rcv_code,assorted_code, rec_amount,premium_rcv_detail_code,remaining_amt, payrec, mode_code,coinsurance_code,class_cd,it_remarks) values</v>
      </c>
      <c r="G114" s="43" t="str">
        <f t="shared" si="6"/>
        <v>('28Nov240018','070000169236','22540',(select max(to_number(i.premium_rcv_detail_code))+1
from ins_premium_det i),'22540','22540','02', '11000003','00','Request by Mr. Raheel Malik Premium 02-Dec-2024');</v>
      </c>
      <c r="H114" s="44" t="str">
        <f t="shared" si="7"/>
        <v>insert into ins_premium_det (premium_rcv_code,assorted_code, rec_amount,premium_rcv_detail_code,remaining_amt, payrec, mode_code,coinsurance_code,class_cd,it_remarks) values('28Nov240018','070000169236','22540',(select max(to_number(i.premium_rcv_detail_code))+1
from ins_premium_det i),'22540','22540','02', '11000003','00','Request by Mr. Raheel Malik Premium 02-Dec-2024');</v>
      </c>
    </row>
    <row r="115" spans="1:8" ht="105" x14ac:dyDescent="0.25">
      <c r="A115" s="16" t="s">
        <v>1324</v>
      </c>
      <c r="B115" s="38" t="str">
        <f>VLOOKUP(A115,policy1!B:C,2,0)</f>
        <v>070000169235</v>
      </c>
      <c r="C115" s="39">
        <f>VLOOKUP(A115,Renewal!AF:AG,2,0)</f>
        <v>22540</v>
      </c>
      <c r="D115" s="40">
        <f t="shared" si="5"/>
        <v>22540</v>
      </c>
      <c r="E115" s="41" t="s">
        <v>2168</v>
      </c>
      <c r="F115" s="42" t="str">
        <f t="shared" si="4"/>
        <v>insert into ins_premium_det (premium_rcv_code,assorted_code, rec_amount,premium_rcv_detail_code,remaining_amt, payrec, mode_code,coinsurance_code,class_cd,it_remarks) values</v>
      </c>
      <c r="G115" s="43" t="str">
        <f t="shared" si="6"/>
        <v>('28Nov240018','070000169235','22540',(select max(to_number(i.premium_rcv_detail_code))+1
from ins_premium_det i),'22540','22540','02', '11000003','00','Request by Mr. Raheel Malik Premium 02-Dec-2024');</v>
      </c>
      <c r="H115" s="44" t="str">
        <f t="shared" si="7"/>
        <v>insert into ins_premium_det (premium_rcv_code,assorted_code, rec_amount,premium_rcv_detail_code,remaining_amt, payrec, mode_code,coinsurance_code,class_cd,it_remarks) values('28Nov240018','070000169235','22540',(select max(to_number(i.premium_rcv_detail_code))+1
from ins_premium_det i),'22540','22540','02', '11000003','00','Request by Mr. Raheel Malik Premium 02-Dec-2024');</v>
      </c>
    </row>
    <row r="116" spans="1:8" ht="105" x14ac:dyDescent="0.25">
      <c r="A116" s="16" t="s">
        <v>1331</v>
      </c>
      <c r="B116" s="38" t="str">
        <f>VLOOKUP(A116,policy1!B:C,2,0)</f>
        <v>070000169234</v>
      </c>
      <c r="C116" s="39">
        <f>VLOOKUP(A116,Renewal!AF:AG,2,0)</f>
        <v>21700</v>
      </c>
      <c r="D116" s="40">
        <f t="shared" si="5"/>
        <v>21700</v>
      </c>
      <c r="E116" s="41" t="s">
        <v>2168</v>
      </c>
      <c r="F116" s="42" t="str">
        <f t="shared" si="4"/>
        <v>insert into ins_premium_det (premium_rcv_code,assorted_code, rec_amount,premium_rcv_detail_code,remaining_amt, payrec, mode_code,coinsurance_code,class_cd,it_remarks) values</v>
      </c>
      <c r="G116" s="43" t="str">
        <f t="shared" si="6"/>
        <v>('28Nov240018','070000169234','21700',(select max(to_number(i.premium_rcv_detail_code))+1
from ins_premium_det i),'21700','21700','02', '11000003','00','Request by Mr. Raheel Malik Premium 02-Dec-2024');</v>
      </c>
      <c r="H116" s="44" t="str">
        <f t="shared" si="7"/>
        <v>insert into ins_premium_det (premium_rcv_code,assorted_code, rec_amount,premium_rcv_detail_code,remaining_amt, payrec, mode_code,coinsurance_code,class_cd,it_remarks) values('28Nov240018','070000169234','21700',(select max(to_number(i.premium_rcv_detail_code))+1
from ins_premium_det i),'21700','21700','02', '11000003','00','Request by Mr. Raheel Malik Premium 02-Dec-2024');</v>
      </c>
    </row>
    <row r="117" spans="1:8" ht="105" x14ac:dyDescent="0.25">
      <c r="A117" s="16" t="s">
        <v>1338</v>
      </c>
      <c r="B117" s="38" t="str">
        <f>VLOOKUP(A117,policy1!B:C,2,0)</f>
        <v>070000169233</v>
      </c>
      <c r="C117" s="39">
        <f>VLOOKUP(A117,Renewal!AF:AG,2,0)</f>
        <v>37842</v>
      </c>
      <c r="D117" s="40">
        <f t="shared" si="5"/>
        <v>37842</v>
      </c>
      <c r="E117" s="41" t="s">
        <v>2168</v>
      </c>
      <c r="F117" s="42" t="str">
        <f t="shared" si="4"/>
        <v>insert into ins_premium_det (premium_rcv_code,assorted_code, rec_amount,premium_rcv_detail_code,remaining_amt, payrec, mode_code,coinsurance_code,class_cd,it_remarks) values</v>
      </c>
      <c r="G117" s="43" t="str">
        <f t="shared" si="6"/>
        <v>('28Nov240018','070000169233','37842',(select max(to_number(i.premium_rcv_detail_code))+1
from ins_premium_det i),'37842','37842','02', '11000003','00','Request by Mr. Raheel Malik Premium 02-Dec-2024');</v>
      </c>
      <c r="H117" s="44" t="str">
        <f t="shared" si="7"/>
        <v>insert into ins_premium_det (premium_rcv_code,assorted_code, rec_amount,premium_rcv_detail_code,remaining_amt, payrec, mode_code,coinsurance_code,class_cd,it_remarks) values('28Nov240018','070000169233','37842',(select max(to_number(i.premium_rcv_detail_code))+1
from ins_premium_det i),'37842','37842','02', '11000003','00','Request by Mr. Raheel Malik Premium 02-Dec-2024');</v>
      </c>
    </row>
    <row r="118" spans="1:8" ht="105" x14ac:dyDescent="0.25">
      <c r="A118" s="16" t="s">
        <v>1347</v>
      </c>
      <c r="B118" s="38" t="str">
        <f>VLOOKUP(A118,policy1!B:C,2,0)</f>
        <v>070000169209</v>
      </c>
      <c r="C118" s="39">
        <f>VLOOKUP(A118,Renewal!AF:AG,2,0)</f>
        <v>36975</v>
      </c>
      <c r="D118" s="40">
        <f t="shared" si="5"/>
        <v>36975</v>
      </c>
      <c r="E118" s="41" t="s">
        <v>2168</v>
      </c>
      <c r="F118" s="42" t="str">
        <f t="shared" si="4"/>
        <v>insert into ins_premium_det (premium_rcv_code,assorted_code, rec_amount,premium_rcv_detail_code,remaining_amt, payrec, mode_code,coinsurance_code,class_cd,it_remarks) values</v>
      </c>
      <c r="G118" s="43" t="str">
        <f t="shared" si="6"/>
        <v>('28Nov240018','070000169209','36975',(select max(to_number(i.premium_rcv_detail_code))+1
from ins_premium_det i),'36975','36975','02', '11000003','00','Request by Mr. Raheel Malik Premium 02-Dec-2024');</v>
      </c>
      <c r="H118" s="44" t="str">
        <f t="shared" si="7"/>
        <v>insert into ins_premium_det (premium_rcv_code,assorted_code, rec_amount,premium_rcv_detail_code,remaining_amt, payrec, mode_code,coinsurance_code,class_cd,it_remarks) values('28Nov240018','070000169209','36975',(select max(to_number(i.premium_rcv_detail_code))+1
from ins_premium_det i),'36975','36975','02', '11000003','00','Request by Mr. Raheel Malik Premium 02-Dec-2024');</v>
      </c>
    </row>
    <row r="119" spans="1:8" ht="105" x14ac:dyDescent="0.25">
      <c r="A119" s="16" t="s">
        <v>1355</v>
      </c>
      <c r="B119" s="38" t="str">
        <f>VLOOKUP(A119,policy1!B:C,2,0)</f>
        <v>070000169150</v>
      </c>
      <c r="C119" s="39">
        <f>VLOOKUP(A119,Renewal!AF:AG,2,0)</f>
        <v>26869</v>
      </c>
      <c r="D119" s="40">
        <f t="shared" si="5"/>
        <v>26869</v>
      </c>
      <c r="E119" s="41" t="s">
        <v>2168</v>
      </c>
      <c r="F119" s="42" t="str">
        <f t="shared" si="4"/>
        <v>insert into ins_premium_det (premium_rcv_code,assorted_code, rec_amount,premium_rcv_detail_code,remaining_amt, payrec, mode_code,coinsurance_code,class_cd,it_remarks) values</v>
      </c>
      <c r="G119" s="43" t="str">
        <f t="shared" si="6"/>
        <v>('28Nov240018','070000169150','26869',(select max(to_number(i.premium_rcv_detail_code))+1
from ins_premium_det i),'26869','26869','02', '11000003','00','Request by Mr. Raheel Malik Premium 02-Dec-2024');</v>
      </c>
      <c r="H119" s="44" t="str">
        <f t="shared" si="7"/>
        <v>insert into ins_premium_det (premium_rcv_code,assorted_code, rec_amount,premium_rcv_detail_code,remaining_amt, payrec, mode_code,coinsurance_code,class_cd,it_remarks) values('28Nov240018','070000169150','26869',(select max(to_number(i.premium_rcv_detail_code))+1
from ins_premium_det i),'26869','26869','02', '11000003','00','Request by Mr. Raheel Malik Premium 02-Dec-2024');</v>
      </c>
    </row>
    <row r="120" spans="1:8" ht="105" x14ac:dyDescent="0.25">
      <c r="A120" s="16" t="s">
        <v>1362</v>
      </c>
      <c r="B120" s="38" t="str">
        <f>VLOOKUP(A120,policy1!B:C,2,0)</f>
        <v>070000169149</v>
      </c>
      <c r="C120" s="39">
        <f>VLOOKUP(A120,Renewal!AF:AG,2,0)</f>
        <v>36563</v>
      </c>
      <c r="D120" s="40">
        <f t="shared" si="5"/>
        <v>36563</v>
      </c>
      <c r="E120" s="41" t="s">
        <v>2168</v>
      </c>
      <c r="F120" s="42" t="str">
        <f t="shared" si="4"/>
        <v>insert into ins_premium_det (premium_rcv_code,assorted_code, rec_amount,premium_rcv_detail_code,remaining_amt, payrec, mode_code,coinsurance_code,class_cd,it_remarks) values</v>
      </c>
      <c r="G120" s="43" t="str">
        <f t="shared" si="6"/>
        <v>('28Nov240018','070000169149','36563',(select max(to_number(i.premium_rcv_detail_code))+1
from ins_premium_det i),'36563','36563','02', '11000003','00','Request by Mr. Raheel Malik Premium 02-Dec-2024');</v>
      </c>
      <c r="H120" s="44" t="str">
        <f t="shared" si="7"/>
        <v>insert into ins_premium_det (premium_rcv_code,assorted_code, rec_amount,premium_rcv_detail_code,remaining_amt, payrec, mode_code,coinsurance_code,class_cd,it_remarks) values('28Nov240018','070000169149','36563',(select max(to_number(i.premium_rcv_detail_code))+1
from ins_premium_det i),'36563','36563','02', '11000003','00','Request by Mr. Raheel Malik Premium 02-Dec-2024');</v>
      </c>
    </row>
    <row r="121" spans="1:8" ht="105" x14ac:dyDescent="0.25">
      <c r="A121" s="16" t="s">
        <v>1371</v>
      </c>
      <c r="B121" s="38" t="str">
        <f>VLOOKUP(A121,policy1!B:C,2,0)</f>
        <v>070000169148</v>
      </c>
      <c r="C121" s="39">
        <f>VLOOKUP(A121,Renewal!AF:AG,2,0)</f>
        <v>26869</v>
      </c>
      <c r="D121" s="40">
        <f t="shared" si="5"/>
        <v>26869</v>
      </c>
      <c r="E121" s="41" t="s">
        <v>2168</v>
      </c>
      <c r="F121" s="42" t="str">
        <f t="shared" si="4"/>
        <v>insert into ins_premium_det (premium_rcv_code,assorted_code, rec_amount,premium_rcv_detail_code,remaining_amt, payrec, mode_code,coinsurance_code,class_cd,it_remarks) values</v>
      </c>
      <c r="G121" s="43" t="str">
        <f t="shared" si="6"/>
        <v>('28Nov240018','070000169148','26869',(select max(to_number(i.premium_rcv_detail_code))+1
from ins_premium_det i),'26869','26869','02', '11000003','00','Request by Mr. Raheel Malik Premium 02-Dec-2024');</v>
      </c>
      <c r="H121" s="44" t="str">
        <f t="shared" si="7"/>
        <v>insert into ins_premium_det (premium_rcv_code,assorted_code, rec_amount,premium_rcv_detail_code,remaining_amt, payrec, mode_code,coinsurance_code,class_cd,it_remarks) values('28Nov240018','070000169148','26869',(select max(to_number(i.premium_rcv_detail_code))+1
from ins_premium_det i),'26869','26869','02', '11000003','00','Request by Mr. Raheel Malik Premium 02-Dec-2024');</v>
      </c>
    </row>
    <row r="122" spans="1:8" ht="105" x14ac:dyDescent="0.25">
      <c r="A122" s="16" t="s">
        <v>1378</v>
      </c>
      <c r="B122" s="38" t="str">
        <f>VLOOKUP(A122,policy1!B:C,2,0)</f>
        <v>070000169147</v>
      </c>
      <c r="C122" s="39">
        <f>VLOOKUP(A122,Renewal!AF:AG,2,0)</f>
        <v>48750</v>
      </c>
      <c r="D122" s="40">
        <f t="shared" si="5"/>
        <v>48750</v>
      </c>
      <c r="E122" s="41" t="s">
        <v>2168</v>
      </c>
      <c r="F122" s="42" t="str">
        <f t="shared" si="4"/>
        <v>insert into ins_premium_det (premium_rcv_code,assorted_code, rec_amount,premium_rcv_detail_code,remaining_amt, payrec, mode_code,coinsurance_code,class_cd,it_remarks) values</v>
      </c>
      <c r="G122" s="43" t="str">
        <f t="shared" si="6"/>
        <v>('28Nov240018','070000169147','48750',(select max(to_number(i.premium_rcv_detail_code))+1
from ins_premium_det i),'48750','48750','02', '11000003','00','Request by Mr. Raheel Malik Premium 02-Dec-2024');</v>
      </c>
      <c r="H122" s="44" t="str">
        <f t="shared" si="7"/>
        <v>insert into ins_premium_det (premium_rcv_code,assorted_code, rec_amount,premium_rcv_detail_code,remaining_amt, payrec, mode_code,coinsurance_code,class_cd,it_remarks) values('28Nov240018','070000169147','48750',(select max(to_number(i.premium_rcv_detail_code))+1
from ins_premium_det i),'48750','48750','02', '11000003','00','Request by Mr. Raheel Malik Premium 02-Dec-2024');</v>
      </c>
    </row>
    <row r="123" spans="1:8" ht="105" x14ac:dyDescent="0.25">
      <c r="A123" s="16" t="s">
        <v>1387</v>
      </c>
      <c r="B123" s="38" t="str">
        <f>VLOOKUP(A123,policy1!B:C,2,0)</f>
        <v>070000169129</v>
      </c>
      <c r="C123" s="39">
        <f>VLOOKUP(A123,Renewal!AF:AG,2,0)</f>
        <v>32200</v>
      </c>
      <c r="D123" s="40">
        <f t="shared" si="5"/>
        <v>32200</v>
      </c>
      <c r="E123" s="41" t="s">
        <v>2168</v>
      </c>
      <c r="F123" s="42" t="str">
        <f t="shared" si="4"/>
        <v>insert into ins_premium_det (premium_rcv_code,assorted_code, rec_amount,premium_rcv_detail_code,remaining_amt, payrec, mode_code,coinsurance_code,class_cd,it_remarks) values</v>
      </c>
      <c r="G123" s="43" t="str">
        <f t="shared" si="6"/>
        <v>('28Nov240018','070000169129','32200',(select max(to_number(i.premium_rcv_detail_code))+1
from ins_premium_det i),'32200','32200','02', '11000003','00','Request by Mr. Raheel Malik Premium 02-Dec-2024');</v>
      </c>
      <c r="H123" s="44" t="str">
        <f t="shared" si="7"/>
        <v>insert into ins_premium_det (premium_rcv_code,assorted_code, rec_amount,premium_rcv_detail_code,remaining_amt, payrec, mode_code,coinsurance_code,class_cd,it_remarks) values('28Nov240018','070000169129','32200',(select max(to_number(i.premium_rcv_detail_code))+1
from ins_premium_det i),'32200','32200','02', '11000003','00','Request by Mr. Raheel Malik Premium 02-Dec-2024');</v>
      </c>
    </row>
    <row r="124" spans="1:8" ht="105" x14ac:dyDescent="0.25">
      <c r="A124" s="16" t="s">
        <v>1395</v>
      </c>
      <c r="B124" s="38" t="str">
        <f>VLOOKUP(A124,policy1!B:C,2,0)</f>
        <v>070000169091</v>
      </c>
      <c r="C124" s="39">
        <f>VLOOKUP(A124,Renewal!AF:AG,2,0)</f>
        <v>54771</v>
      </c>
      <c r="D124" s="40">
        <f t="shared" si="5"/>
        <v>54771</v>
      </c>
      <c r="E124" s="41" t="s">
        <v>2168</v>
      </c>
      <c r="F124" s="42" t="str">
        <f t="shared" si="4"/>
        <v>insert into ins_premium_det (premium_rcv_code,assorted_code, rec_amount,premium_rcv_detail_code,remaining_amt, payrec, mode_code,coinsurance_code,class_cd,it_remarks) values</v>
      </c>
      <c r="G124" s="43" t="str">
        <f t="shared" si="6"/>
        <v>('28Nov240018','070000169091','54771',(select max(to_number(i.premium_rcv_detail_code))+1
from ins_premium_det i),'54771','54771','02', '11000003','00','Request by Mr. Raheel Malik Premium 02-Dec-2024');</v>
      </c>
      <c r="H124" s="44" t="str">
        <f t="shared" si="7"/>
        <v>insert into ins_premium_det (premium_rcv_code,assorted_code, rec_amount,premium_rcv_detail_code,remaining_amt, payrec, mode_code,coinsurance_code,class_cd,it_remarks) values('28Nov240018','070000169091','54771',(select max(to_number(i.premium_rcv_detail_code))+1
from ins_premium_det i),'54771','54771','02', '11000003','00','Request by Mr. Raheel Malik Premium 02-Dec-2024');</v>
      </c>
    </row>
    <row r="125" spans="1:8" ht="105" x14ac:dyDescent="0.25">
      <c r="A125" s="16" t="s">
        <v>1404</v>
      </c>
      <c r="B125" s="38" t="str">
        <f>VLOOKUP(A125,policy1!B:C,2,0)</f>
        <v>070000168719</v>
      </c>
      <c r="C125" s="39">
        <f>VLOOKUP(A125,Renewal!AF:AG,2,0)</f>
        <v>14280</v>
      </c>
      <c r="D125" s="40">
        <f t="shared" si="5"/>
        <v>14280</v>
      </c>
      <c r="E125" s="41" t="s">
        <v>2168</v>
      </c>
      <c r="F125" s="42" t="str">
        <f t="shared" si="4"/>
        <v>insert into ins_premium_det (premium_rcv_code,assorted_code, rec_amount,premium_rcv_detail_code,remaining_amt, payrec, mode_code,coinsurance_code,class_cd,it_remarks) values</v>
      </c>
      <c r="G125" s="43" t="str">
        <f t="shared" si="6"/>
        <v>('28Nov240018','070000168719','14280',(select max(to_number(i.premium_rcv_detail_code))+1
from ins_premium_det i),'14280','14280','02', '11000003','00','Request by Mr. Raheel Malik Premium 02-Dec-2024');</v>
      </c>
      <c r="H125" s="44" t="str">
        <f t="shared" si="7"/>
        <v>insert into ins_premium_det (premium_rcv_code,assorted_code, rec_amount,premium_rcv_detail_code,remaining_amt, payrec, mode_code,coinsurance_code,class_cd,it_remarks) values('28Nov240018','070000168719','14280',(select max(to_number(i.premium_rcv_detail_code))+1
from ins_premium_det i),'14280','14280','02', '11000003','00','Request by Mr. Raheel Malik Premium 02-Dec-2024');</v>
      </c>
    </row>
    <row r="126" spans="1:8" ht="105" x14ac:dyDescent="0.25">
      <c r="A126" s="16" t="s">
        <v>1410</v>
      </c>
      <c r="B126" s="38" t="str">
        <f>VLOOKUP(A126,policy1!B:C,2,0)</f>
        <v>070000168718</v>
      </c>
      <c r="C126" s="39">
        <f>VLOOKUP(A126,Renewal!AF:AG,2,0)</f>
        <v>14280</v>
      </c>
      <c r="D126" s="40">
        <f t="shared" si="5"/>
        <v>14280</v>
      </c>
      <c r="E126" s="41" t="s">
        <v>2168</v>
      </c>
      <c r="F126" s="42" t="str">
        <f t="shared" si="4"/>
        <v>insert into ins_premium_det (premium_rcv_code,assorted_code, rec_amount,premium_rcv_detail_code,remaining_amt, payrec, mode_code,coinsurance_code,class_cd,it_remarks) values</v>
      </c>
      <c r="G126" s="43" t="str">
        <f t="shared" si="6"/>
        <v>('28Nov240018','070000168718','14280',(select max(to_number(i.premium_rcv_detail_code))+1
from ins_premium_det i),'14280','14280','02', '11000003','00','Request by Mr. Raheel Malik Premium 02-Dec-2024');</v>
      </c>
      <c r="H126" s="44" t="str">
        <f t="shared" si="7"/>
        <v>insert into ins_premium_det (premium_rcv_code,assorted_code, rec_amount,premium_rcv_detail_code,remaining_amt, payrec, mode_code,coinsurance_code,class_cd,it_remarks) values('28Nov240018','070000168718','14280',(select max(to_number(i.premium_rcv_detail_code))+1
from ins_premium_det i),'14280','14280','02', '11000003','00','Request by Mr. Raheel Malik Premium 02-Dec-2024');</v>
      </c>
    </row>
    <row r="127" spans="1:8" ht="105" x14ac:dyDescent="0.25">
      <c r="A127" s="16" t="s">
        <v>1417</v>
      </c>
      <c r="B127" s="38" t="str">
        <f>VLOOKUP(A127,policy1!B:C,2,0)</f>
        <v>070000169279</v>
      </c>
      <c r="C127" s="39">
        <f>VLOOKUP(A127,Renewal!AF:AG,2,0)</f>
        <v>41024</v>
      </c>
      <c r="D127" s="40">
        <f t="shared" si="5"/>
        <v>41024</v>
      </c>
      <c r="E127" s="41" t="s">
        <v>2168</v>
      </c>
      <c r="F127" s="42" t="str">
        <f t="shared" si="4"/>
        <v>insert into ins_premium_det (premium_rcv_code,assorted_code, rec_amount,premium_rcv_detail_code,remaining_amt, payrec, mode_code,coinsurance_code,class_cd,it_remarks) values</v>
      </c>
      <c r="G127" s="43" t="str">
        <f t="shared" si="6"/>
        <v>('28Nov240018','070000169279','41024',(select max(to_number(i.premium_rcv_detail_code))+1
from ins_premium_det i),'41024','41024','02', '11000003','00','Request by Mr. Raheel Malik Premium 02-Dec-2024');</v>
      </c>
      <c r="H127" s="44" t="str">
        <f t="shared" si="7"/>
        <v>insert into ins_premium_det (premium_rcv_code,assorted_code, rec_amount,premium_rcv_detail_code,remaining_amt, payrec, mode_code,coinsurance_code,class_cd,it_remarks) values('28Nov240018','070000169279','41024',(select max(to_number(i.premium_rcv_detail_code))+1
from ins_premium_det i),'41024','41024','02', '11000003','00','Request by Mr. Raheel Malik Premium 02-Dec-2024');</v>
      </c>
    </row>
    <row r="128" spans="1:8" ht="105" x14ac:dyDescent="0.25">
      <c r="A128" s="16" t="s">
        <v>1424</v>
      </c>
      <c r="B128" s="38" t="str">
        <f>VLOOKUP(A128,policy1!B:C,2,0)</f>
        <v>070000169253</v>
      </c>
      <c r="C128" s="39">
        <f>VLOOKUP(A128,Renewal!AF:AG,2,0)</f>
        <v>55350</v>
      </c>
      <c r="D128" s="40">
        <f t="shared" si="5"/>
        <v>55350</v>
      </c>
      <c r="E128" s="41" t="s">
        <v>2168</v>
      </c>
      <c r="F128" s="42" t="str">
        <f t="shared" si="4"/>
        <v>insert into ins_premium_det (premium_rcv_code,assorted_code, rec_amount,premium_rcv_detail_code,remaining_amt, payrec, mode_code,coinsurance_code,class_cd,it_remarks) values</v>
      </c>
      <c r="G128" s="43" t="str">
        <f t="shared" si="6"/>
        <v>('28Nov240018','070000169253','55350',(select max(to_number(i.premium_rcv_detail_code))+1
from ins_premium_det i),'55350','55350','02', '11000003','00','Request by Mr. Raheel Malik Premium 02-Dec-2024');</v>
      </c>
      <c r="H128" s="44" t="str">
        <f t="shared" si="7"/>
        <v>insert into ins_premium_det (premium_rcv_code,assorted_code, rec_amount,premium_rcv_detail_code,remaining_amt, payrec, mode_code,coinsurance_code,class_cd,it_remarks) values('28Nov240018','070000169253','55350',(select max(to_number(i.premium_rcv_detail_code))+1
from ins_premium_det i),'55350','55350','02', '11000003','00','Request by Mr. Raheel Malik Premium 02-Dec-2024');</v>
      </c>
    </row>
    <row r="129" spans="1:8" ht="105" x14ac:dyDescent="0.25">
      <c r="A129" s="16" t="s">
        <v>1433</v>
      </c>
      <c r="B129" s="38" t="str">
        <f>VLOOKUP(A129,policy1!B:C,2,0)</f>
        <v>070000169180</v>
      </c>
      <c r="C129" s="39">
        <f>VLOOKUP(A129,Renewal!AF:AG,2,0)</f>
        <v>50382</v>
      </c>
      <c r="D129" s="40">
        <f t="shared" si="5"/>
        <v>50382</v>
      </c>
      <c r="E129" s="41" t="s">
        <v>2168</v>
      </c>
      <c r="F129" s="42" t="str">
        <f t="shared" si="4"/>
        <v>insert into ins_premium_det (premium_rcv_code,assorted_code, rec_amount,premium_rcv_detail_code,remaining_amt, payrec, mode_code,coinsurance_code,class_cd,it_remarks) values</v>
      </c>
      <c r="G129" s="43" t="str">
        <f t="shared" si="6"/>
        <v>('28Nov240018','070000169180','50382',(select max(to_number(i.premium_rcv_detail_code))+1
from ins_premium_det i),'50382','50382','02', '11000003','00','Request by Mr. Raheel Malik Premium 02-Dec-2024');</v>
      </c>
      <c r="H129" s="44" t="str">
        <f t="shared" si="7"/>
        <v>insert into ins_premium_det (premium_rcv_code,assorted_code, rec_amount,premium_rcv_detail_code,remaining_amt, payrec, mode_code,coinsurance_code,class_cd,it_remarks) values('28Nov240018','070000169180','50382',(select max(to_number(i.premium_rcv_detail_code))+1
from ins_premium_det i),'50382','50382','02', '11000003','00','Request by Mr. Raheel Malik Premium 02-Dec-2024');</v>
      </c>
    </row>
    <row r="130" spans="1:8" ht="105" x14ac:dyDescent="0.25">
      <c r="A130" s="16" t="s">
        <v>1441</v>
      </c>
      <c r="B130" s="38" t="str">
        <f>VLOOKUP(A130,policy1!B:C,2,0)</f>
        <v>070000169179</v>
      </c>
      <c r="C130" s="39">
        <f>VLOOKUP(A130,Renewal!AF:AG,2,0)</f>
        <v>30240</v>
      </c>
      <c r="D130" s="40">
        <f t="shared" si="5"/>
        <v>30240</v>
      </c>
      <c r="E130" s="41" t="s">
        <v>2168</v>
      </c>
      <c r="F130" s="42" t="str">
        <f t="shared" ref="F130:F172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43" t="str">
        <f t="shared" si="6"/>
        <v>('28Nov240018','070000169179','30240',(select max(to_number(i.premium_rcv_detail_code))+1
from ins_premium_det i),'30240','30240','02', '11000003','00','Request by Mr. Raheel Malik Premium 02-Dec-2024');</v>
      </c>
      <c r="H130" s="44" t="str">
        <f t="shared" si="7"/>
        <v>insert into ins_premium_det (premium_rcv_code,assorted_code, rec_amount,premium_rcv_detail_code,remaining_amt, payrec, mode_code,coinsurance_code,class_cd,it_remarks) values('28Nov240018','070000169179','30240',(select max(to_number(i.premium_rcv_detail_code))+1
from ins_premium_det i),'30240','30240','02', '11000003','00','Request by Mr. Raheel Malik Premium 02-Dec-2024');</v>
      </c>
    </row>
    <row r="131" spans="1:8" ht="105" x14ac:dyDescent="0.25">
      <c r="A131" s="16" t="s">
        <v>1449</v>
      </c>
      <c r="B131" s="38" t="str">
        <f>VLOOKUP(A131,policy1!B:C,2,0)</f>
        <v>070000169097</v>
      </c>
      <c r="C131" s="39">
        <f>VLOOKUP(A131,Renewal!AF:AG,2,0)</f>
        <v>44680</v>
      </c>
      <c r="D131" s="40">
        <f t="shared" ref="D131:D172" si="9">ROUND(C131,0)</f>
        <v>44680</v>
      </c>
      <c r="E131" s="41" t="s">
        <v>2168</v>
      </c>
      <c r="F131" s="42" t="str">
        <f t="shared" si="8"/>
        <v>insert into ins_premium_det (premium_rcv_code,assorted_code, rec_amount,premium_rcv_detail_code,remaining_amt, payrec, mode_code,coinsurance_code,class_cd,it_remarks) values</v>
      </c>
      <c r="G131" s="43" t="str">
        <f t="shared" ref="G131:G172" si="10">"('"&amp;E131&amp;"','"&amp;B131&amp;"','"&amp;D131&amp;"',(select max(to_number(i.premium_rcv_detail_code))+1
from ins_premium_det i),'"&amp;D131&amp;"','"&amp;D131&amp;"','02', '11000003','00','Request by Mr. Raheel Malik Premium 02-Dec-2024');"</f>
        <v>('28Nov240018','070000169097','44680',(select max(to_number(i.premium_rcv_detail_code))+1
from ins_premium_det i),'44680','44680','02', '11000003','00','Request by Mr. Raheel Malik Premium 02-Dec-2024');</v>
      </c>
      <c r="H131" s="44" t="str">
        <f t="shared" ref="H131:H172" si="11">F131&amp;G131</f>
        <v>insert into ins_premium_det (premium_rcv_code,assorted_code, rec_amount,premium_rcv_detail_code,remaining_amt, payrec, mode_code,coinsurance_code,class_cd,it_remarks) values('28Nov240018','070000169097','44680',(select max(to_number(i.premium_rcv_detail_code))+1
from ins_premium_det i),'44680','44680','02', '11000003','00','Request by Mr. Raheel Malik Premium 02-Dec-2024');</v>
      </c>
    </row>
    <row r="132" spans="1:8" ht="105" x14ac:dyDescent="0.25">
      <c r="A132" s="16" t="s">
        <v>1457</v>
      </c>
      <c r="B132" s="38" t="str">
        <f>VLOOKUP(A132,policy1!B:C,2,0)</f>
        <v>070000169095</v>
      </c>
      <c r="C132" s="39">
        <f>VLOOKUP(A132,Renewal!AF:AG,2,0)</f>
        <v>57635</v>
      </c>
      <c r="D132" s="40">
        <f t="shared" si="9"/>
        <v>57635</v>
      </c>
      <c r="E132" s="41" t="s">
        <v>2168</v>
      </c>
      <c r="F132" s="42" t="str">
        <f t="shared" si="8"/>
        <v>insert into ins_premium_det (premium_rcv_code,assorted_code, rec_amount,premium_rcv_detail_code,remaining_amt, payrec, mode_code,coinsurance_code,class_cd,it_remarks) values</v>
      </c>
      <c r="G132" s="43" t="str">
        <f t="shared" si="10"/>
        <v>('28Nov240018','070000169095','57635',(select max(to_number(i.premium_rcv_detail_code))+1
from ins_premium_det i),'57635','57635','02', '11000003','00','Request by Mr. Raheel Malik Premium 02-Dec-2024');</v>
      </c>
      <c r="H132" s="44" t="str">
        <f t="shared" si="11"/>
        <v>insert into ins_premium_det (premium_rcv_code,assorted_code, rec_amount,premium_rcv_detail_code,remaining_amt, payrec, mode_code,coinsurance_code,class_cd,it_remarks) values('28Nov240018','070000169095','57635',(select max(to_number(i.premium_rcv_detail_code))+1
from ins_premium_det i),'57635','57635','02', '11000003','00','Request by Mr. Raheel Malik Premium 02-Dec-2024');</v>
      </c>
    </row>
    <row r="133" spans="1:8" ht="105" x14ac:dyDescent="0.25">
      <c r="A133" s="16" t="s">
        <v>1465</v>
      </c>
      <c r="B133" s="38" t="str">
        <f>VLOOKUP(A133,policy1!B:C,2,0)</f>
        <v>070000169270</v>
      </c>
      <c r="C133" s="39">
        <f>VLOOKUP(A133,Renewal!AF:AG,2,0)</f>
        <v>51000</v>
      </c>
      <c r="D133" s="40">
        <f t="shared" si="9"/>
        <v>51000</v>
      </c>
      <c r="E133" s="41" t="s">
        <v>2168</v>
      </c>
      <c r="F133" s="42" t="str">
        <f t="shared" si="8"/>
        <v>insert into ins_premium_det (premium_rcv_code,assorted_code, rec_amount,premium_rcv_detail_code,remaining_amt, payrec, mode_code,coinsurance_code,class_cd,it_remarks) values</v>
      </c>
      <c r="G133" s="43" t="str">
        <f t="shared" si="10"/>
        <v>('28Nov240018','070000169270','51000',(select max(to_number(i.premium_rcv_detail_code))+1
from ins_premium_det i),'51000','51000','02', '11000003','00','Request by Mr. Raheel Malik Premium 02-Dec-2024');</v>
      </c>
      <c r="H133" s="44" t="str">
        <f t="shared" si="11"/>
        <v>insert into ins_premium_det (premium_rcv_code,assorted_code, rec_amount,premium_rcv_detail_code,remaining_amt, payrec, mode_code,coinsurance_code,class_cd,it_remarks) values('28Nov240018','070000169270','51000',(select max(to_number(i.premium_rcv_detail_code))+1
from ins_premium_det i),'51000','51000','02', '11000003','00','Request by Mr. Raheel Malik Premium 02-Dec-2024');</v>
      </c>
    </row>
    <row r="134" spans="1:8" ht="105" x14ac:dyDescent="0.25">
      <c r="A134" s="16" t="s">
        <v>1473</v>
      </c>
      <c r="B134" s="38" t="str">
        <f>VLOOKUP(A134,policy1!B:C,2,0)</f>
        <v>070000169269</v>
      </c>
      <c r="C134" s="39">
        <f>VLOOKUP(A134,Renewal!AF:AG,2,0)</f>
        <v>82875</v>
      </c>
      <c r="D134" s="40">
        <f t="shared" si="9"/>
        <v>82875</v>
      </c>
      <c r="E134" s="41" t="s">
        <v>2168</v>
      </c>
      <c r="F134" s="42" t="str">
        <f t="shared" si="8"/>
        <v>insert into ins_premium_det (premium_rcv_code,assorted_code, rec_amount,premium_rcv_detail_code,remaining_amt, payrec, mode_code,coinsurance_code,class_cd,it_remarks) values</v>
      </c>
      <c r="G134" s="43" t="str">
        <f t="shared" si="10"/>
        <v>('28Nov240018','070000169269','82875',(select max(to_number(i.premium_rcv_detail_code))+1
from ins_premium_det i),'82875','82875','02', '11000003','00','Request by Mr. Raheel Malik Premium 02-Dec-2024');</v>
      </c>
      <c r="H134" s="44" t="str">
        <f t="shared" si="11"/>
        <v>insert into ins_premium_det (premium_rcv_code,assorted_code, rec_amount,premium_rcv_detail_code,remaining_amt, payrec, mode_code,coinsurance_code,class_cd,it_remarks) values('28Nov240018','070000169269','82875',(select max(to_number(i.premium_rcv_detail_code))+1
from ins_premium_det i),'82875','82875','02', '11000003','00','Request by Mr. Raheel Malik Premium 02-Dec-2024');</v>
      </c>
    </row>
    <row r="135" spans="1:8" ht="105" x14ac:dyDescent="0.25">
      <c r="A135" s="16" t="s">
        <v>1480</v>
      </c>
      <c r="B135" s="38" t="str">
        <f>VLOOKUP(A135,policy1!B:C,2,0)</f>
        <v>070000169260</v>
      </c>
      <c r="C135" s="39">
        <f>VLOOKUP(A135,Renewal!AF:AG,2,0)</f>
        <v>47250</v>
      </c>
      <c r="D135" s="40">
        <f t="shared" si="9"/>
        <v>47250</v>
      </c>
      <c r="E135" s="41" t="s">
        <v>2168</v>
      </c>
      <c r="F135" s="42" t="str">
        <f t="shared" si="8"/>
        <v>insert into ins_premium_det (premium_rcv_code,assorted_code, rec_amount,premium_rcv_detail_code,remaining_amt, payrec, mode_code,coinsurance_code,class_cd,it_remarks) values</v>
      </c>
      <c r="G135" s="43" t="str">
        <f t="shared" si="10"/>
        <v>('28Nov240018','070000169260','47250',(select max(to_number(i.premium_rcv_detail_code))+1
from ins_premium_det i),'47250','47250','02', '11000003','00','Request by Mr. Raheel Malik Premium 02-Dec-2024');</v>
      </c>
      <c r="H135" s="44" t="str">
        <f t="shared" si="11"/>
        <v>insert into ins_premium_det (premium_rcv_code,assorted_code, rec_amount,premium_rcv_detail_code,remaining_amt, payrec, mode_code,coinsurance_code,class_cd,it_remarks) values('28Nov240018','070000169260','47250',(select max(to_number(i.premium_rcv_detail_code))+1
from ins_premium_det i),'47250','47250','02', '11000003','00','Request by Mr. Raheel Malik Premium 02-Dec-2024');</v>
      </c>
    </row>
    <row r="136" spans="1:8" ht="105" x14ac:dyDescent="0.25">
      <c r="A136" s="16" t="s">
        <v>1487</v>
      </c>
      <c r="B136" s="38" t="str">
        <f>VLOOKUP(A136,policy1!B:C,2,0)</f>
        <v>070000169259</v>
      </c>
      <c r="C136" s="39">
        <f>VLOOKUP(A136,Renewal!AF:AG,2,0)</f>
        <v>76950</v>
      </c>
      <c r="D136" s="40">
        <f t="shared" si="9"/>
        <v>76950</v>
      </c>
      <c r="E136" s="41" t="s">
        <v>2168</v>
      </c>
      <c r="F136" s="42" t="str">
        <f t="shared" si="8"/>
        <v>insert into ins_premium_det (premium_rcv_code,assorted_code, rec_amount,premium_rcv_detail_code,remaining_amt, payrec, mode_code,coinsurance_code,class_cd,it_remarks) values</v>
      </c>
      <c r="G136" s="43" t="str">
        <f t="shared" si="10"/>
        <v>('28Nov240018','070000169259','76950',(select max(to_number(i.premium_rcv_detail_code))+1
from ins_premium_det i),'76950','76950','02', '11000003','00','Request by Mr. Raheel Malik Premium 02-Dec-2024');</v>
      </c>
      <c r="H136" s="44" t="str">
        <f t="shared" si="11"/>
        <v>insert into ins_premium_det (premium_rcv_code,assorted_code, rec_amount,premium_rcv_detail_code,remaining_amt, payrec, mode_code,coinsurance_code,class_cd,it_remarks) values('28Nov240018','070000169259','76950',(select max(to_number(i.premium_rcv_detail_code))+1
from ins_premium_det i),'76950','76950','02', '11000003','00','Request by Mr. Raheel Malik Premium 02-Dec-2024');</v>
      </c>
    </row>
    <row r="137" spans="1:8" ht="105" x14ac:dyDescent="0.25">
      <c r="A137" s="16" t="s">
        <v>1495</v>
      </c>
      <c r="B137" s="38" t="str">
        <f>VLOOKUP(A137,policy1!B:C,2,0)</f>
        <v>070000169258</v>
      </c>
      <c r="C137" s="39">
        <f>VLOOKUP(A137,Renewal!AF:AG,2,0)</f>
        <v>52650</v>
      </c>
      <c r="D137" s="40">
        <f t="shared" si="9"/>
        <v>52650</v>
      </c>
      <c r="E137" s="41" t="s">
        <v>2168</v>
      </c>
      <c r="F137" s="42" t="str">
        <f t="shared" si="8"/>
        <v>insert into ins_premium_det (premium_rcv_code,assorted_code, rec_amount,premium_rcv_detail_code,remaining_amt, payrec, mode_code,coinsurance_code,class_cd,it_remarks) values</v>
      </c>
      <c r="G137" s="43" t="str">
        <f t="shared" si="10"/>
        <v>('28Nov240018','070000169258','52650',(select max(to_number(i.premium_rcv_detail_code))+1
from ins_premium_det i),'52650','52650','02', '11000003','00','Request by Mr. Raheel Malik Premium 02-Dec-2024');</v>
      </c>
      <c r="H137" s="44" t="str">
        <f t="shared" si="11"/>
        <v>insert into ins_premium_det (premium_rcv_code,assorted_code, rec_amount,premium_rcv_detail_code,remaining_amt, payrec, mode_code,coinsurance_code,class_cd,it_remarks) values('28Nov240018','070000169258','52650',(select max(to_number(i.premium_rcv_detail_code))+1
from ins_premium_det i),'52650','52650','02', '11000003','00','Request by Mr. Raheel Malik Premium 02-Dec-2024');</v>
      </c>
    </row>
    <row r="138" spans="1:8" ht="105" x14ac:dyDescent="0.25">
      <c r="A138" s="16" t="s">
        <v>1502</v>
      </c>
      <c r="B138" s="38" t="str">
        <f>VLOOKUP(A138,policy1!B:C,2,0)</f>
        <v>070000169257</v>
      </c>
      <c r="C138" s="39">
        <f>VLOOKUP(A138,Renewal!AF:AG,2,0)</f>
        <v>60750</v>
      </c>
      <c r="D138" s="40">
        <f t="shared" si="9"/>
        <v>60750</v>
      </c>
      <c r="E138" s="41" t="s">
        <v>2168</v>
      </c>
      <c r="F138" s="42" t="str">
        <f t="shared" si="8"/>
        <v>insert into ins_premium_det (premium_rcv_code,assorted_code, rec_amount,premium_rcv_detail_code,remaining_amt, payrec, mode_code,coinsurance_code,class_cd,it_remarks) values</v>
      </c>
      <c r="G138" s="43" t="str">
        <f t="shared" si="10"/>
        <v>('28Nov240018','070000169257','60750',(select max(to_number(i.premium_rcv_detail_code))+1
from ins_premium_det i),'60750','60750','02', '11000003','00','Request by Mr. Raheel Malik Premium 02-Dec-2024');</v>
      </c>
      <c r="H138" s="44" t="str">
        <f t="shared" si="11"/>
        <v>insert into ins_premium_det (premium_rcv_code,assorted_code, rec_amount,premium_rcv_detail_code,remaining_amt, payrec, mode_code,coinsurance_code,class_cd,it_remarks) values('28Nov240018','070000169257','60750',(select max(to_number(i.premium_rcv_detail_code))+1
from ins_premium_det i),'60750','60750','02', '11000003','00','Request by Mr. Raheel Malik Premium 02-Dec-2024');</v>
      </c>
    </row>
    <row r="139" spans="1:8" ht="105" x14ac:dyDescent="0.25">
      <c r="A139" s="16" t="s">
        <v>1509</v>
      </c>
      <c r="B139" s="38" t="str">
        <f>VLOOKUP(A139,policy1!B:C,2,0)</f>
        <v>070000169256</v>
      </c>
      <c r="C139" s="39">
        <f>VLOOKUP(A139,Renewal!AF:AG,2,0)</f>
        <v>58050</v>
      </c>
      <c r="D139" s="40">
        <f t="shared" si="9"/>
        <v>58050</v>
      </c>
      <c r="E139" s="41" t="s">
        <v>2168</v>
      </c>
      <c r="F139" s="42" t="str">
        <f t="shared" si="8"/>
        <v>insert into ins_premium_det (premium_rcv_code,assorted_code, rec_amount,premium_rcv_detail_code,remaining_amt, payrec, mode_code,coinsurance_code,class_cd,it_remarks) values</v>
      </c>
      <c r="G139" s="43" t="str">
        <f t="shared" si="10"/>
        <v>('28Nov240018','070000169256','58050',(select max(to_number(i.premium_rcv_detail_code))+1
from ins_premium_det i),'58050','58050','02', '11000003','00','Request by Mr. Raheel Malik Premium 02-Dec-2024');</v>
      </c>
      <c r="H139" s="44" t="str">
        <f t="shared" si="11"/>
        <v>insert into ins_premium_det (premium_rcv_code,assorted_code, rec_amount,premium_rcv_detail_code,remaining_amt, payrec, mode_code,coinsurance_code,class_cd,it_remarks) values('28Nov240018','070000169256','58050',(select max(to_number(i.premium_rcv_detail_code))+1
from ins_premium_det i),'58050','58050','02', '11000003','00','Request by Mr. Raheel Malik Premium 02-Dec-2024');</v>
      </c>
    </row>
    <row r="140" spans="1:8" ht="105" x14ac:dyDescent="0.25">
      <c r="A140" s="16" t="s">
        <v>1516</v>
      </c>
      <c r="B140" s="38" t="str">
        <f>VLOOKUP(A140,policy1!B:C,2,0)</f>
        <v>070000169255</v>
      </c>
      <c r="C140" s="39">
        <f>VLOOKUP(A140,Renewal!AF:AG,2,0)</f>
        <v>54000</v>
      </c>
      <c r="D140" s="40">
        <f t="shared" si="9"/>
        <v>54000</v>
      </c>
      <c r="E140" s="41" t="s">
        <v>2168</v>
      </c>
      <c r="F140" s="42" t="str">
        <f t="shared" si="8"/>
        <v>insert into ins_premium_det (premium_rcv_code,assorted_code, rec_amount,premium_rcv_detail_code,remaining_amt, payrec, mode_code,coinsurance_code,class_cd,it_remarks) values</v>
      </c>
      <c r="G140" s="43" t="str">
        <f t="shared" si="10"/>
        <v>('28Nov240018','070000169255','54000',(select max(to_number(i.premium_rcv_detail_code))+1
from ins_premium_det i),'54000','54000','02', '11000003','00','Request by Mr. Raheel Malik Premium 02-Dec-2024');</v>
      </c>
      <c r="H140" s="44" t="str">
        <f t="shared" si="11"/>
        <v>insert into ins_premium_det (premium_rcv_code,assorted_code, rec_amount,premium_rcv_detail_code,remaining_amt, payrec, mode_code,coinsurance_code,class_cd,it_remarks) values('28Nov240018','070000169255','54000',(select max(to_number(i.premium_rcv_detail_code))+1
from ins_premium_det i),'54000','54000','02', '11000003','00','Request by Mr. Raheel Malik Premium 02-Dec-2024');</v>
      </c>
    </row>
    <row r="141" spans="1:8" ht="105" x14ac:dyDescent="0.25">
      <c r="A141" s="16" t="s">
        <v>1525</v>
      </c>
      <c r="B141" s="38" t="str">
        <f>VLOOKUP(A141,policy1!B:C,2,0)</f>
        <v>070000169254</v>
      </c>
      <c r="C141" s="39">
        <f>VLOOKUP(A141,Renewal!AF:AG,2,0)</f>
        <v>47250</v>
      </c>
      <c r="D141" s="40">
        <f t="shared" si="9"/>
        <v>47250</v>
      </c>
      <c r="E141" s="41" t="s">
        <v>2168</v>
      </c>
      <c r="F141" s="42" t="str">
        <f t="shared" si="8"/>
        <v>insert into ins_premium_det (premium_rcv_code,assorted_code, rec_amount,premium_rcv_detail_code,remaining_amt, payrec, mode_code,coinsurance_code,class_cd,it_remarks) values</v>
      </c>
      <c r="G141" s="43" t="str">
        <f t="shared" si="10"/>
        <v>('28Nov240018','070000169254','47250',(select max(to_number(i.premium_rcv_detail_code))+1
from ins_premium_det i),'47250','47250','02', '11000003','00','Request by Mr. Raheel Malik Premium 02-Dec-2024');</v>
      </c>
      <c r="H141" s="44" t="str">
        <f t="shared" si="11"/>
        <v>insert into ins_premium_det (premium_rcv_code,assorted_code, rec_amount,premium_rcv_detail_code,remaining_amt, payrec, mode_code,coinsurance_code,class_cd,it_remarks) values('28Nov240018','070000169254','47250',(select max(to_number(i.premium_rcv_detail_code))+1
from ins_premium_det i),'47250','47250','02', '11000003','00','Request by Mr. Raheel Malik Premium 02-Dec-2024');</v>
      </c>
    </row>
    <row r="142" spans="1:8" ht="105" x14ac:dyDescent="0.25">
      <c r="A142" s="16" t="s">
        <v>1534</v>
      </c>
      <c r="B142" s="38" t="str">
        <f>VLOOKUP(A142,policy1!B:C,2,0)</f>
        <v>070000169217</v>
      </c>
      <c r="C142" s="39">
        <f>VLOOKUP(A142,Renewal!AF:AG,2,0)</f>
        <v>37800</v>
      </c>
      <c r="D142" s="40">
        <f t="shared" si="9"/>
        <v>37800</v>
      </c>
      <c r="E142" s="41" t="s">
        <v>2168</v>
      </c>
      <c r="F142" s="42" t="str">
        <f t="shared" si="8"/>
        <v>insert into ins_premium_det (premium_rcv_code,assorted_code, rec_amount,premium_rcv_detail_code,remaining_amt, payrec, mode_code,coinsurance_code,class_cd,it_remarks) values</v>
      </c>
      <c r="G142" s="43" t="str">
        <f t="shared" si="10"/>
        <v>('28Nov240018','070000169217','37800',(select max(to_number(i.premium_rcv_detail_code))+1
from ins_premium_det i),'37800','37800','02', '11000003','00','Request by Mr. Raheel Malik Premium 02-Dec-2024');</v>
      </c>
      <c r="H142" s="44" t="str">
        <f t="shared" si="11"/>
        <v>insert into ins_premium_det (premium_rcv_code,assorted_code, rec_amount,premium_rcv_detail_code,remaining_amt, payrec, mode_code,coinsurance_code,class_cd,it_remarks) values('28Nov240018','070000169217','37800',(select max(to_number(i.premium_rcv_detail_code))+1
from ins_premium_det i),'37800','37800','02', '11000003','00','Request by Mr. Raheel Malik Premium 02-Dec-2024');</v>
      </c>
    </row>
    <row r="143" spans="1:8" ht="105" x14ac:dyDescent="0.25">
      <c r="A143" s="16" t="s">
        <v>1542</v>
      </c>
      <c r="B143" s="38" t="str">
        <f>VLOOKUP(A143,policy1!B:C,2,0)</f>
        <v>070000169215</v>
      </c>
      <c r="C143" s="39">
        <f>VLOOKUP(A143,Renewal!AF:AG,2,0)</f>
        <v>35700</v>
      </c>
      <c r="D143" s="40">
        <f t="shared" si="9"/>
        <v>35700</v>
      </c>
      <c r="E143" s="41" t="s">
        <v>2168</v>
      </c>
      <c r="F143" s="42" t="str">
        <f t="shared" si="8"/>
        <v>insert into ins_premium_det (premium_rcv_code,assorted_code, rec_amount,premium_rcv_detail_code,remaining_amt, payrec, mode_code,coinsurance_code,class_cd,it_remarks) values</v>
      </c>
      <c r="G143" s="43" t="str">
        <f t="shared" si="10"/>
        <v>('28Nov240018','070000169215','35700',(select max(to_number(i.premium_rcv_detail_code))+1
from ins_premium_det i),'35700','35700','02', '11000003','00','Request by Mr. Raheel Malik Premium 02-Dec-2024');</v>
      </c>
      <c r="H143" s="44" t="str">
        <f t="shared" si="11"/>
        <v>insert into ins_premium_det (premium_rcv_code,assorted_code, rec_amount,premium_rcv_detail_code,remaining_amt, payrec, mode_code,coinsurance_code,class_cd,it_remarks) values('28Nov240018','070000169215','35700',(select max(to_number(i.premium_rcv_detail_code))+1
from ins_premium_det i),'35700','35700','02', '11000003','00','Request by Mr. Raheel Malik Premium 02-Dec-2024');</v>
      </c>
    </row>
    <row r="144" spans="1:8" ht="105" x14ac:dyDescent="0.25">
      <c r="A144" s="16" t="s">
        <v>1549</v>
      </c>
      <c r="B144" s="38" t="str">
        <f>VLOOKUP(A144,policy1!B:C,2,0)</f>
        <v>070000169214</v>
      </c>
      <c r="C144" s="39">
        <f>VLOOKUP(A144,Renewal!AF:AG,2,0)</f>
        <v>33592</v>
      </c>
      <c r="D144" s="40">
        <f t="shared" si="9"/>
        <v>33592</v>
      </c>
      <c r="E144" s="41" t="s">
        <v>2168</v>
      </c>
      <c r="F144" s="42" t="str">
        <f t="shared" si="8"/>
        <v>insert into ins_premium_det (premium_rcv_code,assorted_code, rec_amount,premium_rcv_detail_code,remaining_amt, payrec, mode_code,coinsurance_code,class_cd,it_remarks) values</v>
      </c>
      <c r="G144" s="43" t="str">
        <f t="shared" si="10"/>
        <v>('28Nov240018','070000169214','33592',(select max(to_number(i.premium_rcv_detail_code))+1
from ins_premium_det i),'33592','33592','02', '11000003','00','Request by Mr. Raheel Malik Premium 02-Dec-2024');</v>
      </c>
      <c r="H144" s="44" t="str">
        <f t="shared" si="11"/>
        <v>insert into ins_premium_det (premium_rcv_code,assorted_code, rec_amount,premium_rcv_detail_code,remaining_amt, payrec, mode_code,coinsurance_code,class_cd,it_remarks) values('28Nov240018','070000169214','33592',(select max(to_number(i.premium_rcv_detail_code))+1
from ins_premium_det i),'33592','33592','02', '11000003','00','Request by Mr. Raheel Malik Premium 02-Dec-2024');</v>
      </c>
    </row>
    <row r="145" spans="1:8" ht="105" x14ac:dyDescent="0.25">
      <c r="A145" s="16" t="s">
        <v>1557</v>
      </c>
      <c r="B145" s="38" t="str">
        <f>VLOOKUP(A145,policy1!B:C,2,0)</f>
        <v>070000169213</v>
      </c>
      <c r="C145" s="39">
        <f>VLOOKUP(A145,Renewal!AF:AG,2,0)</f>
        <v>17000</v>
      </c>
      <c r="D145" s="40">
        <f t="shared" si="9"/>
        <v>17000</v>
      </c>
      <c r="E145" s="41" t="s">
        <v>2168</v>
      </c>
      <c r="F145" s="42" t="str">
        <f t="shared" si="8"/>
        <v>insert into ins_premium_det (premium_rcv_code,assorted_code, rec_amount,premium_rcv_detail_code,remaining_amt, payrec, mode_code,coinsurance_code,class_cd,it_remarks) values</v>
      </c>
      <c r="G145" s="43" t="str">
        <f t="shared" si="10"/>
        <v>('28Nov240018','070000169213','17000',(select max(to_number(i.premium_rcv_detail_code))+1
from ins_premium_det i),'17000','17000','02', '11000003','00','Request by Mr. Raheel Malik Premium 02-Dec-2024');</v>
      </c>
      <c r="H145" s="44" t="str">
        <f t="shared" si="11"/>
        <v>insert into ins_premium_det (premium_rcv_code,assorted_code, rec_amount,premium_rcv_detail_code,remaining_amt, payrec, mode_code,coinsurance_code,class_cd,it_remarks) values('28Nov240018','070000169213','17000',(select max(to_number(i.premium_rcv_detail_code))+1
from ins_premium_det i),'17000','17000','02', '11000003','00','Request by Mr. Raheel Malik Premium 02-Dec-2024');</v>
      </c>
    </row>
    <row r="146" spans="1:8" ht="105" x14ac:dyDescent="0.25">
      <c r="A146" s="16" t="s">
        <v>1562</v>
      </c>
      <c r="B146" s="38" t="str">
        <f>VLOOKUP(A146,policy1!B:C,2,0)</f>
        <v>070000169212</v>
      </c>
      <c r="C146" s="39">
        <f>VLOOKUP(A146,Renewal!AF:AG,2,0)</f>
        <v>37740</v>
      </c>
      <c r="D146" s="40">
        <f t="shared" si="9"/>
        <v>37740</v>
      </c>
      <c r="E146" s="41" t="s">
        <v>2168</v>
      </c>
      <c r="F146" s="42" t="str">
        <f t="shared" si="8"/>
        <v>insert into ins_premium_det (premium_rcv_code,assorted_code, rec_amount,premium_rcv_detail_code,remaining_amt, payrec, mode_code,coinsurance_code,class_cd,it_remarks) values</v>
      </c>
      <c r="G146" s="43" t="str">
        <f t="shared" si="10"/>
        <v>('28Nov240018','070000169212','37740',(select max(to_number(i.premium_rcv_detail_code))+1
from ins_premium_det i),'37740','37740','02', '11000003','00','Request by Mr. Raheel Malik Premium 02-Dec-2024');</v>
      </c>
      <c r="H146" s="44" t="str">
        <f t="shared" si="11"/>
        <v>insert into ins_premium_det (premium_rcv_code,assorted_code, rec_amount,premium_rcv_detail_code,remaining_amt, payrec, mode_code,coinsurance_code,class_cd,it_remarks) values('28Nov240018','070000169212','37740',(select max(to_number(i.premium_rcv_detail_code))+1
from ins_premium_det i),'37740','37740','02', '11000003','00','Request by Mr. Raheel Malik Premium 02-Dec-2024');</v>
      </c>
    </row>
    <row r="147" spans="1:8" ht="105" x14ac:dyDescent="0.25">
      <c r="A147" s="16" t="s">
        <v>1569</v>
      </c>
      <c r="B147" s="38" t="str">
        <f>VLOOKUP(A147,policy1!B:C,2,0)</f>
        <v>070000169211</v>
      </c>
      <c r="C147" s="39">
        <f>VLOOKUP(A147,Renewal!AF:AG,2,0)</f>
        <v>47634</v>
      </c>
      <c r="D147" s="40">
        <f t="shared" si="9"/>
        <v>47634</v>
      </c>
      <c r="E147" s="41" t="s">
        <v>2168</v>
      </c>
      <c r="F147" s="42" t="str">
        <f t="shared" si="8"/>
        <v>insert into ins_premium_det (premium_rcv_code,assorted_code, rec_amount,premium_rcv_detail_code,remaining_amt, payrec, mode_code,coinsurance_code,class_cd,it_remarks) values</v>
      </c>
      <c r="G147" s="43" t="str">
        <f t="shared" si="10"/>
        <v>('28Nov240018','070000169211','47634',(select max(to_number(i.premium_rcv_detail_code))+1
from ins_premium_det i),'47634','47634','02', '11000003','00','Request by Mr. Raheel Malik Premium 02-Dec-2024');</v>
      </c>
      <c r="H147" s="44" t="str">
        <f t="shared" si="11"/>
        <v>insert into ins_premium_det (premium_rcv_code,assorted_code, rec_amount,premium_rcv_detail_code,remaining_amt, payrec, mode_code,coinsurance_code,class_cd,it_remarks) values('28Nov240018','070000169211','47634',(select max(to_number(i.premium_rcv_detail_code))+1
from ins_premium_det i),'47634','47634','02', '11000003','00','Request by Mr. Raheel Malik Premium 02-Dec-2024');</v>
      </c>
    </row>
    <row r="148" spans="1:8" ht="105" x14ac:dyDescent="0.25">
      <c r="A148" s="16" t="s">
        <v>1577</v>
      </c>
      <c r="B148" s="38" t="str">
        <f>VLOOKUP(A148,policy1!B:C,2,0)</f>
        <v>070000169210</v>
      </c>
      <c r="C148" s="39">
        <f>VLOOKUP(A148,Renewal!AF:AG,2,0)</f>
        <v>41310</v>
      </c>
      <c r="D148" s="40">
        <f t="shared" si="9"/>
        <v>41310</v>
      </c>
      <c r="E148" s="41" t="s">
        <v>2168</v>
      </c>
      <c r="F148" s="42" t="str">
        <f t="shared" si="8"/>
        <v>insert into ins_premium_det (premium_rcv_code,assorted_code, rec_amount,premium_rcv_detail_code,remaining_amt, payrec, mode_code,coinsurance_code,class_cd,it_remarks) values</v>
      </c>
      <c r="G148" s="43" t="str">
        <f t="shared" si="10"/>
        <v>('28Nov240018','070000169210','41310',(select max(to_number(i.premium_rcv_detail_code))+1
from ins_premium_det i),'41310','41310','02', '11000003','00','Request by Mr. Raheel Malik Premium 02-Dec-2024');</v>
      </c>
      <c r="H148" s="44" t="str">
        <f t="shared" si="11"/>
        <v>insert into ins_premium_det (premium_rcv_code,assorted_code, rec_amount,premium_rcv_detail_code,remaining_amt, payrec, mode_code,coinsurance_code,class_cd,it_remarks) values('28Nov240018','070000169210','41310',(select max(to_number(i.premium_rcv_detail_code))+1
from ins_premium_det i),'41310','41310','02', '11000003','00','Request by Mr. Raheel Malik Premium 02-Dec-2024');</v>
      </c>
    </row>
    <row r="149" spans="1:8" ht="105" x14ac:dyDescent="0.25">
      <c r="A149" s="16" t="s">
        <v>1586</v>
      </c>
      <c r="B149" s="38" t="str">
        <f>VLOOKUP(A149,policy1!B:C,2,0)</f>
        <v>070000169186</v>
      </c>
      <c r="C149" s="39">
        <f>VLOOKUP(A149,Renewal!AF:AG,2,0)</f>
        <v>58500</v>
      </c>
      <c r="D149" s="40">
        <f t="shared" si="9"/>
        <v>58500</v>
      </c>
      <c r="E149" s="41" t="s">
        <v>2168</v>
      </c>
      <c r="F149" s="42" t="str">
        <f t="shared" si="8"/>
        <v>insert into ins_premium_det (premium_rcv_code,assorted_code, rec_amount,premium_rcv_detail_code,remaining_amt, payrec, mode_code,coinsurance_code,class_cd,it_remarks) values</v>
      </c>
      <c r="G149" s="43" t="str">
        <f t="shared" si="10"/>
        <v>('28Nov240018','070000169186','58500',(select max(to_number(i.premium_rcv_detail_code))+1
from ins_premium_det i),'58500','58500','02', '11000003','00','Request by Mr. Raheel Malik Premium 02-Dec-2024');</v>
      </c>
      <c r="H149" s="44" t="str">
        <f t="shared" si="11"/>
        <v>insert into ins_premium_det (premium_rcv_code,assorted_code, rec_amount,premium_rcv_detail_code,remaining_amt, payrec, mode_code,coinsurance_code,class_cd,it_remarks) values('28Nov240018','070000169186','58500',(select max(to_number(i.premium_rcv_detail_code))+1
from ins_premium_det i),'58500','58500','02', '11000003','00','Request by Mr. Raheel Malik Premium 02-Dec-2024');</v>
      </c>
    </row>
    <row r="150" spans="1:8" ht="105" x14ac:dyDescent="0.25">
      <c r="A150" s="16" t="s">
        <v>1593</v>
      </c>
      <c r="B150" s="38" t="str">
        <f>VLOOKUP(A150,policy1!B:C,2,0)</f>
        <v>070000169185</v>
      </c>
      <c r="C150" s="39">
        <f>VLOOKUP(A150,Renewal!AF:AG,2,0)</f>
        <v>22500</v>
      </c>
      <c r="D150" s="40">
        <f t="shared" si="9"/>
        <v>22500</v>
      </c>
      <c r="E150" s="41" t="s">
        <v>2168</v>
      </c>
      <c r="F150" s="42" t="str">
        <f t="shared" si="8"/>
        <v>insert into ins_premium_det (premium_rcv_code,assorted_code, rec_amount,premium_rcv_detail_code,remaining_amt, payrec, mode_code,coinsurance_code,class_cd,it_remarks) values</v>
      </c>
      <c r="G150" s="43" t="str">
        <f t="shared" si="10"/>
        <v>('28Nov240018','070000169185','22500',(select max(to_number(i.premium_rcv_detail_code))+1
from ins_premium_det i),'22500','22500','02', '11000003','00','Request by Mr. Raheel Malik Premium 02-Dec-2024');</v>
      </c>
      <c r="H150" s="44" t="str">
        <f t="shared" si="11"/>
        <v>insert into ins_premium_det (premium_rcv_code,assorted_code, rec_amount,premium_rcv_detail_code,remaining_amt, payrec, mode_code,coinsurance_code,class_cd,it_remarks) values('28Nov240018','070000169185','22500',(select max(to_number(i.premium_rcv_detail_code))+1
from ins_premium_det i),'22500','22500','02', '11000003','00','Request by Mr. Raheel Malik Premium 02-Dec-2024');</v>
      </c>
    </row>
    <row r="151" spans="1:8" ht="105" x14ac:dyDescent="0.25">
      <c r="A151" s="16" t="s">
        <v>1600</v>
      </c>
      <c r="B151" s="38" t="str">
        <f>VLOOKUP(A151,policy1!B:C,2,0)</f>
        <v>070000169184</v>
      </c>
      <c r="C151" s="39">
        <f>VLOOKUP(A151,Renewal!AF:AG,2,0)</f>
        <v>46800</v>
      </c>
      <c r="D151" s="40">
        <f t="shared" si="9"/>
        <v>46800</v>
      </c>
      <c r="E151" s="41" t="s">
        <v>2168</v>
      </c>
      <c r="F151" s="42" t="str">
        <f t="shared" si="8"/>
        <v>insert into ins_premium_det (premium_rcv_code,assorted_code, rec_amount,premium_rcv_detail_code,remaining_amt, payrec, mode_code,coinsurance_code,class_cd,it_remarks) values</v>
      </c>
      <c r="G151" s="43" t="str">
        <f t="shared" si="10"/>
        <v>('28Nov240018','070000169184','46800',(select max(to_number(i.premium_rcv_detail_code))+1
from ins_premium_det i),'46800','46800','02', '11000003','00','Request by Mr. Raheel Malik Premium 02-Dec-2024');</v>
      </c>
      <c r="H151" s="44" t="str">
        <f t="shared" si="11"/>
        <v>insert into ins_premium_det (premium_rcv_code,assorted_code, rec_amount,premium_rcv_detail_code,remaining_amt, payrec, mode_code,coinsurance_code,class_cd,it_remarks) values('28Nov240018','070000169184','46800',(select max(to_number(i.premium_rcv_detail_code))+1
from ins_premium_det i),'46800','46800','02', '11000003','00','Request by Mr. Raheel Malik Premium 02-Dec-2024');</v>
      </c>
    </row>
    <row r="152" spans="1:8" ht="105" x14ac:dyDescent="0.25">
      <c r="A152" s="16" t="s">
        <v>1608</v>
      </c>
      <c r="B152" s="38" t="str">
        <f>VLOOKUP(A152,policy1!B:C,2,0)</f>
        <v>070000169182</v>
      </c>
      <c r="C152" s="39">
        <f>VLOOKUP(A152,Renewal!AF:AG,2,0)</f>
        <v>36360</v>
      </c>
      <c r="D152" s="40">
        <f t="shared" si="9"/>
        <v>36360</v>
      </c>
      <c r="E152" s="41" t="s">
        <v>2168</v>
      </c>
      <c r="F152" s="42" t="str">
        <f t="shared" si="8"/>
        <v>insert into ins_premium_det (premium_rcv_code,assorted_code, rec_amount,premium_rcv_detail_code,remaining_amt, payrec, mode_code,coinsurance_code,class_cd,it_remarks) values</v>
      </c>
      <c r="G152" s="43" t="str">
        <f t="shared" si="10"/>
        <v>('28Nov240018','070000169182','36360',(select max(to_number(i.premium_rcv_detail_code))+1
from ins_premium_det i),'36360','36360','02', '11000003','00','Request by Mr. Raheel Malik Premium 02-Dec-2024');</v>
      </c>
      <c r="H152" s="44" t="str">
        <f t="shared" si="11"/>
        <v>insert into ins_premium_det (premium_rcv_code,assorted_code, rec_amount,premium_rcv_detail_code,remaining_amt, payrec, mode_code,coinsurance_code,class_cd,it_remarks) values('28Nov240018','070000169182','36360',(select max(to_number(i.premium_rcv_detail_code))+1
from ins_premium_det i),'36360','36360','02', '11000003','00','Request by Mr. Raheel Malik Premium 02-Dec-2024');</v>
      </c>
    </row>
    <row r="153" spans="1:8" ht="105" x14ac:dyDescent="0.25">
      <c r="A153" s="16" t="s">
        <v>1615</v>
      </c>
      <c r="B153" s="38" t="str">
        <f>VLOOKUP(A153,policy1!B:C,2,0)</f>
        <v>070000169181</v>
      </c>
      <c r="C153" s="39">
        <f>VLOOKUP(A153,Renewal!AF:AG,2,0)</f>
        <v>54000</v>
      </c>
      <c r="D153" s="40">
        <f t="shared" si="9"/>
        <v>54000</v>
      </c>
      <c r="E153" s="41" t="s">
        <v>2168</v>
      </c>
      <c r="F153" s="42" t="str">
        <f t="shared" si="8"/>
        <v>insert into ins_premium_det (premium_rcv_code,assorted_code, rec_amount,premium_rcv_detail_code,remaining_amt, payrec, mode_code,coinsurance_code,class_cd,it_remarks) values</v>
      </c>
      <c r="G153" s="43" t="str">
        <f t="shared" si="10"/>
        <v>('28Nov240018','070000169181','54000',(select max(to_number(i.premium_rcv_detail_code))+1
from ins_premium_det i),'54000','54000','02', '11000003','00','Request by Mr. Raheel Malik Premium 02-Dec-2024');</v>
      </c>
      <c r="H153" s="44" t="str">
        <f t="shared" si="11"/>
        <v>insert into ins_premium_det (premium_rcv_code,assorted_code, rec_amount,premium_rcv_detail_code,remaining_amt, payrec, mode_code,coinsurance_code,class_cd,it_remarks) values('28Nov240018','070000169181','54000',(select max(to_number(i.premium_rcv_detail_code))+1
from ins_premium_det i),'54000','54000','02', '11000003','00','Request by Mr. Raheel Malik Premium 02-Dec-2024');</v>
      </c>
    </row>
    <row r="154" spans="1:8" ht="105" x14ac:dyDescent="0.25">
      <c r="A154" s="16" t="s">
        <v>1624</v>
      </c>
      <c r="B154" s="38" t="str">
        <f>VLOOKUP(A154,policy1!B:C,2,0)</f>
        <v>070000169098</v>
      </c>
      <c r="C154" s="39">
        <f>VLOOKUP(A154,Renewal!AF:AG,2,0)</f>
        <v>61926</v>
      </c>
      <c r="D154" s="40">
        <f t="shared" si="9"/>
        <v>61926</v>
      </c>
      <c r="E154" s="41" t="s">
        <v>2168</v>
      </c>
      <c r="F154" s="42" t="str">
        <f t="shared" si="8"/>
        <v>insert into ins_premium_det (premium_rcv_code,assorted_code, rec_amount,premium_rcv_detail_code,remaining_amt, payrec, mode_code,coinsurance_code,class_cd,it_remarks) values</v>
      </c>
      <c r="G154" s="43" t="str">
        <f t="shared" si="10"/>
        <v>('28Nov240018','070000169098','61926',(select max(to_number(i.premium_rcv_detail_code))+1
from ins_premium_det i),'61926','61926','02', '11000003','00','Request by Mr. Raheel Malik Premium 02-Dec-2024');</v>
      </c>
      <c r="H154" s="44" t="str">
        <f t="shared" si="11"/>
        <v>insert into ins_premium_det (premium_rcv_code,assorted_code, rec_amount,premium_rcv_detail_code,remaining_amt, payrec, mode_code,coinsurance_code,class_cd,it_remarks) values('28Nov240018','070000169098','61926',(select max(to_number(i.premium_rcv_detail_code))+1
from ins_premium_det i),'61926','61926','02', '11000003','00','Request by Mr. Raheel Malik Premium 02-Dec-2024');</v>
      </c>
    </row>
    <row r="155" spans="1:8" ht="105" x14ac:dyDescent="0.25">
      <c r="A155" s="16" t="s">
        <v>1632</v>
      </c>
      <c r="B155" s="38" t="str">
        <f>VLOOKUP(A155,policy1!B:C,2,0)</f>
        <v>070000169090</v>
      </c>
      <c r="C155" s="39">
        <f>VLOOKUP(A155,Renewal!AF:AG,2,0)</f>
        <v>53162</v>
      </c>
      <c r="D155" s="40">
        <f t="shared" si="9"/>
        <v>53162</v>
      </c>
      <c r="E155" s="41" t="s">
        <v>2168</v>
      </c>
      <c r="F155" s="42" t="str">
        <f t="shared" si="8"/>
        <v>insert into ins_premium_det (premium_rcv_code,assorted_code, rec_amount,premium_rcv_detail_code,remaining_amt, payrec, mode_code,coinsurance_code,class_cd,it_remarks) values</v>
      </c>
      <c r="G155" s="43" t="str">
        <f t="shared" si="10"/>
        <v>('28Nov240018','070000169090','53162',(select max(to_number(i.premium_rcv_detail_code))+1
from ins_premium_det i),'53162','53162','02', '11000003','00','Request by Mr. Raheel Malik Premium 02-Dec-2024');</v>
      </c>
      <c r="H155" s="44" t="str">
        <f t="shared" si="11"/>
        <v>insert into ins_premium_det (premium_rcv_code,assorted_code, rec_amount,premium_rcv_detail_code,remaining_amt, payrec, mode_code,coinsurance_code,class_cd,it_remarks) values('28Nov240018','070000169090','53162',(select max(to_number(i.premium_rcv_detail_code))+1
from ins_premium_det i),'53162','53162','02', '11000003','00','Request by Mr. Raheel Malik Premium 02-Dec-2024');</v>
      </c>
    </row>
    <row r="156" spans="1:8" ht="105" x14ac:dyDescent="0.25">
      <c r="A156" s="16" t="s">
        <v>1642</v>
      </c>
      <c r="B156" s="38" t="str">
        <f>VLOOKUP(A156,policy1!B:C,2,0)</f>
        <v>070000168724</v>
      </c>
      <c r="C156" s="39">
        <f>VLOOKUP(A156,Renewal!AF:AG,2,0)</f>
        <v>38142</v>
      </c>
      <c r="D156" s="40">
        <f t="shared" si="9"/>
        <v>38142</v>
      </c>
      <c r="E156" s="41" t="s">
        <v>2168</v>
      </c>
      <c r="F156" s="42" t="str">
        <f t="shared" si="8"/>
        <v>insert into ins_premium_det (premium_rcv_code,assorted_code, rec_amount,premium_rcv_detail_code,remaining_amt, payrec, mode_code,coinsurance_code,class_cd,it_remarks) values</v>
      </c>
      <c r="G156" s="43" t="str">
        <f t="shared" si="10"/>
        <v>('28Nov240018','070000168724','38142',(select max(to_number(i.premium_rcv_detail_code))+1
from ins_premium_det i),'38142','38142','02', '11000003','00','Request by Mr. Raheel Malik Premium 02-Dec-2024');</v>
      </c>
      <c r="H156" s="44" t="str">
        <f t="shared" si="11"/>
        <v>insert into ins_premium_det (premium_rcv_code,assorted_code, rec_amount,premium_rcv_detail_code,remaining_amt, payrec, mode_code,coinsurance_code,class_cd,it_remarks) values('28Nov240018','070000168724','38142',(select max(to_number(i.premium_rcv_detail_code))+1
from ins_premium_det i),'38142','38142','02', '11000003','00','Request by Mr. Raheel Malik Premium 02-Dec-2024');</v>
      </c>
    </row>
    <row r="157" spans="1:8" ht="105" x14ac:dyDescent="0.25">
      <c r="A157" s="16" t="s">
        <v>1649</v>
      </c>
      <c r="B157" s="38" t="str">
        <f>VLOOKUP(A157,policy1!B:C,2,0)</f>
        <v>070000168723</v>
      </c>
      <c r="C157" s="39">
        <f>VLOOKUP(A157,Renewal!AF:AG,2,0)</f>
        <v>33408</v>
      </c>
      <c r="D157" s="40">
        <f t="shared" si="9"/>
        <v>33408</v>
      </c>
      <c r="E157" s="41" t="s">
        <v>2168</v>
      </c>
      <c r="F157" s="42" t="str">
        <f t="shared" si="8"/>
        <v>insert into ins_premium_det (premium_rcv_code,assorted_code, rec_amount,premium_rcv_detail_code,remaining_amt, payrec, mode_code,coinsurance_code,class_cd,it_remarks) values</v>
      </c>
      <c r="G157" s="43" t="str">
        <f t="shared" si="10"/>
        <v>('28Nov240018','070000168723','33408',(select max(to_number(i.premium_rcv_detail_code))+1
from ins_premium_det i),'33408','33408','02', '11000003','00','Request by Mr. Raheel Malik Premium 02-Dec-2024');</v>
      </c>
      <c r="H157" s="44" t="str">
        <f t="shared" si="11"/>
        <v>insert into ins_premium_det (premium_rcv_code,assorted_code, rec_amount,premium_rcv_detail_code,remaining_amt, payrec, mode_code,coinsurance_code,class_cd,it_remarks) values('28Nov240018','070000168723','33408',(select max(to_number(i.premium_rcv_detail_code))+1
from ins_premium_det i),'33408','33408','02', '11000003','00','Request by Mr. Raheel Malik Premium 02-Dec-2024');</v>
      </c>
    </row>
    <row r="158" spans="1:8" ht="105" x14ac:dyDescent="0.25">
      <c r="A158" s="16" t="s">
        <v>1654</v>
      </c>
      <c r="B158" s="38" t="str">
        <f>VLOOKUP(A158,policy1!B:C,2,0)</f>
        <v>070000168721</v>
      </c>
      <c r="C158" s="39">
        <f>VLOOKUP(A158,Renewal!AF:AG,2,0)</f>
        <v>24208</v>
      </c>
      <c r="D158" s="40">
        <f t="shared" si="9"/>
        <v>24208</v>
      </c>
      <c r="E158" s="41" t="s">
        <v>2168</v>
      </c>
      <c r="F158" s="42" t="str">
        <f t="shared" si="8"/>
        <v>insert into ins_premium_det (premium_rcv_code,assorted_code, rec_amount,premium_rcv_detail_code,remaining_amt, payrec, mode_code,coinsurance_code,class_cd,it_remarks) values</v>
      </c>
      <c r="G158" s="43" t="str">
        <f t="shared" si="10"/>
        <v>('28Nov240018','070000168721','24208',(select max(to_number(i.premium_rcv_detail_code))+1
from ins_premium_det i),'24208','24208','02', '11000003','00','Request by Mr. Raheel Malik Premium 02-Dec-2024');</v>
      </c>
      <c r="H158" s="44" t="str">
        <f t="shared" si="11"/>
        <v>insert into ins_premium_det (premium_rcv_code,assorted_code, rec_amount,premium_rcv_detail_code,remaining_amt, payrec, mode_code,coinsurance_code,class_cd,it_remarks) values('28Nov240018','070000168721','24208',(select max(to_number(i.premium_rcv_detail_code))+1
from ins_premium_det i),'24208','24208','02', '11000003','00','Request by Mr. Raheel Malik Premium 02-Dec-2024');</v>
      </c>
    </row>
    <row r="159" spans="1:8" ht="105" x14ac:dyDescent="0.25">
      <c r="A159" s="16" t="s">
        <v>1661</v>
      </c>
      <c r="B159" s="38" t="str">
        <f>VLOOKUP(A159,policy1!B:C,2,0)</f>
        <v>070000168720</v>
      </c>
      <c r="C159" s="39">
        <f>VLOOKUP(A159,Renewal!AF:AG,2,0)</f>
        <v>24208</v>
      </c>
      <c r="D159" s="40">
        <f t="shared" si="9"/>
        <v>24208</v>
      </c>
      <c r="E159" s="41" t="s">
        <v>2168</v>
      </c>
      <c r="F159" s="42" t="str">
        <f t="shared" si="8"/>
        <v>insert into ins_premium_det (premium_rcv_code,assorted_code, rec_amount,premium_rcv_detail_code,remaining_amt, payrec, mode_code,coinsurance_code,class_cd,it_remarks) values</v>
      </c>
      <c r="G159" s="43" t="str">
        <f t="shared" si="10"/>
        <v>('28Nov240018','070000168720','24208',(select max(to_number(i.premium_rcv_detail_code))+1
from ins_premium_det i),'24208','24208','02', '11000003','00','Request by Mr. Raheel Malik Premium 02-Dec-2024');</v>
      </c>
      <c r="H159" s="44" t="str">
        <f t="shared" si="11"/>
        <v>insert into ins_premium_det (premium_rcv_code,assorted_code, rec_amount,premium_rcv_detail_code,remaining_amt, payrec, mode_code,coinsurance_code,class_cd,it_remarks) values('28Nov240018','070000168720','24208',(select max(to_number(i.premium_rcv_detail_code))+1
from ins_premium_det i),'24208','24208','02', '11000003','00','Request by Mr. Raheel Malik Premium 02-Dec-2024');</v>
      </c>
    </row>
    <row r="160" spans="1:8" ht="105" x14ac:dyDescent="0.25">
      <c r="A160" s="16" t="s">
        <v>1668</v>
      </c>
      <c r="B160" s="38" t="str">
        <f>VLOOKUP(A160,policy1!B:C,2,0)</f>
        <v>070000169283</v>
      </c>
      <c r="C160" s="39">
        <f>VLOOKUP(A160,Renewal!AF:AG,2,0)</f>
        <v>47250</v>
      </c>
      <c r="D160" s="40">
        <f t="shared" si="9"/>
        <v>47250</v>
      </c>
      <c r="E160" s="41" t="s">
        <v>2168</v>
      </c>
      <c r="F160" s="42" t="str">
        <f t="shared" si="8"/>
        <v>insert into ins_premium_det (premium_rcv_code,assorted_code, rec_amount,premium_rcv_detail_code,remaining_amt, payrec, mode_code,coinsurance_code,class_cd,it_remarks) values</v>
      </c>
      <c r="G160" s="43" t="str">
        <f t="shared" si="10"/>
        <v>('28Nov240018','070000169283','47250',(select max(to_number(i.premium_rcv_detail_code))+1
from ins_premium_det i),'47250','47250','02', '11000003','00','Request by Mr. Raheel Malik Premium 02-Dec-2024');</v>
      </c>
      <c r="H160" s="44" t="str">
        <f t="shared" si="11"/>
        <v>insert into ins_premium_det (premium_rcv_code,assorted_code, rec_amount,premium_rcv_detail_code,remaining_amt, payrec, mode_code,coinsurance_code,class_cd,it_remarks) values('28Nov240018','070000169283','47250',(select max(to_number(i.premium_rcv_detail_code))+1
from ins_premium_det i),'47250','47250','02', '11000003','00','Request by Mr. Raheel Malik Premium 02-Dec-2024');</v>
      </c>
    </row>
    <row r="161" spans="1:8" ht="105" x14ac:dyDescent="0.25">
      <c r="A161" s="16" t="s">
        <v>1676</v>
      </c>
      <c r="B161" s="38" t="str">
        <f>VLOOKUP(A161,policy1!B:C,2,0)</f>
        <v>070000169282</v>
      </c>
      <c r="C161" s="39">
        <f>VLOOKUP(A161,Renewal!AF:AG,2,0)</f>
        <v>81000</v>
      </c>
      <c r="D161" s="40">
        <f t="shared" si="9"/>
        <v>81000</v>
      </c>
      <c r="E161" s="41" t="s">
        <v>2168</v>
      </c>
      <c r="F161" s="42" t="str">
        <f t="shared" si="8"/>
        <v>insert into ins_premium_det (premium_rcv_code,assorted_code, rec_amount,premium_rcv_detail_code,remaining_amt, payrec, mode_code,coinsurance_code,class_cd,it_remarks) values</v>
      </c>
      <c r="G161" s="43" t="str">
        <f t="shared" si="10"/>
        <v>('28Nov240018','070000169282','81000',(select max(to_number(i.premium_rcv_detail_code))+1
from ins_premium_det i),'81000','81000','02', '11000003','00','Request by Mr. Raheel Malik Premium 02-Dec-2024');</v>
      </c>
      <c r="H161" s="44" t="str">
        <f t="shared" si="11"/>
        <v>insert into ins_premium_det (premium_rcv_code,assorted_code, rec_amount,premium_rcv_detail_code,remaining_amt, payrec, mode_code,coinsurance_code,class_cd,it_remarks) values('28Nov240018','070000169282','81000',(select max(to_number(i.premium_rcv_detail_code))+1
from ins_premium_det i),'81000','81000','02', '11000003','00','Request by Mr. Raheel Malik Premium 02-Dec-2024');</v>
      </c>
    </row>
    <row r="162" spans="1:8" ht="105" x14ac:dyDescent="0.25">
      <c r="A162" s="16" t="s">
        <v>1684</v>
      </c>
      <c r="B162" s="38" t="str">
        <f>VLOOKUP(A162,policy1!B:C,2,0)</f>
        <v>070000169219</v>
      </c>
      <c r="C162" s="39">
        <f>VLOOKUP(A162,Renewal!AF:AG,2,0)</f>
        <v>44550</v>
      </c>
      <c r="D162" s="40">
        <f t="shared" si="9"/>
        <v>44550</v>
      </c>
      <c r="E162" s="41" t="s">
        <v>2168</v>
      </c>
      <c r="F162" s="42" t="str">
        <f t="shared" si="8"/>
        <v>insert into ins_premium_det (premium_rcv_code,assorted_code, rec_amount,premium_rcv_detail_code,remaining_amt, payrec, mode_code,coinsurance_code,class_cd,it_remarks) values</v>
      </c>
      <c r="G162" s="43" t="str">
        <f t="shared" si="10"/>
        <v>('28Nov240018','070000169219','44550',(select max(to_number(i.premium_rcv_detail_code))+1
from ins_premium_det i),'44550','44550','02', '11000003','00','Request by Mr. Raheel Malik Premium 02-Dec-2024');</v>
      </c>
      <c r="H162" s="44" t="str">
        <f t="shared" si="11"/>
        <v>insert into ins_premium_det (premium_rcv_code,assorted_code, rec_amount,premium_rcv_detail_code,remaining_amt, payrec, mode_code,coinsurance_code,class_cd,it_remarks) values('28Nov240018','070000169219','44550',(select max(to_number(i.premium_rcv_detail_code))+1
from ins_premium_det i),'44550','44550','02', '11000003','00','Request by Mr. Raheel Malik Premium 02-Dec-2024');</v>
      </c>
    </row>
    <row r="163" spans="1:8" ht="105" x14ac:dyDescent="0.25">
      <c r="A163" s="16" t="s">
        <v>1693</v>
      </c>
      <c r="B163" s="38" t="str">
        <f>VLOOKUP(A163,policy1!B:C,2,0)</f>
        <v>070000169218</v>
      </c>
      <c r="C163" s="39">
        <f>VLOOKUP(A163,Renewal!AF:AG,2,0)</f>
        <v>50400</v>
      </c>
      <c r="D163" s="40">
        <f t="shared" si="9"/>
        <v>50400</v>
      </c>
      <c r="E163" s="41" t="s">
        <v>2168</v>
      </c>
      <c r="F163" s="42" t="str">
        <f t="shared" si="8"/>
        <v>insert into ins_premium_det (premium_rcv_code,assorted_code, rec_amount,premium_rcv_detail_code,remaining_amt, payrec, mode_code,coinsurance_code,class_cd,it_remarks) values</v>
      </c>
      <c r="G163" s="43" t="str">
        <f t="shared" si="10"/>
        <v>('28Nov240018','070000169218','50400',(select max(to_number(i.premium_rcv_detail_code))+1
from ins_premium_det i),'50400','50400','02', '11000003','00','Request by Mr. Raheel Malik Premium 02-Dec-2024');</v>
      </c>
      <c r="H163" s="44" t="str">
        <f t="shared" si="11"/>
        <v>insert into ins_premium_det (premium_rcv_code,assorted_code, rec_amount,premium_rcv_detail_code,remaining_amt, payrec, mode_code,coinsurance_code,class_cd,it_remarks) values('28Nov240018','070000169218','50400',(select max(to_number(i.premium_rcv_detail_code))+1
from ins_premium_det i),'50400','50400','02', '11000003','00','Request by Mr. Raheel Malik Premium 02-Dec-2024');</v>
      </c>
    </row>
    <row r="164" spans="1:8" ht="105" x14ac:dyDescent="0.25">
      <c r="A164" s="16" t="s">
        <v>1700</v>
      </c>
      <c r="B164" s="38" t="str">
        <f>VLOOKUP(A164,policy1!B:C,2,0)</f>
        <v>070000169155</v>
      </c>
      <c r="C164" s="39">
        <f>VLOOKUP(A164,Renewal!AF:AG,2,0)</f>
        <v>40078</v>
      </c>
      <c r="D164" s="40">
        <f t="shared" si="9"/>
        <v>40078</v>
      </c>
      <c r="E164" s="41" t="s">
        <v>2168</v>
      </c>
      <c r="F164" s="42" t="str">
        <f t="shared" si="8"/>
        <v>insert into ins_premium_det (premium_rcv_code,assorted_code, rec_amount,premium_rcv_detail_code,remaining_amt, payrec, mode_code,coinsurance_code,class_cd,it_remarks) values</v>
      </c>
      <c r="G164" s="43" t="str">
        <f t="shared" si="10"/>
        <v>('28Nov240018','070000169155','40078',(select max(to_number(i.premium_rcv_detail_code))+1
from ins_premium_det i),'40078','40078','02', '11000003','00','Request by Mr. Raheel Malik Premium 02-Dec-2024');</v>
      </c>
      <c r="H164" s="44" t="str">
        <f t="shared" si="11"/>
        <v>insert into ins_premium_det (premium_rcv_code,assorted_code, rec_amount,premium_rcv_detail_code,remaining_amt, payrec, mode_code,coinsurance_code,class_cd,it_remarks) values('28Nov240018','070000169155','40078',(select max(to_number(i.premium_rcv_detail_code))+1
from ins_premium_det i),'40078','40078','02', '11000003','00','Request by Mr. Raheel Malik Premium 02-Dec-2024');</v>
      </c>
    </row>
    <row r="165" spans="1:8" ht="105" x14ac:dyDescent="0.25">
      <c r="A165" s="16" t="s">
        <v>1708</v>
      </c>
      <c r="B165" s="38" t="str">
        <f>VLOOKUP(A165,policy1!B:C,2,0)</f>
        <v>070000165165</v>
      </c>
      <c r="C165" s="39">
        <f>VLOOKUP(A165,Renewal!AF:AG,2,0)</f>
        <v>70355</v>
      </c>
      <c r="D165" s="40">
        <f t="shared" si="9"/>
        <v>70355</v>
      </c>
      <c r="E165" s="41" t="s">
        <v>2168</v>
      </c>
      <c r="F165" s="42" t="str">
        <f t="shared" si="8"/>
        <v>insert into ins_premium_det (premium_rcv_code,assorted_code, rec_amount,premium_rcv_detail_code,remaining_amt, payrec, mode_code,coinsurance_code,class_cd,it_remarks) values</v>
      </c>
      <c r="G165" s="43" t="str">
        <f t="shared" si="10"/>
        <v>('28Nov240018','070000165165','70355',(select max(to_number(i.premium_rcv_detail_code))+1
from ins_premium_det i),'70355','70355','02', '11000003','00','Request by Mr. Raheel Malik Premium 02-Dec-2024');</v>
      </c>
      <c r="H165" s="44" t="str">
        <f t="shared" si="11"/>
        <v>insert into ins_premium_det (premium_rcv_code,assorted_code, rec_amount,premium_rcv_detail_code,remaining_amt, payrec, mode_code,coinsurance_code,class_cd,it_remarks) values('28Nov240018','070000165165','70355',(select max(to_number(i.premium_rcv_detail_code))+1
from ins_premium_det i),'70355','70355','02', '11000003','00','Request by Mr. Raheel Malik Premium 02-Dec-2024');</v>
      </c>
    </row>
    <row r="166" spans="1:8" ht="105" x14ac:dyDescent="0.25">
      <c r="A166" s="16" t="s">
        <v>1715</v>
      </c>
      <c r="B166" s="38" t="str">
        <f>VLOOKUP(A166,policy1!B:C,2,0)</f>
        <v>070000165170</v>
      </c>
      <c r="C166" s="39">
        <f>VLOOKUP(A166,Renewal!AF:AG,2,0)</f>
        <v>27753</v>
      </c>
      <c r="D166" s="40">
        <f t="shared" si="9"/>
        <v>27753</v>
      </c>
      <c r="E166" s="41" t="s">
        <v>2168</v>
      </c>
      <c r="F166" s="42" t="str">
        <f t="shared" si="8"/>
        <v>insert into ins_premium_det (premium_rcv_code,assorted_code, rec_amount,premium_rcv_detail_code,remaining_amt, payrec, mode_code,coinsurance_code,class_cd,it_remarks) values</v>
      </c>
      <c r="G166" s="43" t="str">
        <f t="shared" si="10"/>
        <v>('28Nov240018','070000165170','27753',(select max(to_number(i.premium_rcv_detail_code))+1
from ins_premium_det i),'27753','27753','02', '11000003','00','Request by Mr. Raheel Malik Premium 02-Dec-2024');</v>
      </c>
      <c r="H166" s="44" t="str">
        <f t="shared" si="11"/>
        <v>insert into ins_premium_det (premium_rcv_code,assorted_code, rec_amount,premium_rcv_detail_code,remaining_amt, payrec, mode_code,coinsurance_code,class_cd,it_remarks) values('28Nov240018','070000165170','27753',(select max(to_number(i.premium_rcv_detail_code))+1
from ins_premium_det i),'27753','27753','02', '11000003','00','Request by Mr. Raheel Malik Premium 02-Dec-2024');</v>
      </c>
    </row>
    <row r="167" spans="1:8" ht="105" x14ac:dyDescent="0.25">
      <c r="A167" s="16" t="s">
        <v>1722</v>
      </c>
      <c r="B167" s="38" t="str">
        <f>VLOOKUP(A167,policy1!B:C,2,0)</f>
        <v>070000165064</v>
      </c>
      <c r="C167" s="39">
        <f>VLOOKUP(A167,Renewal!AF:AG,2,0)</f>
        <v>53500</v>
      </c>
      <c r="D167" s="40">
        <f t="shared" si="9"/>
        <v>53500</v>
      </c>
      <c r="E167" s="41" t="s">
        <v>2168</v>
      </c>
      <c r="F167" s="42" t="str">
        <f t="shared" si="8"/>
        <v>insert into ins_premium_det (premium_rcv_code,assorted_code, rec_amount,premium_rcv_detail_code,remaining_amt, payrec, mode_code,coinsurance_code,class_cd,it_remarks) values</v>
      </c>
      <c r="G167" s="43" t="str">
        <f t="shared" si="10"/>
        <v>('28Nov240018','070000165064','53500',(select max(to_number(i.premium_rcv_detail_code))+1
from ins_premium_det i),'53500','53500','02', '11000003','00','Request by Mr. Raheel Malik Premium 02-Dec-2024');</v>
      </c>
      <c r="H167" s="44" t="str">
        <f t="shared" si="11"/>
        <v>insert into ins_premium_det (premium_rcv_code,assorted_code, rec_amount,premium_rcv_detail_code,remaining_amt, payrec, mode_code,coinsurance_code,class_cd,it_remarks) values('28Nov240018','070000165064','53500',(select max(to_number(i.premium_rcv_detail_code))+1
from ins_premium_det i),'53500','53500','02', '11000003','00','Request by Mr. Raheel Malik Premium 02-Dec-2024');</v>
      </c>
    </row>
    <row r="168" spans="1:8" ht="105" x14ac:dyDescent="0.25">
      <c r="A168" s="16" t="s">
        <v>1731</v>
      </c>
      <c r="B168" s="38" t="str">
        <f>VLOOKUP(A168,policy1!B:C,2,0)</f>
        <v>070000165090</v>
      </c>
      <c r="C168" s="39">
        <f>VLOOKUP(A168,Renewal!AF:AG,2,0)</f>
        <v>58660</v>
      </c>
      <c r="D168" s="40">
        <f t="shared" si="9"/>
        <v>58660</v>
      </c>
      <c r="E168" s="41" t="s">
        <v>2168</v>
      </c>
      <c r="F168" s="42" t="str">
        <f t="shared" si="8"/>
        <v>insert into ins_premium_det (premium_rcv_code,assorted_code, rec_amount,premium_rcv_detail_code,remaining_amt, payrec, mode_code,coinsurance_code,class_cd,it_remarks) values</v>
      </c>
      <c r="G168" s="43" t="str">
        <f t="shared" si="10"/>
        <v>('28Nov240018','070000165090','58660',(select max(to_number(i.premium_rcv_detail_code))+1
from ins_premium_det i),'58660','58660','02', '11000003','00','Request by Mr. Raheel Malik Premium 02-Dec-2024');</v>
      </c>
      <c r="H168" s="44" t="str">
        <f t="shared" si="11"/>
        <v>insert into ins_premium_det (premium_rcv_code,assorted_code, rec_amount,premium_rcv_detail_code,remaining_amt, payrec, mode_code,coinsurance_code,class_cd,it_remarks) values('28Nov240018','070000165090','58660',(select max(to_number(i.premium_rcv_detail_code))+1
from ins_premium_det i),'58660','58660','02', '11000003','00','Request by Mr. Raheel Malik Premium 02-Dec-2024');</v>
      </c>
    </row>
    <row r="169" spans="1:8" ht="105" x14ac:dyDescent="0.25">
      <c r="A169" s="16" t="s">
        <v>1739</v>
      </c>
      <c r="B169" s="38" t="str">
        <f>VLOOKUP(A169,policy1!B:C,2,0)</f>
        <v>070000165242</v>
      </c>
      <c r="C169" s="39">
        <f>VLOOKUP(A169,Renewal!AF:AG,2,0)</f>
        <v>75679</v>
      </c>
      <c r="D169" s="40">
        <f t="shared" si="9"/>
        <v>75679</v>
      </c>
      <c r="E169" s="41" t="s">
        <v>2168</v>
      </c>
      <c r="F169" s="42" t="str">
        <f t="shared" si="8"/>
        <v>insert into ins_premium_det (premium_rcv_code,assorted_code, rec_amount,premium_rcv_detail_code,remaining_amt, payrec, mode_code,coinsurance_code,class_cd,it_remarks) values</v>
      </c>
      <c r="G169" s="43" t="str">
        <f t="shared" si="10"/>
        <v>('28Nov240018','070000165242','75679',(select max(to_number(i.premium_rcv_detail_code))+1
from ins_premium_det i),'75679','75679','02', '11000003','00','Request by Mr. Raheel Malik Premium 02-Dec-2024');</v>
      </c>
      <c r="H169" s="44" t="str">
        <f t="shared" si="11"/>
        <v>insert into ins_premium_det (premium_rcv_code,assorted_code, rec_amount,premium_rcv_detail_code,remaining_amt, payrec, mode_code,coinsurance_code,class_cd,it_remarks) values('28Nov240018','070000165242','75679',(select max(to_number(i.premium_rcv_detail_code))+1
from ins_premium_det i),'75679','75679','02', '11000003','00','Request by Mr. Raheel Malik Premium 02-Dec-2024');</v>
      </c>
    </row>
    <row r="170" spans="1:8" ht="105" x14ac:dyDescent="0.25">
      <c r="A170" s="16" t="s">
        <v>1747</v>
      </c>
      <c r="B170" s="38" t="str">
        <f>VLOOKUP(A170,policy1!B:C,2,0)</f>
        <v>070000165104</v>
      </c>
      <c r="C170" s="39">
        <f>VLOOKUP(A170,Renewal!AF:AG,2,0)</f>
        <v>30420</v>
      </c>
      <c r="D170" s="40">
        <f t="shared" si="9"/>
        <v>30420</v>
      </c>
      <c r="E170" s="41" t="s">
        <v>2168</v>
      </c>
      <c r="F170" s="42" t="str">
        <f t="shared" si="8"/>
        <v>insert into ins_premium_det (premium_rcv_code,assorted_code, rec_amount,premium_rcv_detail_code,remaining_amt, payrec, mode_code,coinsurance_code,class_cd,it_remarks) values</v>
      </c>
      <c r="G170" s="43" t="str">
        <f t="shared" si="10"/>
        <v>('28Nov240018','070000165104','30420',(select max(to_number(i.premium_rcv_detail_code))+1
from ins_premium_det i),'30420','30420','02', '11000003','00','Request by Mr. Raheel Malik Premium 02-Dec-2024');</v>
      </c>
      <c r="H170" s="44" t="str">
        <f t="shared" si="11"/>
        <v>insert into ins_premium_det (premium_rcv_code,assorted_code, rec_amount,premium_rcv_detail_code,remaining_amt, payrec, mode_code,coinsurance_code,class_cd,it_remarks) values('28Nov240018','070000165104','30420',(select max(to_number(i.premium_rcv_detail_code))+1
from ins_premium_det i),'30420','30420','02', '11000003','00','Request by Mr. Raheel Malik Premium 02-Dec-2024');</v>
      </c>
    </row>
    <row r="171" spans="1:8" ht="105" x14ac:dyDescent="0.25">
      <c r="A171" s="16" t="s">
        <v>1753</v>
      </c>
      <c r="B171" s="38" t="str">
        <f>VLOOKUP(A171,policy1!B:C,2,0)</f>
        <v>070000162604</v>
      </c>
      <c r="C171" s="39">
        <f>VLOOKUP(A171,Renewal!AF:AG,2,0)</f>
        <v>37500</v>
      </c>
      <c r="D171" s="40">
        <f t="shared" si="9"/>
        <v>37500</v>
      </c>
      <c r="E171" s="41" t="s">
        <v>2168</v>
      </c>
      <c r="F171" s="42" t="str">
        <f t="shared" si="8"/>
        <v>insert into ins_premium_det (premium_rcv_code,assorted_code, rec_amount,premium_rcv_detail_code,remaining_amt, payrec, mode_code,coinsurance_code,class_cd,it_remarks) values</v>
      </c>
      <c r="G171" s="43" t="str">
        <f t="shared" si="10"/>
        <v>('28Nov240018','070000162604','37500',(select max(to_number(i.premium_rcv_detail_code))+1
from ins_premium_det i),'37500','37500','02', '11000003','00','Request by Mr. Raheel Malik Premium 02-Dec-2024');</v>
      </c>
      <c r="H171" s="44" t="str">
        <f t="shared" si="11"/>
        <v>insert into ins_premium_det (premium_rcv_code,assorted_code, rec_amount,premium_rcv_detail_code,remaining_amt, payrec, mode_code,coinsurance_code,class_cd,it_remarks) values('28Nov240018','070000162604','37500',(select max(to_number(i.premium_rcv_detail_code))+1
from ins_premium_det i),'37500','37500','02', '11000003','00','Request by Mr. Raheel Malik Premium 02-Dec-2024');</v>
      </c>
    </row>
    <row r="172" spans="1:8" ht="105" x14ac:dyDescent="0.25">
      <c r="A172" s="16" t="s">
        <v>1761</v>
      </c>
      <c r="B172" s="38" t="str">
        <f>VLOOKUP(A172,policy1!B:C,2,0)</f>
        <v>070000161485</v>
      </c>
      <c r="C172" s="39">
        <f>VLOOKUP(A172,Renewal!AF:AG,2,0)</f>
        <v>54000</v>
      </c>
      <c r="D172" s="40">
        <f t="shared" si="9"/>
        <v>54000</v>
      </c>
      <c r="E172" s="41" t="s">
        <v>2168</v>
      </c>
      <c r="F172" s="42" t="str">
        <f t="shared" si="8"/>
        <v>insert into ins_premium_det (premium_rcv_code,assorted_code, rec_amount,premium_rcv_detail_code,remaining_amt, payrec, mode_code,coinsurance_code,class_cd,it_remarks) values</v>
      </c>
      <c r="G172" s="43" t="str">
        <f t="shared" si="10"/>
        <v>('28Nov240018','070000161485','54000',(select max(to_number(i.premium_rcv_detail_code))+1
from ins_premium_det i),'54000','54000','02', '11000003','00','Request by Mr. Raheel Malik Premium 02-Dec-2024');</v>
      </c>
      <c r="H172" s="44" t="str">
        <f t="shared" si="11"/>
        <v>insert into ins_premium_det (premium_rcv_code,assorted_code, rec_amount,premium_rcv_detail_code,remaining_amt, payrec, mode_code,coinsurance_code,class_cd,it_remarks) values('28Nov240018','070000161485','54000',(select max(to_number(i.premium_rcv_detail_code))+1
from ins_premium_det i),'54000','54000','02', '11000003','00','Request by Mr. Raheel Malik Premium 02-Dec-2024');</v>
      </c>
    </row>
    <row r="173" spans="1:8" x14ac:dyDescent="0.25">
      <c r="C173" s="47">
        <f>SUM(C2:C172)</f>
        <v>7031841</v>
      </c>
      <c r="D173" s="47">
        <f>SUM(D2:D172)</f>
        <v>7031841</v>
      </c>
    </row>
  </sheetData>
  <conditionalFormatting sqref="A1">
    <cfRule type="duplicateValues" dxfId="3" priority="1"/>
  </conditionalFormatting>
  <conditionalFormatting sqref="B2:B172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52A2-672B-4C0C-844C-69F9EAD6C49F}">
  <dimension ref="A2:J172"/>
  <sheetViews>
    <sheetView topLeftCell="A152" workbookViewId="0">
      <selection activeCell="G160" sqref="G160"/>
    </sheetView>
  </sheetViews>
  <sheetFormatPr defaultRowHeight="15" x14ac:dyDescent="0.25"/>
  <cols>
    <col min="1" max="1" width="34.28515625" bestFit="1" customWidth="1"/>
  </cols>
  <sheetData>
    <row r="2" spans="1:10" x14ac:dyDescent="0.25">
      <c r="A2" s="16" t="s">
        <v>410</v>
      </c>
      <c r="B2" t="s">
        <v>1822</v>
      </c>
      <c r="H2">
        <v>100245</v>
      </c>
      <c r="I2" t="s">
        <v>1882</v>
      </c>
      <c r="J2" t="str">
        <f t="shared" ref="J2:J65" si="0">"ia.assorted_string like '%"&amp;H2&amp;"-"&amp;I2&amp;B2&amp;"%' or"</f>
        <v>ia.assorted_string like '%100245-00058-10-2024%' or</v>
      </c>
    </row>
    <row r="3" spans="1:10" x14ac:dyDescent="0.25">
      <c r="A3" s="16" t="s">
        <v>419</v>
      </c>
      <c r="B3" t="s">
        <v>1822</v>
      </c>
      <c r="H3">
        <v>100245</v>
      </c>
      <c r="I3" t="s">
        <v>1883</v>
      </c>
      <c r="J3" t="str">
        <f t="shared" si="0"/>
        <v>ia.assorted_string like '%100245-00145-10-2024%' or</v>
      </c>
    </row>
    <row r="4" spans="1:10" x14ac:dyDescent="0.25">
      <c r="A4" s="16" t="s">
        <v>429</v>
      </c>
      <c r="B4" t="s">
        <v>1822</v>
      </c>
      <c r="H4">
        <v>100245</v>
      </c>
      <c r="I4" t="s">
        <v>1884</v>
      </c>
      <c r="J4" t="str">
        <f t="shared" si="0"/>
        <v>ia.assorted_string like '%100245-00064-10-2024%' or</v>
      </c>
    </row>
    <row r="5" spans="1:10" x14ac:dyDescent="0.25">
      <c r="A5" s="16" t="s">
        <v>438</v>
      </c>
      <c r="B5" t="s">
        <v>1822</v>
      </c>
      <c r="H5">
        <v>100245</v>
      </c>
      <c r="I5" t="s">
        <v>1794</v>
      </c>
      <c r="J5" t="str">
        <f t="shared" si="0"/>
        <v>ia.assorted_string like '%100245-00029-10-2024%' or</v>
      </c>
    </row>
    <row r="6" spans="1:10" x14ac:dyDescent="0.25">
      <c r="A6" s="16" t="s">
        <v>447</v>
      </c>
      <c r="B6" t="s">
        <v>1822</v>
      </c>
      <c r="H6">
        <v>100245</v>
      </c>
      <c r="I6" t="s">
        <v>1885</v>
      </c>
      <c r="J6" t="str">
        <f t="shared" si="0"/>
        <v>ia.assorted_string like '%100245-00152-10-2024%' or</v>
      </c>
    </row>
    <row r="7" spans="1:10" x14ac:dyDescent="0.25">
      <c r="A7" s="16" t="s">
        <v>457</v>
      </c>
      <c r="B7" t="s">
        <v>1822</v>
      </c>
      <c r="H7">
        <v>100245</v>
      </c>
      <c r="I7" t="s">
        <v>1886</v>
      </c>
      <c r="J7" t="str">
        <f t="shared" si="0"/>
        <v>ia.assorted_string like '%100245-00149-10-2024%' or</v>
      </c>
    </row>
    <row r="8" spans="1:10" x14ac:dyDescent="0.25">
      <c r="A8" s="16" t="s">
        <v>465</v>
      </c>
      <c r="B8" t="s">
        <v>1822</v>
      </c>
      <c r="H8">
        <v>100245</v>
      </c>
      <c r="I8" t="s">
        <v>1887</v>
      </c>
      <c r="J8" t="str">
        <f t="shared" si="0"/>
        <v>ia.assorted_string like '%100245-00130-10-2024%' or</v>
      </c>
    </row>
    <row r="9" spans="1:10" x14ac:dyDescent="0.25">
      <c r="A9" s="16" t="s">
        <v>474</v>
      </c>
      <c r="B9" t="s">
        <v>1822</v>
      </c>
      <c r="H9">
        <v>100245</v>
      </c>
      <c r="I9" t="s">
        <v>1888</v>
      </c>
      <c r="J9" t="str">
        <f t="shared" si="0"/>
        <v>ia.assorted_string like '%100245-00055-10-2024%' or</v>
      </c>
    </row>
    <row r="10" spans="1:10" x14ac:dyDescent="0.25">
      <c r="A10" s="16" t="s">
        <v>484</v>
      </c>
      <c r="B10" t="s">
        <v>1822</v>
      </c>
      <c r="H10">
        <v>100245</v>
      </c>
      <c r="I10" t="s">
        <v>1889</v>
      </c>
      <c r="J10" t="str">
        <f t="shared" si="0"/>
        <v>ia.assorted_string like '%100245-00053-10-2024%' or</v>
      </c>
    </row>
    <row r="11" spans="1:10" x14ac:dyDescent="0.25">
      <c r="A11" s="16" t="s">
        <v>492</v>
      </c>
      <c r="B11" t="s">
        <v>1822</v>
      </c>
      <c r="H11">
        <v>100245</v>
      </c>
      <c r="I11" t="s">
        <v>1779</v>
      </c>
      <c r="J11" t="str">
        <f t="shared" si="0"/>
        <v>ia.assorted_string like '%100245-00044-10-2024%' or</v>
      </c>
    </row>
    <row r="12" spans="1:10" x14ac:dyDescent="0.25">
      <c r="A12" s="16" t="s">
        <v>500</v>
      </c>
      <c r="B12" t="s">
        <v>1822</v>
      </c>
      <c r="H12">
        <v>100245</v>
      </c>
      <c r="I12" t="s">
        <v>1803</v>
      </c>
      <c r="J12" t="str">
        <f t="shared" si="0"/>
        <v>ia.assorted_string like '%100245-00020-10-2024%' or</v>
      </c>
    </row>
    <row r="13" spans="1:10" x14ac:dyDescent="0.25">
      <c r="A13" s="16" t="s">
        <v>508</v>
      </c>
      <c r="B13" t="s">
        <v>1822</v>
      </c>
      <c r="H13">
        <v>100245</v>
      </c>
      <c r="I13" t="s">
        <v>1890</v>
      </c>
      <c r="J13" t="str">
        <f t="shared" si="0"/>
        <v>ia.assorted_string like '%100245-00155-10-2024%' or</v>
      </c>
    </row>
    <row r="14" spans="1:10" x14ac:dyDescent="0.25">
      <c r="A14" s="16" t="s">
        <v>517</v>
      </c>
      <c r="B14" t="s">
        <v>1822</v>
      </c>
      <c r="H14">
        <v>100245</v>
      </c>
      <c r="I14" t="s">
        <v>1891</v>
      </c>
      <c r="J14" t="str">
        <f t="shared" si="0"/>
        <v>ia.assorted_string like '%100245-00131-10-2024%' or</v>
      </c>
    </row>
    <row r="15" spans="1:10" x14ac:dyDescent="0.25">
      <c r="A15" s="16" t="s">
        <v>525</v>
      </c>
      <c r="B15" t="s">
        <v>1822</v>
      </c>
      <c r="H15">
        <v>100245</v>
      </c>
      <c r="I15" t="s">
        <v>1892</v>
      </c>
      <c r="J15" t="str">
        <f t="shared" si="0"/>
        <v>ia.assorted_string like '%100245-00110-10-2024%' or</v>
      </c>
    </row>
    <row r="16" spans="1:10" x14ac:dyDescent="0.25">
      <c r="A16" s="16" t="s">
        <v>533</v>
      </c>
      <c r="B16" t="s">
        <v>1822</v>
      </c>
      <c r="H16">
        <v>100245</v>
      </c>
      <c r="I16" t="s">
        <v>1798</v>
      </c>
      <c r="J16" t="str">
        <f t="shared" si="0"/>
        <v>ia.assorted_string like '%100245-00025-10-2024%' or</v>
      </c>
    </row>
    <row r="17" spans="1:10" x14ac:dyDescent="0.25">
      <c r="A17" s="16" t="s">
        <v>542</v>
      </c>
      <c r="B17" t="s">
        <v>1822</v>
      </c>
      <c r="H17">
        <v>100245</v>
      </c>
      <c r="I17" t="s">
        <v>1893</v>
      </c>
      <c r="J17" t="str">
        <f t="shared" si="0"/>
        <v>ia.assorted_string like '%100245-00165-10-2024%' or</v>
      </c>
    </row>
    <row r="18" spans="1:10" x14ac:dyDescent="0.25">
      <c r="A18" s="16" t="s">
        <v>550</v>
      </c>
      <c r="B18" t="s">
        <v>1822</v>
      </c>
      <c r="H18">
        <v>100245</v>
      </c>
      <c r="I18" t="s">
        <v>1894</v>
      </c>
      <c r="J18" t="str">
        <f t="shared" si="0"/>
        <v>ia.assorted_string like '%100245-00087-10-2024%' or</v>
      </c>
    </row>
    <row r="19" spans="1:10" x14ac:dyDescent="0.25">
      <c r="A19" s="16" t="s">
        <v>558</v>
      </c>
      <c r="B19" t="s">
        <v>1822</v>
      </c>
      <c r="H19">
        <v>100245</v>
      </c>
      <c r="I19" t="s">
        <v>1895</v>
      </c>
      <c r="J19" t="str">
        <f t="shared" si="0"/>
        <v>ia.assorted_string like '%100245-00086-10-2024%' or</v>
      </c>
    </row>
    <row r="20" spans="1:10" x14ac:dyDescent="0.25">
      <c r="A20" s="16" t="s">
        <v>566</v>
      </c>
      <c r="B20" t="s">
        <v>1822</v>
      </c>
      <c r="H20">
        <v>100245</v>
      </c>
      <c r="I20" t="s">
        <v>1896</v>
      </c>
      <c r="J20" t="str">
        <f t="shared" si="0"/>
        <v>ia.assorted_string like '%100245-00085-10-2024%' or</v>
      </c>
    </row>
    <row r="21" spans="1:10" x14ac:dyDescent="0.25">
      <c r="A21" s="16" t="s">
        <v>574</v>
      </c>
      <c r="B21" t="s">
        <v>1822</v>
      </c>
      <c r="H21">
        <v>100245</v>
      </c>
      <c r="I21" t="s">
        <v>1897</v>
      </c>
      <c r="J21" t="str">
        <f t="shared" si="0"/>
        <v>ia.assorted_string like '%100245-00084-10-2024%' or</v>
      </c>
    </row>
    <row r="22" spans="1:10" x14ac:dyDescent="0.25">
      <c r="A22" s="16" t="s">
        <v>583</v>
      </c>
      <c r="B22" t="s">
        <v>1822</v>
      </c>
      <c r="H22">
        <v>100245</v>
      </c>
      <c r="I22" t="s">
        <v>1898</v>
      </c>
      <c r="J22" t="str">
        <f t="shared" si="0"/>
        <v>ia.assorted_string like '%100245-00056-10-2024%' or</v>
      </c>
    </row>
    <row r="23" spans="1:10" x14ac:dyDescent="0.25">
      <c r="A23" s="16" t="s">
        <v>591</v>
      </c>
      <c r="B23" t="s">
        <v>1822</v>
      </c>
      <c r="H23">
        <v>100245</v>
      </c>
      <c r="I23" t="s">
        <v>1791</v>
      </c>
      <c r="J23" t="str">
        <f t="shared" si="0"/>
        <v>ia.assorted_string like '%100245-00032-10-2024%' or</v>
      </c>
    </row>
    <row r="24" spans="1:10" x14ac:dyDescent="0.25">
      <c r="A24" s="16" t="s">
        <v>600</v>
      </c>
      <c r="B24" t="s">
        <v>1822</v>
      </c>
      <c r="H24">
        <v>100245</v>
      </c>
      <c r="I24" t="s">
        <v>1899</v>
      </c>
      <c r="J24" t="str">
        <f t="shared" si="0"/>
        <v>ia.assorted_string like '%100245-00089-10-2024%' or</v>
      </c>
    </row>
    <row r="25" spans="1:10" x14ac:dyDescent="0.25">
      <c r="A25" s="16" t="s">
        <v>608</v>
      </c>
      <c r="B25" t="s">
        <v>1822</v>
      </c>
      <c r="H25">
        <v>100245</v>
      </c>
      <c r="I25" t="s">
        <v>1900</v>
      </c>
      <c r="J25" t="str">
        <f t="shared" si="0"/>
        <v>ia.assorted_string like '%100245-00088-10-2024%' or</v>
      </c>
    </row>
    <row r="26" spans="1:10" x14ac:dyDescent="0.25">
      <c r="A26" s="16" t="s">
        <v>617</v>
      </c>
      <c r="B26" t="s">
        <v>1822</v>
      </c>
      <c r="H26">
        <v>100245</v>
      </c>
      <c r="I26" t="s">
        <v>1901</v>
      </c>
      <c r="J26" t="str">
        <f t="shared" si="0"/>
        <v>ia.assorted_string like '%100245-00077-10-2024%' or</v>
      </c>
    </row>
    <row r="27" spans="1:10" x14ac:dyDescent="0.25">
      <c r="A27" s="16" t="s">
        <v>625</v>
      </c>
      <c r="B27" t="s">
        <v>1822</v>
      </c>
      <c r="H27">
        <v>100245</v>
      </c>
      <c r="I27" t="s">
        <v>1789</v>
      </c>
      <c r="J27" t="str">
        <f t="shared" si="0"/>
        <v>ia.assorted_string like '%100245-00034-10-2024%' or</v>
      </c>
    </row>
    <row r="28" spans="1:10" x14ac:dyDescent="0.25">
      <c r="A28" s="16" t="s">
        <v>634</v>
      </c>
      <c r="B28" t="s">
        <v>1822</v>
      </c>
      <c r="H28">
        <v>100245</v>
      </c>
      <c r="I28" t="s">
        <v>1790</v>
      </c>
      <c r="J28" t="str">
        <f t="shared" si="0"/>
        <v>ia.assorted_string like '%100245-00033-10-2024%' or</v>
      </c>
    </row>
    <row r="29" spans="1:10" x14ac:dyDescent="0.25">
      <c r="A29" s="16" t="s">
        <v>642</v>
      </c>
      <c r="B29" t="s">
        <v>1822</v>
      </c>
      <c r="H29">
        <v>100245</v>
      </c>
      <c r="I29" t="s">
        <v>1809</v>
      </c>
      <c r="J29" t="str">
        <f t="shared" si="0"/>
        <v>ia.assorted_string like '%100245-00014-10-2024%' or</v>
      </c>
    </row>
    <row r="30" spans="1:10" x14ac:dyDescent="0.25">
      <c r="A30" s="16" t="s">
        <v>651</v>
      </c>
      <c r="B30" t="s">
        <v>1822</v>
      </c>
      <c r="H30">
        <v>100245</v>
      </c>
      <c r="I30" t="s">
        <v>1902</v>
      </c>
      <c r="J30" t="str">
        <f t="shared" si="0"/>
        <v>ia.assorted_string like '%100245-00115-10-2024%' or</v>
      </c>
    </row>
    <row r="31" spans="1:10" x14ac:dyDescent="0.25">
      <c r="A31" s="16" t="s">
        <v>658</v>
      </c>
      <c r="B31" t="s">
        <v>1822</v>
      </c>
      <c r="H31">
        <v>100245</v>
      </c>
      <c r="I31" t="s">
        <v>1903</v>
      </c>
      <c r="J31" t="str">
        <f t="shared" si="0"/>
        <v>ia.assorted_string like '%100245-00090-10-2024%' or</v>
      </c>
    </row>
    <row r="32" spans="1:10" x14ac:dyDescent="0.25">
      <c r="A32" s="16" t="s">
        <v>666</v>
      </c>
      <c r="B32" t="s">
        <v>1822</v>
      </c>
      <c r="H32">
        <v>100245</v>
      </c>
      <c r="I32" t="s">
        <v>1904</v>
      </c>
      <c r="J32" t="str">
        <f t="shared" si="0"/>
        <v>ia.assorted_string like '%100245-00116-10-2024%' or</v>
      </c>
    </row>
    <row r="33" spans="1:10" x14ac:dyDescent="0.25">
      <c r="A33" s="16" t="s">
        <v>675</v>
      </c>
      <c r="B33" t="s">
        <v>1822</v>
      </c>
      <c r="H33">
        <v>100245</v>
      </c>
      <c r="I33" t="s">
        <v>1905</v>
      </c>
      <c r="J33" t="str">
        <f t="shared" si="0"/>
        <v>ia.assorted_string like '%100245-00146-10-2024%' or</v>
      </c>
    </row>
    <row r="34" spans="1:10" x14ac:dyDescent="0.25">
      <c r="A34" s="16" t="s">
        <v>682</v>
      </c>
      <c r="B34" t="s">
        <v>1822</v>
      </c>
      <c r="H34">
        <v>100245</v>
      </c>
      <c r="I34" t="s">
        <v>1906</v>
      </c>
      <c r="J34" t="str">
        <f t="shared" si="0"/>
        <v>ia.assorted_string like '%100245-00093-10-2024%' or</v>
      </c>
    </row>
    <row r="35" spans="1:10" x14ac:dyDescent="0.25">
      <c r="A35" s="16" t="s">
        <v>689</v>
      </c>
      <c r="B35" t="s">
        <v>1822</v>
      </c>
      <c r="H35">
        <v>100245</v>
      </c>
      <c r="I35" t="s">
        <v>1907</v>
      </c>
      <c r="J35" t="str">
        <f t="shared" si="0"/>
        <v>ia.assorted_string like '%100245-00092-10-2024%' or</v>
      </c>
    </row>
    <row r="36" spans="1:10" x14ac:dyDescent="0.25">
      <c r="A36" s="16" t="s">
        <v>697</v>
      </c>
      <c r="B36" t="s">
        <v>1822</v>
      </c>
      <c r="H36">
        <v>100245</v>
      </c>
      <c r="I36" t="s">
        <v>1908</v>
      </c>
      <c r="J36" t="str">
        <f t="shared" si="0"/>
        <v>ia.assorted_string like '%100245-00091-10-2024%' or</v>
      </c>
    </row>
    <row r="37" spans="1:10" x14ac:dyDescent="0.25">
      <c r="A37" s="16" t="s">
        <v>705</v>
      </c>
      <c r="B37" t="s">
        <v>1822</v>
      </c>
      <c r="H37">
        <v>100245</v>
      </c>
      <c r="I37" t="s">
        <v>1788</v>
      </c>
      <c r="J37" t="str">
        <f t="shared" si="0"/>
        <v>ia.assorted_string like '%100245-00035-10-2024%' or</v>
      </c>
    </row>
    <row r="38" spans="1:10" x14ac:dyDescent="0.25">
      <c r="A38" s="16" t="s">
        <v>713</v>
      </c>
      <c r="B38" t="s">
        <v>1822</v>
      </c>
      <c r="H38">
        <v>100245</v>
      </c>
      <c r="I38" t="s">
        <v>1796</v>
      </c>
      <c r="J38" t="str">
        <f t="shared" si="0"/>
        <v>ia.assorted_string like '%100245-00027-10-2024%' or</v>
      </c>
    </row>
    <row r="39" spans="1:10" x14ac:dyDescent="0.25">
      <c r="A39" s="16" t="s">
        <v>722</v>
      </c>
      <c r="B39" t="s">
        <v>1822</v>
      </c>
      <c r="H39">
        <v>100245</v>
      </c>
      <c r="I39" t="s">
        <v>1909</v>
      </c>
      <c r="J39" t="str">
        <f t="shared" si="0"/>
        <v>ia.assorted_string like '%100245-00157-10-2024%' or</v>
      </c>
    </row>
    <row r="40" spans="1:10" x14ac:dyDescent="0.25">
      <c r="A40" s="16" t="s">
        <v>731</v>
      </c>
      <c r="B40" t="s">
        <v>1822</v>
      </c>
      <c r="H40">
        <v>100245</v>
      </c>
      <c r="I40" t="s">
        <v>1910</v>
      </c>
      <c r="J40" t="str">
        <f t="shared" si="0"/>
        <v>ia.assorted_string like '%100245-00082-10-2024%' or</v>
      </c>
    </row>
    <row r="41" spans="1:10" x14ac:dyDescent="0.25">
      <c r="A41" s="16" t="s">
        <v>739</v>
      </c>
      <c r="B41" t="s">
        <v>1822</v>
      </c>
      <c r="H41">
        <v>100245</v>
      </c>
      <c r="I41" t="s">
        <v>1911</v>
      </c>
      <c r="J41" t="str">
        <f t="shared" si="0"/>
        <v>ia.assorted_string like '%100245-00081-10-2024%' or</v>
      </c>
    </row>
    <row r="42" spans="1:10" x14ac:dyDescent="0.25">
      <c r="A42" s="16" t="s">
        <v>747</v>
      </c>
      <c r="B42" t="s">
        <v>1822</v>
      </c>
      <c r="H42">
        <v>100245</v>
      </c>
      <c r="I42" t="s">
        <v>1787</v>
      </c>
      <c r="J42" t="str">
        <f t="shared" si="0"/>
        <v>ia.assorted_string like '%100245-00036-10-2024%' or</v>
      </c>
    </row>
    <row r="43" spans="1:10" x14ac:dyDescent="0.25">
      <c r="A43" s="16" t="s">
        <v>755</v>
      </c>
      <c r="B43" t="s">
        <v>1822</v>
      </c>
      <c r="H43">
        <v>100245</v>
      </c>
      <c r="I43" t="s">
        <v>1821</v>
      </c>
      <c r="J43" t="str">
        <f t="shared" si="0"/>
        <v>ia.assorted_string like '%100245-00002-10-2024%' or</v>
      </c>
    </row>
    <row r="44" spans="1:10" x14ac:dyDescent="0.25">
      <c r="A44" s="16" t="s">
        <v>764</v>
      </c>
      <c r="B44" t="s">
        <v>1822</v>
      </c>
      <c r="H44">
        <v>100245</v>
      </c>
      <c r="I44" t="s">
        <v>1912</v>
      </c>
      <c r="J44" t="str">
        <f t="shared" si="0"/>
        <v>ia.assorted_string like '%100245-00164-10-2024%' or</v>
      </c>
    </row>
    <row r="45" spans="1:10" x14ac:dyDescent="0.25">
      <c r="A45" s="16" t="s">
        <v>772</v>
      </c>
      <c r="B45" t="s">
        <v>1822</v>
      </c>
      <c r="H45">
        <v>100245</v>
      </c>
      <c r="I45" t="s">
        <v>1811</v>
      </c>
      <c r="J45" t="str">
        <f t="shared" si="0"/>
        <v>ia.assorted_string like '%100245-00012-10-2024%' or</v>
      </c>
    </row>
    <row r="46" spans="1:10" x14ac:dyDescent="0.25">
      <c r="A46" s="16" t="s">
        <v>781</v>
      </c>
      <c r="B46" t="s">
        <v>1822</v>
      </c>
      <c r="H46">
        <v>100245</v>
      </c>
      <c r="I46" t="s">
        <v>1913</v>
      </c>
      <c r="J46" t="str">
        <f t="shared" si="0"/>
        <v>ia.assorted_string like '%100245-00147-10-2024%' or</v>
      </c>
    </row>
    <row r="47" spans="1:10" x14ac:dyDescent="0.25">
      <c r="A47" s="16" t="s">
        <v>788</v>
      </c>
      <c r="B47" t="s">
        <v>1822</v>
      </c>
      <c r="H47">
        <v>100245</v>
      </c>
      <c r="I47" t="s">
        <v>1914</v>
      </c>
      <c r="J47" t="str">
        <f t="shared" si="0"/>
        <v>ia.assorted_string like '%100245-00094-10-2024%' or</v>
      </c>
    </row>
    <row r="48" spans="1:10" x14ac:dyDescent="0.25">
      <c r="A48" s="16" t="s">
        <v>797</v>
      </c>
      <c r="B48" t="s">
        <v>1822</v>
      </c>
      <c r="H48">
        <v>100245</v>
      </c>
      <c r="I48" t="s">
        <v>1915</v>
      </c>
      <c r="J48" t="str">
        <f t="shared" si="0"/>
        <v>ia.assorted_string like '%100245-00083-10-2024%' or</v>
      </c>
    </row>
    <row r="49" spans="1:10" x14ac:dyDescent="0.25">
      <c r="A49" s="16" t="s">
        <v>805</v>
      </c>
      <c r="B49" t="s">
        <v>1822</v>
      </c>
      <c r="H49">
        <v>100245</v>
      </c>
      <c r="I49" t="s">
        <v>1916</v>
      </c>
      <c r="J49" t="str">
        <f t="shared" si="0"/>
        <v>ia.assorted_string like '%100245-00059-10-2024%' or</v>
      </c>
    </row>
    <row r="50" spans="1:10" x14ac:dyDescent="0.25">
      <c r="A50" s="16" t="s">
        <v>813</v>
      </c>
      <c r="B50" t="s">
        <v>1822</v>
      </c>
      <c r="H50">
        <v>100245</v>
      </c>
      <c r="I50" t="s">
        <v>1917</v>
      </c>
      <c r="J50" t="str">
        <f t="shared" si="0"/>
        <v>ia.assorted_string like '%100245-00133-10-2024%' or</v>
      </c>
    </row>
    <row r="51" spans="1:10" x14ac:dyDescent="0.25">
      <c r="A51" s="16" t="s">
        <v>822</v>
      </c>
      <c r="B51" t="s">
        <v>1822</v>
      </c>
      <c r="H51">
        <v>100245</v>
      </c>
      <c r="I51" t="s">
        <v>1918</v>
      </c>
      <c r="J51" t="str">
        <f t="shared" si="0"/>
        <v>ia.assorted_string like '%100245-00132-10-2024%' or</v>
      </c>
    </row>
    <row r="52" spans="1:10" x14ac:dyDescent="0.25">
      <c r="A52" s="16" t="s">
        <v>831</v>
      </c>
      <c r="B52" t="s">
        <v>1822</v>
      </c>
      <c r="H52">
        <v>100245</v>
      </c>
      <c r="I52" t="s">
        <v>1919</v>
      </c>
      <c r="J52" t="str">
        <f t="shared" si="0"/>
        <v>ia.assorted_string like '%100245-00060-10-2024%' or</v>
      </c>
    </row>
    <row r="53" spans="1:10" x14ac:dyDescent="0.25">
      <c r="A53" s="16" t="s">
        <v>839</v>
      </c>
      <c r="B53" t="s">
        <v>1822</v>
      </c>
      <c r="H53">
        <v>100245</v>
      </c>
      <c r="I53" t="s">
        <v>1786</v>
      </c>
      <c r="J53" t="str">
        <f t="shared" si="0"/>
        <v>ia.assorted_string like '%100245-00037-10-2024%' or</v>
      </c>
    </row>
    <row r="54" spans="1:10" x14ac:dyDescent="0.25">
      <c r="A54" s="16" t="s">
        <v>847</v>
      </c>
      <c r="B54" t="s">
        <v>1822</v>
      </c>
      <c r="H54">
        <v>100245</v>
      </c>
      <c r="I54" t="s">
        <v>1920</v>
      </c>
      <c r="J54" t="str">
        <f t="shared" si="0"/>
        <v>ia.assorted_string like '%100245-00158-10-2024%' or</v>
      </c>
    </row>
    <row r="55" spans="1:10" x14ac:dyDescent="0.25">
      <c r="A55" s="16" t="s">
        <v>855</v>
      </c>
      <c r="B55" t="s">
        <v>1822</v>
      </c>
      <c r="H55">
        <v>100245</v>
      </c>
      <c r="I55" t="s">
        <v>1921</v>
      </c>
      <c r="J55" t="str">
        <f t="shared" si="0"/>
        <v>ia.assorted_string like '%100245-00134-10-2024%' or</v>
      </c>
    </row>
    <row r="56" spans="1:10" x14ac:dyDescent="0.25">
      <c r="A56" s="16" t="s">
        <v>863</v>
      </c>
      <c r="B56" t="s">
        <v>1822</v>
      </c>
      <c r="H56">
        <v>100245</v>
      </c>
      <c r="I56" t="s">
        <v>1922</v>
      </c>
      <c r="J56" t="str">
        <f t="shared" si="0"/>
        <v>ia.assorted_string like '%100245-00061-10-2024%' or</v>
      </c>
    </row>
    <row r="57" spans="1:10" x14ac:dyDescent="0.25">
      <c r="A57" s="16" t="s">
        <v>870</v>
      </c>
      <c r="B57" t="s">
        <v>1822</v>
      </c>
      <c r="H57">
        <v>100245</v>
      </c>
      <c r="I57" t="s">
        <v>1785</v>
      </c>
      <c r="J57" t="str">
        <f t="shared" si="0"/>
        <v>ia.assorted_string like '%100245-00038-10-2024%' or</v>
      </c>
    </row>
    <row r="58" spans="1:10" x14ac:dyDescent="0.25">
      <c r="A58" s="16" t="s">
        <v>879</v>
      </c>
      <c r="B58" t="s">
        <v>1822</v>
      </c>
      <c r="H58">
        <v>100245</v>
      </c>
      <c r="I58" t="s">
        <v>1804</v>
      </c>
      <c r="J58" t="str">
        <f t="shared" si="0"/>
        <v>ia.assorted_string like '%100245-00019-10-2024%' or</v>
      </c>
    </row>
    <row r="59" spans="1:10" x14ac:dyDescent="0.25">
      <c r="A59" s="16" t="s">
        <v>887</v>
      </c>
      <c r="B59" t="s">
        <v>1822</v>
      </c>
      <c r="H59">
        <v>100245</v>
      </c>
      <c r="I59" t="s">
        <v>1805</v>
      </c>
      <c r="J59" t="str">
        <f t="shared" si="0"/>
        <v>ia.assorted_string like '%100245-00018-10-2024%' or</v>
      </c>
    </row>
    <row r="60" spans="1:10" x14ac:dyDescent="0.25">
      <c r="A60" s="16" t="s">
        <v>896</v>
      </c>
      <c r="B60" t="s">
        <v>1822</v>
      </c>
      <c r="H60">
        <v>100245</v>
      </c>
      <c r="I60" t="s">
        <v>1923</v>
      </c>
      <c r="J60" t="str">
        <f t="shared" si="0"/>
        <v>ia.assorted_string like '%100245-00114-10-2024%' or</v>
      </c>
    </row>
    <row r="61" spans="1:10" x14ac:dyDescent="0.25">
      <c r="A61" s="16" t="s">
        <v>904</v>
      </c>
      <c r="B61" t="s">
        <v>1822</v>
      </c>
      <c r="H61">
        <v>100245</v>
      </c>
      <c r="I61" t="s">
        <v>1924</v>
      </c>
      <c r="J61" t="str">
        <f t="shared" si="0"/>
        <v>ia.assorted_string like '%100245-00096-10-2024%' or</v>
      </c>
    </row>
    <row r="62" spans="1:10" x14ac:dyDescent="0.25">
      <c r="A62" s="16" t="s">
        <v>911</v>
      </c>
      <c r="B62" t="s">
        <v>1822</v>
      </c>
      <c r="H62">
        <v>100245</v>
      </c>
      <c r="I62" t="s">
        <v>1925</v>
      </c>
      <c r="J62" t="str">
        <f t="shared" si="0"/>
        <v>ia.assorted_string like '%100245-00095-10-2024%' or</v>
      </c>
    </row>
    <row r="63" spans="1:10" x14ac:dyDescent="0.25">
      <c r="A63" s="16" t="s">
        <v>918</v>
      </c>
      <c r="B63" t="s">
        <v>1822</v>
      </c>
      <c r="H63">
        <v>100245</v>
      </c>
      <c r="I63" t="s">
        <v>1801</v>
      </c>
      <c r="J63" t="str">
        <f t="shared" si="0"/>
        <v>ia.assorted_string like '%100245-00021-10-2024%' or</v>
      </c>
    </row>
    <row r="64" spans="1:10" x14ac:dyDescent="0.25">
      <c r="A64" s="16" t="s">
        <v>927</v>
      </c>
      <c r="B64" t="s">
        <v>1822</v>
      </c>
      <c r="H64">
        <v>100245</v>
      </c>
      <c r="I64" t="s">
        <v>1784</v>
      </c>
      <c r="J64" t="str">
        <f t="shared" si="0"/>
        <v>ia.assorted_string like '%100245-00039-10-2024%' or</v>
      </c>
    </row>
    <row r="65" spans="1:10" x14ac:dyDescent="0.25">
      <c r="A65" s="16" t="s">
        <v>934</v>
      </c>
      <c r="B65" t="s">
        <v>1822</v>
      </c>
      <c r="H65">
        <v>100245</v>
      </c>
      <c r="I65" t="s">
        <v>1782</v>
      </c>
      <c r="J65" t="str">
        <f t="shared" si="0"/>
        <v>ia.assorted_string like '%100245-00041-10-2024%' or</v>
      </c>
    </row>
    <row r="66" spans="1:10" x14ac:dyDescent="0.25">
      <c r="A66" s="16" t="s">
        <v>942</v>
      </c>
      <c r="B66" t="s">
        <v>1822</v>
      </c>
      <c r="H66">
        <v>100245</v>
      </c>
      <c r="I66" t="s">
        <v>1820</v>
      </c>
      <c r="J66" t="str">
        <f t="shared" ref="J66:J129" si="1">"ia.assorted_string like '%"&amp;H66&amp;"-"&amp;I66&amp;B66&amp;"%' or"</f>
        <v>ia.assorted_string like '%100245-00003-10-2024%' or</v>
      </c>
    </row>
    <row r="67" spans="1:10" x14ac:dyDescent="0.25">
      <c r="A67" s="16" t="s">
        <v>950</v>
      </c>
      <c r="B67" t="s">
        <v>1822</v>
      </c>
      <c r="H67">
        <v>100245</v>
      </c>
      <c r="I67" t="s">
        <v>1926</v>
      </c>
      <c r="J67" t="str">
        <f t="shared" si="1"/>
        <v>ia.assorted_string like '%100245-00159-10-2024%' or</v>
      </c>
    </row>
    <row r="68" spans="1:10" x14ac:dyDescent="0.25">
      <c r="A68" s="16" t="s">
        <v>960</v>
      </c>
      <c r="B68" t="s">
        <v>1822</v>
      </c>
      <c r="H68">
        <v>100245</v>
      </c>
      <c r="I68" t="s">
        <v>1927</v>
      </c>
      <c r="J68" t="str">
        <f t="shared" si="1"/>
        <v>ia.assorted_string like '%100245-00097-10-2024%' or</v>
      </c>
    </row>
    <row r="69" spans="1:10" x14ac:dyDescent="0.25">
      <c r="A69" s="16" t="s">
        <v>967</v>
      </c>
      <c r="B69" t="s">
        <v>1822</v>
      </c>
      <c r="H69">
        <v>100245</v>
      </c>
      <c r="I69" t="s">
        <v>1928</v>
      </c>
      <c r="J69" t="str">
        <f t="shared" si="1"/>
        <v>ia.assorted_string like '%100245-00065-10-2024%' or</v>
      </c>
    </row>
    <row r="70" spans="1:10" x14ac:dyDescent="0.25">
      <c r="A70" s="16" t="s">
        <v>974</v>
      </c>
      <c r="B70" t="s">
        <v>1822</v>
      </c>
      <c r="H70">
        <v>100245</v>
      </c>
      <c r="I70" t="s">
        <v>1929</v>
      </c>
      <c r="J70" t="str">
        <f t="shared" si="1"/>
        <v>ia.assorted_string like '%100245-00063-10-2024%' or</v>
      </c>
    </row>
    <row r="71" spans="1:10" x14ac:dyDescent="0.25">
      <c r="A71" s="16" t="s">
        <v>981</v>
      </c>
      <c r="B71" t="s">
        <v>1822</v>
      </c>
      <c r="H71">
        <v>100348</v>
      </c>
      <c r="I71" t="s">
        <v>1819</v>
      </c>
      <c r="J71" t="str">
        <f t="shared" si="1"/>
        <v>ia.assorted_string like '%100348-00004-10-2024%' or</v>
      </c>
    </row>
    <row r="72" spans="1:10" x14ac:dyDescent="0.25">
      <c r="A72" s="16" t="s">
        <v>988</v>
      </c>
      <c r="B72" t="s">
        <v>1822</v>
      </c>
      <c r="H72">
        <v>100245</v>
      </c>
      <c r="I72" t="s">
        <v>1930</v>
      </c>
      <c r="J72" t="str">
        <f t="shared" si="1"/>
        <v>ia.assorted_string like '%100245-00118-10-2024%' or</v>
      </c>
    </row>
    <row r="73" spans="1:10" x14ac:dyDescent="0.25">
      <c r="A73" s="16" t="s">
        <v>996</v>
      </c>
      <c r="B73" t="s">
        <v>1822</v>
      </c>
      <c r="H73">
        <v>100245</v>
      </c>
      <c r="I73" t="s">
        <v>1931</v>
      </c>
      <c r="J73" t="str">
        <f t="shared" si="1"/>
        <v>ia.assorted_string like '%100245-00117-10-2024%' or</v>
      </c>
    </row>
    <row r="74" spans="1:10" x14ac:dyDescent="0.25">
      <c r="A74" s="16" t="s">
        <v>1003</v>
      </c>
      <c r="B74" t="s">
        <v>1822</v>
      </c>
      <c r="H74">
        <v>100245</v>
      </c>
      <c r="I74" t="s">
        <v>1932</v>
      </c>
      <c r="J74" t="str">
        <f t="shared" si="1"/>
        <v>ia.assorted_string like '%100245-00099-10-2024%' or</v>
      </c>
    </row>
    <row r="75" spans="1:10" x14ac:dyDescent="0.25">
      <c r="A75" s="16" t="s">
        <v>1011</v>
      </c>
      <c r="B75" t="s">
        <v>1822</v>
      </c>
      <c r="H75">
        <v>100245</v>
      </c>
      <c r="I75" t="s">
        <v>1933</v>
      </c>
      <c r="J75" t="str">
        <f t="shared" si="1"/>
        <v>ia.assorted_string like '%100245-00098-10-2024%' or</v>
      </c>
    </row>
    <row r="76" spans="1:10" x14ac:dyDescent="0.25">
      <c r="A76" s="16" t="s">
        <v>1017</v>
      </c>
      <c r="B76" t="s">
        <v>1822</v>
      </c>
      <c r="H76">
        <v>100245</v>
      </c>
      <c r="I76" t="s">
        <v>1934</v>
      </c>
      <c r="J76" t="str">
        <f t="shared" si="1"/>
        <v>ia.assorted_string like '%100245-00068-10-2024%' or</v>
      </c>
    </row>
    <row r="77" spans="1:10" x14ac:dyDescent="0.25">
      <c r="A77" s="16" t="s">
        <v>1024</v>
      </c>
      <c r="B77" t="s">
        <v>1822</v>
      </c>
      <c r="H77">
        <v>100245</v>
      </c>
      <c r="I77" t="s">
        <v>1935</v>
      </c>
      <c r="J77" t="str">
        <f t="shared" si="1"/>
        <v>ia.assorted_string like '%100245-00067-10-2024%' or</v>
      </c>
    </row>
    <row r="78" spans="1:10" x14ac:dyDescent="0.25">
      <c r="A78" s="16" t="s">
        <v>1031</v>
      </c>
      <c r="B78" t="s">
        <v>1822</v>
      </c>
      <c r="H78">
        <v>100245</v>
      </c>
      <c r="I78" t="s">
        <v>1814</v>
      </c>
      <c r="J78" t="str">
        <f t="shared" si="1"/>
        <v>ia.assorted_string like '%100245-00009-10-2024%' or</v>
      </c>
    </row>
    <row r="79" spans="1:10" x14ac:dyDescent="0.25">
      <c r="A79" s="16" t="s">
        <v>1039</v>
      </c>
      <c r="B79" t="s">
        <v>1822</v>
      </c>
      <c r="H79">
        <v>100348</v>
      </c>
      <c r="I79" t="s">
        <v>1802</v>
      </c>
      <c r="J79" t="str">
        <f t="shared" si="1"/>
        <v>ia.assorted_string like '%100348-00001-10-2024%' or</v>
      </c>
    </row>
    <row r="80" spans="1:10" x14ac:dyDescent="0.25">
      <c r="A80" s="16" t="s">
        <v>1046</v>
      </c>
      <c r="B80" t="s">
        <v>1822</v>
      </c>
      <c r="H80">
        <v>100245</v>
      </c>
      <c r="I80" t="s">
        <v>1936</v>
      </c>
      <c r="J80" t="str">
        <f t="shared" si="1"/>
        <v>ia.assorted_string like '%100245-00150-10-2024%' or</v>
      </c>
    </row>
    <row r="81" spans="1:10" x14ac:dyDescent="0.25">
      <c r="A81" s="16" t="s">
        <v>1054</v>
      </c>
      <c r="B81" t="s">
        <v>1822</v>
      </c>
      <c r="H81">
        <v>100245</v>
      </c>
      <c r="I81" t="s">
        <v>1937</v>
      </c>
      <c r="J81" t="str">
        <f t="shared" si="1"/>
        <v>ia.assorted_string like '%100245-00119-10-2024%' or</v>
      </c>
    </row>
    <row r="82" spans="1:10" x14ac:dyDescent="0.25">
      <c r="A82" s="16" t="s">
        <v>1061</v>
      </c>
      <c r="B82" t="s">
        <v>1822</v>
      </c>
      <c r="H82">
        <v>100245</v>
      </c>
      <c r="I82" t="s">
        <v>1938</v>
      </c>
      <c r="J82" t="str">
        <f t="shared" si="1"/>
        <v>ia.assorted_string like '%100245-00069-10-2024%' or</v>
      </c>
    </row>
    <row r="83" spans="1:10" x14ac:dyDescent="0.25">
      <c r="A83" s="16" t="s">
        <v>1069</v>
      </c>
      <c r="B83" t="s">
        <v>1822</v>
      </c>
      <c r="H83">
        <v>100245</v>
      </c>
      <c r="I83" t="s">
        <v>1800</v>
      </c>
      <c r="J83" t="str">
        <f t="shared" si="1"/>
        <v>ia.assorted_string like '%100245-00022-10-2024%' or</v>
      </c>
    </row>
    <row r="84" spans="1:10" x14ac:dyDescent="0.25">
      <c r="A84" s="16" t="s">
        <v>1078</v>
      </c>
      <c r="B84" t="s">
        <v>1822</v>
      </c>
      <c r="H84">
        <v>100245</v>
      </c>
      <c r="I84" t="s">
        <v>1939</v>
      </c>
      <c r="J84" t="str">
        <f t="shared" si="1"/>
        <v>ia.assorted_string like '%100245-00162-10-2024%' or</v>
      </c>
    </row>
    <row r="85" spans="1:10" x14ac:dyDescent="0.25">
      <c r="A85" s="16" t="s">
        <v>1086</v>
      </c>
      <c r="B85" t="s">
        <v>1822</v>
      </c>
      <c r="H85">
        <v>100245</v>
      </c>
      <c r="I85" t="s">
        <v>1940</v>
      </c>
      <c r="J85" t="str">
        <f t="shared" si="1"/>
        <v>ia.assorted_string like '%100245-00161-10-2024%' or</v>
      </c>
    </row>
    <row r="86" spans="1:10" x14ac:dyDescent="0.25">
      <c r="A86" s="16" t="s">
        <v>1094</v>
      </c>
      <c r="B86" t="s">
        <v>1822</v>
      </c>
      <c r="H86">
        <v>100245</v>
      </c>
      <c r="I86" t="s">
        <v>1941</v>
      </c>
      <c r="J86" t="str">
        <f t="shared" si="1"/>
        <v>ia.assorted_string like '%100245-00160-10-2024%' or</v>
      </c>
    </row>
    <row r="87" spans="1:10" x14ac:dyDescent="0.25">
      <c r="A87" s="16" t="s">
        <v>1101</v>
      </c>
      <c r="B87" t="s">
        <v>1822</v>
      </c>
      <c r="H87">
        <v>100245</v>
      </c>
      <c r="I87" t="s">
        <v>1942</v>
      </c>
      <c r="J87" t="str">
        <f t="shared" si="1"/>
        <v>ia.assorted_string like '%100245-00136-10-2024%' or</v>
      </c>
    </row>
    <row r="88" spans="1:10" x14ac:dyDescent="0.25">
      <c r="A88" s="16" t="s">
        <v>1109</v>
      </c>
      <c r="B88" t="s">
        <v>1822</v>
      </c>
      <c r="H88">
        <v>100245</v>
      </c>
      <c r="I88" t="s">
        <v>1943</v>
      </c>
      <c r="J88" t="str">
        <f t="shared" si="1"/>
        <v>ia.assorted_string like '%100245-00135-10-2024%' or</v>
      </c>
    </row>
    <row r="89" spans="1:10" x14ac:dyDescent="0.25">
      <c r="A89" s="16" t="s">
        <v>1118</v>
      </c>
      <c r="B89" t="s">
        <v>1822</v>
      </c>
      <c r="H89">
        <v>100245</v>
      </c>
      <c r="I89" t="s">
        <v>1944</v>
      </c>
      <c r="J89" t="str">
        <f t="shared" si="1"/>
        <v>ia.assorted_string like '%100245-00120-10-2024%' or</v>
      </c>
    </row>
    <row r="90" spans="1:10" x14ac:dyDescent="0.25">
      <c r="A90" s="16" t="s">
        <v>1125</v>
      </c>
      <c r="B90" t="s">
        <v>1822</v>
      </c>
      <c r="H90">
        <v>100245</v>
      </c>
      <c r="I90" t="s">
        <v>1945</v>
      </c>
      <c r="J90" t="str">
        <f t="shared" si="1"/>
        <v>ia.assorted_string like '%100245-00101-10-2024%' or</v>
      </c>
    </row>
    <row r="91" spans="1:10" x14ac:dyDescent="0.25">
      <c r="A91" s="16" t="s">
        <v>1132</v>
      </c>
      <c r="B91" t="s">
        <v>1822</v>
      </c>
      <c r="H91">
        <v>100245</v>
      </c>
      <c r="I91" t="s">
        <v>1946</v>
      </c>
      <c r="J91" t="str">
        <f t="shared" si="1"/>
        <v>ia.assorted_string like '%100245-00100-10-2024%' or</v>
      </c>
    </row>
    <row r="92" spans="1:10" x14ac:dyDescent="0.25">
      <c r="A92" s="16" t="s">
        <v>1139</v>
      </c>
      <c r="B92" t="s">
        <v>1822</v>
      </c>
      <c r="H92">
        <v>100245</v>
      </c>
      <c r="I92" t="s">
        <v>1947</v>
      </c>
      <c r="J92" t="str">
        <f t="shared" si="1"/>
        <v>ia.assorted_string like '%100245-00072-10-2024%' or</v>
      </c>
    </row>
    <row r="93" spans="1:10" x14ac:dyDescent="0.25">
      <c r="A93" s="16" t="s">
        <v>1147</v>
      </c>
      <c r="B93" t="s">
        <v>1822</v>
      </c>
      <c r="H93">
        <v>100245</v>
      </c>
      <c r="I93" t="s">
        <v>1948</v>
      </c>
      <c r="J93" t="str">
        <f t="shared" si="1"/>
        <v>ia.assorted_string like '%100245-00071-10-2024%' or</v>
      </c>
    </row>
    <row r="94" spans="1:10" x14ac:dyDescent="0.25">
      <c r="A94" s="16" t="s">
        <v>1155</v>
      </c>
      <c r="B94" t="s">
        <v>1822</v>
      </c>
      <c r="H94">
        <v>100245</v>
      </c>
      <c r="I94" t="s">
        <v>1949</v>
      </c>
      <c r="J94" t="str">
        <f t="shared" si="1"/>
        <v>ia.assorted_string like '%100245-00070-10-2024%' or</v>
      </c>
    </row>
    <row r="95" spans="1:10" x14ac:dyDescent="0.25">
      <c r="A95" s="16" t="s">
        <v>1162</v>
      </c>
      <c r="B95" t="s">
        <v>1822</v>
      </c>
      <c r="H95">
        <v>100245</v>
      </c>
      <c r="I95" t="s">
        <v>1950</v>
      </c>
      <c r="J95" t="str">
        <f t="shared" si="1"/>
        <v>ia.assorted_string like '%100245-00066-10-2024%' or</v>
      </c>
    </row>
    <row r="96" spans="1:10" x14ac:dyDescent="0.25">
      <c r="A96" s="16" t="s">
        <v>1170</v>
      </c>
      <c r="B96" t="s">
        <v>1822</v>
      </c>
      <c r="H96">
        <v>100245</v>
      </c>
      <c r="I96" t="s">
        <v>1781</v>
      </c>
      <c r="J96" t="str">
        <f t="shared" si="1"/>
        <v>ia.assorted_string like '%100245-00042-10-2024%' or</v>
      </c>
    </row>
    <row r="97" spans="1:10" x14ac:dyDescent="0.25">
      <c r="A97" s="16" t="s">
        <v>1180</v>
      </c>
      <c r="B97" t="s">
        <v>1822</v>
      </c>
      <c r="H97">
        <v>100245</v>
      </c>
      <c r="I97" t="s">
        <v>1951</v>
      </c>
      <c r="J97" t="str">
        <f t="shared" si="1"/>
        <v>ia.assorted_string like '%100245-00023-10-2024%' or</v>
      </c>
    </row>
    <row r="98" spans="1:10" x14ac:dyDescent="0.25">
      <c r="A98" s="16" t="s">
        <v>1187</v>
      </c>
      <c r="B98" t="s">
        <v>1822</v>
      </c>
      <c r="H98">
        <v>100245</v>
      </c>
      <c r="I98" t="s">
        <v>1819</v>
      </c>
      <c r="J98" t="str">
        <f t="shared" si="1"/>
        <v>ia.assorted_string like '%100245-00004-10-2024%' or</v>
      </c>
    </row>
    <row r="99" spans="1:10" x14ac:dyDescent="0.25">
      <c r="A99" s="16" t="s">
        <v>1195</v>
      </c>
      <c r="B99" t="s">
        <v>1822</v>
      </c>
      <c r="H99">
        <v>100245</v>
      </c>
      <c r="I99" t="s">
        <v>1952</v>
      </c>
      <c r="J99" t="str">
        <f t="shared" si="1"/>
        <v>ia.assorted_string like '%100245-00156-10-2024%' or</v>
      </c>
    </row>
    <row r="100" spans="1:10" x14ac:dyDescent="0.25">
      <c r="A100" s="16" t="s">
        <v>1203</v>
      </c>
      <c r="B100" t="s">
        <v>1822</v>
      </c>
      <c r="H100">
        <v>100245</v>
      </c>
      <c r="I100" t="s">
        <v>1953</v>
      </c>
      <c r="J100" t="str">
        <f t="shared" si="1"/>
        <v>ia.assorted_string like '%100245-00151-10-2024%' or</v>
      </c>
    </row>
    <row r="101" spans="1:10" x14ac:dyDescent="0.25">
      <c r="A101" s="16" t="s">
        <v>1212</v>
      </c>
      <c r="B101" t="s">
        <v>1822</v>
      </c>
      <c r="H101">
        <v>100245</v>
      </c>
      <c r="I101" t="s">
        <v>1954</v>
      </c>
      <c r="J101" t="str">
        <f t="shared" si="1"/>
        <v>ia.assorted_string like '%100245-00122-10-2024%' or</v>
      </c>
    </row>
    <row r="102" spans="1:10" x14ac:dyDescent="0.25">
      <c r="A102" s="16" t="s">
        <v>1221</v>
      </c>
      <c r="B102" t="s">
        <v>1822</v>
      </c>
      <c r="H102">
        <v>100245</v>
      </c>
      <c r="I102" t="s">
        <v>1955</v>
      </c>
      <c r="J102" t="str">
        <f t="shared" si="1"/>
        <v>ia.assorted_string like '%100245-00121-10-2024%' or</v>
      </c>
    </row>
    <row r="103" spans="1:10" x14ac:dyDescent="0.25">
      <c r="A103" s="16" t="s">
        <v>1229</v>
      </c>
      <c r="B103" t="s">
        <v>1822</v>
      </c>
      <c r="H103">
        <v>100245</v>
      </c>
      <c r="I103" t="s">
        <v>1956</v>
      </c>
      <c r="J103" t="str">
        <f t="shared" si="1"/>
        <v>ia.assorted_string like '%100245-00102-10-2024%' or</v>
      </c>
    </row>
    <row r="104" spans="1:10" x14ac:dyDescent="0.25">
      <c r="A104" s="16" t="s">
        <v>1236</v>
      </c>
      <c r="B104" t="s">
        <v>1822</v>
      </c>
      <c r="H104">
        <v>100245</v>
      </c>
      <c r="I104" t="s">
        <v>1775</v>
      </c>
      <c r="J104" t="str">
        <f t="shared" si="1"/>
        <v>ia.assorted_string like '%100245-00048-10-2024%' or</v>
      </c>
    </row>
    <row r="105" spans="1:10" x14ac:dyDescent="0.25">
      <c r="A105" s="16" t="s">
        <v>1245</v>
      </c>
      <c r="B105" t="s">
        <v>1822</v>
      </c>
      <c r="H105">
        <v>100245</v>
      </c>
      <c r="I105" t="s">
        <v>1776</v>
      </c>
      <c r="J105" t="str">
        <f t="shared" si="1"/>
        <v>ia.assorted_string like '%100245-00047-10-2024%' or</v>
      </c>
    </row>
    <row r="106" spans="1:10" x14ac:dyDescent="0.25">
      <c r="A106" s="16" t="s">
        <v>1255</v>
      </c>
      <c r="B106" t="s">
        <v>1822</v>
      </c>
      <c r="H106">
        <v>100245</v>
      </c>
      <c r="I106" t="s">
        <v>1777</v>
      </c>
      <c r="J106" t="str">
        <f t="shared" si="1"/>
        <v>ia.assorted_string like '%100245-00046-10-2024%' or</v>
      </c>
    </row>
    <row r="107" spans="1:10" x14ac:dyDescent="0.25">
      <c r="A107" s="16" t="s">
        <v>1263</v>
      </c>
      <c r="B107" t="s">
        <v>1822</v>
      </c>
      <c r="H107">
        <v>100245</v>
      </c>
      <c r="I107" t="s">
        <v>1778</v>
      </c>
      <c r="J107" t="str">
        <f t="shared" si="1"/>
        <v>ia.assorted_string like '%100245-00045-10-2024%' or</v>
      </c>
    </row>
    <row r="108" spans="1:10" x14ac:dyDescent="0.25">
      <c r="A108" s="16" t="s">
        <v>1270</v>
      </c>
      <c r="B108" t="s">
        <v>1822</v>
      </c>
      <c r="H108">
        <v>100245</v>
      </c>
      <c r="I108" t="s">
        <v>1780</v>
      </c>
      <c r="J108" t="str">
        <f t="shared" si="1"/>
        <v>ia.assorted_string like '%100245-00043-10-2024%' or</v>
      </c>
    </row>
    <row r="109" spans="1:10" x14ac:dyDescent="0.25">
      <c r="A109" s="16" t="s">
        <v>1278</v>
      </c>
      <c r="B109" t="s">
        <v>1822</v>
      </c>
      <c r="H109">
        <v>100245</v>
      </c>
      <c r="I109" t="s">
        <v>1793</v>
      </c>
      <c r="J109" t="str">
        <f t="shared" si="1"/>
        <v>ia.assorted_string like '%100245-00030-10-2024%' or</v>
      </c>
    </row>
    <row r="110" spans="1:10" x14ac:dyDescent="0.25">
      <c r="A110" s="16" t="s">
        <v>1286</v>
      </c>
      <c r="B110" t="s">
        <v>1822</v>
      </c>
      <c r="H110">
        <v>100245</v>
      </c>
      <c r="I110" t="s">
        <v>1799</v>
      </c>
      <c r="J110" t="str">
        <f t="shared" si="1"/>
        <v>ia.assorted_string like '%100245-00024-10-2024%' or</v>
      </c>
    </row>
    <row r="111" spans="1:10" x14ac:dyDescent="0.25">
      <c r="A111" s="16" t="s">
        <v>1293</v>
      </c>
      <c r="B111" t="s">
        <v>1822</v>
      </c>
      <c r="H111">
        <v>100245</v>
      </c>
      <c r="I111" t="s">
        <v>1957</v>
      </c>
      <c r="J111" t="str">
        <f t="shared" si="1"/>
        <v>ia.assorted_string like '%100245-00129-10-2024%' or</v>
      </c>
    </row>
    <row r="112" spans="1:10" x14ac:dyDescent="0.25">
      <c r="A112" s="16" t="s">
        <v>1300</v>
      </c>
      <c r="B112" t="s">
        <v>1822</v>
      </c>
      <c r="H112">
        <v>100245</v>
      </c>
      <c r="I112" t="s">
        <v>1958</v>
      </c>
      <c r="J112" t="str">
        <f t="shared" si="1"/>
        <v>ia.assorted_string like '%100245-00128-10-2024%' or</v>
      </c>
    </row>
    <row r="113" spans="1:10" x14ac:dyDescent="0.25">
      <c r="A113" s="16" t="s">
        <v>1309</v>
      </c>
      <c r="B113" t="s">
        <v>1822</v>
      </c>
      <c r="H113">
        <v>100245</v>
      </c>
      <c r="I113" t="s">
        <v>1959</v>
      </c>
      <c r="J113" t="str">
        <f t="shared" si="1"/>
        <v>ia.assorted_string like '%100245-00127-10-2024%' or</v>
      </c>
    </row>
    <row r="114" spans="1:10" x14ac:dyDescent="0.25">
      <c r="A114" s="16" t="s">
        <v>1317</v>
      </c>
      <c r="B114" t="s">
        <v>1822</v>
      </c>
      <c r="H114">
        <v>100245</v>
      </c>
      <c r="I114" t="s">
        <v>1960</v>
      </c>
      <c r="J114" t="str">
        <f t="shared" si="1"/>
        <v>ia.assorted_string like '%100245-00126-10-2024%' or</v>
      </c>
    </row>
    <row r="115" spans="1:10" x14ac:dyDescent="0.25">
      <c r="A115" s="16" t="s">
        <v>1324</v>
      </c>
      <c r="B115" t="s">
        <v>1822</v>
      </c>
      <c r="H115">
        <v>100245</v>
      </c>
      <c r="I115" t="s">
        <v>1961</v>
      </c>
      <c r="J115" t="str">
        <f t="shared" si="1"/>
        <v>ia.assorted_string like '%100245-00125-10-2024%' or</v>
      </c>
    </row>
    <row r="116" spans="1:10" x14ac:dyDescent="0.25">
      <c r="A116" s="16" t="s">
        <v>1331</v>
      </c>
      <c r="B116" t="s">
        <v>1822</v>
      </c>
      <c r="H116">
        <v>100245</v>
      </c>
      <c r="I116" t="s">
        <v>1962</v>
      </c>
      <c r="J116" t="str">
        <f t="shared" si="1"/>
        <v>ia.assorted_string like '%100245-00124-10-2024%' or</v>
      </c>
    </row>
    <row r="117" spans="1:10" x14ac:dyDescent="0.25">
      <c r="A117" s="16" t="s">
        <v>1338</v>
      </c>
      <c r="B117" t="s">
        <v>1822</v>
      </c>
      <c r="H117">
        <v>100245</v>
      </c>
      <c r="I117" t="s">
        <v>1963</v>
      </c>
      <c r="J117" t="str">
        <f t="shared" si="1"/>
        <v>ia.assorted_string like '%100245-00123-10-2024%' or</v>
      </c>
    </row>
    <row r="118" spans="1:10" x14ac:dyDescent="0.25">
      <c r="A118" s="16" t="s">
        <v>1347</v>
      </c>
      <c r="B118" t="s">
        <v>1822</v>
      </c>
      <c r="H118">
        <v>100245</v>
      </c>
      <c r="I118" t="s">
        <v>1964</v>
      </c>
      <c r="J118" t="str">
        <f t="shared" si="1"/>
        <v>ia.assorted_string like '%100245-00103-10-2024%' or</v>
      </c>
    </row>
    <row r="119" spans="1:10" x14ac:dyDescent="0.25">
      <c r="A119" s="16" t="s">
        <v>1355</v>
      </c>
      <c r="B119" t="s">
        <v>1822</v>
      </c>
      <c r="H119">
        <v>100245</v>
      </c>
      <c r="I119" t="s">
        <v>1965</v>
      </c>
      <c r="J119" t="str">
        <f t="shared" si="1"/>
        <v>ia.assorted_string like '%100245-00052-10-2024%' or</v>
      </c>
    </row>
    <row r="120" spans="1:10" x14ac:dyDescent="0.25">
      <c r="A120" s="16" t="s">
        <v>1362</v>
      </c>
      <c r="B120" t="s">
        <v>1822</v>
      </c>
      <c r="H120">
        <v>100245</v>
      </c>
      <c r="I120" t="s">
        <v>1772</v>
      </c>
      <c r="J120" t="str">
        <f t="shared" si="1"/>
        <v>ia.assorted_string like '%100245-00051-10-2024%' or</v>
      </c>
    </row>
    <row r="121" spans="1:10" x14ac:dyDescent="0.25">
      <c r="A121" s="16" t="s">
        <v>1371</v>
      </c>
      <c r="B121" t="s">
        <v>1822</v>
      </c>
      <c r="H121">
        <v>100245</v>
      </c>
      <c r="I121" t="s">
        <v>1773</v>
      </c>
      <c r="J121" t="str">
        <f t="shared" si="1"/>
        <v>ia.assorted_string like '%100245-00050-10-2024%' or</v>
      </c>
    </row>
    <row r="122" spans="1:10" x14ac:dyDescent="0.25">
      <c r="A122" s="16" t="s">
        <v>1378</v>
      </c>
      <c r="B122" t="s">
        <v>1822</v>
      </c>
      <c r="H122">
        <v>100245</v>
      </c>
      <c r="I122" t="s">
        <v>1774</v>
      </c>
      <c r="J122" t="str">
        <f t="shared" si="1"/>
        <v>ia.assorted_string like '%100245-00049-10-2024%' or</v>
      </c>
    </row>
    <row r="123" spans="1:10" x14ac:dyDescent="0.25">
      <c r="A123" s="16" t="s">
        <v>1387</v>
      </c>
      <c r="B123" t="s">
        <v>1822</v>
      </c>
      <c r="H123">
        <v>100245</v>
      </c>
      <c r="I123" t="s">
        <v>1792</v>
      </c>
      <c r="J123" t="str">
        <f t="shared" si="1"/>
        <v>ia.assorted_string like '%100245-00031-10-2024%' or</v>
      </c>
    </row>
    <row r="124" spans="1:10" x14ac:dyDescent="0.25">
      <c r="A124" s="16" t="s">
        <v>1395</v>
      </c>
      <c r="B124" t="s">
        <v>1822</v>
      </c>
      <c r="H124">
        <v>100245</v>
      </c>
      <c r="I124" t="s">
        <v>1817</v>
      </c>
      <c r="J124" t="str">
        <f t="shared" si="1"/>
        <v>ia.assorted_string like '%100245-00006-10-2024%' or</v>
      </c>
    </row>
    <row r="125" spans="1:10" x14ac:dyDescent="0.25">
      <c r="A125" s="16" t="s">
        <v>1404</v>
      </c>
      <c r="B125" t="s">
        <v>1822</v>
      </c>
      <c r="H125">
        <v>100346</v>
      </c>
      <c r="I125" t="s">
        <v>1821</v>
      </c>
      <c r="J125" t="str">
        <f t="shared" si="1"/>
        <v>ia.assorted_string like '%100346-00002-10-2024%' or</v>
      </c>
    </row>
    <row r="126" spans="1:10" x14ac:dyDescent="0.25">
      <c r="A126" s="16" t="s">
        <v>1410</v>
      </c>
      <c r="B126" t="s">
        <v>1822</v>
      </c>
      <c r="H126">
        <v>100346</v>
      </c>
      <c r="I126" t="s">
        <v>1802</v>
      </c>
      <c r="J126" t="str">
        <f t="shared" si="1"/>
        <v>ia.assorted_string like '%100346-00001-10-2024%' or</v>
      </c>
    </row>
    <row r="127" spans="1:10" x14ac:dyDescent="0.25">
      <c r="A127" s="16" t="s">
        <v>1417</v>
      </c>
      <c r="B127" t="s">
        <v>1822</v>
      </c>
      <c r="H127">
        <v>100245</v>
      </c>
      <c r="I127" t="s">
        <v>1966</v>
      </c>
      <c r="J127" t="str">
        <f t="shared" si="1"/>
        <v>ia.assorted_string like '%100245-00163-10-2024%' or</v>
      </c>
    </row>
    <row r="128" spans="1:10" x14ac:dyDescent="0.25">
      <c r="A128" s="16" t="s">
        <v>1424</v>
      </c>
      <c r="B128" t="s">
        <v>1822</v>
      </c>
      <c r="H128">
        <v>100245</v>
      </c>
      <c r="I128" t="s">
        <v>1967</v>
      </c>
      <c r="J128" t="str">
        <f t="shared" si="1"/>
        <v>ia.assorted_string like '%100245-00137-10-2024%' or</v>
      </c>
    </row>
    <row r="129" spans="1:10" x14ac:dyDescent="0.25">
      <c r="A129" s="16" t="s">
        <v>1433</v>
      </c>
      <c r="B129" t="s">
        <v>1822</v>
      </c>
      <c r="H129">
        <v>100245</v>
      </c>
      <c r="I129" t="s">
        <v>1968</v>
      </c>
      <c r="J129" t="str">
        <f t="shared" si="1"/>
        <v>ia.assorted_string like '%100245-00074-10-2024%' or</v>
      </c>
    </row>
    <row r="130" spans="1:10" x14ac:dyDescent="0.25">
      <c r="A130" s="16" t="s">
        <v>1441</v>
      </c>
      <c r="B130" t="s">
        <v>1822</v>
      </c>
      <c r="H130">
        <v>100245</v>
      </c>
      <c r="I130" t="s">
        <v>1969</v>
      </c>
      <c r="J130" t="str">
        <f t="shared" ref="J130:J172" si="2">"ia.assorted_string like '%"&amp;H130&amp;"-"&amp;I130&amp;B130&amp;"%' or"</f>
        <v>ia.assorted_string like '%100245-00073-10-2024%' or</v>
      </c>
    </row>
    <row r="131" spans="1:10" x14ac:dyDescent="0.25">
      <c r="A131" s="16" t="s">
        <v>1449</v>
      </c>
      <c r="B131" t="s">
        <v>1822</v>
      </c>
      <c r="H131">
        <v>100245</v>
      </c>
      <c r="I131" t="s">
        <v>1813</v>
      </c>
      <c r="J131" t="str">
        <f t="shared" si="2"/>
        <v>ia.assorted_string like '%100245-00010-10-2024%' or</v>
      </c>
    </row>
    <row r="132" spans="1:10" x14ac:dyDescent="0.25">
      <c r="A132" s="16" t="s">
        <v>1457</v>
      </c>
      <c r="B132" t="s">
        <v>1822</v>
      </c>
      <c r="H132">
        <v>100245</v>
      </c>
      <c r="I132" t="s">
        <v>1815</v>
      </c>
      <c r="J132" t="str">
        <f t="shared" si="2"/>
        <v>ia.assorted_string like '%100245-00008-10-2024%' or</v>
      </c>
    </row>
    <row r="133" spans="1:10" x14ac:dyDescent="0.25">
      <c r="A133" s="16" t="s">
        <v>1465</v>
      </c>
      <c r="B133" t="s">
        <v>1822</v>
      </c>
      <c r="H133">
        <v>100245</v>
      </c>
      <c r="I133" t="s">
        <v>1970</v>
      </c>
      <c r="J133" t="str">
        <f t="shared" si="2"/>
        <v>ia.assorted_string like '%100245-00154-10-2024%' or</v>
      </c>
    </row>
    <row r="134" spans="1:10" x14ac:dyDescent="0.25">
      <c r="A134" s="16" t="s">
        <v>1473</v>
      </c>
      <c r="B134" t="s">
        <v>1822</v>
      </c>
      <c r="H134">
        <v>100245</v>
      </c>
      <c r="I134" t="s">
        <v>1971</v>
      </c>
      <c r="J134" t="str">
        <f t="shared" si="2"/>
        <v>ia.assorted_string like '%100245-00153-10-2024%' or</v>
      </c>
    </row>
    <row r="135" spans="1:10" x14ac:dyDescent="0.25">
      <c r="A135" s="16" t="s">
        <v>1480</v>
      </c>
      <c r="B135" t="s">
        <v>1822</v>
      </c>
      <c r="H135">
        <v>100245</v>
      </c>
      <c r="I135" t="s">
        <v>1972</v>
      </c>
      <c r="J135" t="str">
        <f t="shared" si="2"/>
        <v>ia.assorted_string like '%100245-00144-10-2024%' or</v>
      </c>
    </row>
    <row r="136" spans="1:10" x14ac:dyDescent="0.25">
      <c r="A136" s="16" t="s">
        <v>1487</v>
      </c>
      <c r="B136" t="s">
        <v>1822</v>
      </c>
      <c r="H136">
        <v>100245</v>
      </c>
      <c r="I136" t="s">
        <v>1973</v>
      </c>
      <c r="J136" t="str">
        <f t="shared" si="2"/>
        <v>ia.assorted_string like '%100245-00143-10-2024%' or</v>
      </c>
    </row>
    <row r="137" spans="1:10" x14ac:dyDescent="0.25">
      <c r="A137" s="16" t="s">
        <v>1495</v>
      </c>
      <c r="B137" t="s">
        <v>1822</v>
      </c>
      <c r="H137">
        <v>100245</v>
      </c>
      <c r="I137" t="s">
        <v>1974</v>
      </c>
      <c r="J137" t="str">
        <f t="shared" si="2"/>
        <v>ia.assorted_string like '%100245-00142-10-2024%' or</v>
      </c>
    </row>
    <row r="138" spans="1:10" x14ac:dyDescent="0.25">
      <c r="A138" s="16" t="s">
        <v>1502</v>
      </c>
      <c r="B138" t="s">
        <v>1822</v>
      </c>
      <c r="H138">
        <v>100245</v>
      </c>
      <c r="I138" t="s">
        <v>1975</v>
      </c>
      <c r="J138" t="str">
        <f t="shared" si="2"/>
        <v>ia.assorted_string like '%100245-00141-10-2024%' or</v>
      </c>
    </row>
    <row r="139" spans="1:10" x14ac:dyDescent="0.25">
      <c r="A139" s="16" t="s">
        <v>1509</v>
      </c>
      <c r="B139" t="s">
        <v>1822</v>
      </c>
      <c r="H139">
        <v>100245</v>
      </c>
      <c r="I139" t="s">
        <v>1976</v>
      </c>
      <c r="J139" t="str">
        <f t="shared" si="2"/>
        <v>ia.assorted_string like '%100245-00140-10-2024%' or</v>
      </c>
    </row>
    <row r="140" spans="1:10" x14ac:dyDescent="0.25">
      <c r="A140" s="16" t="s">
        <v>1516</v>
      </c>
      <c r="B140" t="s">
        <v>1822</v>
      </c>
      <c r="H140">
        <v>100245</v>
      </c>
      <c r="I140" t="s">
        <v>1977</v>
      </c>
      <c r="J140" t="str">
        <f t="shared" si="2"/>
        <v>ia.assorted_string like '%100245-00139-10-2024%' or</v>
      </c>
    </row>
    <row r="141" spans="1:10" x14ac:dyDescent="0.25">
      <c r="A141" s="16" t="s">
        <v>1525</v>
      </c>
      <c r="B141" t="s">
        <v>1822</v>
      </c>
      <c r="H141">
        <v>100245</v>
      </c>
      <c r="I141" t="s">
        <v>1978</v>
      </c>
      <c r="J141" t="str">
        <f t="shared" si="2"/>
        <v>ia.assorted_string like '%100245-00138-10-2024%' or</v>
      </c>
    </row>
    <row r="142" spans="1:10" x14ac:dyDescent="0.25">
      <c r="A142" s="16" t="s">
        <v>1534</v>
      </c>
      <c r="B142" t="s">
        <v>1822</v>
      </c>
      <c r="H142">
        <v>100245</v>
      </c>
      <c r="I142" t="s">
        <v>1979</v>
      </c>
      <c r="J142" t="str">
        <f t="shared" si="2"/>
        <v>ia.assorted_string like '%100245-00111-10-2024%' or</v>
      </c>
    </row>
    <row r="143" spans="1:10" x14ac:dyDescent="0.25">
      <c r="A143" s="16" t="s">
        <v>1542</v>
      </c>
      <c r="B143" t="s">
        <v>1822</v>
      </c>
      <c r="H143">
        <v>100245</v>
      </c>
      <c r="I143" t="s">
        <v>1980</v>
      </c>
      <c r="J143" t="str">
        <f t="shared" si="2"/>
        <v>ia.assorted_string like '%100245-00109-10-2024%' or</v>
      </c>
    </row>
    <row r="144" spans="1:10" x14ac:dyDescent="0.25">
      <c r="A144" s="16" t="s">
        <v>1549</v>
      </c>
      <c r="B144" t="s">
        <v>1822</v>
      </c>
      <c r="H144">
        <v>100245</v>
      </c>
      <c r="I144" t="s">
        <v>1981</v>
      </c>
      <c r="J144" t="str">
        <f t="shared" si="2"/>
        <v>ia.assorted_string like '%100245-00108-10-2024%' or</v>
      </c>
    </row>
    <row r="145" spans="1:10" x14ac:dyDescent="0.25">
      <c r="A145" s="16" t="s">
        <v>1557</v>
      </c>
      <c r="B145" t="s">
        <v>1822</v>
      </c>
      <c r="H145">
        <v>100245</v>
      </c>
      <c r="I145" t="s">
        <v>1982</v>
      </c>
      <c r="J145" t="str">
        <f t="shared" si="2"/>
        <v>ia.assorted_string like '%100245-00107-10-2024%' or</v>
      </c>
    </row>
    <row r="146" spans="1:10" x14ac:dyDescent="0.25">
      <c r="A146" s="16" t="s">
        <v>1562</v>
      </c>
      <c r="B146" t="s">
        <v>1822</v>
      </c>
      <c r="H146">
        <v>100245</v>
      </c>
      <c r="I146" t="s">
        <v>1983</v>
      </c>
      <c r="J146" t="str">
        <f t="shared" si="2"/>
        <v>ia.assorted_string like '%100245-00106-10-2024%' or</v>
      </c>
    </row>
    <row r="147" spans="1:10" x14ac:dyDescent="0.25">
      <c r="A147" s="16" t="s">
        <v>1569</v>
      </c>
      <c r="B147" t="s">
        <v>1822</v>
      </c>
      <c r="H147">
        <v>100245</v>
      </c>
      <c r="I147" t="s">
        <v>1984</v>
      </c>
      <c r="J147" t="str">
        <f t="shared" si="2"/>
        <v>ia.assorted_string like '%100245-00105-10-2024%' or</v>
      </c>
    </row>
    <row r="148" spans="1:10" x14ac:dyDescent="0.25">
      <c r="A148" s="16" t="s">
        <v>1577</v>
      </c>
      <c r="B148" t="s">
        <v>1822</v>
      </c>
      <c r="H148">
        <v>100245</v>
      </c>
      <c r="I148" t="s">
        <v>1985</v>
      </c>
      <c r="J148" t="str">
        <f t="shared" si="2"/>
        <v>ia.assorted_string like '%100245-00104-10-2024%' or</v>
      </c>
    </row>
    <row r="149" spans="1:10" x14ac:dyDescent="0.25">
      <c r="A149" s="16" t="s">
        <v>1586</v>
      </c>
      <c r="B149" t="s">
        <v>1822</v>
      </c>
      <c r="H149">
        <v>100245</v>
      </c>
      <c r="I149" t="s">
        <v>1986</v>
      </c>
      <c r="J149" t="str">
        <f t="shared" si="2"/>
        <v>ia.assorted_string like '%100245-00080-10-2024%' or</v>
      </c>
    </row>
    <row r="150" spans="1:10" x14ac:dyDescent="0.25">
      <c r="A150" s="16" t="s">
        <v>1593</v>
      </c>
      <c r="B150" t="s">
        <v>1822</v>
      </c>
      <c r="H150">
        <v>100245</v>
      </c>
      <c r="I150" t="s">
        <v>1987</v>
      </c>
      <c r="J150" t="str">
        <f t="shared" si="2"/>
        <v>ia.assorted_string like '%100245-00079-10-2024%' or</v>
      </c>
    </row>
    <row r="151" spans="1:10" x14ac:dyDescent="0.25">
      <c r="A151" s="16" t="s">
        <v>1600</v>
      </c>
      <c r="B151" t="s">
        <v>1822</v>
      </c>
      <c r="H151">
        <v>100245</v>
      </c>
      <c r="I151" t="s">
        <v>1988</v>
      </c>
      <c r="J151" t="str">
        <f t="shared" si="2"/>
        <v>ia.assorted_string like '%100245-00078-10-2024%' or</v>
      </c>
    </row>
    <row r="152" spans="1:10" x14ac:dyDescent="0.25">
      <c r="A152" s="16" t="s">
        <v>1608</v>
      </c>
      <c r="B152" t="s">
        <v>1822</v>
      </c>
      <c r="H152">
        <v>100245</v>
      </c>
      <c r="I152" t="s">
        <v>1989</v>
      </c>
      <c r="J152" t="str">
        <f t="shared" si="2"/>
        <v>ia.assorted_string like '%100245-00076-10-2024%' or</v>
      </c>
    </row>
    <row r="153" spans="1:10" x14ac:dyDescent="0.25">
      <c r="A153" s="16" t="s">
        <v>1615</v>
      </c>
      <c r="B153" t="s">
        <v>1822</v>
      </c>
      <c r="H153">
        <v>100245</v>
      </c>
      <c r="I153" t="s">
        <v>1990</v>
      </c>
      <c r="J153" t="str">
        <f t="shared" si="2"/>
        <v>ia.assorted_string like '%100245-00075-10-2024%' or</v>
      </c>
    </row>
    <row r="154" spans="1:10" x14ac:dyDescent="0.25">
      <c r="A154" s="16" t="s">
        <v>1624</v>
      </c>
      <c r="B154" t="s">
        <v>1822</v>
      </c>
      <c r="H154">
        <v>100245</v>
      </c>
      <c r="I154" t="s">
        <v>1812</v>
      </c>
      <c r="J154" t="str">
        <f t="shared" si="2"/>
        <v>ia.assorted_string like '%100245-00011-10-2024%' or</v>
      </c>
    </row>
    <row r="155" spans="1:10" x14ac:dyDescent="0.25">
      <c r="A155" s="16" t="s">
        <v>1632</v>
      </c>
      <c r="B155" t="s">
        <v>1822</v>
      </c>
      <c r="H155">
        <v>100245</v>
      </c>
      <c r="I155" t="s">
        <v>1818</v>
      </c>
      <c r="J155" t="str">
        <f t="shared" si="2"/>
        <v>ia.assorted_string like '%100245-00005-10-2024%' or</v>
      </c>
    </row>
    <row r="156" spans="1:10" x14ac:dyDescent="0.25">
      <c r="A156" s="16" t="s">
        <v>1642</v>
      </c>
      <c r="B156" t="s">
        <v>1822</v>
      </c>
      <c r="H156">
        <v>100348</v>
      </c>
      <c r="I156" t="s">
        <v>1820</v>
      </c>
      <c r="J156" t="str">
        <f t="shared" si="2"/>
        <v>ia.assorted_string like '%100348-00003-10-2024%' or</v>
      </c>
    </row>
    <row r="157" spans="1:10" x14ac:dyDescent="0.25">
      <c r="A157" s="16" t="s">
        <v>1649</v>
      </c>
      <c r="B157" t="s">
        <v>1822</v>
      </c>
      <c r="H157">
        <v>100348</v>
      </c>
      <c r="I157" t="s">
        <v>1821</v>
      </c>
      <c r="J157" t="str">
        <f t="shared" si="2"/>
        <v>ia.assorted_string like '%100348-00002-10-2024%' or</v>
      </c>
    </row>
    <row r="158" spans="1:10" x14ac:dyDescent="0.25">
      <c r="A158" s="16" t="s">
        <v>1654</v>
      </c>
      <c r="B158" t="s">
        <v>1822</v>
      </c>
      <c r="H158">
        <v>100347</v>
      </c>
      <c r="I158" t="s">
        <v>1821</v>
      </c>
      <c r="J158" t="str">
        <f t="shared" si="2"/>
        <v>ia.assorted_string like '%100347-00002-10-2024%' or</v>
      </c>
    </row>
    <row r="159" spans="1:10" x14ac:dyDescent="0.25">
      <c r="A159" s="16" t="s">
        <v>1661</v>
      </c>
      <c r="B159" t="s">
        <v>1822</v>
      </c>
      <c r="H159">
        <v>100347</v>
      </c>
      <c r="I159" t="s">
        <v>1802</v>
      </c>
      <c r="J159" t="str">
        <f t="shared" si="2"/>
        <v>ia.assorted_string like '%100347-00001-10-2024%' or</v>
      </c>
    </row>
    <row r="160" spans="1:10" x14ac:dyDescent="0.25">
      <c r="A160" s="16" t="s">
        <v>1668</v>
      </c>
      <c r="B160" t="s">
        <v>1822</v>
      </c>
      <c r="H160">
        <v>100245</v>
      </c>
      <c r="I160" t="s">
        <v>1991</v>
      </c>
      <c r="J160" t="str">
        <f t="shared" si="2"/>
        <v>ia.assorted_string like '%100245-00167-10-2024%' or</v>
      </c>
    </row>
    <row r="161" spans="1:10" x14ac:dyDescent="0.25">
      <c r="A161" s="16" t="s">
        <v>1676</v>
      </c>
      <c r="B161" t="s">
        <v>1822</v>
      </c>
      <c r="H161">
        <v>100245</v>
      </c>
      <c r="I161" t="s">
        <v>1992</v>
      </c>
      <c r="J161" t="str">
        <f t="shared" si="2"/>
        <v>ia.assorted_string like '%100245-00166-10-2024%' or</v>
      </c>
    </row>
    <row r="162" spans="1:10" x14ac:dyDescent="0.25">
      <c r="A162" s="16" t="s">
        <v>1684</v>
      </c>
      <c r="B162" t="s">
        <v>1822</v>
      </c>
      <c r="H162">
        <v>100245</v>
      </c>
      <c r="I162" t="s">
        <v>1993</v>
      </c>
      <c r="J162" t="str">
        <f t="shared" si="2"/>
        <v>ia.assorted_string like '%100245-00113-10-2024%' or</v>
      </c>
    </row>
    <row r="163" spans="1:10" x14ac:dyDescent="0.25">
      <c r="A163" s="16" t="s">
        <v>1693</v>
      </c>
      <c r="B163" t="s">
        <v>1822</v>
      </c>
      <c r="H163">
        <v>100245</v>
      </c>
      <c r="I163" t="s">
        <v>1994</v>
      </c>
      <c r="J163" t="str">
        <f t="shared" si="2"/>
        <v>ia.assorted_string like '%100245-00112-10-2024%' or</v>
      </c>
    </row>
    <row r="164" spans="1:10" x14ac:dyDescent="0.25">
      <c r="A164" s="16" t="s">
        <v>1700</v>
      </c>
      <c r="B164" t="s">
        <v>1822</v>
      </c>
      <c r="H164">
        <v>100245</v>
      </c>
      <c r="I164" t="s">
        <v>1995</v>
      </c>
      <c r="J164" t="str">
        <f t="shared" si="2"/>
        <v>ia.assorted_string like '%100245-00057-10-2024%' or</v>
      </c>
    </row>
    <row r="165" spans="1:10" x14ac:dyDescent="0.25">
      <c r="A165" s="16" t="s">
        <v>1708</v>
      </c>
      <c r="B165" t="s">
        <v>1879</v>
      </c>
      <c r="H165">
        <v>96729</v>
      </c>
      <c r="I165" t="s">
        <v>1802</v>
      </c>
      <c r="J165" t="str">
        <f t="shared" si="2"/>
        <v>ia.assorted_string like '%96729-00001-09-2024%' or</v>
      </c>
    </row>
    <row r="166" spans="1:10" x14ac:dyDescent="0.25">
      <c r="A166" s="16" t="s">
        <v>1715</v>
      </c>
      <c r="B166" t="s">
        <v>1879</v>
      </c>
      <c r="H166">
        <v>96729</v>
      </c>
      <c r="I166" t="s">
        <v>1820</v>
      </c>
      <c r="J166" t="str">
        <f t="shared" si="2"/>
        <v>ia.assorted_string like '%96729-00003-09-2024%' or</v>
      </c>
    </row>
    <row r="167" spans="1:10" x14ac:dyDescent="0.25">
      <c r="A167" s="16" t="s">
        <v>1722</v>
      </c>
      <c r="B167" t="s">
        <v>1879</v>
      </c>
      <c r="H167">
        <v>96721</v>
      </c>
      <c r="I167" t="s">
        <v>1816</v>
      </c>
      <c r="J167" t="str">
        <f t="shared" si="2"/>
        <v>ia.assorted_string like '%96721-00007-09-2024%' or</v>
      </c>
    </row>
    <row r="168" spans="1:10" x14ac:dyDescent="0.25">
      <c r="A168" s="16" t="s">
        <v>1731</v>
      </c>
      <c r="B168" t="s">
        <v>1879</v>
      </c>
      <c r="H168">
        <v>96721</v>
      </c>
      <c r="I168" t="s">
        <v>1797</v>
      </c>
      <c r="J168" t="str">
        <f t="shared" si="2"/>
        <v>ia.assorted_string like '%96721-00026-09-2024%' or</v>
      </c>
    </row>
    <row r="169" spans="1:10" x14ac:dyDescent="0.25">
      <c r="A169" s="16" t="s">
        <v>1739</v>
      </c>
      <c r="B169" t="s">
        <v>1879</v>
      </c>
      <c r="H169">
        <v>96731</v>
      </c>
      <c r="I169" t="s">
        <v>1819</v>
      </c>
      <c r="J169" t="str">
        <f t="shared" si="2"/>
        <v>ia.assorted_string like '%96731-00004-09-2024%' or</v>
      </c>
    </row>
    <row r="170" spans="1:10" x14ac:dyDescent="0.25">
      <c r="A170" s="16" t="s">
        <v>1747</v>
      </c>
      <c r="B170" t="s">
        <v>1879</v>
      </c>
      <c r="H170">
        <v>96721</v>
      </c>
      <c r="I170" t="s">
        <v>1785</v>
      </c>
      <c r="J170" t="str">
        <f t="shared" si="2"/>
        <v>ia.assorted_string like '%96721-00038-09-2024%' or</v>
      </c>
    </row>
    <row r="171" spans="1:10" x14ac:dyDescent="0.25">
      <c r="A171" s="16" t="s">
        <v>1753</v>
      </c>
      <c r="B171" t="s">
        <v>1880</v>
      </c>
      <c r="H171">
        <v>93460</v>
      </c>
      <c r="I171" t="s">
        <v>1817</v>
      </c>
      <c r="J171" t="str">
        <f t="shared" si="2"/>
        <v>ia.assorted_string like '%93460-00006-07-2024%' or</v>
      </c>
    </row>
    <row r="172" spans="1:10" x14ac:dyDescent="0.25">
      <c r="A172" s="16" t="s">
        <v>1761</v>
      </c>
      <c r="B172" t="s">
        <v>1881</v>
      </c>
      <c r="H172">
        <v>90920</v>
      </c>
      <c r="I172" t="s">
        <v>1996</v>
      </c>
      <c r="J172" t="str">
        <f t="shared" si="2"/>
        <v>ia.assorted_string like '%90920-00191-06-2024%' or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84E6-34E4-4F92-A25A-06FF5F661DB7}">
  <dimension ref="A1:C172"/>
  <sheetViews>
    <sheetView workbookViewId="0">
      <selection activeCell="F8" sqref="F8"/>
    </sheetView>
  </sheetViews>
  <sheetFormatPr defaultColWidth="7.85546875" defaultRowHeight="15" x14ac:dyDescent="0.25"/>
  <cols>
    <col min="1" max="1" width="3.140625" customWidth="1"/>
    <col min="2" max="2" width="42.7109375" bestFit="1" customWidth="1"/>
    <col min="3" max="3" width="13.85546875" customWidth="1"/>
  </cols>
  <sheetData>
    <row r="1" spans="1:3" s="37" customFormat="1" ht="12" x14ac:dyDescent="0.2">
      <c r="A1" s="37" t="s">
        <v>1824</v>
      </c>
      <c r="B1" s="37" t="s">
        <v>1825</v>
      </c>
      <c r="C1" s="37" t="s">
        <v>1826</v>
      </c>
    </row>
    <row r="2" spans="1:3" x14ac:dyDescent="0.25">
      <c r="A2">
        <v>1</v>
      </c>
      <c r="B2" t="s">
        <v>1739</v>
      </c>
      <c r="C2" t="s">
        <v>1997</v>
      </c>
    </row>
    <row r="3" spans="1:3" x14ac:dyDescent="0.25">
      <c r="A3">
        <v>2</v>
      </c>
      <c r="B3" t="s">
        <v>1722</v>
      </c>
      <c r="C3" t="s">
        <v>1998</v>
      </c>
    </row>
    <row r="4" spans="1:3" x14ac:dyDescent="0.25">
      <c r="A4">
        <v>3</v>
      </c>
      <c r="B4" t="s">
        <v>1731</v>
      </c>
      <c r="C4" t="s">
        <v>1999</v>
      </c>
    </row>
    <row r="5" spans="1:3" x14ac:dyDescent="0.25">
      <c r="A5">
        <v>4</v>
      </c>
      <c r="B5" t="s">
        <v>1747</v>
      </c>
      <c r="C5" t="s">
        <v>2000</v>
      </c>
    </row>
    <row r="6" spans="1:3" x14ac:dyDescent="0.25">
      <c r="A6">
        <v>5</v>
      </c>
      <c r="B6" t="s">
        <v>1708</v>
      </c>
      <c r="C6" t="s">
        <v>2001</v>
      </c>
    </row>
    <row r="7" spans="1:3" x14ac:dyDescent="0.25">
      <c r="A7">
        <v>6</v>
      </c>
      <c r="B7" t="s">
        <v>1715</v>
      </c>
      <c r="C7" t="s">
        <v>2002</v>
      </c>
    </row>
    <row r="8" spans="1:3" x14ac:dyDescent="0.25">
      <c r="A8">
        <v>7</v>
      </c>
      <c r="B8" t="s">
        <v>981</v>
      </c>
      <c r="C8" t="s">
        <v>2003</v>
      </c>
    </row>
    <row r="9" spans="1:3" x14ac:dyDescent="0.25">
      <c r="A9">
        <v>8</v>
      </c>
      <c r="B9" t="s">
        <v>1661</v>
      </c>
      <c r="C9" t="s">
        <v>2004</v>
      </c>
    </row>
    <row r="10" spans="1:3" x14ac:dyDescent="0.25">
      <c r="A10">
        <v>9</v>
      </c>
      <c r="B10" t="s">
        <v>1654</v>
      </c>
      <c r="C10" t="s">
        <v>2005</v>
      </c>
    </row>
    <row r="11" spans="1:3" x14ac:dyDescent="0.25">
      <c r="A11">
        <v>10</v>
      </c>
      <c r="B11" t="s">
        <v>1753</v>
      </c>
      <c r="C11" t="s">
        <v>2006</v>
      </c>
    </row>
    <row r="12" spans="1:3" x14ac:dyDescent="0.25">
      <c r="A12">
        <v>11</v>
      </c>
      <c r="B12" t="s">
        <v>1761</v>
      </c>
      <c r="C12" t="s">
        <v>2007</v>
      </c>
    </row>
    <row r="13" spans="1:3" x14ac:dyDescent="0.25">
      <c r="A13">
        <v>12</v>
      </c>
      <c r="B13" t="s">
        <v>1187</v>
      </c>
      <c r="C13" t="s">
        <v>2008</v>
      </c>
    </row>
    <row r="14" spans="1:3" x14ac:dyDescent="0.25">
      <c r="A14">
        <v>13</v>
      </c>
      <c r="B14" t="s">
        <v>1632</v>
      </c>
      <c r="C14" t="s">
        <v>2009</v>
      </c>
    </row>
    <row r="15" spans="1:3" x14ac:dyDescent="0.25">
      <c r="A15">
        <v>14</v>
      </c>
      <c r="B15" t="s">
        <v>1395</v>
      </c>
      <c r="C15" t="s">
        <v>2010</v>
      </c>
    </row>
    <row r="16" spans="1:3" x14ac:dyDescent="0.25">
      <c r="A16">
        <v>15</v>
      </c>
      <c r="B16" t="s">
        <v>1457</v>
      </c>
      <c r="C16" t="s">
        <v>2011</v>
      </c>
    </row>
    <row r="17" spans="1:3" x14ac:dyDescent="0.25">
      <c r="A17">
        <v>16</v>
      </c>
      <c r="B17" t="s">
        <v>1031</v>
      </c>
      <c r="C17" t="s">
        <v>2012</v>
      </c>
    </row>
    <row r="18" spans="1:3" x14ac:dyDescent="0.25">
      <c r="A18">
        <v>17</v>
      </c>
      <c r="B18" t="s">
        <v>1449</v>
      </c>
      <c r="C18" t="s">
        <v>2013</v>
      </c>
    </row>
    <row r="19" spans="1:3" x14ac:dyDescent="0.25">
      <c r="A19">
        <v>18</v>
      </c>
      <c r="B19" t="s">
        <v>1624</v>
      </c>
      <c r="C19" t="s">
        <v>2014</v>
      </c>
    </row>
    <row r="20" spans="1:3" x14ac:dyDescent="0.25">
      <c r="A20">
        <v>19</v>
      </c>
      <c r="B20" t="s">
        <v>772</v>
      </c>
      <c r="C20" t="s">
        <v>2015</v>
      </c>
    </row>
    <row r="21" spans="1:3" x14ac:dyDescent="0.25">
      <c r="A21">
        <v>20</v>
      </c>
      <c r="B21" t="s">
        <v>642</v>
      </c>
      <c r="C21" t="s">
        <v>2016</v>
      </c>
    </row>
    <row r="22" spans="1:3" x14ac:dyDescent="0.25">
      <c r="A22">
        <v>21</v>
      </c>
      <c r="B22" t="s">
        <v>887</v>
      </c>
      <c r="C22" t="s">
        <v>2017</v>
      </c>
    </row>
    <row r="23" spans="1:3" x14ac:dyDescent="0.25">
      <c r="A23">
        <v>22</v>
      </c>
      <c r="B23" t="s">
        <v>879</v>
      </c>
      <c r="C23" t="s">
        <v>2018</v>
      </c>
    </row>
    <row r="24" spans="1:3" x14ac:dyDescent="0.25">
      <c r="A24">
        <v>23</v>
      </c>
      <c r="B24" t="s">
        <v>500</v>
      </c>
      <c r="C24" t="s">
        <v>2019</v>
      </c>
    </row>
    <row r="25" spans="1:3" x14ac:dyDescent="0.25">
      <c r="A25">
        <v>24</v>
      </c>
      <c r="B25" t="s">
        <v>918</v>
      </c>
      <c r="C25" t="s">
        <v>2020</v>
      </c>
    </row>
    <row r="26" spans="1:3" x14ac:dyDescent="0.25">
      <c r="A26">
        <v>25</v>
      </c>
      <c r="B26" t="s">
        <v>1069</v>
      </c>
      <c r="C26" t="s">
        <v>2021</v>
      </c>
    </row>
    <row r="27" spans="1:3" x14ac:dyDescent="0.25">
      <c r="A27">
        <v>26</v>
      </c>
      <c r="B27" t="s">
        <v>1180</v>
      </c>
      <c r="C27" t="s">
        <v>2022</v>
      </c>
    </row>
    <row r="28" spans="1:3" x14ac:dyDescent="0.25">
      <c r="A28">
        <v>27</v>
      </c>
      <c r="B28" t="s">
        <v>1286</v>
      </c>
      <c r="C28" t="s">
        <v>2023</v>
      </c>
    </row>
    <row r="29" spans="1:3" x14ac:dyDescent="0.25">
      <c r="A29">
        <v>28</v>
      </c>
      <c r="B29" t="s">
        <v>533</v>
      </c>
      <c r="C29" t="s">
        <v>2024</v>
      </c>
    </row>
    <row r="30" spans="1:3" x14ac:dyDescent="0.25">
      <c r="A30">
        <v>29</v>
      </c>
      <c r="B30" t="s">
        <v>438</v>
      </c>
      <c r="C30" t="s">
        <v>2025</v>
      </c>
    </row>
    <row r="31" spans="1:3" x14ac:dyDescent="0.25">
      <c r="A31">
        <v>30</v>
      </c>
      <c r="B31" t="s">
        <v>1278</v>
      </c>
      <c r="C31" t="s">
        <v>2026</v>
      </c>
    </row>
    <row r="32" spans="1:3" x14ac:dyDescent="0.25">
      <c r="A32">
        <v>31</v>
      </c>
      <c r="B32" t="s">
        <v>591</v>
      </c>
      <c r="C32" t="s">
        <v>2027</v>
      </c>
    </row>
    <row r="33" spans="1:3" x14ac:dyDescent="0.25">
      <c r="A33">
        <v>32</v>
      </c>
      <c r="B33" t="s">
        <v>634</v>
      </c>
      <c r="C33" t="s">
        <v>2028</v>
      </c>
    </row>
    <row r="34" spans="1:3" x14ac:dyDescent="0.25">
      <c r="A34">
        <v>33</v>
      </c>
      <c r="B34" t="s">
        <v>705</v>
      </c>
      <c r="C34" t="s">
        <v>2029</v>
      </c>
    </row>
    <row r="35" spans="1:3" x14ac:dyDescent="0.25">
      <c r="A35">
        <v>34</v>
      </c>
      <c r="B35" t="s">
        <v>747</v>
      </c>
      <c r="C35" t="s">
        <v>2030</v>
      </c>
    </row>
    <row r="36" spans="1:3" x14ac:dyDescent="0.25">
      <c r="A36">
        <v>35</v>
      </c>
      <c r="B36" t="s">
        <v>839</v>
      </c>
      <c r="C36" t="s">
        <v>2031</v>
      </c>
    </row>
    <row r="37" spans="1:3" x14ac:dyDescent="0.25">
      <c r="A37">
        <v>36</v>
      </c>
      <c r="B37" t="s">
        <v>927</v>
      </c>
      <c r="C37" t="s">
        <v>2032</v>
      </c>
    </row>
    <row r="38" spans="1:3" x14ac:dyDescent="0.25">
      <c r="A38">
        <v>37</v>
      </c>
      <c r="B38" t="s">
        <v>1170</v>
      </c>
      <c r="C38" t="s">
        <v>2033</v>
      </c>
    </row>
    <row r="39" spans="1:3" x14ac:dyDescent="0.25">
      <c r="A39">
        <v>38</v>
      </c>
      <c r="B39" t="s">
        <v>1270</v>
      </c>
      <c r="C39" t="s">
        <v>2034</v>
      </c>
    </row>
    <row r="40" spans="1:3" x14ac:dyDescent="0.25">
      <c r="A40">
        <v>39</v>
      </c>
      <c r="B40" t="s">
        <v>492</v>
      </c>
      <c r="C40" t="s">
        <v>2035</v>
      </c>
    </row>
    <row r="41" spans="1:3" x14ac:dyDescent="0.25">
      <c r="A41">
        <v>40</v>
      </c>
      <c r="B41" t="s">
        <v>1263</v>
      </c>
      <c r="C41" t="s">
        <v>2036</v>
      </c>
    </row>
    <row r="42" spans="1:3" x14ac:dyDescent="0.25">
      <c r="A42">
        <v>41</v>
      </c>
      <c r="B42" t="s">
        <v>1255</v>
      </c>
      <c r="C42" t="s">
        <v>2037</v>
      </c>
    </row>
    <row r="43" spans="1:3" x14ac:dyDescent="0.25">
      <c r="A43">
        <v>42</v>
      </c>
      <c r="B43" t="s">
        <v>1245</v>
      </c>
      <c r="C43" t="s">
        <v>2038</v>
      </c>
    </row>
    <row r="44" spans="1:3" x14ac:dyDescent="0.25">
      <c r="A44">
        <v>43</v>
      </c>
      <c r="B44" t="s">
        <v>1236</v>
      </c>
      <c r="C44" t="s">
        <v>2039</v>
      </c>
    </row>
    <row r="45" spans="1:3" x14ac:dyDescent="0.25">
      <c r="A45">
        <v>44</v>
      </c>
      <c r="B45" t="s">
        <v>1378</v>
      </c>
      <c r="C45" t="s">
        <v>2040</v>
      </c>
    </row>
    <row r="46" spans="1:3" x14ac:dyDescent="0.25">
      <c r="A46">
        <v>45</v>
      </c>
      <c r="B46" t="s">
        <v>1371</v>
      </c>
      <c r="C46" t="s">
        <v>2041</v>
      </c>
    </row>
    <row r="47" spans="1:3" x14ac:dyDescent="0.25">
      <c r="A47">
        <v>46</v>
      </c>
      <c r="B47" t="s">
        <v>1362</v>
      </c>
      <c r="C47" t="s">
        <v>2042</v>
      </c>
    </row>
    <row r="48" spans="1:3" x14ac:dyDescent="0.25">
      <c r="A48">
        <v>47</v>
      </c>
      <c r="B48" t="s">
        <v>1355</v>
      </c>
      <c r="C48" t="s">
        <v>2043</v>
      </c>
    </row>
    <row r="49" spans="1:3" x14ac:dyDescent="0.25">
      <c r="A49">
        <v>48</v>
      </c>
      <c r="B49" t="s">
        <v>484</v>
      </c>
      <c r="C49" t="s">
        <v>2044</v>
      </c>
    </row>
    <row r="50" spans="1:3" x14ac:dyDescent="0.25">
      <c r="A50">
        <v>49</v>
      </c>
      <c r="B50" t="s">
        <v>474</v>
      </c>
      <c r="C50" t="s">
        <v>2045</v>
      </c>
    </row>
    <row r="51" spans="1:3" x14ac:dyDescent="0.25">
      <c r="A51">
        <v>50</v>
      </c>
      <c r="B51" t="s">
        <v>583</v>
      </c>
      <c r="C51" t="s">
        <v>2046</v>
      </c>
    </row>
    <row r="52" spans="1:3" x14ac:dyDescent="0.25">
      <c r="A52">
        <v>51</v>
      </c>
      <c r="B52" t="s">
        <v>1700</v>
      </c>
      <c r="C52" t="s">
        <v>2047</v>
      </c>
    </row>
    <row r="53" spans="1:3" x14ac:dyDescent="0.25">
      <c r="A53">
        <v>52</v>
      </c>
      <c r="B53" t="s">
        <v>805</v>
      </c>
      <c r="C53" t="s">
        <v>2048</v>
      </c>
    </row>
    <row r="54" spans="1:3" x14ac:dyDescent="0.25">
      <c r="A54">
        <v>53</v>
      </c>
      <c r="B54" t="s">
        <v>831</v>
      </c>
      <c r="C54" t="s">
        <v>2049</v>
      </c>
    </row>
    <row r="55" spans="1:3" x14ac:dyDescent="0.25">
      <c r="A55">
        <v>54</v>
      </c>
      <c r="B55" t="s">
        <v>974</v>
      </c>
      <c r="C55" t="s">
        <v>2050</v>
      </c>
    </row>
    <row r="56" spans="1:3" x14ac:dyDescent="0.25">
      <c r="A56">
        <v>55</v>
      </c>
      <c r="B56" t="s">
        <v>429</v>
      </c>
      <c r="C56" t="s">
        <v>2051</v>
      </c>
    </row>
    <row r="57" spans="1:3" x14ac:dyDescent="0.25">
      <c r="A57">
        <v>56</v>
      </c>
      <c r="B57" t="s">
        <v>967</v>
      </c>
      <c r="C57" t="s">
        <v>2052</v>
      </c>
    </row>
    <row r="58" spans="1:3" x14ac:dyDescent="0.25">
      <c r="A58">
        <v>57</v>
      </c>
      <c r="B58" t="s">
        <v>1162</v>
      </c>
      <c r="C58" t="s">
        <v>2053</v>
      </c>
    </row>
    <row r="59" spans="1:3" x14ac:dyDescent="0.25">
      <c r="A59">
        <v>58</v>
      </c>
      <c r="B59" t="s">
        <v>1024</v>
      </c>
      <c r="C59" t="s">
        <v>2054</v>
      </c>
    </row>
    <row r="60" spans="1:3" x14ac:dyDescent="0.25">
      <c r="A60">
        <v>59</v>
      </c>
      <c r="B60" t="s">
        <v>1017</v>
      </c>
      <c r="C60" t="s">
        <v>2055</v>
      </c>
    </row>
    <row r="61" spans="1:3" x14ac:dyDescent="0.25">
      <c r="A61">
        <v>60</v>
      </c>
      <c r="B61" t="s">
        <v>1061</v>
      </c>
      <c r="C61" t="s">
        <v>2056</v>
      </c>
    </row>
    <row r="62" spans="1:3" x14ac:dyDescent="0.25">
      <c r="A62">
        <v>61</v>
      </c>
      <c r="B62" t="s">
        <v>1155</v>
      </c>
      <c r="C62" t="s">
        <v>2057</v>
      </c>
    </row>
    <row r="63" spans="1:3" x14ac:dyDescent="0.25">
      <c r="A63">
        <v>62</v>
      </c>
      <c r="B63" t="s">
        <v>1147</v>
      </c>
      <c r="C63" t="s">
        <v>2058</v>
      </c>
    </row>
    <row r="64" spans="1:3" x14ac:dyDescent="0.25">
      <c r="A64">
        <v>63</v>
      </c>
      <c r="B64" t="s">
        <v>1139</v>
      </c>
      <c r="C64" t="s">
        <v>2059</v>
      </c>
    </row>
    <row r="65" spans="1:3" x14ac:dyDescent="0.25">
      <c r="A65">
        <v>64</v>
      </c>
      <c r="B65" t="s">
        <v>1433</v>
      </c>
      <c r="C65" t="s">
        <v>2060</v>
      </c>
    </row>
    <row r="66" spans="1:3" x14ac:dyDescent="0.25">
      <c r="A66">
        <v>65</v>
      </c>
      <c r="B66" t="s">
        <v>1615</v>
      </c>
      <c r="C66" t="s">
        <v>2061</v>
      </c>
    </row>
    <row r="67" spans="1:3" x14ac:dyDescent="0.25">
      <c r="A67">
        <v>66</v>
      </c>
      <c r="B67" t="s">
        <v>1608</v>
      </c>
      <c r="C67" t="s">
        <v>2062</v>
      </c>
    </row>
    <row r="68" spans="1:3" x14ac:dyDescent="0.25">
      <c r="A68">
        <v>67</v>
      </c>
      <c r="B68" t="s">
        <v>1600</v>
      </c>
      <c r="C68" t="s">
        <v>2063</v>
      </c>
    </row>
    <row r="69" spans="1:3" x14ac:dyDescent="0.25">
      <c r="A69">
        <v>68</v>
      </c>
      <c r="B69" t="s">
        <v>1593</v>
      </c>
      <c r="C69" t="s">
        <v>2064</v>
      </c>
    </row>
    <row r="70" spans="1:3" x14ac:dyDescent="0.25">
      <c r="A70">
        <v>69</v>
      </c>
      <c r="B70" t="s">
        <v>739</v>
      </c>
      <c r="C70" t="s">
        <v>2065</v>
      </c>
    </row>
    <row r="71" spans="1:3" x14ac:dyDescent="0.25">
      <c r="A71">
        <v>70</v>
      </c>
      <c r="B71" t="s">
        <v>731</v>
      </c>
      <c r="C71" t="s">
        <v>2066</v>
      </c>
    </row>
    <row r="72" spans="1:3" x14ac:dyDescent="0.25">
      <c r="A72">
        <v>71</v>
      </c>
      <c r="B72" t="s">
        <v>797</v>
      </c>
      <c r="C72" t="s">
        <v>2067</v>
      </c>
    </row>
    <row r="73" spans="1:3" x14ac:dyDescent="0.25">
      <c r="A73">
        <v>72</v>
      </c>
      <c r="B73" t="s">
        <v>566</v>
      </c>
      <c r="C73" t="s">
        <v>2068</v>
      </c>
    </row>
    <row r="74" spans="1:3" x14ac:dyDescent="0.25">
      <c r="A74">
        <v>73</v>
      </c>
      <c r="B74" t="s">
        <v>558</v>
      </c>
      <c r="C74" t="s">
        <v>2069</v>
      </c>
    </row>
    <row r="75" spans="1:3" x14ac:dyDescent="0.25">
      <c r="A75">
        <v>74</v>
      </c>
      <c r="B75" t="s">
        <v>608</v>
      </c>
      <c r="C75" t="s">
        <v>2070</v>
      </c>
    </row>
    <row r="76" spans="1:3" x14ac:dyDescent="0.25">
      <c r="A76">
        <v>75</v>
      </c>
      <c r="B76" t="s">
        <v>600</v>
      </c>
      <c r="C76" t="s">
        <v>2071</v>
      </c>
    </row>
    <row r="77" spans="1:3" x14ac:dyDescent="0.25">
      <c r="A77">
        <v>76</v>
      </c>
      <c r="B77" t="s">
        <v>658</v>
      </c>
      <c r="C77" t="s">
        <v>2072</v>
      </c>
    </row>
    <row r="78" spans="1:3" x14ac:dyDescent="0.25">
      <c r="A78">
        <v>77</v>
      </c>
      <c r="B78" t="s">
        <v>697</v>
      </c>
      <c r="C78" t="s">
        <v>2073</v>
      </c>
    </row>
    <row r="79" spans="1:3" x14ac:dyDescent="0.25">
      <c r="A79">
        <v>78</v>
      </c>
      <c r="B79" t="s">
        <v>689</v>
      </c>
      <c r="C79" t="s">
        <v>2074</v>
      </c>
    </row>
    <row r="80" spans="1:3" x14ac:dyDescent="0.25">
      <c r="A80">
        <v>79</v>
      </c>
      <c r="B80" t="s">
        <v>682</v>
      </c>
      <c r="C80" t="s">
        <v>2075</v>
      </c>
    </row>
    <row r="81" spans="1:3" x14ac:dyDescent="0.25">
      <c r="A81">
        <v>80</v>
      </c>
      <c r="B81" t="s">
        <v>788</v>
      </c>
      <c r="C81" t="s">
        <v>2076</v>
      </c>
    </row>
    <row r="82" spans="1:3" x14ac:dyDescent="0.25">
      <c r="A82">
        <v>81</v>
      </c>
      <c r="B82" t="s">
        <v>911</v>
      </c>
      <c r="C82" t="s">
        <v>2077</v>
      </c>
    </row>
    <row r="83" spans="1:3" x14ac:dyDescent="0.25">
      <c r="A83">
        <v>82</v>
      </c>
      <c r="B83" t="s">
        <v>904</v>
      </c>
      <c r="C83" t="s">
        <v>2078</v>
      </c>
    </row>
    <row r="84" spans="1:3" x14ac:dyDescent="0.25">
      <c r="A84">
        <v>83</v>
      </c>
      <c r="B84" t="s">
        <v>960</v>
      </c>
      <c r="C84" t="s">
        <v>2079</v>
      </c>
    </row>
    <row r="85" spans="1:3" x14ac:dyDescent="0.25">
      <c r="A85">
        <v>84</v>
      </c>
      <c r="B85" t="s">
        <v>1011</v>
      </c>
      <c r="C85" t="s">
        <v>2080</v>
      </c>
    </row>
    <row r="86" spans="1:3" x14ac:dyDescent="0.25">
      <c r="A86">
        <v>85</v>
      </c>
      <c r="B86" t="s">
        <v>1003</v>
      </c>
      <c r="C86" t="s">
        <v>2081</v>
      </c>
    </row>
    <row r="87" spans="1:3" x14ac:dyDescent="0.25">
      <c r="A87">
        <v>86</v>
      </c>
      <c r="B87" t="s">
        <v>1132</v>
      </c>
      <c r="C87" t="s">
        <v>2082</v>
      </c>
    </row>
    <row r="88" spans="1:3" x14ac:dyDescent="0.25">
      <c r="A88">
        <v>87</v>
      </c>
      <c r="B88" t="s">
        <v>1125</v>
      </c>
      <c r="C88" t="s">
        <v>2083</v>
      </c>
    </row>
    <row r="89" spans="1:3" x14ac:dyDescent="0.25">
      <c r="A89">
        <v>88</v>
      </c>
      <c r="B89" t="s">
        <v>1347</v>
      </c>
      <c r="C89" t="s">
        <v>2084</v>
      </c>
    </row>
    <row r="90" spans="1:3" x14ac:dyDescent="0.25">
      <c r="A90">
        <v>89</v>
      </c>
      <c r="B90" t="s">
        <v>1577</v>
      </c>
      <c r="C90" t="s">
        <v>2085</v>
      </c>
    </row>
    <row r="91" spans="1:3" x14ac:dyDescent="0.25">
      <c r="A91">
        <v>90</v>
      </c>
      <c r="B91" t="s">
        <v>1569</v>
      </c>
      <c r="C91" t="s">
        <v>2086</v>
      </c>
    </row>
    <row r="92" spans="1:3" x14ac:dyDescent="0.25">
      <c r="A92">
        <v>91</v>
      </c>
      <c r="B92" t="s">
        <v>1557</v>
      </c>
      <c r="C92" t="s">
        <v>2087</v>
      </c>
    </row>
    <row r="93" spans="1:3" x14ac:dyDescent="0.25">
      <c r="A93">
        <v>92</v>
      </c>
      <c r="B93" t="s">
        <v>1549</v>
      </c>
      <c r="C93" t="s">
        <v>2088</v>
      </c>
    </row>
    <row r="94" spans="1:3" x14ac:dyDescent="0.25">
      <c r="A94">
        <v>93</v>
      </c>
      <c r="B94" t="s">
        <v>525</v>
      </c>
      <c r="C94" t="s">
        <v>2089</v>
      </c>
    </row>
    <row r="95" spans="1:3" x14ac:dyDescent="0.25">
      <c r="A95">
        <v>94</v>
      </c>
      <c r="B95" t="s">
        <v>1534</v>
      </c>
      <c r="C95" t="s">
        <v>2090</v>
      </c>
    </row>
    <row r="96" spans="1:3" x14ac:dyDescent="0.25">
      <c r="A96">
        <v>95</v>
      </c>
      <c r="B96" t="s">
        <v>1693</v>
      </c>
      <c r="C96" t="s">
        <v>2091</v>
      </c>
    </row>
    <row r="97" spans="1:3" x14ac:dyDescent="0.25">
      <c r="A97">
        <v>96</v>
      </c>
      <c r="B97" t="s">
        <v>1229</v>
      </c>
      <c r="C97" t="s">
        <v>2092</v>
      </c>
    </row>
    <row r="98" spans="1:3" x14ac:dyDescent="0.25">
      <c r="A98">
        <v>97</v>
      </c>
      <c r="B98" t="s">
        <v>1562</v>
      </c>
      <c r="C98" t="s">
        <v>2093</v>
      </c>
    </row>
    <row r="99" spans="1:3" x14ac:dyDescent="0.25">
      <c r="A99">
        <v>98</v>
      </c>
      <c r="B99" t="s">
        <v>1542</v>
      </c>
      <c r="C99" t="s">
        <v>2094</v>
      </c>
    </row>
    <row r="100" spans="1:3" x14ac:dyDescent="0.25">
      <c r="A100">
        <v>99</v>
      </c>
      <c r="B100" t="s">
        <v>1684</v>
      </c>
      <c r="C100" t="s">
        <v>2095</v>
      </c>
    </row>
    <row r="101" spans="1:3" x14ac:dyDescent="0.25">
      <c r="A101">
        <v>100</v>
      </c>
      <c r="B101" t="s">
        <v>1317</v>
      </c>
      <c r="C101" t="s">
        <v>2096</v>
      </c>
    </row>
    <row r="102" spans="1:3" x14ac:dyDescent="0.25">
      <c r="A102">
        <v>101</v>
      </c>
      <c r="B102" t="s">
        <v>1195</v>
      </c>
      <c r="C102" t="s">
        <v>2097</v>
      </c>
    </row>
    <row r="103" spans="1:3" x14ac:dyDescent="0.25">
      <c r="A103">
        <v>102</v>
      </c>
      <c r="B103" t="s">
        <v>896</v>
      </c>
      <c r="C103" t="s">
        <v>2098</v>
      </c>
    </row>
    <row r="104" spans="1:3" x14ac:dyDescent="0.25">
      <c r="A104">
        <v>103</v>
      </c>
      <c r="B104" t="s">
        <v>651</v>
      </c>
      <c r="C104" t="s">
        <v>2099</v>
      </c>
    </row>
    <row r="105" spans="1:3" x14ac:dyDescent="0.25">
      <c r="A105">
        <v>104</v>
      </c>
      <c r="B105" t="s">
        <v>666</v>
      </c>
      <c r="C105" t="s">
        <v>2100</v>
      </c>
    </row>
    <row r="106" spans="1:3" x14ac:dyDescent="0.25">
      <c r="A106">
        <v>105</v>
      </c>
      <c r="B106" t="s">
        <v>996</v>
      </c>
      <c r="C106" t="s">
        <v>2101</v>
      </c>
    </row>
    <row r="107" spans="1:3" x14ac:dyDescent="0.25">
      <c r="A107">
        <v>106</v>
      </c>
      <c r="B107" t="s">
        <v>988</v>
      </c>
      <c r="C107" t="s">
        <v>2102</v>
      </c>
    </row>
    <row r="108" spans="1:3" x14ac:dyDescent="0.25">
      <c r="A108">
        <v>107</v>
      </c>
      <c r="B108" t="s">
        <v>1054</v>
      </c>
      <c r="C108" t="s">
        <v>2103</v>
      </c>
    </row>
    <row r="109" spans="1:3" x14ac:dyDescent="0.25">
      <c r="A109">
        <v>108</v>
      </c>
      <c r="B109" t="s">
        <v>1118</v>
      </c>
      <c r="C109" t="s">
        <v>2104</v>
      </c>
    </row>
    <row r="110" spans="1:3" x14ac:dyDescent="0.25">
      <c r="A110">
        <v>109</v>
      </c>
      <c r="B110" t="s">
        <v>1221</v>
      </c>
      <c r="C110" t="s">
        <v>2105</v>
      </c>
    </row>
    <row r="111" spans="1:3" x14ac:dyDescent="0.25">
      <c r="A111">
        <v>110</v>
      </c>
      <c r="B111" t="s">
        <v>1212</v>
      </c>
      <c r="C111" t="s">
        <v>2106</v>
      </c>
    </row>
    <row r="112" spans="1:3" x14ac:dyDescent="0.25">
      <c r="A112">
        <v>111</v>
      </c>
      <c r="B112" t="s">
        <v>1338</v>
      </c>
      <c r="C112" t="s">
        <v>2107</v>
      </c>
    </row>
    <row r="113" spans="1:3" x14ac:dyDescent="0.25">
      <c r="A113">
        <v>112</v>
      </c>
      <c r="B113" t="s">
        <v>1331</v>
      </c>
      <c r="C113" t="s">
        <v>2108</v>
      </c>
    </row>
    <row r="114" spans="1:3" x14ac:dyDescent="0.25">
      <c r="A114">
        <v>113</v>
      </c>
      <c r="B114" t="s">
        <v>1324</v>
      </c>
      <c r="C114" t="s">
        <v>2109</v>
      </c>
    </row>
    <row r="115" spans="1:3" x14ac:dyDescent="0.25">
      <c r="A115">
        <v>114</v>
      </c>
      <c r="B115" t="s">
        <v>1309</v>
      </c>
      <c r="C115" t="s">
        <v>2110</v>
      </c>
    </row>
    <row r="116" spans="1:3" x14ac:dyDescent="0.25">
      <c r="A116">
        <v>115</v>
      </c>
      <c r="B116" t="s">
        <v>1300</v>
      </c>
      <c r="C116" t="s">
        <v>2111</v>
      </c>
    </row>
    <row r="117" spans="1:3" x14ac:dyDescent="0.25">
      <c r="A117">
        <v>116</v>
      </c>
      <c r="B117" t="s">
        <v>1293</v>
      </c>
      <c r="C117" t="s">
        <v>2112</v>
      </c>
    </row>
    <row r="118" spans="1:3" x14ac:dyDescent="0.25">
      <c r="A118">
        <v>117</v>
      </c>
      <c r="B118" t="s">
        <v>517</v>
      </c>
      <c r="C118" t="s">
        <v>2113</v>
      </c>
    </row>
    <row r="119" spans="1:3" x14ac:dyDescent="0.25">
      <c r="A119">
        <v>118</v>
      </c>
      <c r="B119" t="s">
        <v>822</v>
      </c>
      <c r="C119" t="s">
        <v>2114</v>
      </c>
    </row>
    <row r="120" spans="1:3" x14ac:dyDescent="0.25">
      <c r="A120">
        <v>119</v>
      </c>
      <c r="B120" t="s">
        <v>855</v>
      </c>
      <c r="C120" t="s">
        <v>2115</v>
      </c>
    </row>
    <row r="121" spans="1:3" x14ac:dyDescent="0.25">
      <c r="A121">
        <v>120</v>
      </c>
      <c r="B121" t="s">
        <v>1109</v>
      </c>
      <c r="C121" t="s">
        <v>2116</v>
      </c>
    </row>
    <row r="122" spans="1:3" x14ac:dyDescent="0.25">
      <c r="A122">
        <v>121</v>
      </c>
      <c r="B122" t="s">
        <v>1101</v>
      </c>
      <c r="C122" t="s">
        <v>2117</v>
      </c>
    </row>
    <row r="123" spans="1:3" x14ac:dyDescent="0.25">
      <c r="A123">
        <v>122</v>
      </c>
      <c r="B123" t="s">
        <v>1424</v>
      </c>
      <c r="C123" t="s">
        <v>2118</v>
      </c>
    </row>
    <row r="124" spans="1:3" x14ac:dyDescent="0.25">
      <c r="A124">
        <v>123</v>
      </c>
      <c r="B124" t="s">
        <v>1525</v>
      </c>
      <c r="C124" t="s">
        <v>2119</v>
      </c>
    </row>
    <row r="125" spans="1:3" x14ac:dyDescent="0.25">
      <c r="A125">
        <v>124</v>
      </c>
      <c r="B125" t="s">
        <v>1516</v>
      </c>
      <c r="C125" t="s">
        <v>2120</v>
      </c>
    </row>
    <row r="126" spans="1:3" x14ac:dyDescent="0.25">
      <c r="A126">
        <v>125</v>
      </c>
      <c r="B126" t="s">
        <v>1509</v>
      </c>
      <c r="C126" t="s">
        <v>2121</v>
      </c>
    </row>
    <row r="127" spans="1:3" x14ac:dyDescent="0.25">
      <c r="A127">
        <v>126</v>
      </c>
      <c r="B127" t="s">
        <v>1502</v>
      </c>
      <c r="C127" t="s">
        <v>2122</v>
      </c>
    </row>
    <row r="128" spans="1:3" x14ac:dyDescent="0.25">
      <c r="A128">
        <v>127</v>
      </c>
      <c r="B128" t="s">
        <v>1495</v>
      </c>
      <c r="C128" t="s">
        <v>2123</v>
      </c>
    </row>
    <row r="129" spans="1:3" x14ac:dyDescent="0.25">
      <c r="A129">
        <v>128</v>
      </c>
      <c r="B129" t="s">
        <v>1487</v>
      </c>
      <c r="C129" t="s">
        <v>2124</v>
      </c>
    </row>
    <row r="130" spans="1:3" x14ac:dyDescent="0.25">
      <c r="A130">
        <v>129</v>
      </c>
      <c r="B130" t="s">
        <v>1480</v>
      </c>
      <c r="C130" t="s">
        <v>2125</v>
      </c>
    </row>
    <row r="131" spans="1:3" x14ac:dyDescent="0.25">
      <c r="A131">
        <v>130</v>
      </c>
      <c r="B131" t="s">
        <v>419</v>
      </c>
      <c r="C131" t="s">
        <v>2126</v>
      </c>
    </row>
    <row r="132" spans="1:3" x14ac:dyDescent="0.25">
      <c r="A132">
        <v>131</v>
      </c>
      <c r="B132" t="s">
        <v>675</v>
      </c>
      <c r="C132" t="s">
        <v>2127</v>
      </c>
    </row>
    <row r="133" spans="1:3" x14ac:dyDescent="0.25">
      <c r="A133">
        <v>132</v>
      </c>
      <c r="B133" t="s">
        <v>781</v>
      </c>
      <c r="C133" t="s">
        <v>2128</v>
      </c>
    </row>
    <row r="134" spans="1:3" x14ac:dyDescent="0.25">
      <c r="A134">
        <v>133</v>
      </c>
      <c r="B134" t="s">
        <v>457</v>
      </c>
      <c r="C134" t="s">
        <v>2129</v>
      </c>
    </row>
    <row r="135" spans="1:3" x14ac:dyDescent="0.25">
      <c r="A135">
        <v>134</v>
      </c>
      <c r="B135" t="s">
        <v>1046</v>
      </c>
      <c r="C135" t="s">
        <v>2130</v>
      </c>
    </row>
    <row r="136" spans="1:3" x14ac:dyDescent="0.25">
      <c r="A136">
        <v>135</v>
      </c>
      <c r="B136" t="s">
        <v>1203</v>
      </c>
      <c r="C136" t="s">
        <v>2131</v>
      </c>
    </row>
    <row r="137" spans="1:3" x14ac:dyDescent="0.25">
      <c r="A137">
        <v>136</v>
      </c>
      <c r="B137" t="s">
        <v>447</v>
      </c>
      <c r="C137" t="s">
        <v>2132</v>
      </c>
    </row>
    <row r="138" spans="1:3" x14ac:dyDescent="0.25">
      <c r="A138">
        <v>137</v>
      </c>
      <c r="B138" t="s">
        <v>1473</v>
      </c>
      <c r="C138" t="s">
        <v>2133</v>
      </c>
    </row>
    <row r="139" spans="1:3" x14ac:dyDescent="0.25">
      <c r="A139">
        <v>138</v>
      </c>
      <c r="B139" t="s">
        <v>1465</v>
      </c>
      <c r="C139" t="s">
        <v>2134</v>
      </c>
    </row>
    <row r="140" spans="1:3" x14ac:dyDescent="0.25">
      <c r="A140">
        <v>139</v>
      </c>
      <c r="B140" t="s">
        <v>508</v>
      </c>
      <c r="C140" t="s">
        <v>2135</v>
      </c>
    </row>
    <row r="141" spans="1:3" x14ac:dyDescent="0.25">
      <c r="A141">
        <v>140</v>
      </c>
      <c r="B141" t="s">
        <v>722</v>
      </c>
      <c r="C141" t="s">
        <v>2136</v>
      </c>
    </row>
    <row r="142" spans="1:3" x14ac:dyDescent="0.25">
      <c r="A142">
        <v>141</v>
      </c>
      <c r="B142" t="s">
        <v>847</v>
      </c>
      <c r="C142" t="s">
        <v>2137</v>
      </c>
    </row>
    <row r="143" spans="1:3" x14ac:dyDescent="0.25">
      <c r="A143">
        <v>142</v>
      </c>
      <c r="B143" t="s">
        <v>950</v>
      </c>
      <c r="C143" t="s">
        <v>2138</v>
      </c>
    </row>
    <row r="144" spans="1:3" x14ac:dyDescent="0.25">
      <c r="A144">
        <v>143</v>
      </c>
      <c r="B144" t="s">
        <v>1086</v>
      </c>
      <c r="C144" t="s">
        <v>2139</v>
      </c>
    </row>
    <row r="145" spans="1:3" x14ac:dyDescent="0.25">
      <c r="A145">
        <v>144</v>
      </c>
      <c r="B145" t="s">
        <v>1078</v>
      </c>
      <c r="C145" t="s">
        <v>2140</v>
      </c>
    </row>
    <row r="146" spans="1:3" x14ac:dyDescent="0.25">
      <c r="A146">
        <v>145</v>
      </c>
      <c r="B146" t="s">
        <v>764</v>
      </c>
      <c r="C146" t="s">
        <v>2141</v>
      </c>
    </row>
    <row r="147" spans="1:3" x14ac:dyDescent="0.25">
      <c r="A147">
        <v>146</v>
      </c>
      <c r="B147" t="s">
        <v>542</v>
      </c>
      <c r="C147" t="s">
        <v>2142</v>
      </c>
    </row>
    <row r="148" spans="1:3" x14ac:dyDescent="0.25">
      <c r="A148">
        <v>147</v>
      </c>
      <c r="B148" t="s">
        <v>1676</v>
      </c>
      <c r="C148" t="s">
        <v>2143</v>
      </c>
    </row>
    <row r="149" spans="1:3" x14ac:dyDescent="0.25">
      <c r="A149">
        <v>148</v>
      </c>
      <c r="B149" t="s">
        <v>617</v>
      </c>
      <c r="C149" t="s">
        <v>2144</v>
      </c>
    </row>
    <row r="150" spans="1:3" x14ac:dyDescent="0.25">
      <c r="A150">
        <v>149</v>
      </c>
      <c r="B150" t="s">
        <v>1586</v>
      </c>
      <c r="C150" t="s">
        <v>2145</v>
      </c>
    </row>
    <row r="151" spans="1:3" x14ac:dyDescent="0.25">
      <c r="A151">
        <v>150</v>
      </c>
      <c r="B151" t="s">
        <v>574</v>
      </c>
      <c r="C151" t="s">
        <v>2146</v>
      </c>
    </row>
    <row r="152" spans="1:3" x14ac:dyDescent="0.25">
      <c r="A152">
        <v>151</v>
      </c>
      <c r="B152" t="s">
        <v>550</v>
      </c>
      <c r="C152" t="s">
        <v>2147</v>
      </c>
    </row>
    <row r="153" spans="1:3" x14ac:dyDescent="0.25">
      <c r="A153">
        <v>152</v>
      </c>
      <c r="B153" t="s">
        <v>1094</v>
      </c>
      <c r="C153" t="s">
        <v>2148</v>
      </c>
    </row>
    <row r="154" spans="1:3" x14ac:dyDescent="0.25">
      <c r="A154">
        <v>153</v>
      </c>
      <c r="B154" t="s">
        <v>1417</v>
      </c>
      <c r="C154" t="s">
        <v>2149</v>
      </c>
    </row>
    <row r="155" spans="1:3" x14ac:dyDescent="0.25">
      <c r="A155">
        <v>154</v>
      </c>
      <c r="B155" t="s">
        <v>1668</v>
      </c>
      <c r="C155" t="s">
        <v>2150</v>
      </c>
    </row>
    <row r="156" spans="1:3" x14ac:dyDescent="0.25">
      <c r="A156">
        <v>155</v>
      </c>
      <c r="B156" t="s">
        <v>713</v>
      </c>
      <c r="C156" t="s">
        <v>2151</v>
      </c>
    </row>
    <row r="157" spans="1:3" x14ac:dyDescent="0.25">
      <c r="A157">
        <v>156</v>
      </c>
      <c r="B157" t="s">
        <v>1387</v>
      </c>
      <c r="C157" t="s">
        <v>2152</v>
      </c>
    </row>
    <row r="158" spans="1:3" x14ac:dyDescent="0.25">
      <c r="A158">
        <v>157</v>
      </c>
      <c r="B158" t="s">
        <v>625</v>
      </c>
      <c r="C158" t="s">
        <v>2153</v>
      </c>
    </row>
    <row r="159" spans="1:3" x14ac:dyDescent="0.25">
      <c r="A159">
        <v>158</v>
      </c>
      <c r="B159" t="s">
        <v>870</v>
      </c>
      <c r="C159" t="s">
        <v>2154</v>
      </c>
    </row>
    <row r="160" spans="1:3" x14ac:dyDescent="0.25">
      <c r="A160">
        <v>159</v>
      </c>
      <c r="B160" t="s">
        <v>934</v>
      </c>
      <c r="C160" t="s">
        <v>2155</v>
      </c>
    </row>
    <row r="161" spans="1:3" x14ac:dyDescent="0.25">
      <c r="A161">
        <v>160</v>
      </c>
      <c r="B161" t="s">
        <v>410</v>
      </c>
      <c r="C161" t="s">
        <v>2156</v>
      </c>
    </row>
    <row r="162" spans="1:3" x14ac:dyDescent="0.25">
      <c r="A162">
        <v>161</v>
      </c>
      <c r="B162" t="s">
        <v>863</v>
      </c>
      <c r="C162" t="s">
        <v>2157</v>
      </c>
    </row>
    <row r="163" spans="1:3" x14ac:dyDescent="0.25">
      <c r="A163">
        <v>162</v>
      </c>
      <c r="B163" t="s">
        <v>1441</v>
      </c>
      <c r="C163" t="s">
        <v>2158</v>
      </c>
    </row>
    <row r="164" spans="1:3" x14ac:dyDescent="0.25">
      <c r="A164">
        <v>163</v>
      </c>
      <c r="B164" t="s">
        <v>465</v>
      </c>
      <c r="C164" t="s">
        <v>2159</v>
      </c>
    </row>
    <row r="165" spans="1:3" x14ac:dyDescent="0.25">
      <c r="A165">
        <v>164</v>
      </c>
      <c r="B165" t="s">
        <v>813</v>
      </c>
      <c r="C165" t="s">
        <v>2160</v>
      </c>
    </row>
    <row r="166" spans="1:3" x14ac:dyDescent="0.25">
      <c r="A166">
        <v>165</v>
      </c>
      <c r="B166" t="s">
        <v>755</v>
      </c>
      <c r="C166" t="s">
        <v>2161</v>
      </c>
    </row>
    <row r="167" spans="1:3" x14ac:dyDescent="0.25">
      <c r="A167">
        <v>166</v>
      </c>
      <c r="B167" t="s">
        <v>942</v>
      </c>
      <c r="C167" t="s">
        <v>2162</v>
      </c>
    </row>
    <row r="168" spans="1:3" x14ac:dyDescent="0.25">
      <c r="A168">
        <v>167</v>
      </c>
      <c r="B168" t="s">
        <v>1410</v>
      </c>
      <c r="C168" t="s">
        <v>2163</v>
      </c>
    </row>
    <row r="169" spans="1:3" x14ac:dyDescent="0.25">
      <c r="A169">
        <v>168</v>
      </c>
      <c r="B169" t="s">
        <v>1404</v>
      </c>
      <c r="C169" t="s">
        <v>2164</v>
      </c>
    </row>
    <row r="170" spans="1:3" x14ac:dyDescent="0.25">
      <c r="A170">
        <v>169</v>
      </c>
      <c r="B170" t="s">
        <v>1039</v>
      </c>
      <c r="C170" t="s">
        <v>2165</v>
      </c>
    </row>
    <row r="171" spans="1:3" x14ac:dyDescent="0.25">
      <c r="A171">
        <v>170</v>
      </c>
      <c r="B171" t="s">
        <v>1649</v>
      </c>
      <c r="C171" t="s">
        <v>2166</v>
      </c>
    </row>
    <row r="172" spans="1:3" x14ac:dyDescent="0.25">
      <c r="A172">
        <v>171</v>
      </c>
      <c r="B172" t="s">
        <v>1642</v>
      </c>
      <c r="C172" t="s">
        <v>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Fresh</vt:lpstr>
      <vt:lpstr>working</vt:lpstr>
      <vt:lpstr>Sheet2</vt:lpstr>
      <vt:lpstr>policy</vt:lpstr>
      <vt:lpstr>Renewal</vt:lpstr>
      <vt:lpstr>working1</vt:lpstr>
      <vt:lpstr>Sheet5</vt:lpstr>
      <vt:lpstr>policy1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2024-11-29T09:08:46Z</dcterms:created>
  <dcterms:modified xsi:type="dcterms:W3CDTF">2024-12-02T12:13:57Z</dcterms:modified>
</cp:coreProperties>
</file>